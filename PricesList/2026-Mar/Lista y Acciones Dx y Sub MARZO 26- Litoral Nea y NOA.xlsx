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adrian_dallaverde_minervafoods_com/Documents/Documentos/Listas de precios/LISTA DX y SubDX LITORAL- NOA-NEA/"/>
    </mc:Choice>
  </mc:AlternateContent>
  <xr:revisionPtr revIDLastSave="430" documentId="13_ncr:1_{7093A812-651B-4D9F-A82C-F403DDC5BE91}" xr6:coauthVersionLast="47" xr6:coauthVersionMax="47" xr10:uidLastSave="{63D3189A-0D5C-4B4B-B28C-BB14D18AF2BC}"/>
  <bookViews>
    <workbookView xWindow="-110" yWindow="-110" windowWidth="19420" windowHeight="10300" xr2:uid="{0222ACF9-068E-4B9B-87F6-A185C33F0E5E}"/>
  </bookViews>
  <sheets>
    <sheet name="Litoral" sheetId="1" r:id="rId1"/>
    <sheet name="NEA" sheetId="2" r:id="rId2"/>
    <sheet name="NOA" sheetId="3" r:id="rId3"/>
    <sheet name="Sub Litoral" sheetId="4" r:id="rId4"/>
    <sheet name="Sub NEA" sheetId="5" r:id="rId5"/>
    <sheet name="Sub NOA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2" i="3" l="1"/>
  <c r="L61" i="3"/>
  <c r="L60" i="3"/>
  <c r="L59" i="3"/>
  <c r="L58" i="3"/>
  <c r="L37" i="3"/>
  <c r="L38" i="3"/>
  <c r="L36" i="3"/>
  <c r="L35" i="3"/>
  <c r="L34" i="3"/>
  <c r="L33" i="3"/>
  <c r="F1" i="2"/>
  <c r="H36" i="1" l="1"/>
  <c r="I36" i="1" s="1"/>
  <c r="J36" i="1" l="1"/>
  <c r="K36" i="1" s="1"/>
  <c r="L36" i="1" s="1"/>
  <c r="M36" i="1" l="1"/>
  <c r="N36" i="1" l="1"/>
  <c r="O36" i="1" s="1"/>
  <c r="R37" i="1" l="1"/>
  <c r="P36" i="1" l="1"/>
  <c r="H101" i="1" l="1"/>
  <c r="G30" i="1" l="1"/>
  <c r="H101" i="2"/>
  <c r="I101" i="2" s="1"/>
  <c r="H101" i="3"/>
  <c r="I101" i="3" s="1"/>
  <c r="I101" i="4"/>
  <c r="I101" i="5"/>
  <c r="J101" i="5" s="1"/>
  <c r="K101" i="5" s="1"/>
  <c r="I101" i="6"/>
  <c r="J101" i="6" s="1"/>
  <c r="I101" i="1"/>
  <c r="H98" i="2"/>
  <c r="I98" i="2" s="1"/>
  <c r="H98" i="3"/>
  <c r="I98" i="3" s="1"/>
  <c r="I98" i="4"/>
  <c r="J98" i="4" s="1"/>
  <c r="I98" i="5"/>
  <c r="J98" i="5" s="1"/>
  <c r="I98" i="6"/>
  <c r="J98" i="6" s="1"/>
  <c r="H98" i="1"/>
  <c r="I98" i="1" s="1"/>
  <c r="I109" i="5"/>
  <c r="J109" i="5" s="1"/>
  <c r="I108" i="5"/>
  <c r="J108" i="5" s="1"/>
  <c r="J101" i="4" l="1"/>
  <c r="K101" i="4" s="1"/>
  <c r="L101" i="4" s="1"/>
  <c r="J98" i="2"/>
  <c r="K98" i="2" s="1"/>
  <c r="P98" i="1"/>
  <c r="J101" i="1"/>
  <c r="K101" i="1" s="1"/>
  <c r="J101" i="3"/>
  <c r="K101" i="3" s="1"/>
  <c r="K101" i="6"/>
  <c r="L101" i="6" s="1"/>
  <c r="L101" i="5"/>
  <c r="J101" i="2"/>
  <c r="K101" i="2" s="1"/>
  <c r="J98" i="1"/>
  <c r="K98" i="1" s="1"/>
  <c r="K98" i="6"/>
  <c r="L98" i="6" s="1"/>
  <c r="K98" i="5"/>
  <c r="L98" i="5" s="1"/>
  <c r="K98" i="4"/>
  <c r="L98" i="4" s="1"/>
  <c r="J98" i="3"/>
  <c r="K98" i="3" s="1"/>
  <c r="I108" i="6"/>
  <c r="J108" i="6" s="1"/>
  <c r="K108" i="6" s="1"/>
  <c r="L108" i="6" s="1"/>
  <c r="I109" i="6"/>
  <c r="J109" i="6" s="1"/>
  <c r="K109" i="6" s="1"/>
  <c r="L109" i="6" s="1"/>
  <c r="H109" i="3"/>
  <c r="I108" i="4"/>
  <c r="H108" i="3"/>
  <c r="I109" i="4"/>
  <c r="K108" i="5"/>
  <c r="L108" i="5" s="1"/>
  <c r="K109" i="5"/>
  <c r="L109" i="5" s="1"/>
  <c r="H72" i="1"/>
  <c r="I72" i="1" s="1"/>
  <c r="H72" i="2"/>
  <c r="I72" i="2" s="1"/>
  <c r="H72" i="3"/>
  <c r="I72" i="3" s="1"/>
  <c r="I109" i="3" l="1"/>
  <c r="J109" i="3" s="1"/>
  <c r="K109" i="3" s="1"/>
  <c r="P109" i="3"/>
  <c r="I108" i="3"/>
  <c r="J108" i="3" s="1"/>
  <c r="K108" i="3" s="1"/>
  <c r="L108" i="3" s="1"/>
  <c r="M108" i="3" s="1"/>
  <c r="P108" i="3"/>
  <c r="J109" i="4"/>
  <c r="K109" i="4" s="1"/>
  <c r="L109" i="4" s="1"/>
  <c r="M109" i="4" s="1"/>
  <c r="N109" i="4" s="1"/>
  <c r="J108" i="4"/>
  <c r="K108" i="4" s="1"/>
  <c r="L108" i="4" s="1"/>
  <c r="M108" i="4" s="1"/>
  <c r="N108" i="4" s="1"/>
  <c r="P109" i="1"/>
  <c r="P108" i="1"/>
  <c r="M101" i="4"/>
  <c r="N101" i="4" s="1"/>
  <c r="L101" i="2"/>
  <c r="M101" i="2" s="1"/>
  <c r="M101" i="5"/>
  <c r="N101" i="5" s="1"/>
  <c r="L101" i="3"/>
  <c r="M101" i="3" s="1"/>
  <c r="L101" i="1"/>
  <c r="M101" i="1" s="1"/>
  <c r="M101" i="6"/>
  <c r="N101" i="6" s="1"/>
  <c r="L98" i="2"/>
  <c r="M98" i="2" s="1"/>
  <c r="M98" i="4"/>
  <c r="N98" i="4" s="1"/>
  <c r="M98" i="5"/>
  <c r="N98" i="5" s="1"/>
  <c r="M98" i="6"/>
  <c r="N98" i="6" s="1"/>
  <c r="L98" i="3"/>
  <c r="M98" i="3" s="1"/>
  <c r="L98" i="1"/>
  <c r="M98" i="1" s="1"/>
  <c r="M109" i="6"/>
  <c r="N109" i="6" s="1"/>
  <c r="M108" i="6"/>
  <c r="N108" i="6" s="1"/>
  <c r="M109" i="5"/>
  <c r="N109" i="5" s="1"/>
  <c r="M108" i="5"/>
  <c r="N108" i="5" s="1"/>
  <c r="L109" i="3"/>
  <c r="M109" i="3" s="1"/>
  <c r="J72" i="1"/>
  <c r="K72" i="1" s="1"/>
  <c r="L72" i="1" s="1"/>
  <c r="J72" i="2"/>
  <c r="K72" i="2" s="1"/>
  <c r="L72" i="2" s="1"/>
  <c r="J72" i="3"/>
  <c r="K72" i="3" s="1"/>
  <c r="O98" i="6" l="1"/>
  <c r="P98" i="6" s="1"/>
  <c r="O101" i="6"/>
  <c r="P101" i="6" s="1"/>
  <c r="O98" i="4"/>
  <c r="P98" i="4" s="1"/>
  <c r="O101" i="4"/>
  <c r="P101" i="4" s="1"/>
  <c r="O98" i="5"/>
  <c r="P98" i="5" s="1"/>
  <c r="O101" i="5"/>
  <c r="P101" i="5" s="1"/>
  <c r="N101" i="2"/>
  <c r="O101" i="2" s="1"/>
  <c r="N101" i="1"/>
  <c r="O101" i="1" s="1"/>
  <c r="N101" i="3"/>
  <c r="O101" i="3" s="1"/>
  <c r="N98" i="3"/>
  <c r="O98" i="3" s="1"/>
  <c r="N98" i="2"/>
  <c r="O98" i="2" s="1"/>
  <c r="N98" i="1"/>
  <c r="O98" i="1" s="1"/>
  <c r="O108" i="6"/>
  <c r="P108" i="6" s="1"/>
  <c r="O109" i="6"/>
  <c r="P109" i="6" s="1"/>
  <c r="O108" i="5"/>
  <c r="P108" i="5" s="1"/>
  <c r="O109" i="5"/>
  <c r="P109" i="5" s="1"/>
  <c r="O108" i="4"/>
  <c r="P108" i="4" s="1"/>
  <c r="O109" i="4"/>
  <c r="P109" i="4" s="1"/>
  <c r="N108" i="3"/>
  <c r="O108" i="3" s="1"/>
  <c r="N109" i="3"/>
  <c r="O109" i="3" s="1"/>
  <c r="M72" i="1"/>
  <c r="M72" i="2"/>
  <c r="M72" i="3"/>
  <c r="I36" i="6"/>
  <c r="J36" i="6" s="1"/>
  <c r="I31" i="6"/>
  <c r="J31" i="6" s="1"/>
  <c r="K31" i="6" s="1"/>
  <c r="L31" i="6" s="1"/>
  <c r="I33" i="6"/>
  <c r="J33" i="6" s="1"/>
  <c r="I36" i="5"/>
  <c r="J36" i="5" s="1"/>
  <c r="I33" i="5"/>
  <c r="J33" i="5" s="1"/>
  <c r="I31" i="5"/>
  <c r="J31" i="5" s="1"/>
  <c r="I36" i="4"/>
  <c r="J36" i="4" s="1"/>
  <c r="H31" i="3"/>
  <c r="H36" i="3"/>
  <c r="I36" i="3" s="1"/>
  <c r="J36" i="3" s="1"/>
  <c r="K36" i="3" s="1"/>
  <c r="H36" i="2"/>
  <c r="I36" i="2" s="1"/>
  <c r="H33" i="3"/>
  <c r="H33" i="2"/>
  <c r="I31" i="3" l="1"/>
  <c r="P31" i="3"/>
  <c r="I33" i="3"/>
  <c r="J33" i="3" s="1"/>
  <c r="K33" i="3" s="1"/>
  <c r="P33" i="3"/>
  <c r="I33" i="2"/>
  <c r="J33" i="2" s="1"/>
  <c r="K33" i="2" s="1"/>
  <c r="L33" i="2" s="1"/>
  <c r="N72" i="1"/>
  <c r="O72" i="1" s="1"/>
  <c r="N72" i="2"/>
  <c r="O72" i="2" s="1"/>
  <c r="N72" i="3"/>
  <c r="O72" i="3" s="1"/>
  <c r="H31" i="2"/>
  <c r="M36" i="3"/>
  <c r="K36" i="6"/>
  <c r="L36" i="6" s="1"/>
  <c r="K36" i="4"/>
  <c r="L36" i="4" s="1"/>
  <c r="K36" i="5"/>
  <c r="L36" i="5" s="1"/>
  <c r="J36" i="2"/>
  <c r="K36" i="2" s="1"/>
  <c r="K33" i="6"/>
  <c r="L33" i="6" s="1"/>
  <c r="K33" i="5"/>
  <c r="L33" i="5" s="1"/>
  <c r="M31" i="6"/>
  <c r="N31" i="6" s="1"/>
  <c r="J31" i="3"/>
  <c r="K31" i="3" s="1"/>
  <c r="K31" i="5"/>
  <c r="L31" i="5" s="1"/>
  <c r="M33" i="2" l="1"/>
  <c r="I31" i="2"/>
  <c r="J31" i="2" s="1"/>
  <c r="K31" i="2" s="1"/>
  <c r="L31" i="2" s="1"/>
  <c r="O31" i="6"/>
  <c r="P31" i="6" s="1"/>
  <c r="M36" i="4"/>
  <c r="N36" i="4" s="1"/>
  <c r="N36" i="3"/>
  <c r="O36" i="3" s="1"/>
  <c r="M36" i="5"/>
  <c r="N36" i="5" s="1"/>
  <c r="M36" i="6"/>
  <c r="N36" i="6" s="1"/>
  <c r="L36" i="2"/>
  <c r="M36" i="2" s="1"/>
  <c r="M33" i="3"/>
  <c r="M33" i="6"/>
  <c r="N33" i="6" s="1"/>
  <c r="N33" i="2"/>
  <c r="M33" i="5"/>
  <c r="N33" i="5" s="1"/>
  <c r="M31" i="5"/>
  <c r="N31" i="5" s="1"/>
  <c r="L31" i="3"/>
  <c r="M31" i="3" s="1"/>
  <c r="O33" i="2" l="1"/>
  <c r="M31" i="2"/>
  <c r="O36" i="5"/>
  <c r="P36" i="5" s="1"/>
  <c r="O31" i="5"/>
  <c r="P31" i="5" s="1"/>
  <c r="O33" i="5"/>
  <c r="P33" i="5" s="1"/>
  <c r="O36" i="4"/>
  <c r="P36" i="4" s="1"/>
  <c r="O33" i="6"/>
  <c r="P33" i="6" s="1"/>
  <c r="O36" i="6"/>
  <c r="P36" i="6" s="1"/>
  <c r="N36" i="2"/>
  <c r="O36" i="2" s="1"/>
  <c r="N33" i="3"/>
  <c r="O33" i="3" s="1"/>
  <c r="N31" i="3"/>
  <c r="O31" i="3" s="1"/>
  <c r="N31" i="2" l="1"/>
  <c r="O31" i="2" s="1"/>
  <c r="H33" i="1"/>
  <c r="P33" i="1" s="1"/>
  <c r="I33" i="1" l="1"/>
  <c r="J33" i="1" s="1"/>
  <c r="K33" i="1" s="1"/>
  <c r="L33" i="1" s="1"/>
  <c r="I33" i="4"/>
  <c r="J33" i="4" s="1"/>
  <c r="K33" i="4" s="1"/>
  <c r="L33" i="4" s="1"/>
  <c r="M33" i="4" s="1"/>
  <c r="N33" i="4" s="1"/>
  <c r="H31" i="1"/>
  <c r="P31" i="1" s="1"/>
  <c r="O33" i="4" l="1"/>
  <c r="P33" i="4" s="1"/>
  <c r="I31" i="1"/>
  <c r="J31" i="1" s="1"/>
  <c r="K31" i="1" s="1"/>
  <c r="L31" i="1" s="1"/>
  <c r="M31" i="1" s="1"/>
  <c r="N31" i="1" s="1"/>
  <c r="I31" i="4"/>
  <c r="J31" i="4" s="1"/>
  <c r="K31" i="4" s="1"/>
  <c r="L31" i="4" s="1"/>
  <c r="M31" i="4" s="1"/>
  <c r="N31" i="4" s="1"/>
  <c r="M33" i="1"/>
  <c r="N33" i="1" s="1"/>
  <c r="O31" i="4" l="1"/>
  <c r="P31" i="4" s="1"/>
  <c r="O31" i="1"/>
  <c r="O33" i="1"/>
  <c r="H97" i="2" l="1"/>
  <c r="H97" i="3"/>
  <c r="I97" i="3" s="1"/>
  <c r="H97" i="1"/>
  <c r="I97" i="4"/>
  <c r="I97" i="5"/>
  <c r="J97" i="5" s="1"/>
  <c r="I97" i="6"/>
  <c r="J97" i="6" s="1"/>
  <c r="J97" i="4" l="1"/>
  <c r="K97" i="4" s="1"/>
  <c r="L97" i="4" s="1"/>
  <c r="I97" i="2"/>
  <c r="I97" i="1"/>
  <c r="J97" i="1" s="1"/>
  <c r="K97" i="1" s="1"/>
  <c r="P97" i="1"/>
  <c r="J97" i="2"/>
  <c r="K97" i="2" s="1"/>
  <c r="J97" i="3"/>
  <c r="K97" i="3" s="1"/>
  <c r="K97" i="6"/>
  <c r="L97" i="6" s="1"/>
  <c r="K97" i="5"/>
  <c r="L97" i="5" s="1"/>
  <c r="M97" i="6" l="1"/>
  <c r="N97" i="6" s="1"/>
  <c r="M97" i="5"/>
  <c r="N97" i="5" s="1"/>
  <c r="L97" i="3"/>
  <c r="M97" i="3" s="1"/>
  <c r="L97" i="1"/>
  <c r="M97" i="1" s="1"/>
  <c r="M97" i="4"/>
  <c r="N97" i="4" s="1"/>
  <c r="L97" i="2"/>
  <c r="M97" i="2" s="1"/>
  <c r="O97" i="6" l="1"/>
  <c r="P97" i="6" s="1"/>
  <c r="O97" i="5"/>
  <c r="P97" i="5" s="1"/>
  <c r="O97" i="4"/>
  <c r="P97" i="4" s="1"/>
  <c r="N97" i="2"/>
  <c r="O97" i="2" s="1"/>
  <c r="N97" i="3"/>
  <c r="O97" i="3" s="1"/>
  <c r="N97" i="1"/>
  <c r="O97" i="1" s="1"/>
  <c r="P102" i="3" l="1"/>
  <c r="P102" i="1"/>
  <c r="Y37" i="3" l="1"/>
  <c r="W32" i="2"/>
  <c r="W30" i="2"/>
  <c r="I67" i="6" l="1"/>
  <c r="J67" i="6" s="1"/>
  <c r="I67" i="5"/>
  <c r="J67" i="5" s="1"/>
  <c r="I67" i="4"/>
  <c r="J67" i="4" s="1"/>
  <c r="I94" i="6"/>
  <c r="J94" i="6" s="1"/>
  <c r="K67" i="6" l="1"/>
  <c r="L67" i="6" s="1"/>
  <c r="K67" i="5"/>
  <c r="L67" i="5" s="1"/>
  <c r="K67" i="4"/>
  <c r="L67" i="4" s="1"/>
  <c r="K94" i="6"/>
  <c r="L94" i="6" s="1"/>
  <c r="M67" i="6" l="1"/>
  <c r="N67" i="6" s="1"/>
  <c r="M67" i="5"/>
  <c r="N67" i="5" s="1"/>
  <c r="M67" i="4"/>
  <c r="N67" i="4" s="1"/>
  <c r="M94" i="6"/>
  <c r="N94" i="6" s="1"/>
  <c r="O67" i="6" l="1"/>
  <c r="P67" i="6" s="1"/>
  <c r="O67" i="5"/>
  <c r="P67" i="5" s="1"/>
  <c r="O67" i="4"/>
  <c r="P67" i="4" s="1"/>
  <c r="O94" i="6"/>
  <c r="P94" i="6" s="1"/>
  <c r="H94" i="2" l="1"/>
  <c r="H94" i="3"/>
  <c r="I94" i="4"/>
  <c r="J94" i="4" s="1"/>
  <c r="I94" i="5"/>
  <c r="J94" i="5" s="1"/>
  <c r="H43" i="2"/>
  <c r="H43" i="3"/>
  <c r="I43" i="4"/>
  <c r="J43" i="4" s="1"/>
  <c r="I43" i="5"/>
  <c r="J43" i="5" s="1"/>
  <c r="I43" i="6"/>
  <c r="J43" i="6" s="1"/>
  <c r="H42" i="2"/>
  <c r="H42" i="3"/>
  <c r="I42" i="4"/>
  <c r="J42" i="4" s="1"/>
  <c r="I42" i="5"/>
  <c r="J42" i="5" s="1"/>
  <c r="I42" i="6"/>
  <c r="J42" i="6" s="1"/>
  <c r="W49" i="2"/>
  <c r="I43" i="3" l="1"/>
  <c r="J43" i="3" s="1"/>
  <c r="K43" i="3" s="1"/>
  <c r="P43" i="3"/>
  <c r="I94" i="3"/>
  <c r="J94" i="3" s="1"/>
  <c r="K94" i="3" s="1"/>
  <c r="P94" i="3"/>
  <c r="I42" i="3"/>
  <c r="J42" i="3" s="1"/>
  <c r="K42" i="3" s="1"/>
  <c r="P42" i="3"/>
  <c r="I42" i="2"/>
  <c r="J42" i="2" s="1"/>
  <c r="K42" i="2" s="1"/>
  <c r="I43" i="2"/>
  <c r="J43" i="2" s="1"/>
  <c r="K43" i="2" s="1"/>
  <c r="I94" i="2"/>
  <c r="J94" i="2" s="1"/>
  <c r="K94" i="2" s="1"/>
  <c r="H42" i="1"/>
  <c r="H43" i="1"/>
  <c r="H94" i="1"/>
  <c r="K94" i="5"/>
  <c r="L94" i="5" s="1"/>
  <c r="K94" i="4"/>
  <c r="L94" i="4" s="1"/>
  <c r="K43" i="6"/>
  <c r="L43" i="6" s="1"/>
  <c r="K43" i="5"/>
  <c r="L43" i="5" s="1"/>
  <c r="K43" i="4"/>
  <c r="L43" i="4" s="1"/>
  <c r="K42" i="5"/>
  <c r="L42" i="5" s="1"/>
  <c r="K42" i="4"/>
  <c r="L42" i="4" s="1"/>
  <c r="K42" i="6"/>
  <c r="L42" i="6" s="1"/>
  <c r="AA66" i="2"/>
  <c r="AA67" i="2" s="1"/>
  <c r="AA60" i="2"/>
  <c r="W23" i="2"/>
  <c r="W24" i="2" s="1"/>
  <c r="I43" i="1" l="1"/>
  <c r="J43" i="1" s="1"/>
  <c r="K43" i="1" s="1"/>
  <c r="L43" i="1" s="1"/>
  <c r="M43" i="1" s="1"/>
  <c r="P43" i="1"/>
  <c r="I42" i="1"/>
  <c r="J42" i="1" s="1"/>
  <c r="K42" i="1" s="1"/>
  <c r="L42" i="1" s="1"/>
  <c r="M42" i="1" s="1"/>
  <c r="P42" i="1"/>
  <c r="I94" i="1"/>
  <c r="J94" i="1" s="1"/>
  <c r="K94" i="1" s="1"/>
  <c r="L94" i="1" s="1"/>
  <c r="P94" i="1"/>
  <c r="L94" i="2"/>
  <c r="M94" i="2" s="1"/>
  <c r="M94" i="4"/>
  <c r="N94" i="4" s="1"/>
  <c r="M94" i="5"/>
  <c r="N94" i="5" s="1"/>
  <c r="L94" i="3"/>
  <c r="M94" i="3" s="1"/>
  <c r="L43" i="3"/>
  <c r="M43" i="3" s="1"/>
  <c r="M43" i="5"/>
  <c r="N43" i="5" s="1"/>
  <c r="M43" i="4"/>
  <c r="N43" i="4" s="1"/>
  <c r="M43" i="6"/>
  <c r="N43" i="6" s="1"/>
  <c r="L43" i="2"/>
  <c r="M43" i="2" s="1"/>
  <c r="M42" i="6"/>
  <c r="N42" i="6" s="1"/>
  <c r="L42" i="3"/>
  <c r="M42" i="3" s="1"/>
  <c r="M42" i="4"/>
  <c r="N42" i="4" s="1"/>
  <c r="M42" i="5"/>
  <c r="N42" i="5" s="1"/>
  <c r="L42" i="2"/>
  <c r="M42" i="2" s="1"/>
  <c r="Y70" i="3"/>
  <c r="Y71" i="3" s="1"/>
  <c r="W70" i="2"/>
  <c r="W71" i="2" s="1"/>
  <c r="X38" i="3"/>
  <c r="X39" i="3" s="1"/>
  <c r="Z39" i="3"/>
  <c r="Z40" i="3" s="1"/>
  <c r="W38" i="2"/>
  <c r="W39" i="2" s="1"/>
  <c r="X39" i="2"/>
  <c r="X40" i="2" s="1"/>
  <c r="P72" i="3"/>
  <c r="H68" i="3"/>
  <c r="H67" i="3"/>
  <c r="H66" i="3"/>
  <c r="H37" i="3"/>
  <c r="Z59" i="2"/>
  <c r="AA59" i="2" s="1"/>
  <c r="H68" i="2"/>
  <c r="H67" i="2"/>
  <c r="H66" i="2"/>
  <c r="H37" i="2"/>
  <c r="H37" i="1"/>
  <c r="I72" i="6"/>
  <c r="J72" i="6" s="1"/>
  <c r="I68" i="6"/>
  <c r="J68" i="6" s="1"/>
  <c r="I66" i="6"/>
  <c r="J66" i="6" s="1"/>
  <c r="I72" i="5"/>
  <c r="J72" i="5" s="1"/>
  <c r="I68" i="5"/>
  <c r="J68" i="5" s="1"/>
  <c r="I66" i="5"/>
  <c r="J66" i="5" s="1"/>
  <c r="I72" i="4"/>
  <c r="J72" i="4" s="1"/>
  <c r="I68" i="4"/>
  <c r="J68" i="4" s="1"/>
  <c r="I66" i="4"/>
  <c r="J66" i="4" s="1"/>
  <c r="P37" i="3" l="1"/>
  <c r="O94" i="5"/>
  <c r="P94" i="5" s="1"/>
  <c r="O94" i="4"/>
  <c r="P94" i="4" s="1"/>
  <c r="M94" i="1"/>
  <c r="N94" i="1" s="1"/>
  <c r="O94" i="1" s="1"/>
  <c r="O43" i="5"/>
  <c r="P43" i="5" s="1"/>
  <c r="O42" i="5"/>
  <c r="P42" i="5" s="1"/>
  <c r="O43" i="4"/>
  <c r="P43" i="4" s="1"/>
  <c r="O42" i="4"/>
  <c r="P42" i="4" s="1"/>
  <c r="I66" i="3"/>
  <c r="J66" i="3" s="1"/>
  <c r="K66" i="3" s="1"/>
  <c r="P66" i="3"/>
  <c r="I67" i="3"/>
  <c r="J67" i="3" s="1"/>
  <c r="K67" i="3" s="1"/>
  <c r="P67" i="3"/>
  <c r="I68" i="3"/>
  <c r="J68" i="3" s="1"/>
  <c r="K68" i="3" s="1"/>
  <c r="P68" i="3"/>
  <c r="I68" i="2"/>
  <c r="J68" i="2" s="1"/>
  <c r="K68" i="2" s="1"/>
  <c r="AG68" i="2"/>
  <c r="I66" i="2"/>
  <c r="J66" i="2" s="1"/>
  <c r="K66" i="2" s="1"/>
  <c r="I67" i="2"/>
  <c r="J67" i="2" s="1"/>
  <c r="K67" i="2" s="1"/>
  <c r="H68" i="1"/>
  <c r="H66" i="1"/>
  <c r="H103" i="1"/>
  <c r="H104" i="1"/>
  <c r="H67" i="1"/>
  <c r="H105" i="1"/>
  <c r="H106" i="1"/>
  <c r="O42" i="6"/>
  <c r="P42" i="6" s="1"/>
  <c r="O43" i="6"/>
  <c r="P43" i="6" s="1"/>
  <c r="Z41" i="3"/>
  <c r="Z44" i="3" s="1"/>
  <c r="N94" i="2"/>
  <c r="O94" i="2" s="1"/>
  <c r="N94" i="3"/>
  <c r="O94" i="3" s="1"/>
  <c r="N43" i="1"/>
  <c r="O43" i="1" s="1"/>
  <c r="N43" i="2"/>
  <c r="O43" i="2" s="1"/>
  <c r="N43" i="3"/>
  <c r="O43" i="3" s="1"/>
  <c r="N42" i="1"/>
  <c r="O42" i="1" s="1"/>
  <c r="N42" i="2"/>
  <c r="O42" i="2" s="1"/>
  <c r="N42" i="3"/>
  <c r="O42" i="3" s="1"/>
  <c r="W72" i="2"/>
  <c r="W73" i="2" s="1"/>
  <c r="X40" i="3"/>
  <c r="X41" i="3" s="1"/>
  <c r="Y72" i="3"/>
  <c r="Y73" i="3" s="1"/>
  <c r="X41" i="2"/>
  <c r="X44" i="2" s="1"/>
  <c r="W40" i="2"/>
  <c r="W41" i="2" s="1"/>
  <c r="K66" i="6"/>
  <c r="L66" i="6" s="1"/>
  <c r="K68" i="6"/>
  <c r="L68" i="6" s="1"/>
  <c r="K72" i="6"/>
  <c r="L72" i="6" s="1"/>
  <c r="K72" i="5"/>
  <c r="L72" i="5" s="1"/>
  <c r="K66" i="5"/>
  <c r="L66" i="5" s="1"/>
  <c r="K68" i="5"/>
  <c r="L68" i="5" s="1"/>
  <c r="K72" i="4"/>
  <c r="L72" i="4" s="1"/>
  <c r="K68" i="4"/>
  <c r="L68" i="4" s="1"/>
  <c r="K66" i="4"/>
  <c r="L66" i="4" s="1"/>
  <c r="P103" i="1" l="1"/>
  <c r="P72" i="1"/>
  <c r="P67" i="1"/>
  <c r="P106" i="1"/>
  <c r="P104" i="1"/>
  <c r="P105" i="1"/>
  <c r="P68" i="1"/>
  <c r="P66" i="1"/>
  <c r="P37" i="1"/>
  <c r="I67" i="1"/>
  <c r="J67" i="1" s="1"/>
  <c r="K67" i="1" s="1"/>
  <c r="L67" i="1" s="1"/>
  <c r="M67" i="1" s="1"/>
  <c r="I66" i="1"/>
  <c r="J66" i="1" s="1"/>
  <c r="K66" i="1" s="1"/>
  <c r="L66" i="1" s="1"/>
  <c r="M66" i="1" s="1"/>
  <c r="I68" i="1"/>
  <c r="J68" i="1" s="1"/>
  <c r="K68" i="1" s="1"/>
  <c r="L68" i="1" s="1"/>
  <c r="M68" i="1" s="1"/>
  <c r="N68" i="1" s="1"/>
  <c r="O68" i="1" s="1"/>
  <c r="L67" i="3"/>
  <c r="M67" i="3" s="1"/>
  <c r="L67" i="2"/>
  <c r="M67" i="2" s="1"/>
  <c r="M68" i="6"/>
  <c r="N68" i="6" s="1"/>
  <c r="M66" i="6"/>
  <c r="N66" i="6" s="1"/>
  <c r="M72" i="6"/>
  <c r="N72" i="6" s="1"/>
  <c r="M72" i="5"/>
  <c r="N72" i="5" s="1"/>
  <c r="M68" i="5"/>
  <c r="N68" i="5" s="1"/>
  <c r="M66" i="5"/>
  <c r="N66" i="5" s="1"/>
  <c r="M72" i="4"/>
  <c r="N72" i="4" s="1"/>
  <c r="M68" i="4"/>
  <c r="N68" i="4" s="1"/>
  <c r="M66" i="4"/>
  <c r="N66" i="4" s="1"/>
  <c r="L66" i="3"/>
  <c r="M66" i="3" s="1"/>
  <c r="L68" i="3"/>
  <c r="M68" i="3" s="1"/>
  <c r="L68" i="2"/>
  <c r="M68" i="2" s="1"/>
  <c r="L66" i="2"/>
  <c r="M66" i="2" s="1"/>
  <c r="N67" i="3" l="1"/>
  <c r="O67" i="3" s="1"/>
  <c r="N67" i="2"/>
  <c r="O67" i="2" s="1"/>
  <c r="N67" i="1"/>
  <c r="O67" i="1" s="1"/>
  <c r="O68" i="6"/>
  <c r="P68" i="6" s="1"/>
  <c r="O66" i="6"/>
  <c r="P66" i="6" s="1"/>
  <c r="O72" i="6"/>
  <c r="P72" i="6" s="1"/>
  <c r="O72" i="5"/>
  <c r="P72" i="5" s="1"/>
  <c r="O68" i="5"/>
  <c r="P68" i="5" s="1"/>
  <c r="O66" i="5"/>
  <c r="P66" i="5" s="1"/>
  <c r="O72" i="4"/>
  <c r="P72" i="4" s="1"/>
  <c r="O68" i="4"/>
  <c r="P68" i="4" s="1"/>
  <c r="O66" i="4"/>
  <c r="P66" i="4" s="1"/>
  <c r="N66" i="3"/>
  <c r="O66" i="3" s="1"/>
  <c r="N68" i="3"/>
  <c r="O68" i="3" s="1"/>
  <c r="N66" i="2"/>
  <c r="O66" i="2" s="1"/>
  <c r="N68" i="2"/>
  <c r="O68" i="2" s="1"/>
  <c r="N66" i="1"/>
  <c r="O66" i="1" s="1"/>
  <c r="X90" i="2" l="1"/>
  <c r="X91" i="2" l="1"/>
  <c r="J106" i="6"/>
  <c r="J105" i="6"/>
  <c r="K105" i="6" s="1"/>
  <c r="L105" i="6" s="1"/>
  <c r="J104" i="6"/>
  <c r="J103" i="6"/>
  <c r="I103" i="6" l="1"/>
  <c r="S103" i="6" s="1"/>
  <c r="I104" i="6"/>
  <c r="S104" i="6" s="1"/>
  <c r="I105" i="6"/>
  <c r="S105" i="6" s="1"/>
  <c r="I106" i="6"/>
  <c r="S106" i="6" s="1"/>
  <c r="M105" i="6"/>
  <c r="N105" i="6" s="1"/>
  <c r="K106" i="6"/>
  <c r="L106" i="6" s="1"/>
  <c r="K104" i="6"/>
  <c r="L104" i="6" s="1"/>
  <c r="K103" i="6"/>
  <c r="L103" i="6" s="1"/>
  <c r="I100" i="6"/>
  <c r="S100" i="6" s="1"/>
  <c r="I99" i="6"/>
  <c r="S99" i="6" s="1"/>
  <c r="I96" i="6"/>
  <c r="S96" i="6" s="1"/>
  <c r="I95" i="6"/>
  <c r="S95" i="6" s="1"/>
  <c r="I92" i="6"/>
  <c r="S92" i="6" s="1"/>
  <c r="I91" i="6"/>
  <c r="S91" i="6" s="1"/>
  <c r="I90" i="6"/>
  <c r="S90" i="6" s="1"/>
  <c r="I89" i="6"/>
  <c r="S89" i="6" s="1"/>
  <c r="I88" i="6"/>
  <c r="S88" i="6" s="1"/>
  <c r="I87" i="6"/>
  <c r="S87" i="6" s="1"/>
  <c r="I86" i="6"/>
  <c r="S86" i="6" s="1"/>
  <c r="I85" i="6"/>
  <c r="S85" i="6" s="1"/>
  <c r="I84" i="6"/>
  <c r="S84" i="6" s="1"/>
  <c r="I83" i="6"/>
  <c r="S83" i="6" s="1"/>
  <c r="I82" i="6"/>
  <c r="S82" i="6" s="1"/>
  <c r="I80" i="6"/>
  <c r="S80" i="6" s="1"/>
  <c r="I79" i="6"/>
  <c r="S79" i="6" s="1"/>
  <c r="I78" i="6"/>
  <c r="S78" i="6" s="1"/>
  <c r="I77" i="6"/>
  <c r="S77" i="6" s="1"/>
  <c r="I76" i="6"/>
  <c r="S76" i="6" s="1"/>
  <c r="I75" i="6"/>
  <c r="S75" i="6" s="1"/>
  <c r="I74" i="6"/>
  <c r="S74" i="6" s="1"/>
  <c r="I73" i="6"/>
  <c r="S73" i="6" s="1"/>
  <c r="I71" i="6"/>
  <c r="S71" i="6" s="1"/>
  <c r="I70" i="6"/>
  <c r="S70" i="6" s="1"/>
  <c r="I69" i="6"/>
  <c r="S69" i="6" s="1"/>
  <c r="I64" i="6"/>
  <c r="S64" i="6" s="1"/>
  <c r="I63" i="6"/>
  <c r="S63" i="6" s="1"/>
  <c r="I62" i="6"/>
  <c r="S62" i="6" s="1"/>
  <c r="I61" i="6"/>
  <c r="S61" i="6" s="1"/>
  <c r="I60" i="6"/>
  <c r="S60" i="6" s="1"/>
  <c r="I59" i="6"/>
  <c r="S59" i="6" s="1"/>
  <c r="I58" i="6"/>
  <c r="S58" i="6" s="1"/>
  <c r="I57" i="6"/>
  <c r="S57" i="6" s="1"/>
  <c r="I56" i="6"/>
  <c r="S56" i="6" s="1"/>
  <c r="I55" i="6"/>
  <c r="S55" i="6" s="1"/>
  <c r="I54" i="6"/>
  <c r="S54" i="6" s="1"/>
  <c r="I52" i="6"/>
  <c r="S52" i="6" s="1"/>
  <c r="I51" i="6"/>
  <c r="S51" i="6" s="1"/>
  <c r="I50" i="6"/>
  <c r="S50" i="6" s="1"/>
  <c r="I49" i="6"/>
  <c r="S49" i="6" s="1"/>
  <c r="I48" i="6"/>
  <c r="S48" i="6" s="1"/>
  <c r="I47" i="6"/>
  <c r="S47" i="6" s="1"/>
  <c r="I46" i="6"/>
  <c r="S46" i="6" s="1"/>
  <c r="I45" i="6"/>
  <c r="S45" i="6" s="1"/>
  <c r="I44" i="6"/>
  <c r="S44" i="6" s="1"/>
  <c r="I41" i="6"/>
  <c r="S41" i="6" s="1"/>
  <c r="I40" i="6"/>
  <c r="S40" i="6" s="1"/>
  <c r="I39" i="6"/>
  <c r="S39" i="6" s="1"/>
  <c r="I38" i="6"/>
  <c r="S38" i="6" s="1"/>
  <c r="I37" i="6"/>
  <c r="S37" i="6" s="1"/>
  <c r="I35" i="6"/>
  <c r="S35" i="6" s="1"/>
  <c r="I34" i="6"/>
  <c r="S34" i="6" s="1"/>
  <c r="I32" i="6"/>
  <c r="S32" i="6" s="1"/>
  <c r="I30" i="6"/>
  <c r="S30" i="6" s="1"/>
  <c r="I29" i="6"/>
  <c r="S29" i="6" s="1"/>
  <c r="I28" i="6"/>
  <c r="S28" i="6" s="1"/>
  <c r="I27" i="6"/>
  <c r="S27" i="6" s="1"/>
  <c r="I26" i="6"/>
  <c r="S26" i="6" s="1"/>
  <c r="I25" i="6"/>
  <c r="S25" i="6" s="1"/>
  <c r="I24" i="6"/>
  <c r="S24" i="6" s="1"/>
  <c r="I23" i="6"/>
  <c r="S23" i="6" s="1"/>
  <c r="I22" i="6"/>
  <c r="S22" i="6" s="1"/>
  <c r="I21" i="6"/>
  <c r="S21" i="6" s="1"/>
  <c r="I20" i="6"/>
  <c r="S20" i="6" s="1"/>
  <c r="I19" i="6"/>
  <c r="S19" i="6" s="1"/>
  <c r="I18" i="6"/>
  <c r="S18" i="6" s="1"/>
  <c r="I17" i="6"/>
  <c r="S17" i="6" s="1"/>
  <c r="I16" i="6"/>
  <c r="S16" i="6" s="1"/>
  <c r="I15" i="6"/>
  <c r="S15" i="6" s="1"/>
  <c r="I14" i="6"/>
  <c r="S14" i="6" s="1"/>
  <c r="I13" i="6"/>
  <c r="S13" i="6" s="1"/>
  <c r="I12" i="6"/>
  <c r="S12" i="6" s="1"/>
  <c r="I11" i="6"/>
  <c r="S11" i="6" s="1"/>
  <c r="I10" i="6"/>
  <c r="S10" i="6" s="1"/>
  <c r="I9" i="6"/>
  <c r="S9" i="6" s="1"/>
  <c r="I8" i="6"/>
  <c r="S8" i="6" s="1"/>
  <c r="I7" i="6"/>
  <c r="S7" i="6" s="1"/>
  <c r="I6" i="6"/>
  <c r="S6" i="6" s="1"/>
  <c r="I5" i="6"/>
  <c r="S5" i="6" s="1"/>
  <c r="I4" i="6"/>
  <c r="S4" i="6" s="1"/>
  <c r="I93" i="6"/>
  <c r="S93" i="6" s="1"/>
  <c r="I81" i="6"/>
  <c r="S81" i="6" s="1"/>
  <c r="I65" i="6"/>
  <c r="S65" i="6" s="1"/>
  <c r="I53" i="6"/>
  <c r="S53" i="6" s="1"/>
  <c r="I106" i="5"/>
  <c r="I105" i="5"/>
  <c r="I104" i="5"/>
  <c r="I103" i="5"/>
  <c r="I100" i="5"/>
  <c r="I99" i="5"/>
  <c r="I96" i="5"/>
  <c r="I95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1" i="5"/>
  <c r="I70" i="5"/>
  <c r="I69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1" i="5"/>
  <c r="I40" i="5"/>
  <c r="I39" i="5"/>
  <c r="I38" i="5"/>
  <c r="I37" i="5"/>
  <c r="I35" i="5"/>
  <c r="I34" i="5"/>
  <c r="I32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46" i="5" l="1"/>
  <c r="J106" i="5"/>
  <c r="K106" i="5" s="1"/>
  <c r="L106" i="5" s="1"/>
  <c r="J105" i="5"/>
  <c r="K105" i="5" s="1"/>
  <c r="L105" i="5" s="1"/>
  <c r="M105" i="5" s="1"/>
  <c r="N105" i="5" s="1"/>
  <c r="J104" i="5"/>
  <c r="K104" i="5" s="1"/>
  <c r="L104" i="5" s="1"/>
  <c r="J103" i="5"/>
  <c r="K103" i="5" s="1"/>
  <c r="L103" i="5" s="1"/>
  <c r="M104" i="6"/>
  <c r="N104" i="6" s="1"/>
  <c r="M103" i="6"/>
  <c r="N103" i="6" s="1"/>
  <c r="M106" i="6"/>
  <c r="N106" i="6" s="1"/>
  <c r="O105" i="6"/>
  <c r="P105" i="6" s="1"/>
  <c r="I102" i="4"/>
  <c r="I106" i="4"/>
  <c r="I105" i="4"/>
  <c r="I104" i="4"/>
  <c r="I103" i="4"/>
  <c r="I85" i="4"/>
  <c r="I82" i="4"/>
  <c r="I78" i="4"/>
  <c r="I77" i="4"/>
  <c r="I76" i="4"/>
  <c r="I75" i="4"/>
  <c r="I100" i="4"/>
  <c r="I99" i="4"/>
  <c r="I96" i="4"/>
  <c r="I95" i="4"/>
  <c r="I93" i="4"/>
  <c r="I92" i="4"/>
  <c r="I91" i="4"/>
  <c r="I90" i="4"/>
  <c r="I89" i="4"/>
  <c r="I88" i="4"/>
  <c r="I87" i="4"/>
  <c r="I86" i="4"/>
  <c r="I84" i="4"/>
  <c r="I83" i="4"/>
  <c r="I81" i="4"/>
  <c r="I80" i="4"/>
  <c r="I79" i="4"/>
  <c r="I74" i="4"/>
  <c r="I73" i="4"/>
  <c r="I71" i="4"/>
  <c r="I70" i="4"/>
  <c r="I69" i="4"/>
  <c r="I65" i="4"/>
  <c r="I64" i="4"/>
  <c r="I63" i="4"/>
  <c r="I58" i="4"/>
  <c r="I56" i="4"/>
  <c r="I55" i="4"/>
  <c r="I38" i="4"/>
  <c r="I35" i="4"/>
  <c r="I28" i="4"/>
  <c r="I27" i="4"/>
  <c r="I26" i="4"/>
  <c r="I25" i="4"/>
  <c r="I24" i="4"/>
  <c r="I23" i="4"/>
  <c r="I22" i="4"/>
  <c r="I21" i="4"/>
  <c r="I20" i="4"/>
  <c r="I19" i="4"/>
  <c r="I18" i="4"/>
  <c r="I17" i="4"/>
  <c r="I10" i="4"/>
  <c r="I9" i="4"/>
  <c r="I8" i="4"/>
  <c r="I7" i="4"/>
  <c r="I6" i="4"/>
  <c r="I5" i="4"/>
  <c r="I4" i="4"/>
  <c r="I16" i="4" l="1"/>
  <c r="I11" i="4"/>
  <c r="I12" i="4"/>
  <c r="I13" i="4"/>
  <c r="I14" i="4"/>
  <c r="I15" i="4"/>
  <c r="I44" i="5"/>
  <c r="I45" i="5"/>
  <c r="J103" i="4"/>
  <c r="K103" i="4" s="1"/>
  <c r="L103" i="4" s="1"/>
  <c r="M103" i="4" s="1"/>
  <c r="N103" i="4" s="1"/>
  <c r="J104" i="4"/>
  <c r="K104" i="4" s="1"/>
  <c r="L104" i="4" s="1"/>
  <c r="J105" i="4"/>
  <c r="K105" i="4" s="1"/>
  <c r="L105" i="4" s="1"/>
  <c r="M105" i="4" s="1"/>
  <c r="N105" i="4" s="1"/>
  <c r="J106" i="4"/>
  <c r="K106" i="4" s="1"/>
  <c r="L106" i="4" s="1"/>
  <c r="M106" i="4" s="1"/>
  <c r="N106" i="4" s="1"/>
  <c r="I37" i="4"/>
  <c r="O106" i="6"/>
  <c r="P106" i="6" s="1"/>
  <c r="O104" i="6"/>
  <c r="P104" i="6" s="1"/>
  <c r="O103" i="6"/>
  <c r="P103" i="6" s="1"/>
  <c r="M103" i="5"/>
  <c r="N103" i="5" s="1"/>
  <c r="M104" i="5"/>
  <c r="N104" i="5" s="1"/>
  <c r="O105" i="5"/>
  <c r="P105" i="5" s="1"/>
  <c r="M106" i="5"/>
  <c r="N106" i="5" s="1"/>
  <c r="O104" i="5" l="1"/>
  <c r="P104" i="5" s="1"/>
  <c r="O103" i="5"/>
  <c r="P103" i="5" s="1"/>
  <c r="O106" i="5"/>
  <c r="P106" i="5" s="1"/>
  <c r="M104" i="4"/>
  <c r="N104" i="4" s="1"/>
  <c r="O105" i="4"/>
  <c r="P105" i="4" s="1"/>
  <c r="O103" i="4"/>
  <c r="P103" i="4" s="1"/>
  <c r="O106" i="4"/>
  <c r="P106" i="4" s="1"/>
  <c r="O104" i="4" l="1"/>
  <c r="P104" i="4" s="1"/>
  <c r="AG37" i="2" l="1"/>
  <c r="H106" i="3" l="1"/>
  <c r="H105" i="3"/>
  <c r="H104" i="3"/>
  <c r="H103" i="3"/>
  <c r="H1" i="3"/>
  <c r="H100" i="3"/>
  <c r="P100" i="3" s="1"/>
  <c r="H99" i="3"/>
  <c r="H95" i="3"/>
  <c r="H93" i="3"/>
  <c r="H92" i="3"/>
  <c r="H91" i="3"/>
  <c r="H90" i="3"/>
  <c r="H89" i="3"/>
  <c r="H88" i="3"/>
  <c r="H87" i="3"/>
  <c r="P87" i="3" s="1"/>
  <c r="H86" i="3"/>
  <c r="P86" i="3" s="1"/>
  <c r="H85" i="3"/>
  <c r="H84" i="3"/>
  <c r="P84" i="3" s="1"/>
  <c r="H83" i="3"/>
  <c r="P83" i="3" s="1"/>
  <c r="H82" i="3"/>
  <c r="H81" i="3"/>
  <c r="H80" i="3"/>
  <c r="H79" i="3"/>
  <c r="H78" i="3"/>
  <c r="H77" i="3"/>
  <c r="H76" i="3"/>
  <c r="H75" i="3"/>
  <c r="H74" i="3"/>
  <c r="H73" i="3"/>
  <c r="H71" i="3"/>
  <c r="H70" i="3"/>
  <c r="H69" i="3"/>
  <c r="H65" i="3"/>
  <c r="P65" i="3" s="1"/>
  <c r="H64" i="3"/>
  <c r="H63" i="3"/>
  <c r="H62" i="3"/>
  <c r="H61" i="3"/>
  <c r="P61" i="3" s="1"/>
  <c r="H60" i="3"/>
  <c r="P60" i="3" s="1"/>
  <c r="H59" i="3"/>
  <c r="P59" i="3" s="1"/>
  <c r="H58" i="3"/>
  <c r="H57" i="3"/>
  <c r="H56" i="3"/>
  <c r="H55" i="3"/>
  <c r="H41" i="3"/>
  <c r="P41" i="3" s="1"/>
  <c r="H40" i="3"/>
  <c r="P40" i="3" s="1"/>
  <c r="H39" i="3"/>
  <c r="H38" i="3"/>
  <c r="H35" i="3"/>
  <c r="H34" i="3"/>
  <c r="P34" i="3" s="1"/>
  <c r="H32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AG5" i="3" s="1"/>
  <c r="H4" i="3"/>
  <c r="H106" i="2"/>
  <c r="H105" i="2"/>
  <c r="H104" i="2"/>
  <c r="H103" i="2"/>
  <c r="H100" i="2"/>
  <c r="H99" i="2"/>
  <c r="H96" i="2"/>
  <c r="H95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1" i="2"/>
  <c r="H70" i="2"/>
  <c r="H69" i="2"/>
  <c r="H65" i="2"/>
  <c r="H64" i="2"/>
  <c r="H63" i="2"/>
  <c r="H62" i="2"/>
  <c r="H61" i="2"/>
  <c r="H60" i="2"/>
  <c r="H59" i="2"/>
  <c r="H58" i="2"/>
  <c r="H57" i="2"/>
  <c r="H56" i="2"/>
  <c r="H55" i="2"/>
  <c r="H52" i="2"/>
  <c r="H51" i="2"/>
  <c r="H50" i="2"/>
  <c r="H49" i="2"/>
  <c r="H48" i="2"/>
  <c r="H47" i="2"/>
  <c r="H46" i="2"/>
  <c r="H45" i="2"/>
  <c r="H44" i="2"/>
  <c r="H41" i="2"/>
  <c r="H40" i="2"/>
  <c r="H39" i="2"/>
  <c r="H38" i="2"/>
  <c r="H35" i="2"/>
  <c r="H34" i="2"/>
  <c r="H32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I106" i="1"/>
  <c r="I105" i="1"/>
  <c r="J105" i="1" s="1"/>
  <c r="K105" i="1" s="1"/>
  <c r="L105" i="1" s="1"/>
  <c r="I104" i="1"/>
  <c r="I103" i="1"/>
  <c r="J103" i="1" s="1"/>
  <c r="K103" i="1" s="1"/>
  <c r="V4" i="2" l="1"/>
  <c r="X4" i="2"/>
  <c r="Y4" i="2" s="1"/>
  <c r="Z4" i="2" s="1"/>
  <c r="AG4" i="2"/>
  <c r="X4" i="3"/>
  <c r="AG4" i="3"/>
  <c r="Z4" i="3"/>
  <c r="AA4" i="3" s="1"/>
  <c r="AB4" i="3" s="1"/>
  <c r="AG10" i="3"/>
  <c r="P10" i="3"/>
  <c r="AG79" i="3"/>
  <c r="P79" i="3"/>
  <c r="AG12" i="3"/>
  <c r="P12" i="3"/>
  <c r="AG24" i="3"/>
  <c r="P24" i="3"/>
  <c r="AG81" i="3"/>
  <c r="P81" i="3"/>
  <c r="AG93" i="3"/>
  <c r="P93" i="3"/>
  <c r="AG62" i="3"/>
  <c r="P62" i="3"/>
  <c r="AG80" i="3"/>
  <c r="P80" i="3"/>
  <c r="AG13" i="3"/>
  <c r="P13" i="3"/>
  <c r="AG25" i="3"/>
  <c r="P25" i="3"/>
  <c r="AG69" i="3"/>
  <c r="P69" i="3"/>
  <c r="AG82" i="3"/>
  <c r="P82" i="3"/>
  <c r="AG95" i="3"/>
  <c r="P95" i="3"/>
  <c r="AG78" i="3"/>
  <c r="P78" i="3"/>
  <c r="AG63" i="3"/>
  <c r="P63" i="3"/>
  <c r="AG14" i="3"/>
  <c r="P14" i="3"/>
  <c r="AG26" i="3"/>
  <c r="P26" i="3"/>
  <c r="AG55" i="3"/>
  <c r="P55" i="3"/>
  <c r="AG70" i="3"/>
  <c r="P70" i="3"/>
  <c r="AG99" i="3"/>
  <c r="P99" i="3"/>
  <c r="AG21" i="3"/>
  <c r="P21" i="3"/>
  <c r="AG38" i="3"/>
  <c r="P38" i="3"/>
  <c r="AG11" i="3"/>
  <c r="P11" i="3"/>
  <c r="AG15" i="3"/>
  <c r="P15" i="3"/>
  <c r="AG27" i="3"/>
  <c r="P27" i="3"/>
  <c r="AG56" i="3"/>
  <c r="P56" i="3"/>
  <c r="AG71" i="3"/>
  <c r="P71" i="3"/>
  <c r="AG92" i="3"/>
  <c r="P92" i="3"/>
  <c r="P4" i="3"/>
  <c r="AG16" i="3"/>
  <c r="P16" i="3"/>
  <c r="AG28" i="3"/>
  <c r="P28" i="3"/>
  <c r="AG57" i="3"/>
  <c r="P57" i="3"/>
  <c r="AG73" i="3"/>
  <c r="P73" i="3"/>
  <c r="AG85" i="3"/>
  <c r="P85" i="3"/>
  <c r="AG9" i="3"/>
  <c r="P9" i="3"/>
  <c r="AG64" i="3"/>
  <c r="P64" i="3"/>
  <c r="P5" i="3"/>
  <c r="AG17" i="3"/>
  <c r="P17" i="3"/>
  <c r="AG29" i="3"/>
  <c r="P29" i="3"/>
  <c r="AG58" i="3"/>
  <c r="P58" i="3"/>
  <c r="AG74" i="3"/>
  <c r="P74" i="3"/>
  <c r="I103" i="3"/>
  <c r="J103" i="3" s="1"/>
  <c r="K103" i="3" s="1"/>
  <c r="P103" i="3"/>
  <c r="AG35" i="3"/>
  <c r="P35" i="3"/>
  <c r="AG22" i="3"/>
  <c r="P22" i="3"/>
  <c r="AG23" i="3"/>
  <c r="P23" i="3"/>
  <c r="AG6" i="3"/>
  <c r="P6" i="3"/>
  <c r="AG18" i="3"/>
  <c r="P18" i="3"/>
  <c r="P30" i="3"/>
  <c r="AG75" i="3"/>
  <c r="P75" i="3"/>
  <c r="I104" i="3"/>
  <c r="J104" i="3" s="1"/>
  <c r="P104" i="3"/>
  <c r="AG90" i="3"/>
  <c r="P90" i="3"/>
  <c r="AG39" i="3"/>
  <c r="P39" i="3"/>
  <c r="AG7" i="3"/>
  <c r="P7" i="3"/>
  <c r="AG19" i="3"/>
  <c r="P19" i="3"/>
  <c r="AG32" i="3"/>
  <c r="P32" i="3"/>
  <c r="AG76" i="3"/>
  <c r="P76" i="3"/>
  <c r="AG88" i="3"/>
  <c r="P88" i="3"/>
  <c r="I105" i="3"/>
  <c r="J105" i="3" s="1"/>
  <c r="K105" i="3" s="1"/>
  <c r="L105" i="3" s="1"/>
  <c r="M105" i="3" s="1"/>
  <c r="P105" i="3"/>
  <c r="AG91" i="3"/>
  <c r="P91" i="3"/>
  <c r="AG8" i="3"/>
  <c r="P8" i="3"/>
  <c r="AG20" i="3"/>
  <c r="P20" i="3"/>
  <c r="AG77" i="3"/>
  <c r="P77" i="3"/>
  <c r="AG89" i="3"/>
  <c r="P89" i="3"/>
  <c r="I106" i="3"/>
  <c r="J106" i="3" s="1"/>
  <c r="K106" i="3" s="1"/>
  <c r="P106" i="3"/>
  <c r="AG23" i="2"/>
  <c r="AG39" i="2"/>
  <c r="AG55" i="2"/>
  <c r="AG70" i="2"/>
  <c r="AG99" i="2"/>
  <c r="AG86" i="2"/>
  <c r="I103" i="2"/>
  <c r="J103" i="2" s="1"/>
  <c r="K103" i="2" s="1"/>
  <c r="AG24" i="2"/>
  <c r="AG73" i="2"/>
  <c r="AG44" i="2"/>
  <c r="AG59" i="2"/>
  <c r="AG75" i="2"/>
  <c r="AG87" i="2"/>
  <c r="I104" i="2"/>
  <c r="J104" i="2" s="1"/>
  <c r="AG85" i="2"/>
  <c r="AG28" i="2"/>
  <c r="AG88" i="2"/>
  <c r="AG84" i="2"/>
  <c r="AG57" i="2"/>
  <c r="AG58" i="2"/>
  <c r="AG16" i="2"/>
  <c r="AG60" i="2"/>
  <c r="AG17" i="2"/>
  <c r="AG29" i="2"/>
  <c r="AG47" i="2"/>
  <c r="AG61" i="2"/>
  <c r="AG77" i="2"/>
  <c r="AG89" i="2"/>
  <c r="I106" i="2"/>
  <c r="AG11" i="2"/>
  <c r="AG13" i="2"/>
  <c r="AG45" i="2"/>
  <c r="AG62" i="2"/>
  <c r="AG78" i="2"/>
  <c r="AG90" i="2"/>
  <c r="AG56" i="2"/>
  <c r="AG14" i="2"/>
  <c r="AG15" i="2"/>
  <c r="AG19" i="2"/>
  <c r="AG63" i="2"/>
  <c r="AG79" i="2"/>
  <c r="AG91" i="2"/>
  <c r="AG71" i="2"/>
  <c r="AG27" i="2"/>
  <c r="AG34" i="2"/>
  <c r="AG80" i="2"/>
  <c r="AG92" i="2"/>
  <c r="AG40" i="2"/>
  <c r="AG25" i="2"/>
  <c r="AG26" i="2"/>
  <c r="AG46" i="2"/>
  <c r="AG6" i="2"/>
  <c r="AG48" i="2"/>
  <c r="AG32" i="2"/>
  <c r="AG20" i="2"/>
  <c r="AG64" i="2"/>
  <c r="AG9" i="2"/>
  <c r="AG21" i="2"/>
  <c r="AG35" i="2"/>
  <c r="AG51" i="2"/>
  <c r="AG65" i="2"/>
  <c r="AG81" i="2"/>
  <c r="AG93" i="2"/>
  <c r="AG12" i="2"/>
  <c r="AG41" i="2"/>
  <c r="AG74" i="2"/>
  <c r="AG76" i="2"/>
  <c r="AG5" i="2"/>
  <c r="AG18" i="2"/>
  <c r="AG7" i="2"/>
  <c r="AG49" i="2"/>
  <c r="AG8" i="2"/>
  <c r="AG50" i="2"/>
  <c r="AG10" i="2"/>
  <c r="AG22" i="2"/>
  <c r="AG38" i="2"/>
  <c r="AG52" i="2"/>
  <c r="AG69" i="2"/>
  <c r="AG82" i="2"/>
  <c r="AG95" i="2"/>
  <c r="AG30" i="2"/>
  <c r="AG83" i="2"/>
  <c r="X83" i="2"/>
  <c r="Y83" i="2" s="1"/>
  <c r="Z83" i="2" s="1"/>
  <c r="Z103" i="3"/>
  <c r="AA103" i="3" s="1"/>
  <c r="AB103" i="3" s="1"/>
  <c r="AG103" i="3"/>
  <c r="X104" i="3"/>
  <c r="AG104" i="3"/>
  <c r="Z104" i="3"/>
  <c r="AA104" i="3" s="1"/>
  <c r="AB104" i="3" s="1"/>
  <c r="X105" i="3"/>
  <c r="Z105" i="3"/>
  <c r="AA105" i="3" s="1"/>
  <c r="AB105" i="3" s="1"/>
  <c r="AG105" i="3"/>
  <c r="AG106" i="3"/>
  <c r="Z106" i="3"/>
  <c r="AA106" i="3" s="1"/>
  <c r="AB106" i="3" s="1"/>
  <c r="AG105" i="2"/>
  <c r="V105" i="2"/>
  <c r="X105" i="2"/>
  <c r="Y105" i="2" s="1"/>
  <c r="Z105" i="2" s="1"/>
  <c r="I105" i="2"/>
  <c r="J105" i="2" s="1"/>
  <c r="K105" i="2" s="1"/>
  <c r="L105" i="2" s="1"/>
  <c r="M105" i="2" s="1"/>
  <c r="AG106" i="2"/>
  <c r="X106" i="2"/>
  <c r="Y106" i="2" s="1"/>
  <c r="Z106" i="2" s="1"/>
  <c r="AG103" i="2"/>
  <c r="X103" i="2"/>
  <c r="Y103" i="2" s="1"/>
  <c r="Z103" i="2" s="1"/>
  <c r="AG104" i="2"/>
  <c r="V104" i="2"/>
  <c r="X104" i="2"/>
  <c r="Y104" i="2" s="1"/>
  <c r="Z104" i="2" s="1"/>
  <c r="H96" i="3"/>
  <c r="P96" i="3" s="1"/>
  <c r="X96" i="3"/>
  <c r="Y92" i="3" s="1"/>
  <c r="X100" i="3"/>
  <c r="Z100" i="3"/>
  <c r="AA100" i="3" s="1"/>
  <c r="AB100" i="3" s="1"/>
  <c r="V96" i="2"/>
  <c r="X96" i="2"/>
  <c r="Y96" i="2" s="1"/>
  <c r="Z96" i="2" s="1"/>
  <c r="V100" i="2"/>
  <c r="X100" i="2"/>
  <c r="Y100" i="2" s="1"/>
  <c r="Z100" i="2" s="1"/>
  <c r="AG100" i="3"/>
  <c r="AG100" i="2"/>
  <c r="AG96" i="2"/>
  <c r="J106" i="2"/>
  <c r="K106" i="2" s="1"/>
  <c r="L103" i="1"/>
  <c r="M103" i="1" s="1"/>
  <c r="N103" i="1" s="1"/>
  <c r="M105" i="1"/>
  <c r="N105" i="1" s="1"/>
  <c r="J106" i="1"/>
  <c r="K106" i="1" s="1"/>
  <c r="L106" i="1" s="1"/>
  <c r="J104" i="1"/>
  <c r="K104" i="1" s="1"/>
  <c r="H99" i="1"/>
  <c r="H95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1" i="1"/>
  <c r="H70" i="1"/>
  <c r="H69" i="1"/>
  <c r="H65" i="1"/>
  <c r="H64" i="1"/>
  <c r="H63" i="1"/>
  <c r="H62" i="1"/>
  <c r="H61" i="1"/>
  <c r="H60" i="1"/>
  <c r="H59" i="1"/>
  <c r="H57" i="1"/>
  <c r="H56" i="1"/>
  <c r="H55" i="1"/>
  <c r="H52" i="1"/>
  <c r="H51" i="1"/>
  <c r="H50" i="1"/>
  <c r="H49" i="1"/>
  <c r="H48" i="1"/>
  <c r="H47" i="1"/>
  <c r="H46" i="1"/>
  <c r="H45" i="1"/>
  <c r="H44" i="1"/>
  <c r="H41" i="1"/>
  <c r="H40" i="1"/>
  <c r="H39" i="1"/>
  <c r="H38" i="1"/>
  <c r="H35" i="1"/>
  <c r="H34" i="1"/>
  <c r="I34" i="4" s="1"/>
  <c r="H32" i="1"/>
  <c r="I32" i="4" s="1"/>
  <c r="H30" i="1"/>
  <c r="I30" i="4" s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AG34" i="3"/>
  <c r="K104" i="2" l="1"/>
  <c r="P63" i="1"/>
  <c r="P80" i="1"/>
  <c r="P20" i="1"/>
  <c r="P21" i="1"/>
  <c r="P51" i="1"/>
  <c r="P83" i="1"/>
  <c r="P39" i="1"/>
  <c r="P40" i="1"/>
  <c r="P25" i="1"/>
  <c r="P74" i="1"/>
  <c r="P14" i="1"/>
  <c r="P26" i="1"/>
  <c r="P44" i="1"/>
  <c r="P59" i="1"/>
  <c r="P75" i="1"/>
  <c r="P87" i="1"/>
  <c r="P6" i="1"/>
  <c r="P79" i="1"/>
  <c r="P7" i="1"/>
  <c r="P64" i="1"/>
  <c r="P50" i="1"/>
  <c r="P82" i="1"/>
  <c r="P38" i="1"/>
  <c r="P70" i="1"/>
  <c r="P23" i="1"/>
  <c r="P71" i="1"/>
  <c r="P12" i="1"/>
  <c r="P85" i="1"/>
  <c r="P41" i="1"/>
  <c r="P86" i="1"/>
  <c r="P15" i="1"/>
  <c r="P27" i="1"/>
  <c r="P45" i="1"/>
  <c r="P60" i="1"/>
  <c r="P76" i="1"/>
  <c r="P88" i="1"/>
  <c r="P18" i="1"/>
  <c r="P48" i="1"/>
  <c r="P49" i="1"/>
  <c r="P8" i="1"/>
  <c r="P81" i="1"/>
  <c r="P9" i="1"/>
  <c r="P95" i="1"/>
  <c r="P10" i="1"/>
  <c r="P52" i="1"/>
  <c r="P84" i="1"/>
  <c r="P73" i="1"/>
  <c r="P57" i="1"/>
  <c r="P16" i="1"/>
  <c r="P28" i="1"/>
  <c r="P46" i="1"/>
  <c r="P61" i="1"/>
  <c r="P77" i="1"/>
  <c r="P89" i="1"/>
  <c r="P91" i="1"/>
  <c r="P92" i="1"/>
  <c r="P93" i="1"/>
  <c r="P35" i="1"/>
  <c r="P69" i="1"/>
  <c r="P22" i="1"/>
  <c r="P99" i="1"/>
  <c r="P55" i="1"/>
  <c r="P24" i="1"/>
  <c r="P56" i="1"/>
  <c r="P13" i="1"/>
  <c r="P17" i="1"/>
  <c r="P29" i="1"/>
  <c r="P47" i="1"/>
  <c r="P62" i="1"/>
  <c r="P78" i="1"/>
  <c r="P90" i="1"/>
  <c r="P5" i="1"/>
  <c r="P19" i="1"/>
  <c r="P11" i="1"/>
  <c r="P4" i="1"/>
  <c r="P65" i="1"/>
  <c r="P34" i="1"/>
  <c r="P32" i="1"/>
  <c r="P30" i="1"/>
  <c r="K104" i="3"/>
  <c r="L104" i="3" s="1"/>
  <c r="M104" i="3" s="1"/>
  <c r="Y93" i="3"/>
  <c r="Y108" i="3"/>
  <c r="Z96" i="3"/>
  <c r="AA96" i="3" s="1"/>
  <c r="AB96" i="3" s="1"/>
  <c r="AG96" i="3"/>
  <c r="H58" i="1"/>
  <c r="H96" i="1"/>
  <c r="L103" i="3"/>
  <c r="M103" i="3" s="1"/>
  <c r="L106" i="3"/>
  <c r="M106" i="3" s="1"/>
  <c r="N105" i="3"/>
  <c r="O105" i="3" s="1"/>
  <c r="L106" i="2"/>
  <c r="M106" i="2" s="1"/>
  <c r="L103" i="2"/>
  <c r="M103" i="2" s="1"/>
  <c r="N105" i="2"/>
  <c r="O105" i="2" s="1"/>
  <c r="L104" i="2"/>
  <c r="M104" i="2" s="1"/>
  <c r="L104" i="1"/>
  <c r="M104" i="1" s="1"/>
  <c r="N104" i="1" s="1"/>
  <c r="M106" i="1"/>
  <c r="N106" i="1" s="1"/>
  <c r="O105" i="1"/>
  <c r="O103" i="1"/>
  <c r="P96" i="1" l="1"/>
  <c r="P58" i="1"/>
  <c r="N104" i="3"/>
  <c r="O104" i="3" s="1"/>
  <c r="N103" i="3"/>
  <c r="O103" i="3" s="1"/>
  <c r="N106" i="3"/>
  <c r="O106" i="3" s="1"/>
  <c r="N104" i="2"/>
  <c r="O104" i="2" s="1"/>
  <c r="N103" i="2"/>
  <c r="O103" i="2" s="1"/>
  <c r="N106" i="2"/>
  <c r="O106" i="2" s="1"/>
  <c r="O106" i="1"/>
  <c r="O104" i="1"/>
  <c r="I61" i="4"/>
  <c r="I60" i="4"/>
  <c r="I59" i="4"/>
  <c r="I54" i="4"/>
  <c r="I53" i="4"/>
  <c r="I52" i="4"/>
  <c r="I51" i="4"/>
  <c r="I50" i="4"/>
  <c r="I49" i="4"/>
  <c r="I48" i="4"/>
  <c r="I47" i="4"/>
  <c r="I46" i="4"/>
  <c r="I45" i="4"/>
  <c r="I44" i="4"/>
  <c r="I41" i="4"/>
  <c r="I40" i="4"/>
  <c r="AG30" i="3" l="1"/>
  <c r="AG84" i="3"/>
  <c r="AG83" i="3"/>
  <c r="AG87" i="3"/>
  <c r="AG86" i="3"/>
  <c r="AG65" i="3"/>
  <c r="AG61" i="3"/>
  <c r="AG60" i="3"/>
  <c r="AG59" i="3"/>
  <c r="AG41" i="3"/>
  <c r="AG40" i="3"/>
  <c r="I49" i="1"/>
  <c r="J100" i="6"/>
  <c r="J96" i="6"/>
  <c r="J93" i="6"/>
  <c r="J92" i="6"/>
  <c r="J91" i="6"/>
  <c r="J90" i="6"/>
  <c r="K90" i="6" s="1"/>
  <c r="L90" i="6" s="1"/>
  <c r="J89" i="6"/>
  <c r="K89" i="6" s="1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K73" i="6" s="1"/>
  <c r="L73" i="6" s="1"/>
  <c r="J71" i="6"/>
  <c r="K71" i="6" s="1"/>
  <c r="L71" i="6" s="1"/>
  <c r="J70" i="6"/>
  <c r="J69" i="6"/>
  <c r="J65" i="6"/>
  <c r="K65" i="6" s="1"/>
  <c r="L65" i="6" s="1"/>
  <c r="J64" i="6"/>
  <c r="E64" i="6"/>
  <c r="J63" i="6"/>
  <c r="E63" i="6"/>
  <c r="J62" i="6"/>
  <c r="J61" i="6"/>
  <c r="J60" i="6"/>
  <c r="J59" i="6"/>
  <c r="J58" i="6"/>
  <c r="J57" i="6"/>
  <c r="J56" i="6"/>
  <c r="J55" i="6"/>
  <c r="K55" i="6" s="1"/>
  <c r="L55" i="6" s="1"/>
  <c r="J54" i="6"/>
  <c r="K54" i="6" s="1"/>
  <c r="L54" i="6" s="1"/>
  <c r="J53" i="6"/>
  <c r="J52" i="6"/>
  <c r="J51" i="6"/>
  <c r="J50" i="6"/>
  <c r="J49" i="6"/>
  <c r="J48" i="6"/>
  <c r="J47" i="6"/>
  <c r="K47" i="6" s="1"/>
  <c r="J46" i="6"/>
  <c r="K46" i="6" s="1"/>
  <c r="J45" i="6"/>
  <c r="J44" i="6"/>
  <c r="J41" i="6"/>
  <c r="J40" i="6"/>
  <c r="J39" i="6"/>
  <c r="J38" i="6"/>
  <c r="J37" i="6"/>
  <c r="J35" i="6"/>
  <c r="J34" i="6"/>
  <c r="K34" i="6" s="1"/>
  <c r="L34" i="6" s="1"/>
  <c r="J32" i="6"/>
  <c r="J30" i="6"/>
  <c r="J29" i="6"/>
  <c r="J28" i="6"/>
  <c r="E28" i="6"/>
  <c r="J27" i="6"/>
  <c r="J26" i="6"/>
  <c r="J25" i="6"/>
  <c r="J24" i="6"/>
  <c r="E24" i="6"/>
  <c r="J23" i="6"/>
  <c r="J22" i="6"/>
  <c r="J21" i="6"/>
  <c r="K21" i="6" s="1"/>
  <c r="L21" i="6" s="1"/>
  <c r="J20" i="6"/>
  <c r="J19" i="6"/>
  <c r="K19" i="6" s="1"/>
  <c r="J18" i="6"/>
  <c r="J17" i="6"/>
  <c r="J16" i="6"/>
  <c r="J15" i="6"/>
  <c r="J14" i="6"/>
  <c r="K14" i="6" s="1"/>
  <c r="L14" i="6" s="1"/>
  <c r="J13" i="6"/>
  <c r="K13" i="6" s="1"/>
  <c r="L13" i="6" s="1"/>
  <c r="J12" i="6"/>
  <c r="J11" i="6"/>
  <c r="K11" i="6" s="1"/>
  <c r="J10" i="6"/>
  <c r="J9" i="6"/>
  <c r="J8" i="6"/>
  <c r="J7" i="6"/>
  <c r="K7" i="6" s="1"/>
  <c r="L7" i="6" s="1"/>
  <c r="J6" i="6"/>
  <c r="J5" i="6"/>
  <c r="K5" i="6" s="1"/>
  <c r="L5" i="6" s="1"/>
  <c r="J4" i="6"/>
  <c r="J100" i="5"/>
  <c r="K100" i="5" s="1"/>
  <c r="L100" i="5" s="1"/>
  <c r="J96" i="5"/>
  <c r="J93" i="5"/>
  <c r="J92" i="5"/>
  <c r="K92" i="5" s="1"/>
  <c r="L92" i="5" s="1"/>
  <c r="J91" i="5"/>
  <c r="J90" i="5"/>
  <c r="J89" i="5"/>
  <c r="J87" i="5"/>
  <c r="K87" i="5" s="1"/>
  <c r="J86" i="5"/>
  <c r="K86" i="5" s="1"/>
  <c r="L86" i="5" s="1"/>
  <c r="J85" i="5"/>
  <c r="J84" i="5"/>
  <c r="K84" i="5" s="1"/>
  <c r="L84" i="5" s="1"/>
  <c r="J83" i="5"/>
  <c r="J82" i="5"/>
  <c r="J81" i="5"/>
  <c r="J80" i="5"/>
  <c r="K80" i="5" s="1"/>
  <c r="L80" i="5" s="1"/>
  <c r="J79" i="5"/>
  <c r="K79" i="5" s="1"/>
  <c r="J78" i="5"/>
  <c r="J77" i="5"/>
  <c r="K77" i="5" s="1"/>
  <c r="J76" i="5"/>
  <c r="J75" i="5"/>
  <c r="J74" i="5"/>
  <c r="J73" i="5"/>
  <c r="J71" i="5"/>
  <c r="J70" i="5"/>
  <c r="K70" i="5" s="1"/>
  <c r="L70" i="5" s="1"/>
  <c r="J69" i="5"/>
  <c r="K69" i="5" s="1"/>
  <c r="J65" i="5"/>
  <c r="J64" i="5"/>
  <c r="K64" i="5" s="1"/>
  <c r="L64" i="5" s="1"/>
  <c r="E64" i="5"/>
  <c r="J63" i="5"/>
  <c r="K63" i="5" s="1"/>
  <c r="L63" i="5" s="1"/>
  <c r="E63" i="5"/>
  <c r="J62" i="5"/>
  <c r="J61" i="5"/>
  <c r="J60" i="5"/>
  <c r="K60" i="5" s="1"/>
  <c r="L60" i="5" s="1"/>
  <c r="J59" i="5"/>
  <c r="J58" i="5"/>
  <c r="J57" i="5"/>
  <c r="J56" i="5"/>
  <c r="J55" i="5"/>
  <c r="J52" i="5"/>
  <c r="K52" i="5" s="1"/>
  <c r="J51" i="5"/>
  <c r="J50" i="5"/>
  <c r="K50" i="5" s="1"/>
  <c r="L50" i="5" s="1"/>
  <c r="J49" i="5"/>
  <c r="J48" i="5"/>
  <c r="J47" i="5"/>
  <c r="J46" i="5"/>
  <c r="K46" i="5" s="1"/>
  <c r="L46" i="5" s="1"/>
  <c r="J45" i="5"/>
  <c r="K45" i="5" s="1"/>
  <c r="J44" i="5"/>
  <c r="K44" i="5" s="1"/>
  <c r="J41" i="5"/>
  <c r="K41" i="5" s="1"/>
  <c r="J40" i="5"/>
  <c r="J39" i="5"/>
  <c r="J38" i="5"/>
  <c r="J37" i="5"/>
  <c r="K37" i="5" s="1"/>
  <c r="L37" i="5" s="1"/>
  <c r="J35" i="5"/>
  <c r="J34" i="5"/>
  <c r="J32" i="5"/>
  <c r="K32" i="5" s="1"/>
  <c r="L32" i="5" s="1"/>
  <c r="J30" i="5"/>
  <c r="K30" i="5" s="1"/>
  <c r="L30" i="5" s="1"/>
  <c r="J29" i="5"/>
  <c r="J28" i="5"/>
  <c r="K28" i="5" s="1"/>
  <c r="L28" i="5" s="1"/>
  <c r="E28" i="5"/>
  <c r="J27" i="5"/>
  <c r="K27" i="5" s="1"/>
  <c r="L27" i="5" s="1"/>
  <c r="J26" i="5"/>
  <c r="K26" i="5" s="1"/>
  <c r="J25" i="5"/>
  <c r="K25" i="5" s="1"/>
  <c r="J24" i="5"/>
  <c r="E24" i="5"/>
  <c r="J23" i="5"/>
  <c r="J22" i="5"/>
  <c r="J21" i="5"/>
  <c r="K21" i="5" s="1"/>
  <c r="L21" i="5" s="1"/>
  <c r="M21" i="5" s="1"/>
  <c r="J20" i="5"/>
  <c r="J19" i="5"/>
  <c r="K19" i="5" s="1"/>
  <c r="L19" i="5" s="1"/>
  <c r="J18" i="5"/>
  <c r="K18" i="5" s="1"/>
  <c r="L18" i="5" s="1"/>
  <c r="M18" i="5" s="1"/>
  <c r="J17" i="5"/>
  <c r="K17" i="5" s="1"/>
  <c r="J16" i="5"/>
  <c r="K16" i="5" s="1"/>
  <c r="J15" i="5"/>
  <c r="J14" i="5"/>
  <c r="J13" i="5"/>
  <c r="J12" i="5"/>
  <c r="J11" i="5"/>
  <c r="K11" i="5" s="1"/>
  <c r="J10" i="5"/>
  <c r="K10" i="5" s="1"/>
  <c r="J9" i="5"/>
  <c r="K9" i="5" s="1"/>
  <c r="J8" i="5"/>
  <c r="K8" i="5" s="1"/>
  <c r="J7" i="5"/>
  <c r="J6" i="5"/>
  <c r="J5" i="5"/>
  <c r="J4" i="5"/>
  <c r="J100" i="4"/>
  <c r="K100" i="4" s="1"/>
  <c r="L100" i="4" s="1"/>
  <c r="J96" i="4"/>
  <c r="K96" i="4" s="1"/>
  <c r="J93" i="4"/>
  <c r="K93" i="4" s="1"/>
  <c r="J92" i="4"/>
  <c r="K92" i="4" s="1"/>
  <c r="J91" i="4"/>
  <c r="J90" i="4"/>
  <c r="J89" i="4"/>
  <c r="J87" i="4"/>
  <c r="J86" i="4"/>
  <c r="K86" i="4" s="1"/>
  <c r="J85" i="4"/>
  <c r="J84" i="4"/>
  <c r="K84" i="4" s="1"/>
  <c r="L84" i="4" s="1"/>
  <c r="J83" i="4"/>
  <c r="K83" i="4" s="1"/>
  <c r="J82" i="4"/>
  <c r="J81" i="4"/>
  <c r="K81" i="4" s="1"/>
  <c r="J80" i="4"/>
  <c r="K80" i="4" s="1"/>
  <c r="J79" i="4"/>
  <c r="J78" i="4"/>
  <c r="J77" i="4"/>
  <c r="K77" i="4" s="1"/>
  <c r="J76" i="4"/>
  <c r="J75" i="4"/>
  <c r="J74" i="4"/>
  <c r="J73" i="4"/>
  <c r="J71" i="4"/>
  <c r="J70" i="4"/>
  <c r="J69" i="4"/>
  <c r="K69" i="4" s="1"/>
  <c r="L69" i="4" s="1"/>
  <c r="M69" i="4" s="1"/>
  <c r="J65" i="4"/>
  <c r="J64" i="4"/>
  <c r="K64" i="4" s="1"/>
  <c r="E64" i="4"/>
  <c r="J63" i="4"/>
  <c r="K63" i="4" s="1"/>
  <c r="E63" i="4"/>
  <c r="J62" i="4"/>
  <c r="J61" i="4"/>
  <c r="J60" i="4"/>
  <c r="K60" i="4" s="1"/>
  <c r="J59" i="4"/>
  <c r="J58" i="4"/>
  <c r="J57" i="4"/>
  <c r="J56" i="4"/>
  <c r="J55" i="4"/>
  <c r="J54" i="4"/>
  <c r="K54" i="4" s="1"/>
  <c r="L54" i="4" s="1"/>
  <c r="M54" i="4" s="1"/>
  <c r="J53" i="4"/>
  <c r="K53" i="4" s="1"/>
  <c r="L53" i="4" s="1"/>
  <c r="M53" i="4" s="1"/>
  <c r="J52" i="4"/>
  <c r="K52" i="4" s="1"/>
  <c r="L52" i="4" s="1"/>
  <c r="J51" i="4"/>
  <c r="K51" i="4" s="1"/>
  <c r="J50" i="4"/>
  <c r="K50" i="4" s="1"/>
  <c r="J49" i="4"/>
  <c r="J48" i="4"/>
  <c r="J47" i="4"/>
  <c r="J46" i="4"/>
  <c r="K46" i="4" s="1"/>
  <c r="L46" i="4" s="1"/>
  <c r="M46" i="4" s="1"/>
  <c r="J45" i="4"/>
  <c r="J44" i="4"/>
  <c r="K44" i="4" s="1"/>
  <c r="L44" i="4" s="1"/>
  <c r="J41" i="4"/>
  <c r="J40" i="4"/>
  <c r="K40" i="4" s="1"/>
  <c r="J39" i="4"/>
  <c r="J38" i="4"/>
  <c r="K38" i="4" s="1"/>
  <c r="J35" i="4"/>
  <c r="J34" i="4"/>
  <c r="J32" i="4"/>
  <c r="K32" i="4" s="1"/>
  <c r="L32" i="4" s="1"/>
  <c r="J30" i="4"/>
  <c r="J29" i="4"/>
  <c r="J28" i="4"/>
  <c r="E28" i="4"/>
  <c r="J27" i="4"/>
  <c r="J26" i="4"/>
  <c r="K26" i="4" s="1"/>
  <c r="L26" i="4" s="1"/>
  <c r="J25" i="4"/>
  <c r="K25" i="4" s="1"/>
  <c r="L25" i="4" s="1"/>
  <c r="J24" i="4"/>
  <c r="E24" i="4"/>
  <c r="J23" i="4"/>
  <c r="J22" i="4"/>
  <c r="J21" i="4"/>
  <c r="J20" i="4"/>
  <c r="J19" i="4"/>
  <c r="K19" i="4" s="1"/>
  <c r="L19" i="4" s="1"/>
  <c r="J18" i="4"/>
  <c r="K18" i="4" s="1"/>
  <c r="J17" i="4"/>
  <c r="K17" i="4" s="1"/>
  <c r="L17" i="4" s="1"/>
  <c r="J16" i="4"/>
  <c r="K16" i="4" s="1"/>
  <c r="L16" i="4" s="1"/>
  <c r="J15" i="4"/>
  <c r="J14" i="4"/>
  <c r="J13" i="4"/>
  <c r="J12" i="4"/>
  <c r="J11" i="4"/>
  <c r="K11" i="4" s="1"/>
  <c r="L11" i="4" s="1"/>
  <c r="J10" i="4"/>
  <c r="J9" i="4"/>
  <c r="K9" i="4" s="1"/>
  <c r="L9" i="4" s="1"/>
  <c r="J8" i="4"/>
  <c r="K8" i="4" s="1"/>
  <c r="L8" i="4" s="1"/>
  <c r="J7" i="4"/>
  <c r="J6" i="4"/>
  <c r="J5" i="4"/>
  <c r="J4" i="4"/>
  <c r="I100" i="3"/>
  <c r="J100" i="3" s="1"/>
  <c r="I96" i="3"/>
  <c r="I93" i="3"/>
  <c r="I92" i="3"/>
  <c r="J92" i="3" s="1"/>
  <c r="I91" i="3"/>
  <c r="I90" i="3"/>
  <c r="I89" i="3"/>
  <c r="I85" i="3"/>
  <c r="I84" i="3"/>
  <c r="J84" i="3" s="1"/>
  <c r="K84" i="3" s="1"/>
  <c r="I83" i="3"/>
  <c r="J83" i="3" s="1"/>
  <c r="K83" i="3" s="1"/>
  <c r="I82" i="3"/>
  <c r="I81" i="3"/>
  <c r="J81" i="3" s="1"/>
  <c r="I80" i="3"/>
  <c r="J80" i="3" s="1"/>
  <c r="K80" i="3" s="1"/>
  <c r="I79" i="3"/>
  <c r="I78" i="3"/>
  <c r="I77" i="3"/>
  <c r="J77" i="3" s="1"/>
  <c r="I76" i="3"/>
  <c r="I75" i="3"/>
  <c r="I74" i="3"/>
  <c r="I73" i="3"/>
  <c r="I71" i="3"/>
  <c r="I70" i="3"/>
  <c r="J70" i="3" s="1"/>
  <c r="I69" i="3"/>
  <c r="J69" i="3" s="1"/>
  <c r="K69" i="3" s="1"/>
  <c r="I65" i="3"/>
  <c r="I64" i="3"/>
  <c r="D64" i="3"/>
  <c r="I63" i="3"/>
  <c r="D63" i="3"/>
  <c r="I62" i="3"/>
  <c r="I59" i="3"/>
  <c r="J59" i="3" s="1"/>
  <c r="I58" i="3"/>
  <c r="I57" i="3"/>
  <c r="I56" i="3"/>
  <c r="I55" i="3"/>
  <c r="I41" i="3"/>
  <c r="I40" i="3"/>
  <c r="J40" i="3" s="1"/>
  <c r="K40" i="3" s="1"/>
  <c r="I39" i="3"/>
  <c r="I38" i="3"/>
  <c r="J38" i="3" s="1"/>
  <c r="I35" i="3"/>
  <c r="I34" i="3"/>
  <c r="I32" i="3"/>
  <c r="J32" i="3" s="1"/>
  <c r="I30" i="3"/>
  <c r="J30" i="3" s="1"/>
  <c r="I29" i="3"/>
  <c r="I28" i="3"/>
  <c r="D28" i="3"/>
  <c r="I27" i="3"/>
  <c r="J27" i="3" s="1"/>
  <c r="I26" i="3"/>
  <c r="J26" i="3" s="1"/>
  <c r="K26" i="3" s="1"/>
  <c r="I25" i="3"/>
  <c r="J25" i="3" s="1"/>
  <c r="K25" i="3" s="1"/>
  <c r="L25" i="3" s="1"/>
  <c r="M25" i="3" s="1"/>
  <c r="N25" i="3" s="1"/>
  <c r="O25" i="3" s="1"/>
  <c r="D25" i="3"/>
  <c r="I24" i="3"/>
  <c r="D24" i="3"/>
  <c r="I23" i="3"/>
  <c r="J23" i="3" s="1"/>
  <c r="K23" i="3" s="1"/>
  <c r="I22" i="3"/>
  <c r="I21" i="3"/>
  <c r="I20" i="3"/>
  <c r="I19" i="3"/>
  <c r="I18" i="3"/>
  <c r="I17" i="3"/>
  <c r="J17" i="3" s="1"/>
  <c r="I16" i="3"/>
  <c r="I15" i="3"/>
  <c r="I14" i="3"/>
  <c r="I13" i="3"/>
  <c r="J13" i="3" s="1"/>
  <c r="I12" i="3"/>
  <c r="I11" i="3"/>
  <c r="I10" i="3"/>
  <c r="J10" i="3" s="1"/>
  <c r="I9" i="3"/>
  <c r="I8" i="3"/>
  <c r="J8" i="3" s="1"/>
  <c r="K8" i="3" s="1"/>
  <c r="I7" i="3"/>
  <c r="I6" i="3"/>
  <c r="I5" i="3"/>
  <c r="J5" i="3" s="1"/>
  <c r="I4" i="3"/>
  <c r="I100" i="2"/>
  <c r="J100" i="2" s="1"/>
  <c r="K100" i="2" s="1"/>
  <c r="L100" i="2" s="1"/>
  <c r="I96" i="2"/>
  <c r="J96" i="2" s="1"/>
  <c r="I93" i="2"/>
  <c r="J93" i="2" s="1"/>
  <c r="I92" i="2"/>
  <c r="J92" i="2" s="1"/>
  <c r="I91" i="2"/>
  <c r="J91" i="2" s="1"/>
  <c r="I90" i="2"/>
  <c r="I89" i="2"/>
  <c r="J89" i="2" s="1"/>
  <c r="I87" i="2"/>
  <c r="I86" i="2"/>
  <c r="I85" i="2"/>
  <c r="I82" i="2"/>
  <c r="I81" i="2"/>
  <c r="J81" i="2" s="1"/>
  <c r="I80" i="2"/>
  <c r="J80" i="2" s="1"/>
  <c r="I79" i="2"/>
  <c r="I78" i="2"/>
  <c r="I77" i="2"/>
  <c r="J77" i="2" s="1"/>
  <c r="K77" i="2" s="1"/>
  <c r="I76" i="2"/>
  <c r="I75" i="2"/>
  <c r="I74" i="2"/>
  <c r="J74" i="2" s="1"/>
  <c r="K74" i="2" s="1"/>
  <c r="I73" i="2"/>
  <c r="J73" i="2" s="1"/>
  <c r="K73" i="2" s="1"/>
  <c r="L73" i="2" s="1"/>
  <c r="I71" i="2"/>
  <c r="I70" i="2"/>
  <c r="J70" i="2" s="1"/>
  <c r="I69" i="2"/>
  <c r="J69" i="2" s="1"/>
  <c r="K69" i="2" s="1"/>
  <c r="L69" i="2" s="1"/>
  <c r="I64" i="2"/>
  <c r="J64" i="2" s="1"/>
  <c r="D64" i="2"/>
  <c r="I63" i="2"/>
  <c r="J63" i="2" s="1"/>
  <c r="D63" i="2"/>
  <c r="I62" i="2"/>
  <c r="I60" i="2"/>
  <c r="J60" i="2" s="1"/>
  <c r="I59" i="2"/>
  <c r="J59" i="2" s="1"/>
  <c r="K59" i="2" s="1"/>
  <c r="L59" i="2" s="1"/>
  <c r="I58" i="2"/>
  <c r="J58" i="2" s="1"/>
  <c r="I57" i="2"/>
  <c r="I56" i="2"/>
  <c r="J56" i="2" s="1"/>
  <c r="K56" i="2" s="1"/>
  <c r="L56" i="2" s="1"/>
  <c r="I55" i="2"/>
  <c r="J55" i="2" s="1"/>
  <c r="I52" i="2"/>
  <c r="J52" i="2" s="1"/>
  <c r="K52" i="2" s="1"/>
  <c r="I51" i="2"/>
  <c r="I50" i="2"/>
  <c r="J50" i="2" s="1"/>
  <c r="I49" i="2"/>
  <c r="I48" i="2"/>
  <c r="J48" i="2" s="1"/>
  <c r="I47" i="2"/>
  <c r="I40" i="2"/>
  <c r="J40" i="2" s="1"/>
  <c r="I39" i="2"/>
  <c r="I38" i="2"/>
  <c r="J38" i="2" s="1"/>
  <c r="I35" i="2"/>
  <c r="I34" i="2"/>
  <c r="I32" i="2"/>
  <c r="J32" i="2" s="1"/>
  <c r="K32" i="2" s="1"/>
  <c r="L32" i="2" s="1"/>
  <c r="I30" i="2"/>
  <c r="I29" i="2"/>
  <c r="I28" i="2"/>
  <c r="D28" i="2"/>
  <c r="I27" i="2"/>
  <c r="I26" i="2"/>
  <c r="J26" i="2" s="1"/>
  <c r="K26" i="2" s="1"/>
  <c r="L26" i="2" s="1"/>
  <c r="I25" i="2"/>
  <c r="J25" i="2" s="1"/>
  <c r="K25" i="2" s="1"/>
  <c r="D25" i="2"/>
  <c r="I24" i="2"/>
  <c r="J24" i="2" s="1"/>
  <c r="K24" i="2" s="1"/>
  <c r="L24" i="2" s="1"/>
  <c r="D24" i="2"/>
  <c r="I23" i="2"/>
  <c r="J23" i="2" s="1"/>
  <c r="K23" i="2" s="1"/>
  <c r="L23" i="2" s="1"/>
  <c r="I22" i="2"/>
  <c r="J22" i="2" s="1"/>
  <c r="I21" i="2"/>
  <c r="I20" i="2"/>
  <c r="I19" i="2"/>
  <c r="I18" i="2"/>
  <c r="J18" i="2" s="1"/>
  <c r="K18" i="2" s="1"/>
  <c r="L18" i="2" s="1"/>
  <c r="I17" i="2"/>
  <c r="J17" i="2" s="1"/>
  <c r="I16" i="2"/>
  <c r="J16" i="2" s="1"/>
  <c r="K16" i="2" s="1"/>
  <c r="L16" i="2" s="1"/>
  <c r="I15" i="2"/>
  <c r="J15" i="2" s="1"/>
  <c r="K15" i="2" s="1"/>
  <c r="L15" i="2" s="1"/>
  <c r="I14" i="2"/>
  <c r="J14" i="2" s="1"/>
  <c r="I13" i="2"/>
  <c r="J13" i="2" s="1"/>
  <c r="I12" i="2"/>
  <c r="I11" i="2"/>
  <c r="I10" i="2"/>
  <c r="J10" i="2" s="1"/>
  <c r="K10" i="2" s="1"/>
  <c r="L10" i="2" s="1"/>
  <c r="I9" i="2"/>
  <c r="I8" i="2"/>
  <c r="J8" i="2" s="1"/>
  <c r="K8" i="2" s="1"/>
  <c r="L8" i="2" s="1"/>
  <c r="I7" i="2"/>
  <c r="J7" i="2" s="1"/>
  <c r="K7" i="2" s="1"/>
  <c r="L7" i="2" s="1"/>
  <c r="I6" i="2"/>
  <c r="I5" i="2"/>
  <c r="J5" i="2" s="1"/>
  <c r="I4" i="2"/>
  <c r="I96" i="1"/>
  <c r="J96" i="1" s="1"/>
  <c r="I93" i="1"/>
  <c r="J93" i="1" s="1"/>
  <c r="I92" i="1"/>
  <c r="J92" i="1" s="1"/>
  <c r="I91" i="1"/>
  <c r="I90" i="1"/>
  <c r="J90" i="1" s="1"/>
  <c r="K90" i="1" s="1"/>
  <c r="I89" i="1"/>
  <c r="J89" i="1" s="1"/>
  <c r="I87" i="1"/>
  <c r="J87" i="1" s="1"/>
  <c r="K87" i="1" s="1"/>
  <c r="I86" i="1"/>
  <c r="I85" i="1"/>
  <c r="I82" i="1"/>
  <c r="I81" i="1"/>
  <c r="J81" i="1" s="1"/>
  <c r="I80" i="1"/>
  <c r="J80" i="1" s="1"/>
  <c r="K80" i="1" s="1"/>
  <c r="I79" i="1"/>
  <c r="J79" i="1" s="1"/>
  <c r="K79" i="1" s="1"/>
  <c r="I78" i="1"/>
  <c r="I77" i="1"/>
  <c r="I76" i="1"/>
  <c r="I75" i="1"/>
  <c r="I74" i="1"/>
  <c r="I73" i="1"/>
  <c r="I71" i="1"/>
  <c r="I70" i="1"/>
  <c r="J70" i="1" s="1"/>
  <c r="K70" i="1" s="1"/>
  <c r="I69" i="1"/>
  <c r="I64" i="1"/>
  <c r="J64" i="1" s="1"/>
  <c r="D64" i="1"/>
  <c r="I63" i="1"/>
  <c r="J63" i="1" s="1"/>
  <c r="D63" i="1"/>
  <c r="I62" i="1"/>
  <c r="I58" i="1"/>
  <c r="I57" i="1"/>
  <c r="I56" i="1"/>
  <c r="I55" i="1"/>
  <c r="I52" i="1"/>
  <c r="I51" i="1"/>
  <c r="J51" i="1" s="1"/>
  <c r="I50" i="1"/>
  <c r="J50" i="1" s="1"/>
  <c r="I40" i="1"/>
  <c r="J40" i="1" s="1"/>
  <c r="I39" i="1"/>
  <c r="I38" i="1"/>
  <c r="J38" i="1" s="1"/>
  <c r="I37" i="1"/>
  <c r="J37" i="1" s="1"/>
  <c r="I35" i="1"/>
  <c r="I34" i="1"/>
  <c r="I32" i="1"/>
  <c r="I30" i="1"/>
  <c r="J30" i="1" s="1"/>
  <c r="K30" i="1" s="1"/>
  <c r="I29" i="1"/>
  <c r="I28" i="1"/>
  <c r="J28" i="1" s="1"/>
  <c r="K28" i="1" s="1"/>
  <c r="D28" i="1"/>
  <c r="I27" i="1"/>
  <c r="J27" i="1" s="1"/>
  <c r="K27" i="1" s="1"/>
  <c r="I26" i="1"/>
  <c r="J26" i="1" s="1"/>
  <c r="K26" i="1" s="1"/>
  <c r="I25" i="1"/>
  <c r="J25" i="1" s="1"/>
  <c r="K25" i="1" s="1"/>
  <c r="L25" i="1" s="1"/>
  <c r="M25" i="1" s="1"/>
  <c r="N25" i="1" s="1"/>
  <c r="O25" i="1" s="1"/>
  <c r="D25" i="1"/>
  <c r="I24" i="1"/>
  <c r="D24" i="1"/>
  <c r="I23" i="1"/>
  <c r="J23" i="1" s="1"/>
  <c r="I22" i="1"/>
  <c r="J22" i="1" s="1"/>
  <c r="I21" i="1"/>
  <c r="I20" i="1"/>
  <c r="J20" i="1" s="1"/>
  <c r="I19" i="1"/>
  <c r="J19" i="1" s="1"/>
  <c r="I18" i="1"/>
  <c r="I17" i="1"/>
  <c r="J17" i="1" s="1"/>
  <c r="K17" i="1" s="1"/>
  <c r="I16" i="1"/>
  <c r="J16" i="1" s="1"/>
  <c r="K16" i="1" s="1"/>
  <c r="I15" i="1"/>
  <c r="I14" i="1"/>
  <c r="J14" i="1" s="1"/>
  <c r="I13" i="1"/>
  <c r="I12" i="1"/>
  <c r="J12" i="1" s="1"/>
  <c r="K12" i="1" s="1"/>
  <c r="I11" i="1"/>
  <c r="J11" i="1" s="1"/>
  <c r="I10" i="1"/>
  <c r="I9" i="1"/>
  <c r="J9" i="1" s="1"/>
  <c r="K9" i="1" s="1"/>
  <c r="I8" i="1"/>
  <c r="J8" i="1" s="1"/>
  <c r="K8" i="1" s="1"/>
  <c r="I7" i="1"/>
  <c r="I6" i="1"/>
  <c r="J6" i="1" s="1"/>
  <c r="I5" i="1"/>
  <c r="I4" i="1"/>
  <c r="L25" i="2" l="1"/>
  <c r="M25" i="2" s="1"/>
  <c r="N25" i="2" s="1"/>
  <c r="O25" i="2" s="1"/>
  <c r="I61" i="3"/>
  <c r="J61" i="3" s="1"/>
  <c r="K61" i="3" s="1"/>
  <c r="I60" i="3"/>
  <c r="I87" i="3"/>
  <c r="J87" i="3" s="1"/>
  <c r="K87" i="3" s="1"/>
  <c r="L87" i="3" s="1"/>
  <c r="M87" i="3" s="1"/>
  <c r="I86" i="3"/>
  <c r="J86" i="3" s="1"/>
  <c r="K86" i="3" s="1"/>
  <c r="L86" i="3" s="1"/>
  <c r="M86" i="3" s="1"/>
  <c r="I61" i="2"/>
  <c r="J61" i="2" s="1"/>
  <c r="K61" i="2" s="1"/>
  <c r="L61" i="2" s="1"/>
  <c r="I65" i="2"/>
  <c r="J65" i="2" s="1"/>
  <c r="I37" i="2"/>
  <c r="J37" i="2" s="1"/>
  <c r="K37" i="2" s="1"/>
  <c r="L37" i="2" s="1"/>
  <c r="M37" i="2" s="1"/>
  <c r="I83" i="2"/>
  <c r="J83" i="2" s="1"/>
  <c r="K83" i="2" s="1"/>
  <c r="L83" i="2" s="1"/>
  <c r="M83" i="2" s="1"/>
  <c r="I84" i="2"/>
  <c r="J84" i="2" s="1"/>
  <c r="K84" i="2" s="1"/>
  <c r="I41" i="2"/>
  <c r="J41" i="2" s="1"/>
  <c r="K41" i="2" s="1"/>
  <c r="L41" i="2" s="1"/>
  <c r="M41" i="2" s="1"/>
  <c r="I44" i="2"/>
  <c r="J44" i="2" s="1"/>
  <c r="K44" i="2" s="1"/>
  <c r="L44" i="2" s="1"/>
  <c r="I45" i="2"/>
  <c r="J45" i="2" s="1"/>
  <c r="K45" i="2" s="1"/>
  <c r="L45" i="2" s="1"/>
  <c r="M45" i="2" s="1"/>
  <c r="I46" i="2"/>
  <c r="J46" i="2" s="1"/>
  <c r="K46" i="2" s="1"/>
  <c r="L46" i="2" s="1"/>
  <c r="M46" i="2" s="1"/>
  <c r="J74" i="1"/>
  <c r="K74" i="1" s="1"/>
  <c r="L74" i="1" s="1"/>
  <c r="M74" i="1" s="1"/>
  <c r="I45" i="1"/>
  <c r="J45" i="1" s="1"/>
  <c r="K45" i="1" s="1"/>
  <c r="I47" i="1"/>
  <c r="J47" i="1" s="1"/>
  <c r="I59" i="1"/>
  <c r="J59" i="1" s="1"/>
  <c r="K59" i="1" s="1"/>
  <c r="I83" i="1"/>
  <c r="J83" i="1" s="1"/>
  <c r="K83" i="1" s="1"/>
  <c r="L83" i="1" s="1"/>
  <c r="M83" i="1" s="1"/>
  <c r="I60" i="1"/>
  <c r="J60" i="1" s="1"/>
  <c r="I84" i="1"/>
  <c r="J84" i="1" s="1"/>
  <c r="K84" i="1" s="1"/>
  <c r="I41" i="1"/>
  <c r="J41" i="1" s="1"/>
  <c r="K41" i="1" s="1"/>
  <c r="I44" i="1"/>
  <c r="J44" i="1" s="1"/>
  <c r="K44" i="1" s="1"/>
  <c r="I46" i="1"/>
  <c r="J46" i="1" s="1"/>
  <c r="K46" i="1" s="1"/>
  <c r="I65" i="1"/>
  <c r="J65" i="1" s="1"/>
  <c r="K65" i="1" s="1"/>
  <c r="I48" i="1"/>
  <c r="J48" i="1" s="1"/>
  <c r="K48" i="1" s="1"/>
  <c r="L48" i="1" s="1"/>
  <c r="M48" i="1" s="1"/>
  <c r="I61" i="1"/>
  <c r="J61" i="1" s="1"/>
  <c r="K61" i="1" s="1"/>
  <c r="L61" i="1" s="1"/>
  <c r="M61" i="1" s="1"/>
  <c r="K4" i="6"/>
  <c r="L4" i="6" s="1"/>
  <c r="K12" i="6"/>
  <c r="L12" i="6" s="1"/>
  <c r="K20" i="6"/>
  <c r="L20" i="6" s="1"/>
  <c r="M20" i="6" s="1"/>
  <c r="N20" i="6" s="1"/>
  <c r="K32" i="6"/>
  <c r="L32" i="6" s="1"/>
  <c r="M32" i="6" s="1"/>
  <c r="N32" i="6" s="1"/>
  <c r="K6" i="6"/>
  <c r="L6" i="6" s="1"/>
  <c r="M6" i="6" s="1"/>
  <c r="N6" i="6" s="1"/>
  <c r="O6" i="6" s="1"/>
  <c r="P6" i="6" s="1"/>
  <c r="L47" i="6"/>
  <c r="M47" i="6" s="1"/>
  <c r="N47" i="6" s="1"/>
  <c r="L11" i="6"/>
  <c r="M11" i="6" s="1"/>
  <c r="N11" i="6" s="1"/>
  <c r="L19" i="6"/>
  <c r="M19" i="6" s="1"/>
  <c r="N19" i="6" s="1"/>
  <c r="K51" i="6"/>
  <c r="L51" i="6" s="1"/>
  <c r="M51" i="6" s="1"/>
  <c r="N51" i="6" s="1"/>
  <c r="K61" i="6"/>
  <c r="L61" i="6" s="1"/>
  <c r="L87" i="5"/>
  <c r="M87" i="5" s="1"/>
  <c r="N87" i="5" s="1"/>
  <c r="L26" i="5"/>
  <c r="M26" i="5" s="1"/>
  <c r="N26" i="5" s="1"/>
  <c r="K35" i="5"/>
  <c r="L35" i="5" s="1"/>
  <c r="L25" i="5"/>
  <c r="M25" i="5" s="1"/>
  <c r="N25" i="5" s="1"/>
  <c r="L11" i="5"/>
  <c r="M11" i="5" s="1"/>
  <c r="N11" i="5" s="1"/>
  <c r="L44" i="5"/>
  <c r="M44" i="5" s="1"/>
  <c r="N44" i="5" s="1"/>
  <c r="K59" i="5"/>
  <c r="L59" i="5" s="1"/>
  <c r="M59" i="5" s="1"/>
  <c r="N59" i="5" s="1"/>
  <c r="N21" i="5"/>
  <c r="O21" i="5" s="1"/>
  <c r="L77" i="5"/>
  <c r="L10" i="5"/>
  <c r="M10" i="5" s="1"/>
  <c r="N10" i="5" s="1"/>
  <c r="L41" i="5"/>
  <c r="M41" i="5" s="1"/>
  <c r="N41" i="5" s="1"/>
  <c r="L8" i="5"/>
  <c r="M8" i="5" s="1"/>
  <c r="N8" i="5" s="1"/>
  <c r="L79" i="5"/>
  <c r="M79" i="5" s="1"/>
  <c r="N79" i="5" s="1"/>
  <c r="L16" i="5"/>
  <c r="M16" i="5" s="1"/>
  <c r="N16" i="5" s="1"/>
  <c r="L92" i="4"/>
  <c r="M92" i="4" s="1"/>
  <c r="N92" i="4" s="1"/>
  <c r="K20" i="4"/>
  <c r="L20" i="4" s="1"/>
  <c r="M20" i="4" s="1"/>
  <c r="N20" i="4" s="1"/>
  <c r="N46" i="4"/>
  <c r="O46" i="4" s="1"/>
  <c r="L96" i="4"/>
  <c r="M96" i="4" s="1"/>
  <c r="L40" i="4"/>
  <c r="K59" i="4"/>
  <c r="L59" i="4" s="1"/>
  <c r="M59" i="4" s="1"/>
  <c r="N59" i="4" s="1"/>
  <c r="K65" i="4"/>
  <c r="L65" i="4" s="1"/>
  <c r="M65" i="4" s="1"/>
  <c r="L86" i="4"/>
  <c r="M86" i="4" s="1"/>
  <c r="L83" i="4"/>
  <c r="M83" i="4" s="1"/>
  <c r="L63" i="4"/>
  <c r="M63" i="4" s="1"/>
  <c r="N63" i="4" s="1"/>
  <c r="L51" i="4"/>
  <c r="M51" i="4" s="1"/>
  <c r="K79" i="4"/>
  <c r="L79" i="4" s="1"/>
  <c r="M79" i="4" s="1"/>
  <c r="N79" i="4" s="1"/>
  <c r="K27" i="4"/>
  <c r="L27" i="4" s="1"/>
  <c r="M27" i="4" s="1"/>
  <c r="N27" i="4" s="1"/>
  <c r="K30" i="4"/>
  <c r="L30" i="4" s="1"/>
  <c r="K34" i="4"/>
  <c r="L34" i="4" s="1"/>
  <c r="M34" i="4" s="1"/>
  <c r="N34" i="4" s="1"/>
  <c r="K45" i="4"/>
  <c r="L45" i="4" s="1"/>
  <c r="M45" i="4" s="1"/>
  <c r="K10" i="4"/>
  <c r="L10" i="4" s="1"/>
  <c r="M10" i="4" s="1"/>
  <c r="N10" i="4" s="1"/>
  <c r="K28" i="4"/>
  <c r="L28" i="4" s="1"/>
  <c r="M28" i="4" s="1"/>
  <c r="N28" i="4" s="1"/>
  <c r="K49" i="4"/>
  <c r="L49" i="4" s="1"/>
  <c r="K41" i="4"/>
  <c r="L41" i="4" s="1"/>
  <c r="M41" i="4" s="1"/>
  <c r="N41" i="4" s="1"/>
  <c r="L18" i="4"/>
  <c r="M18" i="4" s="1"/>
  <c r="K61" i="4"/>
  <c r="L61" i="4" s="1"/>
  <c r="M61" i="4" s="1"/>
  <c r="L81" i="4"/>
  <c r="M81" i="4" s="1"/>
  <c r="N81" i="4" s="1"/>
  <c r="K37" i="1"/>
  <c r="L37" i="1" s="1"/>
  <c r="L26" i="3"/>
  <c r="M26" i="3" s="1"/>
  <c r="N26" i="3" s="1"/>
  <c r="O26" i="3" s="1"/>
  <c r="J19" i="3"/>
  <c r="K19" i="3" s="1"/>
  <c r="J34" i="3"/>
  <c r="K34" i="3" s="1"/>
  <c r="J60" i="3"/>
  <c r="K60" i="3" s="1"/>
  <c r="J55" i="3"/>
  <c r="K55" i="3" s="1"/>
  <c r="K70" i="3"/>
  <c r="J16" i="3"/>
  <c r="K16" i="3" s="1"/>
  <c r="L16" i="3" s="1"/>
  <c r="M16" i="3" s="1"/>
  <c r="N16" i="3" s="1"/>
  <c r="O16" i="3" s="1"/>
  <c r="J96" i="3"/>
  <c r="K96" i="3" s="1"/>
  <c r="J7" i="3"/>
  <c r="K7" i="3" s="1"/>
  <c r="L7" i="3" s="1"/>
  <c r="M7" i="3" s="1"/>
  <c r="J71" i="3"/>
  <c r="K71" i="3" s="1"/>
  <c r="L71" i="3" s="1"/>
  <c r="M71" i="3" s="1"/>
  <c r="J64" i="3"/>
  <c r="K64" i="3" s="1"/>
  <c r="L64" i="3" s="1"/>
  <c r="M64" i="3" s="1"/>
  <c r="J73" i="3"/>
  <c r="K73" i="3" s="1"/>
  <c r="L73" i="3" s="1"/>
  <c r="M73" i="3" s="1"/>
  <c r="N73" i="3" s="1"/>
  <c r="O73" i="3" s="1"/>
  <c r="J18" i="3"/>
  <c r="K18" i="3" s="1"/>
  <c r="L18" i="3" s="1"/>
  <c r="M18" i="3" s="1"/>
  <c r="N18" i="3" s="1"/>
  <c r="O18" i="3" s="1"/>
  <c r="J90" i="3"/>
  <c r="K90" i="3" s="1"/>
  <c r="L90" i="3" s="1"/>
  <c r="M90" i="3" s="1"/>
  <c r="N90" i="3" s="1"/>
  <c r="O90" i="3" s="1"/>
  <c r="K100" i="3"/>
  <c r="L100" i="3" s="1"/>
  <c r="M100" i="3" s="1"/>
  <c r="J15" i="3"/>
  <c r="K15" i="3" s="1"/>
  <c r="L15" i="3" s="1"/>
  <c r="J11" i="3"/>
  <c r="K11" i="3" s="1"/>
  <c r="K81" i="3"/>
  <c r="L81" i="3" s="1"/>
  <c r="M81" i="3" s="1"/>
  <c r="K17" i="3"/>
  <c r="L17" i="3" s="1"/>
  <c r="M17" i="3" s="1"/>
  <c r="K30" i="3"/>
  <c r="J89" i="3"/>
  <c r="K89" i="3" s="1"/>
  <c r="L89" i="3" s="1"/>
  <c r="M89" i="3" s="1"/>
  <c r="J65" i="3"/>
  <c r="K65" i="3" s="1"/>
  <c r="L65" i="3" s="1"/>
  <c r="M65" i="3" s="1"/>
  <c r="J86" i="2"/>
  <c r="K86" i="2" s="1"/>
  <c r="K38" i="2"/>
  <c r="L38" i="2" s="1"/>
  <c r="M38" i="2" s="1"/>
  <c r="J9" i="2"/>
  <c r="K9" i="2" s="1"/>
  <c r="J28" i="2"/>
  <c r="K28" i="2" s="1"/>
  <c r="L28" i="2" s="1"/>
  <c r="J79" i="2"/>
  <c r="K79" i="2" s="1"/>
  <c r="K60" i="2"/>
  <c r="L60" i="2" s="1"/>
  <c r="K92" i="2"/>
  <c r="K81" i="2"/>
  <c r="L81" i="2" s="1"/>
  <c r="M81" i="2" s="1"/>
  <c r="K40" i="2"/>
  <c r="L40" i="2" s="1"/>
  <c r="M40" i="2" s="1"/>
  <c r="J49" i="2"/>
  <c r="K49" i="2" s="1"/>
  <c r="K14" i="2"/>
  <c r="K22" i="2"/>
  <c r="J27" i="2"/>
  <c r="K27" i="2" s="1"/>
  <c r="L27" i="2" s="1"/>
  <c r="K17" i="2"/>
  <c r="J21" i="2"/>
  <c r="K21" i="2" s="1"/>
  <c r="L21" i="2" s="1"/>
  <c r="K70" i="2"/>
  <c r="L70" i="2" s="1"/>
  <c r="K96" i="2"/>
  <c r="K13" i="2"/>
  <c r="L13" i="2" s="1"/>
  <c r="J30" i="2"/>
  <c r="K30" i="2" s="1"/>
  <c r="K58" i="2"/>
  <c r="L58" i="2" s="1"/>
  <c r="J90" i="2"/>
  <c r="K90" i="2" s="1"/>
  <c r="L90" i="2" s="1"/>
  <c r="M90" i="2" s="1"/>
  <c r="J5" i="1"/>
  <c r="K5" i="1" s="1"/>
  <c r="L5" i="1" s="1"/>
  <c r="M5" i="1" s="1"/>
  <c r="J58" i="1"/>
  <c r="K58" i="1" s="1"/>
  <c r="L79" i="1"/>
  <c r="M79" i="1" s="1"/>
  <c r="J76" i="1"/>
  <c r="K76" i="1" s="1"/>
  <c r="L76" i="1" s="1"/>
  <c r="M76" i="1" s="1"/>
  <c r="J13" i="1"/>
  <c r="K13" i="1" s="1"/>
  <c r="J91" i="1"/>
  <c r="K91" i="1" s="1"/>
  <c r="L91" i="1" s="1"/>
  <c r="M91" i="1" s="1"/>
  <c r="N91" i="1" s="1"/>
  <c r="O91" i="1" s="1"/>
  <c r="K20" i="1"/>
  <c r="L20" i="1" s="1"/>
  <c r="M20" i="1" s="1"/>
  <c r="J35" i="1"/>
  <c r="K35" i="1" s="1"/>
  <c r="K19" i="1"/>
  <c r="L19" i="1" s="1"/>
  <c r="M19" i="1" s="1"/>
  <c r="J77" i="1"/>
  <c r="K77" i="1" s="1"/>
  <c r="J49" i="1"/>
  <c r="K49" i="1" s="1"/>
  <c r="J34" i="1"/>
  <c r="K34" i="1" s="1"/>
  <c r="L34" i="1" s="1"/>
  <c r="J56" i="1"/>
  <c r="K56" i="1" s="1"/>
  <c r="L56" i="1" s="1"/>
  <c r="M56" i="1" s="1"/>
  <c r="J21" i="1"/>
  <c r="K21" i="1" s="1"/>
  <c r="J73" i="1"/>
  <c r="K73" i="1" s="1"/>
  <c r="L73" i="1" s="1"/>
  <c r="M73" i="1" s="1"/>
  <c r="J4" i="1"/>
  <c r="K4" i="1" s="1"/>
  <c r="L4" i="1" s="1"/>
  <c r="M4" i="1" s="1"/>
  <c r="J15" i="1"/>
  <c r="K15" i="1" s="1"/>
  <c r="K11" i="1"/>
  <c r="L11" i="1" s="1"/>
  <c r="M11" i="1" s="1"/>
  <c r="K51" i="1"/>
  <c r="L51" i="1" s="1"/>
  <c r="M51" i="1" s="1"/>
  <c r="J24" i="1"/>
  <c r="K24" i="1" s="1"/>
  <c r="J7" i="1"/>
  <c r="K7" i="1" s="1"/>
  <c r="L7" i="1" s="1"/>
  <c r="M7" i="1" s="1"/>
  <c r="J55" i="1"/>
  <c r="K55" i="1" s="1"/>
  <c r="L55" i="1" s="1"/>
  <c r="M55" i="1" s="1"/>
  <c r="K81" i="1"/>
  <c r="K23" i="1"/>
  <c r="L23" i="1" s="1"/>
  <c r="M23" i="1" s="1"/>
  <c r="K89" i="1"/>
  <c r="L89" i="1" s="1"/>
  <c r="M89" i="1" s="1"/>
  <c r="M25" i="4"/>
  <c r="N25" i="4" s="1"/>
  <c r="M8" i="4"/>
  <c r="N8" i="4" s="1"/>
  <c r="M26" i="4"/>
  <c r="N26" i="4" s="1"/>
  <c r="M16" i="4"/>
  <c r="N16" i="4" s="1"/>
  <c r="M19" i="5"/>
  <c r="N19" i="5" s="1"/>
  <c r="M32" i="4"/>
  <c r="N32" i="4" s="1"/>
  <c r="M17" i="4"/>
  <c r="N17" i="4" s="1"/>
  <c r="M52" i="4"/>
  <c r="N52" i="4" s="1"/>
  <c r="M11" i="4"/>
  <c r="N11" i="4" s="1"/>
  <c r="M100" i="4"/>
  <c r="N100" i="4" s="1"/>
  <c r="M44" i="4"/>
  <c r="N44" i="4" s="1"/>
  <c r="M46" i="5"/>
  <c r="N46" i="5" s="1"/>
  <c r="M9" i="4"/>
  <c r="N9" i="4" s="1"/>
  <c r="M19" i="4"/>
  <c r="N19" i="4" s="1"/>
  <c r="M84" i="4"/>
  <c r="N84" i="4" s="1"/>
  <c r="M32" i="5"/>
  <c r="N32" i="5" s="1"/>
  <c r="K74" i="4"/>
  <c r="L74" i="4" s="1"/>
  <c r="M80" i="5"/>
  <c r="N80" i="5" s="1"/>
  <c r="M86" i="5"/>
  <c r="N86" i="5" s="1"/>
  <c r="M90" i="6"/>
  <c r="N90" i="6" s="1"/>
  <c r="K48" i="4"/>
  <c r="L48" i="4" s="1"/>
  <c r="L64" i="4"/>
  <c r="N18" i="5"/>
  <c r="K24" i="5"/>
  <c r="L24" i="5" s="1"/>
  <c r="M27" i="5"/>
  <c r="N27" i="5" s="1"/>
  <c r="M30" i="5"/>
  <c r="N30" i="5" s="1"/>
  <c r="K40" i="5"/>
  <c r="L40" i="5" s="1"/>
  <c r="M34" i="6"/>
  <c r="N34" i="6" s="1"/>
  <c r="M55" i="6"/>
  <c r="N55" i="6" s="1"/>
  <c r="K7" i="4"/>
  <c r="L7" i="4" s="1"/>
  <c r="K15" i="4"/>
  <c r="L15" i="4" s="1"/>
  <c r="K23" i="4"/>
  <c r="L23" i="4" s="1"/>
  <c r="K24" i="4"/>
  <c r="L24" i="4" s="1"/>
  <c r="N54" i="4"/>
  <c r="K76" i="4"/>
  <c r="L76" i="4" s="1"/>
  <c r="L80" i="4"/>
  <c r="L9" i="5"/>
  <c r="K91" i="4"/>
  <c r="L91" i="4" s="1"/>
  <c r="K6" i="4"/>
  <c r="L6" i="4" s="1"/>
  <c r="K14" i="4"/>
  <c r="L14" i="4" s="1"/>
  <c r="K22" i="4"/>
  <c r="L22" i="4" s="1"/>
  <c r="M37" i="5"/>
  <c r="N37" i="5" s="1"/>
  <c r="M50" i="5"/>
  <c r="N50" i="5" s="1"/>
  <c r="M70" i="5"/>
  <c r="N70" i="5" s="1"/>
  <c r="M7" i="6"/>
  <c r="N7" i="6" s="1"/>
  <c r="K15" i="5"/>
  <c r="L15" i="5" s="1"/>
  <c r="K5" i="4"/>
  <c r="L5" i="4" s="1"/>
  <c r="K13" i="4"/>
  <c r="L13" i="4" s="1"/>
  <c r="K21" i="4"/>
  <c r="L21" i="4" s="1"/>
  <c r="K35" i="4"/>
  <c r="L35" i="4" s="1"/>
  <c r="L77" i="4"/>
  <c r="M28" i="5"/>
  <c r="N28" i="5" s="1"/>
  <c r="K87" i="6"/>
  <c r="L87" i="6" s="1"/>
  <c r="K58" i="4"/>
  <c r="L58" i="4" s="1"/>
  <c r="K4" i="4"/>
  <c r="L4" i="4" s="1"/>
  <c r="K12" i="4"/>
  <c r="L12" i="4" s="1"/>
  <c r="K7" i="5"/>
  <c r="L7" i="5" s="1"/>
  <c r="K23" i="5"/>
  <c r="L23" i="5" s="1"/>
  <c r="K38" i="5"/>
  <c r="L38" i="5" s="1"/>
  <c r="M63" i="5"/>
  <c r="N63" i="5" s="1"/>
  <c r="M73" i="6"/>
  <c r="N73" i="6" s="1"/>
  <c r="L38" i="4"/>
  <c r="L50" i="4"/>
  <c r="N53" i="4"/>
  <c r="K56" i="4"/>
  <c r="L56" i="4" s="1"/>
  <c r="L60" i="4"/>
  <c r="N69" i="4"/>
  <c r="L93" i="4"/>
  <c r="L17" i="5"/>
  <c r="L45" i="5"/>
  <c r="M14" i="6"/>
  <c r="N14" i="6" s="1"/>
  <c r="M100" i="5"/>
  <c r="N100" i="5" s="1"/>
  <c r="K27" i="6"/>
  <c r="L27" i="6" s="1"/>
  <c r="K70" i="6"/>
  <c r="L70" i="6" s="1"/>
  <c r="K51" i="5"/>
  <c r="L51" i="5" s="1"/>
  <c r="K81" i="5"/>
  <c r="L81" i="5" s="1"/>
  <c r="K28" i="6"/>
  <c r="L28" i="6" s="1"/>
  <c r="M71" i="6"/>
  <c r="N71" i="6" s="1"/>
  <c r="L89" i="6"/>
  <c r="K47" i="4"/>
  <c r="L47" i="4" s="1"/>
  <c r="K55" i="4"/>
  <c r="L55" i="4" s="1"/>
  <c r="K73" i="4"/>
  <c r="L73" i="4" s="1"/>
  <c r="K90" i="4"/>
  <c r="L90" i="4" s="1"/>
  <c r="K6" i="5"/>
  <c r="L6" i="5" s="1"/>
  <c r="K14" i="5"/>
  <c r="L14" i="5" s="1"/>
  <c r="K22" i="5"/>
  <c r="L22" i="5" s="1"/>
  <c r="K49" i="5"/>
  <c r="L49" i="5" s="1"/>
  <c r="M64" i="5"/>
  <c r="N64" i="5" s="1"/>
  <c r="M92" i="5"/>
  <c r="N92" i="5" s="1"/>
  <c r="K71" i="4"/>
  <c r="L71" i="4" s="1"/>
  <c r="K89" i="4"/>
  <c r="L89" i="4" s="1"/>
  <c r="K5" i="5"/>
  <c r="L5" i="5" s="1"/>
  <c r="K13" i="5"/>
  <c r="L13" i="5" s="1"/>
  <c r="K48" i="5"/>
  <c r="L48" i="5" s="1"/>
  <c r="L52" i="5"/>
  <c r="K65" i="5"/>
  <c r="L65" i="5" s="1"/>
  <c r="K83" i="5"/>
  <c r="L83" i="5" s="1"/>
  <c r="K30" i="6"/>
  <c r="L30" i="6" s="1"/>
  <c r="K53" i="6"/>
  <c r="L53" i="6" s="1"/>
  <c r="K70" i="4"/>
  <c r="L70" i="4" s="1"/>
  <c r="K87" i="4"/>
  <c r="L87" i="4" s="1"/>
  <c r="K4" i="5"/>
  <c r="L4" i="5" s="1"/>
  <c r="K12" i="5"/>
  <c r="L12" i="5" s="1"/>
  <c r="K20" i="5"/>
  <c r="L20" i="5" s="1"/>
  <c r="K34" i="5"/>
  <c r="L34" i="5" s="1"/>
  <c r="K47" i="5"/>
  <c r="L47" i="5" s="1"/>
  <c r="M60" i="5"/>
  <c r="N60" i="5" s="1"/>
  <c r="L69" i="5"/>
  <c r="M5" i="6"/>
  <c r="N5" i="6" s="1"/>
  <c r="M13" i="6"/>
  <c r="N13" i="6" s="1"/>
  <c r="M21" i="6"/>
  <c r="N21" i="6" s="1"/>
  <c r="K45" i="6"/>
  <c r="L45" i="6" s="1"/>
  <c r="M65" i="6"/>
  <c r="N65" i="6" s="1"/>
  <c r="K61" i="5"/>
  <c r="L61" i="5" s="1"/>
  <c r="M84" i="5"/>
  <c r="N84" i="5" s="1"/>
  <c r="K96" i="5"/>
  <c r="L96" i="5" s="1"/>
  <c r="K10" i="6"/>
  <c r="L10" i="6" s="1"/>
  <c r="K18" i="6"/>
  <c r="L18" i="6" s="1"/>
  <c r="L46" i="6"/>
  <c r="M54" i="6"/>
  <c r="N54" i="6" s="1"/>
  <c r="K93" i="5"/>
  <c r="L93" i="5" s="1"/>
  <c r="K9" i="6"/>
  <c r="L9" i="6" s="1"/>
  <c r="K17" i="6"/>
  <c r="L17" i="6" s="1"/>
  <c r="K26" i="6"/>
  <c r="L26" i="6" s="1"/>
  <c r="K44" i="6"/>
  <c r="L44" i="6" s="1"/>
  <c r="K52" i="6"/>
  <c r="L52" i="6" s="1"/>
  <c r="K69" i="6"/>
  <c r="L69" i="6" s="1"/>
  <c r="K84" i="6"/>
  <c r="L84" i="6" s="1"/>
  <c r="K86" i="6"/>
  <c r="L86" i="6" s="1"/>
  <c r="K100" i="6"/>
  <c r="L100" i="6" s="1"/>
  <c r="K8" i="6"/>
  <c r="L8" i="6" s="1"/>
  <c r="K16" i="6"/>
  <c r="L16" i="6" s="1"/>
  <c r="K25" i="6"/>
  <c r="L25" i="6" s="1"/>
  <c r="K41" i="6"/>
  <c r="L41" i="6" s="1"/>
  <c r="K81" i="6"/>
  <c r="L81" i="6" s="1"/>
  <c r="K83" i="6"/>
  <c r="L83" i="6" s="1"/>
  <c r="K96" i="6"/>
  <c r="L96" i="6" s="1"/>
  <c r="K56" i="5"/>
  <c r="L56" i="5" s="1"/>
  <c r="K58" i="5"/>
  <c r="L58" i="5" s="1"/>
  <c r="K74" i="5"/>
  <c r="L74" i="5" s="1"/>
  <c r="K76" i="5"/>
  <c r="L76" i="5" s="1"/>
  <c r="K91" i="5"/>
  <c r="L91" i="5" s="1"/>
  <c r="K15" i="6"/>
  <c r="L15" i="6" s="1"/>
  <c r="K23" i="6"/>
  <c r="L23" i="6" s="1"/>
  <c r="K24" i="6"/>
  <c r="L24" i="6" s="1"/>
  <c r="K38" i="6"/>
  <c r="L38" i="6" s="1"/>
  <c r="K40" i="6"/>
  <c r="L40" i="6" s="1"/>
  <c r="K50" i="6"/>
  <c r="L50" i="6" s="1"/>
  <c r="K60" i="6"/>
  <c r="L60" i="6" s="1"/>
  <c r="K63" i="6"/>
  <c r="L63" i="6" s="1"/>
  <c r="K64" i="6"/>
  <c r="L64" i="6" s="1"/>
  <c r="K80" i="6"/>
  <c r="L80" i="6" s="1"/>
  <c r="K93" i="6"/>
  <c r="L93" i="6" s="1"/>
  <c r="K55" i="5"/>
  <c r="L55" i="5" s="1"/>
  <c r="K73" i="5"/>
  <c r="L73" i="5" s="1"/>
  <c r="K90" i="5"/>
  <c r="L90" i="5" s="1"/>
  <c r="K22" i="6"/>
  <c r="L22" i="6" s="1"/>
  <c r="K37" i="6"/>
  <c r="L37" i="6" s="1"/>
  <c r="K49" i="6"/>
  <c r="L49" i="6" s="1"/>
  <c r="K59" i="6"/>
  <c r="L59" i="6" s="1"/>
  <c r="K77" i="6"/>
  <c r="L77" i="6" s="1"/>
  <c r="K79" i="6"/>
  <c r="L79" i="6" s="1"/>
  <c r="K92" i="6"/>
  <c r="L92" i="6" s="1"/>
  <c r="K71" i="5"/>
  <c r="L71" i="5" s="1"/>
  <c r="K89" i="5"/>
  <c r="L89" i="5" s="1"/>
  <c r="K35" i="6"/>
  <c r="L35" i="6" s="1"/>
  <c r="K48" i="6"/>
  <c r="L48" i="6" s="1"/>
  <c r="K56" i="6"/>
  <c r="L56" i="6" s="1"/>
  <c r="K58" i="6"/>
  <c r="L58" i="6" s="1"/>
  <c r="K74" i="6"/>
  <c r="L74" i="6" s="1"/>
  <c r="K76" i="6"/>
  <c r="L76" i="6" s="1"/>
  <c r="K91" i="6"/>
  <c r="L91" i="6" s="1"/>
  <c r="L90" i="1"/>
  <c r="M90" i="1" s="1"/>
  <c r="L28" i="1"/>
  <c r="M28" i="1" s="1"/>
  <c r="L26" i="1"/>
  <c r="M26" i="1" s="1"/>
  <c r="L30" i="1"/>
  <c r="M30" i="1" s="1"/>
  <c r="N30" i="1" s="1"/>
  <c r="L80" i="1"/>
  <c r="M80" i="1" s="1"/>
  <c r="L70" i="1"/>
  <c r="M70" i="1" s="1"/>
  <c r="L8" i="1"/>
  <c r="M8" i="1" s="1"/>
  <c r="L16" i="1"/>
  <c r="M16" i="1" s="1"/>
  <c r="N16" i="1" s="1"/>
  <c r="L27" i="1"/>
  <c r="M27" i="1" s="1"/>
  <c r="L45" i="1"/>
  <c r="M45" i="1" s="1"/>
  <c r="L87" i="1"/>
  <c r="M87" i="1" s="1"/>
  <c r="M7" i="2"/>
  <c r="L9" i="1"/>
  <c r="M9" i="1" s="1"/>
  <c r="L17" i="1"/>
  <c r="M17" i="1" s="1"/>
  <c r="M8" i="2"/>
  <c r="L77" i="2"/>
  <c r="M77" i="2" s="1"/>
  <c r="L8" i="3"/>
  <c r="M8" i="3" s="1"/>
  <c r="K6" i="1"/>
  <c r="K14" i="1"/>
  <c r="K22" i="1"/>
  <c r="K38" i="1"/>
  <c r="L38" i="1" s="1"/>
  <c r="K40" i="1"/>
  <c r="K50" i="1"/>
  <c r="K63" i="1"/>
  <c r="K64" i="1"/>
  <c r="K93" i="1"/>
  <c r="K48" i="2"/>
  <c r="M59" i="2"/>
  <c r="M18" i="2"/>
  <c r="J71" i="2"/>
  <c r="K71" i="2" s="1"/>
  <c r="L52" i="2"/>
  <c r="M52" i="2" s="1"/>
  <c r="M56" i="2"/>
  <c r="J28" i="3"/>
  <c r="K28" i="3" s="1"/>
  <c r="K38" i="3"/>
  <c r="L69" i="3"/>
  <c r="M69" i="3" s="1"/>
  <c r="J20" i="3"/>
  <c r="K20" i="3" s="1"/>
  <c r="J10" i="1"/>
  <c r="K10" i="1" s="1"/>
  <c r="L12" i="1"/>
  <c r="M12" i="1" s="1"/>
  <c r="J18" i="1"/>
  <c r="K18" i="1" s="1"/>
  <c r="J32" i="1"/>
  <c r="K32" i="1" s="1"/>
  <c r="L32" i="1" s="1"/>
  <c r="J71" i="1"/>
  <c r="K71" i="1" s="1"/>
  <c r="K92" i="1"/>
  <c r="M15" i="2"/>
  <c r="M23" i="2"/>
  <c r="K91" i="2"/>
  <c r="J9" i="3"/>
  <c r="K9" i="3" s="1"/>
  <c r="L80" i="3"/>
  <c r="M80" i="3" s="1"/>
  <c r="J22" i="3"/>
  <c r="K22" i="3" s="1"/>
  <c r="L40" i="3"/>
  <c r="M40" i="3" s="1"/>
  <c r="K5" i="2"/>
  <c r="L5" i="2" s="1"/>
  <c r="M32" i="2"/>
  <c r="J52" i="1"/>
  <c r="K52" i="1" s="1"/>
  <c r="J69" i="1"/>
  <c r="K69" i="1" s="1"/>
  <c r="J86" i="1"/>
  <c r="K86" i="1" s="1"/>
  <c r="J12" i="2"/>
  <c r="K12" i="2" s="1"/>
  <c r="L12" i="2" s="1"/>
  <c r="J20" i="2"/>
  <c r="K20" i="2" s="1"/>
  <c r="L20" i="2" s="1"/>
  <c r="J35" i="2"/>
  <c r="K35" i="2" s="1"/>
  <c r="M73" i="2"/>
  <c r="L23" i="3"/>
  <c r="M23" i="3" s="1"/>
  <c r="J41" i="3"/>
  <c r="K41" i="3" s="1"/>
  <c r="J6" i="2"/>
  <c r="K6" i="2" s="1"/>
  <c r="L6" i="2" s="1"/>
  <c r="M16" i="2"/>
  <c r="M26" i="2"/>
  <c r="L74" i="2"/>
  <c r="M74" i="2" s="1"/>
  <c r="K96" i="1"/>
  <c r="J4" i="2"/>
  <c r="K4" i="2" s="1"/>
  <c r="L4" i="2" s="1"/>
  <c r="M10" i="2"/>
  <c r="M24" i="2"/>
  <c r="K55" i="2"/>
  <c r="L55" i="2" s="1"/>
  <c r="M69" i="2"/>
  <c r="L83" i="3"/>
  <c r="M83" i="3" s="1"/>
  <c r="K5" i="3"/>
  <c r="J74" i="3"/>
  <c r="K74" i="3" s="1"/>
  <c r="K89" i="2"/>
  <c r="M100" i="2"/>
  <c r="J35" i="3"/>
  <c r="K35" i="3" s="1"/>
  <c r="J58" i="3"/>
  <c r="K58" i="3" s="1"/>
  <c r="K92" i="3"/>
  <c r="J12" i="3"/>
  <c r="K12" i="3" s="1"/>
  <c r="J11" i="2"/>
  <c r="K11" i="2" s="1"/>
  <c r="L11" i="2" s="1"/>
  <c r="J19" i="2"/>
  <c r="K19" i="2" s="1"/>
  <c r="L19" i="2" s="1"/>
  <c r="J34" i="2"/>
  <c r="K34" i="2" s="1"/>
  <c r="L34" i="2" s="1"/>
  <c r="J47" i="2"/>
  <c r="K47" i="2" s="1"/>
  <c r="J51" i="2"/>
  <c r="K51" i="2" s="1"/>
  <c r="J76" i="2"/>
  <c r="K76" i="2" s="1"/>
  <c r="K93" i="2"/>
  <c r="J4" i="3"/>
  <c r="K4" i="3" s="1"/>
  <c r="J14" i="3"/>
  <c r="K14" i="3" s="1"/>
  <c r="J56" i="3"/>
  <c r="K56" i="3" s="1"/>
  <c r="J76" i="3"/>
  <c r="K76" i="3" s="1"/>
  <c r="J79" i="3"/>
  <c r="K79" i="3" s="1"/>
  <c r="K64" i="2"/>
  <c r="J87" i="2"/>
  <c r="K87" i="2" s="1"/>
  <c r="J6" i="3"/>
  <c r="K6" i="3" s="1"/>
  <c r="J24" i="3"/>
  <c r="K24" i="3" s="1"/>
  <c r="K27" i="3"/>
  <c r="K32" i="3"/>
  <c r="L32" i="3" s="1"/>
  <c r="K59" i="3"/>
  <c r="J63" i="3"/>
  <c r="K63" i="3" s="1"/>
  <c r="L84" i="3"/>
  <c r="M84" i="3" s="1"/>
  <c r="J93" i="3"/>
  <c r="K93" i="3" s="1"/>
  <c r="J91" i="3"/>
  <c r="K91" i="3" s="1"/>
  <c r="K50" i="2"/>
  <c r="K63" i="2"/>
  <c r="K80" i="2"/>
  <c r="K10" i="3"/>
  <c r="K13" i="3"/>
  <c r="J21" i="3"/>
  <c r="K21" i="3" s="1"/>
  <c r="K77" i="3"/>
  <c r="L9" i="2" l="1"/>
  <c r="M9" i="2" s="1"/>
  <c r="L17" i="2"/>
  <c r="M17" i="2" s="1"/>
  <c r="L22" i="2"/>
  <c r="M22" i="2" s="1"/>
  <c r="L14" i="2"/>
  <c r="M14" i="2" s="1"/>
  <c r="L35" i="1"/>
  <c r="M35" i="1" s="1"/>
  <c r="M37" i="1"/>
  <c r="N37" i="1" s="1"/>
  <c r="O37" i="1" s="1"/>
  <c r="M61" i="3"/>
  <c r="N61" i="3" s="1"/>
  <c r="O61" i="3" s="1"/>
  <c r="M58" i="2"/>
  <c r="M60" i="2"/>
  <c r="L30" i="2"/>
  <c r="M30" i="2" s="1"/>
  <c r="M34" i="1"/>
  <c r="N34" i="1" s="1"/>
  <c r="K65" i="2"/>
  <c r="L65" i="2" s="1"/>
  <c r="M65" i="2" s="1"/>
  <c r="M44" i="2"/>
  <c r="K60" i="1"/>
  <c r="L60" i="1" s="1"/>
  <c r="M60" i="1" s="1"/>
  <c r="P46" i="4"/>
  <c r="L84" i="2"/>
  <c r="M84" i="2" s="1"/>
  <c r="K47" i="1"/>
  <c r="L47" i="1" s="1"/>
  <c r="M47" i="1" s="1"/>
  <c r="N47" i="1" s="1"/>
  <c r="O47" i="1" s="1"/>
  <c r="M61" i="6"/>
  <c r="N61" i="6" s="1"/>
  <c r="M12" i="6"/>
  <c r="N12" i="6" s="1"/>
  <c r="O12" i="6" s="1"/>
  <c r="P12" i="6" s="1"/>
  <c r="M4" i="6"/>
  <c r="N4" i="6" s="1"/>
  <c r="O4" i="6" s="1"/>
  <c r="P4" i="6" s="1"/>
  <c r="P21" i="5"/>
  <c r="M35" i="5"/>
  <c r="N35" i="5" s="1"/>
  <c r="M77" i="5"/>
  <c r="N77" i="5" s="1"/>
  <c r="N51" i="4"/>
  <c r="O51" i="4" s="1"/>
  <c r="P51" i="4" s="1"/>
  <c r="N83" i="4"/>
  <c r="O83" i="4" s="1"/>
  <c r="P83" i="4" s="1"/>
  <c r="N61" i="4"/>
  <c r="O61" i="4" s="1"/>
  <c r="P61" i="4" s="1"/>
  <c r="N86" i="4"/>
  <c r="O86" i="4" s="1"/>
  <c r="P86" i="4" s="1"/>
  <c r="M49" i="4"/>
  <c r="N49" i="4" s="1"/>
  <c r="N18" i="4"/>
  <c r="O18" i="4" s="1"/>
  <c r="P18" i="4" s="1"/>
  <c r="M40" i="4"/>
  <c r="N40" i="4" s="1"/>
  <c r="O40" i="4" s="1"/>
  <c r="P40" i="4" s="1"/>
  <c r="N96" i="4"/>
  <c r="O96" i="4" s="1"/>
  <c r="P96" i="4" s="1"/>
  <c r="N65" i="4"/>
  <c r="O65" i="4" s="1"/>
  <c r="P65" i="4" s="1"/>
  <c r="M30" i="4"/>
  <c r="N30" i="4" s="1"/>
  <c r="O30" i="4" s="1"/>
  <c r="P30" i="4" s="1"/>
  <c r="N45" i="4"/>
  <c r="O45" i="4" s="1"/>
  <c r="P45" i="4" s="1"/>
  <c r="L55" i="3"/>
  <c r="M55" i="3" s="1"/>
  <c r="M60" i="3"/>
  <c r="N60" i="3" s="1"/>
  <c r="O60" i="3" s="1"/>
  <c r="L19" i="3"/>
  <c r="M19" i="3" s="1"/>
  <c r="N19" i="3" s="1"/>
  <c r="O19" i="3" s="1"/>
  <c r="L11" i="3"/>
  <c r="M11" i="3" s="1"/>
  <c r="L96" i="3"/>
  <c r="M96" i="3" s="1"/>
  <c r="N96" i="3" s="1"/>
  <c r="M34" i="3"/>
  <c r="N34" i="3" s="1"/>
  <c r="O34" i="3" s="1"/>
  <c r="L30" i="3"/>
  <c r="M30" i="3" s="1"/>
  <c r="L70" i="3"/>
  <c r="M70" i="3" s="1"/>
  <c r="M15" i="3"/>
  <c r="N15" i="3" s="1"/>
  <c r="M70" i="2"/>
  <c r="M27" i="2"/>
  <c r="M28" i="2"/>
  <c r="L86" i="2"/>
  <c r="M86" i="2" s="1"/>
  <c r="M21" i="2"/>
  <c r="L49" i="2"/>
  <c r="M49" i="2" s="1"/>
  <c r="L96" i="2"/>
  <c r="M96" i="2" s="1"/>
  <c r="M13" i="2"/>
  <c r="L92" i="2"/>
  <c r="M92" i="2" s="1"/>
  <c r="L79" i="2"/>
  <c r="M79" i="2" s="1"/>
  <c r="L58" i="1"/>
  <c r="L24" i="1"/>
  <c r="M24" i="1" s="1"/>
  <c r="N24" i="1" s="1"/>
  <c r="O24" i="1" s="1"/>
  <c r="L49" i="1"/>
  <c r="M49" i="1" s="1"/>
  <c r="N49" i="1" s="1"/>
  <c r="O49" i="1" s="1"/>
  <c r="L15" i="1"/>
  <c r="M15" i="1" s="1"/>
  <c r="N79" i="1"/>
  <c r="O79" i="1" s="1"/>
  <c r="L21" i="1"/>
  <c r="M21" i="1" s="1"/>
  <c r="N5" i="1"/>
  <c r="O5" i="1" s="1"/>
  <c r="L41" i="1"/>
  <c r="M41" i="1" s="1"/>
  <c r="N41" i="1" s="1"/>
  <c r="O41" i="1" s="1"/>
  <c r="L65" i="1"/>
  <c r="M65" i="1" s="1"/>
  <c r="N65" i="1" s="1"/>
  <c r="O65" i="1" s="1"/>
  <c r="L13" i="1"/>
  <c r="M13" i="1" s="1"/>
  <c r="N13" i="1" s="1"/>
  <c r="O13" i="1" s="1"/>
  <c r="L77" i="1"/>
  <c r="M77" i="1" s="1"/>
  <c r="N77" i="1" s="1"/>
  <c r="O77" i="1" s="1"/>
  <c r="L59" i="1"/>
  <c r="M59" i="1" s="1"/>
  <c r="N59" i="1" s="1"/>
  <c r="O59" i="1" s="1"/>
  <c r="L81" i="1"/>
  <c r="M81" i="1" s="1"/>
  <c r="N81" i="1" s="1"/>
  <c r="O81" i="1" s="1"/>
  <c r="M77" i="6"/>
  <c r="N77" i="6" s="1"/>
  <c r="M96" i="6"/>
  <c r="N96" i="6" s="1"/>
  <c r="M86" i="6"/>
  <c r="N86" i="6" s="1"/>
  <c r="M93" i="5"/>
  <c r="N93" i="5" s="1"/>
  <c r="M10" i="6"/>
  <c r="N10" i="6" s="1"/>
  <c r="O60" i="5"/>
  <c r="P60" i="5" s="1"/>
  <c r="M70" i="4"/>
  <c r="N70" i="4" s="1"/>
  <c r="M14" i="5"/>
  <c r="N14" i="5" s="1"/>
  <c r="O100" i="5"/>
  <c r="P100" i="5" s="1"/>
  <c r="O63" i="5"/>
  <c r="P63" i="5" s="1"/>
  <c r="M87" i="6"/>
  <c r="N87" i="6" s="1"/>
  <c r="M24" i="5"/>
  <c r="N24" i="5" s="1"/>
  <c r="O100" i="4"/>
  <c r="P100" i="4" s="1"/>
  <c r="O17" i="4"/>
  <c r="P17" i="4" s="1"/>
  <c r="O10" i="4"/>
  <c r="P10" i="4" s="1"/>
  <c r="M80" i="6"/>
  <c r="N80" i="6" s="1"/>
  <c r="M96" i="5"/>
  <c r="N96" i="5" s="1"/>
  <c r="M89" i="4"/>
  <c r="N89" i="4" s="1"/>
  <c r="O92" i="5"/>
  <c r="P92" i="5" s="1"/>
  <c r="M6" i="5"/>
  <c r="N6" i="5" s="1"/>
  <c r="O59" i="5"/>
  <c r="P59" i="5" s="1"/>
  <c r="O14" i="6"/>
  <c r="P14" i="6" s="1"/>
  <c r="O44" i="5"/>
  <c r="P44" i="5" s="1"/>
  <c r="M5" i="4"/>
  <c r="N5" i="4" s="1"/>
  <c r="O59" i="4"/>
  <c r="P59" i="4" s="1"/>
  <c r="O55" i="6"/>
  <c r="P55" i="6" s="1"/>
  <c r="O90" i="6"/>
  <c r="P90" i="6" s="1"/>
  <c r="O79" i="4"/>
  <c r="P79" i="4" s="1"/>
  <c r="O28" i="4"/>
  <c r="P28" i="4" s="1"/>
  <c r="O26" i="4"/>
  <c r="P26" i="4" s="1"/>
  <c r="M49" i="6"/>
  <c r="N49" i="6" s="1"/>
  <c r="M15" i="6"/>
  <c r="N15" i="6" s="1"/>
  <c r="M81" i="6"/>
  <c r="N81" i="6" s="1"/>
  <c r="M69" i="6"/>
  <c r="N69" i="6" s="1"/>
  <c r="O84" i="5"/>
  <c r="P84" i="5" s="1"/>
  <c r="O32" i="6"/>
  <c r="P32" i="6" s="1"/>
  <c r="M47" i="5"/>
  <c r="N47" i="5" s="1"/>
  <c r="M71" i="4"/>
  <c r="N71" i="4" s="1"/>
  <c r="O87" i="5"/>
  <c r="P87" i="5" s="1"/>
  <c r="M51" i="5"/>
  <c r="N51" i="5" s="1"/>
  <c r="O28" i="5"/>
  <c r="P28" i="5" s="1"/>
  <c r="M15" i="5"/>
  <c r="N15" i="5" s="1"/>
  <c r="O34" i="6"/>
  <c r="P34" i="6" s="1"/>
  <c r="O11" i="6"/>
  <c r="P11" i="6" s="1"/>
  <c r="M89" i="5"/>
  <c r="N89" i="5" s="1"/>
  <c r="M37" i="6"/>
  <c r="N37" i="6" s="1"/>
  <c r="M63" i="6"/>
  <c r="N63" i="6" s="1"/>
  <c r="M91" i="5"/>
  <c r="N91" i="5" s="1"/>
  <c r="M41" i="6"/>
  <c r="N41" i="6" s="1"/>
  <c r="M52" i="6"/>
  <c r="N52" i="6" s="1"/>
  <c r="M73" i="4"/>
  <c r="N73" i="4" s="1"/>
  <c r="M70" i="6"/>
  <c r="N70" i="6" s="1"/>
  <c r="O63" i="4"/>
  <c r="P63" i="4" s="1"/>
  <c r="M76" i="4"/>
  <c r="N76" i="4" s="1"/>
  <c r="O86" i="5"/>
  <c r="P86" i="5" s="1"/>
  <c r="M7" i="4"/>
  <c r="N7" i="4" s="1"/>
  <c r="M91" i="6"/>
  <c r="N91" i="6" s="1"/>
  <c r="M71" i="5"/>
  <c r="N71" i="5" s="1"/>
  <c r="M22" i="6"/>
  <c r="N22" i="6" s="1"/>
  <c r="M60" i="6"/>
  <c r="N60" i="6" s="1"/>
  <c r="M76" i="5"/>
  <c r="N76" i="5" s="1"/>
  <c r="M25" i="6"/>
  <c r="N25" i="6" s="1"/>
  <c r="M44" i="6"/>
  <c r="N44" i="6" s="1"/>
  <c r="O54" i="6"/>
  <c r="P54" i="6" s="1"/>
  <c r="M20" i="5"/>
  <c r="N20" i="5" s="1"/>
  <c r="O20" i="6"/>
  <c r="P20" i="6" s="1"/>
  <c r="M55" i="4"/>
  <c r="N55" i="4" s="1"/>
  <c r="O51" i="6"/>
  <c r="P51" i="6" s="1"/>
  <c r="O26" i="5"/>
  <c r="P26" i="5" s="1"/>
  <c r="M12" i="4"/>
  <c r="N12" i="4" s="1"/>
  <c r="O41" i="4"/>
  <c r="P41" i="4" s="1"/>
  <c r="M22" i="4"/>
  <c r="N22" i="4" s="1"/>
  <c r="O80" i="5"/>
  <c r="P80" i="5" s="1"/>
  <c r="O11" i="4"/>
  <c r="P11" i="4" s="1"/>
  <c r="M76" i="6"/>
  <c r="N76" i="6" s="1"/>
  <c r="M90" i="5"/>
  <c r="N90" i="5" s="1"/>
  <c r="M50" i="6"/>
  <c r="N50" i="6" s="1"/>
  <c r="M74" i="5"/>
  <c r="N74" i="5" s="1"/>
  <c r="M16" i="6"/>
  <c r="N16" i="6" s="1"/>
  <c r="M26" i="6"/>
  <c r="N26" i="6" s="1"/>
  <c r="M61" i="5"/>
  <c r="N61" i="5" s="1"/>
  <c r="M12" i="5"/>
  <c r="N12" i="5" s="1"/>
  <c r="M47" i="4"/>
  <c r="N47" i="4" s="1"/>
  <c r="M28" i="6"/>
  <c r="N28" i="6" s="1"/>
  <c r="M23" i="5"/>
  <c r="N23" i="5" s="1"/>
  <c r="M4" i="4"/>
  <c r="N4" i="4" s="1"/>
  <c r="M14" i="4"/>
  <c r="N14" i="4" s="1"/>
  <c r="O41" i="5"/>
  <c r="P41" i="5" s="1"/>
  <c r="M40" i="5"/>
  <c r="N40" i="5" s="1"/>
  <c r="O8" i="5"/>
  <c r="P8" i="5" s="1"/>
  <c r="O46" i="5"/>
  <c r="P46" i="5" s="1"/>
  <c r="O27" i="4"/>
  <c r="P27" i="4" s="1"/>
  <c r="O34" i="4"/>
  <c r="P34" i="4" s="1"/>
  <c r="M56" i="6"/>
  <c r="N56" i="6" s="1"/>
  <c r="M74" i="6"/>
  <c r="N74" i="6" s="1"/>
  <c r="M92" i="6"/>
  <c r="N92" i="6" s="1"/>
  <c r="M73" i="5"/>
  <c r="N73" i="5" s="1"/>
  <c r="M40" i="6"/>
  <c r="N40" i="6" s="1"/>
  <c r="M58" i="5"/>
  <c r="N58" i="5" s="1"/>
  <c r="M8" i="6"/>
  <c r="N8" i="6" s="1"/>
  <c r="M17" i="6"/>
  <c r="N17" i="6" s="1"/>
  <c r="O65" i="6"/>
  <c r="P65" i="6" s="1"/>
  <c r="O5" i="6"/>
  <c r="P5" i="6" s="1"/>
  <c r="M48" i="5"/>
  <c r="N48" i="5" s="1"/>
  <c r="M81" i="5"/>
  <c r="N81" i="5" s="1"/>
  <c r="O10" i="5"/>
  <c r="P10" i="5" s="1"/>
  <c r="M35" i="4"/>
  <c r="N35" i="4" s="1"/>
  <c r="O7" i="6"/>
  <c r="P7" i="6" s="1"/>
  <c r="M6" i="4"/>
  <c r="N6" i="4" s="1"/>
  <c r="M23" i="4"/>
  <c r="N23" i="4" s="1"/>
  <c r="O30" i="5"/>
  <c r="P30" i="5" s="1"/>
  <c r="O32" i="5"/>
  <c r="P32" i="5" s="1"/>
  <c r="O44" i="4"/>
  <c r="P44" i="4" s="1"/>
  <c r="O25" i="4"/>
  <c r="P25" i="4" s="1"/>
  <c r="M64" i="6"/>
  <c r="N64" i="6" s="1"/>
  <c r="M79" i="6"/>
  <c r="N79" i="6" s="1"/>
  <c r="M87" i="4"/>
  <c r="N87" i="4" s="1"/>
  <c r="M13" i="5"/>
  <c r="N13" i="5" s="1"/>
  <c r="M22" i="5"/>
  <c r="N22" i="5" s="1"/>
  <c r="O47" i="6"/>
  <c r="P47" i="6" s="1"/>
  <c r="M58" i="4"/>
  <c r="N58" i="4" s="1"/>
  <c r="M21" i="4"/>
  <c r="N21" i="4" s="1"/>
  <c r="O70" i="5"/>
  <c r="P70" i="5" s="1"/>
  <c r="O25" i="5"/>
  <c r="P25" i="5" s="1"/>
  <c r="M15" i="4"/>
  <c r="N15" i="4" s="1"/>
  <c r="O27" i="5"/>
  <c r="P27" i="5" s="1"/>
  <c r="O84" i="4"/>
  <c r="P84" i="4" s="1"/>
  <c r="O20" i="4"/>
  <c r="P20" i="4" s="1"/>
  <c r="M9" i="6"/>
  <c r="N9" i="6" s="1"/>
  <c r="M52" i="5"/>
  <c r="N52" i="5" s="1"/>
  <c r="M35" i="6"/>
  <c r="N35" i="6" s="1"/>
  <c r="O92" i="4"/>
  <c r="P92" i="4" s="1"/>
  <c r="M49" i="5"/>
  <c r="N49" i="5" s="1"/>
  <c r="O11" i="5"/>
  <c r="P11" i="5" s="1"/>
  <c r="O19" i="4"/>
  <c r="P19" i="4" s="1"/>
  <c r="O19" i="5"/>
  <c r="P19" i="5" s="1"/>
  <c r="M50" i="4"/>
  <c r="N50" i="4" s="1"/>
  <c r="M13" i="4"/>
  <c r="N13" i="4" s="1"/>
  <c r="O50" i="5"/>
  <c r="P50" i="5" s="1"/>
  <c r="M74" i="4"/>
  <c r="N74" i="4" s="1"/>
  <c r="O16" i="4"/>
  <c r="P16" i="4" s="1"/>
  <c r="O8" i="4"/>
  <c r="P8" i="4" s="1"/>
  <c r="M84" i="6"/>
  <c r="N84" i="6" s="1"/>
  <c r="M18" i="6"/>
  <c r="N18" i="6" s="1"/>
  <c r="M56" i="5"/>
  <c r="N56" i="5" s="1"/>
  <c r="M30" i="6"/>
  <c r="N30" i="6" s="1"/>
  <c r="M65" i="5"/>
  <c r="N65" i="5" s="1"/>
  <c r="O64" i="5"/>
  <c r="P64" i="5" s="1"/>
  <c r="M27" i="6"/>
  <c r="N27" i="6" s="1"/>
  <c r="M56" i="4"/>
  <c r="N56" i="4" s="1"/>
  <c r="M9" i="5"/>
  <c r="N9" i="5" s="1"/>
  <c r="O18" i="5"/>
  <c r="P18" i="5" s="1"/>
  <c r="O32" i="4"/>
  <c r="P32" i="4" s="1"/>
  <c r="M45" i="6"/>
  <c r="N45" i="6" s="1"/>
  <c r="O21" i="6"/>
  <c r="P21" i="6" s="1"/>
  <c r="M55" i="5"/>
  <c r="N55" i="5" s="1"/>
  <c r="M23" i="6"/>
  <c r="N23" i="6" s="1"/>
  <c r="M38" i="5"/>
  <c r="N38" i="5" s="1"/>
  <c r="M80" i="4"/>
  <c r="N80" i="4" s="1"/>
  <c r="O52" i="4"/>
  <c r="P52" i="4" s="1"/>
  <c r="M38" i="6"/>
  <c r="N38" i="6" s="1"/>
  <c r="O13" i="6"/>
  <c r="P13" i="6" s="1"/>
  <c r="M93" i="6"/>
  <c r="N93" i="6" s="1"/>
  <c r="O81" i="4"/>
  <c r="P81" i="4" s="1"/>
  <c r="M5" i="5"/>
  <c r="N5" i="5" s="1"/>
  <c r="M89" i="6"/>
  <c r="N89" i="6" s="1"/>
  <c r="M17" i="5"/>
  <c r="N17" i="5" s="1"/>
  <c r="O53" i="4"/>
  <c r="P53" i="4" s="1"/>
  <c r="M7" i="5"/>
  <c r="N7" i="5" s="1"/>
  <c r="M34" i="5"/>
  <c r="N34" i="5" s="1"/>
  <c r="O37" i="5"/>
  <c r="P37" i="5" s="1"/>
  <c r="M48" i="4"/>
  <c r="N48" i="4" s="1"/>
  <c r="M48" i="6"/>
  <c r="N48" i="6" s="1"/>
  <c r="M24" i="4"/>
  <c r="N24" i="4" s="1"/>
  <c r="M53" i="6"/>
  <c r="N53" i="6" s="1"/>
  <c r="M93" i="4"/>
  <c r="N93" i="4" s="1"/>
  <c r="M38" i="4"/>
  <c r="N38" i="4" s="1"/>
  <c r="M64" i="4"/>
  <c r="N64" i="4" s="1"/>
  <c r="M59" i="6"/>
  <c r="N59" i="6" s="1"/>
  <c r="M24" i="6"/>
  <c r="N24" i="6" s="1"/>
  <c r="M58" i="6"/>
  <c r="N58" i="6" s="1"/>
  <c r="M45" i="5"/>
  <c r="N45" i="5" s="1"/>
  <c r="M46" i="6"/>
  <c r="N46" i="6" s="1"/>
  <c r="M69" i="5"/>
  <c r="N69" i="5" s="1"/>
  <c r="O69" i="4"/>
  <c r="P69" i="4" s="1"/>
  <c r="M77" i="4"/>
  <c r="N77" i="4" s="1"/>
  <c r="O16" i="5"/>
  <c r="P16" i="5" s="1"/>
  <c r="O54" i="4"/>
  <c r="P54" i="4" s="1"/>
  <c r="O9" i="4"/>
  <c r="P9" i="4" s="1"/>
  <c r="O79" i="5"/>
  <c r="P79" i="5" s="1"/>
  <c r="M83" i="6"/>
  <c r="N83" i="6" s="1"/>
  <c r="O73" i="6"/>
  <c r="P73" i="6" s="1"/>
  <c r="O19" i="6"/>
  <c r="P19" i="6" s="1"/>
  <c r="M4" i="5"/>
  <c r="N4" i="5" s="1"/>
  <c r="M90" i="4"/>
  <c r="N90" i="4" s="1"/>
  <c r="M100" i="6"/>
  <c r="N100" i="6" s="1"/>
  <c r="M83" i="5"/>
  <c r="N83" i="5" s="1"/>
  <c r="O71" i="6"/>
  <c r="P71" i="6" s="1"/>
  <c r="M60" i="4"/>
  <c r="N60" i="4" s="1"/>
  <c r="M91" i="4"/>
  <c r="N91" i="4" s="1"/>
  <c r="N84" i="3"/>
  <c r="O84" i="3" s="1"/>
  <c r="N100" i="3"/>
  <c r="O100" i="3" s="1"/>
  <c r="L87" i="2"/>
  <c r="M87" i="2" s="1"/>
  <c r="L47" i="2"/>
  <c r="M47" i="2" s="1"/>
  <c r="L52" i="1"/>
  <c r="M52" i="1" s="1"/>
  <c r="L18" i="1"/>
  <c r="M18" i="1" s="1"/>
  <c r="N8" i="2"/>
  <c r="O8" i="2" s="1"/>
  <c r="N27" i="1"/>
  <c r="O27" i="1" s="1"/>
  <c r="N26" i="1"/>
  <c r="O26" i="1" s="1"/>
  <c r="N73" i="1"/>
  <c r="O73" i="1" s="1"/>
  <c r="M61" i="2"/>
  <c r="L84" i="1"/>
  <c r="M84" i="1" s="1"/>
  <c r="N17" i="1"/>
  <c r="O17" i="1" s="1"/>
  <c r="N37" i="2"/>
  <c r="O37" i="2" s="1"/>
  <c r="O30" i="1"/>
  <c r="N81" i="2"/>
  <c r="O81" i="2" s="1"/>
  <c r="L14" i="3"/>
  <c r="M14" i="3" s="1"/>
  <c r="M58" i="3"/>
  <c r="N46" i="2"/>
  <c r="O46" i="2" s="1"/>
  <c r="L44" i="1"/>
  <c r="M44" i="1" s="1"/>
  <c r="N56" i="1"/>
  <c r="O56" i="1" s="1"/>
  <c r="N59" i="2"/>
  <c r="O59" i="2" s="1"/>
  <c r="N89" i="1"/>
  <c r="O89" i="1" s="1"/>
  <c r="N7" i="2"/>
  <c r="O7" i="2" s="1"/>
  <c r="O16" i="1"/>
  <c r="N74" i="1"/>
  <c r="O74" i="1" s="1"/>
  <c r="N89" i="3"/>
  <c r="O89" i="3" s="1"/>
  <c r="L21" i="3"/>
  <c r="M21" i="3" s="1"/>
  <c r="N65" i="3"/>
  <c r="O65" i="3" s="1"/>
  <c r="N45" i="2"/>
  <c r="O45" i="2" s="1"/>
  <c r="N77" i="2"/>
  <c r="O77" i="2" s="1"/>
  <c r="M19" i="2"/>
  <c r="N19" i="2" s="1"/>
  <c r="L35" i="2"/>
  <c r="M35" i="2" s="1"/>
  <c r="N17" i="3"/>
  <c r="O17" i="3" s="1"/>
  <c r="N40" i="3"/>
  <c r="O40" i="3" s="1"/>
  <c r="N40" i="2"/>
  <c r="O40" i="2" s="1"/>
  <c r="L10" i="1"/>
  <c r="M10" i="1" s="1"/>
  <c r="N90" i="2"/>
  <c r="O90" i="2" s="1"/>
  <c r="N28" i="1"/>
  <c r="O28" i="1" s="1"/>
  <c r="L24" i="3"/>
  <c r="M24" i="3" s="1"/>
  <c r="N83" i="2"/>
  <c r="O83" i="2" s="1"/>
  <c r="L56" i="3"/>
  <c r="M56" i="3" s="1"/>
  <c r="L71" i="1"/>
  <c r="M71" i="1" s="1"/>
  <c r="N71" i="3"/>
  <c r="O71" i="3" s="1"/>
  <c r="M11" i="2"/>
  <c r="M20" i="2"/>
  <c r="N48" i="1"/>
  <c r="O48" i="1" s="1"/>
  <c r="N4" i="1"/>
  <c r="O4" i="1" s="1"/>
  <c r="N56" i="2"/>
  <c r="O56" i="2" s="1"/>
  <c r="N7" i="3"/>
  <c r="O7" i="3" s="1"/>
  <c r="N55" i="1"/>
  <c r="O55" i="1" s="1"/>
  <c r="N61" i="1"/>
  <c r="O61" i="1" s="1"/>
  <c r="N80" i="1"/>
  <c r="O80" i="1" s="1"/>
  <c r="N19" i="1"/>
  <c r="O19" i="1" s="1"/>
  <c r="L79" i="3"/>
  <c r="M79" i="3" s="1"/>
  <c r="M4" i="2"/>
  <c r="N23" i="3"/>
  <c r="O23" i="3" s="1"/>
  <c r="M12" i="2"/>
  <c r="N81" i="3"/>
  <c r="O81" i="3" s="1"/>
  <c r="N80" i="3"/>
  <c r="O80" i="3" s="1"/>
  <c r="L46" i="1"/>
  <c r="M46" i="1" s="1"/>
  <c r="L20" i="3"/>
  <c r="M20" i="3" s="1"/>
  <c r="L71" i="2"/>
  <c r="M71" i="2" s="1"/>
  <c r="N11" i="1"/>
  <c r="O11" i="1" s="1"/>
  <c r="N86" i="3"/>
  <c r="O86" i="3" s="1"/>
  <c r="M32" i="1"/>
  <c r="N32" i="1" s="1"/>
  <c r="N8" i="3"/>
  <c r="O8" i="3" s="1"/>
  <c r="L63" i="3"/>
  <c r="M63" i="3" s="1"/>
  <c r="L69" i="1"/>
  <c r="M69" i="1" s="1"/>
  <c r="N20" i="1"/>
  <c r="O20" i="1" s="1"/>
  <c r="L93" i="3"/>
  <c r="M93" i="3" s="1"/>
  <c r="L12" i="3"/>
  <c r="M12" i="3" s="1"/>
  <c r="N74" i="2"/>
  <c r="O74" i="2" s="1"/>
  <c r="L86" i="1"/>
  <c r="M86" i="1" s="1"/>
  <c r="N64" i="3"/>
  <c r="O64" i="3" s="1"/>
  <c r="L22" i="3"/>
  <c r="M22" i="3" s="1"/>
  <c r="L9" i="3"/>
  <c r="M9" i="3" s="1"/>
  <c r="N76" i="1"/>
  <c r="O76" i="1" s="1"/>
  <c r="N18" i="2"/>
  <c r="O18" i="2" s="1"/>
  <c r="N7" i="1"/>
  <c r="O7" i="1" s="1"/>
  <c r="N83" i="1"/>
  <c r="O83" i="1" s="1"/>
  <c r="L89" i="2"/>
  <c r="M89" i="2" s="1"/>
  <c r="N41" i="2"/>
  <c r="O41" i="2" s="1"/>
  <c r="M5" i="2"/>
  <c r="L64" i="1"/>
  <c r="M64" i="1" s="1"/>
  <c r="L13" i="3"/>
  <c r="M13" i="3" s="1"/>
  <c r="L93" i="2"/>
  <c r="M93" i="2" s="1"/>
  <c r="L91" i="2"/>
  <c r="M91" i="2" s="1"/>
  <c r="L63" i="1"/>
  <c r="M63" i="1" s="1"/>
  <c r="N23" i="1"/>
  <c r="O23" i="1" s="1"/>
  <c r="L6" i="3"/>
  <c r="M6" i="3" s="1"/>
  <c r="L27" i="3"/>
  <c r="M27" i="3" s="1"/>
  <c r="L4" i="3"/>
  <c r="M4" i="3" s="1"/>
  <c r="N87" i="3"/>
  <c r="O87" i="3" s="1"/>
  <c r="L92" i="1"/>
  <c r="M92" i="1" s="1"/>
  <c r="L10" i="3"/>
  <c r="M10" i="3" s="1"/>
  <c r="L91" i="3"/>
  <c r="M91" i="3" s="1"/>
  <c r="M59" i="3"/>
  <c r="N59" i="3" s="1"/>
  <c r="L76" i="3"/>
  <c r="M76" i="3" s="1"/>
  <c r="L96" i="1"/>
  <c r="M96" i="1" s="1"/>
  <c r="N38" i="2"/>
  <c r="O38" i="2" s="1"/>
  <c r="L80" i="2"/>
  <c r="M80" i="2" s="1"/>
  <c r="L74" i="3"/>
  <c r="M74" i="3" s="1"/>
  <c r="N26" i="2"/>
  <c r="O26" i="2" s="1"/>
  <c r="M34" i="2"/>
  <c r="N69" i="3"/>
  <c r="O69" i="3" s="1"/>
  <c r="L50" i="1"/>
  <c r="M50" i="1" s="1"/>
  <c r="N9" i="1"/>
  <c r="O9" i="1" s="1"/>
  <c r="N12" i="1"/>
  <c r="O12" i="1" s="1"/>
  <c r="M6" i="2"/>
  <c r="N90" i="1"/>
  <c r="O90" i="1" s="1"/>
  <c r="N69" i="2"/>
  <c r="O69" i="2" s="1"/>
  <c r="N24" i="2"/>
  <c r="O24" i="2" s="1"/>
  <c r="N23" i="2"/>
  <c r="O23" i="2" s="1"/>
  <c r="M38" i="3"/>
  <c r="L40" i="1"/>
  <c r="M40" i="1" s="1"/>
  <c r="N8" i="1"/>
  <c r="O8" i="1" s="1"/>
  <c r="N83" i="3"/>
  <c r="O83" i="3" s="1"/>
  <c r="N45" i="1"/>
  <c r="O45" i="1" s="1"/>
  <c r="L63" i="2"/>
  <c r="M63" i="2" s="1"/>
  <c r="L51" i="2"/>
  <c r="M51" i="2" s="1"/>
  <c r="M35" i="3"/>
  <c r="L5" i="3"/>
  <c r="M5" i="3" s="1"/>
  <c r="M55" i="2"/>
  <c r="L41" i="3"/>
  <c r="M41" i="3" s="1"/>
  <c r="N32" i="2"/>
  <c r="O32" i="2" s="1"/>
  <c r="N15" i="2"/>
  <c r="O15" i="2" s="1"/>
  <c r="L28" i="3"/>
  <c r="M28" i="3" s="1"/>
  <c r="N52" i="2"/>
  <c r="O52" i="2" s="1"/>
  <c r="M38" i="1"/>
  <c r="N38" i="1" s="1"/>
  <c r="L76" i="2"/>
  <c r="M76" i="2" s="1"/>
  <c r="L77" i="3"/>
  <c r="M77" i="3" s="1"/>
  <c r="L64" i="2"/>
  <c r="M64" i="2" s="1"/>
  <c r="N16" i="2"/>
  <c r="O16" i="2" s="1"/>
  <c r="N73" i="2"/>
  <c r="O73" i="2" s="1"/>
  <c r="L48" i="2"/>
  <c r="M48" i="2" s="1"/>
  <c r="L22" i="1"/>
  <c r="M22" i="1" s="1"/>
  <c r="L50" i="2"/>
  <c r="M50" i="2" s="1"/>
  <c r="M32" i="3"/>
  <c r="L92" i="3"/>
  <c r="M92" i="3" s="1"/>
  <c r="N100" i="2"/>
  <c r="O100" i="2" s="1"/>
  <c r="N10" i="2"/>
  <c r="O10" i="2" s="1"/>
  <c r="L93" i="1"/>
  <c r="M93" i="1" s="1"/>
  <c r="L14" i="1"/>
  <c r="M14" i="1" s="1"/>
  <c r="N87" i="1"/>
  <c r="O87" i="1" s="1"/>
  <c r="N51" i="1"/>
  <c r="O51" i="1" s="1"/>
  <c r="L6" i="1"/>
  <c r="M6" i="1" s="1"/>
  <c r="N70" i="1"/>
  <c r="O70" i="1" s="1"/>
  <c r="N70" i="2" l="1"/>
  <c r="O70" i="2" s="1"/>
  <c r="N58" i="2"/>
  <c r="O58" i="2"/>
  <c r="N60" i="2"/>
  <c r="O60" i="2" s="1"/>
  <c r="N84" i="2"/>
  <c r="O84" i="2" s="1"/>
  <c r="N14" i="2"/>
  <c r="O14" i="2"/>
  <c r="N13" i="2"/>
  <c r="O13" i="2" s="1"/>
  <c r="N22" i="2"/>
  <c r="O22" i="2" s="1"/>
  <c r="N17" i="2"/>
  <c r="O17" i="2"/>
  <c r="N44" i="2"/>
  <c r="O44" i="2"/>
  <c r="N9" i="2"/>
  <c r="O9" i="2" s="1"/>
  <c r="N21" i="2"/>
  <c r="O21" i="2"/>
  <c r="O19" i="2"/>
  <c r="N28" i="2"/>
  <c r="O28" i="2"/>
  <c r="N30" i="2"/>
  <c r="O30" i="2"/>
  <c r="N35" i="1"/>
  <c r="O35" i="1"/>
  <c r="M58" i="1"/>
  <c r="N58" i="1" s="1"/>
  <c r="O34" i="1"/>
  <c r="O15" i="3"/>
  <c r="O61" i="6"/>
  <c r="P61" i="6" s="1"/>
  <c r="O77" i="5"/>
  <c r="P77" i="5" s="1"/>
  <c r="O35" i="5"/>
  <c r="P35" i="5" s="1"/>
  <c r="O49" i="4"/>
  <c r="P49" i="4" s="1"/>
  <c r="N70" i="3"/>
  <c r="O70" i="3" s="1"/>
  <c r="N30" i="3"/>
  <c r="O30" i="3" s="1"/>
  <c r="N11" i="3"/>
  <c r="O11" i="3" s="1"/>
  <c r="N55" i="3"/>
  <c r="O55" i="3" s="1"/>
  <c r="O96" i="3"/>
  <c r="N96" i="2"/>
  <c r="O96" i="2" s="1"/>
  <c r="N49" i="2"/>
  <c r="O49" i="2" s="1"/>
  <c r="N79" i="2"/>
  <c r="O79" i="2" s="1"/>
  <c r="N27" i="2"/>
  <c r="O27" i="2" s="1"/>
  <c r="N86" i="2"/>
  <c r="O86" i="2" s="1"/>
  <c r="N92" i="2"/>
  <c r="O92" i="2" s="1"/>
  <c r="N21" i="1"/>
  <c r="O21" i="1" s="1"/>
  <c r="N15" i="1"/>
  <c r="O15" i="1" s="1"/>
  <c r="O46" i="6"/>
  <c r="P46" i="6" s="1"/>
  <c r="O79" i="6"/>
  <c r="P79" i="6" s="1"/>
  <c r="O69" i="6"/>
  <c r="P69" i="6" s="1"/>
  <c r="O64" i="6"/>
  <c r="P64" i="6" s="1"/>
  <c r="O26" i="6"/>
  <c r="P26" i="6" s="1"/>
  <c r="O55" i="4"/>
  <c r="P55" i="4" s="1"/>
  <c r="O81" i="6"/>
  <c r="P81" i="6" s="1"/>
  <c r="O90" i="4"/>
  <c r="P90" i="4" s="1"/>
  <c r="O93" i="4"/>
  <c r="P93" i="4" s="1"/>
  <c r="O38" i="5"/>
  <c r="P38" i="5" s="1"/>
  <c r="O9" i="5"/>
  <c r="P9" i="5" s="1"/>
  <c r="O65" i="5"/>
  <c r="P65" i="5" s="1"/>
  <c r="O8" i="6"/>
  <c r="P8" i="6" s="1"/>
  <c r="O56" i="6"/>
  <c r="P56" i="6" s="1"/>
  <c r="O14" i="4"/>
  <c r="P14" i="4" s="1"/>
  <c r="O16" i="6"/>
  <c r="P16" i="6" s="1"/>
  <c r="O15" i="6"/>
  <c r="P15" i="6" s="1"/>
  <c r="O10" i="6"/>
  <c r="P10" i="6" s="1"/>
  <c r="O48" i="4"/>
  <c r="P48" i="4" s="1"/>
  <c r="O60" i="6"/>
  <c r="P60" i="6" s="1"/>
  <c r="O60" i="4"/>
  <c r="P60" i="4" s="1"/>
  <c r="O83" i="6"/>
  <c r="P83" i="6" s="1"/>
  <c r="O58" i="6"/>
  <c r="P58" i="6" s="1"/>
  <c r="O53" i="6"/>
  <c r="P53" i="6" s="1"/>
  <c r="O23" i="6"/>
  <c r="P23" i="6" s="1"/>
  <c r="O74" i="4"/>
  <c r="P74" i="4" s="1"/>
  <c r="O15" i="4"/>
  <c r="P15" i="4" s="1"/>
  <c r="O58" i="5"/>
  <c r="P58" i="5" s="1"/>
  <c r="O4" i="4"/>
  <c r="P4" i="4" s="1"/>
  <c r="O74" i="5"/>
  <c r="P74" i="5" s="1"/>
  <c r="O22" i="4"/>
  <c r="P22" i="4" s="1"/>
  <c r="O20" i="5"/>
  <c r="P20" i="5" s="1"/>
  <c r="O71" i="5"/>
  <c r="P71" i="5" s="1"/>
  <c r="O70" i="6"/>
  <c r="P70" i="6" s="1"/>
  <c r="O89" i="5"/>
  <c r="P89" i="5" s="1"/>
  <c r="O24" i="5"/>
  <c r="P24" i="5" s="1"/>
  <c r="O93" i="5"/>
  <c r="P93" i="5" s="1"/>
  <c r="O91" i="4"/>
  <c r="P91" i="4" s="1"/>
  <c r="O27" i="6"/>
  <c r="P27" i="6" s="1"/>
  <c r="O61" i="5"/>
  <c r="P61" i="5" s="1"/>
  <c r="O76" i="4"/>
  <c r="P76" i="4" s="1"/>
  <c r="O70" i="4"/>
  <c r="P70" i="4" s="1"/>
  <c r="O38" i="4"/>
  <c r="P38" i="4" s="1"/>
  <c r="O6" i="5"/>
  <c r="P6" i="5" s="1"/>
  <c r="O24" i="6"/>
  <c r="P24" i="6" s="1"/>
  <c r="O34" i="5"/>
  <c r="P34" i="5" s="1"/>
  <c r="O93" i="6"/>
  <c r="P93" i="6" s="1"/>
  <c r="O55" i="5"/>
  <c r="P55" i="5" s="1"/>
  <c r="O22" i="5"/>
  <c r="P22" i="5" s="1"/>
  <c r="O81" i="5"/>
  <c r="P81" i="5" s="1"/>
  <c r="O40" i="6"/>
  <c r="P40" i="6" s="1"/>
  <c r="O23" i="5"/>
  <c r="P23" i="5" s="1"/>
  <c r="O50" i="6"/>
  <c r="P50" i="6" s="1"/>
  <c r="O73" i="4"/>
  <c r="P73" i="4" s="1"/>
  <c r="O87" i="6"/>
  <c r="P87" i="6" s="1"/>
  <c r="O86" i="6"/>
  <c r="P86" i="6" s="1"/>
  <c r="O100" i="6"/>
  <c r="P100" i="6" s="1"/>
  <c r="O80" i="4"/>
  <c r="P80" i="4" s="1"/>
  <c r="O17" i="6"/>
  <c r="P17" i="6" s="1"/>
  <c r="O7" i="5"/>
  <c r="P7" i="5" s="1"/>
  <c r="O56" i="5"/>
  <c r="P56" i="5" s="1"/>
  <c r="O52" i="5"/>
  <c r="P52" i="5" s="1"/>
  <c r="O48" i="5"/>
  <c r="P48" i="5" s="1"/>
  <c r="O28" i="6"/>
  <c r="P28" i="6" s="1"/>
  <c r="O12" i="4"/>
  <c r="P12" i="4" s="1"/>
  <c r="O44" i="6"/>
  <c r="P44" i="6" s="1"/>
  <c r="O52" i="6"/>
  <c r="P52" i="6" s="1"/>
  <c r="O47" i="5"/>
  <c r="P47" i="5" s="1"/>
  <c r="O96" i="6"/>
  <c r="P96" i="6" s="1"/>
  <c r="O76" i="6"/>
  <c r="P76" i="6" s="1"/>
  <c r="O50" i="4"/>
  <c r="P50" i="4" s="1"/>
  <c r="O48" i="6"/>
  <c r="P48" i="6" s="1"/>
  <c r="O89" i="6"/>
  <c r="P89" i="6" s="1"/>
  <c r="O38" i="6"/>
  <c r="P38" i="6" s="1"/>
  <c r="O45" i="6"/>
  <c r="P45" i="6" s="1"/>
  <c r="O18" i="6"/>
  <c r="P18" i="6" s="1"/>
  <c r="O9" i="6"/>
  <c r="P9" i="6" s="1"/>
  <c r="O23" i="4"/>
  <c r="P23" i="4" s="1"/>
  <c r="O47" i="4"/>
  <c r="P47" i="4" s="1"/>
  <c r="O25" i="6"/>
  <c r="P25" i="6" s="1"/>
  <c r="O7" i="4"/>
  <c r="P7" i="4" s="1"/>
  <c r="O41" i="6"/>
  <c r="P41" i="6" s="1"/>
  <c r="O15" i="5"/>
  <c r="P15" i="5" s="1"/>
  <c r="O96" i="5"/>
  <c r="P96" i="5" s="1"/>
  <c r="O40" i="5"/>
  <c r="P40" i="5" s="1"/>
  <c r="O63" i="6"/>
  <c r="P63" i="6" s="1"/>
  <c r="O58" i="4"/>
  <c r="P58" i="4" s="1"/>
  <c r="O74" i="6"/>
  <c r="P74" i="6" s="1"/>
  <c r="O69" i="5"/>
  <c r="P69" i="5" s="1"/>
  <c r="O84" i="6"/>
  <c r="P84" i="6" s="1"/>
  <c r="O87" i="4"/>
  <c r="P87" i="4" s="1"/>
  <c r="O6" i="4"/>
  <c r="P6" i="4" s="1"/>
  <c r="O12" i="5"/>
  <c r="P12" i="5" s="1"/>
  <c r="O76" i="5"/>
  <c r="P76" i="5" s="1"/>
  <c r="O91" i="5"/>
  <c r="P91" i="5" s="1"/>
  <c r="O80" i="6"/>
  <c r="P80" i="6" s="1"/>
  <c r="O14" i="5"/>
  <c r="P14" i="5" s="1"/>
  <c r="O5" i="4"/>
  <c r="P5" i="4" s="1"/>
  <c r="O13" i="4"/>
  <c r="P13" i="4" s="1"/>
  <c r="O35" i="4"/>
  <c r="P35" i="4" s="1"/>
  <c r="O51" i="5"/>
  <c r="P51" i="5" s="1"/>
  <c r="O49" i="6"/>
  <c r="P49" i="6" s="1"/>
  <c r="O49" i="5"/>
  <c r="P49" i="5" s="1"/>
  <c r="O21" i="4"/>
  <c r="P21" i="4" s="1"/>
  <c r="O59" i="6"/>
  <c r="P59" i="6" s="1"/>
  <c r="O5" i="5"/>
  <c r="P5" i="5" s="1"/>
  <c r="O73" i="5"/>
  <c r="P73" i="5" s="1"/>
  <c r="O37" i="6"/>
  <c r="P37" i="6" s="1"/>
  <c r="O71" i="4"/>
  <c r="P71" i="4" s="1"/>
  <c r="O89" i="4"/>
  <c r="P89" i="4" s="1"/>
  <c r="O92" i="6"/>
  <c r="P92" i="6" s="1"/>
  <c r="O90" i="5"/>
  <c r="P90" i="5" s="1"/>
  <c r="O77" i="6"/>
  <c r="P77" i="6" s="1"/>
  <c r="O13" i="5"/>
  <c r="P13" i="5" s="1"/>
  <c r="O22" i="6"/>
  <c r="P22" i="6" s="1"/>
  <c r="O83" i="5"/>
  <c r="P83" i="5" s="1"/>
  <c r="O4" i="5"/>
  <c r="P4" i="5" s="1"/>
  <c r="O77" i="4"/>
  <c r="P77" i="4" s="1"/>
  <c r="O45" i="5"/>
  <c r="P45" i="5" s="1"/>
  <c r="O64" i="4"/>
  <c r="P64" i="4" s="1"/>
  <c r="O24" i="4"/>
  <c r="P24" i="4" s="1"/>
  <c r="O17" i="5"/>
  <c r="P17" i="5" s="1"/>
  <c r="O56" i="4"/>
  <c r="P56" i="4" s="1"/>
  <c r="O30" i="6"/>
  <c r="P30" i="6" s="1"/>
  <c r="O35" i="6"/>
  <c r="P35" i="6" s="1"/>
  <c r="O91" i="6"/>
  <c r="P91" i="6" s="1"/>
  <c r="N71" i="2"/>
  <c r="O71" i="2" s="1"/>
  <c r="N35" i="3"/>
  <c r="O35" i="3" s="1"/>
  <c r="N63" i="1"/>
  <c r="O63" i="1" s="1"/>
  <c r="N55" i="2"/>
  <c r="O55" i="2" s="1"/>
  <c r="N5" i="3"/>
  <c r="O5" i="3" s="1"/>
  <c r="N76" i="2"/>
  <c r="O76" i="2" s="1"/>
  <c r="N51" i="2"/>
  <c r="O51" i="2" s="1"/>
  <c r="N60" i="1"/>
  <c r="O60" i="1" s="1"/>
  <c r="N27" i="3"/>
  <c r="O27" i="3" s="1"/>
  <c r="N13" i="3"/>
  <c r="O13" i="3" s="1"/>
  <c r="O32" i="1"/>
  <c r="N6" i="2"/>
  <c r="O6" i="2" s="1"/>
  <c r="N74" i="3"/>
  <c r="O74" i="3" s="1"/>
  <c r="N71" i="1"/>
  <c r="O71" i="1" s="1"/>
  <c r="N47" i="2"/>
  <c r="O47" i="2" s="1"/>
  <c r="N48" i="2"/>
  <c r="O48" i="2" s="1"/>
  <c r="N14" i="1"/>
  <c r="O14" i="1" s="1"/>
  <c r="N93" i="3"/>
  <c r="O93" i="3" s="1"/>
  <c r="N56" i="3"/>
  <c r="O56" i="3" s="1"/>
  <c r="N35" i="2"/>
  <c r="O35" i="2" s="1"/>
  <c r="N58" i="3"/>
  <c r="O58" i="3" s="1"/>
  <c r="N87" i="2"/>
  <c r="O87" i="2" s="1"/>
  <c r="N63" i="2"/>
  <c r="O63" i="2" s="1"/>
  <c r="N5" i="2"/>
  <c r="O5" i="2" s="1"/>
  <c r="N21" i="3"/>
  <c r="O21" i="3" s="1"/>
  <c r="N14" i="3"/>
  <c r="O14" i="3" s="1"/>
  <c r="N28" i="3"/>
  <c r="O28" i="3" s="1"/>
  <c r="N10" i="3"/>
  <c r="O10" i="3" s="1"/>
  <c r="N34" i="2"/>
  <c r="O34" i="2" s="1"/>
  <c r="N91" i="2"/>
  <c r="O91" i="2" s="1"/>
  <c r="N69" i="1"/>
  <c r="O69" i="1" s="1"/>
  <c r="N79" i="3"/>
  <c r="O79" i="3" s="1"/>
  <c r="N20" i="2"/>
  <c r="O20" i="2" s="1"/>
  <c r="N91" i="3"/>
  <c r="O91" i="3" s="1"/>
  <c r="N65" i="2"/>
  <c r="O65" i="2" s="1"/>
  <c r="N61" i="2"/>
  <c r="O61" i="2" s="1"/>
  <c r="N22" i="1"/>
  <c r="O22" i="1" s="1"/>
  <c r="N89" i="2"/>
  <c r="O89" i="2" s="1"/>
  <c r="N4" i="2"/>
  <c r="O4" i="2" s="1"/>
  <c r="N6" i="1"/>
  <c r="O6" i="1" s="1"/>
  <c r="N18" i="1"/>
  <c r="O18" i="1" s="1"/>
  <c r="N93" i="1"/>
  <c r="O93" i="1" s="1"/>
  <c r="N92" i="3"/>
  <c r="O92" i="3" s="1"/>
  <c r="O59" i="3"/>
  <c r="N32" i="3"/>
  <c r="O32" i="3" s="1"/>
  <c r="N40" i="1"/>
  <c r="O40" i="1" s="1"/>
  <c r="N84" i="1"/>
  <c r="O84" i="1" s="1"/>
  <c r="N77" i="3"/>
  <c r="O77" i="3" s="1"/>
  <c r="N64" i="1"/>
  <c r="O64" i="1" s="1"/>
  <c r="N96" i="1"/>
  <c r="O96" i="1" s="1"/>
  <c r="N86" i="1"/>
  <c r="O86" i="1" s="1"/>
  <c r="N50" i="2"/>
  <c r="O50" i="2" s="1"/>
  <c r="N64" i="2"/>
  <c r="O64" i="2" s="1"/>
  <c r="O38" i="1"/>
  <c r="N38" i="3"/>
  <c r="O38" i="3" s="1"/>
  <c r="N50" i="1"/>
  <c r="O50" i="1" s="1"/>
  <c r="N6" i="3"/>
  <c r="O6" i="3" s="1"/>
  <c r="N93" i="2"/>
  <c r="O93" i="2" s="1"/>
  <c r="N9" i="3"/>
  <c r="O9" i="3" s="1"/>
  <c r="N20" i="3"/>
  <c r="O20" i="3" s="1"/>
  <c r="N12" i="2"/>
  <c r="O12" i="2" s="1"/>
  <c r="N11" i="2"/>
  <c r="O11" i="2" s="1"/>
  <c r="N41" i="3"/>
  <c r="O41" i="3" s="1"/>
  <c r="N44" i="1"/>
  <c r="O44" i="1" s="1"/>
  <c r="N52" i="1"/>
  <c r="O52" i="1" s="1"/>
  <c r="N80" i="2"/>
  <c r="O80" i="2" s="1"/>
  <c r="N76" i="3"/>
  <c r="O76" i="3" s="1"/>
  <c r="N92" i="1"/>
  <c r="O92" i="1" s="1"/>
  <c r="N4" i="3"/>
  <c r="O4" i="3" s="1"/>
  <c r="N22" i="3"/>
  <c r="O22" i="3" s="1"/>
  <c r="N12" i="3"/>
  <c r="O12" i="3" s="1"/>
  <c r="N63" i="3"/>
  <c r="O63" i="3" s="1"/>
  <c r="N46" i="1"/>
  <c r="O46" i="1" s="1"/>
  <c r="N24" i="3"/>
  <c r="O24" i="3" s="1"/>
  <c r="N10" i="1"/>
  <c r="O10" i="1" s="1"/>
  <c r="O58" i="1" l="1"/>
  <c r="V6" i="2"/>
  <c r="J53" i="5"/>
  <c r="W108" i="2" l="1"/>
  <c r="W91" i="2"/>
  <c r="W90" i="2"/>
  <c r="J54" i="5"/>
  <c r="K54" i="5" s="1"/>
  <c r="L54" i="5" s="1"/>
  <c r="K53" i="5"/>
  <c r="L53" i="5" s="1"/>
  <c r="M53" i="5" l="1"/>
  <c r="N53" i="5" s="1"/>
  <c r="M54" i="5"/>
  <c r="N54" i="5" s="1"/>
  <c r="O53" i="5" l="1"/>
  <c r="P53" i="5" s="1"/>
  <c r="O54" i="5"/>
  <c r="P54" i="5" s="1"/>
  <c r="H53" i="1" l="1"/>
  <c r="I53" i="1" l="1"/>
  <c r="J53" i="1" s="1"/>
  <c r="K53" i="1" s="1"/>
  <c r="P53" i="1"/>
  <c r="L53" i="1" l="1"/>
  <c r="M53" i="1" s="1"/>
  <c r="N53" i="1" l="1"/>
  <c r="O53" i="1" s="1"/>
  <c r="H54" i="1"/>
  <c r="P54" i="1" l="1"/>
  <c r="I54" i="1"/>
  <c r="J54" i="1" l="1"/>
  <c r="K54" i="1" s="1"/>
  <c r="L54" i="1" l="1"/>
  <c r="M54" i="1" s="1"/>
  <c r="N54" i="1" l="1"/>
  <c r="O54" i="1" s="1"/>
  <c r="H54" i="2"/>
  <c r="H53" i="2"/>
  <c r="AG53" i="2" l="1"/>
  <c r="I54" i="2"/>
  <c r="J54" i="2" s="1"/>
  <c r="K54" i="2" s="1"/>
  <c r="AG54" i="2"/>
  <c r="I53" i="2"/>
  <c r="H109" i="2" l="1"/>
  <c r="H108" i="2"/>
  <c r="L54" i="2"/>
  <c r="M54" i="2" s="1"/>
  <c r="J53" i="2"/>
  <c r="K53" i="2" s="1"/>
  <c r="I108" i="2" l="1"/>
  <c r="J108" i="2" s="1"/>
  <c r="K108" i="2" s="1"/>
  <c r="L108" i="2" s="1"/>
  <c r="M108" i="2" s="1"/>
  <c r="I109" i="2"/>
  <c r="J109" i="2" s="1"/>
  <c r="K109" i="2" s="1"/>
  <c r="L109" i="2" s="1"/>
  <c r="M109" i="2" s="1"/>
  <c r="L53" i="2"/>
  <c r="M53" i="2" s="1"/>
  <c r="N54" i="2"/>
  <c r="O54" i="2" s="1"/>
  <c r="N109" i="2" l="1"/>
  <c r="O109" i="2"/>
  <c r="N108" i="2"/>
  <c r="O108" i="2"/>
  <c r="N53" i="2"/>
  <c r="O53" i="2" s="1"/>
  <c r="H45" i="3"/>
  <c r="H53" i="3"/>
  <c r="H51" i="3"/>
  <c r="H49" i="3"/>
  <c r="H48" i="3"/>
  <c r="H54" i="3"/>
  <c r="H50" i="3"/>
  <c r="H47" i="3"/>
  <c r="H44" i="3"/>
  <c r="H52" i="3"/>
  <c r="H46" i="3"/>
  <c r="I44" i="3" l="1"/>
  <c r="P44" i="3"/>
  <c r="I52" i="3"/>
  <c r="P52" i="3"/>
  <c r="I46" i="3"/>
  <c r="J46" i="3" s="1"/>
  <c r="K46" i="3" s="1"/>
  <c r="P46" i="3"/>
  <c r="AG50" i="3"/>
  <c r="P50" i="3"/>
  <c r="I49" i="3"/>
  <c r="J49" i="3" s="1"/>
  <c r="K49" i="3" s="1"/>
  <c r="P49" i="3"/>
  <c r="I53" i="3"/>
  <c r="J53" i="3" s="1"/>
  <c r="K53" i="3" s="1"/>
  <c r="L53" i="3" s="1"/>
  <c r="M53" i="3" s="1"/>
  <c r="P53" i="3"/>
  <c r="I47" i="3"/>
  <c r="P47" i="3"/>
  <c r="I51" i="3"/>
  <c r="P51" i="3"/>
  <c r="AG54" i="3"/>
  <c r="P54" i="3"/>
  <c r="I48" i="3"/>
  <c r="J48" i="3" s="1"/>
  <c r="K48" i="3" s="1"/>
  <c r="P48" i="3"/>
  <c r="AG45" i="3"/>
  <c r="P45" i="3"/>
  <c r="AG52" i="3"/>
  <c r="AG47" i="3"/>
  <c r="AG44" i="3"/>
  <c r="AG49" i="3"/>
  <c r="AG51" i="3"/>
  <c r="AG48" i="3"/>
  <c r="AG53" i="3"/>
  <c r="I45" i="3"/>
  <c r="J52" i="3"/>
  <c r="K52" i="3" s="1"/>
  <c r="J44" i="3"/>
  <c r="K44" i="3" s="1"/>
  <c r="J47" i="3"/>
  <c r="K47" i="3" s="1"/>
  <c r="J51" i="3"/>
  <c r="K51" i="3" s="1"/>
  <c r="AG46" i="3"/>
  <c r="I50" i="3"/>
  <c r="I54" i="3"/>
  <c r="J45" i="3" l="1"/>
  <c r="K45" i="3" s="1"/>
  <c r="L45" i="3" s="1"/>
  <c r="M45" i="3" s="1"/>
  <c r="N45" i="3" s="1"/>
  <c r="O45" i="3" s="1"/>
  <c r="L49" i="3"/>
  <c r="M49" i="3" s="1"/>
  <c r="N53" i="3"/>
  <c r="O53" i="3" s="1"/>
  <c r="L48" i="3"/>
  <c r="M48" i="3" s="1"/>
  <c r="L47" i="3"/>
  <c r="M47" i="3" s="1"/>
  <c r="L52" i="3"/>
  <c r="M52" i="3" s="1"/>
  <c r="L44" i="3"/>
  <c r="M44" i="3" s="1"/>
  <c r="J50" i="3"/>
  <c r="K50" i="3" s="1"/>
  <c r="J54" i="3"/>
  <c r="K54" i="3" s="1"/>
  <c r="L46" i="3"/>
  <c r="M46" i="3" s="1"/>
  <c r="L51" i="3"/>
  <c r="M51" i="3" s="1"/>
  <c r="L54" i="3" l="1"/>
  <c r="M54" i="3" s="1"/>
  <c r="L50" i="3"/>
  <c r="M50" i="3" s="1"/>
  <c r="N52" i="3"/>
  <c r="O52" i="3" s="1"/>
  <c r="N48" i="3"/>
  <c r="O48" i="3" s="1"/>
  <c r="N47" i="3"/>
  <c r="O47" i="3" s="1"/>
  <c r="N46" i="3"/>
  <c r="O46" i="3" s="1"/>
  <c r="N49" i="3"/>
  <c r="O49" i="3" s="1"/>
  <c r="N51" i="3"/>
  <c r="O51" i="3" s="1"/>
  <c r="N44" i="3"/>
  <c r="O44" i="3" s="1"/>
  <c r="N50" i="3" l="1"/>
  <c r="O50" i="3" s="1"/>
  <c r="N54" i="3"/>
  <c r="O54" i="3" s="1"/>
  <c r="AG37" i="3"/>
  <c r="I37" i="3" l="1"/>
  <c r="J37" i="3" l="1"/>
  <c r="K37" i="3" s="1"/>
  <c r="M37" i="3" l="1"/>
  <c r="N37" i="3" l="1"/>
  <c r="O37" i="3" s="1"/>
  <c r="H100" i="1"/>
  <c r="P100" i="1" l="1"/>
  <c r="I100" i="1"/>
  <c r="J100" i="1" l="1"/>
  <c r="K100" i="1" s="1"/>
  <c r="L100" i="1" l="1"/>
  <c r="M100" i="1" s="1"/>
  <c r="N100" i="1" l="1"/>
  <c r="O100" i="1" s="1"/>
  <c r="J37" i="4" l="1"/>
  <c r="K37" i="4" s="1"/>
  <c r="L37" i="4" s="1"/>
  <c r="M37" i="4" l="1"/>
  <c r="N37" i="4" s="1"/>
  <c r="O37" i="4" l="1"/>
  <c r="P37" i="4" s="1"/>
</calcChain>
</file>

<file path=xl/sharedStrings.xml><?xml version="1.0" encoding="utf-8"?>
<sst xmlns="http://schemas.openxmlformats.org/spreadsheetml/2006/main" count="891" uniqueCount="222">
  <si>
    <t>Código</t>
  </si>
  <si>
    <t>Descripción</t>
  </si>
  <si>
    <t>EAN</t>
  </si>
  <si>
    <t>Kg. x Caja</t>
  </si>
  <si>
    <t>Cant. X Caja</t>
  </si>
  <si>
    <t>Precio de Factura</t>
  </si>
  <si>
    <t>Precio Neto estuche en factura</t>
  </si>
  <si>
    <t>IVA</t>
  </si>
  <si>
    <t>Px Unitario IVA Inc</t>
  </si>
  <si>
    <t>M-up Dx</t>
  </si>
  <si>
    <t>Px Unitario Minorista</t>
  </si>
  <si>
    <t>M-up Minorista</t>
  </si>
  <si>
    <t xml:space="preserve">Px Unitario Público </t>
  </si>
  <si>
    <t>Enero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</si>
  <si>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</si>
  <si>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</si>
  <si>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</si>
  <si>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</si>
  <si>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</si>
  <si>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</si>
  <si>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</si>
  <si>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</si>
  <si>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HAMBURGUESA 8X12X69G BURGER SWIFT</t>
  </si>
  <si>
    <t>MEDALLON 42X112G DOBLE BURGER SWIFT</t>
  </si>
  <si>
    <t>MEDALLON DOBLE BURGER 2X2</t>
  </si>
  <si>
    <t xml:space="preserve">HAMBURGUESA 30X250g CLASICA "XL" SWIFT </t>
  </si>
  <si>
    <r>
      <t xml:space="preserve">HAMBURGUESA 24X2X120g </t>
    </r>
    <r>
      <rPr>
        <b/>
        <sz val="9"/>
        <rFont val="Aptos Narrow"/>
        <family val="2"/>
        <scheme val="minor"/>
      </rPr>
      <t>CASERA</t>
    </r>
    <r>
      <rPr>
        <sz val="9"/>
        <rFont val="Aptos Narrow"/>
        <family val="2"/>
        <scheme val="minor"/>
      </rPr>
      <t xml:space="preserve"> SWIFT</t>
    </r>
  </si>
  <si>
    <t>HAMBURGUESA X-TREMA 36 x 185 grs</t>
  </si>
  <si>
    <t xml:space="preserve">HAMBURGUESAS 18X2X120g CLL BRA/ARG </t>
  </si>
  <si>
    <t>MEDALLON 42X112G LA BLANCA</t>
  </si>
  <si>
    <t>MEDALLON 12x4X69G LA BLANCA</t>
  </si>
  <si>
    <t>MEDALLONES 60X80g "SWIFT BURGER" PARRILLERAS FAMILY</t>
  </si>
  <si>
    <t>MEDALLONES 60X69g "SWIFT BURGER"PARRILLERAS  FAMILY</t>
  </si>
  <si>
    <t>MEDALLON 60X69G CARNE VACUNA</t>
  </si>
  <si>
    <t>MEDALLON 60x80g PARRILLERO MC SWIFT</t>
  </si>
  <si>
    <t>MEDALLON 60X109G CARNE VACUNA PARRILLERO SWIFT</t>
  </si>
  <si>
    <t xml:space="preserve">MEDALLON GIGANTE 48x113.5g </t>
  </si>
  <si>
    <t>HAMBURGUESA 36 X 185 GRS</t>
  </si>
  <si>
    <t>HAMBURGUESA 30x2x106 GRS</t>
  </si>
  <si>
    <t>SALCHICHAS 24X6 SWIFT</t>
  </si>
  <si>
    <t>SALCHICHAS 12X12 SWIFT</t>
  </si>
  <si>
    <t>SALCHICHAS SIN PIEL 24X6 "SWIFT KIDS" X 190 g</t>
  </si>
  <si>
    <t>SALCHICHAS  LARGAS  10 x 12  SWIFT  INSTITUCIONAL</t>
  </si>
  <si>
    <t>SALCHICHAS SIN PIEL "LA BLANCA"  24X6X190 Grs;</t>
  </si>
  <si>
    <t xml:space="preserve">SALCHICHAS LARGAS 10 x 12 x 870g  </t>
  </si>
  <si>
    <t>PATE DE FOIE 24X90G SWIFT</t>
  </si>
  <si>
    <t xml:space="preserve">PICADILLO DE CARNE 24X90G SWIFT 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</si>
  <si>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</si>
  <si>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</si>
  <si>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</si>
  <si>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</si>
  <si>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</si>
  <si>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</si>
  <si>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</si>
  <si>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</si>
  <si>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</si>
  <si>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>PICADILLO DE CARNE 24X90G LA BLANCA</t>
  </si>
  <si>
    <t>PATE DE FOIE 24X90G LA BLANCA</t>
  </si>
  <si>
    <t>PICADILLO DE CARNE 24X90G SAFRA</t>
  </si>
  <si>
    <t>PATE DE FOIE 24X90G SAFRA</t>
  </si>
  <si>
    <t>MILANESAS DE  SOJA CLASICAS PREFRITA</t>
  </si>
  <si>
    <t>MILANESAS DE  SOJA RELLENAS CON JAMON Y QUESO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</si>
  <si>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</si>
  <si>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</si>
  <si>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</si>
  <si>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</si>
  <si>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POLLO "SWIFT" - 10x760g</t>
  </si>
  <si>
    <t>BOCADITOS DE POLLO GASTRONOMICOS "LA BLANCA" - x6kg</t>
  </si>
  <si>
    <t>PALITO DE POLLO "SWIFT"  12 X 260 Grs.</t>
  </si>
  <si>
    <t>PALITO DE POLLO "SWIFT"  8 X 1 Kg..</t>
  </si>
  <si>
    <t>MEDALLONES DE POLLO "SWIFT" - 12x4x80g</t>
  </si>
  <si>
    <t>MEDALLONES DE POLLO GASTRONÓMICO  8x12x80 Grs.</t>
  </si>
  <si>
    <t>PAPAS PREFRITAS SUPERCONGELADAS 25x400gr</t>
  </si>
  <si>
    <t>PAPAS PREFRITAS SUPERCONGELADAS 6x2000gr</t>
  </si>
  <si>
    <t>MILANESA DE CARNE VACUNA CONGELADA 24un x 500grs</t>
  </si>
  <si>
    <t>MILANESA DE CARNE VACUNA CONGELADA 12un x 1000grs</t>
  </si>
  <si>
    <t xml:space="preserve">MILANESAS DE CARNE VACUNA CONG GRANEL 5 kg </t>
  </si>
  <si>
    <t>GRASA VACUNA REFINADA SWIFT 10 X 500</t>
  </si>
  <si>
    <t>GRASA VACUNA REFINADA SWIFT 12x1Kg</t>
  </si>
  <si>
    <t>CARNE PICADA CONGELADA 36 UN X 500 g SWIFT</t>
  </si>
  <si>
    <t>CARNE PICADA CONGELADA 20 UN X 1 kg SWIFT</t>
  </si>
  <si>
    <t>ENTRAÑA FINA ENF SWIFT</t>
  </si>
  <si>
    <t>ROAST BEEF EN PORCIONES ENF SWIFT (L)</t>
  </si>
  <si>
    <t>CARNAZA CUADRADA EN PORCIONES ENF SWIFT (L)</t>
  </si>
  <si>
    <t>TAPA DE ASADO EN PORCIONES ENF SWIFT (L)</t>
  </si>
  <si>
    <t>VACIO EN PORCIONES NOV ENFRIADO PARA VENTA LOCAL (L)</t>
  </si>
  <si>
    <t>CHORIZOS FRESCOS DE CERDO LIBRE DE GLUTEN</t>
  </si>
  <si>
    <t>PAPAS PRE COCIDAS SUPERCONGELADAS LIBRES DE GLUTEN 700G</t>
  </si>
  <si>
    <t>Precio de Lista</t>
  </si>
  <si>
    <t>MILANESAS DE CARNE VACUNA CONG GRANEL 5 kg (CAL GR)</t>
  </si>
  <si>
    <t>Dcto</t>
  </si>
  <si>
    <t>PATY VIENA</t>
  </si>
  <si>
    <t>VIENISSIMA</t>
  </si>
  <si>
    <t>PALADINI</t>
  </si>
  <si>
    <t>ICB</t>
  </si>
  <si>
    <t>PANCHIN</t>
  </si>
  <si>
    <t>PATY FUN</t>
  </si>
  <si>
    <t>JET FOOD</t>
  </si>
  <si>
    <t>la negra</t>
  </si>
  <si>
    <t>changuito</t>
  </si>
  <si>
    <t>Precio de factura</t>
  </si>
  <si>
    <t>dcto</t>
  </si>
  <si>
    <t>NUGGETS DE ESPINACA 300GR</t>
  </si>
  <si>
    <t>NUGGETS DE BRÓCOLI 300GR</t>
  </si>
  <si>
    <t>MEDALLÓN DE CALABAZA Y CHOCLO 300GR</t>
  </si>
  <si>
    <t>MEDALLÓN DE ESPINACA 300GR</t>
  </si>
  <si>
    <t>VAR %</t>
  </si>
  <si>
    <t>Var %</t>
  </si>
  <si>
    <t>CONDICIÓN</t>
  </si>
  <si>
    <t>ACCIÓN VIA NC: COMBO CLASICA 2 X 80 + CHORIZOS</t>
  </si>
  <si>
    <t>Con la compra de 1 caja de 21632 + 2 unidades de Chorizos --&gt; 10% de dcto en ambos SKU</t>
  </si>
  <si>
    <t>VER CUPOS</t>
  </si>
  <si>
    <t>DCTO (%)</t>
  </si>
  <si>
    <t>Px ACCIÓN CAJA ($)</t>
  </si>
  <si>
    <t>Px Acción estuche ($)</t>
  </si>
  <si>
    <t>Px oferta (%)</t>
  </si>
  <si>
    <t>CUPO (Cajas)</t>
  </si>
  <si>
    <t>PX ABR</t>
  </si>
  <si>
    <t>Con la compra de 1 caja de 21632 + 7 unidades de PAPAS --&gt; 10% de dcto en ambos SKU</t>
  </si>
  <si>
    <t>Con la compra de 1 caja de 21632 + 1 unidades de cada veggie --&gt; 10% de dcto en 21632 Y 15% de dcto en veggies</t>
  </si>
  <si>
    <t>CRUNCHIES DE POLLO "SWIFT" - 12x380g</t>
  </si>
  <si>
    <t>BOCADITOS DE POLLO "SWIFT KIDS" - 12x400g</t>
  </si>
  <si>
    <t>MILANESITAS DE CARNE "SWIFT" - 12x400g</t>
  </si>
  <si>
    <t xml:space="preserve">MC CAIN </t>
  </si>
  <si>
    <t>SIMPLOT</t>
  </si>
  <si>
    <t>PALA</t>
  </si>
  <si>
    <t>MC CAIN</t>
  </si>
  <si>
    <t>CRUNCHIES DE POLLO "SWIFT" - 10x760g</t>
  </si>
  <si>
    <t>LUCHETTI</t>
  </si>
  <si>
    <t>NUTRITE</t>
  </si>
  <si>
    <t>FRIAR</t>
  </si>
  <si>
    <t>patitas</t>
  </si>
  <si>
    <t>SEPT</t>
  </si>
  <si>
    <t>SKU</t>
  </si>
  <si>
    <t>Px</t>
  </si>
  <si>
    <t>Px oferta</t>
  </si>
  <si>
    <t>Volumen</t>
  </si>
  <si>
    <t>4 pallets</t>
  </si>
  <si>
    <t>2 pallets</t>
  </si>
  <si>
    <t>50 cajas</t>
  </si>
  <si>
    <t>Obs</t>
  </si>
  <si>
    <t>Dcto a precio en factura</t>
  </si>
  <si>
    <t>Dcto via NC</t>
  </si>
  <si>
    <t>Px público</t>
  </si>
  <si>
    <t>Para competir con Grangys</t>
  </si>
  <si>
    <t>SEP</t>
  </si>
  <si>
    <t>Picadillo de Carne Picante Chile Chipotle 24x90 g</t>
  </si>
  <si>
    <t>Pate de Foie Jalapeño 24x90 Swift</t>
  </si>
  <si>
    <t>BONDIOLA DE CERDO CONGELADA</t>
  </si>
  <si>
    <t>OCT</t>
  </si>
  <si>
    <t>PATITAS</t>
  </si>
  <si>
    <t>850 NUTRITE</t>
  </si>
  <si>
    <t>MANTENEMOS PX</t>
  </si>
  <si>
    <t>MANTENMOS PX</t>
  </si>
  <si>
    <t>CHORIZOS FRESCOS DE CERDO CONGELADOS LIBRE DE GLUTEN 12u x 400g</t>
  </si>
  <si>
    <t>NOV</t>
  </si>
  <si>
    <t>OFERTA Compra 10 FLOW + 1 de regalo</t>
  </si>
  <si>
    <t>Conveniencia vs 22085: Oferta $3.500</t>
  </si>
  <si>
    <t>LOMO DE ATUN AL NATURAL SWIFT 170g</t>
  </si>
  <si>
    <t>LOMO DE ATUN EN ACEITE SWIFT 170g</t>
  </si>
  <si>
    <t>Px LISTA: $2.500 + además compra 9 estuches + 2 de regalo ----&gt; OFERTA $1.875 Público</t>
  </si>
  <si>
    <t>CHORIZOS CONGELADOS DE CERDO LIBRE DE GLUTEN SWIFT GRANEL</t>
  </si>
  <si>
    <t>Papas Prefritas Supercongeladas libres de gluten 7u x 2 kg</t>
  </si>
  <si>
    <t/>
  </si>
  <si>
    <t>Compra 11 estuches + 1 de regalo ----&gt; OFERTA $2.100 público</t>
  </si>
  <si>
    <t>Conveniencia vs 22085: Oferta $3.990</t>
  </si>
  <si>
    <t>Oferta incluida en lista: $1.700</t>
  </si>
  <si>
    <t>Contra 10 estuches + 1 de regalo</t>
  </si>
  <si>
    <t>compra 10 estuches + 2 de regalo ----&gt; OFERTA $2.050 público</t>
  </si>
  <si>
    <t>OFERTA compra 7 bolsas , recibe 8.</t>
  </si>
  <si>
    <t>CHORIZOS CONGELADOS DE CERDO LIBRE DE GLUTEN SWIFT GRANEL: 8 paq x 20 u (2kg por paq)</t>
  </si>
  <si>
    <t>OFERTAS Y ACCIONES</t>
  </si>
  <si>
    <t>Precio oferta</t>
  </si>
  <si>
    <t>Oferta 10+1</t>
  </si>
  <si>
    <t>COMPRA 20 ESTUCHES + 1 DE REGALO</t>
  </si>
  <si>
    <t>Conveniencia vs 22085: Oferta $4150</t>
  </si>
  <si>
    <t>Oferta neteada en lista $3057</t>
  </si>
  <si>
    <t>Oferta neteada en lista $4066</t>
  </si>
  <si>
    <t>OFERTA INCORPORACION.</t>
  </si>
  <si>
    <t>Combo Rebozados: 1 crunchies + 1 milanesitas = 4 kids en 2x1</t>
  </si>
  <si>
    <t>Acción BI por volumen</t>
  </si>
  <si>
    <t>Oferta a px en factura neteada en lista, para $2.920 público</t>
  </si>
  <si>
    <t>Oferta a px en factura neteada en lista, para $5.743 público</t>
  </si>
  <si>
    <t>1 paq. Gratis x caja ---&gt; OFERTA $13.000.</t>
  </si>
  <si>
    <t>OFERTA $2.200 público</t>
  </si>
  <si>
    <t>Oferta a px en factura para $4.950 público</t>
  </si>
  <si>
    <t>Oferta a px en factura para $4.250 público</t>
  </si>
  <si>
    <t>Acción flex para $3000 (solo estratégicos- ver cupos)</t>
  </si>
  <si>
    <t>COMBO CON CLASICA X 2: 1 caja clásica + 3 chorizos sin cargo (vía NC). Apuntada a realizar cobertura (ver cupos)</t>
  </si>
  <si>
    <t>OFERTA $2.250 público</t>
  </si>
  <si>
    <t>Conveniencia vs 22085: Oferta $4275</t>
  </si>
  <si>
    <t>1 paq. Gratis x caja ---&gt; OFERTA $13.300.</t>
  </si>
  <si>
    <t>*+3.5% VS MA. Accion a px $3.050 vs $3.400 Paty y $2.600 Friar</t>
  </si>
  <si>
    <t>Oferta neteada en lista: $2.260 para activar estrategia Sandwich vs Friar 2x80 a $2600----&gt; $2.260 con Mega y $3.050 con Clásica</t>
  </si>
  <si>
    <t>Compra 9 estuches + 1 de regalo. +4% vs ma</t>
  </si>
  <si>
    <t>Dcto a px en factura para oferta $1.085 vs $1.145 Friar</t>
  </si>
  <si>
    <t>Oferta: compra 10 estuches + 2 de regalo ----&gt; OFERTA $2.188 público</t>
  </si>
  <si>
    <t>Oferta neteada en lista $2968</t>
  </si>
  <si>
    <t>Oferta neteada en lista $4080</t>
  </si>
  <si>
    <t>1 paq. Gratis x caja ---&gt; OFERTA $12.500.</t>
  </si>
  <si>
    <t>Oferta a px en factura neteada en lista, para $3160 público</t>
  </si>
  <si>
    <t>Oferta a px en factura neteada en lista, para $6214 público</t>
  </si>
  <si>
    <t>Oferta a px en factura para $4.710 público</t>
  </si>
  <si>
    <t>Oferta a px en factura para $4.043 público</t>
  </si>
  <si>
    <t>1 paq. Gratis x caja ---&gt; OFERTA $13.440.</t>
  </si>
  <si>
    <t>Oferta a px en factura para $5056 público</t>
  </si>
  <si>
    <t>Oferta a px en factura para $4.347público</t>
  </si>
  <si>
    <t>*+3.5% VS MA. Accion a px $3.280 vs $3.400 Paty y $2.600 Friar</t>
  </si>
  <si>
    <t>Oferta neteada en lista: $2.430 para activar estrategia Sandwich vs Friar 2x80 a $2600----&gt; $2.430 con Mega y $3.280 con Clásica</t>
  </si>
  <si>
    <t>Dcto por posicionamiento para oferta a $4.200. +5% vs ma</t>
  </si>
  <si>
    <t>Compra 9 estuches + 3 de regalo ----&gt; OFERTA $1.930 Público</t>
  </si>
  <si>
    <t>Oferta neteada en lista $4097</t>
  </si>
  <si>
    <t>Oferta neteada en lista $2873</t>
  </si>
  <si>
    <t>Oferta a px en factura neteada en lista, para $2.865 público</t>
  </si>
  <si>
    <t>Oferta a px en factura neteada en lista, para $5.634 público</t>
  </si>
  <si>
    <t>Dcto por posicionamiento para oferta a $4.500. +5% vs ma</t>
  </si>
  <si>
    <t>Compra 9 estuches + 3 de regalo ----&gt; OFERTA $2075 Público</t>
  </si>
  <si>
    <t>Oferta incluida en lista: $1.730 público</t>
  </si>
  <si>
    <t>Oferta incluida en lista: $1.861 público</t>
  </si>
  <si>
    <t>Oferta neteada en lista $3089</t>
  </si>
  <si>
    <t>Oferta neteada en lista $4405</t>
  </si>
  <si>
    <t>1 paq. Gratis x caja ---&gt; OFERTA $13340.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</si>
</sst>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0_ ;[Red]\-#,##0.00\ "/>
    <numFmt numFmtId="165" formatCode="#,##0_ ;[Red]\-#,##0\ "/>
    <numFmt numFmtId="166" formatCode="#,##0.0_ ;[Red]\-#,##0.0\ "/>
    <numFmt numFmtId="167" formatCode="0.0%"/>
    <numFmt numFmtId="168" formatCode="0.000"/>
    <numFmt numFmtId="169" formatCode="_-&quot;$&quot;\ * #,##0.0_-;\-&quot;$&quot;\ * #,##0.0_-;_-&quot;$&quot;\ * &quot;-&quot;??_-;_-@_-"/>
    <numFmt numFmtId="170" formatCode="0.000%"/>
    <numFmt numFmtId="171" formatCode="_-&quot;$&quot;\ * #,##0_-;\-&quot;$&quot;\ * #,##0_-;_-&quot;$&quot;\ * &quot;-&quot;??_-;_-@_-"/>
    <numFmt numFmtId="172" formatCode="0.0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b/>
      <sz val="9"/>
      <color indexed="9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2"/>
      <color rgb="FF002060"/>
      <name val="Times New Roman"/>
      <family val="1"/>
    </font>
    <font>
      <sz val="12"/>
      <color theme="1"/>
      <name val="Aptos"/>
      <family val="2"/>
    </font>
    <font>
      <b/>
      <sz val="9"/>
      <color indexed="1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"/>
      <family val="2"/>
    </font>
  </fonts>
  <fills count="41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medium">
        <color indexed="64"/>
      </top>
      <bottom style="thin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6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5" applyNumberFormat="0" applyFill="0" applyAlignment="0" applyProtection="0"/>
    <xf numFmtId="0" fontId="16" fillId="0" borderId="26" applyNumberFormat="0" applyFill="0" applyAlignment="0" applyProtection="0"/>
    <xf numFmtId="0" fontId="17" fillId="0" borderId="27" applyNumberFormat="0" applyFill="0" applyAlignment="0" applyProtection="0"/>
    <xf numFmtId="0" fontId="17" fillId="0" borderId="0" applyNumberFormat="0" applyFill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1" fillId="12" borderId="28" applyNumberFormat="0" applyAlignment="0" applyProtection="0"/>
    <xf numFmtId="0" fontId="22" fillId="13" borderId="29" applyNumberFormat="0" applyAlignment="0" applyProtection="0"/>
    <xf numFmtId="0" fontId="23" fillId="13" borderId="28" applyNumberFormat="0" applyAlignment="0" applyProtection="0"/>
    <xf numFmtId="0" fontId="24" fillId="0" borderId="30" applyNumberFormat="0" applyFill="0" applyAlignment="0" applyProtection="0"/>
    <xf numFmtId="0" fontId="25" fillId="14" borderId="31" applyNumberFormat="0" applyAlignment="0" applyProtection="0"/>
    <xf numFmtId="0" fontId="26" fillId="0" borderId="0" applyNumberFormat="0" applyFill="0" applyBorder="0" applyAlignment="0" applyProtection="0"/>
    <xf numFmtId="0" fontId="1" fillId="15" borderId="32" applyNumberFormat="0" applyFont="0" applyAlignment="0" applyProtection="0"/>
    <xf numFmtId="0" fontId="27" fillId="0" borderId="0" applyNumberFormat="0" applyFill="0" applyBorder="0" applyAlignment="0" applyProtection="0"/>
    <xf numFmtId="0" fontId="12" fillId="0" borderId="33" applyNumberFormat="0" applyFill="0" applyAlignment="0" applyProtection="0"/>
    <xf numFmtId="0" fontId="28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8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8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8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8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4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2" fillId="0" borderId="0" xfId="0" applyNumberFormat="1" applyFont="1"/>
    <xf numFmtId="0" fontId="4" fillId="2" borderId="1" xfId="2" applyFont="1" applyFill="1" applyBorder="1" applyAlignment="1">
      <alignment horizontal="center" vertical="distributed"/>
    </xf>
    <xf numFmtId="0" fontId="4" fillId="2" borderId="2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distributed"/>
    </xf>
    <xf numFmtId="2" fontId="4" fillId="2" borderId="2" xfId="2" applyNumberFormat="1" applyFont="1" applyFill="1" applyBorder="1" applyAlignment="1">
      <alignment horizontal="center" vertical="distributed"/>
    </xf>
    <xf numFmtId="0" fontId="4" fillId="2" borderId="2" xfId="2" applyFont="1" applyFill="1" applyBorder="1" applyAlignment="1">
      <alignment horizontal="center" vertical="center" wrapText="1"/>
    </xf>
    <xf numFmtId="1" fontId="4" fillId="2" borderId="3" xfId="2" applyNumberFormat="1" applyFont="1" applyFill="1" applyBorder="1" applyAlignment="1">
      <alignment horizontal="center" vertical="center" wrapText="1"/>
    </xf>
    <xf numFmtId="1" fontId="4" fillId="0" borderId="0" xfId="2" applyNumberFormat="1" applyFont="1" applyAlignment="1">
      <alignment horizontal="center" vertical="center" wrapText="1"/>
    </xf>
    <xf numFmtId="14" fontId="4" fillId="3" borderId="3" xfId="2" applyNumberFormat="1" applyFont="1" applyFill="1" applyBorder="1" applyAlignment="1">
      <alignment horizontal="center" vertical="center" wrapText="1"/>
    </xf>
    <xf numFmtId="0" fontId="5" fillId="4" borderId="4" xfId="2" applyFont="1" applyFill="1" applyBorder="1" applyAlignment="1" applyProtection="1">
      <alignment horizontal="center" vertical="center"/>
      <protection hidden="1"/>
    </xf>
    <xf numFmtId="0" fontId="5" fillId="4" borderId="5" xfId="2" applyFont="1" applyFill="1" applyBorder="1" applyAlignment="1" applyProtection="1">
      <alignment vertical="center"/>
      <protection hidden="1"/>
    </xf>
    <xf numFmtId="0" fontId="5" fillId="4" borderId="5" xfId="2" applyFont="1" applyFill="1" applyBorder="1" applyAlignment="1" applyProtection="1">
      <alignment horizontal="center" vertical="center"/>
      <protection hidden="1"/>
    </xf>
    <xf numFmtId="2" fontId="5" fillId="4" borderId="5" xfId="2" applyNumberFormat="1" applyFont="1" applyFill="1" applyBorder="1" applyAlignment="1" applyProtection="1">
      <alignment vertical="center"/>
      <protection hidden="1"/>
    </xf>
    <xf numFmtId="0" fontId="2" fillId="5" borderId="5" xfId="0" applyFont="1" applyFill="1" applyBorder="1"/>
    <xf numFmtId="9" fontId="2" fillId="5" borderId="5" xfId="0" applyNumberFormat="1" applyFont="1" applyFill="1" applyBorder="1"/>
    <xf numFmtId="1" fontId="2" fillId="5" borderId="6" xfId="0" applyNumberFormat="1" applyFont="1" applyFill="1" applyBorder="1"/>
    <xf numFmtId="0" fontId="6" fillId="0" borderId="7" xfId="3" applyFont="1" applyBorder="1" applyAlignment="1">
      <alignment horizontal="center"/>
    </xf>
    <xf numFmtId="0" fontId="6" fillId="0" borderId="8" xfId="3" applyFont="1" applyBorder="1"/>
    <xf numFmtId="1" fontId="6" fillId="0" borderId="8" xfId="2" applyNumberFormat="1" applyFont="1" applyBorder="1" applyAlignment="1">
      <alignment horizontal="center"/>
    </xf>
    <xf numFmtId="164" fontId="5" fillId="0" borderId="8" xfId="2" applyNumberFormat="1" applyFont="1" applyBorder="1" applyAlignment="1">
      <alignment horizontal="center"/>
    </xf>
    <xf numFmtId="165" fontId="5" fillId="0" borderId="8" xfId="2" applyNumberFormat="1" applyFont="1" applyBorder="1" applyAlignment="1">
      <alignment horizontal="center"/>
    </xf>
    <xf numFmtId="2" fontId="6" fillId="0" borderId="8" xfId="2" applyNumberFormat="1" applyFont="1" applyBorder="1" applyAlignment="1">
      <alignment horizontal="center"/>
    </xf>
    <xf numFmtId="1" fontId="6" fillId="0" borderId="9" xfId="2" applyNumberFormat="1" applyFont="1" applyBorder="1" applyAlignment="1">
      <alignment horizontal="center"/>
    </xf>
    <xf numFmtId="0" fontId="6" fillId="0" borderId="7" xfId="3" applyFont="1" applyFill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6" fillId="0" borderId="8" xfId="2" applyFont="1" applyBorder="1" applyAlignment="1">
      <alignment horizontal="left"/>
    </xf>
    <xf numFmtId="2" fontId="6" fillId="6" borderId="8" xfId="2" applyNumberFormat="1" applyFont="1" applyFill="1" applyBorder="1" applyAlignment="1">
      <alignment horizontal="center"/>
    </xf>
    <xf numFmtId="0" fontId="6" fillId="0" borderId="8" xfId="3" applyFont="1" applyFill="1" applyBorder="1"/>
    <xf numFmtId="1" fontId="6" fillId="0" borderId="8" xfId="3" applyNumberFormat="1" applyFont="1" applyFill="1" applyBorder="1" applyAlignment="1">
      <alignment horizontal="center"/>
    </xf>
    <xf numFmtId="0" fontId="5" fillId="4" borderId="7" xfId="2" applyFont="1" applyFill="1" applyBorder="1" applyAlignment="1" applyProtection="1">
      <alignment horizontal="center" vertical="center"/>
      <protection hidden="1"/>
    </xf>
    <xf numFmtId="0" fontId="5" fillId="4" borderId="8" xfId="2" applyFont="1" applyFill="1" applyBorder="1" applyAlignment="1" applyProtection="1">
      <alignment vertical="center"/>
      <protection hidden="1"/>
    </xf>
    <xf numFmtId="0" fontId="5" fillId="4" borderId="8" xfId="2" applyFont="1" applyFill="1" applyBorder="1" applyAlignment="1" applyProtection="1">
      <alignment horizontal="center" vertical="center"/>
      <protection hidden="1"/>
    </xf>
    <xf numFmtId="165" fontId="5" fillId="4" borderId="8" xfId="2" applyNumberFormat="1" applyFont="1" applyFill="1" applyBorder="1" applyAlignment="1" applyProtection="1">
      <alignment vertical="center"/>
      <protection hidden="1"/>
    </xf>
    <xf numFmtId="2" fontId="6" fillId="4" borderId="8" xfId="2" applyNumberFormat="1" applyFont="1" applyFill="1" applyBorder="1" applyAlignment="1" applyProtection="1">
      <alignment vertical="center"/>
      <protection hidden="1"/>
    </xf>
    <xf numFmtId="0" fontId="2" fillId="5" borderId="8" xfId="0" applyFont="1" applyFill="1" applyBorder="1"/>
    <xf numFmtId="9" fontId="2" fillId="5" borderId="8" xfId="0" applyNumberFormat="1" applyFont="1" applyFill="1" applyBorder="1"/>
    <xf numFmtId="1" fontId="2" fillId="5" borderId="9" xfId="0" applyNumberFormat="1" applyFont="1" applyFill="1" applyBorder="1"/>
    <xf numFmtId="2" fontId="2" fillId="0" borderId="8" xfId="2" applyNumberFormat="1" applyFont="1" applyBorder="1" applyAlignment="1">
      <alignment horizontal="center"/>
    </xf>
    <xf numFmtId="0" fontId="8" fillId="0" borderId="7" xfId="2" applyFont="1" applyBorder="1" applyAlignment="1">
      <alignment horizontal="center"/>
    </xf>
    <xf numFmtId="0" fontId="8" fillId="0" borderId="8" xfId="2" applyFont="1" applyBorder="1" applyAlignment="1">
      <alignment horizontal="left"/>
    </xf>
    <xf numFmtId="1" fontId="8" fillId="0" borderId="8" xfId="2" applyNumberFormat="1" applyFont="1" applyBorder="1" applyAlignment="1">
      <alignment horizontal="center"/>
    </xf>
    <xf numFmtId="164" fontId="9" fillId="0" borderId="8" xfId="2" applyNumberFormat="1" applyFont="1" applyBorder="1" applyAlignment="1">
      <alignment horizontal="center"/>
    </xf>
    <xf numFmtId="165" fontId="9" fillId="0" borderId="8" xfId="2" applyNumberFormat="1" applyFont="1" applyBorder="1" applyAlignment="1">
      <alignment horizontal="center"/>
    </xf>
    <xf numFmtId="2" fontId="8" fillId="0" borderId="8" xfId="2" applyNumberFormat="1" applyFont="1" applyBorder="1" applyAlignment="1">
      <alignment horizontal="center"/>
    </xf>
    <xf numFmtId="1" fontId="8" fillId="0" borderId="9" xfId="2" applyNumberFormat="1" applyFont="1" applyBorder="1" applyAlignment="1">
      <alignment horizontal="center"/>
    </xf>
    <xf numFmtId="1" fontId="8" fillId="0" borderId="8" xfId="2" applyNumberFormat="1" applyFont="1" applyBorder="1" applyAlignment="1">
      <alignment horizontal="left"/>
    </xf>
    <xf numFmtId="0" fontId="5" fillId="4" borderId="10" xfId="2" applyFont="1" applyFill="1" applyBorder="1" applyAlignment="1" applyProtection="1">
      <alignment horizontal="center" vertical="center"/>
      <protection hidden="1"/>
    </xf>
    <xf numFmtId="0" fontId="5" fillId="4" borderId="11" xfId="2" applyFont="1" applyFill="1" applyBorder="1" applyAlignment="1" applyProtection="1">
      <alignment vertical="center"/>
      <protection hidden="1"/>
    </xf>
    <xf numFmtId="0" fontId="5" fillId="4" borderId="11" xfId="2" applyFont="1" applyFill="1" applyBorder="1" applyAlignment="1" applyProtection="1">
      <alignment horizontal="center" vertical="center"/>
      <protection hidden="1"/>
    </xf>
    <xf numFmtId="165" fontId="5" fillId="4" borderId="11" xfId="2" applyNumberFormat="1" applyFont="1" applyFill="1" applyBorder="1" applyAlignment="1" applyProtection="1">
      <alignment vertical="center"/>
      <protection hidden="1"/>
    </xf>
    <xf numFmtId="2" fontId="6" fillId="4" borderId="11" xfId="2" applyNumberFormat="1" applyFont="1" applyFill="1" applyBorder="1" applyAlignment="1" applyProtection="1">
      <alignment vertical="center"/>
      <protection hidden="1"/>
    </xf>
    <xf numFmtId="1" fontId="6" fillId="4" borderId="12" xfId="2" applyNumberFormat="1" applyFont="1" applyFill="1" applyBorder="1" applyAlignment="1" applyProtection="1">
      <alignment vertical="center"/>
      <protection hidden="1"/>
    </xf>
    <xf numFmtId="1" fontId="6" fillId="4" borderId="13" xfId="2" applyNumberFormat="1" applyFont="1" applyFill="1" applyBorder="1" applyAlignment="1" applyProtection="1">
      <alignment vertical="center"/>
      <protection hidden="1"/>
    </xf>
    <xf numFmtId="0" fontId="6" fillId="0" borderId="14" xfId="2" applyFont="1" applyBorder="1" applyAlignment="1">
      <alignment horizontal="center"/>
    </xf>
    <xf numFmtId="0" fontId="6" fillId="0" borderId="15" xfId="2" applyFont="1" applyBorder="1" applyAlignment="1">
      <alignment horizontal="left"/>
    </xf>
    <xf numFmtId="1" fontId="8" fillId="0" borderId="16" xfId="2" applyNumberFormat="1" applyFont="1" applyBorder="1" applyAlignment="1">
      <alignment horizontal="left"/>
    </xf>
    <xf numFmtId="164" fontId="5" fillId="0" borderId="15" xfId="2" applyNumberFormat="1" applyFont="1" applyBorder="1" applyAlignment="1">
      <alignment horizontal="center"/>
    </xf>
    <xf numFmtId="165" fontId="5" fillId="0" borderId="15" xfId="2" applyNumberFormat="1" applyFont="1" applyBorder="1" applyAlignment="1">
      <alignment horizontal="center"/>
    </xf>
    <xf numFmtId="2" fontId="6" fillId="0" borderId="15" xfId="2" applyNumberFormat="1" applyFont="1" applyBorder="1" applyAlignment="1">
      <alignment horizontal="center"/>
    </xf>
    <xf numFmtId="1" fontId="6" fillId="0" borderId="17" xfId="2" applyNumberFormat="1" applyFont="1" applyBorder="1" applyAlignment="1">
      <alignment horizontal="center"/>
    </xf>
    <xf numFmtId="1" fontId="8" fillId="0" borderId="18" xfId="2" applyNumberFormat="1" applyFont="1" applyBorder="1" applyAlignment="1">
      <alignment horizontal="left"/>
    </xf>
    <xf numFmtId="0" fontId="6" fillId="0" borderId="19" xfId="2" applyFont="1" applyBorder="1" applyAlignment="1">
      <alignment horizontal="center"/>
    </xf>
    <xf numFmtId="0" fontId="6" fillId="0" borderId="20" xfId="2" applyFont="1" applyBorder="1" applyAlignment="1">
      <alignment horizontal="left"/>
    </xf>
    <xf numFmtId="1" fontId="8" fillId="0" borderId="21" xfId="2" applyNumberFormat="1" applyFont="1" applyBorder="1" applyAlignment="1">
      <alignment horizontal="left"/>
    </xf>
    <xf numFmtId="164" fontId="5" fillId="0" borderId="20" xfId="2" applyNumberFormat="1" applyFont="1" applyBorder="1" applyAlignment="1">
      <alignment horizontal="center"/>
    </xf>
    <xf numFmtId="165" fontId="5" fillId="0" borderId="20" xfId="2" applyNumberFormat="1" applyFont="1" applyBorder="1" applyAlignment="1">
      <alignment horizontal="center"/>
    </xf>
    <xf numFmtId="2" fontId="6" fillId="0" borderId="20" xfId="2" applyNumberFormat="1" applyFont="1" applyBorder="1" applyAlignment="1">
      <alignment horizontal="center"/>
    </xf>
    <xf numFmtId="1" fontId="6" fillId="0" borderId="13" xfId="2" applyNumberFormat="1" applyFont="1" applyBorder="1" applyAlignment="1">
      <alignment horizontal="center"/>
    </xf>
    <xf numFmtId="0" fontId="5" fillId="4" borderId="22" xfId="2" applyFont="1" applyFill="1" applyBorder="1" applyAlignment="1" applyProtection="1">
      <alignment horizontal="center" vertical="center"/>
      <protection hidden="1"/>
    </xf>
    <xf numFmtId="0" fontId="5" fillId="4" borderId="23" xfId="2" applyFont="1" applyFill="1" applyBorder="1" applyAlignment="1" applyProtection="1">
      <alignment vertical="center"/>
      <protection hidden="1"/>
    </xf>
    <xf numFmtId="0" fontId="5" fillId="4" borderId="23" xfId="2" applyFont="1" applyFill="1" applyBorder="1" applyAlignment="1" applyProtection="1">
      <alignment horizontal="center" vertical="center"/>
      <protection hidden="1"/>
    </xf>
    <xf numFmtId="165" fontId="5" fillId="4" borderId="23" xfId="2" applyNumberFormat="1" applyFont="1" applyFill="1" applyBorder="1" applyAlignment="1" applyProtection="1">
      <alignment vertical="center"/>
      <protection hidden="1"/>
    </xf>
    <xf numFmtId="2" fontId="6" fillId="4" borderId="23" xfId="2" applyNumberFormat="1" applyFont="1" applyFill="1" applyBorder="1" applyAlignment="1" applyProtection="1">
      <alignment vertical="center"/>
      <protection hidden="1"/>
    </xf>
    <xf numFmtId="1" fontId="6" fillId="4" borderId="24" xfId="2" applyNumberFormat="1" applyFont="1" applyFill="1" applyBorder="1" applyAlignment="1" applyProtection="1">
      <alignment vertical="center"/>
      <protection hidden="1"/>
    </xf>
    <xf numFmtId="1" fontId="0" fillId="0" borderId="0" xfId="0" applyNumberFormat="1"/>
    <xf numFmtId="10" fontId="6" fillId="4" borderId="23" xfId="1" applyNumberFormat="1" applyFont="1" applyFill="1" applyBorder="1" applyAlignment="1" applyProtection="1">
      <alignment vertical="center"/>
      <protection hidden="1"/>
    </xf>
    <xf numFmtId="10" fontId="6" fillId="4" borderId="24" xfId="1" applyNumberFormat="1" applyFont="1" applyFill="1" applyBorder="1" applyAlignment="1" applyProtection="1">
      <alignment vertical="center"/>
      <protection hidden="1"/>
    </xf>
    <xf numFmtId="0" fontId="8" fillId="0" borderId="8" xfId="2" applyFont="1" applyBorder="1" applyAlignment="1">
      <alignment horizontal="center"/>
    </xf>
    <xf numFmtId="166" fontId="5" fillId="0" borderId="8" xfId="2" applyNumberFormat="1" applyFont="1" applyBorder="1" applyAlignment="1">
      <alignment horizontal="center"/>
    </xf>
    <xf numFmtId="2" fontId="0" fillId="0" borderId="0" xfId="0" applyNumberFormat="1"/>
    <xf numFmtId="0" fontId="6" fillId="7" borderId="7" xfId="2" applyFont="1" applyFill="1" applyBorder="1" applyAlignment="1">
      <alignment horizontal="center"/>
    </xf>
    <xf numFmtId="2" fontId="6" fillId="7" borderId="8" xfId="2" applyNumberFormat="1" applyFont="1" applyFill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5" fillId="4" borderId="19" xfId="2" applyFont="1" applyFill="1" applyBorder="1" applyAlignment="1" applyProtection="1">
      <alignment horizontal="center" vertical="center"/>
      <protection hidden="1"/>
    </xf>
    <xf numFmtId="0" fontId="5" fillId="4" borderId="20" xfId="2" applyFont="1" applyFill="1" applyBorder="1" applyAlignment="1" applyProtection="1">
      <alignment vertical="center"/>
      <protection hidden="1"/>
    </xf>
    <xf numFmtId="0" fontId="5" fillId="4" borderId="20" xfId="2" applyFont="1" applyFill="1" applyBorder="1" applyAlignment="1" applyProtection="1">
      <alignment horizontal="center" vertical="center"/>
      <protection hidden="1"/>
    </xf>
    <xf numFmtId="165" fontId="5" fillId="4" borderId="20" xfId="2" applyNumberFormat="1" applyFont="1" applyFill="1" applyBorder="1" applyAlignment="1" applyProtection="1">
      <alignment vertical="center"/>
      <protection hidden="1"/>
    </xf>
    <xf numFmtId="2" fontId="6" fillId="4" borderId="20" xfId="2" applyNumberFormat="1" applyFont="1" applyFill="1" applyBorder="1" applyAlignment="1" applyProtection="1">
      <alignment vertical="center"/>
      <protection hidden="1"/>
    </xf>
    <xf numFmtId="0" fontId="2" fillId="5" borderId="23" xfId="0" applyFont="1" applyFill="1" applyBorder="1"/>
    <xf numFmtId="167" fontId="2" fillId="5" borderId="23" xfId="0" applyNumberFormat="1" applyFont="1" applyFill="1" applyBorder="1"/>
    <xf numFmtId="9" fontId="2" fillId="5" borderId="23" xfId="0" applyNumberFormat="1" applyFont="1" applyFill="1" applyBorder="1"/>
    <xf numFmtId="1" fontId="2" fillId="5" borderId="24" xfId="0" applyNumberFormat="1" applyFont="1" applyFill="1" applyBorder="1"/>
    <xf numFmtId="168" fontId="6" fillId="4" borderId="23" xfId="2" applyNumberFormat="1" applyFont="1" applyFill="1" applyBorder="1" applyAlignment="1" applyProtection="1">
      <alignment vertical="center"/>
      <protection hidden="1"/>
    </xf>
    <xf numFmtId="167" fontId="5" fillId="7" borderId="8" xfId="1" applyNumberFormat="1" applyFont="1" applyFill="1" applyBorder="1" applyAlignment="1">
      <alignment horizontal="center"/>
    </xf>
    <xf numFmtId="0" fontId="6" fillId="7" borderId="8" xfId="2" applyFont="1" applyFill="1" applyBorder="1" applyAlignment="1">
      <alignment horizontal="left"/>
    </xf>
    <xf numFmtId="1" fontId="6" fillId="7" borderId="8" xfId="2" applyNumberFormat="1" applyFont="1" applyFill="1" applyBorder="1" applyAlignment="1">
      <alignment horizontal="center"/>
    </xf>
    <xf numFmtId="164" fontId="5" fillId="7" borderId="8" xfId="2" applyNumberFormat="1" applyFont="1" applyFill="1" applyBorder="1" applyAlignment="1">
      <alignment horizontal="center"/>
    </xf>
    <xf numFmtId="165" fontId="5" fillId="7" borderId="8" xfId="2" applyNumberFormat="1" applyFont="1" applyFill="1" applyBorder="1" applyAlignment="1">
      <alignment horizontal="center"/>
    </xf>
    <xf numFmtId="1" fontId="6" fillId="7" borderId="9" xfId="2" applyNumberFormat="1" applyFont="1" applyFill="1" applyBorder="1" applyAlignment="1">
      <alignment horizontal="center"/>
    </xf>
    <xf numFmtId="9" fontId="5" fillId="7" borderId="8" xfId="1" applyFont="1" applyFill="1" applyBorder="1" applyAlignment="1">
      <alignment horizontal="center"/>
    </xf>
    <xf numFmtId="0" fontId="10" fillId="7" borderId="19" xfId="4" applyFont="1" applyFill="1" applyBorder="1" applyAlignment="1">
      <alignment horizontal="center"/>
    </xf>
    <xf numFmtId="0" fontId="10" fillId="7" borderId="20" xfId="4" applyFont="1" applyFill="1" applyBorder="1"/>
    <xf numFmtId="1" fontId="8" fillId="7" borderId="21" xfId="2" applyNumberFormat="1" applyFont="1" applyFill="1" applyBorder="1" applyAlignment="1">
      <alignment horizontal="left"/>
    </xf>
    <xf numFmtId="0" fontId="11" fillId="7" borderId="20" xfId="4" applyFont="1" applyFill="1" applyBorder="1"/>
    <xf numFmtId="2" fontId="6" fillId="7" borderId="20" xfId="2" applyNumberFormat="1" applyFont="1" applyFill="1" applyBorder="1" applyAlignment="1">
      <alignment horizontal="center"/>
    </xf>
    <xf numFmtId="1" fontId="6" fillId="7" borderId="13" xfId="2" applyNumberFormat="1" applyFont="1" applyFill="1" applyBorder="1" applyAlignment="1">
      <alignment horizontal="center"/>
    </xf>
    <xf numFmtId="1" fontId="8" fillId="7" borderId="16" xfId="2" applyNumberFormat="1" applyFont="1" applyFill="1" applyBorder="1" applyAlignment="1">
      <alignment horizontal="left"/>
    </xf>
    <xf numFmtId="2" fontId="6" fillId="7" borderId="15" xfId="2" applyNumberFormat="1" applyFont="1" applyFill="1" applyBorder="1" applyAlignment="1">
      <alignment horizontal="center"/>
    </xf>
    <xf numFmtId="1" fontId="6" fillId="7" borderId="17" xfId="2" applyNumberFormat="1" applyFont="1" applyFill="1" applyBorder="1" applyAlignment="1">
      <alignment horizontal="center"/>
    </xf>
    <xf numFmtId="0" fontId="10" fillId="7" borderId="14" xfId="4" applyFont="1" applyFill="1" applyBorder="1" applyAlignment="1">
      <alignment horizontal="center"/>
    </xf>
    <xf numFmtId="0" fontId="10" fillId="7" borderId="15" xfId="4" applyFont="1" applyFill="1" applyBorder="1"/>
    <xf numFmtId="0" fontId="11" fillId="7" borderId="15" xfId="4" applyFont="1" applyFill="1" applyBorder="1"/>
    <xf numFmtId="2" fontId="6" fillId="7" borderId="9" xfId="2" applyNumberFormat="1" applyFont="1" applyFill="1" applyBorder="1" applyAlignment="1">
      <alignment horizontal="center"/>
    </xf>
    <xf numFmtId="10" fontId="5" fillId="7" borderId="8" xfId="1" applyNumberFormat="1" applyFont="1" applyFill="1" applyBorder="1" applyAlignment="1">
      <alignment horizontal="center"/>
    </xf>
    <xf numFmtId="9" fontId="0" fillId="0" borderId="0" xfId="1" applyFont="1"/>
    <xf numFmtId="0" fontId="0" fillId="7" borderId="0" xfId="0" applyFill="1"/>
    <xf numFmtId="44" fontId="0" fillId="0" borderId="0" xfId="32" applyFont="1"/>
    <xf numFmtId="9" fontId="0" fillId="0" borderId="0" xfId="1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/>
    <xf numFmtId="0" fontId="8" fillId="7" borderId="8" xfId="2" applyFont="1" applyFill="1" applyBorder="1" applyAlignment="1">
      <alignment horizontal="center"/>
    </xf>
    <xf numFmtId="0" fontId="8" fillId="7" borderId="8" xfId="2" applyFont="1" applyFill="1" applyBorder="1" applyAlignment="1">
      <alignment horizontal="left"/>
    </xf>
    <xf numFmtId="1" fontId="8" fillId="7" borderId="8" xfId="2" applyNumberFormat="1" applyFont="1" applyFill="1" applyBorder="1" applyAlignment="1">
      <alignment horizontal="center"/>
    </xf>
    <xf numFmtId="166" fontId="5" fillId="7" borderId="8" xfId="2" applyNumberFormat="1" applyFont="1" applyFill="1" applyBorder="1" applyAlignment="1">
      <alignment horizontal="center"/>
    </xf>
    <xf numFmtId="10" fontId="0" fillId="0" borderId="0" xfId="1" applyNumberFormat="1" applyFont="1"/>
    <xf numFmtId="0" fontId="13" fillId="0" borderId="0" xfId="0" applyFont="1"/>
    <xf numFmtId="170" fontId="0" fillId="0" borderId="0" xfId="1" applyNumberFormat="1" applyFont="1"/>
    <xf numFmtId="169" fontId="0" fillId="0" borderId="0" xfId="0" applyNumberFormat="1"/>
    <xf numFmtId="10" fontId="5" fillId="4" borderId="8" xfId="2" applyNumberFormat="1" applyFont="1" applyFill="1" applyBorder="1" applyAlignment="1" applyProtection="1">
      <alignment vertical="center"/>
      <protection hidden="1"/>
    </xf>
    <xf numFmtId="10" fontId="5" fillId="0" borderId="8" xfId="2" applyNumberFormat="1" applyFont="1" applyBorder="1" applyAlignment="1">
      <alignment horizontal="center"/>
    </xf>
    <xf numFmtId="10" fontId="5" fillId="0" borderId="8" xfId="1" applyNumberFormat="1" applyFont="1" applyFill="1" applyBorder="1" applyAlignment="1">
      <alignment horizontal="center"/>
    </xf>
    <xf numFmtId="10" fontId="9" fillId="0" borderId="8" xfId="2" applyNumberFormat="1" applyFont="1" applyBorder="1" applyAlignment="1">
      <alignment horizontal="center"/>
    </xf>
    <xf numFmtId="10" fontId="5" fillId="4" borderId="11" xfId="2" applyNumberFormat="1" applyFont="1" applyFill="1" applyBorder="1" applyAlignment="1" applyProtection="1">
      <alignment vertical="center"/>
      <protection hidden="1"/>
    </xf>
    <xf numFmtId="10" fontId="5" fillId="0" borderId="15" xfId="2" applyNumberFormat="1" applyFont="1" applyBorder="1" applyAlignment="1">
      <alignment horizontal="center"/>
    </xf>
    <xf numFmtId="10" fontId="5" fillId="0" borderId="20" xfId="2" applyNumberFormat="1" applyFont="1" applyBorder="1" applyAlignment="1">
      <alignment horizontal="center"/>
    </xf>
    <xf numFmtId="10" fontId="5" fillId="4" borderId="23" xfId="2" applyNumberFormat="1" applyFont="1" applyFill="1" applyBorder="1" applyAlignment="1" applyProtection="1">
      <alignment vertical="center"/>
      <protection hidden="1"/>
    </xf>
    <xf numFmtId="10" fontId="5" fillId="7" borderId="8" xfId="2" applyNumberFormat="1" applyFont="1" applyFill="1" applyBorder="1" applyAlignment="1">
      <alignment horizontal="center"/>
    </xf>
    <xf numFmtId="9" fontId="5" fillId="0" borderId="8" xfId="1" applyFont="1" applyFill="1" applyBorder="1" applyAlignment="1">
      <alignment horizontal="center"/>
    </xf>
    <xf numFmtId="167" fontId="5" fillId="0" borderId="8" xfId="1" applyNumberFormat="1" applyFont="1" applyFill="1" applyBorder="1" applyAlignment="1">
      <alignment horizontal="center"/>
    </xf>
    <xf numFmtId="2" fontId="6" fillId="8" borderId="8" xfId="2" applyNumberFormat="1" applyFont="1" applyFill="1" applyBorder="1" applyAlignment="1">
      <alignment horizontal="center"/>
    </xf>
    <xf numFmtId="0" fontId="6" fillId="8" borderId="7" xfId="2" applyFont="1" applyFill="1" applyBorder="1" applyAlignment="1">
      <alignment horizontal="center"/>
    </xf>
    <xf numFmtId="0" fontId="6" fillId="8" borderId="8" xfId="2" applyFont="1" applyFill="1" applyBorder="1" applyAlignment="1">
      <alignment horizontal="left"/>
    </xf>
    <xf numFmtId="1" fontId="6" fillId="8" borderId="8" xfId="2" applyNumberFormat="1" applyFont="1" applyFill="1" applyBorder="1" applyAlignment="1">
      <alignment horizontal="center"/>
    </xf>
    <xf numFmtId="164" fontId="5" fillId="8" borderId="8" xfId="2" applyNumberFormat="1" applyFont="1" applyFill="1" applyBorder="1" applyAlignment="1">
      <alignment horizontal="center"/>
    </xf>
    <xf numFmtId="165" fontId="5" fillId="8" borderId="8" xfId="2" applyNumberFormat="1" applyFont="1" applyFill="1" applyBorder="1" applyAlignment="1">
      <alignment horizontal="center"/>
    </xf>
    <xf numFmtId="2" fontId="2" fillId="8" borderId="8" xfId="2" applyNumberFormat="1" applyFont="1" applyFill="1" applyBorder="1" applyAlignment="1">
      <alignment horizontal="center"/>
    </xf>
    <xf numFmtId="9" fontId="5" fillId="8" borderId="8" xfId="1" applyFont="1" applyFill="1" applyBorder="1" applyAlignment="1">
      <alignment horizontal="center"/>
    </xf>
    <xf numFmtId="1" fontId="6" fillId="8" borderId="9" xfId="2" applyNumberFormat="1" applyFont="1" applyFill="1" applyBorder="1" applyAlignment="1">
      <alignment horizontal="center"/>
    </xf>
    <xf numFmtId="2" fontId="8" fillId="7" borderId="8" xfId="2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44" fontId="0" fillId="0" borderId="8" xfId="32" applyFont="1" applyBorder="1" applyAlignment="1">
      <alignment horizontal="center"/>
    </xf>
    <xf numFmtId="44" fontId="8" fillId="0" borderId="8" xfId="32" applyFont="1" applyBorder="1" applyAlignment="1">
      <alignment horizontal="center"/>
    </xf>
    <xf numFmtId="0" fontId="0" fillId="0" borderId="40" xfId="0" applyBorder="1"/>
    <xf numFmtId="0" fontId="0" fillId="0" borderId="37" xfId="0" applyBorder="1"/>
    <xf numFmtId="44" fontId="0" fillId="0" borderId="20" xfId="32" applyFont="1" applyBorder="1" applyAlignment="1">
      <alignment horizontal="center"/>
    </xf>
    <xf numFmtId="0" fontId="29" fillId="0" borderId="0" xfId="0" applyFont="1"/>
    <xf numFmtId="44" fontId="0" fillId="0" borderId="0" xfId="32" applyFont="1" applyBorder="1"/>
    <xf numFmtId="6" fontId="0" fillId="0" borderId="40" xfId="32" applyNumberFormat="1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44" fontId="6" fillId="0" borderId="8" xfId="32" applyFont="1" applyBorder="1" applyAlignment="1">
      <alignment horizontal="center"/>
    </xf>
    <xf numFmtId="0" fontId="0" fillId="0" borderId="41" xfId="0" applyBorder="1"/>
    <xf numFmtId="44" fontId="6" fillId="0" borderId="20" xfId="32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10" fontId="0" fillId="0" borderId="20" xfId="1" applyNumberFormat="1" applyFont="1" applyBorder="1" applyAlignment="1">
      <alignment horizontal="center"/>
    </xf>
    <xf numFmtId="6" fontId="0" fillId="0" borderId="0" xfId="32" applyNumberFormat="1" applyFont="1" applyBorder="1" applyAlignment="1">
      <alignment horizontal="center"/>
    </xf>
    <xf numFmtId="167" fontId="0" fillId="0" borderId="0" xfId="1" applyNumberFormat="1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44" fontId="30" fillId="0" borderId="0" xfId="32" applyFont="1" applyBorder="1"/>
    <xf numFmtId="0" fontId="0" fillId="0" borderId="38" xfId="0" applyBorder="1"/>
    <xf numFmtId="0" fontId="0" fillId="0" borderId="39" xfId="0" applyBorder="1"/>
    <xf numFmtId="10" fontId="0" fillId="0" borderId="8" xfId="1" applyNumberFormat="1" applyFont="1" applyBorder="1" applyAlignment="1">
      <alignment horizontal="center"/>
    </xf>
    <xf numFmtId="0" fontId="6" fillId="0" borderId="22" xfId="2" applyFont="1" applyBorder="1" applyAlignment="1">
      <alignment horizontal="center"/>
    </xf>
    <xf numFmtId="0" fontId="6" fillId="0" borderId="23" xfId="2" applyFont="1" applyBorder="1" applyAlignment="1">
      <alignment horizontal="left"/>
    </xf>
    <xf numFmtId="1" fontId="6" fillId="0" borderId="23" xfId="2" applyNumberFormat="1" applyFont="1" applyBorder="1" applyAlignment="1">
      <alignment horizontal="center"/>
    </xf>
    <xf numFmtId="2" fontId="6" fillId="0" borderId="23" xfId="2" applyNumberFormat="1" applyFont="1" applyBorder="1" applyAlignment="1">
      <alignment horizontal="center"/>
    </xf>
    <xf numFmtId="1" fontId="6" fillId="0" borderId="24" xfId="2" applyNumberFormat="1" applyFont="1" applyBorder="1" applyAlignment="1">
      <alignment horizontal="center"/>
    </xf>
    <xf numFmtId="10" fontId="1" fillId="0" borderId="0" xfId="1" applyNumberFormat="1" applyFont="1"/>
    <xf numFmtId="0" fontId="31" fillId="0" borderId="0" xfId="0" applyFont="1"/>
    <xf numFmtId="1" fontId="6" fillId="0" borderId="0" xfId="2" applyNumberFormat="1" applyFont="1" applyAlignment="1">
      <alignment horizontal="center"/>
    </xf>
    <xf numFmtId="9" fontId="7" fillId="0" borderId="0" xfId="1" applyFont="1" applyAlignment="1">
      <alignment horizontal="center"/>
    </xf>
    <xf numFmtId="9" fontId="7" fillId="0" borderId="0" xfId="1" applyFont="1" applyFill="1" applyAlignment="1">
      <alignment horizontal="center"/>
    </xf>
    <xf numFmtId="9" fontId="0" fillId="0" borderId="0" xfId="1" applyFont="1" applyBorder="1" applyAlignment="1">
      <alignment horizontal="center"/>
    </xf>
    <xf numFmtId="10" fontId="5" fillId="7" borderId="23" xfId="2" applyNumberFormat="1" applyFont="1" applyFill="1" applyBorder="1" applyAlignment="1">
      <alignment horizontal="center"/>
    </xf>
    <xf numFmtId="170" fontId="5" fillId="7" borderId="8" xfId="1" applyNumberFormat="1" applyFont="1" applyFill="1" applyBorder="1" applyAlignment="1">
      <alignment horizontal="center"/>
    </xf>
    <xf numFmtId="171" fontId="0" fillId="0" borderId="0" xfId="32" applyNumberFormat="1" applyFont="1" applyBorder="1"/>
    <xf numFmtId="9" fontId="13" fillId="0" borderId="0" xfId="1" applyFont="1" applyAlignment="1">
      <alignment horizontal="center"/>
    </xf>
    <xf numFmtId="2" fontId="7" fillId="0" borderId="0" xfId="2" applyNumberFormat="1" applyFont="1" applyAlignment="1">
      <alignment horizontal="left"/>
    </xf>
    <xf numFmtId="2" fontId="6" fillId="0" borderId="9" xfId="2" applyNumberFormat="1" applyFont="1" applyBorder="1" applyAlignment="1">
      <alignment horizontal="center"/>
    </xf>
    <xf numFmtId="43" fontId="10" fillId="0" borderId="0" xfId="157" applyFont="1" applyFill="1" applyAlignment="1">
      <alignment horizontal="center" vertical="center"/>
    </xf>
    <xf numFmtId="167" fontId="13" fillId="7" borderId="0" xfId="1" applyNumberFormat="1" applyFont="1" applyFill="1" applyAlignment="1">
      <alignment horizontal="center"/>
    </xf>
    <xf numFmtId="167" fontId="5" fillId="0" borderId="8" xfId="2" applyNumberFormat="1" applyFont="1" applyBorder="1" applyAlignment="1">
      <alignment horizontal="center"/>
    </xf>
    <xf numFmtId="9" fontId="13" fillId="0" borderId="8" xfId="1" applyFont="1" applyFill="1" applyBorder="1" applyAlignment="1">
      <alignment horizontal="center"/>
    </xf>
    <xf numFmtId="9" fontId="13" fillId="7" borderId="8" xfId="1" applyFont="1" applyFill="1" applyBorder="1" applyAlignment="1">
      <alignment horizontal="center"/>
    </xf>
    <xf numFmtId="0" fontId="10" fillId="0" borderId="14" xfId="4" applyFont="1" applyBorder="1" applyAlignment="1">
      <alignment horizontal="center"/>
    </xf>
    <xf numFmtId="0" fontId="10" fillId="0" borderId="19" xfId="4" applyFont="1" applyBorder="1" applyAlignment="1">
      <alignment horizontal="center"/>
    </xf>
    <xf numFmtId="9" fontId="5" fillId="4" borderId="23" xfId="2" applyNumberFormat="1" applyFont="1" applyFill="1" applyBorder="1" applyAlignment="1" applyProtection="1">
      <alignment vertical="center"/>
      <protection hidden="1"/>
    </xf>
    <xf numFmtId="10" fontId="6" fillId="7" borderId="8" xfId="2" applyNumberFormat="1" applyFont="1" applyFill="1" applyBorder="1" applyAlignment="1">
      <alignment horizontal="center"/>
    </xf>
    <xf numFmtId="2" fontId="6" fillId="7" borderId="23" xfId="2" applyNumberFormat="1" applyFont="1" applyFill="1" applyBorder="1" applyAlignment="1">
      <alignment horizontal="center"/>
    </xf>
    <xf numFmtId="0" fontId="5" fillId="4" borderId="42" xfId="2" applyFont="1" applyFill="1" applyBorder="1" applyAlignment="1" applyProtection="1">
      <alignment horizontal="center" vertical="center"/>
      <protection hidden="1"/>
    </xf>
    <xf numFmtId="0" fontId="6" fillId="40" borderId="7" xfId="3" applyFont="1" applyFill="1" applyBorder="1" applyAlignment="1">
      <alignment horizontal="center"/>
    </xf>
    <xf numFmtId="0" fontId="5" fillId="40" borderId="7" xfId="2" applyFont="1" applyFill="1" applyBorder="1" applyAlignment="1">
      <alignment horizontal="center"/>
    </xf>
    <xf numFmtId="0" fontId="6" fillId="40" borderId="7" xfId="2" applyFont="1" applyFill="1" applyBorder="1" applyAlignment="1">
      <alignment horizontal="center"/>
    </xf>
    <xf numFmtId="167" fontId="5" fillId="0" borderId="8" xfId="1" applyNumberFormat="1" applyFont="1" applyBorder="1" applyAlignment="1">
      <alignment horizontal="center"/>
    </xf>
    <xf numFmtId="43" fontId="0" fillId="0" borderId="0" xfId="157" applyFont="1" applyFill="1"/>
    <xf numFmtId="10" fontId="12" fillId="7" borderId="0" xfId="0" applyNumberFormat="1" applyFont="1" applyFill="1" applyAlignment="1">
      <alignment horizontal="center"/>
    </xf>
    <xf numFmtId="0" fontId="12" fillId="7" borderId="0" xfId="0" applyFont="1" applyFill="1"/>
    <xf numFmtId="0" fontId="6" fillId="7" borderId="8" xfId="3" applyFont="1" applyFill="1" applyBorder="1"/>
    <xf numFmtId="0" fontId="6" fillId="7" borderId="8" xfId="2" applyFont="1" applyFill="1" applyBorder="1" applyAlignment="1">
      <alignment horizontal="center"/>
    </xf>
    <xf numFmtId="9" fontId="13" fillId="0" borderId="8" xfId="1" applyFont="1" applyBorder="1" applyAlignment="1">
      <alignment horizontal="center"/>
    </xf>
    <xf numFmtId="0" fontId="6" fillId="7" borderId="7" xfId="3" applyFont="1" applyFill="1" applyBorder="1" applyAlignment="1">
      <alignment horizontal="center"/>
    </xf>
    <xf numFmtId="43" fontId="10" fillId="0" borderId="8" xfId="157" applyFont="1" applyFill="1" applyBorder="1" applyAlignment="1">
      <alignment horizontal="center" vertical="center"/>
    </xf>
    <xf numFmtId="167" fontId="12" fillId="7" borderId="8" xfId="1" applyNumberFormat="1" applyFont="1" applyFill="1" applyBorder="1" applyAlignment="1">
      <alignment horizontal="center"/>
    </xf>
    <xf numFmtId="2" fontId="2" fillId="7" borderId="8" xfId="2" applyNumberFormat="1" applyFont="1" applyFill="1" applyBorder="1" applyAlignment="1">
      <alignment horizontal="center"/>
    </xf>
    <xf numFmtId="2" fontId="8" fillId="7" borderId="8" xfId="2" applyNumberFormat="1" applyFont="1" applyFill="1" applyBorder="1" applyAlignment="1">
      <alignment horizontal="left"/>
    </xf>
    <xf numFmtId="172" fontId="8" fillId="0" borderId="8" xfId="2" applyNumberFormat="1" applyFont="1" applyBorder="1" applyAlignment="1">
      <alignment horizontal="center"/>
    </xf>
    <xf numFmtId="172" fontId="8" fillId="7" borderId="8" xfId="2" applyNumberFormat="1" applyFont="1" applyFill="1" applyBorder="1" applyAlignment="1">
      <alignment horizontal="center"/>
    </xf>
    <xf numFmtId="172" fontId="8" fillId="7" borderId="8" xfId="2" applyNumberFormat="1" applyFont="1" applyFill="1" applyBorder="1" applyAlignment="1">
      <alignment horizontal="left"/>
    </xf>
    <xf numFmtId="172" fontId="2" fillId="5" borderId="23" xfId="0" applyNumberFormat="1" applyFont="1" applyFill="1" applyBorder="1" applyAlignment="1">
      <alignment horizontal="center"/>
    </xf>
    <xf numFmtId="9" fontId="2" fillId="5" borderId="23" xfId="1" applyFont="1" applyFill="1" applyBorder="1" applyAlignment="1">
      <alignment horizontal="center"/>
    </xf>
    <xf numFmtId="10" fontId="6" fillId="0" borderId="8" xfId="2" applyNumberFormat="1" applyFont="1" applyBorder="1" applyAlignment="1">
      <alignment horizontal="center"/>
    </xf>
    <xf numFmtId="10" fontId="12" fillId="7" borderId="8" xfId="0" applyNumberFormat="1" applyFont="1" applyFill="1" applyBorder="1" applyAlignment="1">
      <alignment horizontal="center"/>
    </xf>
    <xf numFmtId="0" fontId="32" fillId="0" borderId="7" xfId="2" applyFont="1" applyBorder="1" applyAlignment="1">
      <alignment horizontal="center"/>
    </xf>
    <xf numFmtId="2" fontId="32" fillId="0" borderId="8" xfId="2" applyNumberFormat="1" applyFont="1" applyBorder="1" applyAlignment="1">
      <alignment horizontal="center"/>
    </xf>
    <xf numFmtId="10" fontId="13" fillId="7" borderId="8" xfId="1" applyNumberFormat="1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167" fontId="2" fillId="5" borderId="23" xfId="0" applyNumberFormat="1" applyFont="1" applyFill="1" applyBorder="1" applyAlignment="1">
      <alignment horizontal="center"/>
    </xf>
    <xf numFmtId="2" fontId="6" fillId="4" borderId="23" xfId="2" applyNumberFormat="1" applyFont="1" applyFill="1" applyBorder="1" applyAlignment="1" applyProtection="1">
      <alignment horizontal="center" vertical="center"/>
      <protection hidden="1"/>
    </xf>
    <xf numFmtId="10" fontId="6" fillId="4" borderId="23" xfId="1" applyNumberFormat="1" applyFont="1" applyFill="1" applyBorder="1" applyAlignment="1" applyProtection="1">
      <alignment horizontal="center" vertical="center"/>
      <protection hidden="1"/>
    </xf>
    <xf numFmtId="167" fontId="0" fillId="0" borderId="0" xfId="1" applyNumberFormat="1" applyFont="1"/>
    <xf numFmtId="0" fontId="12" fillId="0" borderId="0" xfId="0" applyFont="1" applyAlignment="1">
      <alignment horizontal="center"/>
    </xf>
    <xf numFmtId="0" fontId="6" fillId="0" borderId="7" xfId="2" applyFont="1" applyFill="1" applyBorder="1" applyAlignment="1">
      <alignment horizontal="center"/>
    </xf>
    <xf numFmtId="0" fontId="6" fillId="0" borderId="8" xfId="2" applyFont="1" applyFill="1" applyBorder="1" applyAlignment="1">
      <alignment horizontal="left"/>
    </xf>
    <xf numFmtId="1" fontId="6" fillId="0" borderId="8" xfId="2" applyNumberFormat="1" applyFont="1" applyFill="1" applyBorder="1" applyAlignment="1">
      <alignment horizontal="center"/>
    </xf>
    <xf numFmtId="164" fontId="5" fillId="0" borderId="8" xfId="2" applyNumberFormat="1" applyFont="1" applyFill="1" applyBorder="1" applyAlignment="1">
      <alignment horizontal="center"/>
    </xf>
    <xf numFmtId="165" fontId="5" fillId="0" borderId="8" xfId="2" applyNumberFormat="1" applyFont="1" applyFill="1" applyBorder="1" applyAlignment="1">
      <alignment horizontal="center"/>
    </xf>
    <xf numFmtId="2" fontId="6" fillId="0" borderId="8" xfId="2" applyNumberFormat="1" applyFont="1" applyFill="1" applyBorder="1" applyAlignment="1">
      <alignment horizontal="center"/>
    </xf>
    <xf numFmtId="1" fontId="6" fillId="0" borderId="9" xfId="2" applyNumberFormat="1" applyFont="1" applyFill="1" applyBorder="1" applyAlignment="1">
      <alignment horizontal="center"/>
    </xf>
    <xf numFmtId="0" fontId="6" fillId="0" borderId="8" xfId="2" applyFont="1" applyFill="1" applyBorder="1" applyAlignment="1">
      <alignment horizontal="center"/>
    </xf>
    <xf numFmtId="2" fontId="33" fillId="0" borderId="0" xfId="2" applyNumberFormat="1" applyFont="1" applyAlignment="1">
      <alignment horizontal="left"/>
    </xf>
    <xf numFmtId="0" fontId="34" fillId="0" borderId="0" xfId="0" applyFont="1"/>
    <xf numFmtId="0" fontId="34" fillId="7" borderId="0" xfId="0" applyFont="1" applyFill="1"/>
    <xf numFmtId="0" fontId="35" fillId="7" borderId="0" xfId="0" applyFont="1" applyFill="1"/>
    <xf numFmtId="0" fontId="35" fillId="0" borderId="0" xfId="0" applyFont="1"/>
    <xf numFmtId="2" fontId="5" fillId="0" borderId="0" xfId="2" applyNumberFormat="1" applyFont="1" applyAlignment="1">
      <alignment horizontal="left"/>
    </xf>
    <xf numFmtId="0" fontId="5" fillId="0" borderId="0" xfId="0" applyFont="1"/>
    <xf numFmtId="9" fontId="5" fillId="0" borderId="0" xfId="1" applyFont="1"/>
    <xf numFmtId="0" fontId="36" fillId="0" borderId="0" xfId="0" applyFont="1"/>
    <xf numFmtId="9" fontId="35" fillId="0" borderId="0" xfId="1" applyFont="1" applyBorder="1" applyAlignment="1">
      <alignment horizontal="center"/>
    </xf>
    <xf numFmtId="0" fontId="35" fillId="7" borderId="0" xfId="0" applyFont="1" applyFill="1" applyAlignment="1">
      <alignment horizontal="left"/>
    </xf>
    <xf numFmtId="0" fontId="35" fillId="0" borderId="0" xfId="0" applyFont="1" applyFill="1" applyAlignment="1">
      <alignment horizontal="left"/>
    </xf>
  </cellXfs>
  <cellStyles count="165">
    <cellStyle name="20% - Énfasis1" xfId="79" builtinId="30" customBuiltin="1"/>
    <cellStyle name="20% - Énfasis2" xfId="83" builtinId="34" customBuiltin="1"/>
    <cellStyle name="20% - Énfasis3" xfId="87" builtinId="38" customBuiltin="1"/>
    <cellStyle name="20% - Énfasis4" xfId="91" builtinId="42" customBuiltin="1"/>
    <cellStyle name="20% - Énfasis5" xfId="95" builtinId="46" customBuiltin="1"/>
    <cellStyle name="20% - Énfasis6" xfId="99" builtinId="50" customBuiltin="1"/>
    <cellStyle name="40% - Énfasis1" xfId="80" builtinId="31" customBuiltin="1"/>
    <cellStyle name="40% - Énfasis2" xfId="84" builtinId="35" customBuiltin="1"/>
    <cellStyle name="40% - Énfasis3" xfId="88" builtinId="39" customBuiltin="1"/>
    <cellStyle name="40% - Énfasis4" xfId="92" builtinId="43" customBuiltin="1"/>
    <cellStyle name="40% - Énfasis5" xfId="96" builtinId="47" customBuiltin="1"/>
    <cellStyle name="40% - Énfasis6" xfId="100" builtinId="51" customBuiltin="1"/>
    <cellStyle name="60% - Énfasis1" xfId="81" builtinId="32" customBuiltin="1"/>
    <cellStyle name="60% - Énfasis2" xfId="85" builtinId="36" customBuiltin="1"/>
    <cellStyle name="60% - Énfasis3" xfId="89" builtinId="40" customBuiltin="1"/>
    <cellStyle name="60% - Énfasis4" xfId="93" builtinId="44" customBuiltin="1"/>
    <cellStyle name="60% - Énfasis5" xfId="97" builtinId="48" customBuiltin="1"/>
    <cellStyle name="60% - Énfasis6" xfId="101" builtinId="52" customBuiltin="1"/>
    <cellStyle name="Bueno" xfId="66" builtinId="26" customBuiltin="1"/>
    <cellStyle name="Cálculo" xfId="71" builtinId="22" customBuiltin="1"/>
    <cellStyle name="Celda de comprobación" xfId="73" builtinId="23" customBuiltin="1"/>
    <cellStyle name="Celda vinculada" xfId="72" builtinId="24" customBuiltin="1"/>
    <cellStyle name="Encabezado 1" xfId="62" builtinId="16" customBuiltin="1"/>
    <cellStyle name="Encabezado 4" xfId="65" builtinId="19" customBuiltin="1"/>
    <cellStyle name="Énfasis1" xfId="78" builtinId="29" customBuiltin="1"/>
    <cellStyle name="Énfasis2" xfId="82" builtinId="33" customBuiltin="1"/>
    <cellStyle name="Énfasis3" xfId="86" builtinId="37" customBuiltin="1"/>
    <cellStyle name="Énfasis4" xfId="90" builtinId="41" customBuiltin="1"/>
    <cellStyle name="Énfasis5" xfId="94" builtinId="45" customBuiltin="1"/>
    <cellStyle name="Énfasis6" xfId="98" builtinId="49" customBuiltin="1"/>
    <cellStyle name="Entrada" xfId="69" builtinId="20" customBuiltin="1"/>
    <cellStyle name="Incorrecto" xfId="67" builtinId="27" customBuiltin="1"/>
    <cellStyle name="Millares" xfId="157" builtinId="3"/>
    <cellStyle name="Millares 2" xfId="34" xr:uid="{29FB26D7-D76A-42C5-8244-D8DBAAB3F98E}"/>
    <cellStyle name="Millares 2 2" xfId="110" xr:uid="{D2CD46DD-D280-49A5-9B25-F11DB7D954A2}"/>
    <cellStyle name="Millares 3" xfId="158" xr:uid="{D5AF361B-12B7-483B-AA6A-A25C715A7919}"/>
    <cellStyle name="Millares 4" xfId="160" xr:uid="{55537979-78CE-49DC-90F5-71FF024EFBC2}"/>
    <cellStyle name="Millares 5" xfId="164" xr:uid="{8729B9CD-AA2C-4BFB-96F3-1765896C09B3}"/>
    <cellStyle name="Moneda" xfId="32" builtinId="4"/>
    <cellStyle name="Moneda 10" xfId="118" xr:uid="{14900CE8-1537-465B-968D-D9E5AA178B74}"/>
    <cellStyle name="Moneda 11" xfId="102" xr:uid="{A0B2EE46-5609-4687-837D-0BA48BAB3686}"/>
    <cellStyle name="Moneda 12" xfId="156" xr:uid="{C06C348E-7E27-4A0B-ADE7-24F34A6BFD31}"/>
    <cellStyle name="Moneda 13" xfId="159" xr:uid="{D38BFAF7-8CC5-4DF6-921E-43ECF148D411}"/>
    <cellStyle name="Moneda 14" xfId="161" xr:uid="{32492404-BDFC-47D4-8A1B-9497670D1CB2}"/>
    <cellStyle name="Moneda 15" xfId="162" xr:uid="{588191E2-F103-4920-BCDA-09A935EE47E3}"/>
    <cellStyle name="Moneda 16" xfId="163" xr:uid="{B51BBDE1-4F21-4720-B1B9-7ADD8B4F6625}"/>
    <cellStyle name="Moneda 2" xfId="8" xr:uid="{A67CDCCC-5616-4DA1-816B-43BAAD207ABB}"/>
    <cellStyle name="Moneda 2 2" xfId="13" xr:uid="{7E6828FC-9C8F-4831-9EE3-22A495EAB50E}"/>
    <cellStyle name="Moneda 2 2 2" xfId="24" xr:uid="{66602B43-3E3A-4844-921C-E14205994D4C}"/>
    <cellStyle name="Moneda 2 2 2 2" xfId="52" xr:uid="{55D40DCA-7326-4AD7-8D9A-56D5FEEFAFB8}"/>
    <cellStyle name="Moneda 2 2 2 2 2" xfId="147" xr:uid="{3B24C31A-20DD-4ABA-8A23-157AC30951A1}"/>
    <cellStyle name="Moneda 2 2 2 3" xfId="125" xr:uid="{F94B2C6C-EC29-4051-A518-CD3940B47BD9}"/>
    <cellStyle name="Moneda 2 2 3" xfId="41" xr:uid="{AFC52BBA-9E90-4690-AF42-D17465E9EF71}"/>
    <cellStyle name="Moneda 2 2 3 2" xfId="136" xr:uid="{D9D1D0CD-D42B-4348-BB58-BD1048F79E07}"/>
    <cellStyle name="Moneda 2 2 4" xfId="107" xr:uid="{67DBF92C-B285-438F-A03F-86B7679506C2}"/>
    <cellStyle name="Moneda 2 3" xfId="17" xr:uid="{DD395E67-B92E-46F7-80E1-C014996B2592}"/>
    <cellStyle name="Moneda 2 3 2" xfId="28" xr:uid="{7F0DF8CA-9B3E-401A-8141-E4E8FF6ED7E3}"/>
    <cellStyle name="Moneda 2 3 2 2" xfId="56" xr:uid="{5B94D618-0B3C-4A42-91F3-2E6E1295B663}"/>
    <cellStyle name="Moneda 2 3 2 2 2" xfId="151" xr:uid="{6B654391-58A2-4F2A-A1AD-32C5B971859F}"/>
    <cellStyle name="Moneda 2 3 2 3" xfId="111" xr:uid="{18DDCE53-9B63-464C-8A52-B2832BCFA9F5}"/>
    <cellStyle name="Moneda 2 3 3" xfId="45" xr:uid="{D7C87B8A-96D2-4174-AEF3-53C931A3C25B}"/>
    <cellStyle name="Moneda 2 3 3 2" xfId="140" xr:uid="{B2DFDD56-2154-4522-A2FB-3399E99469E6}"/>
    <cellStyle name="Moneda 2 3 4" xfId="129" xr:uid="{CA818A90-746A-4181-B217-18AE1D8188C9}"/>
    <cellStyle name="Moneda 2 4" xfId="9" xr:uid="{FEC1AA6B-6EDE-4C1E-88C4-1835BBC866DA}"/>
    <cellStyle name="Moneda 2 4 2" xfId="37" xr:uid="{481A13C2-6CB9-443B-AB5F-F7C58D82E808}"/>
    <cellStyle name="Moneda 2 4 2 2" xfId="132" xr:uid="{94C3DE59-E59A-4556-BAA6-E211E55DE45C}"/>
    <cellStyle name="Moneda 2 4 3" xfId="113" xr:uid="{FCDCC74F-11F8-4B27-BE3E-C2249DE0571A}"/>
    <cellStyle name="Moneda 2 5" xfId="20" xr:uid="{26FBDE1B-5F39-480C-94B8-0BB08EF2FF2F}"/>
    <cellStyle name="Moneda 2 5 2" xfId="48" xr:uid="{70C0A4B3-9C15-4D42-964F-62AD908D7CEA}"/>
    <cellStyle name="Moneda 2 5 2 2" xfId="143" xr:uid="{4F8A83E9-1E66-4190-9195-2C3B9A43FFBB}"/>
    <cellStyle name="Moneda 2 5 3" xfId="120" xr:uid="{F8E4C78B-E9E8-4BD6-A728-169A438563E9}"/>
    <cellStyle name="Moneda 2 6" xfId="36" xr:uid="{A9644D3F-7C97-4615-BEA1-7F98F76CC208}"/>
    <cellStyle name="Moneda 2 6 2" xfId="131" xr:uid="{341A6F85-212B-4A1F-916C-DEAA8052C879}"/>
    <cellStyle name="Moneda 2 7" xfId="117" xr:uid="{8BA4CACE-6EFE-492F-9656-E11F28BB3E11}"/>
    <cellStyle name="Moneda 3" xfId="10" xr:uid="{546173A2-D58B-4527-94EC-9BE304921061}"/>
    <cellStyle name="Moneda 3 2" xfId="14" xr:uid="{C6C1589C-FE8B-4106-A624-9A0F5267D169}"/>
    <cellStyle name="Moneda 3 2 2" xfId="25" xr:uid="{0E8AE5A7-010F-42D5-8792-E3AE70F69E8D}"/>
    <cellStyle name="Moneda 3 2 2 2" xfId="53" xr:uid="{AA7F046E-CEDB-472A-84C6-DF7C1B593DF2}"/>
    <cellStyle name="Moneda 3 2 2 2 2" xfId="148" xr:uid="{6495175D-7689-4B97-9DFB-BA9A06349993}"/>
    <cellStyle name="Moneda 3 2 2 3" xfId="122" xr:uid="{3B85BEE8-AA49-4DFC-B1AE-B405DF34CF50}"/>
    <cellStyle name="Moneda 3 2 3" xfId="42" xr:uid="{C3133EDE-93AC-4BEF-B276-A23E5DFEBD9F}"/>
    <cellStyle name="Moneda 3 2 3 2" xfId="137" xr:uid="{99FF4999-696F-46CD-8FBF-F0C7711CE07A}"/>
    <cellStyle name="Moneda 3 2 4" xfId="108" xr:uid="{EC8980E2-5549-4CD7-9EA1-8EE337063304}"/>
    <cellStyle name="Moneda 3 3" xfId="18" xr:uid="{82438289-3D5C-4428-863C-2B71063FED80}"/>
    <cellStyle name="Moneda 3 3 2" xfId="29" xr:uid="{4574627F-4AF7-4435-B0C2-DC8FC5969454}"/>
    <cellStyle name="Moneda 3 3 2 2" xfId="57" xr:uid="{EAA2A0D6-AFB8-433C-92D3-8D8EEBAE949A}"/>
    <cellStyle name="Moneda 3 3 2 2 2" xfId="152" xr:uid="{37E70E50-FE80-43BB-BA9D-96E742532F30}"/>
    <cellStyle name="Moneda 3 3 2 3" xfId="127" xr:uid="{28CF6426-259F-4328-B36E-7FC7C4E7CEA8}"/>
    <cellStyle name="Moneda 3 3 3" xfId="46" xr:uid="{8C7E75FC-59CF-4D46-A8C1-805DEF295831}"/>
    <cellStyle name="Moneda 3 3 3 2" xfId="141" xr:uid="{AB1118F3-FE28-4965-BFFC-26036AA8C621}"/>
    <cellStyle name="Moneda 3 3 4" xfId="126" xr:uid="{7E2FEEDA-331E-4BFE-8CF8-371B2605A969}"/>
    <cellStyle name="Moneda 3 4" xfId="21" xr:uid="{C6A0D681-AB4A-4A8C-B381-AC10DE7E918D}"/>
    <cellStyle name="Moneda 3 4 2" xfId="49" xr:uid="{4EB9BFA7-F673-4812-AF29-FEDC6365E667}"/>
    <cellStyle name="Moneda 3 4 2 2" xfId="144" xr:uid="{5C9FA252-43DF-4207-B446-275E4995825D}"/>
    <cellStyle name="Moneda 3 4 3" xfId="116" xr:uid="{63714987-784E-48C5-A41F-234BAB81114C}"/>
    <cellStyle name="Moneda 3 5" xfId="38" xr:uid="{1E021BAB-1A45-4A14-8582-3397379A60A1}"/>
    <cellStyle name="Moneda 3 5 2" xfId="133" xr:uid="{B987FC2F-05A9-4FA3-A3FA-9DCFE3FD8BCA}"/>
    <cellStyle name="Moneda 3 6" xfId="109" xr:uid="{55F268E0-A6E2-45E3-A8AD-0FB275B61501}"/>
    <cellStyle name="Moneda 4" xfId="11" xr:uid="{275AB8A0-01D1-4C2E-A2D8-E03E3C1BF73F}"/>
    <cellStyle name="Moneda 4 2" xfId="19" xr:uid="{5185B0A7-A31E-4F9D-80CA-179D2101E33A}"/>
    <cellStyle name="Moneda 4 2 2" xfId="30" xr:uid="{3F841A54-6CFE-488F-8102-8C079DDEB100}"/>
    <cellStyle name="Moneda 4 2 2 2" xfId="58" xr:uid="{D3FBF03C-086E-4277-9423-9FE328981EFD}"/>
    <cellStyle name="Moneda 4 2 2 2 2" xfId="153" xr:uid="{48547832-5468-483A-9EC9-C6D2FA78CD97}"/>
    <cellStyle name="Moneda 4 2 2 3" xfId="124" xr:uid="{9B90E050-B43D-4AA3-B0EE-6BD980E831FB}"/>
    <cellStyle name="Moneda 4 2 3" xfId="47" xr:uid="{0CC96D79-FFC1-449E-AE9A-4778972DE16D}"/>
    <cellStyle name="Moneda 4 2 3 2" xfId="142" xr:uid="{41B5A3FA-831A-4D03-A6C5-6ED286B00888}"/>
    <cellStyle name="Moneda 4 2 4" xfId="123" xr:uid="{35AD57E6-ACDD-4491-A479-2AB29EC9813A}"/>
    <cellStyle name="Moneda 4 3" xfId="22" xr:uid="{4BD919E8-7286-47B5-B20F-CAD8594E1D8F}"/>
    <cellStyle name="Moneda 4 3 2" xfId="50" xr:uid="{6EAD3018-F2D9-48E2-B56F-94C6828FD51C}"/>
    <cellStyle name="Moneda 4 3 2 2" xfId="145" xr:uid="{2D530C55-0CCB-415E-83DD-47E2AB8EC89A}"/>
    <cellStyle name="Moneda 4 3 3" xfId="112" xr:uid="{FD2A642B-B22B-4FD9-BBE4-3AF9759A1C15}"/>
    <cellStyle name="Moneda 4 4" xfId="39" xr:uid="{3BDE76EF-F7E5-42DF-8291-DC0B9282456A}"/>
    <cellStyle name="Moneda 4 4 2" xfId="134" xr:uid="{16AAC9A7-14E8-4505-BC26-C66F40E08068}"/>
    <cellStyle name="Moneda 4 5" xfId="104" xr:uid="{C32A5F4F-FE69-4695-8F7D-38B7F57E6D5F}"/>
    <cellStyle name="Moneda 5" xfId="12" xr:uid="{F5DB0D7C-ADC1-4643-9570-6F9CAB66875F}"/>
    <cellStyle name="Moneda 5 2" xfId="16" xr:uid="{72DD87A7-A135-4BE1-B41D-9FFC0A8BD58F}"/>
    <cellStyle name="Moneda 5 2 2" xfId="27" xr:uid="{3F83F38F-50B3-4BDE-A61C-73429232793F}"/>
    <cellStyle name="Moneda 5 2 2 2" xfId="55" xr:uid="{7E741CB5-80F0-4ACD-990E-B523C3D279BC}"/>
    <cellStyle name="Moneda 5 2 2 2 2" xfId="150" xr:uid="{A3CFA0EB-D88B-4C5D-B580-C202BF755850}"/>
    <cellStyle name="Moneda 5 2 2 3" xfId="115" xr:uid="{F29D983E-BF66-4BA4-8BD6-0C4AD0FB5D52}"/>
    <cellStyle name="Moneda 5 2 3" xfId="44" xr:uid="{1E972E4C-1D67-4E2C-AB1A-F35F071A3CDD}"/>
    <cellStyle name="Moneda 5 2 3 2" xfId="139" xr:uid="{B83494EB-B04D-44FF-8E51-3635A8DEACFE}"/>
    <cellStyle name="Moneda 5 2 4" xfId="105" xr:uid="{F4AA0E69-D871-4A3C-BD14-B6820521C19B}"/>
    <cellStyle name="Moneda 5 3" xfId="23" xr:uid="{9AD40182-55CE-40C6-80A1-4E4D0FF24323}"/>
    <cellStyle name="Moneda 5 3 2" xfId="51" xr:uid="{84C9B33E-2EC5-4053-8161-DB2360F5ED6F}"/>
    <cellStyle name="Moneda 5 3 2 2" xfId="146" xr:uid="{DABCDD00-4BF4-43CB-946A-C1C9F64F3EDC}"/>
    <cellStyle name="Moneda 5 3 3" xfId="128" xr:uid="{E6818C49-B009-47CE-8BE7-AE4F7E7CD3F6}"/>
    <cellStyle name="Moneda 5 4" xfId="40" xr:uid="{8CB2D1AA-7904-4893-8C6F-8D56D2E8DFDF}"/>
    <cellStyle name="Moneda 5 4 2" xfId="135" xr:uid="{91EBC11C-B47A-4A96-859B-E47744D3BD89}"/>
    <cellStyle name="Moneda 5 5" xfId="103" xr:uid="{3C04B6F3-1EB8-42F2-87FA-CFCECE1F0881}"/>
    <cellStyle name="Moneda 6" xfId="15" xr:uid="{D5AE2924-FC88-4A74-98B1-F1DD187D4229}"/>
    <cellStyle name="Moneda 6 2" xfId="26" xr:uid="{78DC1817-0A75-43E5-926C-190F5DB09619}"/>
    <cellStyle name="Moneda 6 2 2" xfId="54" xr:uid="{D3EFF5FB-CE8A-4C00-9DF7-BB9AF7515F3D}"/>
    <cellStyle name="Moneda 6 2 2 2" xfId="149" xr:uid="{B3A5FA31-4204-4BB6-831E-15CFD7CE8E83}"/>
    <cellStyle name="Moneda 6 2 3" xfId="119" xr:uid="{4FA6CFB0-D64D-44ED-BCEC-8A03959609EC}"/>
    <cellStyle name="Moneda 6 3" xfId="43" xr:uid="{11804A18-5D29-48A9-816A-582136BA998C}"/>
    <cellStyle name="Moneda 6 3 2" xfId="138" xr:uid="{47362EA3-244D-4F90-8957-E2D12FAA96F2}"/>
    <cellStyle name="Moneda 6 4" xfId="106" xr:uid="{4BFFD461-35E5-4F56-B93F-73EC86FDEE7B}"/>
    <cellStyle name="Moneda 7" xfId="31" xr:uid="{B5858E36-3681-4BDE-834F-66D575C33C9C}"/>
    <cellStyle name="Moneda 7 2" xfId="59" xr:uid="{D6D4755E-C9CE-4821-8266-B648AB24B869}"/>
    <cellStyle name="Moneda 7 2 2" xfId="154" xr:uid="{749DB460-DBF7-46BA-A6C8-38043AE4EF5B}"/>
    <cellStyle name="Moneda 7 3" xfId="121" xr:uid="{335905D4-720A-41F0-8281-6C1E12A0DD7A}"/>
    <cellStyle name="Moneda 8" xfId="33" xr:uid="{97F7F235-5542-4303-A51D-B67DB136003E}"/>
    <cellStyle name="Moneda 8 2" xfId="60" xr:uid="{19FA0ECF-8298-481E-980C-19FD6808B880}"/>
    <cellStyle name="Moneda 8 2 2" xfId="155" xr:uid="{9EB91662-221B-4425-A415-4487409067CF}"/>
    <cellStyle name="Moneda 8 3" xfId="114" xr:uid="{DFD47348-26C2-4A71-BB41-869F7D30AB6F}"/>
    <cellStyle name="Moneda 9" xfId="35" xr:uid="{FE290F6D-42BF-4D74-8890-E726CD4F081B}"/>
    <cellStyle name="Moneda 9 2" xfId="130" xr:uid="{38FBBCD5-823C-4969-8B42-4835DF9F15B3}"/>
    <cellStyle name="Neutral" xfId="68" builtinId="28" customBuiltin="1"/>
    <cellStyle name="Normal" xfId="0" builtinId="0"/>
    <cellStyle name="Normal 2 2" xfId="5" xr:uid="{7133E2F9-2C5D-48F5-99B6-69D7054D688E}"/>
    <cellStyle name="Normal 3" xfId="3" xr:uid="{2EB3D19B-D8CE-44C2-B506-8DBDB62568D6}"/>
    <cellStyle name="Normal_ARQUITECTURA DE PRECIOS 1 0" xfId="2" xr:uid="{BAEA6EC7-A56C-4C02-BF1A-A8CCDB903C15}"/>
    <cellStyle name="Normal_Precio públicos al 01-03" xfId="4" xr:uid="{EE6BA769-AE04-4E7B-89F2-37C4808A43AF}"/>
    <cellStyle name="Notas" xfId="75" builtinId="10" customBuiltin="1"/>
    <cellStyle name="Porcentaje" xfId="1" builtinId="5"/>
    <cellStyle name="Porcentaje 2" xfId="7" xr:uid="{66E51866-3ECF-42E8-9503-69727C81520D}"/>
    <cellStyle name="Porcentaje 3" xfId="6" xr:uid="{5643A4AB-FFE8-4810-B375-2CC30B310AE9}"/>
    <cellStyle name="Salida" xfId="70" builtinId="21" customBuiltin="1"/>
    <cellStyle name="Texto de advertencia" xfId="74" builtinId="11" customBuiltin="1"/>
    <cellStyle name="Texto explicativo" xfId="76" builtinId="53" customBuiltin="1"/>
    <cellStyle name="Título" xfId="61" builtinId="15" customBuiltin="1"/>
    <cellStyle name="Título 2" xfId="63" builtinId="17" customBuiltin="1"/>
    <cellStyle name="Título 3" xfId="64" builtinId="18" customBuiltin="1"/>
    <cellStyle name="Total" xfId="77" builtinId="25" customBuiltin="1"/>
  </cellStyles>
  <dxfs count="191"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nervafoods-my.sharepoint.com/personal/adrian_dallaverde_minervafoods_com/Documents/Documentos/Listas%20de%20precios/LISTA%20DX%20y%20SubDX%20LITORAL-%20NOA-NEA/Lista%20y%20Acciones%20Dx%20y%20Sub%20ENE%2025-%20Litoral%20Nea%20y%20NOA%20v2.xlsx" TargetMode="External"/><Relationship Id="rId1" Type="http://schemas.openxmlformats.org/officeDocument/2006/relationships/externalLinkPath" Target="Lista%20y%20Acciones%20Dx%20y%20Sub%20ENE%2025-%20Litoral%20Nea%20y%20NOA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toral"/>
      <sheetName val="NEA"/>
      <sheetName val="NOA"/>
      <sheetName val="Sub Litoral"/>
      <sheetName val="Sub NEA"/>
      <sheetName val="Sub NOA"/>
    </sheetNames>
    <sheetDataSet>
      <sheetData sheetId="0"/>
      <sheetData sheetId="1"/>
      <sheetData sheetId="2">
        <row r="37">
          <cell r="H37">
            <v>14712.560167105621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940C-8631-47D3-83A2-691024AA7E5B}">
  <dimension ref="A1:EZ110"/>
  <sheetViews>
    <sheetView tabSelected="1" zoomScale="90" zoomScaleNormal="90" workbookViewId="0">
      <selection activeCell="F10" sqref="F10"/>
    </sheetView>
  </sheetViews>
  <sheetFormatPr baseColWidth="10" defaultColWidth="11.453125" defaultRowHeight="14.5" outlineLevelCol="1" x14ac:dyDescent="0.35"/>
  <cols>
    <col min="1" max="1" width="11" customWidth="1" collapsed="1"/>
    <col min="2" max="2" width="36.1796875" customWidth="1"/>
    <col min="3" max="3" width="14.1796875" customWidth="1"/>
    <col min="4" max="4" width="7.81640625" bestFit="1" customWidth="1"/>
    <col min="5" max="5" width="6" customWidth="1"/>
    <col min="6" max="6" width="9.453125" style="82" customWidth="1"/>
    <col min="7" max="7" width="8.6328125" customWidth="1"/>
    <col min="8" max="8" width="9.453125" style="82" customWidth="1"/>
    <col min="9" max="9" width="10.1796875" customWidth="1"/>
    <col min="10" max="14" width="9.1796875" customWidth="1"/>
    <col min="15" max="15" width="10.1796875" style="77" customWidth="1"/>
    <col min="16" max="16" width="8" style="77" hidden="1" customWidth="1"/>
    <col min="17" max="17" width="10" style="1" hidden="1" customWidth="1"/>
    <col min="18" max="18" width="120.81640625" customWidth="1"/>
    <col min="19" max="19" width="11.6328125" bestFit="1" customWidth="1"/>
    <col min="20" max="21" width="10.6328125" bestFit="1" customWidth="1"/>
    <col min="22" max="22" width="10.1796875" customWidth="1"/>
    <col min="23" max="23" width="11.453125" customWidth="1"/>
    <col min="24" max="24" width="10.1796875" customWidth="1"/>
    <col min="25" max="25" width="11.453125" customWidth="1"/>
    <col min="26" max="26" width="10.1796875" customWidth="1"/>
    <col min="27" max="27" width="11.453125" customWidth="1"/>
    <col min="28" max="28" width="10.1796875" customWidth="1"/>
    <col min="29" max="29" width="11.453125" customWidth="1"/>
    <col min="30" max="30" width="9.1796875" customWidth="1"/>
    <col min="31" max="37" width="11.453125" customWidth="1"/>
    <col min="38" max="38" width="9.1796875" customWidth="1"/>
    <col min="39" max="39" width="11.453125" customWidth="1"/>
    <col min="40" max="40" width="9.1796875" customWidth="1"/>
    <col min="41" max="41" width="11.453125" customWidth="1"/>
    <col min="42" max="42" width="9.1796875" customWidth="1"/>
    <col min="43" max="43" width="11.453125" customWidth="1"/>
    <col min="44" max="44" width="9.1796875" customWidth="1"/>
    <col min="45" max="45" width="11.453125" customWidth="1"/>
    <col min="46" max="46" width="9.1796875" customWidth="1"/>
    <col min="47" max="47" width="11.453125" customWidth="1"/>
    <col min="48" max="48" width="10" customWidth="1"/>
    <col min="49" max="49" width="11.453125" customWidth="1"/>
    <col min="50" max="50" width="10" customWidth="1"/>
    <col min="51" max="51" width="11.453125" customWidth="1"/>
    <col min="52" max="52" width="10" customWidth="1"/>
    <col min="53" max="53" width="11.453125" customWidth="1"/>
    <col min="54" max="54" width="10" customWidth="1"/>
    <col min="55" max="55" width="11.453125" customWidth="1"/>
    <col min="56" max="56" width="9.1796875" customWidth="1"/>
    <col min="57" max="57" width="11.453125" customWidth="1"/>
    <col min="58" max="58" width="11.54296875" customWidth="1"/>
    <col min="59" max="59" width="3.453125" customWidth="1"/>
    <col min="60" max="60" width="11.54296875" customWidth="1"/>
    <col min="61" max="61" width="2.81640625" customWidth="1"/>
    <col min="62" max="62" width="11.54296875" customWidth="1"/>
    <col min="63" max="63" width="3.453125" customWidth="1"/>
    <col min="64" max="64" width="11.54296875" customWidth="1"/>
    <col min="65" max="65" width="3.453125" customWidth="1"/>
    <col min="66" max="66" width="11.54296875" customWidth="1"/>
    <col min="67" max="67" width="3.453125" customWidth="1"/>
    <col min="68" max="68" width="11.54296875" customWidth="1"/>
    <col min="69" max="69" width="3.453125" customWidth="1"/>
    <col min="70" max="70" width="11.54296875" customWidth="1"/>
    <col min="71" max="71" width="3.453125" customWidth="1"/>
    <col min="72" max="72" width="11.54296875" customWidth="1"/>
    <col min="73" max="73" width="3.453125" customWidth="1"/>
    <col min="74" max="74" width="11.54296875" customWidth="1"/>
    <col min="75" max="75" width="3.453125" customWidth="1"/>
    <col min="76" max="76" width="11.54296875" customWidth="1"/>
    <col min="77" max="77" width="3" customWidth="1"/>
    <col min="78" max="78" width="11.54296875" customWidth="1"/>
    <col min="79" max="79" width="4.81640625" customWidth="1"/>
    <col min="80" max="80" width="11.54296875" customWidth="1"/>
    <col min="81" max="81" width="4.81640625" customWidth="1"/>
    <col min="82" max="82" width="11.453125" customWidth="1"/>
    <col min="83" max="83" width="4.81640625" customWidth="1"/>
    <col min="84" max="84" width="11.453125" customWidth="1"/>
    <col min="85" max="85" width="4.81640625" customWidth="1"/>
    <col min="86" max="140" width="11.453125" customWidth="1"/>
    <col min="141" max="141" width="11.453125" customWidth="1" outlineLevel="1"/>
    <col min="142" max="143" width="11.453125" customWidth="1"/>
    <col min="145" max="151" width="11.453125" outlineLevel="1"/>
    <col min="154" max="156" width="11.453125" outlineLevel="1"/>
  </cols>
  <sheetData>
    <row r="1" spans="1:19" ht="15" thickBot="1" x14ac:dyDescent="0.4">
      <c r="A1" s="1"/>
      <c r="B1" s="1"/>
      <c r="C1" s="1"/>
      <c r="D1" s="1"/>
      <c r="E1" s="1"/>
      <c r="F1" s="2"/>
      <c r="G1" s="1"/>
      <c r="H1" s="2"/>
      <c r="I1" s="1"/>
      <c r="J1" s="1"/>
      <c r="K1" s="1"/>
      <c r="L1" s="1"/>
      <c r="M1" s="1"/>
      <c r="N1" s="1"/>
      <c r="O1" s="3"/>
      <c r="P1" s="3"/>
    </row>
    <row r="2" spans="1:19" ht="36.5" thickBot="1" x14ac:dyDescent="0.4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7" t="s">
        <v>88</v>
      </c>
      <c r="G2" s="6" t="s">
        <v>90</v>
      </c>
      <c r="H2" s="7" t="s">
        <v>172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9" t="s">
        <v>12</v>
      </c>
      <c r="P2" s="10"/>
      <c r="Q2" s="11" t="s">
        <v>155</v>
      </c>
      <c r="R2" s="9" t="s">
        <v>171</v>
      </c>
    </row>
    <row r="3" spans="1:19" x14ac:dyDescent="0.35">
      <c r="A3" s="12"/>
      <c r="B3" s="13"/>
      <c r="C3" s="14"/>
      <c r="D3" s="13"/>
      <c r="E3" s="13"/>
      <c r="F3" s="15"/>
      <c r="G3" s="13"/>
      <c r="H3" s="15"/>
      <c r="I3" s="16"/>
      <c r="J3" s="17">
        <v>0.21</v>
      </c>
      <c r="K3" s="16"/>
      <c r="L3" s="17">
        <v>0.35</v>
      </c>
      <c r="M3" s="16"/>
      <c r="N3" s="17">
        <v>0.45</v>
      </c>
      <c r="O3" s="18"/>
      <c r="P3" s="3"/>
      <c r="Q3" s="18"/>
    </row>
    <row r="4" spans="1:19" x14ac:dyDescent="0.35">
      <c r="A4" s="213">
        <v>100021632</v>
      </c>
      <c r="B4" s="210" t="s">
        <v>14</v>
      </c>
      <c r="C4" s="98">
        <v>7790360026606</v>
      </c>
      <c r="D4" s="99">
        <v>4.8</v>
      </c>
      <c r="E4" s="100">
        <v>30</v>
      </c>
      <c r="F4" s="84">
        <v>44287.960151426363</v>
      </c>
      <c r="G4" s="116"/>
      <c r="H4" s="84">
        <f>+F4*(1-G4)</f>
        <v>44287.960151426363</v>
      </c>
      <c r="I4" s="84">
        <f>+H4/E4</f>
        <v>1476.2653383808788</v>
      </c>
      <c r="J4" s="84">
        <f>+I4*J$3</f>
        <v>310.01572105998451</v>
      </c>
      <c r="K4" s="84">
        <f>+I4+J4</f>
        <v>1786.2810594408634</v>
      </c>
      <c r="L4" s="84">
        <f>+K4*L$3</f>
        <v>625.19837080430216</v>
      </c>
      <c r="M4" s="84">
        <f>+K4+L4</f>
        <v>2411.4794302451655</v>
      </c>
      <c r="N4" s="84">
        <f>+M4*N$3</f>
        <v>1085.1657436103246</v>
      </c>
      <c r="O4" s="101">
        <f>+M4+N4</f>
        <v>3496.6451738554902</v>
      </c>
      <c r="P4" s="183">
        <f t="shared" ref="P4:P39" si="0">H4/Q4-1</f>
        <v>0.15500000000000003</v>
      </c>
      <c r="Q4" s="25">
        <v>38344.554243659186</v>
      </c>
      <c r="R4" s="245" t="s">
        <v>187</v>
      </c>
    </row>
    <row r="5" spans="1:19" x14ac:dyDescent="0.35">
      <c r="A5" s="26">
        <v>100021652</v>
      </c>
      <c r="B5" s="20" t="s">
        <v>15</v>
      </c>
      <c r="C5" s="21">
        <v>7790360026576</v>
      </c>
      <c r="D5" s="22">
        <v>5.76</v>
      </c>
      <c r="E5" s="23">
        <v>18</v>
      </c>
      <c r="F5" s="24">
        <v>55853.42950551727</v>
      </c>
      <c r="G5" s="23"/>
      <c r="H5" s="24">
        <f t="shared" ref="H5:H77" si="1">+F5*(1-G5)</f>
        <v>55853.42950551727</v>
      </c>
      <c r="I5" s="24">
        <f t="shared" ref="I5:I77" si="2">+H5/E5</f>
        <v>3102.9683058620703</v>
      </c>
      <c r="J5" s="24">
        <f t="shared" ref="J5:J77" si="3">+I5*J$3</f>
        <v>651.62334423103471</v>
      </c>
      <c r="K5" s="24">
        <f t="shared" ref="K5:K77" si="4">+I5+J5</f>
        <v>3754.5916500931053</v>
      </c>
      <c r="L5" s="24">
        <f t="shared" ref="L5:L77" si="5">+K5*L$3</f>
        <v>1314.1070775325868</v>
      </c>
      <c r="M5" s="24">
        <f t="shared" ref="M5:M77" si="6">+K5+L5</f>
        <v>5068.6987276256923</v>
      </c>
      <c r="N5" s="24">
        <f t="shared" ref="N5:N77" si="7">+M5*N$3</f>
        <v>2280.9144274315618</v>
      </c>
      <c r="O5" s="25">
        <f t="shared" ref="O5:O77" si="8">+M5+N5</f>
        <v>7349.6131550572536</v>
      </c>
      <c r="P5" s="183">
        <f t="shared" si="0"/>
        <v>0.21000000000000019</v>
      </c>
      <c r="Q5" s="25">
        <v>46159.859095468812</v>
      </c>
      <c r="R5" s="246"/>
    </row>
    <row r="6" spans="1:19" x14ac:dyDescent="0.35">
      <c r="A6" s="26">
        <v>100021631</v>
      </c>
      <c r="B6" s="20" t="s">
        <v>16</v>
      </c>
      <c r="C6" s="21">
        <v>7790360026590</v>
      </c>
      <c r="D6" s="22">
        <v>7.68</v>
      </c>
      <c r="E6" s="23">
        <v>8</v>
      </c>
      <c r="F6" s="24">
        <v>70798.248820551773</v>
      </c>
      <c r="G6" s="23"/>
      <c r="H6" s="24">
        <f t="shared" si="1"/>
        <v>70798.248820551773</v>
      </c>
      <c r="I6" s="24">
        <f t="shared" si="2"/>
        <v>8849.7811025689716</v>
      </c>
      <c r="J6" s="24">
        <f t="shared" si="3"/>
        <v>1858.454031539484</v>
      </c>
      <c r="K6" s="24">
        <f t="shared" si="4"/>
        <v>10708.235134108456</v>
      </c>
      <c r="L6" s="24">
        <f t="shared" si="5"/>
        <v>3747.8822969379594</v>
      </c>
      <c r="M6" s="24">
        <f t="shared" si="6"/>
        <v>14456.117431046416</v>
      </c>
      <c r="N6" s="24">
        <f t="shared" si="7"/>
        <v>6505.2528439708876</v>
      </c>
      <c r="O6" s="25">
        <f t="shared" si="8"/>
        <v>20961.370275017303</v>
      </c>
      <c r="P6" s="183">
        <f t="shared" si="0"/>
        <v>0.21000000000000019</v>
      </c>
      <c r="Q6" s="25">
        <v>58510.949438472533</v>
      </c>
      <c r="R6" s="246"/>
    </row>
    <row r="7" spans="1:19" x14ac:dyDescent="0.35">
      <c r="A7" s="26">
        <v>100021630</v>
      </c>
      <c r="B7" s="20" t="s">
        <v>17</v>
      </c>
      <c r="C7" s="21">
        <v>7790360026583</v>
      </c>
      <c r="D7" s="22">
        <v>9.6</v>
      </c>
      <c r="E7" s="23">
        <v>6</v>
      </c>
      <c r="F7" s="24">
        <v>86779.406928103519</v>
      </c>
      <c r="G7" s="23"/>
      <c r="H7" s="24">
        <f t="shared" si="1"/>
        <v>86779.406928103519</v>
      </c>
      <c r="I7" s="24">
        <f t="shared" si="2"/>
        <v>14463.234488017253</v>
      </c>
      <c r="J7" s="24">
        <f t="shared" si="3"/>
        <v>3037.279242483623</v>
      </c>
      <c r="K7" s="24">
        <f t="shared" si="4"/>
        <v>17500.513730500876</v>
      </c>
      <c r="L7" s="24">
        <f t="shared" si="5"/>
        <v>6125.1798056753059</v>
      </c>
      <c r="M7" s="24">
        <f t="shared" si="6"/>
        <v>23625.693536176183</v>
      </c>
      <c r="N7" s="24">
        <f t="shared" si="7"/>
        <v>10631.562091279282</v>
      </c>
      <c r="O7" s="25">
        <f t="shared" si="8"/>
        <v>34257.255627455466</v>
      </c>
      <c r="P7" s="183">
        <f t="shared" si="0"/>
        <v>0.21000000000000019</v>
      </c>
      <c r="Q7" s="25">
        <v>71718.51812239959</v>
      </c>
      <c r="R7" s="246"/>
    </row>
    <row r="8" spans="1:19" x14ac:dyDescent="0.35">
      <c r="A8" s="27">
        <v>100021653</v>
      </c>
      <c r="B8" s="28" t="s">
        <v>18</v>
      </c>
      <c r="C8" s="21">
        <v>7790360026682</v>
      </c>
      <c r="D8" s="22">
        <v>5.76</v>
      </c>
      <c r="E8" s="23">
        <v>18</v>
      </c>
      <c r="F8" s="24">
        <v>55676.292761793149</v>
      </c>
      <c r="G8" s="23"/>
      <c r="H8" s="24">
        <f t="shared" si="1"/>
        <v>55676.292761793149</v>
      </c>
      <c r="I8" s="24">
        <f t="shared" si="2"/>
        <v>3093.127375655175</v>
      </c>
      <c r="J8" s="24">
        <f t="shared" si="3"/>
        <v>649.55674888758676</v>
      </c>
      <c r="K8" s="24">
        <f t="shared" si="4"/>
        <v>3742.6841245427618</v>
      </c>
      <c r="L8" s="24">
        <f t="shared" si="5"/>
        <v>1309.9394435899665</v>
      </c>
      <c r="M8" s="24">
        <f t="shared" si="6"/>
        <v>5052.623568132728</v>
      </c>
      <c r="N8" s="24">
        <f t="shared" si="7"/>
        <v>2273.6806056597275</v>
      </c>
      <c r="O8" s="25">
        <f t="shared" si="8"/>
        <v>7326.3041737924559</v>
      </c>
      <c r="P8" s="183">
        <f t="shared" si="0"/>
        <v>0.10000000000000009</v>
      </c>
      <c r="Q8" s="25">
        <v>50614.811601630128</v>
      </c>
      <c r="R8" s="246"/>
    </row>
    <row r="9" spans="1:19" x14ac:dyDescent="0.35">
      <c r="A9" s="27">
        <v>100516169</v>
      </c>
      <c r="B9" s="28" t="s">
        <v>19</v>
      </c>
      <c r="C9" s="21">
        <v>7790360967961</v>
      </c>
      <c r="D9" s="22">
        <v>5.76</v>
      </c>
      <c r="E9" s="23">
        <v>18</v>
      </c>
      <c r="F9" s="24">
        <v>46670.247357300017</v>
      </c>
      <c r="G9" s="23"/>
      <c r="H9" s="24">
        <f t="shared" si="1"/>
        <v>46670.247357300017</v>
      </c>
      <c r="I9" s="24">
        <f t="shared" si="2"/>
        <v>2592.7915198500009</v>
      </c>
      <c r="J9" s="24">
        <f t="shared" si="3"/>
        <v>544.48621916850016</v>
      </c>
      <c r="K9" s="24">
        <f t="shared" si="4"/>
        <v>3137.2777390185011</v>
      </c>
      <c r="L9" s="24">
        <f t="shared" si="5"/>
        <v>1098.0472086564753</v>
      </c>
      <c r="M9" s="24">
        <f t="shared" si="6"/>
        <v>4235.3249476749761</v>
      </c>
      <c r="N9" s="24">
        <f t="shared" si="7"/>
        <v>1905.8962264537392</v>
      </c>
      <c r="O9" s="25">
        <f t="shared" si="8"/>
        <v>6141.2211741287156</v>
      </c>
      <c r="P9" s="183">
        <f t="shared" si="0"/>
        <v>0</v>
      </c>
      <c r="Q9" s="25">
        <v>46670.247357300017</v>
      </c>
      <c r="R9" s="246"/>
    </row>
    <row r="10" spans="1:19" x14ac:dyDescent="0.35">
      <c r="A10" s="27">
        <v>100520337</v>
      </c>
      <c r="B10" s="28" t="s">
        <v>20</v>
      </c>
      <c r="C10" s="21">
        <v>7790360977960</v>
      </c>
      <c r="D10" s="22">
        <v>4.8</v>
      </c>
      <c r="E10" s="23">
        <v>30</v>
      </c>
      <c r="F10" s="24">
        <v>31314.663479623836</v>
      </c>
      <c r="G10" s="23"/>
      <c r="H10" s="24">
        <f t="shared" si="1"/>
        <v>31314.663479623836</v>
      </c>
      <c r="I10" s="24">
        <f>+H10/E10</f>
        <v>1043.8221159874613</v>
      </c>
      <c r="J10" s="24">
        <f>+I10*J$3</f>
        <v>219.20264435736686</v>
      </c>
      <c r="K10" s="24">
        <f>+I10+J10</f>
        <v>1263.0247603448281</v>
      </c>
      <c r="L10" s="24">
        <f>+K10*L$3</f>
        <v>442.05866612068979</v>
      </c>
      <c r="M10" s="24">
        <f>+K10+L10</f>
        <v>1705.083426465518</v>
      </c>
      <c r="N10" s="24">
        <f>+M10*N$3</f>
        <v>767.28754190948314</v>
      </c>
      <c r="O10" s="25">
        <f>+M10+N10</f>
        <v>2472.3709683750012</v>
      </c>
      <c r="P10" s="183">
        <f t="shared" si="0"/>
        <v>0.15500000000000025</v>
      </c>
      <c r="Q10" s="25">
        <v>27112.262752921066</v>
      </c>
      <c r="R10" s="246"/>
    </row>
    <row r="11" spans="1:19" x14ac:dyDescent="0.35">
      <c r="A11" s="27">
        <v>100021503</v>
      </c>
      <c r="B11" s="28" t="s">
        <v>21</v>
      </c>
      <c r="C11" s="21">
        <v>7790360966841</v>
      </c>
      <c r="D11" s="22">
        <v>3.3119999999999998</v>
      </c>
      <c r="E11" s="23">
        <v>12</v>
      </c>
      <c r="F11" s="24">
        <v>23909.554608150476</v>
      </c>
      <c r="G11" s="195"/>
      <c r="H11" s="24">
        <f t="shared" si="1"/>
        <v>23909.554608150476</v>
      </c>
      <c r="I11" s="24">
        <f t="shared" si="2"/>
        <v>1992.4628840125397</v>
      </c>
      <c r="J11" s="24">
        <f t="shared" si="3"/>
        <v>418.41720564263329</v>
      </c>
      <c r="K11" s="24">
        <f t="shared" si="4"/>
        <v>2410.8800896551729</v>
      </c>
      <c r="L11" s="24">
        <f t="shared" si="5"/>
        <v>843.80803137931048</v>
      </c>
      <c r="M11" s="24">
        <f t="shared" si="6"/>
        <v>3254.6881210344836</v>
      </c>
      <c r="N11" s="24">
        <f t="shared" si="7"/>
        <v>1464.6096544655177</v>
      </c>
      <c r="O11" s="25">
        <f t="shared" si="8"/>
        <v>4719.2977755000011</v>
      </c>
      <c r="P11" s="183">
        <f t="shared" si="0"/>
        <v>0.25995418348423716</v>
      </c>
      <c r="Q11" s="25">
        <v>18976.527021031634</v>
      </c>
      <c r="R11" s="246"/>
    </row>
    <row r="12" spans="1:19" x14ac:dyDescent="0.35">
      <c r="A12" s="27">
        <v>100516201</v>
      </c>
      <c r="B12" s="28" t="s">
        <v>22</v>
      </c>
      <c r="C12" s="21">
        <v>7790360968548</v>
      </c>
      <c r="D12" s="22">
        <v>6.6239999999999997</v>
      </c>
      <c r="E12" s="23">
        <v>8</v>
      </c>
      <c r="F12" s="24">
        <v>52240.111638521164</v>
      </c>
      <c r="G12" s="212"/>
      <c r="H12" s="24">
        <f t="shared" si="1"/>
        <v>52240.111638521164</v>
      </c>
      <c r="I12" s="24">
        <f t="shared" si="2"/>
        <v>6530.0139548151456</v>
      </c>
      <c r="J12" s="24">
        <f t="shared" si="3"/>
        <v>1371.3029305111804</v>
      </c>
      <c r="K12" s="24">
        <f t="shared" si="4"/>
        <v>7901.316885326326</v>
      </c>
      <c r="L12" s="24">
        <f t="shared" si="5"/>
        <v>2765.460909864214</v>
      </c>
      <c r="M12" s="24">
        <f t="shared" si="6"/>
        <v>10666.777795190541</v>
      </c>
      <c r="N12" s="24">
        <f t="shared" si="7"/>
        <v>4800.0500078357436</v>
      </c>
      <c r="O12" s="25">
        <f t="shared" si="8"/>
        <v>15466.827803026285</v>
      </c>
      <c r="P12" s="183">
        <f t="shared" si="0"/>
        <v>0.15500000000000025</v>
      </c>
      <c r="Q12" s="25">
        <v>45229.533886165504</v>
      </c>
      <c r="R12" s="247"/>
    </row>
    <row r="13" spans="1:19" x14ac:dyDescent="0.35">
      <c r="A13" s="83">
        <v>100021643</v>
      </c>
      <c r="B13" s="97" t="s">
        <v>23</v>
      </c>
      <c r="C13" s="98">
        <v>7790360966797</v>
      </c>
      <c r="D13" s="99">
        <v>4.7039999999999997</v>
      </c>
      <c r="E13" s="100">
        <v>42</v>
      </c>
      <c r="F13" s="84">
        <v>30581.035985403261</v>
      </c>
      <c r="G13" s="227">
        <v>4.7619047619047616E-2</v>
      </c>
      <c r="H13" s="84">
        <f t="shared" si="1"/>
        <v>29124.796176574531</v>
      </c>
      <c r="I13" s="84">
        <f t="shared" si="2"/>
        <v>693.44752801367929</v>
      </c>
      <c r="J13" s="84">
        <f t="shared" si="3"/>
        <v>145.62398088287264</v>
      </c>
      <c r="K13" s="84">
        <f t="shared" si="4"/>
        <v>839.0715088965519</v>
      </c>
      <c r="L13" s="84">
        <f t="shared" si="5"/>
        <v>293.67502811379313</v>
      </c>
      <c r="M13" s="84">
        <f t="shared" si="6"/>
        <v>1132.746537010345</v>
      </c>
      <c r="N13" s="84">
        <f t="shared" si="7"/>
        <v>509.73594165465528</v>
      </c>
      <c r="O13" s="101">
        <f t="shared" si="8"/>
        <v>1642.4824786650004</v>
      </c>
      <c r="P13" s="183">
        <f t="shared" si="0"/>
        <v>4.9999999999999822E-2</v>
      </c>
      <c r="Q13" s="25">
        <v>27737.901120547176</v>
      </c>
      <c r="R13" s="245" t="s">
        <v>174</v>
      </c>
      <c r="S13" s="128"/>
    </row>
    <row r="14" spans="1:19" x14ac:dyDescent="0.35">
      <c r="A14" s="27">
        <v>100516325</v>
      </c>
      <c r="B14" s="28" t="s">
        <v>24</v>
      </c>
      <c r="C14" s="21">
        <v>7790360967763</v>
      </c>
      <c r="D14" s="22">
        <v>4.7039999999999997</v>
      </c>
      <c r="E14" s="23">
        <v>21</v>
      </c>
      <c r="F14" s="24">
        <v>34392.851499356402</v>
      </c>
      <c r="G14" s="212"/>
      <c r="H14" s="24">
        <f t="shared" si="1"/>
        <v>34392.851499356402</v>
      </c>
      <c r="I14" s="24">
        <f t="shared" si="2"/>
        <v>1637.7548333026857</v>
      </c>
      <c r="J14" s="24">
        <f t="shared" si="3"/>
        <v>343.92851499356397</v>
      </c>
      <c r="K14" s="24">
        <f t="shared" si="4"/>
        <v>1981.6833482962497</v>
      </c>
      <c r="L14" s="24">
        <f t="shared" si="5"/>
        <v>693.58917190368732</v>
      </c>
      <c r="M14" s="24">
        <f t="shared" si="6"/>
        <v>2675.2725201999369</v>
      </c>
      <c r="N14" s="24">
        <f t="shared" si="7"/>
        <v>1203.8726340899716</v>
      </c>
      <c r="O14" s="25">
        <f t="shared" si="8"/>
        <v>3879.1451542899085</v>
      </c>
      <c r="P14" s="183">
        <f t="shared" si="0"/>
        <v>0.10250000000000004</v>
      </c>
      <c r="Q14" s="25">
        <v>31195.330158146397</v>
      </c>
      <c r="R14" s="247"/>
    </row>
    <row r="15" spans="1:19" x14ac:dyDescent="0.35">
      <c r="A15" s="27">
        <v>100021676</v>
      </c>
      <c r="B15" s="28" t="s">
        <v>25</v>
      </c>
      <c r="C15" s="21">
        <v>7790360967411</v>
      </c>
      <c r="D15" s="22">
        <v>7.5</v>
      </c>
      <c r="E15" s="23">
        <v>30</v>
      </c>
      <c r="F15" s="24">
        <v>66855.304156739832</v>
      </c>
      <c r="G15" s="195"/>
      <c r="H15" s="24">
        <f t="shared" si="1"/>
        <v>66855.304156739832</v>
      </c>
      <c r="I15" s="24">
        <f t="shared" si="2"/>
        <v>2228.5101385579942</v>
      </c>
      <c r="J15" s="24">
        <f t="shared" si="3"/>
        <v>467.98712909717875</v>
      </c>
      <c r="K15" s="24">
        <f t="shared" si="4"/>
        <v>2696.4972676551729</v>
      </c>
      <c r="L15" s="24">
        <f t="shared" si="5"/>
        <v>943.77404367931047</v>
      </c>
      <c r="M15" s="24">
        <f t="shared" si="6"/>
        <v>3640.2713113344835</v>
      </c>
      <c r="N15" s="24">
        <f t="shared" si="7"/>
        <v>1638.1220901005177</v>
      </c>
      <c r="O15" s="25">
        <f t="shared" si="8"/>
        <v>5278.3934014350016</v>
      </c>
      <c r="P15" s="183">
        <f t="shared" si="0"/>
        <v>0.17861352191149682</v>
      </c>
      <c r="Q15" s="25">
        <v>56723.686699532082</v>
      </c>
      <c r="R15" s="246"/>
    </row>
    <row r="16" spans="1:19" x14ac:dyDescent="0.35">
      <c r="A16" s="83">
        <v>100516008</v>
      </c>
      <c r="B16" s="97" t="s">
        <v>26</v>
      </c>
      <c r="C16" s="98">
        <v>7790360967701</v>
      </c>
      <c r="D16" s="99">
        <v>5.76</v>
      </c>
      <c r="E16" s="100">
        <v>24</v>
      </c>
      <c r="F16" s="84">
        <v>56052.79545638174</v>
      </c>
      <c r="G16" s="227">
        <v>9.0909090909090912E-2</v>
      </c>
      <c r="H16" s="84">
        <f t="shared" si="1"/>
        <v>50957.08677852885</v>
      </c>
      <c r="I16" s="84">
        <f t="shared" si="2"/>
        <v>2123.2119491053686</v>
      </c>
      <c r="J16" s="84">
        <f t="shared" si="3"/>
        <v>445.87450931212737</v>
      </c>
      <c r="K16" s="84">
        <f t="shared" si="4"/>
        <v>2569.086458417496</v>
      </c>
      <c r="L16" s="84">
        <f t="shared" si="5"/>
        <v>899.1802604461235</v>
      </c>
      <c r="M16" s="84">
        <f t="shared" si="6"/>
        <v>3468.2667188636196</v>
      </c>
      <c r="N16" s="84">
        <f>+M16*0.4265</f>
        <v>1479.2157555953338</v>
      </c>
      <c r="O16" s="101">
        <f t="shared" si="8"/>
        <v>4947.4824744589532</v>
      </c>
      <c r="P16" s="183">
        <f t="shared" si="0"/>
        <v>9.9989000109999004E-2</v>
      </c>
      <c r="Q16" s="25">
        <v>46325.087590360577</v>
      </c>
      <c r="R16" s="245" t="s">
        <v>173</v>
      </c>
    </row>
    <row r="17" spans="1:21" x14ac:dyDescent="0.35">
      <c r="A17" s="27">
        <v>100520834</v>
      </c>
      <c r="B17" s="28" t="s">
        <v>27</v>
      </c>
      <c r="C17" s="21">
        <v>7790360980618</v>
      </c>
      <c r="D17" s="22">
        <v>6.66</v>
      </c>
      <c r="E17" s="23">
        <v>36</v>
      </c>
      <c r="F17" s="24">
        <v>63095.588372348466</v>
      </c>
      <c r="G17" s="23"/>
      <c r="H17" s="24">
        <f t="shared" si="1"/>
        <v>63095.588372348466</v>
      </c>
      <c r="I17" s="24">
        <f t="shared" si="2"/>
        <v>1752.6552325652351</v>
      </c>
      <c r="J17" s="24">
        <f t="shared" si="3"/>
        <v>368.05759883869933</v>
      </c>
      <c r="K17" s="24">
        <f t="shared" si="4"/>
        <v>2120.7128314039346</v>
      </c>
      <c r="L17" s="24">
        <f t="shared" si="5"/>
        <v>742.24949099137712</v>
      </c>
      <c r="M17" s="24">
        <f t="shared" si="6"/>
        <v>2862.9623223953117</v>
      </c>
      <c r="N17" s="24">
        <f t="shared" si="7"/>
        <v>1288.3330450778903</v>
      </c>
      <c r="O17" s="25">
        <f t="shared" si="8"/>
        <v>4151.2953674732016</v>
      </c>
      <c r="P17" s="183">
        <f t="shared" si="0"/>
        <v>0</v>
      </c>
      <c r="Q17" s="25">
        <v>63095.588372348466</v>
      </c>
      <c r="R17" s="246"/>
    </row>
    <row r="18" spans="1:21" hidden="1" x14ac:dyDescent="0.35">
      <c r="A18" s="27">
        <v>100021680</v>
      </c>
      <c r="B18" s="28" t="s">
        <v>28</v>
      </c>
      <c r="C18" s="21">
        <v>7790360967688</v>
      </c>
      <c r="D18" s="22">
        <v>4.32</v>
      </c>
      <c r="E18" s="23">
        <v>18</v>
      </c>
      <c r="F18" s="24" t="e">
        <v>#N/A</v>
      </c>
      <c r="G18" s="23"/>
      <c r="H18" s="24" t="e">
        <f t="shared" si="1"/>
        <v>#N/A</v>
      </c>
      <c r="I18" s="24" t="e">
        <f t="shared" si="2"/>
        <v>#N/A</v>
      </c>
      <c r="J18" s="24" t="e">
        <f t="shared" si="3"/>
        <v>#N/A</v>
      </c>
      <c r="K18" s="24" t="e">
        <f t="shared" si="4"/>
        <v>#N/A</v>
      </c>
      <c r="L18" s="24" t="e">
        <f t="shared" si="5"/>
        <v>#N/A</v>
      </c>
      <c r="M18" s="24" t="e">
        <f t="shared" si="6"/>
        <v>#N/A</v>
      </c>
      <c r="N18" s="24" t="e">
        <f t="shared" si="7"/>
        <v>#N/A</v>
      </c>
      <c r="O18" s="25" t="e">
        <f t="shared" si="8"/>
        <v>#N/A</v>
      </c>
      <c r="P18" s="183" t="e">
        <f t="shared" si="0"/>
        <v>#N/A</v>
      </c>
      <c r="Q18" s="25">
        <v>50536.766687081057</v>
      </c>
      <c r="R18" s="246"/>
    </row>
    <row r="19" spans="1:21" x14ac:dyDescent="0.35">
      <c r="A19" s="27">
        <v>100021644</v>
      </c>
      <c r="B19" s="28" t="s">
        <v>29</v>
      </c>
      <c r="C19" s="21">
        <v>7790360008541</v>
      </c>
      <c r="D19" s="22">
        <v>4.7039999999999997</v>
      </c>
      <c r="E19" s="23">
        <v>42</v>
      </c>
      <c r="F19" s="24">
        <v>23198.823423740061</v>
      </c>
      <c r="G19" s="23"/>
      <c r="H19" s="24">
        <f t="shared" si="1"/>
        <v>23198.823423740061</v>
      </c>
      <c r="I19" s="24">
        <f t="shared" si="2"/>
        <v>552.35293866047766</v>
      </c>
      <c r="J19" s="24">
        <f t="shared" si="3"/>
        <v>115.9941171187003</v>
      </c>
      <c r="K19" s="24">
        <f t="shared" si="4"/>
        <v>668.34705577917794</v>
      </c>
      <c r="L19" s="29">
        <f>+K19*0.3</f>
        <v>200.50411673375336</v>
      </c>
      <c r="M19" s="24">
        <f t="shared" si="6"/>
        <v>868.85117251293127</v>
      </c>
      <c r="N19" s="24">
        <f t="shared" si="7"/>
        <v>390.98302763081909</v>
      </c>
      <c r="O19" s="25">
        <f t="shared" si="8"/>
        <v>1259.8342001437504</v>
      </c>
      <c r="P19" s="183">
        <f t="shared" si="0"/>
        <v>0.21000000000000019</v>
      </c>
      <c r="Q19" s="25">
        <v>19172.581341933932</v>
      </c>
      <c r="R19" s="246"/>
    </row>
    <row r="20" spans="1:21" x14ac:dyDescent="0.35">
      <c r="A20" s="27">
        <v>100021677</v>
      </c>
      <c r="B20" s="28" t="s">
        <v>30</v>
      </c>
      <c r="C20" s="21">
        <v>7790360967404</v>
      </c>
      <c r="D20" s="22">
        <v>3.3119999999999998</v>
      </c>
      <c r="E20" s="23">
        <v>12</v>
      </c>
      <c r="F20" s="24">
        <v>18410.953977453592</v>
      </c>
      <c r="G20" s="23"/>
      <c r="H20" s="24">
        <f t="shared" si="1"/>
        <v>18410.953977453592</v>
      </c>
      <c r="I20" s="24">
        <f t="shared" si="2"/>
        <v>1534.2461647877992</v>
      </c>
      <c r="J20" s="24">
        <f t="shared" si="3"/>
        <v>322.19169460543782</v>
      </c>
      <c r="K20" s="24">
        <f t="shared" si="4"/>
        <v>1856.437859393237</v>
      </c>
      <c r="L20" s="29">
        <f>+K20*0.3</f>
        <v>556.93135781797105</v>
      </c>
      <c r="M20" s="24">
        <f t="shared" si="6"/>
        <v>2413.3692172112078</v>
      </c>
      <c r="N20" s="24">
        <f t="shared" si="7"/>
        <v>1086.0161477450436</v>
      </c>
      <c r="O20" s="25">
        <f t="shared" si="8"/>
        <v>3499.3853649562516</v>
      </c>
      <c r="P20" s="183">
        <f t="shared" si="0"/>
        <v>0.21000000000000041</v>
      </c>
      <c r="Q20" s="25">
        <v>15215.664444176517</v>
      </c>
      <c r="R20" s="246"/>
    </row>
    <row r="21" spans="1:21" x14ac:dyDescent="0.35">
      <c r="A21" s="27">
        <v>100021638</v>
      </c>
      <c r="B21" s="28" t="s">
        <v>31</v>
      </c>
      <c r="C21" s="21">
        <v>7790360026699</v>
      </c>
      <c r="D21" s="22">
        <v>4.8</v>
      </c>
      <c r="E21" s="23">
        <v>60</v>
      </c>
      <c r="F21" s="24">
        <v>52286.133616622552</v>
      </c>
      <c r="G21" s="23"/>
      <c r="H21" s="24">
        <f t="shared" si="1"/>
        <v>52286.133616622552</v>
      </c>
      <c r="I21" s="24">
        <f t="shared" si="2"/>
        <v>871.43556027704255</v>
      </c>
      <c r="J21" s="24">
        <f t="shared" si="3"/>
        <v>183.00146765817894</v>
      </c>
      <c r="K21" s="24">
        <f t="shared" si="4"/>
        <v>1054.4370279352215</v>
      </c>
      <c r="L21" s="24">
        <f t="shared" si="5"/>
        <v>369.05295977732749</v>
      </c>
      <c r="M21" s="24">
        <f t="shared" si="6"/>
        <v>1423.489987712549</v>
      </c>
      <c r="N21" s="24">
        <f t="shared" si="7"/>
        <v>640.57049447064708</v>
      </c>
      <c r="O21" s="25">
        <f t="shared" si="8"/>
        <v>2064.0604821831962</v>
      </c>
      <c r="P21" s="183">
        <f t="shared" si="0"/>
        <v>0.10000000000000009</v>
      </c>
      <c r="Q21" s="25">
        <v>47532.848742384136</v>
      </c>
      <c r="R21" s="246"/>
    </row>
    <row r="22" spans="1:21" x14ac:dyDescent="0.35">
      <c r="A22" s="27">
        <v>100021575</v>
      </c>
      <c r="B22" s="28" t="s">
        <v>32</v>
      </c>
      <c r="C22" s="21">
        <v>7790360007032</v>
      </c>
      <c r="D22" s="22">
        <v>4.1399999999999997</v>
      </c>
      <c r="E22" s="23">
        <v>60</v>
      </c>
      <c r="F22" s="24">
        <v>42882.940853975058</v>
      </c>
      <c r="G22" s="23"/>
      <c r="H22" s="24">
        <f t="shared" si="1"/>
        <v>42882.940853975058</v>
      </c>
      <c r="I22" s="24">
        <f t="shared" si="2"/>
        <v>714.7156808995843</v>
      </c>
      <c r="J22" s="24">
        <f t="shared" si="3"/>
        <v>150.09029298891269</v>
      </c>
      <c r="K22" s="24">
        <f t="shared" si="4"/>
        <v>864.80597388849696</v>
      </c>
      <c r="L22" s="24">
        <f t="shared" si="5"/>
        <v>302.68209086097391</v>
      </c>
      <c r="M22" s="24">
        <f t="shared" si="6"/>
        <v>1167.4880647494708</v>
      </c>
      <c r="N22" s="24">
        <f t="shared" si="7"/>
        <v>525.36962913726188</v>
      </c>
      <c r="O22" s="25">
        <f t="shared" si="8"/>
        <v>1692.8576938867327</v>
      </c>
      <c r="P22" s="183">
        <f t="shared" si="0"/>
        <v>0.10000000000000009</v>
      </c>
      <c r="Q22" s="25">
        <v>38984.491685431865</v>
      </c>
      <c r="R22" s="246"/>
    </row>
    <row r="23" spans="1:21" x14ac:dyDescent="0.35">
      <c r="A23" s="27">
        <v>100021514</v>
      </c>
      <c r="B23" s="28" t="s">
        <v>33</v>
      </c>
      <c r="C23" s="21">
        <v>7790360006943</v>
      </c>
      <c r="D23" s="22">
        <v>4.1399999999999997</v>
      </c>
      <c r="E23" s="23">
        <v>60</v>
      </c>
      <c r="F23" s="24">
        <v>39023.233048076399</v>
      </c>
      <c r="G23" s="23"/>
      <c r="H23" s="24">
        <f t="shared" si="1"/>
        <v>39023.233048076399</v>
      </c>
      <c r="I23" s="24">
        <f t="shared" si="2"/>
        <v>650.38721746793999</v>
      </c>
      <c r="J23" s="24">
        <f t="shared" si="3"/>
        <v>136.58131566826739</v>
      </c>
      <c r="K23" s="24">
        <f t="shared" si="4"/>
        <v>786.96853313620738</v>
      </c>
      <c r="L23" s="24">
        <f t="shared" si="5"/>
        <v>275.43898659767257</v>
      </c>
      <c r="M23" s="24">
        <f t="shared" si="6"/>
        <v>1062.40751973388</v>
      </c>
      <c r="N23" s="24">
        <f t="shared" si="7"/>
        <v>478.083383880246</v>
      </c>
      <c r="O23" s="25">
        <f t="shared" si="8"/>
        <v>1540.490903614126</v>
      </c>
      <c r="P23" s="183">
        <f t="shared" si="0"/>
        <v>0.10000000000000009</v>
      </c>
      <c r="Q23" s="25">
        <v>35475.666407342178</v>
      </c>
      <c r="R23" s="246"/>
    </row>
    <row r="24" spans="1:21" x14ac:dyDescent="0.35">
      <c r="A24" s="26">
        <v>100516208</v>
      </c>
      <c r="B24" s="30" t="s">
        <v>34</v>
      </c>
      <c r="C24" s="31">
        <v>7790360968203</v>
      </c>
      <c r="D24" s="22">
        <f>60*0.08</f>
        <v>4.8</v>
      </c>
      <c r="E24" s="23">
        <v>60</v>
      </c>
      <c r="F24" s="24">
        <v>45244.35203863302</v>
      </c>
      <c r="G24" s="23"/>
      <c r="H24" s="24">
        <f t="shared" si="1"/>
        <v>45244.35203863302</v>
      </c>
      <c r="I24" s="24">
        <f t="shared" si="2"/>
        <v>754.07253397721695</v>
      </c>
      <c r="J24" s="24">
        <f t="shared" si="3"/>
        <v>158.35523213521554</v>
      </c>
      <c r="K24" s="24">
        <f t="shared" si="4"/>
        <v>912.42776611243244</v>
      </c>
      <c r="L24" s="24">
        <f t="shared" si="5"/>
        <v>319.34971813935135</v>
      </c>
      <c r="M24" s="24">
        <f t="shared" si="6"/>
        <v>1231.7774842517838</v>
      </c>
      <c r="N24" s="24">
        <f t="shared" si="7"/>
        <v>554.29986791330271</v>
      </c>
      <c r="O24" s="25">
        <f t="shared" si="8"/>
        <v>1786.0773521650865</v>
      </c>
      <c r="P24" s="183">
        <f t="shared" si="0"/>
        <v>0.10000000000000009</v>
      </c>
      <c r="Q24" s="25">
        <v>41131.229126030012</v>
      </c>
      <c r="R24" s="246"/>
    </row>
    <row r="25" spans="1:21" x14ac:dyDescent="0.35">
      <c r="A25" s="27">
        <v>100518346</v>
      </c>
      <c r="B25" s="28" t="s">
        <v>35</v>
      </c>
      <c r="C25" s="21">
        <v>7790360975478</v>
      </c>
      <c r="D25" s="22">
        <f>60*0.109</f>
        <v>6.54</v>
      </c>
      <c r="E25" s="23">
        <v>60</v>
      </c>
      <c r="F25" s="24">
        <v>64667.28610012462</v>
      </c>
      <c r="G25" s="23"/>
      <c r="H25" s="24">
        <f t="shared" si="1"/>
        <v>64667.28610012462</v>
      </c>
      <c r="I25" s="24">
        <f t="shared" si="2"/>
        <v>1077.7881016687436</v>
      </c>
      <c r="J25" s="24">
        <f>I25*J3</f>
        <v>226.33550135043615</v>
      </c>
      <c r="K25" s="24">
        <f>J25+I25</f>
        <v>1304.1236030191797</v>
      </c>
      <c r="L25" s="24">
        <f>K25*L3</f>
        <v>456.44326105671286</v>
      </c>
      <c r="M25" s="24">
        <f>L25+K25</f>
        <v>1760.5668640758925</v>
      </c>
      <c r="N25" s="24">
        <f>M25*N3</f>
        <v>792.25508883415159</v>
      </c>
      <c r="O25" s="25">
        <f>N25+M25</f>
        <v>2552.8219529100443</v>
      </c>
      <c r="P25" s="183">
        <f t="shared" si="0"/>
        <v>0.10000000000000009</v>
      </c>
      <c r="Q25" s="25">
        <v>58788.441909204194</v>
      </c>
      <c r="R25" s="246"/>
    </row>
    <row r="26" spans="1:21" x14ac:dyDescent="0.35">
      <c r="A26" s="27">
        <v>100516259</v>
      </c>
      <c r="B26" s="28" t="s">
        <v>36</v>
      </c>
      <c r="C26" s="21">
        <v>7790360968340</v>
      </c>
      <c r="D26" s="22">
        <v>18.16</v>
      </c>
      <c r="E26" s="23">
        <v>48</v>
      </c>
      <c r="F26" s="24">
        <v>149620.03162527084</v>
      </c>
      <c r="G26" s="23"/>
      <c r="H26" s="24">
        <f t="shared" si="1"/>
        <v>149620.03162527084</v>
      </c>
      <c r="I26" s="24">
        <f t="shared" si="2"/>
        <v>3117.0839921931424</v>
      </c>
      <c r="J26" s="24">
        <f t="shared" si="3"/>
        <v>654.58763836055994</v>
      </c>
      <c r="K26" s="24">
        <f t="shared" si="4"/>
        <v>3771.6716305537025</v>
      </c>
      <c r="L26" s="24">
        <f t="shared" si="5"/>
        <v>1320.0850706937958</v>
      </c>
      <c r="M26" s="24">
        <f t="shared" si="6"/>
        <v>5091.7567012474983</v>
      </c>
      <c r="N26" s="24">
        <f t="shared" si="7"/>
        <v>2291.2905155613744</v>
      </c>
      <c r="O26" s="25">
        <f t="shared" si="8"/>
        <v>7383.0472168088727</v>
      </c>
      <c r="P26" s="183">
        <f t="shared" si="0"/>
        <v>0.10000000000000009</v>
      </c>
      <c r="Q26" s="25">
        <v>136018.21056842804</v>
      </c>
      <c r="R26" s="246"/>
    </row>
    <row r="27" spans="1:21" x14ac:dyDescent="0.35">
      <c r="A27" s="27">
        <v>100518095</v>
      </c>
      <c r="B27" s="28" t="s">
        <v>37</v>
      </c>
      <c r="C27" s="21">
        <v>7790360974785</v>
      </c>
      <c r="D27" s="22">
        <v>6.66</v>
      </c>
      <c r="E27" s="23">
        <v>36</v>
      </c>
      <c r="F27" s="24">
        <v>74547.677437555685</v>
      </c>
      <c r="G27" s="23"/>
      <c r="H27" s="24">
        <f t="shared" si="1"/>
        <v>74547.677437555685</v>
      </c>
      <c r="I27" s="24">
        <f t="shared" si="2"/>
        <v>2070.7688177098803</v>
      </c>
      <c r="J27" s="24">
        <f>+I27*J$3</f>
        <v>434.86145171907486</v>
      </c>
      <c r="K27" s="24">
        <f>+I27+J27</f>
        <v>2505.6302694289552</v>
      </c>
      <c r="L27" s="24">
        <f>+K27*L$3</f>
        <v>876.97059430013428</v>
      </c>
      <c r="M27" s="24">
        <f>+K27+L27</f>
        <v>3382.6008637290897</v>
      </c>
      <c r="N27" s="24">
        <f>+M27*N$3</f>
        <v>1522.1703886780904</v>
      </c>
      <c r="O27" s="25">
        <f>+M27+N27</f>
        <v>4904.7712524071803</v>
      </c>
      <c r="P27" s="183">
        <f t="shared" si="0"/>
        <v>0.10000000000000009</v>
      </c>
      <c r="Q27" s="25">
        <v>67770.615852323346</v>
      </c>
      <c r="R27" s="246"/>
    </row>
    <row r="28" spans="1:21" x14ac:dyDescent="0.35">
      <c r="A28" s="27">
        <v>100518223</v>
      </c>
      <c r="B28" s="28" t="s">
        <v>38</v>
      </c>
      <c r="C28" s="21">
        <v>7790360975065</v>
      </c>
      <c r="D28" s="22">
        <f>60*0.106</f>
        <v>6.3599999999999994</v>
      </c>
      <c r="E28" s="23">
        <v>30</v>
      </c>
      <c r="F28" s="24">
        <v>58039.509836990605</v>
      </c>
      <c r="G28" s="23"/>
      <c r="H28" s="24">
        <f t="shared" si="1"/>
        <v>58039.509836990605</v>
      </c>
      <c r="I28" s="24">
        <f t="shared" si="2"/>
        <v>1934.6503278996868</v>
      </c>
      <c r="J28" s="24">
        <f>+I28*J$3</f>
        <v>406.27656885893418</v>
      </c>
      <c r="K28" s="24">
        <f>+I28+J28</f>
        <v>2340.9268967586208</v>
      </c>
      <c r="L28" s="24">
        <f>+K28*L$3</f>
        <v>819.32441386551727</v>
      </c>
      <c r="M28" s="24">
        <f>+K28+L28</f>
        <v>3160.2513106241381</v>
      </c>
      <c r="N28" s="24">
        <f>+M28*N$3</f>
        <v>1422.1130897808621</v>
      </c>
      <c r="O28" s="25">
        <f>+M28+N28</f>
        <v>4582.3644004050002</v>
      </c>
      <c r="P28" s="183">
        <f t="shared" si="0"/>
        <v>0.10000000000000009</v>
      </c>
      <c r="Q28" s="25">
        <v>52763.190760900543</v>
      </c>
      <c r="R28" s="246"/>
    </row>
    <row r="29" spans="1:21" x14ac:dyDescent="0.35">
      <c r="A29" s="32"/>
      <c r="B29" s="33"/>
      <c r="C29" s="34"/>
      <c r="D29" s="33"/>
      <c r="E29" s="35"/>
      <c r="F29" s="36" t="e">
        <v>#N/A</v>
      </c>
      <c r="G29" s="35"/>
      <c r="H29" s="36" t="e">
        <f t="shared" si="1"/>
        <v>#N/A</v>
      </c>
      <c r="I29" s="37" t="e">
        <f t="shared" si="2"/>
        <v>#N/A</v>
      </c>
      <c r="J29" s="38"/>
      <c r="K29" s="37"/>
      <c r="L29" s="38"/>
      <c r="M29" s="37"/>
      <c r="N29" s="38"/>
      <c r="O29" s="39"/>
      <c r="P29" s="183" t="e">
        <f t="shared" si="0"/>
        <v>#N/A</v>
      </c>
      <c r="Q29" s="25" t="e">
        <v>#N/A</v>
      </c>
      <c r="R29" s="246"/>
    </row>
    <row r="30" spans="1:21" hidden="1" x14ac:dyDescent="0.35">
      <c r="A30" s="83">
        <v>100022085</v>
      </c>
      <c r="B30" s="97" t="s">
        <v>39</v>
      </c>
      <c r="C30" s="98">
        <v>7790360000132</v>
      </c>
      <c r="D30" s="99">
        <v>5.4</v>
      </c>
      <c r="E30" s="100">
        <v>24</v>
      </c>
      <c r="F30" s="84" t="e">
        <v>#N/A</v>
      </c>
      <c r="G30" s="102">
        <f>0.0833333333333333*100%</f>
        <v>8.3333333333333301E-2</v>
      </c>
      <c r="H30" s="84" t="e">
        <f t="shared" si="1"/>
        <v>#N/A</v>
      </c>
      <c r="I30" s="84" t="e">
        <f t="shared" si="2"/>
        <v>#N/A</v>
      </c>
      <c r="J30" s="84" t="e">
        <f t="shared" si="3"/>
        <v>#N/A</v>
      </c>
      <c r="K30" s="84" t="e">
        <f t="shared" si="4"/>
        <v>#N/A</v>
      </c>
      <c r="L30" s="84" t="e">
        <f t="shared" si="5"/>
        <v>#N/A</v>
      </c>
      <c r="M30" s="84" t="e">
        <f t="shared" si="6"/>
        <v>#N/A</v>
      </c>
      <c r="N30" s="84" t="e">
        <f>+M30*0.438</f>
        <v>#N/A</v>
      </c>
      <c r="O30" s="101" t="e">
        <f t="shared" si="8"/>
        <v>#N/A</v>
      </c>
      <c r="P30" s="183" t="e">
        <f t="shared" si="0"/>
        <v>#N/A</v>
      </c>
      <c r="Q30" s="25">
        <v>20434.227330779057</v>
      </c>
      <c r="R30" s="248" t="s">
        <v>164</v>
      </c>
    </row>
    <row r="31" spans="1:21" x14ac:dyDescent="0.35">
      <c r="A31" s="83">
        <v>100522204</v>
      </c>
      <c r="B31" s="97" t="s">
        <v>39</v>
      </c>
      <c r="C31" s="98">
        <v>7790360983947</v>
      </c>
      <c r="D31" s="99">
        <v>5.4</v>
      </c>
      <c r="E31" s="100">
        <v>24</v>
      </c>
      <c r="F31" s="84">
        <v>25513.061650992688</v>
      </c>
      <c r="G31" s="102">
        <v>0.12609999999999999</v>
      </c>
      <c r="H31" s="84">
        <f t="shared" ref="H31" si="9">+F31*(1-G31)</f>
        <v>22295.864576802509</v>
      </c>
      <c r="I31" s="84">
        <f t="shared" ref="I31" si="10">+H31/E31</f>
        <v>928.99435736677117</v>
      </c>
      <c r="J31" s="84">
        <f t="shared" ref="J31" si="11">+I31*J$3</f>
        <v>195.08881504702194</v>
      </c>
      <c r="K31" s="84">
        <f t="shared" ref="K31" si="12">+I31+J31</f>
        <v>1124.0831724137931</v>
      </c>
      <c r="L31" s="84">
        <f t="shared" ref="L31:L38" si="13">+K31*L$3</f>
        <v>393.42911034482756</v>
      </c>
      <c r="M31" s="84">
        <f t="shared" ref="M31" si="14">+K31+L31</f>
        <v>1517.5122827586206</v>
      </c>
      <c r="N31" s="84">
        <f t="shared" ref="N31:N38" si="15">+M31*N$3</f>
        <v>682.88052724137924</v>
      </c>
      <c r="O31" s="101">
        <f t="shared" ref="O31" si="16">+M31+N31</f>
        <v>2200.3928099999998</v>
      </c>
      <c r="P31" s="183">
        <f t="shared" si="0"/>
        <v>9.1103872727272606E-2</v>
      </c>
      <c r="Q31" s="25">
        <v>20434.227330779057</v>
      </c>
      <c r="R31" s="245" t="s">
        <v>184</v>
      </c>
      <c r="S31" s="160"/>
      <c r="T31" s="160"/>
      <c r="U31" s="188"/>
    </row>
    <row r="32" spans="1:21" hidden="1" x14ac:dyDescent="0.35">
      <c r="A32" s="83">
        <v>100022072</v>
      </c>
      <c r="B32" s="97" t="s">
        <v>40</v>
      </c>
      <c r="C32" s="98">
        <v>7790360024541</v>
      </c>
      <c r="D32" s="99">
        <v>5.4</v>
      </c>
      <c r="E32" s="100">
        <v>12</v>
      </c>
      <c r="F32" s="84" t="e">
        <v>#N/A</v>
      </c>
      <c r="G32" s="102">
        <v>0.12609999999999999</v>
      </c>
      <c r="H32" s="84" t="e">
        <f t="shared" si="1"/>
        <v>#N/A</v>
      </c>
      <c r="I32" s="84" t="e">
        <f t="shared" si="2"/>
        <v>#N/A</v>
      </c>
      <c r="J32" s="84" t="e">
        <f t="shared" si="3"/>
        <v>#N/A</v>
      </c>
      <c r="K32" s="84" t="e">
        <f t="shared" si="4"/>
        <v>#N/A</v>
      </c>
      <c r="L32" s="84" t="e">
        <f>+K32*0.3388</f>
        <v>#N/A</v>
      </c>
      <c r="M32" s="84" t="e">
        <f t="shared" si="6"/>
        <v>#N/A</v>
      </c>
      <c r="N32" s="84" t="e">
        <f t="shared" si="15"/>
        <v>#N/A</v>
      </c>
      <c r="O32" s="101" t="e">
        <f t="shared" si="8"/>
        <v>#N/A</v>
      </c>
      <c r="P32" s="183" t="e">
        <f t="shared" si="0"/>
        <v>#N/A</v>
      </c>
      <c r="Q32" s="25">
        <v>19412.515964240105</v>
      </c>
      <c r="R32" s="245" t="s">
        <v>165</v>
      </c>
    </row>
    <row r="33" spans="1:21" x14ac:dyDescent="0.35">
      <c r="A33" s="83">
        <v>100522205</v>
      </c>
      <c r="B33" s="97" t="s">
        <v>40</v>
      </c>
      <c r="C33" s="98">
        <v>7790360983954</v>
      </c>
      <c r="D33" s="99">
        <v>5.4</v>
      </c>
      <c r="E33" s="100">
        <v>12</v>
      </c>
      <c r="F33" s="84">
        <v>24237.408568443054</v>
      </c>
      <c r="G33" s="102">
        <v>0.12609999999999999</v>
      </c>
      <c r="H33" s="84">
        <f t="shared" ref="H33" si="17">+F33*(1-G33)</f>
        <v>21181.071347962385</v>
      </c>
      <c r="I33" s="84">
        <f t="shared" ref="I33" si="18">+H33/E33</f>
        <v>1765.0892789968655</v>
      </c>
      <c r="J33" s="84">
        <f t="shared" ref="J33" si="19">+I33*J$3</f>
        <v>370.66874858934176</v>
      </c>
      <c r="K33" s="84">
        <f t="shared" ref="K33" si="20">+I33+J33</f>
        <v>2135.7580275862074</v>
      </c>
      <c r="L33" s="84">
        <f t="shared" si="13"/>
        <v>747.51530965517259</v>
      </c>
      <c r="M33" s="84">
        <f t="shared" ref="M33" si="21">+K33+L33</f>
        <v>2883.27333724138</v>
      </c>
      <c r="N33" s="84">
        <f t="shared" si="15"/>
        <v>1297.473001758621</v>
      </c>
      <c r="O33" s="101">
        <f t="shared" ref="O33" si="22">+M33+N33</f>
        <v>4180.7463390000012</v>
      </c>
      <c r="P33" s="183">
        <f t="shared" si="0"/>
        <v>9.1103872727272606E-2</v>
      </c>
      <c r="Q33" s="25">
        <v>19412.515964240105</v>
      </c>
      <c r="R33" s="245" t="s">
        <v>175</v>
      </c>
    </row>
    <row r="34" spans="1:21" x14ac:dyDescent="0.35">
      <c r="A34" s="83">
        <v>100516849</v>
      </c>
      <c r="B34" s="97" t="s">
        <v>41</v>
      </c>
      <c r="C34" s="98">
        <v>7790360970053</v>
      </c>
      <c r="D34" s="99">
        <v>4.5599999990400004</v>
      </c>
      <c r="E34" s="100">
        <v>24</v>
      </c>
      <c r="F34" s="84">
        <v>19645.771836990596</v>
      </c>
      <c r="G34" s="102"/>
      <c r="H34" s="84">
        <f t="shared" si="1"/>
        <v>19645.771836990596</v>
      </c>
      <c r="I34" s="84">
        <f t="shared" si="2"/>
        <v>818.5738265412748</v>
      </c>
      <c r="J34" s="84">
        <f t="shared" si="3"/>
        <v>171.90050357366769</v>
      </c>
      <c r="K34" s="84">
        <f t="shared" si="4"/>
        <v>990.47433011494252</v>
      </c>
      <c r="L34" s="84">
        <f t="shared" si="13"/>
        <v>346.66601554022986</v>
      </c>
      <c r="M34" s="84">
        <f t="shared" si="6"/>
        <v>1337.1403456551725</v>
      </c>
      <c r="N34" s="84">
        <f t="shared" si="15"/>
        <v>601.7131555448276</v>
      </c>
      <c r="O34" s="101">
        <f t="shared" si="8"/>
        <v>1938.8535012000002</v>
      </c>
      <c r="P34" s="183">
        <f t="shared" si="0"/>
        <v>0.14450000000000029</v>
      </c>
      <c r="Q34" s="25">
        <v>17165.375130616507</v>
      </c>
      <c r="R34" s="245" t="s">
        <v>166</v>
      </c>
    </row>
    <row r="35" spans="1:21" hidden="1" x14ac:dyDescent="0.35">
      <c r="A35" s="27">
        <v>100022039</v>
      </c>
      <c r="B35" s="28" t="s">
        <v>42</v>
      </c>
      <c r="C35" s="21">
        <v>7790360007063</v>
      </c>
      <c r="D35" s="22">
        <v>8.6999999999999993</v>
      </c>
      <c r="E35" s="23">
        <v>10</v>
      </c>
      <c r="F35" s="24" t="e">
        <v>#N/A</v>
      </c>
      <c r="G35" s="141"/>
      <c r="H35" s="24" t="e">
        <f t="shared" si="1"/>
        <v>#N/A</v>
      </c>
      <c r="I35" s="24" t="e">
        <f t="shared" si="2"/>
        <v>#N/A</v>
      </c>
      <c r="J35" s="24" t="e">
        <f t="shared" si="3"/>
        <v>#N/A</v>
      </c>
      <c r="K35" s="24" t="e">
        <f t="shared" si="4"/>
        <v>#N/A</v>
      </c>
      <c r="L35" s="24" t="e">
        <f t="shared" si="13"/>
        <v>#N/A</v>
      </c>
      <c r="M35" s="24" t="e">
        <f t="shared" si="6"/>
        <v>#N/A</v>
      </c>
      <c r="N35" s="24" t="e">
        <f t="shared" si="15"/>
        <v>#N/A</v>
      </c>
      <c r="O35" s="25" t="e">
        <f t="shared" si="8"/>
        <v>#N/A</v>
      </c>
      <c r="P35" s="183" t="e">
        <f t="shared" si="0"/>
        <v>#N/A</v>
      </c>
      <c r="Q35" s="25">
        <v>56041.789445698298</v>
      </c>
      <c r="R35" s="246"/>
    </row>
    <row r="36" spans="1:21" x14ac:dyDescent="0.35">
      <c r="A36" s="27">
        <v>100522206</v>
      </c>
      <c r="B36" s="28" t="s">
        <v>42</v>
      </c>
      <c r="C36" s="21">
        <v>7790360983961</v>
      </c>
      <c r="D36" s="22">
        <v>8.6999999999999993</v>
      </c>
      <c r="E36" s="23">
        <v>10</v>
      </c>
      <c r="F36" s="24">
        <v>64139.828020601708</v>
      </c>
      <c r="G36" s="141"/>
      <c r="H36" s="24">
        <f t="shared" ref="H36" si="23">+F36*(1-G36)</f>
        <v>64139.828020601708</v>
      </c>
      <c r="I36" s="24">
        <f t="shared" ref="I36" si="24">+H36/E36</f>
        <v>6413.9828020601708</v>
      </c>
      <c r="J36" s="24">
        <f t="shared" ref="J36:J37" si="25">+I36*J$3</f>
        <v>1346.9363884326358</v>
      </c>
      <c r="K36" s="24">
        <f t="shared" ref="K36" si="26">+I36+J36</f>
        <v>7760.9191904928066</v>
      </c>
      <c r="L36" s="24">
        <f t="shared" si="13"/>
        <v>2716.3217166724821</v>
      </c>
      <c r="M36" s="24">
        <f t="shared" ref="M36" si="27">+K36+L36</f>
        <v>10477.240907165289</v>
      </c>
      <c r="N36" s="24">
        <f t="shared" si="15"/>
        <v>4714.7584082243802</v>
      </c>
      <c r="O36" s="25">
        <f t="shared" ref="O36" si="28">+M36+N36</f>
        <v>15191.999315389668</v>
      </c>
      <c r="P36" s="183">
        <f t="shared" si="0"/>
        <v>0.14450000000000007</v>
      </c>
      <c r="Q36" s="25">
        <v>56041.789445698298</v>
      </c>
      <c r="R36" s="246"/>
    </row>
    <row r="37" spans="1:21" x14ac:dyDescent="0.35">
      <c r="A37" s="27">
        <v>100022058</v>
      </c>
      <c r="B37" s="28" t="s">
        <v>43</v>
      </c>
      <c r="C37" s="21">
        <v>7790360026002</v>
      </c>
      <c r="D37" s="22">
        <v>4.5599999990400004</v>
      </c>
      <c r="E37" s="23">
        <v>24</v>
      </c>
      <c r="F37" s="40">
        <v>16572.768923866108</v>
      </c>
      <c r="G37" s="141"/>
      <c r="H37" s="40">
        <f t="shared" si="1"/>
        <v>16572.768923866108</v>
      </c>
      <c r="I37" s="24">
        <f t="shared" si="2"/>
        <v>690.53203849442116</v>
      </c>
      <c r="J37" s="24">
        <f t="shared" si="25"/>
        <v>145.01172808382844</v>
      </c>
      <c r="K37" s="24">
        <f t="shared" si="4"/>
        <v>835.54376657824957</v>
      </c>
      <c r="L37" s="24">
        <f>+K37*0.3</f>
        <v>250.66312997347487</v>
      </c>
      <c r="M37" s="24">
        <f t="shared" si="6"/>
        <v>1086.2068965517244</v>
      </c>
      <c r="N37" s="24">
        <f t="shared" si="15"/>
        <v>488.79310344827599</v>
      </c>
      <c r="O37" s="25">
        <f t="shared" si="8"/>
        <v>1575.0000000000005</v>
      </c>
      <c r="P37" s="183">
        <f t="shared" si="0"/>
        <v>5.0000000000000044E-2</v>
      </c>
      <c r="Q37" s="25">
        <v>15783.589451301053</v>
      </c>
      <c r="R37" s="249">
        <f>1-[1]NOA!$H$37/F37</f>
        <v>0.11224489795918402</v>
      </c>
      <c r="S37" s="82"/>
    </row>
    <row r="38" spans="1:21" x14ac:dyDescent="0.35">
      <c r="A38" s="27">
        <v>100518151</v>
      </c>
      <c r="B38" s="28" t="s">
        <v>44</v>
      </c>
      <c r="C38" s="21">
        <v>7790360974990</v>
      </c>
      <c r="D38" s="22">
        <v>8.6999999999999993</v>
      </c>
      <c r="E38" s="23">
        <v>10</v>
      </c>
      <c r="F38" s="40">
        <v>73071.448931881707</v>
      </c>
      <c r="G38" s="23"/>
      <c r="H38" s="40">
        <f t="shared" si="1"/>
        <v>73071.448931881707</v>
      </c>
      <c r="I38" s="24">
        <f t="shared" si="2"/>
        <v>7307.1448931881705</v>
      </c>
      <c r="J38" s="24">
        <f>+I38*J$3</f>
        <v>1534.5004275695158</v>
      </c>
      <c r="K38" s="24">
        <f>+I38+J38</f>
        <v>8841.6453207576869</v>
      </c>
      <c r="L38" s="24">
        <f t="shared" si="13"/>
        <v>3094.5758622651902</v>
      </c>
      <c r="M38" s="24">
        <f>+K38+L38</f>
        <v>11936.221183022877</v>
      </c>
      <c r="N38" s="24">
        <f t="shared" si="15"/>
        <v>5371.2995323602945</v>
      </c>
      <c r="O38" s="25">
        <f>+M38+N38</f>
        <v>17307.520715383173</v>
      </c>
      <c r="P38" s="183">
        <f t="shared" si="0"/>
        <v>0.14450000000000007</v>
      </c>
      <c r="Q38" s="25">
        <v>63845.739564772135</v>
      </c>
      <c r="R38" s="246"/>
    </row>
    <row r="39" spans="1:21" x14ac:dyDescent="0.35">
      <c r="A39" s="32"/>
      <c r="B39" s="33"/>
      <c r="C39" s="34"/>
      <c r="D39" s="33"/>
      <c r="E39" s="35"/>
      <c r="F39" s="36" t="e">
        <v>#N/A</v>
      </c>
      <c r="G39" s="35"/>
      <c r="H39" s="36" t="e">
        <f t="shared" si="1"/>
        <v>#N/A</v>
      </c>
      <c r="I39" s="37" t="e">
        <f t="shared" si="2"/>
        <v>#N/A</v>
      </c>
      <c r="J39" s="38">
        <v>0.21</v>
      </c>
      <c r="K39" s="37"/>
      <c r="L39" s="17">
        <v>0.22</v>
      </c>
      <c r="M39" s="16"/>
      <c r="N39" s="17">
        <v>0.35</v>
      </c>
      <c r="O39" s="39"/>
      <c r="P39" s="183" t="e">
        <f t="shared" si="0"/>
        <v>#N/A</v>
      </c>
      <c r="Q39" s="25" t="e">
        <v>#N/A</v>
      </c>
      <c r="R39" s="246"/>
    </row>
    <row r="40" spans="1:21" ht="16" x14ac:dyDescent="0.4">
      <c r="A40" s="234">
        <v>100021000</v>
      </c>
      <c r="B40" s="235" t="s">
        <v>45</v>
      </c>
      <c r="C40" s="236">
        <v>7790360720382</v>
      </c>
      <c r="D40" s="237">
        <v>2.16</v>
      </c>
      <c r="E40" s="238">
        <v>24</v>
      </c>
      <c r="F40" s="239">
        <v>13610.387393781175</v>
      </c>
      <c r="G40" s="141"/>
      <c r="H40" s="239">
        <f t="shared" si="1"/>
        <v>13610.387393781175</v>
      </c>
      <c r="I40" s="239">
        <f t="shared" si="2"/>
        <v>567.09947474088233</v>
      </c>
      <c r="J40" s="239">
        <f t="shared" si="3"/>
        <v>119.09088969558529</v>
      </c>
      <c r="K40" s="239">
        <f t="shared" si="4"/>
        <v>686.19036443646758</v>
      </c>
      <c r="L40" s="239">
        <f>+K40*L$39</f>
        <v>150.96188017602287</v>
      </c>
      <c r="M40" s="239">
        <f t="shared" si="6"/>
        <v>837.15224461249045</v>
      </c>
      <c r="N40" s="239">
        <f>+M40*N$39</f>
        <v>293.00328561437163</v>
      </c>
      <c r="O40" s="240">
        <f t="shared" si="8"/>
        <v>1130.1555302268621</v>
      </c>
      <c r="P40" s="183">
        <f>H40/Q40-1</f>
        <v>0.10250000000000004</v>
      </c>
      <c r="Q40" s="25">
        <v>12345.022579393355</v>
      </c>
      <c r="R40" s="250"/>
      <c r="S40" s="1"/>
      <c r="T40" s="1"/>
      <c r="U40" s="1"/>
    </row>
    <row r="41" spans="1:21" ht="16" x14ac:dyDescent="0.4">
      <c r="A41" s="234">
        <v>100021001</v>
      </c>
      <c r="B41" s="235" t="s">
        <v>46</v>
      </c>
      <c r="C41" s="236">
        <v>7790360720115</v>
      </c>
      <c r="D41" s="237">
        <v>2.16</v>
      </c>
      <c r="E41" s="238">
        <v>24</v>
      </c>
      <c r="F41" s="239">
        <v>13610.387393781175</v>
      </c>
      <c r="G41" s="141"/>
      <c r="H41" s="239">
        <f t="shared" si="1"/>
        <v>13610.387393781175</v>
      </c>
      <c r="I41" s="239">
        <f t="shared" si="2"/>
        <v>567.09947474088233</v>
      </c>
      <c r="J41" s="239">
        <f t="shared" si="3"/>
        <v>119.09088969558529</v>
      </c>
      <c r="K41" s="239">
        <f t="shared" si="4"/>
        <v>686.19036443646758</v>
      </c>
      <c r="L41" s="239">
        <f t="shared" ref="L41:L56" si="29">+K41*L$39</f>
        <v>150.96188017602287</v>
      </c>
      <c r="M41" s="239">
        <f t="shared" si="6"/>
        <v>837.15224461249045</v>
      </c>
      <c r="N41" s="239">
        <f t="shared" ref="N41:N56" si="30">+M41*N$39</f>
        <v>293.00328561437163</v>
      </c>
      <c r="O41" s="240">
        <f t="shared" si="8"/>
        <v>1130.1555302268621</v>
      </c>
      <c r="P41" s="183">
        <f t="shared" ref="P41:P109" si="31">H41/Q41-1</f>
        <v>0.10250000000000004</v>
      </c>
      <c r="Q41" s="25">
        <v>12345.022579393355</v>
      </c>
      <c r="R41" s="250"/>
      <c r="S41" s="1"/>
      <c r="T41" s="1"/>
      <c r="U41" s="1"/>
    </row>
    <row r="42" spans="1:21" ht="16" x14ac:dyDescent="0.4">
      <c r="A42" s="241">
        <v>100522277</v>
      </c>
      <c r="B42" s="235" t="s">
        <v>146</v>
      </c>
      <c r="C42" s="236"/>
      <c r="D42" s="237">
        <v>2.16</v>
      </c>
      <c r="E42" s="238">
        <v>24</v>
      </c>
      <c r="F42" s="239">
        <v>13610.387393781175</v>
      </c>
      <c r="G42" s="141"/>
      <c r="H42" s="239">
        <f t="shared" ref="H42:H43" si="32">+F42*(1-G42)</f>
        <v>13610.387393781175</v>
      </c>
      <c r="I42" s="239">
        <f t="shared" ref="I42:I43" si="33">+H42/E42</f>
        <v>567.09947474088233</v>
      </c>
      <c r="J42" s="239">
        <f t="shared" ref="J42:J43" si="34">+I42*J$3</f>
        <v>119.09088969558529</v>
      </c>
      <c r="K42" s="239">
        <f t="shared" ref="K42:K43" si="35">+I42+J42</f>
        <v>686.19036443646758</v>
      </c>
      <c r="L42" s="239">
        <f t="shared" ref="L42:L43" si="36">+K42*L$39</f>
        <v>150.96188017602287</v>
      </c>
      <c r="M42" s="239">
        <f t="shared" ref="M42:M43" si="37">+K42+L42</f>
        <v>837.15224461249045</v>
      </c>
      <c r="N42" s="239">
        <f t="shared" ref="N42:N43" si="38">+M42*N$39</f>
        <v>293.00328561437163</v>
      </c>
      <c r="O42" s="240">
        <f t="shared" ref="O42:O43" si="39">+M42+N42</f>
        <v>1130.1555302268621</v>
      </c>
      <c r="P42" s="183">
        <f t="shared" si="31"/>
        <v>0.10250000000000004</v>
      </c>
      <c r="Q42" s="25">
        <v>12345.022579393355</v>
      </c>
      <c r="R42" s="250"/>
      <c r="S42" s="1"/>
      <c r="T42" s="1"/>
      <c r="U42" s="1"/>
    </row>
    <row r="43" spans="1:21" x14ac:dyDescent="0.35">
      <c r="A43" s="241">
        <v>100522333</v>
      </c>
      <c r="B43" s="235" t="s">
        <v>147</v>
      </c>
      <c r="C43" s="236"/>
      <c r="D43" s="237">
        <v>2.16</v>
      </c>
      <c r="E43" s="238">
        <v>24</v>
      </c>
      <c r="F43" s="239">
        <v>13610.387393781175</v>
      </c>
      <c r="G43" s="141"/>
      <c r="H43" s="239">
        <f t="shared" si="32"/>
        <v>13610.387393781175</v>
      </c>
      <c r="I43" s="239">
        <f t="shared" si="33"/>
        <v>567.09947474088233</v>
      </c>
      <c r="J43" s="239">
        <f t="shared" si="34"/>
        <v>119.09088969558529</v>
      </c>
      <c r="K43" s="239">
        <f t="shared" si="35"/>
        <v>686.19036443646758</v>
      </c>
      <c r="L43" s="239">
        <f t="shared" si="36"/>
        <v>150.96188017602287</v>
      </c>
      <c r="M43" s="239">
        <f t="shared" si="37"/>
        <v>837.15224461249045</v>
      </c>
      <c r="N43" s="239">
        <f t="shared" si="38"/>
        <v>293.00328561437163</v>
      </c>
      <c r="O43" s="240">
        <f t="shared" si="39"/>
        <v>1130.1555302268621</v>
      </c>
      <c r="P43" s="183">
        <f t="shared" si="31"/>
        <v>0.10250000000000004</v>
      </c>
      <c r="Q43" s="25">
        <v>12345.022579393355</v>
      </c>
      <c r="R43" s="248"/>
      <c r="S43" s="1"/>
      <c r="T43" s="1"/>
      <c r="U43" s="1"/>
    </row>
    <row r="44" spans="1:21" x14ac:dyDescent="0.35">
      <c r="A44" s="234">
        <v>100021045</v>
      </c>
      <c r="B44" s="235" t="s">
        <v>47</v>
      </c>
      <c r="C44" s="236">
        <v>7790360966582</v>
      </c>
      <c r="D44" s="237">
        <v>2.16</v>
      </c>
      <c r="E44" s="238">
        <v>24</v>
      </c>
      <c r="F44" s="239">
        <v>13610.387393781173</v>
      </c>
      <c r="G44" s="141"/>
      <c r="H44" s="239">
        <f t="shared" si="1"/>
        <v>13610.387393781173</v>
      </c>
      <c r="I44" s="239">
        <f t="shared" si="2"/>
        <v>567.09947474088221</v>
      </c>
      <c r="J44" s="239">
        <f t="shared" si="3"/>
        <v>119.09088969558526</v>
      </c>
      <c r="K44" s="239">
        <f t="shared" si="4"/>
        <v>686.19036443646746</v>
      </c>
      <c r="L44" s="239">
        <f t="shared" si="29"/>
        <v>150.96188017602285</v>
      </c>
      <c r="M44" s="239">
        <f t="shared" si="6"/>
        <v>837.15224461249034</v>
      </c>
      <c r="N44" s="239">
        <f t="shared" si="30"/>
        <v>293.00328561437158</v>
      </c>
      <c r="O44" s="240">
        <f t="shared" si="8"/>
        <v>1130.1555302268619</v>
      </c>
      <c r="P44" s="183">
        <f t="shared" si="31"/>
        <v>0.10250000000000004</v>
      </c>
      <c r="Q44" s="25">
        <v>12345.022579393353</v>
      </c>
      <c r="R44" s="248"/>
      <c r="S44" s="1"/>
      <c r="T44" s="1"/>
      <c r="U44" s="1"/>
    </row>
    <row r="45" spans="1:21" x14ac:dyDescent="0.35">
      <c r="A45" s="234">
        <v>100021004</v>
      </c>
      <c r="B45" s="235" t="s">
        <v>48</v>
      </c>
      <c r="C45" s="236">
        <v>7790360964526</v>
      </c>
      <c r="D45" s="237">
        <v>2.1120000000000001</v>
      </c>
      <c r="E45" s="238">
        <v>24</v>
      </c>
      <c r="F45" s="239">
        <v>13610.387393781173</v>
      </c>
      <c r="G45" s="141"/>
      <c r="H45" s="239">
        <f t="shared" si="1"/>
        <v>13610.387393781173</v>
      </c>
      <c r="I45" s="239">
        <f t="shared" si="2"/>
        <v>567.09947474088221</v>
      </c>
      <c r="J45" s="239">
        <f t="shared" si="3"/>
        <v>119.09088969558526</v>
      </c>
      <c r="K45" s="239">
        <f t="shared" si="4"/>
        <v>686.19036443646746</v>
      </c>
      <c r="L45" s="239">
        <f t="shared" si="29"/>
        <v>150.96188017602285</v>
      </c>
      <c r="M45" s="239">
        <f t="shared" si="6"/>
        <v>837.15224461249034</v>
      </c>
      <c r="N45" s="239">
        <f t="shared" si="30"/>
        <v>293.00328561437158</v>
      </c>
      <c r="O45" s="240">
        <f t="shared" si="8"/>
        <v>1130.1555302268619</v>
      </c>
      <c r="P45" s="183">
        <f t="shared" si="31"/>
        <v>0.10250000000000004</v>
      </c>
      <c r="Q45" s="25">
        <v>12345.022579393353</v>
      </c>
      <c r="R45" s="248"/>
      <c r="S45" s="1"/>
      <c r="T45" s="1"/>
      <c r="U45" s="1"/>
    </row>
    <row r="46" spans="1:21" x14ac:dyDescent="0.35">
      <c r="A46" s="234">
        <v>100021006</v>
      </c>
      <c r="B46" s="235" t="s">
        <v>49</v>
      </c>
      <c r="C46" s="236">
        <v>7790360964557</v>
      </c>
      <c r="D46" s="237">
        <v>2.1120000000000001</v>
      </c>
      <c r="E46" s="238">
        <v>24</v>
      </c>
      <c r="F46" s="239">
        <v>13610.387393781173</v>
      </c>
      <c r="G46" s="141"/>
      <c r="H46" s="239">
        <f t="shared" si="1"/>
        <v>13610.387393781173</v>
      </c>
      <c r="I46" s="239">
        <f t="shared" si="2"/>
        <v>567.09947474088221</v>
      </c>
      <c r="J46" s="239">
        <f t="shared" si="3"/>
        <v>119.09088969558526</v>
      </c>
      <c r="K46" s="239">
        <f t="shared" si="4"/>
        <v>686.19036443646746</v>
      </c>
      <c r="L46" s="239">
        <f t="shared" si="29"/>
        <v>150.96188017602285</v>
      </c>
      <c r="M46" s="239">
        <f t="shared" si="6"/>
        <v>837.15224461249034</v>
      </c>
      <c r="N46" s="239">
        <f t="shared" si="30"/>
        <v>293.00328561437158</v>
      </c>
      <c r="O46" s="240">
        <f t="shared" si="8"/>
        <v>1130.1555302268619</v>
      </c>
      <c r="P46" s="183">
        <f t="shared" si="31"/>
        <v>0.10250000000000004</v>
      </c>
      <c r="Q46" s="25">
        <v>12345.022579393353</v>
      </c>
      <c r="R46" s="248"/>
      <c r="S46" s="1"/>
      <c r="T46" s="1"/>
      <c r="U46" s="1"/>
    </row>
    <row r="47" spans="1:21" x14ac:dyDescent="0.35">
      <c r="A47" s="234">
        <v>100021007</v>
      </c>
      <c r="B47" s="235" t="s">
        <v>50</v>
      </c>
      <c r="C47" s="236">
        <v>7790360964540</v>
      </c>
      <c r="D47" s="237">
        <v>2.04</v>
      </c>
      <c r="E47" s="238">
        <v>24</v>
      </c>
      <c r="F47" s="239">
        <v>16274.217585692995</v>
      </c>
      <c r="G47" s="141"/>
      <c r="H47" s="239">
        <f t="shared" si="1"/>
        <v>16274.217585692995</v>
      </c>
      <c r="I47" s="239">
        <f t="shared" si="2"/>
        <v>678.09239940387477</v>
      </c>
      <c r="J47" s="239">
        <f t="shared" si="3"/>
        <v>142.39940387481369</v>
      </c>
      <c r="K47" s="239">
        <f t="shared" si="4"/>
        <v>820.49180327868839</v>
      </c>
      <c r="L47" s="239">
        <f t="shared" si="29"/>
        <v>180.50819672131144</v>
      </c>
      <c r="M47" s="239">
        <f t="shared" si="6"/>
        <v>1000.9999999999998</v>
      </c>
      <c r="N47" s="239">
        <f t="shared" si="30"/>
        <v>350.34999999999991</v>
      </c>
      <c r="O47" s="240">
        <f t="shared" si="8"/>
        <v>1351.3499999999997</v>
      </c>
      <c r="P47" s="183">
        <f t="shared" si="31"/>
        <v>0.15481870102855622</v>
      </c>
      <c r="Q47" s="25">
        <v>14092.44375</v>
      </c>
      <c r="R47" s="248"/>
      <c r="S47" s="1"/>
      <c r="T47" s="1"/>
      <c r="U47" s="1"/>
    </row>
    <row r="48" spans="1:21" x14ac:dyDescent="0.35">
      <c r="A48" s="234">
        <v>100021013</v>
      </c>
      <c r="B48" s="235" t="s">
        <v>51</v>
      </c>
      <c r="C48" s="236">
        <v>7790360965714</v>
      </c>
      <c r="D48" s="237">
        <v>2.04</v>
      </c>
      <c r="E48" s="238">
        <v>24</v>
      </c>
      <c r="F48" s="239">
        <v>16274.217585692995</v>
      </c>
      <c r="G48" s="141"/>
      <c r="H48" s="239">
        <f t="shared" si="1"/>
        <v>16274.217585692995</v>
      </c>
      <c r="I48" s="239">
        <f t="shared" si="2"/>
        <v>678.09239940387477</v>
      </c>
      <c r="J48" s="239">
        <f t="shared" si="3"/>
        <v>142.39940387481369</v>
      </c>
      <c r="K48" s="239">
        <f t="shared" si="4"/>
        <v>820.49180327868839</v>
      </c>
      <c r="L48" s="239">
        <f t="shared" si="29"/>
        <v>180.50819672131144</v>
      </c>
      <c r="M48" s="239">
        <f t="shared" si="6"/>
        <v>1000.9999999999998</v>
      </c>
      <c r="N48" s="239">
        <f t="shared" si="30"/>
        <v>350.34999999999991</v>
      </c>
      <c r="O48" s="240">
        <f t="shared" si="8"/>
        <v>1351.3499999999997</v>
      </c>
      <c r="P48" s="183">
        <f t="shared" si="31"/>
        <v>0.15481870102855622</v>
      </c>
      <c r="Q48" s="25">
        <v>14092.44375</v>
      </c>
      <c r="R48" s="248"/>
      <c r="S48" s="1"/>
      <c r="T48" s="1"/>
      <c r="U48" s="1"/>
    </row>
    <row r="49" spans="1:21" x14ac:dyDescent="0.35">
      <c r="A49" s="234">
        <v>100021014</v>
      </c>
      <c r="B49" s="235" t="s">
        <v>52</v>
      </c>
      <c r="C49" s="236">
        <v>7790360965721</v>
      </c>
      <c r="D49" s="237">
        <v>2.04</v>
      </c>
      <c r="E49" s="238">
        <v>24</v>
      </c>
      <c r="F49" s="239">
        <v>16274.217585692995</v>
      </c>
      <c r="G49" s="141"/>
      <c r="H49" s="239">
        <f t="shared" si="1"/>
        <v>16274.217585692995</v>
      </c>
      <c r="I49" s="239">
        <f t="shared" si="2"/>
        <v>678.09239940387477</v>
      </c>
      <c r="J49" s="239">
        <f t="shared" si="3"/>
        <v>142.39940387481369</v>
      </c>
      <c r="K49" s="239">
        <f t="shared" si="4"/>
        <v>820.49180327868839</v>
      </c>
      <c r="L49" s="239">
        <f t="shared" si="29"/>
        <v>180.50819672131144</v>
      </c>
      <c r="M49" s="239">
        <f t="shared" si="6"/>
        <v>1000.9999999999998</v>
      </c>
      <c r="N49" s="239">
        <f t="shared" si="30"/>
        <v>350.34999999999991</v>
      </c>
      <c r="O49" s="240">
        <f t="shared" si="8"/>
        <v>1351.3499999999997</v>
      </c>
      <c r="P49" s="183">
        <f t="shared" si="31"/>
        <v>0.15481870102855622</v>
      </c>
      <c r="Q49" s="25">
        <v>14092.44375</v>
      </c>
      <c r="R49" s="248"/>
      <c r="S49" s="1"/>
      <c r="T49" s="1"/>
      <c r="U49" s="1"/>
    </row>
    <row r="50" spans="1:21" x14ac:dyDescent="0.35">
      <c r="A50" s="234">
        <v>100021054</v>
      </c>
      <c r="B50" s="235" t="s">
        <v>53</v>
      </c>
      <c r="C50" s="236">
        <v>7790360965707</v>
      </c>
      <c r="D50" s="237">
        <v>2.04</v>
      </c>
      <c r="E50" s="238">
        <v>24</v>
      </c>
      <c r="F50" s="239">
        <v>16274.217585692995</v>
      </c>
      <c r="G50" s="141"/>
      <c r="H50" s="239">
        <f t="shared" si="1"/>
        <v>16274.217585692995</v>
      </c>
      <c r="I50" s="239">
        <f t="shared" si="2"/>
        <v>678.09239940387477</v>
      </c>
      <c r="J50" s="239">
        <f t="shared" si="3"/>
        <v>142.39940387481369</v>
      </c>
      <c r="K50" s="239">
        <f t="shared" si="4"/>
        <v>820.49180327868839</v>
      </c>
      <c r="L50" s="239">
        <f t="shared" si="29"/>
        <v>180.50819672131144</v>
      </c>
      <c r="M50" s="239">
        <f t="shared" si="6"/>
        <v>1000.9999999999998</v>
      </c>
      <c r="N50" s="239">
        <f t="shared" si="30"/>
        <v>350.34999999999991</v>
      </c>
      <c r="O50" s="240">
        <f t="shared" si="8"/>
        <v>1351.3499999999997</v>
      </c>
      <c r="P50" s="183">
        <f t="shared" si="31"/>
        <v>0.15481870102855622</v>
      </c>
      <c r="Q50" s="25">
        <v>14092.44375</v>
      </c>
      <c r="R50" s="248"/>
      <c r="S50" s="1"/>
      <c r="T50" s="1"/>
      <c r="U50" s="1"/>
    </row>
    <row r="51" spans="1:21" x14ac:dyDescent="0.35">
      <c r="A51" s="234">
        <v>100021055</v>
      </c>
      <c r="B51" s="235" t="s">
        <v>54</v>
      </c>
      <c r="C51" s="236">
        <v>7790360965189</v>
      </c>
      <c r="D51" s="237">
        <v>2.04</v>
      </c>
      <c r="E51" s="238">
        <v>24</v>
      </c>
      <c r="F51" s="239">
        <v>16274.217585692995</v>
      </c>
      <c r="G51" s="141"/>
      <c r="H51" s="239">
        <f t="shared" si="1"/>
        <v>16274.217585692995</v>
      </c>
      <c r="I51" s="239">
        <f t="shared" si="2"/>
        <v>678.09239940387477</v>
      </c>
      <c r="J51" s="239">
        <f t="shared" si="3"/>
        <v>142.39940387481369</v>
      </c>
      <c r="K51" s="239">
        <f t="shared" si="4"/>
        <v>820.49180327868839</v>
      </c>
      <c r="L51" s="239">
        <f t="shared" si="29"/>
        <v>180.50819672131144</v>
      </c>
      <c r="M51" s="239">
        <f t="shared" si="6"/>
        <v>1000.9999999999998</v>
      </c>
      <c r="N51" s="239">
        <f t="shared" si="30"/>
        <v>350.34999999999991</v>
      </c>
      <c r="O51" s="240">
        <f t="shared" si="8"/>
        <v>1351.3499999999997</v>
      </c>
      <c r="P51" s="183">
        <f t="shared" si="31"/>
        <v>0.15481870102855622</v>
      </c>
      <c r="Q51" s="25">
        <v>14092.44375</v>
      </c>
      <c r="R51" s="248"/>
      <c r="S51" s="1"/>
      <c r="T51" s="1"/>
      <c r="U51" s="1"/>
    </row>
    <row r="52" spans="1:21" x14ac:dyDescent="0.35">
      <c r="A52" s="234">
        <v>100021015</v>
      </c>
      <c r="B52" s="235" t="s">
        <v>55</v>
      </c>
      <c r="C52" s="236">
        <v>7790360965202</v>
      </c>
      <c r="D52" s="237">
        <v>2.04</v>
      </c>
      <c r="E52" s="238">
        <v>24</v>
      </c>
      <c r="F52" s="239">
        <v>16274.217585692995</v>
      </c>
      <c r="G52" s="141"/>
      <c r="H52" s="239">
        <f t="shared" si="1"/>
        <v>16274.217585692995</v>
      </c>
      <c r="I52" s="239">
        <f t="shared" si="2"/>
        <v>678.09239940387477</v>
      </c>
      <c r="J52" s="239">
        <f t="shared" si="3"/>
        <v>142.39940387481369</v>
      </c>
      <c r="K52" s="239">
        <f t="shared" si="4"/>
        <v>820.49180327868839</v>
      </c>
      <c r="L52" s="239">
        <f t="shared" si="29"/>
        <v>180.50819672131144</v>
      </c>
      <c r="M52" s="239">
        <f t="shared" si="6"/>
        <v>1000.9999999999998</v>
      </c>
      <c r="N52" s="239">
        <f t="shared" si="30"/>
        <v>350.34999999999991</v>
      </c>
      <c r="O52" s="240">
        <f t="shared" si="8"/>
        <v>1351.3499999999997</v>
      </c>
      <c r="P52" s="183">
        <f t="shared" si="31"/>
        <v>0.15481870102855622</v>
      </c>
      <c r="Q52" s="25">
        <v>14092.44375</v>
      </c>
      <c r="R52" s="248"/>
      <c r="S52" s="1"/>
      <c r="T52" s="1"/>
      <c r="U52" s="1"/>
    </row>
    <row r="53" spans="1:21" x14ac:dyDescent="0.35">
      <c r="A53" s="234">
        <v>100021008</v>
      </c>
      <c r="B53" s="235" t="s">
        <v>56</v>
      </c>
      <c r="C53" s="236">
        <v>7790360720122</v>
      </c>
      <c r="D53" s="237">
        <v>2.16</v>
      </c>
      <c r="E53" s="238">
        <v>24</v>
      </c>
      <c r="F53" s="239">
        <v>10971.006927240942</v>
      </c>
      <c r="G53" s="134"/>
      <c r="H53" s="239">
        <f>+F53*(1-G53)</f>
        <v>10971.006927240942</v>
      </c>
      <c r="I53" s="239">
        <f t="shared" si="2"/>
        <v>457.12528863503923</v>
      </c>
      <c r="J53" s="239">
        <f t="shared" si="3"/>
        <v>95.996310613358233</v>
      </c>
      <c r="K53" s="239">
        <f t="shared" si="4"/>
        <v>553.1215992483975</v>
      </c>
      <c r="L53" s="239">
        <f t="shared" si="29"/>
        <v>121.68675183464745</v>
      </c>
      <c r="M53" s="239">
        <f t="shared" si="6"/>
        <v>674.80835108304495</v>
      </c>
      <c r="N53" s="239">
        <f t="shared" si="30"/>
        <v>236.18292287906573</v>
      </c>
      <c r="O53" s="240">
        <f t="shared" si="8"/>
        <v>910.99127396211065</v>
      </c>
      <c r="P53" s="183">
        <f t="shared" si="31"/>
        <v>5.0000000000000044E-2</v>
      </c>
      <c r="Q53" s="25">
        <v>10448.578025943754</v>
      </c>
      <c r="R53" s="248"/>
      <c r="S53" s="1"/>
      <c r="T53" s="1"/>
      <c r="U53" s="1"/>
    </row>
    <row r="54" spans="1:21" x14ac:dyDescent="0.35">
      <c r="A54" s="234">
        <v>100021009</v>
      </c>
      <c r="B54" s="235" t="s">
        <v>57</v>
      </c>
      <c r="C54" s="236">
        <v>7790360965127</v>
      </c>
      <c r="D54" s="237">
        <v>2.16</v>
      </c>
      <c r="E54" s="238">
        <v>24</v>
      </c>
      <c r="F54" s="239">
        <v>10971.006927240942</v>
      </c>
      <c r="G54" s="141"/>
      <c r="H54" s="239">
        <f t="shared" si="1"/>
        <v>10971.006927240942</v>
      </c>
      <c r="I54" s="239">
        <f t="shared" si="2"/>
        <v>457.12528863503923</v>
      </c>
      <c r="J54" s="239">
        <f t="shared" si="3"/>
        <v>95.996310613358233</v>
      </c>
      <c r="K54" s="239">
        <f t="shared" si="4"/>
        <v>553.1215992483975</v>
      </c>
      <c r="L54" s="239">
        <f t="shared" si="29"/>
        <v>121.68675183464745</v>
      </c>
      <c r="M54" s="239">
        <f t="shared" si="6"/>
        <v>674.80835108304495</v>
      </c>
      <c r="N54" s="239">
        <f t="shared" si="30"/>
        <v>236.18292287906573</v>
      </c>
      <c r="O54" s="240">
        <f t="shared" si="8"/>
        <v>910.99127396211065</v>
      </c>
      <c r="P54" s="183">
        <f t="shared" si="31"/>
        <v>5.0000000000000044E-2</v>
      </c>
      <c r="Q54" s="25">
        <v>10448.578025943754</v>
      </c>
      <c r="R54" s="248"/>
      <c r="S54" s="1"/>
      <c r="T54" s="1"/>
      <c r="U54" s="1"/>
    </row>
    <row r="55" spans="1:21" x14ac:dyDescent="0.35">
      <c r="A55" s="27">
        <v>100021010</v>
      </c>
      <c r="B55" s="28" t="s">
        <v>58</v>
      </c>
      <c r="C55" s="21">
        <v>7790920008707</v>
      </c>
      <c r="D55" s="22">
        <v>2.16</v>
      </c>
      <c r="E55" s="23">
        <v>24</v>
      </c>
      <c r="F55" s="24">
        <v>10971.006927240942</v>
      </c>
      <c r="G55" s="23"/>
      <c r="H55" s="24">
        <f t="shared" si="1"/>
        <v>10971.006927240942</v>
      </c>
      <c r="I55" s="24">
        <f t="shared" si="2"/>
        <v>457.12528863503923</v>
      </c>
      <c r="J55" s="24">
        <f t="shared" si="3"/>
        <v>95.996310613358233</v>
      </c>
      <c r="K55" s="24">
        <f t="shared" si="4"/>
        <v>553.1215992483975</v>
      </c>
      <c r="L55" s="24">
        <f t="shared" si="29"/>
        <v>121.68675183464745</v>
      </c>
      <c r="M55" s="24">
        <f t="shared" si="6"/>
        <v>674.80835108304495</v>
      </c>
      <c r="N55" s="24">
        <f t="shared" si="30"/>
        <v>236.18292287906573</v>
      </c>
      <c r="O55" s="25">
        <f t="shared" si="8"/>
        <v>910.99127396211065</v>
      </c>
      <c r="P55" s="183">
        <f t="shared" si="31"/>
        <v>5.0000000000000044E-2</v>
      </c>
      <c r="Q55" s="25">
        <v>10448.578025943754</v>
      </c>
      <c r="R55" s="248"/>
      <c r="S55" s="1"/>
      <c r="T55" s="1"/>
      <c r="U55" s="1"/>
    </row>
    <row r="56" spans="1:21" x14ac:dyDescent="0.35">
      <c r="A56" s="27">
        <v>100021011</v>
      </c>
      <c r="B56" s="28" t="s">
        <v>59</v>
      </c>
      <c r="C56" s="21">
        <v>7790920008714</v>
      </c>
      <c r="D56" s="22">
        <v>2.16</v>
      </c>
      <c r="E56" s="23">
        <v>24</v>
      </c>
      <c r="F56" s="24">
        <v>10971.006927240942</v>
      </c>
      <c r="G56" s="23"/>
      <c r="H56" s="24">
        <f t="shared" si="1"/>
        <v>10971.006927240942</v>
      </c>
      <c r="I56" s="24">
        <f t="shared" si="2"/>
        <v>457.12528863503923</v>
      </c>
      <c r="J56" s="24">
        <f t="shared" si="3"/>
        <v>95.996310613358233</v>
      </c>
      <c r="K56" s="24">
        <f t="shared" si="4"/>
        <v>553.1215992483975</v>
      </c>
      <c r="L56" s="24">
        <f t="shared" si="29"/>
        <v>121.68675183464745</v>
      </c>
      <c r="M56" s="24">
        <f t="shared" si="6"/>
        <v>674.80835108304495</v>
      </c>
      <c r="N56" s="24">
        <f t="shared" si="30"/>
        <v>236.18292287906573</v>
      </c>
      <c r="O56" s="25">
        <f t="shared" si="8"/>
        <v>910.99127396211065</v>
      </c>
      <c r="P56" s="183">
        <f t="shared" si="31"/>
        <v>5.0000000000000044E-2</v>
      </c>
      <c r="Q56" s="25">
        <v>10448.578025943754</v>
      </c>
      <c r="R56" s="248"/>
      <c r="S56" s="1"/>
      <c r="T56" s="1"/>
      <c r="U56" s="1"/>
    </row>
    <row r="57" spans="1:21" x14ac:dyDescent="0.35">
      <c r="A57" s="32"/>
      <c r="B57" s="33"/>
      <c r="C57" s="34"/>
      <c r="D57" s="33"/>
      <c r="E57" s="35"/>
      <c r="F57" s="36" t="e">
        <v>#N/A</v>
      </c>
      <c r="G57" s="35"/>
      <c r="H57" s="36" t="e">
        <f t="shared" si="1"/>
        <v>#N/A</v>
      </c>
      <c r="I57" s="37" t="e">
        <f t="shared" si="2"/>
        <v>#N/A</v>
      </c>
      <c r="J57" s="38"/>
      <c r="K57" s="37"/>
      <c r="L57" s="38"/>
      <c r="M57" s="37"/>
      <c r="N57" s="38"/>
      <c r="O57" s="39"/>
      <c r="P57" s="183" t="e">
        <f t="shared" si="31"/>
        <v>#N/A</v>
      </c>
      <c r="Q57" s="25" t="e">
        <v>#N/A</v>
      </c>
      <c r="R57" s="248"/>
      <c r="S57" s="1"/>
      <c r="T57" s="1"/>
      <c r="U57" s="1"/>
    </row>
    <row r="58" spans="1:21" x14ac:dyDescent="0.35">
      <c r="A58" s="83">
        <v>100516217</v>
      </c>
      <c r="B58" s="97" t="s">
        <v>60</v>
      </c>
      <c r="C58" s="98">
        <v>7790360967824</v>
      </c>
      <c r="D58" s="99">
        <v>5.8</v>
      </c>
      <c r="E58" s="100">
        <v>20</v>
      </c>
      <c r="F58" s="84">
        <v>25816.614898936674</v>
      </c>
      <c r="G58" s="96"/>
      <c r="H58" s="84">
        <f t="shared" si="1"/>
        <v>25816.614898936674</v>
      </c>
      <c r="I58" s="84">
        <f t="shared" si="2"/>
        <v>1290.8307449468336</v>
      </c>
      <c r="J58" s="84">
        <f t="shared" si="3"/>
        <v>271.07445643883506</v>
      </c>
      <c r="K58" s="84">
        <f t="shared" si="4"/>
        <v>1561.9052013856688</v>
      </c>
      <c r="L58" s="84">
        <f t="shared" si="5"/>
        <v>546.66682048498399</v>
      </c>
      <c r="M58" s="84">
        <f t="shared" si="6"/>
        <v>2108.5720218706529</v>
      </c>
      <c r="N58" s="84">
        <f t="shared" si="7"/>
        <v>948.85740984179381</v>
      </c>
      <c r="O58" s="101">
        <f t="shared" si="8"/>
        <v>3057.4294317124468</v>
      </c>
      <c r="P58" s="183">
        <f t="shared" si="31"/>
        <v>3.0000000000000027E-2</v>
      </c>
      <c r="Q58" s="25">
        <v>25064.674659161818</v>
      </c>
      <c r="R58" s="245" t="s">
        <v>176</v>
      </c>
      <c r="S58" s="1"/>
      <c r="T58" s="1"/>
      <c r="U58" s="1"/>
    </row>
    <row r="59" spans="1:21" x14ac:dyDescent="0.35">
      <c r="A59" s="83">
        <v>100516214</v>
      </c>
      <c r="B59" s="97" t="s">
        <v>61</v>
      </c>
      <c r="C59" s="98">
        <v>7790360967794</v>
      </c>
      <c r="D59" s="99">
        <v>7</v>
      </c>
      <c r="E59" s="100">
        <v>20</v>
      </c>
      <c r="F59" s="84">
        <v>34331.866269999999</v>
      </c>
      <c r="G59" s="96"/>
      <c r="H59" s="84">
        <f t="shared" si="1"/>
        <v>34331.866269999999</v>
      </c>
      <c r="I59" s="84">
        <f t="shared" si="2"/>
        <v>1716.5933135</v>
      </c>
      <c r="J59" s="84">
        <f t="shared" si="3"/>
        <v>360.48459583499999</v>
      </c>
      <c r="K59" s="84">
        <f t="shared" si="4"/>
        <v>2077.0779093350002</v>
      </c>
      <c r="L59" s="84">
        <f t="shared" si="5"/>
        <v>726.97726826725</v>
      </c>
      <c r="M59" s="84">
        <f t="shared" si="6"/>
        <v>2804.0551776022503</v>
      </c>
      <c r="N59" s="84">
        <f t="shared" si="7"/>
        <v>1261.8248299210127</v>
      </c>
      <c r="O59" s="101">
        <f t="shared" si="8"/>
        <v>4065.880007523263</v>
      </c>
      <c r="P59" s="183">
        <f t="shared" si="31"/>
        <v>2.9999882289041935E-2</v>
      </c>
      <c r="Q59" s="25">
        <v>33331.912809253779</v>
      </c>
      <c r="R59" s="245" t="s">
        <v>177</v>
      </c>
      <c r="S59" s="1"/>
      <c r="T59" s="1"/>
      <c r="U59" s="1"/>
    </row>
    <row r="60" spans="1:21" x14ac:dyDescent="0.35">
      <c r="A60" s="83">
        <v>100516215</v>
      </c>
      <c r="B60" s="97" t="s">
        <v>62</v>
      </c>
      <c r="C60" s="98">
        <v>7790360967800</v>
      </c>
      <c r="D60" s="99">
        <v>7</v>
      </c>
      <c r="E60" s="100">
        <v>20</v>
      </c>
      <c r="F60" s="84">
        <v>34331.866269999999</v>
      </c>
      <c r="G60" s="96"/>
      <c r="H60" s="84">
        <f t="shared" si="1"/>
        <v>34331.866269999999</v>
      </c>
      <c r="I60" s="84">
        <f t="shared" si="2"/>
        <v>1716.5933135</v>
      </c>
      <c r="J60" s="84">
        <f t="shared" si="3"/>
        <v>360.48459583499999</v>
      </c>
      <c r="K60" s="84">
        <f t="shared" si="4"/>
        <v>2077.0779093350002</v>
      </c>
      <c r="L60" s="84">
        <f t="shared" si="5"/>
        <v>726.97726826725</v>
      </c>
      <c r="M60" s="84">
        <f t="shared" si="6"/>
        <v>2804.0551776022503</v>
      </c>
      <c r="N60" s="84">
        <f t="shared" si="7"/>
        <v>1261.8248299210127</v>
      </c>
      <c r="O60" s="101">
        <f t="shared" si="8"/>
        <v>4065.880007523263</v>
      </c>
      <c r="P60" s="183">
        <f t="shared" si="31"/>
        <v>2.9999882289041935E-2</v>
      </c>
      <c r="Q60" s="25">
        <v>33331.912809253779</v>
      </c>
      <c r="R60" s="245" t="s">
        <v>177</v>
      </c>
      <c r="S60" s="1"/>
      <c r="T60" s="1"/>
      <c r="U60" s="1"/>
    </row>
    <row r="61" spans="1:21" x14ac:dyDescent="0.35">
      <c r="A61" s="83">
        <v>100516216</v>
      </c>
      <c r="B61" s="97" t="s">
        <v>63</v>
      </c>
      <c r="C61" s="98">
        <v>7790360967817</v>
      </c>
      <c r="D61" s="99">
        <v>7</v>
      </c>
      <c r="E61" s="100">
        <v>20</v>
      </c>
      <c r="F61" s="84">
        <v>34331.866269999999</v>
      </c>
      <c r="G61" s="96"/>
      <c r="H61" s="84">
        <f t="shared" si="1"/>
        <v>34331.866269999999</v>
      </c>
      <c r="I61" s="84">
        <f t="shared" si="2"/>
        <v>1716.5933135</v>
      </c>
      <c r="J61" s="84">
        <f t="shared" si="3"/>
        <v>360.48459583499999</v>
      </c>
      <c r="K61" s="84">
        <f t="shared" si="4"/>
        <v>2077.0779093350002</v>
      </c>
      <c r="L61" s="84">
        <f t="shared" si="5"/>
        <v>726.97726826725</v>
      </c>
      <c r="M61" s="84">
        <f t="shared" si="6"/>
        <v>2804.0551776022503</v>
      </c>
      <c r="N61" s="84">
        <f t="shared" si="7"/>
        <v>1261.8248299210127</v>
      </c>
      <c r="O61" s="101">
        <f t="shared" si="8"/>
        <v>4065.880007523263</v>
      </c>
      <c r="P61" s="183">
        <f t="shared" si="31"/>
        <v>2.9999882289041935E-2</v>
      </c>
      <c r="Q61" s="25">
        <v>33331.912809253779</v>
      </c>
      <c r="R61" s="245" t="s">
        <v>177</v>
      </c>
      <c r="S61" s="1"/>
      <c r="T61" s="1"/>
      <c r="U61" s="1"/>
    </row>
    <row r="62" spans="1:21" x14ac:dyDescent="0.35">
      <c r="A62" s="32"/>
      <c r="B62" s="33"/>
      <c r="C62" s="34"/>
      <c r="D62" s="33"/>
      <c r="E62" s="35"/>
      <c r="F62" s="36" t="e">
        <v>#N/A</v>
      </c>
      <c r="G62" s="132"/>
      <c r="H62" s="36" t="e">
        <f t="shared" si="1"/>
        <v>#N/A</v>
      </c>
      <c r="I62" s="37" t="e">
        <f t="shared" si="2"/>
        <v>#N/A</v>
      </c>
      <c r="J62" s="38"/>
      <c r="K62" s="37"/>
      <c r="L62" s="38"/>
      <c r="M62" s="37"/>
      <c r="N62" s="38"/>
      <c r="O62" s="39"/>
      <c r="P62" s="183" t="e">
        <f t="shared" si="31"/>
        <v>#N/A</v>
      </c>
      <c r="Q62" s="25" t="e">
        <v>#N/A</v>
      </c>
      <c r="R62" s="248"/>
      <c r="S62" s="1"/>
      <c r="T62" s="1"/>
      <c r="U62" s="1"/>
    </row>
    <row r="63" spans="1:21" x14ac:dyDescent="0.35">
      <c r="A63" s="27">
        <v>100021704</v>
      </c>
      <c r="B63" s="28" t="s">
        <v>64</v>
      </c>
      <c r="C63" s="21">
        <v>7790360023902</v>
      </c>
      <c r="D63" s="22">
        <f>12*0.38</f>
        <v>4.5600000000000005</v>
      </c>
      <c r="E63" s="23">
        <v>12</v>
      </c>
      <c r="F63" s="24">
        <v>39570.967582999729</v>
      </c>
      <c r="G63" s="133"/>
      <c r="H63" s="24">
        <f t="shared" si="1"/>
        <v>39570.967582999729</v>
      </c>
      <c r="I63" s="24">
        <f t="shared" si="2"/>
        <v>3297.5806319166441</v>
      </c>
      <c r="J63" s="24">
        <f t="shared" si="3"/>
        <v>692.49193270249521</v>
      </c>
      <c r="K63" s="24">
        <f t="shared" si="4"/>
        <v>3990.0725646191395</v>
      </c>
      <c r="L63" s="24">
        <f t="shared" si="5"/>
        <v>1396.5253976166987</v>
      </c>
      <c r="M63" s="24">
        <f t="shared" si="6"/>
        <v>5386.5979622358382</v>
      </c>
      <c r="N63" s="24">
        <f t="shared" si="7"/>
        <v>2423.9690830061272</v>
      </c>
      <c r="O63" s="25">
        <f t="shared" si="8"/>
        <v>7810.5670452419654</v>
      </c>
      <c r="P63" s="183">
        <f t="shared" si="31"/>
        <v>5.0000000000000044E-2</v>
      </c>
      <c r="Q63" s="25">
        <v>37686.635793333073</v>
      </c>
      <c r="R63" s="248"/>
      <c r="S63" s="1"/>
      <c r="T63" s="1"/>
      <c r="U63" s="1"/>
    </row>
    <row r="64" spans="1:21" x14ac:dyDescent="0.35">
      <c r="A64" s="27">
        <v>100021705</v>
      </c>
      <c r="B64" s="28" t="s">
        <v>65</v>
      </c>
      <c r="C64" s="21">
        <v>7790360024336</v>
      </c>
      <c r="D64" s="22">
        <f>12*0.38</f>
        <v>4.5600000000000005</v>
      </c>
      <c r="E64" s="23">
        <v>12</v>
      </c>
      <c r="F64" s="24">
        <v>35970.930405000523</v>
      </c>
      <c r="G64" s="133"/>
      <c r="H64" s="24">
        <f t="shared" si="1"/>
        <v>35970.930405000523</v>
      </c>
      <c r="I64" s="24">
        <f t="shared" si="2"/>
        <v>2997.5775337500436</v>
      </c>
      <c r="J64" s="24">
        <f t="shared" si="3"/>
        <v>629.49128208750915</v>
      </c>
      <c r="K64" s="24">
        <f t="shared" si="4"/>
        <v>3627.0688158375528</v>
      </c>
      <c r="L64" s="24">
        <f t="shared" si="5"/>
        <v>1269.4740855431435</v>
      </c>
      <c r="M64" s="24">
        <f t="shared" si="6"/>
        <v>4896.5429013806961</v>
      </c>
      <c r="N64" s="24">
        <f t="shared" si="7"/>
        <v>2203.4443056213131</v>
      </c>
      <c r="O64" s="25">
        <f t="shared" si="8"/>
        <v>7099.9872070020092</v>
      </c>
      <c r="P64" s="183">
        <f t="shared" si="31"/>
        <v>5.0000000000000044E-2</v>
      </c>
      <c r="Q64" s="25">
        <v>34258.028957143353</v>
      </c>
      <c r="R64" s="248"/>
      <c r="S64" s="1"/>
      <c r="T64" s="1"/>
      <c r="U64" s="1"/>
    </row>
    <row r="65" spans="1:21" x14ac:dyDescent="0.35">
      <c r="A65" s="27">
        <v>100021709</v>
      </c>
      <c r="B65" s="28" t="s">
        <v>66</v>
      </c>
      <c r="C65" s="21">
        <v>7790360024701</v>
      </c>
      <c r="D65" s="22">
        <v>7.6</v>
      </c>
      <c r="E65" s="23">
        <v>10</v>
      </c>
      <c r="F65" s="24">
        <v>57720.778056186457</v>
      </c>
      <c r="G65" s="134"/>
      <c r="H65" s="24">
        <f t="shared" si="1"/>
        <v>57720.778056186457</v>
      </c>
      <c r="I65" s="24">
        <f t="shared" si="2"/>
        <v>5772.0778056186455</v>
      </c>
      <c r="J65" s="24">
        <f t="shared" si="3"/>
        <v>1212.1363391799155</v>
      </c>
      <c r="K65" s="24">
        <f t="shared" si="4"/>
        <v>6984.2141447985614</v>
      </c>
      <c r="L65" s="24">
        <f t="shared" si="5"/>
        <v>2444.4749506794965</v>
      </c>
      <c r="M65" s="24">
        <f t="shared" si="6"/>
        <v>9428.6890954780574</v>
      </c>
      <c r="N65" s="24">
        <f t="shared" si="7"/>
        <v>4242.9100929651258</v>
      </c>
      <c r="O65" s="25">
        <f t="shared" si="8"/>
        <v>13671.599188443182</v>
      </c>
      <c r="P65" s="183">
        <f t="shared" si="31"/>
        <v>5.0000000000000044E-2</v>
      </c>
      <c r="Q65" s="25">
        <v>54972.169577320434</v>
      </c>
      <c r="R65" s="248"/>
      <c r="S65" s="1"/>
      <c r="T65" s="1"/>
      <c r="U65" s="1"/>
    </row>
    <row r="66" spans="1:21" x14ac:dyDescent="0.35">
      <c r="A66" s="83">
        <v>100521357</v>
      </c>
      <c r="B66" s="97" t="s">
        <v>120</v>
      </c>
      <c r="C66" s="98">
        <v>7790360982018</v>
      </c>
      <c r="D66" s="99">
        <v>4.5599999999999996</v>
      </c>
      <c r="E66" s="100">
        <v>12</v>
      </c>
      <c r="F66" s="84">
        <v>46386.717300000018</v>
      </c>
      <c r="G66" s="116">
        <v>0.4</v>
      </c>
      <c r="H66" s="84">
        <f t="shared" si="1"/>
        <v>27832.030380000011</v>
      </c>
      <c r="I66" s="84">
        <f t="shared" ref="I66:I68" si="40">+H66/E66</f>
        <v>2319.3358650000009</v>
      </c>
      <c r="J66" s="84">
        <f t="shared" ref="J66:J68" si="41">+I66*J$3</f>
        <v>487.0605316500002</v>
      </c>
      <c r="K66" s="84">
        <f t="shared" ref="K66:K68" si="42">+I66+J66</f>
        <v>2806.396396650001</v>
      </c>
      <c r="L66" s="84">
        <f t="shared" ref="L66:L68" si="43">+K66*L$3</f>
        <v>982.23873882750024</v>
      </c>
      <c r="M66" s="84">
        <f t="shared" ref="M66:M68" si="44">+K66+L66</f>
        <v>3788.6351354775011</v>
      </c>
      <c r="N66" s="84">
        <f t="shared" ref="N66:N68" si="45">+M66*N$3</f>
        <v>1704.8858109648754</v>
      </c>
      <c r="O66" s="101">
        <f t="shared" ref="O66:O68" si="46">+M66+N66</f>
        <v>5493.520946442377</v>
      </c>
      <c r="P66" s="183">
        <f t="shared" si="31"/>
        <v>-5.9701492537313272E-2</v>
      </c>
      <c r="Q66" s="25">
        <v>29599.143420000008</v>
      </c>
      <c r="R66" s="245" t="s">
        <v>179</v>
      </c>
      <c r="S66" s="1"/>
      <c r="T66" s="1"/>
      <c r="U66" s="1"/>
    </row>
    <row r="67" spans="1:21" x14ac:dyDescent="0.35">
      <c r="A67" s="83">
        <v>100521358</v>
      </c>
      <c r="B67" s="97" t="s">
        <v>127</v>
      </c>
      <c r="C67" s="98">
        <v>7790360982025</v>
      </c>
      <c r="D67" s="99">
        <v>7.6</v>
      </c>
      <c r="E67" s="100">
        <v>10</v>
      </c>
      <c r="F67" s="84" t="e">
        <v>#N/A</v>
      </c>
      <c r="G67" s="116">
        <v>0.4</v>
      </c>
      <c r="H67" s="84" t="e">
        <f t="shared" ref="H67" si="47">+F67*(1-G67)</f>
        <v>#N/A</v>
      </c>
      <c r="I67" s="84" t="e">
        <f t="shared" si="40"/>
        <v>#N/A</v>
      </c>
      <c r="J67" s="84" t="e">
        <f t="shared" si="41"/>
        <v>#N/A</v>
      </c>
      <c r="K67" s="84" t="e">
        <f t="shared" si="42"/>
        <v>#N/A</v>
      </c>
      <c r="L67" s="84" t="e">
        <f t="shared" si="43"/>
        <v>#N/A</v>
      </c>
      <c r="M67" s="84" t="e">
        <f t="shared" si="44"/>
        <v>#N/A</v>
      </c>
      <c r="N67" s="84" t="e">
        <f t="shared" si="45"/>
        <v>#N/A</v>
      </c>
      <c r="O67" s="101" t="e">
        <f t="shared" si="46"/>
        <v>#N/A</v>
      </c>
      <c r="P67" s="183" t="e">
        <f t="shared" si="31"/>
        <v>#N/A</v>
      </c>
      <c r="Q67" s="25">
        <v>66266.739000000016</v>
      </c>
      <c r="R67" s="245" t="s">
        <v>178</v>
      </c>
      <c r="S67" s="1"/>
      <c r="T67" s="1"/>
      <c r="U67" s="1"/>
    </row>
    <row r="68" spans="1:21" x14ac:dyDescent="0.35">
      <c r="A68" s="83">
        <v>100522130</v>
      </c>
      <c r="B68" s="97" t="s">
        <v>121</v>
      </c>
      <c r="C68" s="98">
        <v>7790360982445</v>
      </c>
      <c r="D68" s="99">
        <v>4.8</v>
      </c>
      <c r="E68" s="100">
        <v>12</v>
      </c>
      <c r="F68" s="84">
        <v>38241.091480803763</v>
      </c>
      <c r="G68" s="116">
        <v>0.35</v>
      </c>
      <c r="H68" s="84">
        <f t="shared" si="1"/>
        <v>24856.709462522445</v>
      </c>
      <c r="I68" s="84">
        <f t="shared" si="40"/>
        <v>2071.3924552102039</v>
      </c>
      <c r="J68" s="84">
        <f t="shared" si="41"/>
        <v>434.99241559414281</v>
      </c>
      <c r="K68" s="84">
        <f t="shared" si="42"/>
        <v>2506.384870804347</v>
      </c>
      <c r="L68" s="84">
        <f t="shared" si="43"/>
        <v>877.23470478152137</v>
      </c>
      <c r="M68" s="84">
        <f t="shared" si="44"/>
        <v>3383.6195755858685</v>
      </c>
      <c r="N68" s="84">
        <f t="shared" si="45"/>
        <v>1522.6288090136409</v>
      </c>
      <c r="O68" s="115">
        <f t="shared" si="46"/>
        <v>4906.2483845995093</v>
      </c>
      <c r="P68" s="183">
        <f t="shared" si="31"/>
        <v>-0.28337500000000004</v>
      </c>
      <c r="Q68" s="25">
        <v>34685.797261500011</v>
      </c>
      <c r="R68" s="245" t="s">
        <v>179</v>
      </c>
      <c r="S68" s="1"/>
      <c r="T68" s="1"/>
      <c r="U68" s="1"/>
    </row>
    <row r="69" spans="1:21" x14ac:dyDescent="0.35">
      <c r="A69" s="41">
        <v>100021725</v>
      </c>
      <c r="B69" s="42" t="s">
        <v>67</v>
      </c>
      <c r="C69" s="43">
        <v>7790360027009</v>
      </c>
      <c r="D69" s="44">
        <v>6</v>
      </c>
      <c r="E69" s="45">
        <v>4</v>
      </c>
      <c r="F69" s="46">
        <v>29834.862190533844</v>
      </c>
      <c r="G69" s="135"/>
      <c r="H69" s="46">
        <f t="shared" si="1"/>
        <v>29834.862190533844</v>
      </c>
      <c r="I69" s="46">
        <f t="shared" si="2"/>
        <v>7458.715547633461</v>
      </c>
      <c r="J69" s="46">
        <f t="shared" si="3"/>
        <v>1566.3302650030269</v>
      </c>
      <c r="K69" s="46">
        <f t="shared" si="4"/>
        <v>9025.0458126364883</v>
      </c>
      <c r="L69" s="46">
        <f t="shared" si="5"/>
        <v>3158.7660344227706</v>
      </c>
      <c r="M69" s="46">
        <f t="shared" si="6"/>
        <v>12183.81184705926</v>
      </c>
      <c r="N69" s="46">
        <f t="shared" si="7"/>
        <v>5482.715331176667</v>
      </c>
      <c r="O69" s="47">
        <f t="shared" si="8"/>
        <v>17666.527178235927</v>
      </c>
      <c r="P69" s="183">
        <f t="shared" si="31"/>
        <v>5.0000000000000044E-2</v>
      </c>
      <c r="Q69" s="25">
        <v>28414.154467175089</v>
      </c>
      <c r="R69" s="248"/>
      <c r="S69" s="1"/>
      <c r="T69" s="1"/>
      <c r="U69" s="1"/>
    </row>
    <row r="70" spans="1:21" x14ac:dyDescent="0.35">
      <c r="A70" s="27">
        <v>100517055</v>
      </c>
      <c r="B70" s="28" t="s">
        <v>68</v>
      </c>
      <c r="C70" s="21">
        <v>7790360971135</v>
      </c>
      <c r="D70" s="22">
        <v>3.12</v>
      </c>
      <c r="E70" s="23">
        <v>12</v>
      </c>
      <c r="F70" s="24">
        <v>29794.808591807279</v>
      </c>
      <c r="G70" s="133"/>
      <c r="H70" s="24">
        <f t="shared" si="1"/>
        <v>29794.808591807279</v>
      </c>
      <c r="I70" s="24">
        <f t="shared" si="2"/>
        <v>2482.9007159839398</v>
      </c>
      <c r="J70" s="24">
        <f t="shared" si="3"/>
        <v>521.40915035662738</v>
      </c>
      <c r="K70" s="24">
        <f t="shared" si="4"/>
        <v>3004.3098663405672</v>
      </c>
      <c r="L70" s="24">
        <f t="shared" si="5"/>
        <v>1051.5084532191984</v>
      </c>
      <c r="M70" s="24">
        <f t="shared" si="6"/>
        <v>4055.8183195597658</v>
      </c>
      <c r="N70" s="24">
        <f t="shared" si="7"/>
        <v>1825.1182438018946</v>
      </c>
      <c r="O70" s="25">
        <f t="shared" si="8"/>
        <v>5880.9365633616599</v>
      </c>
      <c r="P70" s="183">
        <f t="shared" si="31"/>
        <v>5.0000000000000044E-2</v>
      </c>
      <c r="Q70" s="25">
        <v>28376.008182673599</v>
      </c>
      <c r="R70" s="248"/>
      <c r="S70" s="1"/>
      <c r="T70" s="1"/>
      <c r="U70" s="1"/>
    </row>
    <row r="71" spans="1:21" x14ac:dyDescent="0.35">
      <c r="A71" s="83">
        <v>100517186</v>
      </c>
      <c r="B71" s="97" t="s">
        <v>69</v>
      </c>
      <c r="C71" s="98">
        <v>7790360971395</v>
      </c>
      <c r="D71" s="99">
        <v>8</v>
      </c>
      <c r="E71" s="100">
        <v>8</v>
      </c>
      <c r="F71" s="84">
        <v>75286.395133885089</v>
      </c>
      <c r="G71" s="140">
        <v>0.35</v>
      </c>
      <c r="H71" s="84">
        <f t="shared" si="1"/>
        <v>48936.156837025308</v>
      </c>
      <c r="I71" s="84">
        <f t="shared" si="2"/>
        <v>6117.0196046281635</v>
      </c>
      <c r="J71" s="84">
        <f t="shared" si="3"/>
        <v>1284.5741169719142</v>
      </c>
      <c r="K71" s="84">
        <f t="shared" si="4"/>
        <v>7401.5937216000775</v>
      </c>
      <c r="L71" s="84">
        <f t="shared" si="5"/>
        <v>2590.5578025600271</v>
      </c>
      <c r="M71" s="84">
        <f t="shared" si="6"/>
        <v>9992.1515241601046</v>
      </c>
      <c r="N71" s="84">
        <f t="shared" si="7"/>
        <v>4496.4681858720469</v>
      </c>
      <c r="O71" s="101">
        <f t="shared" si="8"/>
        <v>14488.619710032151</v>
      </c>
      <c r="P71" s="183">
        <f t="shared" si="31"/>
        <v>-0.31749999999999989</v>
      </c>
      <c r="Q71" s="25">
        <v>71701.328698938174</v>
      </c>
      <c r="R71" s="245" t="s">
        <v>180</v>
      </c>
      <c r="S71" s="1"/>
      <c r="T71" s="1"/>
      <c r="U71" s="1"/>
    </row>
    <row r="72" spans="1:21" x14ac:dyDescent="0.35">
      <c r="A72" s="124">
        <v>100521663</v>
      </c>
      <c r="B72" s="125" t="s">
        <v>122</v>
      </c>
      <c r="C72" s="98">
        <v>7790360982537</v>
      </c>
      <c r="D72" s="99">
        <v>4.8</v>
      </c>
      <c r="E72" s="100">
        <v>12</v>
      </c>
      <c r="F72" s="84">
        <v>39897.406668566538</v>
      </c>
      <c r="G72" s="116">
        <v>0.3</v>
      </c>
      <c r="H72" s="84">
        <f t="shared" ref="H72" si="48">+F72*(1-G72)</f>
        <v>27928.184667996575</v>
      </c>
      <c r="I72" s="84">
        <f t="shared" si="2"/>
        <v>2327.348722333048</v>
      </c>
      <c r="J72" s="84">
        <f t="shared" si="3"/>
        <v>488.74323168994005</v>
      </c>
      <c r="K72" s="84">
        <f t="shared" si="4"/>
        <v>2816.0919540229879</v>
      </c>
      <c r="L72" s="84">
        <f t="shared" si="5"/>
        <v>985.6321839080457</v>
      </c>
      <c r="M72" s="84">
        <f t="shared" si="6"/>
        <v>3801.7241379310335</v>
      </c>
      <c r="N72" s="84">
        <f t="shared" si="7"/>
        <v>1710.7758620689651</v>
      </c>
      <c r="O72" s="101">
        <f t="shared" si="8"/>
        <v>5512.4999999999982</v>
      </c>
      <c r="P72" s="183">
        <f t="shared" si="31"/>
        <v>9.7014930008022304E-2</v>
      </c>
      <c r="Q72" s="25">
        <v>25458.345099999995</v>
      </c>
      <c r="R72" s="245" t="s">
        <v>179</v>
      </c>
      <c r="S72" s="1"/>
      <c r="T72" s="1"/>
      <c r="U72" s="1"/>
    </row>
    <row r="73" spans="1:21" x14ac:dyDescent="0.35">
      <c r="A73" s="41">
        <v>100021728</v>
      </c>
      <c r="B73" s="42" t="s">
        <v>70</v>
      </c>
      <c r="C73" s="43">
        <v>7790360967558</v>
      </c>
      <c r="D73" s="44">
        <v>3.84</v>
      </c>
      <c r="E73" s="45">
        <v>12</v>
      </c>
      <c r="F73" s="46">
        <v>37453.357907012469</v>
      </c>
      <c r="G73" s="135"/>
      <c r="H73" s="46">
        <f t="shared" si="1"/>
        <v>37453.357907012469</v>
      </c>
      <c r="I73" s="46">
        <f t="shared" si="2"/>
        <v>3121.1131589177057</v>
      </c>
      <c r="J73" s="46">
        <f t="shared" si="3"/>
        <v>655.4337633727182</v>
      </c>
      <c r="K73" s="46">
        <f t="shared" si="4"/>
        <v>3776.5469222904239</v>
      </c>
      <c r="L73" s="46">
        <f t="shared" si="5"/>
        <v>1321.7914228016482</v>
      </c>
      <c r="M73" s="46">
        <f t="shared" si="6"/>
        <v>5098.3383450920719</v>
      </c>
      <c r="N73" s="46">
        <f t="shared" si="7"/>
        <v>2294.2522552914324</v>
      </c>
      <c r="O73" s="47">
        <f t="shared" si="8"/>
        <v>7392.5906003835044</v>
      </c>
      <c r="P73" s="183">
        <f t="shared" si="31"/>
        <v>5.0000000000000044E-2</v>
      </c>
      <c r="Q73" s="25">
        <v>35669.864673345204</v>
      </c>
      <c r="R73" s="248"/>
      <c r="S73" s="1"/>
      <c r="T73" s="1"/>
      <c r="U73" s="1"/>
    </row>
    <row r="74" spans="1:21" x14ac:dyDescent="0.35">
      <c r="A74" s="41">
        <v>100517679</v>
      </c>
      <c r="B74" s="42" t="s">
        <v>71</v>
      </c>
      <c r="C74" s="43">
        <v>7790360973498</v>
      </c>
      <c r="D74" s="44">
        <v>7.68</v>
      </c>
      <c r="E74" s="45">
        <v>8</v>
      </c>
      <c r="F74" s="46">
        <v>37622.065376668943</v>
      </c>
      <c r="G74" s="135"/>
      <c r="H74" s="46">
        <f t="shared" si="1"/>
        <v>37622.065376668943</v>
      </c>
      <c r="I74" s="46">
        <f t="shared" si="2"/>
        <v>4702.7581720836179</v>
      </c>
      <c r="J74" s="46">
        <f t="shared" si="3"/>
        <v>987.57921613755968</v>
      </c>
      <c r="K74" s="46">
        <f t="shared" si="4"/>
        <v>5690.3373882211772</v>
      </c>
      <c r="L74" s="46">
        <f t="shared" si="5"/>
        <v>1991.6180858774119</v>
      </c>
      <c r="M74" s="46">
        <f t="shared" si="6"/>
        <v>7681.9554740985895</v>
      </c>
      <c r="N74" s="46">
        <f t="shared" si="7"/>
        <v>3456.8799633443655</v>
      </c>
      <c r="O74" s="47">
        <f>+M74+N74</f>
        <v>11138.835437442955</v>
      </c>
      <c r="P74" s="183">
        <f t="shared" si="31"/>
        <v>5.0000000000000044E-2</v>
      </c>
      <c r="Q74" s="25">
        <v>35830.538453970417</v>
      </c>
      <c r="R74" s="248"/>
      <c r="S74" s="1"/>
      <c r="T74" s="1"/>
      <c r="U74" s="1"/>
    </row>
    <row r="75" spans="1:21" ht="15" thickBot="1" x14ac:dyDescent="0.4">
      <c r="A75" s="32"/>
      <c r="B75" s="33"/>
      <c r="C75" s="34"/>
      <c r="D75" s="33"/>
      <c r="E75" s="35"/>
      <c r="F75" s="36" t="e">
        <v>#N/A</v>
      </c>
      <c r="G75" s="132"/>
      <c r="H75" s="36" t="e">
        <f t="shared" si="1"/>
        <v>#N/A</v>
      </c>
      <c r="I75" s="37" t="e">
        <f t="shared" si="2"/>
        <v>#N/A</v>
      </c>
      <c r="J75" s="38"/>
      <c r="K75" s="37"/>
      <c r="L75" s="38"/>
      <c r="M75" s="37"/>
      <c r="N75" s="38"/>
      <c r="O75" s="39"/>
      <c r="P75" s="183" t="e">
        <f t="shared" si="31"/>
        <v>#N/A</v>
      </c>
      <c r="Q75" s="25" t="e">
        <v>#N/A</v>
      </c>
      <c r="R75" s="248"/>
      <c r="S75" s="1"/>
      <c r="T75" s="1"/>
      <c r="U75" s="1"/>
    </row>
    <row r="76" spans="1:21" ht="15" hidden="1" customHeight="1" x14ac:dyDescent="0.4">
      <c r="A76" s="27">
        <v>100516219</v>
      </c>
      <c r="B76" s="28" t="s">
        <v>72</v>
      </c>
      <c r="C76" s="48">
        <v>7790360967770</v>
      </c>
      <c r="D76" s="22">
        <v>10</v>
      </c>
      <c r="E76" s="23">
        <v>25</v>
      </c>
      <c r="F76" s="24">
        <v>16599.454447073913</v>
      </c>
      <c r="G76" s="133"/>
      <c r="H76" s="24">
        <f t="shared" si="1"/>
        <v>16599.454447073913</v>
      </c>
      <c r="I76" s="24">
        <f t="shared" si="2"/>
        <v>663.97817788295652</v>
      </c>
      <c r="J76" s="24">
        <f t="shared" si="3"/>
        <v>139.43541735542087</v>
      </c>
      <c r="K76" s="24">
        <f t="shared" si="4"/>
        <v>803.41359523837741</v>
      </c>
      <c r="L76" s="24">
        <f t="shared" si="5"/>
        <v>281.19475833343205</v>
      </c>
      <c r="M76" s="24">
        <f t="shared" si="6"/>
        <v>1084.6083535718094</v>
      </c>
      <c r="N76" s="24">
        <f t="shared" si="7"/>
        <v>488.07375910731423</v>
      </c>
      <c r="O76" s="25">
        <f t="shared" si="8"/>
        <v>1572.6821126791237</v>
      </c>
      <c r="P76" s="183">
        <f t="shared" si="31"/>
        <v>0</v>
      </c>
      <c r="Q76" s="25">
        <v>16599.454447073913</v>
      </c>
      <c r="R76" s="248"/>
      <c r="S76" s="1"/>
      <c r="T76" s="1"/>
      <c r="U76" s="1"/>
    </row>
    <row r="77" spans="1:21" ht="15" hidden="1" customHeight="1" x14ac:dyDescent="0.4">
      <c r="A77" s="27">
        <v>100516220</v>
      </c>
      <c r="B77" s="28" t="s">
        <v>73</v>
      </c>
      <c r="C77" s="48">
        <v>7790360967787</v>
      </c>
      <c r="D77" s="22">
        <v>12</v>
      </c>
      <c r="E77" s="23">
        <v>6</v>
      </c>
      <c r="F77" s="24">
        <v>17830.838018208367</v>
      </c>
      <c r="G77" s="133"/>
      <c r="H77" s="24">
        <f t="shared" si="1"/>
        <v>17830.838018208367</v>
      </c>
      <c r="I77" s="24">
        <f t="shared" si="2"/>
        <v>2971.8063363680612</v>
      </c>
      <c r="J77" s="24">
        <f t="shared" si="3"/>
        <v>624.07933063729286</v>
      </c>
      <c r="K77" s="24">
        <f t="shared" si="4"/>
        <v>3595.8856670053542</v>
      </c>
      <c r="L77" s="24">
        <f t="shared" si="5"/>
        <v>1258.5599834518739</v>
      </c>
      <c r="M77" s="24">
        <f t="shared" si="6"/>
        <v>4854.4456504572281</v>
      </c>
      <c r="N77" s="24">
        <f t="shared" si="7"/>
        <v>2184.5005427057527</v>
      </c>
      <c r="O77" s="25">
        <f t="shared" si="8"/>
        <v>7038.9461931629812</v>
      </c>
      <c r="P77" s="183">
        <f t="shared" si="31"/>
        <v>0</v>
      </c>
      <c r="Q77" s="25">
        <v>17830.838018208367</v>
      </c>
      <c r="R77" s="248"/>
      <c r="S77" s="1"/>
      <c r="T77" s="1"/>
      <c r="U77" s="1"/>
    </row>
    <row r="78" spans="1:21" ht="15" hidden="1" customHeight="1" thickBot="1" x14ac:dyDescent="0.4">
      <c r="A78" s="49"/>
      <c r="B78" s="50"/>
      <c r="C78" s="51"/>
      <c r="D78" s="50"/>
      <c r="E78" s="52"/>
      <c r="F78" s="53" t="e">
        <v>#N/A</v>
      </c>
      <c r="G78" s="136"/>
      <c r="H78" s="53" t="e">
        <f t="shared" ref="H78:H106" si="49">+F78*(1-G78)</f>
        <v>#N/A</v>
      </c>
      <c r="I78" s="53" t="e">
        <f t="shared" ref="I78:I84" si="50">+H78/E78</f>
        <v>#N/A</v>
      </c>
      <c r="J78" s="53"/>
      <c r="K78" s="53"/>
      <c r="L78" s="53"/>
      <c r="M78" s="53"/>
      <c r="N78" s="53"/>
      <c r="O78" s="54"/>
      <c r="P78" s="183" t="e">
        <f t="shared" si="31"/>
        <v>#N/A</v>
      </c>
      <c r="Q78" s="25" t="e">
        <v>#N/A</v>
      </c>
      <c r="R78" s="248"/>
      <c r="S78" s="1"/>
      <c r="T78" s="1"/>
      <c r="U78" s="1"/>
    </row>
    <row r="79" spans="1:21" ht="15" hidden="1" thickBot="1" x14ac:dyDescent="0.4">
      <c r="A79" s="56">
        <v>100518158</v>
      </c>
      <c r="B79" s="57" t="s">
        <v>74</v>
      </c>
      <c r="C79" s="58">
        <v>7790360974280</v>
      </c>
      <c r="D79" s="59">
        <v>12</v>
      </c>
      <c r="E79" s="60">
        <v>24</v>
      </c>
      <c r="F79" s="61">
        <v>68490.548114372563</v>
      </c>
      <c r="G79" s="137"/>
      <c r="H79" s="61">
        <f t="shared" si="49"/>
        <v>68490.548114372563</v>
      </c>
      <c r="I79" s="61">
        <f t="shared" si="50"/>
        <v>2853.7728380988569</v>
      </c>
      <c r="J79" s="61">
        <f>+I79*J$3</f>
        <v>599.29229600075996</v>
      </c>
      <c r="K79" s="61">
        <f>+I79+J79</f>
        <v>3453.0651340996169</v>
      </c>
      <c r="L79" s="61">
        <f>+K79*L$3</f>
        <v>1208.5727969348659</v>
      </c>
      <c r="M79" s="61">
        <f>+K79+L79</f>
        <v>4661.6379310344828</v>
      </c>
      <c r="N79" s="61">
        <f>+M79*N$3</f>
        <v>2097.7370689655172</v>
      </c>
      <c r="O79" s="62">
        <f>+M79+N79</f>
        <v>6759.375</v>
      </c>
      <c r="P79" s="183">
        <f t="shared" si="31"/>
        <v>0</v>
      </c>
      <c r="Q79" s="25">
        <v>68490.548114372563</v>
      </c>
      <c r="R79" s="248"/>
      <c r="S79" s="1"/>
      <c r="T79" s="1"/>
      <c r="U79" s="1"/>
    </row>
    <row r="80" spans="1:21" ht="15" hidden="1" thickBot="1" x14ac:dyDescent="0.4">
      <c r="A80" s="27">
        <v>100518160</v>
      </c>
      <c r="B80" s="28" t="s">
        <v>75</v>
      </c>
      <c r="C80" s="63">
        <v>7790360974686</v>
      </c>
      <c r="D80" s="22">
        <v>12</v>
      </c>
      <c r="E80" s="23">
        <v>12</v>
      </c>
      <c r="F80" s="24">
        <v>68490.548114372563</v>
      </c>
      <c r="G80" s="133"/>
      <c r="H80" s="24">
        <f t="shared" si="49"/>
        <v>68490.548114372563</v>
      </c>
      <c r="I80" s="24">
        <f t="shared" si="50"/>
        <v>5707.5456761977139</v>
      </c>
      <c r="J80" s="24">
        <f>+I80*J$3</f>
        <v>1198.5845920015199</v>
      </c>
      <c r="K80" s="24">
        <f>+I80+J80</f>
        <v>6906.1302681992338</v>
      </c>
      <c r="L80" s="24">
        <f>+K80*L$3</f>
        <v>2417.1455938697318</v>
      </c>
      <c r="M80" s="24">
        <f>+K80+L80</f>
        <v>9323.2758620689656</v>
      </c>
      <c r="N80" s="24">
        <f>+M80*N$3</f>
        <v>4195.4741379310344</v>
      </c>
      <c r="O80" s="25">
        <f>+M80+N80</f>
        <v>13518.75</v>
      </c>
      <c r="P80" s="183">
        <f t="shared" si="31"/>
        <v>0</v>
      </c>
      <c r="Q80" s="25">
        <v>68490.548114372563</v>
      </c>
      <c r="R80" s="248"/>
      <c r="S80" s="1"/>
      <c r="T80" s="1"/>
      <c r="U80" s="1"/>
    </row>
    <row r="81" spans="1:21" ht="15" hidden="1" thickBot="1" x14ac:dyDescent="0.4">
      <c r="A81" s="64">
        <v>100518463</v>
      </c>
      <c r="B81" s="65" t="s">
        <v>76</v>
      </c>
      <c r="C81" s="66">
        <v>7790360975188</v>
      </c>
      <c r="D81" s="67">
        <v>5</v>
      </c>
      <c r="E81" s="68">
        <v>1</v>
      </c>
      <c r="F81" s="69">
        <v>33357.515625</v>
      </c>
      <c r="G81" s="138"/>
      <c r="H81" s="69">
        <f t="shared" si="49"/>
        <v>33357.515625</v>
      </c>
      <c r="I81" s="69">
        <f t="shared" si="50"/>
        <v>33357.515625</v>
      </c>
      <c r="J81" s="69">
        <f>+I81*J$3</f>
        <v>7005.0782812500001</v>
      </c>
      <c r="K81" s="69">
        <f>+I81+J81</f>
        <v>40362.593906249997</v>
      </c>
      <c r="L81" s="69">
        <f>+K81*L$3</f>
        <v>14126.907867187498</v>
      </c>
      <c r="M81" s="69">
        <f>+K81+L81</f>
        <v>54489.501773437492</v>
      </c>
      <c r="N81" s="69">
        <f>+M81*N$3</f>
        <v>24520.27579804687</v>
      </c>
      <c r="O81" s="70">
        <f>+M81+N81</f>
        <v>79009.777571484359</v>
      </c>
      <c r="P81" s="183">
        <f t="shared" si="31"/>
        <v>0</v>
      </c>
      <c r="Q81" s="25">
        <v>33357.515625</v>
      </c>
      <c r="R81" s="248"/>
      <c r="S81" s="1"/>
      <c r="T81" s="1"/>
      <c r="U81" s="1"/>
    </row>
    <row r="82" spans="1:21" ht="15" hidden="1" thickBot="1" x14ac:dyDescent="0.4">
      <c r="A82" s="71"/>
      <c r="B82" s="72"/>
      <c r="C82" s="73"/>
      <c r="D82" s="72"/>
      <c r="E82" s="74"/>
      <c r="F82" s="75" t="e">
        <v>#N/A</v>
      </c>
      <c r="G82" s="139"/>
      <c r="H82" s="75" t="e">
        <f t="shared" si="49"/>
        <v>#N/A</v>
      </c>
      <c r="I82" s="75" t="e">
        <f t="shared" si="50"/>
        <v>#N/A</v>
      </c>
      <c r="J82" s="75"/>
      <c r="K82" s="75"/>
      <c r="L82" s="75"/>
      <c r="M82" s="75"/>
      <c r="N82" s="75"/>
      <c r="O82" s="76"/>
      <c r="P82" s="183" t="e">
        <f t="shared" si="31"/>
        <v>#N/A</v>
      </c>
      <c r="Q82" s="25" t="e">
        <v>#N/A</v>
      </c>
      <c r="R82" s="248"/>
      <c r="S82" s="1"/>
      <c r="T82" s="1"/>
      <c r="U82" s="1"/>
    </row>
    <row r="83" spans="1:21" x14ac:dyDescent="0.35">
      <c r="A83" s="112">
        <v>100518291</v>
      </c>
      <c r="B83" s="113" t="s">
        <v>77</v>
      </c>
      <c r="C83" s="109">
        <v>7790360975195</v>
      </c>
      <c r="D83" s="114">
        <v>5</v>
      </c>
      <c r="E83" s="114">
        <v>10</v>
      </c>
      <c r="F83" s="110">
        <v>14655.489011111231</v>
      </c>
      <c r="G83" s="116"/>
      <c r="H83" s="84">
        <f t="shared" si="49"/>
        <v>14655.489011111231</v>
      </c>
      <c r="I83" s="110">
        <f t="shared" si="50"/>
        <v>1465.5489011111231</v>
      </c>
      <c r="J83" s="110">
        <f>+I83*J$3</f>
        <v>307.76526923333586</v>
      </c>
      <c r="K83" s="110">
        <f>+I83+J83</f>
        <v>1773.3141703444589</v>
      </c>
      <c r="L83" s="110">
        <f>+K83*L$39</f>
        <v>390.12911747578096</v>
      </c>
      <c r="M83" s="110">
        <f>+K83+L83</f>
        <v>2163.4432878202397</v>
      </c>
      <c r="N83" s="110">
        <f>+M83*N$39</f>
        <v>757.20515073708384</v>
      </c>
      <c r="O83" s="111">
        <f>+M83+N83</f>
        <v>2920.6484385573235</v>
      </c>
      <c r="P83" s="183">
        <f t="shared" si="31"/>
        <v>8.1500000000000128E-2</v>
      </c>
      <c r="Q83" s="25">
        <v>13551.076293214266</v>
      </c>
      <c r="R83" s="245" t="s">
        <v>181</v>
      </c>
      <c r="S83" s="1"/>
      <c r="T83" s="1"/>
      <c r="U83" s="1"/>
    </row>
    <row r="84" spans="1:21" ht="15" thickBot="1" x14ac:dyDescent="0.4">
      <c r="A84" s="103">
        <v>100518292</v>
      </c>
      <c r="B84" s="104" t="s">
        <v>78</v>
      </c>
      <c r="C84" s="105">
        <v>7790360975201</v>
      </c>
      <c r="D84" s="106">
        <v>12</v>
      </c>
      <c r="E84" s="106">
        <v>12</v>
      </c>
      <c r="F84" s="84">
        <v>34581.724615540443</v>
      </c>
      <c r="G84" s="116"/>
      <c r="H84" s="84">
        <f t="shared" si="49"/>
        <v>34581.724615540443</v>
      </c>
      <c r="I84" s="107">
        <f t="shared" si="50"/>
        <v>2881.8103846283702</v>
      </c>
      <c r="J84" s="107">
        <f>+I84*J$3</f>
        <v>605.18018077195768</v>
      </c>
      <c r="K84" s="107">
        <f>+I84+J84</f>
        <v>3486.9905654003278</v>
      </c>
      <c r="L84" s="107">
        <f>+K84*L$39</f>
        <v>767.13792438807207</v>
      </c>
      <c r="M84" s="107">
        <f>+K84+L84</f>
        <v>4254.1284897883997</v>
      </c>
      <c r="N84" s="107">
        <f>+M84*N$39</f>
        <v>1488.9449714259399</v>
      </c>
      <c r="O84" s="108">
        <f>+M84+N84</f>
        <v>5743.0734612143397</v>
      </c>
      <c r="P84" s="183">
        <f t="shared" si="31"/>
        <v>8.1499999999999906E-2</v>
      </c>
      <c r="Q84" s="25">
        <v>31975.704683809934</v>
      </c>
      <c r="R84" s="245" t="s">
        <v>182</v>
      </c>
      <c r="S84" s="1"/>
      <c r="T84" s="1"/>
      <c r="U84" s="1"/>
    </row>
    <row r="85" spans="1:21" ht="15" thickBot="1" x14ac:dyDescent="0.4">
      <c r="A85" s="71"/>
      <c r="B85" s="72"/>
      <c r="C85" s="73"/>
      <c r="D85" s="72"/>
      <c r="E85" s="74"/>
      <c r="F85" s="75" t="e">
        <v>#N/A</v>
      </c>
      <c r="G85" s="139"/>
      <c r="H85" s="75" t="e">
        <f t="shared" si="49"/>
        <v>#N/A</v>
      </c>
      <c r="I85" s="75" t="e">
        <f>+H85/E85</f>
        <v>#N/A</v>
      </c>
      <c r="J85" s="75">
        <v>0.105</v>
      </c>
      <c r="K85" s="75"/>
      <c r="L85" s="75">
        <v>0.3</v>
      </c>
      <c r="M85" s="75"/>
      <c r="N85" s="75">
        <v>0.4</v>
      </c>
      <c r="O85" s="76"/>
      <c r="P85" s="183" t="e">
        <f t="shared" si="31"/>
        <v>#N/A</v>
      </c>
      <c r="Q85" s="25" t="e">
        <v>#N/A</v>
      </c>
      <c r="R85" s="248"/>
      <c r="S85" s="1"/>
      <c r="T85" s="1"/>
      <c r="U85" s="1"/>
    </row>
    <row r="86" spans="1:21" x14ac:dyDescent="0.35">
      <c r="A86" s="112">
        <v>100517915</v>
      </c>
      <c r="B86" s="113" t="s">
        <v>79</v>
      </c>
      <c r="C86" s="109">
        <v>7790360974020</v>
      </c>
      <c r="D86" s="114">
        <v>18</v>
      </c>
      <c r="E86" s="114">
        <v>36</v>
      </c>
      <c r="F86" s="110">
        <v>157593.61209387469</v>
      </c>
      <c r="G86" s="96"/>
      <c r="H86" s="84">
        <f t="shared" si="49"/>
        <v>157593.61209387469</v>
      </c>
      <c r="I86" s="110">
        <f>+H86/E86</f>
        <v>4377.6003359409633</v>
      </c>
      <c r="J86" s="110">
        <f>+I86*J$85</f>
        <v>459.64803527380116</v>
      </c>
      <c r="K86" s="110">
        <f>+I86+J86</f>
        <v>4837.2483712147641</v>
      </c>
      <c r="L86" s="110">
        <f>+K86*L$85</f>
        <v>1451.1745113644292</v>
      </c>
      <c r="M86" s="110">
        <f>+K86+L86</f>
        <v>6288.4228825791934</v>
      </c>
      <c r="N86" s="110">
        <f>+M86*N$85</f>
        <v>2515.3691530316773</v>
      </c>
      <c r="O86" s="111">
        <f>+M86+N86</f>
        <v>8803.7920356108698</v>
      </c>
      <c r="P86" s="183">
        <f t="shared" si="31"/>
        <v>8.0000000000000071E-2</v>
      </c>
      <c r="Q86" s="25">
        <v>145920.01119803212</v>
      </c>
      <c r="R86" s="248"/>
      <c r="S86" s="1"/>
      <c r="T86" s="1"/>
      <c r="U86" s="1"/>
    </row>
    <row r="87" spans="1:21" ht="15" thickBot="1" x14ac:dyDescent="0.4">
      <c r="A87" s="103">
        <v>100517914</v>
      </c>
      <c r="B87" s="104" t="s">
        <v>80</v>
      </c>
      <c r="C87" s="105">
        <v>7790360974037</v>
      </c>
      <c r="D87" s="106">
        <v>20</v>
      </c>
      <c r="E87" s="106">
        <v>20</v>
      </c>
      <c r="F87" s="84">
        <v>168785.0284193806</v>
      </c>
      <c r="G87" s="96"/>
      <c r="H87" s="84">
        <f t="shared" si="49"/>
        <v>168785.0284193806</v>
      </c>
      <c r="I87" s="107">
        <f>+H87/E87</f>
        <v>8439.2514209690307</v>
      </c>
      <c r="J87" s="107">
        <f>+I87*J$85</f>
        <v>886.1213992017482</v>
      </c>
      <c r="K87" s="107">
        <f>+I87+J87</f>
        <v>9325.3728201707781</v>
      </c>
      <c r="L87" s="107">
        <f>+K87*L$85</f>
        <v>2797.6118460512334</v>
      </c>
      <c r="M87" s="107">
        <f>+K87+L87</f>
        <v>12122.984666222012</v>
      </c>
      <c r="N87" s="107">
        <f>+M87*N$85</f>
        <v>4849.1938664888048</v>
      </c>
      <c r="O87" s="108">
        <f>+M87+N87</f>
        <v>16972.178532710815</v>
      </c>
      <c r="P87" s="183">
        <f t="shared" si="31"/>
        <v>6.0000000000000053E-2</v>
      </c>
      <c r="Q87" s="25">
        <v>159231.15888620811</v>
      </c>
      <c r="R87" s="248"/>
      <c r="S87" s="1"/>
      <c r="T87" s="1"/>
      <c r="U87" s="1"/>
    </row>
    <row r="88" spans="1:21" x14ac:dyDescent="0.35">
      <c r="A88" s="71"/>
      <c r="B88" s="72"/>
      <c r="C88" s="73"/>
      <c r="D88" s="72"/>
      <c r="E88" s="74"/>
      <c r="F88" s="75" t="e">
        <v>#N/A</v>
      </c>
      <c r="G88" s="139"/>
      <c r="H88" s="75" t="e">
        <f t="shared" si="49"/>
        <v>#N/A</v>
      </c>
      <c r="I88" s="75"/>
      <c r="J88" s="78">
        <v>0.105</v>
      </c>
      <c r="K88" s="78"/>
      <c r="L88" s="78">
        <v>0.3</v>
      </c>
      <c r="M88" s="78"/>
      <c r="N88" s="78">
        <v>0.4</v>
      </c>
      <c r="O88" s="79"/>
      <c r="P88" s="183" t="e">
        <f t="shared" si="31"/>
        <v>#N/A</v>
      </c>
      <c r="Q88" s="25" t="e">
        <v>#N/A</v>
      </c>
      <c r="R88" s="248"/>
      <c r="S88" s="1"/>
      <c r="T88" s="1"/>
      <c r="U88" s="1"/>
    </row>
    <row r="89" spans="1:21" x14ac:dyDescent="0.35">
      <c r="A89" s="27">
        <v>100010689</v>
      </c>
      <c r="B89" s="28" t="s">
        <v>81</v>
      </c>
      <c r="C89" s="21"/>
      <c r="D89" s="22">
        <v>22</v>
      </c>
      <c r="E89" s="23">
        <v>1</v>
      </c>
      <c r="F89" s="24">
        <v>15000</v>
      </c>
      <c r="G89" s="133"/>
      <c r="H89" s="24">
        <f t="shared" si="49"/>
        <v>15000</v>
      </c>
      <c r="I89" s="24">
        <f t="shared" ref="I89:I94" si="51">+H89/E89</f>
        <v>15000</v>
      </c>
      <c r="J89" s="24">
        <f t="shared" ref="J89:J94" si="52">+I89*J$88</f>
        <v>1575</v>
      </c>
      <c r="K89" s="24">
        <f t="shared" ref="K89:K94" si="53">+I89+J89</f>
        <v>16575</v>
      </c>
      <c r="L89" s="24">
        <f t="shared" ref="L89:L94" si="54">+K89*L$88</f>
        <v>4972.5</v>
      </c>
      <c r="M89" s="24">
        <f t="shared" ref="M89:M94" si="55">+K89+L89</f>
        <v>21547.5</v>
      </c>
      <c r="N89" s="24">
        <f t="shared" ref="N89:N94" si="56">+M89*N$88</f>
        <v>8619</v>
      </c>
      <c r="O89" s="25">
        <f t="shared" ref="O89:O94" si="57">+M89+N89</f>
        <v>30166.5</v>
      </c>
      <c r="P89" s="183">
        <f t="shared" si="31"/>
        <v>5.0000000000000044E-2</v>
      </c>
      <c r="Q89" s="25">
        <v>14285.714285714286</v>
      </c>
      <c r="R89" s="248"/>
      <c r="S89" s="1"/>
      <c r="T89" s="1"/>
      <c r="U89" s="1"/>
    </row>
    <row r="90" spans="1:21" x14ac:dyDescent="0.35">
      <c r="A90" s="27">
        <v>100518335</v>
      </c>
      <c r="B90" s="28" t="s">
        <v>82</v>
      </c>
      <c r="C90" s="21"/>
      <c r="D90" s="22">
        <v>22.5</v>
      </c>
      <c r="E90" s="23">
        <v>1</v>
      </c>
      <c r="F90" s="24">
        <v>10714.285714285714</v>
      </c>
      <c r="G90" s="133"/>
      <c r="H90" s="24">
        <f t="shared" si="49"/>
        <v>10714.285714285714</v>
      </c>
      <c r="I90" s="24">
        <f t="shared" si="51"/>
        <v>10714.285714285714</v>
      </c>
      <c r="J90" s="24">
        <f t="shared" si="52"/>
        <v>1125</v>
      </c>
      <c r="K90" s="24">
        <f t="shared" si="53"/>
        <v>11839.285714285714</v>
      </c>
      <c r="L90" s="24">
        <f t="shared" si="54"/>
        <v>3551.7857142857142</v>
      </c>
      <c r="M90" s="24">
        <f t="shared" si="55"/>
        <v>15391.071428571428</v>
      </c>
      <c r="N90" s="24">
        <f t="shared" si="56"/>
        <v>6156.4285714285716</v>
      </c>
      <c r="O90" s="25">
        <f t="shared" si="57"/>
        <v>21547.5</v>
      </c>
      <c r="P90" s="183">
        <f t="shared" si="31"/>
        <v>4.9999999999999822E-2</v>
      </c>
      <c r="Q90" s="25">
        <v>10204.081632653062</v>
      </c>
      <c r="R90" s="248"/>
      <c r="S90" s="1"/>
      <c r="T90" s="1"/>
      <c r="U90" s="1"/>
    </row>
    <row r="91" spans="1:21" x14ac:dyDescent="0.35">
      <c r="A91" s="27">
        <v>100518332</v>
      </c>
      <c r="B91" s="28" t="s">
        <v>83</v>
      </c>
      <c r="C91" s="21"/>
      <c r="D91" s="22">
        <v>21.5</v>
      </c>
      <c r="E91" s="23">
        <v>1</v>
      </c>
      <c r="F91" s="24">
        <v>12321.428571428572</v>
      </c>
      <c r="G91" s="133"/>
      <c r="H91" s="24">
        <f t="shared" si="49"/>
        <v>12321.428571428572</v>
      </c>
      <c r="I91" s="24">
        <f t="shared" si="51"/>
        <v>12321.428571428572</v>
      </c>
      <c r="J91" s="24">
        <f t="shared" si="52"/>
        <v>1293.75</v>
      </c>
      <c r="K91" s="24">
        <f t="shared" si="53"/>
        <v>13615.178571428572</v>
      </c>
      <c r="L91" s="24">
        <f t="shared" si="54"/>
        <v>4084.5535714285716</v>
      </c>
      <c r="M91" s="24">
        <f t="shared" si="55"/>
        <v>17699.732142857145</v>
      </c>
      <c r="N91" s="24">
        <f t="shared" si="56"/>
        <v>7079.8928571428587</v>
      </c>
      <c r="O91" s="25">
        <f t="shared" si="57"/>
        <v>24779.625000000004</v>
      </c>
      <c r="P91" s="183">
        <f t="shared" si="31"/>
        <v>5.0000000000000266E-2</v>
      </c>
      <c r="Q91" s="25">
        <v>11734.693877551019</v>
      </c>
      <c r="R91" s="248"/>
      <c r="S91" s="1"/>
      <c r="T91" s="1"/>
      <c r="U91" s="1"/>
    </row>
    <row r="92" spans="1:21" x14ac:dyDescent="0.35">
      <c r="A92" s="27">
        <v>100518334</v>
      </c>
      <c r="B92" s="28" t="s">
        <v>84</v>
      </c>
      <c r="C92" s="21"/>
      <c r="D92" s="22">
        <v>22.5</v>
      </c>
      <c r="E92" s="23">
        <v>1</v>
      </c>
      <c r="F92" s="24">
        <v>10928.571428571429</v>
      </c>
      <c r="G92" s="133"/>
      <c r="H92" s="24">
        <f t="shared" si="49"/>
        <v>10928.571428571429</v>
      </c>
      <c r="I92" s="24">
        <f t="shared" si="51"/>
        <v>10928.571428571429</v>
      </c>
      <c r="J92" s="24">
        <f t="shared" si="52"/>
        <v>1147.5</v>
      </c>
      <c r="K92" s="24">
        <f t="shared" si="53"/>
        <v>12076.071428571429</v>
      </c>
      <c r="L92" s="24">
        <f t="shared" si="54"/>
        <v>3622.8214285714289</v>
      </c>
      <c r="M92" s="24">
        <f t="shared" si="55"/>
        <v>15698.892857142859</v>
      </c>
      <c r="N92" s="24">
        <f t="shared" si="56"/>
        <v>6279.5571428571438</v>
      </c>
      <c r="O92" s="25">
        <f t="shared" si="57"/>
        <v>21978.450000000004</v>
      </c>
      <c r="P92" s="183">
        <f t="shared" si="31"/>
        <v>5.0000000000000044E-2</v>
      </c>
      <c r="Q92" s="25">
        <v>10408.163265306122</v>
      </c>
      <c r="R92" s="248"/>
      <c r="S92" s="1"/>
      <c r="T92" s="1"/>
      <c r="U92" s="1"/>
    </row>
    <row r="93" spans="1:21" x14ac:dyDescent="0.35">
      <c r="A93" s="27">
        <v>100518227</v>
      </c>
      <c r="B93" s="28" t="s">
        <v>85</v>
      </c>
      <c r="C93" s="21"/>
      <c r="D93" s="22">
        <v>22.5</v>
      </c>
      <c r="E93" s="23">
        <v>1</v>
      </c>
      <c r="F93" s="24">
        <v>12895.714285714286</v>
      </c>
      <c r="G93" s="133"/>
      <c r="H93" s="24">
        <f t="shared" si="49"/>
        <v>12895.714285714286</v>
      </c>
      <c r="I93" s="24">
        <f t="shared" si="51"/>
        <v>12895.714285714286</v>
      </c>
      <c r="J93" s="24">
        <f t="shared" si="52"/>
        <v>1354.05</v>
      </c>
      <c r="K93" s="24">
        <f t="shared" si="53"/>
        <v>14249.764285714286</v>
      </c>
      <c r="L93" s="24">
        <f t="shared" si="54"/>
        <v>4274.9292857142855</v>
      </c>
      <c r="M93" s="24">
        <f t="shared" si="55"/>
        <v>18524.693571428572</v>
      </c>
      <c r="N93" s="24">
        <f t="shared" si="56"/>
        <v>7409.8774285714289</v>
      </c>
      <c r="O93" s="25">
        <f t="shared" si="57"/>
        <v>25934.571</v>
      </c>
      <c r="P93" s="183">
        <f t="shared" si="31"/>
        <v>7.1000000000000174E-2</v>
      </c>
      <c r="Q93" s="25">
        <v>12040.81632653061</v>
      </c>
      <c r="R93" s="248"/>
      <c r="S93" s="1"/>
      <c r="T93" s="1"/>
      <c r="U93" s="1"/>
    </row>
    <row r="94" spans="1:21" hidden="1" x14ac:dyDescent="0.35">
      <c r="A94" s="175">
        <v>100027726</v>
      </c>
      <c r="B94" s="176" t="s">
        <v>148</v>
      </c>
      <c r="C94" s="177"/>
      <c r="D94" s="81">
        <v>22.5</v>
      </c>
      <c r="E94" s="23">
        <v>1</v>
      </c>
      <c r="F94" s="24" t="e">
        <v>#N/A</v>
      </c>
      <c r="G94" s="133"/>
      <c r="H94" s="24" t="e">
        <f t="shared" ref="H94" si="58">+F94*(1-G94)</f>
        <v>#N/A</v>
      </c>
      <c r="I94" s="24" t="e">
        <f t="shared" si="51"/>
        <v>#N/A</v>
      </c>
      <c r="J94" s="24" t="e">
        <f t="shared" si="52"/>
        <v>#N/A</v>
      </c>
      <c r="K94" s="24" t="e">
        <f t="shared" si="53"/>
        <v>#N/A</v>
      </c>
      <c r="L94" s="24" t="e">
        <f t="shared" si="54"/>
        <v>#N/A</v>
      </c>
      <c r="M94" s="24" t="e">
        <f t="shared" si="55"/>
        <v>#N/A</v>
      </c>
      <c r="N94" s="24" t="e">
        <f t="shared" si="56"/>
        <v>#N/A</v>
      </c>
      <c r="O94" s="25" t="e">
        <f t="shared" si="57"/>
        <v>#N/A</v>
      </c>
      <c r="P94" s="183" t="e">
        <f t="shared" si="31"/>
        <v>#N/A</v>
      </c>
      <c r="Q94" s="25">
        <v>6195</v>
      </c>
      <c r="R94" s="248"/>
      <c r="S94" s="1"/>
      <c r="T94" s="1"/>
      <c r="U94" s="1"/>
    </row>
    <row r="95" spans="1:21" x14ac:dyDescent="0.35">
      <c r="A95" s="71"/>
      <c r="B95" s="72"/>
      <c r="C95" s="73"/>
      <c r="D95" s="72"/>
      <c r="E95" s="74"/>
      <c r="F95" s="75" t="e">
        <v>#N/A</v>
      </c>
      <c r="G95" s="139"/>
      <c r="H95" s="75" t="e">
        <f t="shared" si="49"/>
        <v>#N/A</v>
      </c>
      <c r="I95" s="75"/>
      <c r="J95" s="78">
        <v>0.21</v>
      </c>
      <c r="K95" s="78"/>
      <c r="L95" s="78">
        <v>0.3</v>
      </c>
      <c r="M95" s="78"/>
      <c r="N95" s="78">
        <v>0.4</v>
      </c>
      <c r="O95" s="79"/>
      <c r="P95" s="183" t="e">
        <f t="shared" si="31"/>
        <v>#N/A</v>
      </c>
      <c r="Q95" s="25" t="e">
        <v>#N/A</v>
      </c>
      <c r="R95" s="248"/>
      <c r="S95" s="1"/>
      <c r="T95" s="1"/>
      <c r="U95" s="1"/>
    </row>
    <row r="96" spans="1:21" x14ac:dyDescent="0.35">
      <c r="A96" s="80">
        <v>100520837</v>
      </c>
      <c r="B96" s="42" t="s">
        <v>86</v>
      </c>
      <c r="C96" s="43">
        <v>7790360980625</v>
      </c>
      <c r="D96" s="81">
        <v>4.8</v>
      </c>
      <c r="E96" s="23">
        <v>12</v>
      </c>
      <c r="F96" s="24">
        <v>35158.072248503842</v>
      </c>
      <c r="G96" s="133"/>
      <c r="H96" s="24">
        <f t="shared" si="49"/>
        <v>35158.072248503842</v>
      </c>
      <c r="I96" s="24">
        <f>+H96/E96</f>
        <v>2929.839354041987</v>
      </c>
      <c r="J96" s="24">
        <f>+I96*J$95</f>
        <v>615.26626434881723</v>
      </c>
      <c r="K96" s="24">
        <f>+I96+J96</f>
        <v>3545.105618390804</v>
      </c>
      <c r="L96" s="24">
        <f>+K96*L$95</f>
        <v>1063.5316855172412</v>
      </c>
      <c r="M96" s="24">
        <f>+K96+L96</f>
        <v>4608.6373039080454</v>
      </c>
      <c r="N96" s="24">
        <f>+M96*N$95</f>
        <v>1843.4549215632182</v>
      </c>
      <c r="O96" s="25">
        <f>+M96+N96</f>
        <v>6452.0922254712641</v>
      </c>
      <c r="P96" s="183">
        <f t="shared" si="31"/>
        <v>8.1600000000000117E-2</v>
      </c>
      <c r="Q96" s="25">
        <v>32505.614135081214</v>
      </c>
      <c r="R96" s="251"/>
      <c r="S96" s="185"/>
      <c r="T96" s="185"/>
      <c r="U96" s="185"/>
    </row>
    <row r="97" spans="1:21" x14ac:dyDescent="0.35">
      <c r="A97" s="124">
        <v>100522395</v>
      </c>
      <c r="B97" s="125" t="s">
        <v>154</v>
      </c>
      <c r="C97" s="126">
        <v>7790360980625</v>
      </c>
      <c r="D97" s="127">
        <v>4.8</v>
      </c>
      <c r="E97" s="100">
        <v>12</v>
      </c>
      <c r="F97" s="84">
        <v>35861.22675200001</v>
      </c>
      <c r="G97" s="140"/>
      <c r="H97" s="84">
        <f t="shared" ref="H97" si="59">+F97*(1-G97)</f>
        <v>35861.22675200001</v>
      </c>
      <c r="I97" s="84">
        <f>+H97/E97</f>
        <v>2988.4355626666675</v>
      </c>
      <c r="J97" s="84">
        <f>+I97*J$95</f>
        <v>627.57146816000011</v>
      </c>
      <c r="K97" s="84">
        <f>+I97+J97</f>
        <v>3616.0070308266677</v>
      </c>
      <c r="L97" s="84">
        <f>+K97*L$95</f>
        <v>1084.8021092480003</v>
      </c>
      <c r="M97" s="84">
        <f>+K97+L97</f>
        <v>4700.809140074668</v>
      </c>
      <c r="N97" s="84">
        <f>+M97*N$95</f>
        <v>1880.3236560298674</v>
      </c>
      <c r="O97" s="101">
        <f>+M97+N97</f>
        <v>6581.1327961045354</v>
      </c>
      <c r="P97" s="183">
        <f t="shared" si="31"/>
        <v>8.1600000000000339E-2</v>
      </c>
      <c r="Q97" s="25">
        <v>33155.72</v>
      </c>
      <c r="R97" s="252" t="s">
        <v>188</v>
      </c>
      <c r="S97" s="185"/>
      <c r="T97" s="185"/>
      <c r="U97" s="185"/>
    </row>
    <row r="98" spans="1:21" x14ac:dyDescent="0.35">
      <c r="A98" s="124">
        <v>100522561</v>
      </c>
      <c r="B98" s="125" t="s">
        <v>170</v>
      </c>
      <c r="C98" s="126"/>
      <c r="D98" s="127">
        <v>16</v>
      </c>
      <c r="E98" s="100">
        <v>8</v>
      </c>
      <c r="F98" s="84">
        <v>7097.5344613333345</v>
      </c>
      <c r="G98" s="140"/>
      <c r="H98" s="84">
        <f t="shared" ref="H98" si="60">+F98*(1-G98)</f>
        <v>7097.5344613333345</v>
      </c>
      <c r="I98" s="84">
        <f>+H98*2</f>
        <v>14195.068922666669</v>
      </c>
      <c r="J98" s="84">
        <f>+I98*J$95</f>
        <v>2980.9644737600006</v>
      </c>
      <c r="K98" s="84">
        <f>+I98+J98</f>
        <v>17176.033396426668</v>
      </c>
      <c r="L98" s="84">
        <f>+K98*L$95</f>
        <v>5152.8100189280003</v>
      </c>
      <c r="M98" s="84">
        <f>+K98+L98</f>
        <v>22328.84341535467</v>
      </c>
      <c r="N98" s="84">
        <f>+M98*N$95</f>
        <v>8931.5373661418689</v>
      </c>
      <c r="O98" s="101">
        <f>+M98+N98</f>
        <v>31260.38078149654</v>
      </c>
      <c r="P98" s="183" t="e">
        <f t="shared" si="31"/>
        <v>#N/A</v>
      </c>
      <c r="Q98" s="25" t="e">
        <v>#N/A</v>
      </c>
      <c r="R98" s="248"/>
      <c r="S98" s="185"/>
      <c r="T98" s="185"/>
      <c r="U98" s="185"/>
    </row>
    <row r="99" spans="1:21" x14ac:dyDescent="0.35">
      <c r="A99" s="71"/>
      <c r="B99" s="72"/>
      <c r="C99" s="73"/>
      <c r="D99" s="72"/>
      <c r="E99" s="74"/>
      <c r="F99" s="75" t="e">
        <v>#N/A</v>
      </c>
      <c r="G99" s="139"/>
      <c r="H99" s="75" t="e">
        <f t="shared" si="49"/>
        <v>#N/A</v>
      </c>
      <c r="I99" s="75"/>
      <c r="J99" s="78">
        <v>0.21</v>
      </c>
      <c r="K99" s="78"/>
      <c r="L99" s="78">
        <v>0.35</v>
      </c>
      <c r="M99" s="78"/>
      <c r="N99" s="78">
        <v>0.45</v>
      </c>
      <c r="O99" s="79"/>
      <c r="P99" s="183" t="e">
        <f t="shared" si="31"/>
        <v>#N/A</v>
      </c>
      <c r="Q99" s="25" t="e">
        <v>#N/A</v>
      </c>
      <c r="R99" s="246"/>
    </row>
    <row r="100" spans="1:21" x14ac:dyDescent="0.35">
      <c r="A100" s="124">
        <v>100520902</v>
      </c>
      <c r="B100" s="125" t="s">
        <v>87</v>
      </c>
      <c r="C100" s="126">
        <v>7790360981042</v>
      </c>
      <c r="D100" s="127">
        <v>9.8000000000000007</v>
      </c>
      <c r="E100" s="100">
        <v>14</v>
      </c>
      <c r="F100" s="84">
        <v>30287.433583483747</v>
      </c>
      <c r="G100" s="116">
        <v>0.125</v>
      </c>
      <c r="H100" s="84">
        <f t="shared" si="49"/>
        <v>26501.50438554828</v>
      </c>
      <c r="I100" s="84">
        <f>+H100/E100</f>
        <v>1892.9645989677342</v>
      </c>
      <c r="J100" s="84">
        <f>+I100*J$99</f>
        <v>397.5225657832242</v>
      </c>
      <c r="K100" s="84">
        <f>+I100+J100</f>
        <v>2290.4871647509585</v>
      </c>
      <c r="L100" s="84">
        <f>+K100*L$99</f>
        <v>801.67050766283546</v>
      </c>
      <c r="M100" s="84">
        <f>+K100+L100</f>
        <v>3092.157672413794</v>
      </c>
      <c r="N100" s="84">
        <f>+M100*N$99</f>
        <v>1391.4709525862074</v>
      </c>
      <c r="O100" s="101">
        <f>+M100+N100</f>
        <v>4483.6286250000012</v>
      </c>
      <c r="P100" s="183">
        <f t="shared" si="31"/>
        <v>3.0000000000000027E-2</v>
      </c>
      <c r="Q100" s="25">
        <v>25729.6159082993</v>
      </c>
      <c r="R100" s="245" t="s">
        <v>169</v>
      </c>
    </row>
    <row r="101" spans="1:21" x14ac:dyDescent="0.35">
      <c r="A101" s="124">
        <v>100522698</v>
      </c>
      <c r="B101" s="125" t="s">
        <v>162</v>
      </c>
      <c r="C101" s="126">
        <v>7790360986511</v>
      </c>
      <c r="D101" s="127">
        <v>14</v>
      </c>
      <c r="E101" s="100">
        <v>7</v>
      </c>
      <c r="F101" s="84">
        <v>38419.724940101121</v>
      </c>
      <c r="G101" s="208"/>
      <c r="H101" s="84">
        <f t="shared" si="49"/>
        <v>38419.724940101121</v>
      </c>
      <c r="I101" s="84">
        <f>+H101/E101</f>
        <v>5488.5321343001606</v>
      </c>
      <c r="J101" s="84">
        <f>+I101*J$99</f>
        <v>1152.5917482030336</v>
      </c>
      <c r="K101" s="84">
        <f>+I101+J101</f>
        <v>6641.1238825031942</v>
      </c>
      <c r="L101" s="84">
        <f>+K101*L$99</f>
        <v>2324.3933588761179</v>
      </c>
      <c r="M101" s="84">
        <f>+K101+L101</f>
        <v>8965.5172413793116</v>
      </c>
      <c r="N101" s="84">
        <f>+M101*N$99</f>
        <v>4034.4827586206902</v>
      </c>
      <c r="O101" s="101">
        <f>+M101+N101</f>
        <v>13000.000000000002</v>
      </c>
      <c r="P101" s="183"/>
      <c r="Q101" s="25" t="e">
        <v>#N/A</v>
      </c>
      <c r="R101" s="245" t="s">
        <v>183</v>
      </c>
    </row>
    <row r="102" spans="1:21" x14ac:dyDescent="0.35">
      <c r="A102" s="71"/>
      <c r="B102" s="72"/>
      <c r="C102" s="73"/>
      <c r="D102" s="72"/>
      <c r="E102" s="74"/>
      <c r="F102" s="75" t="e">
        <v>#N/A</v>
      </c>
      <c r="G102" s="74"/>
      <c r="H102" s="75"/>
      <c r="I102" s="75"/>
      <c r="J102" s="78">
        <v>0.21</v>
      </c>
      <c r="K102" s="78"/>
      <c r="L102" s="78">
        <v>0.35</v>
      </c>
      <c r="M102" s="78"/>
      <c r="N102" s="78">
        <v>0.45</v>
      </c>
      <c r="O102" s="79"/>
      <c r="P102" s="183" t="e">
        <f t="shared" si="31"/>
        <v>#DIV/0!</v>
      </c>
      <c r="Q102" s="25"/>
      <c r="R102" s="246"/>
    </row>
    <row r="103" spans="1:21" x14ac:dyDescent="0.35">
      <c r="A103" s="124">
        <v>100521457</v>
      </c>
      <c r="B103" s="125" t="s">
        <v>102</v>
      </c>
      <c r="C103" s="126">
        <v>7790360982254</v>
      </c>
      <c r="D103" s="127">
        <v>4.8</v>
      </c>
      <c r="E103" s="100">
        <v>16</v>
      </c>
      <c r="F103" s="84">
        <v>33451.150755200913</v>
      </c>
      <c r="G103" s="215"/>
      <c r="H103" s="84">
        <f t="shared" si="49"/>
        <v>33451.150755200913</v>
      </c>
      <c r="I103" s="84">
        <f>+H103/E103</f>
        <v>2090.6969222000571</v>
      </c>
      <c r="J103" s="84">
        <f>+I103*J$102</f>
        <v>439.046353662012</v>
      </c>
      <c r="K103" s="84">
        <f t="shared" ref="K103:K106" si="61">+I103+J103</f>
        <v>2529.7432758620689</v>
      </c>
      <c r="L103" s="84">
        <f>+K103*L$102</f>
        <v>885.4101465517241</v>
      </c>
      <c r="M103" s="84">
        <f t="shared" ref="M103:M106" si="62">+K103+L103</f>
        <v>3415.1534224137931</v>
      </c>
      <c r="N103" s="84">
        <f>+M103*$N$102</f>
        <v>1536.819040086207</v>
      </c>
      <c r="O103" s="101">
        <f t="shared" ref="O103:O106" si="63">+M103+N103</f>
        <v>4951.9724624999999</v>
      </c>
      <c r="P103" s="183">
        <f t="shared" si="31"/>
        <v>0.10108108108108116</v>
      </c>
      <c r="Q103" s="25">
        <v>30380.279281846681</v>
      </c>
      <c r="R103" s="245" t="s">
        <v>185</v>
      </c>
    </row>
    <row r="104" spans="1:21" x14ac:dyDescent="0.35">
      <c r="A104" s="124">
        <v>100521455</v>
      </c>
      <c r="B104" s="125" t="s">
        <v>103</v>
      </c>
      <c r="C104" s="126">
        <v>7790360982247</v>
      </c>
      <c r="D104" s="127">
        <v>4.8</v>
      </c>
      <c r="E104" s="100">
        <v>16</v>
      </c>
      <c r="F104" s="84">
        <v>33451.150755200913</v>
      </c>
      <c r="G104" s="215"/>
      <c r="H104" s="84">
        <f t="shared" si="49"/>
        <v>33451.150755200913</v>
      </c>
      <c r="I104" s="84">
        <f>+H104/E104</f>
        <v>2090.6969222000571</v>
      </c>
      <c r="J104" s="84">
        <f>+I104*J$102</f>
        <v>439.046353662012</v>
      </c>
      <c r="K104" s="84">
        <f t="shared" si="61"/>
        <v>2529.7432758620689</v>
      </c>
      <c r="L104" s="84">
        <f>+K104*L$102</f>
        <v>885.4101465517241</v>
      </c>
      <c r="M104" s="84">
        <f t="shared" si="62"/>
        <v>3415.1534224137931</v>
      </c>
      <c r="N104" s="84">
        <f t="shared" ref="N104:N106" si="64">+M104*$N$102</f>
        <v>1536.819040086207</v>
      </c>
      <c r="O104" s="101">
        <f t="shared" si="63"/>
        <v>4951.9724624999999</v>
      </c>
      <c r="P104" s="183">
        <f t="shared" si="31"/>
        <v>0.10108108108108116</v>
      </c>
      <c r="Q104" s="25">
        <v>30380.279281846681</v>
      </c>
      <c r="R104" s="245" t="s">
        <v>185</v>
      </c>
    </row>
    <row r="105" spans="1:21" x14ac:dyDescent="0.35">
      <c r="A105" s="124">
        <v>100521453</v>
      </c>
      <c r="B105" s="125" t="s">
        <v>104</v>
      </c>
      <c r="C105" s="126">
        <v>7790360982223</v>
      </c>
      <c r="D105" s="127">
        <v>5.4</v>
      </c>
      <c r="E105" s="100">
        <v>18</v>
      </c>
      <c r="F105" s="84">
        <v>32301.267447990893</v>
      </c>
      <c r="G105" s="215"/>
      <c r="H105" s="84">
        <f t="shared" si="49"/>
        <v>32301.267447990893</v>
      </c>
      <c r="I105" s="84">
        <f>+H105/E105</f>
        <v>1794.5148582217162</v>
      </c>
      <c r="J105" s="84">
        <f>+I105*J$102</f>
        <v>376.84812022656035</v>
      </c>
      <c r="K105" s="84">
        <f t="shared" si="61"/>
        <v>2171.3629784482764</v>
      </c>
      <c r="L105" s="84">
        <f>+K105*L$102</f>
        <v>759.9770424568967</v>
      </c>
      <c r="M105" s="84">
        <f t="shared" si="62"/>
        <v>2931.3400209051733</v>
      </c>
      <c r="N105" s="84">
        <f t="shared" si="64"/>
        <v>1319.103009407328</v>
      </c>
      <c r="O105" s="101">
        <f t="shared" si="63"/>
        <v>4250.4430303125009</v>
      </c>
      <c r="P105" s="183">
        <f t="shared" si="31"/>
        <v>8.0108108108108311E-2</v>
      </c>
      <c r="Q105" s="25">
        <v>29905.587418067833</v>
      </c>
      <c r="R105" s="245" t="s">
        <v>186</v>
      </c>
    </row>
    <row r="106" spans="1:21" x14ac:dyDescent="0.35">
      <c r="A106" s="124">
        <v>100521454</v>
      </c>
      <c r="B106" s="125" t="s">
        <v>105</v>
      </c>
      <c r="C106" s="126">
        <v>7790360982230</v>
      </c>
      <c r="D106" s="127">
        <v>5.3999999999999995</v>
      </c>
      <c r="E106" s="100">
        <v>18</v>
      </c>
      <c r="F106" s="84">
        <v>32301.267447990893</v>
      </c>
      <c r="G106" s="215"/>
      <c r="H106" s="84">
        <f t="shared" si="49"/>
        <v>32301.267447990893</v>
      </c>
      <c r="I106" s="84">
        <f>+H106/E106</f>
        <v>1794.5148582217162</v>
      </c>
      <c r="J106" s="84">
        <f>+I106*J$102</f>
        <v>376.84812022656035</v>
      </c>
      <c r="K106" s="84">
        <f t="shared" si="61"/>
        <v>2171.3629784482764</v>
      </c>
      <c r="L106" s="84">
        <f>+K106*L$102</f>
        <v>759.9770424568967</v>
      </c>
      <c r="M106" s="84">
        <f t="shared" si="62"/>
        <v>2931.3400209051733</v>
      </c>
      <c r="N106" s="84">
        <f t="shared" si="64"/>
        <v>1319.103009407328</v>
      </c>
      <c r="O106" s="101">
        <f t="shared" si="63"/>
        <v>4250.4430303125009</v>
      </c>
      <c r="P106" s="183">
        <f t="shared" si="31"/>
        <v>8.0108108108108311E-2</v>
      </c>
      <c r="Q106" s="25">
        <v>29905.587418067833</v>
      </c>
      <c r="R106" s="245" t="s">
        <v>186</v>
      </c>
    </row>
    <row r="107" spans="1:21" x14ac:dyDescent="0.35">
      <c r="A107" s="71"/>
      <c r="B107" s="72"/>
      <c r="C107" s="73"/>
      <c r="D107" s="199"/>
      <c r="E107" s="74"/>
      <c r="F107" s="74"/>
      <c r="G107" s="74"/>
      <c r="H107" s="75"/>
      <c r="I107" s="75"/>
      <c r="J107" s="78">
        <v>0.21</v>
      </c>
      <c r="K107" s="78"/>
      <c r="L107" s="78">
        <v>0.22</v>
      </c>
      <c r="M107" s="78"/>
      <c r="N107" s="78">
        <v>0.35</v>
      </c>
      <c r="O107" s="79"/>
      <c r="Q107" s="3"/>
      <c r="R107" s="248"/>
    </row>
    <row r="108" spans="1:21" x14ac:dyDescent="0.35">
      <c r="A108" s="124">
        <v>100522246</v>
      </c>
      <c r="B108" s="125" t="s">
        <v>158</v>
      </c>
      <c r="C108" s="126">
        <v>7790360984234</v>
      </c>
      <c r="D108" s="127">
        <v>8.16</v>
      </c>
      <c r="E108" s="100">
        <v>48</v>
      </c>
      <c r="F108" s="84">
        <v>106193.37939755226</v>
      </c>
      <c r="G108" s="200"/>
      <c r="H108" s="84">
        <v>106193.37939755226</v>
      </c>
      <c r="I108" s="84">
        <v>2212.3620707823388</v>
      </c>
      <c r="J108" s="84">
        <v>464.59603486429114</v>
      </c>
      <c r="K108" s="84">
        <v>2676.95810564663</v>
      </c>
      <c r="L108" s="84">
        <v>588.9307832422586</v>
      </c>
      <c r="M108" s="84">
        <v>3265.8888888888887</v>
      </c>
      <c r="N108" s="84">
        <v>1143.0611111111109</v>
      </c>
      <c r="O108" s="101">
        <v>4408.95</v>
      </c>
      <c r="P108" s="183">
        <f t="shared" si="31"/>
        <v>0.26315789473684159</v>
      </c>
      <c r="Q108" s="1">
        <v>84069.7586897289</v>
      </c>
      <c r="R108" s="248"/>
    </row>
    <row r="109" spans="1:21" x14ac:dyDescent="0.35">
      <c r="A109" s="124">
        <v>100522247</v>
      </c>
      <c r="B109" s="125" t="s">
        <v>159</v>
      </c>
      <c r="C109" s="126">
        <v>7790360984241</v>
      </c>
      <c r="D109" s="127">
        <v>8.16</v>
      </c>
      <c r="E109" s="100">
        <v>48</v>
      </c>
      <c r="F109" s="84">
        <v>106193.37939755226</v>
      </c>
      <c r="G109" s="200"/>
      <c r="H109" s="84">
        <v>106193.37939755226</v>
      </c>
      <c r="I109" s="84">
        <v>2212.3620707823388</v>
      </c>
      <c r="J109" s="84">
        <v>464.59603486429114</v>
      </c>
      <c r="K109" s="84">
        <v>2676.95810564663</v>
      </c>
      <c r="L109" s="84">
        <v>588.9307832422586</v>
      </c>
      <c r="M109" s="84">
        <v>3265.8888888888887</v>
      </c>
      <c r="N109" s="84">
        <v>1143.0611111111109</v>
      </c>
      <c r="O109" s="101">
        <v>4408.95</v>
      </c>
      <c r="P109" s="183">
        <f t="shared" si="31"/>
        <v>0.26315789473684159</v>
      </c>
      <c r="Q109" s="1">
        <v>84069.7586897289</v>
      </c>
      <c r="R109" s="248"/>
    </row>
    <row r="110" spans="1:21" x14ac:dyDescent="0.35">
      <c r="F110"/>
      <c r="H110"/>
    </row>
  </sheetData>
  <conditionalFormatting sqref="A20:B20">
    <cfRule type="cellIs" dxfId="190" priority="138" stopIfTrue="1" operator="equal">
      <formula>0</formula>
    </cfRule>
  </conditionalFormatting>
  <conditionalFormatting sqref="A63:C63">
    <cfRule type="cellIs" dxfId="189" priority="135" stopIfTrue="1" operator="equal">
      <formula>0</formula>
    </cfRule>
  </conditionalFormatting>
  <conditionalFormatting sqref="A16:E19">
    <cfRule type="cellIs" dxfId="188" priority="136" stopIfTrue="1" operator="equal">
      <formula>0</formula>
    </cfRule>
  </conditionalFormatting>
  <conditionalFormatting sqref="A101:F101 H101:O101">
    <cfRule type="cellIs" dxfId="187" priority="2" stopIfTrue="1" operator="equal">
      <formula>0</formula>
    </cfRule>
  </conditionalFormatting>
  <conditionalFormatting sqref="A103:F106">
    <cfRule type="cellIs" dxfId="186" priority="88" stopIfTrue="1" operator="equal">
      <formula>0</formula>
    </cfRule>
  </conditionalFormatting>
  <conditionalFormatting sqref="A69:O69">
    <cfRule type="cellIs" dxfId="185" priority="72" stopIfTrue="1" operator="equal">
      <formula>0</formula>
    </cfRule>
  </conditionalFormatting>
  <conditionalFormatting sqref="A73:O74">
    <cfRule type="cellIs" dxfId="184" priority="71" stopIfTrue="1" operator="equal">
      <formula>0</formula>
    </cfRule>
  </conditionalFormatting>
  <conditionalFormatting sqref="A96:O98">
    <cfRule type="cellIs" dxfId="183" priority="13" stopIfTrue="1" operator="equal">
      <formula>0</formula>
    </cfRule>
  </conditionalFormatting>
  <conditionalFormatting sqref="A100:O100">
    <cfRule type="cellIs" dxfId="182" priority="73" stopIfTrue="1" operator="equal">
      <formula>0</formula>
    </cfRule>
  </conditionalFormatting>
  <conditionalFormatting sqref="B28">
    <cfRule type="cellIs" dxfId="181" priority="130" stopIfTrue="1" operator="equal">
      <formula>0</formula>
    </cfRule>
  </conditionalFormatting>
  <conditionalFormatting sqref="D20:E20">
    <cfRule type="cellIs" dxfId="180" priority="137" stopIfTrue="1" operator="equal">
      <formula>0</formula>
    </cfRule>
  </conditionalFormatting>
  <conditionalFormatting sqref="D58:F61 I58:O61">
    <cfRule type="cellIs" dxfId="179" priority="133" stopIfTrue="1" operator="equal">
      <formula>0</formula>
    </cfRule>
  </conditionalFormatting>
  <conditionalFormatting sqref="D89:O94">
    <cfRule type="cellIs" dxfId="178" priority="70" stopIfTrue="1" operator="equal">
      <formula>0</formula>
    </cfRule>
  </conditionalFormatting>
  <conditionalFormatting sqref="F16 H16:O16 F17:O20">
    <cfRule type="cellIs" dxfId="177" priority="118" stopIfTrue="1" operator="equal">
      <formula>0</formula>
    </cfRule>
  </conditionalFormatting>
  <conditionalFormatting sqref="H103:O106">
    <cfRule type="cellIs" dxfId="176" priority="3" stopIfTrue="1" operator="equal">
      <formula>0</formula>
    </cfRule>
  </conditionalFormatting>
  <conditionalFormatting sqref="L37">
    <cfRule type="cellIs" dxfId="175" priority="131" stopIfTrue="1" operator="equal">
      <formula>0</formula>
    </cfRule>
  </conditionalFormatting>
  <conditionalFormatting sqref="R12 R14">
    <cfRule type="cellIs" dxfId="174" priority="53" operator="greaterThan">
      <formula>0</formula>
    </cfRule>
  </conditionalFormatting>
  <conditionalFormatting sqref="F108:H109">
    <cfRule type="cellIs" dxfId="173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E74C-60DC-4DEB-AE6D-9DF7C6B9E346}">
  <dimension ref="A1:GF110"/>
  <sheetViews>
    <sheetView topLeftCell="B84" zoomScale="90" zoomScaleNormal="90" workbookViewId="0">
      <selection activeCell="P103" sqref="P103:P106"/>
    </sheetView>
  </sheetViews>
  <sheetFormatPr baseColWidth="10" defaultColWidth="11.453125" defaultRowHeight="14.5" outlineLevelCol="1" x14ac:dyDescent="0.35"/>
  <cols>
    <col min="1" max="1" width="11.54296875" customWidth="1" collapsed="1"/>
    <col min="2" max="2" width="34.1796875" customWidth="1"/>
    <col min="3" max="3" width="14.1796875" customWidth="1"/>
    <col min="4" max="4" width="7.81640625" bestFit="1" customWidth="1"/>
    <col min="5" max="5" width="6" customWidth="1"/>
    <col min="6" max="6" width="9.453125" style="82" customWidth="1"/>
    <col min="7" max="7" width="8" customWidth="1"/>
    <col min="8" max="8" width="9.453125" style="82" customWidth="1"/>
    <col min="9" max="9" width="10.1796875" customWidth="1"/>
    <col min="10" max="14" width="11.453125" customWidth="1"/>
    <col min="15" max="15" width="10.453125" style="77" customWidth="1"/>
    <col min="16" max="16" width="109.90625" style="1" customWidth="1"/>
    <col min="17" max="18" width="13.453125" style="1" customWidth="1"/>
    <col min="19" max="19" width="10.6328125" style="1" bestFit="1" customWidth="1"/>
    <col min="20" max="20" width="10.81640625" style="1" customWidth="1"/>
    <col min="21" max="21" width="102.08984375" style="1" bestFit="1" customWidth="1"/>
    <col min="22" max="22" width="6.6328125" hidden="1" customWidth="1"/>
    <col min="23" max="23" width="15.1796875" hidden="1" customWidth="1"/>
    <col min="24" max="24" width="20.453125" hidden="1" customWidth="1"/>
    <col min="25" max="25" width="11" hidden="1" customWidth="1"/>
    <col min="26" max="26" width="11.6328125" hidden="1" customWidth="1"/>
    <col min="27" max="27" width="10.453125" hidden="1" customWidth="1"/>
    <col min="28" max="28" width="14.453125" hidden="1" customWidth="1"/>
    <col min="29" max="29" width="24.08984375" hidden="1" customWidth="1"/>
    <col min="30" max="31" width="12.26953125" hidden="1" customWidth="1"/>
    <col min="32" max="32" width="8" hidden="1" customWidth="1"/>
    <col min="33" max="33" width="7.1796875" hidden="1" customWidth="1"/>
    <col min="34" max="34" width="2.81640625" hidden="1" customWidth="1"/>
    <col min="35" max="35" width="11.453125" hidden="1" customWidth="1"/>
    <col min="36" max="36" width="3.1796875" hidden="1" customWidth="1"/>
    <col min="37" max="39" width="11.453125" hidden="1" customWidth="1"/>
    <col min="40" max="40" width="8.54296875" customWidth="1"/>
    <col min="41" max="41" width="11.453125" customWidth="1"/>
    <col min="42" max="42" width="10.1796875" customWidth="1"/>
    <col min="43" max="43" width="11.453125" customWidth="1"/>
    <col min="44" max="44" width="10.1796875" bestFit="1" customWidth="1"/>
    <col min="45" max="45" width="11.453125" customWidth="1"/>
    <col min="46" max="46" width="10.1796875" bestFit="1" customWidth="1"/>
    <col min="47" max="47" width="11.453125" customWidth="1"/>
    <col min="48" max="48" width="10.1796875" customWidth="1"/>
    <col min="49" max="49" width="11.453125" customWidth="1"/>
    <col min="50" max="50" width="10.1796875" customWidth="1"/>
    <col min="51" max="51" width="11.453125" customWidth="1"/>
    <col min="52" max="52" width="10.1796875" customWidth="1"/>
    <col min="53" max="53" width="11.453125" customWidth="1"/>
    <col min="54" max="54" width="10.1796875" customWidth="1"/>
    <col min="55" max="55" width="11.453125" customWidth="1"/>
    <col min="56" max="56" width="10.1796875" customWidth="1"/>
    <col min="57" max="57" width="11.453125" customWidth="1"/>
    <col min="58" max="58" width="10.1796875" customWidth="1"/>
    <col min="59" max="59" width="11.453125" customWidth="1"/>
    <col min="60" max="60" width="10.1796875" customWidth="1"/>
    <col min="61" max="61" width="11.453125" customWidth="1"/>
    <col min="62" max="62" width="9.81640625" customWidth="1"/>
    <col min="63" max="69" width="11.453125" customWidth="1"/>
    <col min="70" max="70" width="9.81640625" customWidth="1"/>
    <col min="71" max="71" width="11.453125" customWidth="1"/>
    <col min="72" max="72" width="9.81640625" customWidth="1"/>
    <col min="73" max="73" width="11.453125" customWidth="1"/>
    <col min="74" max="74" width="9.81640625" customWidth="1"/>
    <col min="75" max="75" width="11.453125" customWidth="1"/>
    <col min="76" max="76" width="9.81640625" customWidth="1"/>
    <col min="77" max="77" width="11.453125" customWidth="1"/>
    <col min="78" max="78" width="9.81640625" customWidth="1"/>
    <col min="79" max="79" width="11.453125" customWidth="1"/>
    <col min="80" max="80" width="10" customWidth="1"/>
    <col min="81" max="81" width="11.453125" customWidth="1"/>
    <col min="82" max="82" width="10" customWidth="1"/>
    <col min="83" max="83" width="11.453125" customWidth="1"/>
    <col min="84" max="84" width="10" customWidth="1"/>
    <col min="85" max="85" width="11.453125" customWidth="1"/>
    <col min="86" max="86" width="10" customWidth="1"/>
    <col min="87" max="87" width="11.453125" customWidth="1"/>
    <col min="88" max="88" width="9.81640625" customWidth="1" collapsed="1"/>
    <col min="89" max="89" width="11.453125" customWidth="1"/>
    <col min="90" max="90" width="11.54296875" customWidth="1"/>
    <col min="91" max="91" width="3.54296875" customWidth="1"/>
    <col min="92" max="92" width="11.54296875" customWidth="1"/>
    <col min="93" max="93" width="3.453125" customWidth="1"/>
    <col min="94" max="94" width="11.54296875" customWidth="1"/>
    <col min="95" max="95" width="3.453125" customWidth="1"/>
    <col min="96" max="96" width="11.54296875" customWidth="1"/>
    <col min="97" max="97" width="3.453125" customWidth="1"/>
    <col min="98" max="98" width="11.54296875" customWidth="1"/>
    <col min="99" max="99" width="3.453125" customWidth="1"/>
    <col min="100" max="100" width="11.54296875" customWidth="1"/>
    <col min="101" max="101" width="3.453125" customWidth="1"/>
    <col min="102" max="102" width="11.54296875" customWidth="1"/>
    <col min="103" max="103" width="3.453125" customWidth="1"/>
    <col min="104" max="104" width="11.54296875" customWidth="1"/>
    <col min="105" max="105" width="3.453125" customWidth="1"/>
    <col min="106" max="106" width="11.54296875" customWidth="1"/>
    <col min="107" max="107" width="3.453125" customWidth="1"/>
    <col min="108" max="108" width="11.54296875" customWidth="1"/>
    <col min="109" max="109" width="3" customWidth="1"/>
    <col min="110" max="110" width="11.54296875" customWidth="1"/>
    <col min="111" max="111" width="4.81640625" customWidth="1"/>
    <col min="112" max="112" width="11.54296875" customWidth="1"/>
    <col min="113" max="113" width="4.81640625" customWidth="1"/>
    <col min="114" max="114" width="11.453125" customWidth="1"/>
    <col min="115" max="115" width="4.81640625" customWidth="1"/>
    <col min="116" max="116" width="11.453125" customWidth="1"/>
    <col min="117" max="117" width="4.81640625" customWidth="1"/>
    <col min="118" max="172" width="11.453125" customWidth="1"/>
    <col min="173" max="173" width="11.453125" customWidth="1" outlineLevel="1"/>
    <col min="174" max="175" width="11.453125" customWidth="1"/>
    <col min="177" max="183" width="11.453125" outlineLevel="1"/>
    <col min="186" max="188" width="11.453125" outlineLevel="1"/>
  </cols>
  <sheetData>
    <row r="1" spans="1:38" ht="15" thickBot="1" x14ac:dyDescent="0.4">
      <c r="A1" s="1"/>
      <c r="B1" s="1"/>
      <c r="C1" s="1"/>
      <c r="D1" s="1"/>
      <c r="E1" s="1"/>
      <c r="F1" s="2">
        <f>F4*1.1</f>
        <v>49644.220339391453</v>
      </c>
      <c r="G1" s="1"/>
      <c r="H1" s="2"/>
      <c r="I1" s="1"/>
      <c r="J1" s="1"/>
      <c r="K1" s="1"/>
      <c r="L1" s="1"/>
      <c r="M1" s="1"/>
      <c r="N1" s="1"/>
      <c r="O1" s="3"/>
      <c r="P1"/>
      <c r="Q1"/>
      <c r="R1"/>
      <c r="S1"/>
      <c r="T1"/>
      <c r="U1"/>
      <c r="W1" s="233" t="s">
        <v>109</v>
      </c>
      <c r="X1" s="233"/>
      <c r="Y1" s="233"/>
      <c r="Z1" s="233"/>
      <c r="AA1" s="233"/>
      <c r="AB1" s="233"/>
      <c r="AC1" s="153"/>
    </row>
    <row r="2" spans="1:38" ht="36.5" thickBot="1" x14ac:dyDescent="0.4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7" t="s">
        <v>88</v>
      </c>
      <c r="G2" s="6"/>
      <c r="H2" s="7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9" t="s">
        <v>12</v>
      </c>
      <c r="P2" s="9" t="s">
        <v>171</v>
      </c>
      <c r="Q2"/>
      <c r="R2"/>
      <c r="S2"/>
      <c r="T2"/>
      <c r="U2"/>
      <c r="W2" s="121" t="s">
        <v>112</v>
      </c>
      <c r="X2" s="122" t="s">
        <v>113</v>
      </c>
      <c r="Y2" s="122" t="s">
        <v>114</v>
      </c>
      <c r="Z2" s="122" t="s">
        <v>115</v>
      </c>
      <c r="AA2" s="122" t="s">
        <v>116</v>
      </c>
      <c r="AB2" s="122" t="s">
        <v>108</v>
      </c>
      <c r="AC2" s="122"/>
      <c r="AF2" t="s">
        <v>145</v>
      </c>
      <c r="AG2" t="s">
        <v>106</v>
      </c>
    </row>
    <row r="3" spans="1:38" x14ac:dyDescent="0.35">
      <c r="A3" s="12"/>
      <c r="B3" s="13"/>
      <c r="C3" s="14"/>
      <c r="D3" s="13"/>
      <c r="E3" s="13"/>
      <c r="F3" s="15"/>
      <c r="G3" s="13"/>
      <c r="H3" s="15"/>
      <c r="I3" s="16"/>
      <c r="J3" s="17">
        <v>0.21</v>
      </c>
      <c r="K3" s="16"/>
      <c r="L3" s="17">
        <v>0.33</v>
      </c>
      <c r="M3" s="16"/>
      <c r="N3" s="17">
        <v>0.4</v>
      </c>
      <c r="O3" s="18"/>
      <c r="P3"/>
      <c r="Q3"/>
      <c r="R3"/>
      <c r="S3"/>
      <c r="T3"/>
      <c r="U3"/>
      <c r="AK3" s="203">
        <v>100021632</v>
      </c>
      <c r="AL3" s="24">
        <v>42178.606915370816</v>
      </c>
    </row>
    <row r="4" spans="1:38" x14ac:dyDescent="0.35">
      <c r="A4" s="213">
        <v>100021632</v>
      </c>
      <c r="B4" s="210" t="s">
        <v>14</v>
      </c>
      <c r="C4" s="98">
        <v>7790360026606</v>
      </c>
      <c r="D4" s="99">
        <v>4.8</v>
      </c>
      <c r="E4" s="100">
        <v>30</v>
      </c>
      <c r="F4" s="84">
        <v>45131.109399446774</v>
      </c>
      <c r="G4" s="102">
        <v>0.1</v>
      </c>
      <c r="H4" s="84">
        <f>+F4*(1-G4)</f>
        <v>40617.998459502094</v>
      </c>
      <c r="I4" s="84">
        <f>+H4/E4</f>
        <v>1353.933281983403</v>
      </c>
      <c r="J4" s="84">
        <f>+I4*J$3</f>
        <v>284.32598921651464</v>
      </c>
      <c r="K4" s="84">
        <f>+I4+J4</f>
        <v>1638.2592711999177</v>
      </c>
      <c r="L4" s="84">
        <f>+K4*$L$3</f>
        <v>540.62555949597288</v>
      </c>
      <c r="M4" s="84">
        <f>+K4+L4</f>
        <v>2178.8848306958907</v>
      </c>
      <c r="N4" s="84">
        <f>+M4*N$3</f>
        <v>871.55393227835634</v>
      </c>
      <c r="O4" s="101">
        <f>+M4+N4</f>
        <v>3050.4387629742469</v>
      </c>
      <c r="P4" s="209" t="s">
        <v>192</v>
      </c>
      <c r="Q4"/>
      <c r="R4" s="207"/>
      <c r="S4"/>
      <c r="T4"/>
      <c r="U4"/>
      <c r="V4">
        <f>+W4*H4</f>
        <v>4061.7998459502096</v>
      </c>
      <c r="W4" s="120">
        <v>0.1</v>
      </c>
      <c r="X4" s="119">
        <f>+H4*(1-W4)</f>
        <v>36556.198613551889</v>
      </c>
      <c r="Y4" s="119">
        <f>+X4/E4</f>
        <v>1218.5399537850631</v>
      </c>
      <c r="Z4" s="119">
        <f>+Y4*1.21*1.3*1.4</f>
        <v>2683.4686862254657</v>
      </c>
      <c r="AA4" s="118" t="s">
        <v>111</v>
      </c>
      <c r="AB4" t="s">
        <v>110</v>
      </c>
      <c r="AF4">
        <v>33427.033492822964</v>
      </c>
      <c r="AG4">
        <f>+(H4-AF4)/AF4</f>
        <v>0.21512423375000012</v>
      </c>
      <c r="AK4" s="203">
        <v>100021652</v>
      </c>
      <c r="AL4" s="24">
        <v>52310.046430785129</v>
      </c>
    </row>
    <row r="5" spans="1:38" x14ac:dyDescent="0.35">
      <c r="A5" s="26">
        <v>100021652</v>
      </c>
      <c r="B5" s="20" t="s">
        <v>15</v>
      </c>
      <c r="C5" s="21">
        <v>7790360026576</v>
      </c>
      <c r="D5" s="22">
        <v>5.76</v>
      </c>
      <c r="E5" s="23">
        <v>18</v>
      </c>
      <c r="F5" s="24">
        <v>55971.749680940091</v>
      </c>
      <c r="G5" s="23"/>
      <c r="H5" s="24">
        <f t="shared" ref="H5:H77" si="0">+F5*(1-G5)</f>
        <v>55971.749680940091</v>
      </c>
      <c r="I5" s="24">
        <f t="shared" ref="I5:I77" si="1">+H5/E5</f>
        <v>3109.5416489411164</v>
      </c>
      <c r="J5" s="24">
        <f t="shared" ref="J5:J77" si="2">+I5*J$3</f>
        <v>653.00374627763438</v>
      </c>
      <c r="K5" s="24">
        <f t="shared" ref="K5:K77" si="3">+I5+J5</f>
        <v>3762.5453952187509</v>
      </c>
      <c r="L5" s="24">
        <f t="shared" ref="L5:L28" si="4">+K5*$L$3</f>
        <v>1241.6399804221878</v>
      </c>
      <c r="M5" s="24">
        <f t="shared" ref="M5:M77" si="5">+K5+L5</f>
        <v>5004.1853756409382</v>
      </c>
      <c r="N5" s="24">
        <f t="shared" ref="N5:N77" si="6">+M5*N$3</f>
        <v>2001.6741502563755</v>
      </c>
      <c r="O5" s="25">
        <f t="shared" ref="O5:O77" si="7">+M5+N5</f>
        <v>7005.8595258973137</v>
      </c>
      <c r="P5"/>
      <c r="Q5"/>
      <c r="R5"/>
      <c r="S5"/>
      <c r="T5"/>
      <c r="U5"/>
      <c r="AF5">
        <v>43529.132231404961</v>
      </c>
      <c r="AG5">
        <f>+(H5-AF5)/AF5</f>
        <v>0.28584575000000012</v>
      </c>
      <c r="AK5" s="26">
        <v>100021631</v>
      </c>
      <c r="AL5" s="24">
        <v>61058.554772727264</v>
      </c>
    </row>
    <row r="6" spans="1:38" x14ac:dyDescent="0.35">
      <c r="A6" s="26">
        <v>100021631</v>
      </c>
      <c r="B6" s="20" t="s">
        <v>16</v>
      </c>
      <c r="C6" s="21">
        <v>7790360026590</v>
      </c>
      <c r="D6" s="22">
        <v>7.68</v>
      </c>
      <c r="E6" s="23">
        <v>8</v>
      </c>
      <c r="F6" s="24">
        <v>65332.653606818174</v>
      </c>
      <c r="G6" s="23"/>
      <c r="H6" s="24">
        <f t="shared" si="0"/>
        <v>65332.653606818174</v>
      </c>
      <c r="I6" s="24">
        <f t="shared" si="1"/>
        <v>8166.5817008522718</v>
      </c>
      <c r="J6" s="24">
        <f t="shared" si="2"/>
        <v>1714.9821571789771</v>
      </c>
      <c r="K6" s="24">
        <f t="shared" si="3"/>
        <v>9881.5638580312479</v>
      </c>
      <c r="L6" s="24">
        <f t="shared" si="4"/>
        <v>3260.9160731503121</v>
      </c>
      <c r="M6" s="24">
        <f t="shared" si="5"/>
        <v>13142.47993118156</v>
      </c>
      <c r="N6" s="24">
        <f t="shared" si="6"/>
        <v>5256.9919724726242</v>
      </c>
      <c r="O6" s="25">
        <f t="shared" si="7"/>
        <v>18399.471903654186</v>
      </c>
      <c r="P6"/>
      <c r="Q6"/>
      <c r="R6"/>
      <c r="S6"/>
      <c r="T6"/>
      <c r="U6"/>
      <c r="V6">
        <f>+O4*0.9</f>
        <v>2745.3948866768224</v>
      </c>
      <c r="AF6">
        <v>69881.187837955047</v>
      </c>
      <c r="AG6">
        <f>+(H6-AF6)/AF6</f>
        <v>-6.5089537998184926E-2</v>
      </c>
      <c r="AK6" s="26">
        <v>100021630</v>
      </c>
      <c r="AL6" s="24">
        <v>74716.389392942583</v>
      </c>
    </row>
    <row r="7" spans="1:38" x14ac:dyDescent="0.35">
      <c r="A7" s="26">
        <v>100021630</v>
      </c>
      <c r="B7" s="20" t="s">
        <v>17</v>
      </c>
      <c r="C7" s="21">
        <v>7790360026583</v>
      </c>
      <c r="D7" s="22">
        <v>9.6</v>
      </c>
      <c r="E7" s="23">
        <v>6</v>
      </c>
      <c r="F7" s="24">
        <v>79946.536650448572</v>
      </c>
      <c r="G7" s="23"/>
      <c r="H7" s="24">
        <f t="shared" si="0"/>
        <v>79946.536650448572</v>
      </c>
      <c r="I7" s="24">
        <f t="shared" si="1"/>
        <v>13324.422775074761</v>
      </c>
      <c r="J7" s="24">
        <f t="shared" si="2"/>
        <v>2798.1287827656997</v>
      </c>
      <c r="K7" s="24">
        <f t="shared" si="3"/>
        <v>16122.551557840461</v>
      </c>
      <c r="L7" s="24">
        <f t="shared" si="4"/>
        <v>5320.4420140873526</v>
      </c>
      <c r="M7" s="24">
        <f t="shared" si="5"/>
        <v>21442.993571927815</v>
      </c>
      <c r="N7" s="24">
        <f t="shared" si="6"/>
        <v>8577.1974287711255</v>
      </c>
      <c r="O7" s="25">
        <f t="shared" si="7"/>
        <v>30020.191000698942</v>
      </c>
      <c r="P7"/>
      <c r="Q7"/>
      <c r="R7"/>
      <c r="S7"/>
      <c r="T7"/>
      <c r="U7"/>
      <c r="AF7">
        <v>87351.484797443889</v>
      </c>
      <c r="AG7">
        <f>+(H7-AF7)/AF7</f>
        <v>-8.4771863514013251E-2</v>
      </c>
      <c r="AK7" s="27">
        <v>100021653</v>
      </c>
      <c r="AL7" s="24">
        <v>53024.534407894738</v>
      </c>
    </row>
    <row r="8" spans="1:38" x14ac:dyDescent="0.35">
      <c r="A8" s="27">
        <v>100021653</v>
      </c>
      <c r="B8" s="28" t="s">
        <v>18</v>
      </c>
      <c r="C8" s="21">
        <v>7790360026682</v>
      </c>
      <c r="D8" s="22">
        <v>5.76</v>
      </c>
      <c r="E8" s="23">
        <v>18</v>
      </c>
      <c r="F8" s="24">
        <v>56736.251816447373</v>
      </c>
      <c r="G8" s="23"/>
      <c r="H8" s="24">
        <f t="shared" si="0"/>
        <v>56736.251816447373</v>
      </c>
      <c r="I8" s="24">
        <f t="shared" si="1"/>
        <v>3152.0139898026318</v>
      </c>
      <c r="J8" s="24">
        <f t="shared" si="2"/>
        <v>661.9229378585527</v>
      </c>
      <c r="K8" s="24">
        <f t="shared" si="3"/>
        <v>3813.9369276611847</v>
      </c>
      <c r="L8" s="24">
        <f t="shared" si="4"/>
        <v>1258.5991861281909</v>
      </c>
      <c r="M8" s="24">
        <f t="shared" si="5"/>
        <v>5072.536113789376</v>
      </c>
      <c r="N8" s="24">
        <f t="shared" si="6"/>
        <v>2029.0144455157506</v>
      </c>
      <c r="O8" s="25">
        <f t="shared" si="7"/>
        <v>7101.5505593051266</v>
      </c>
      <c r="P8"/>
      <c r="Q8"/>
      <c r="R8"/>
      <c r="S8"/>
      <c r="T8"/>
      <c r="U8"/>
      <c r="AF8">
        <v>52653.640061874699</v>
      </c>
      <c r="AG8">
        <f>+(H8-AF8)/AF8</f>
        <v>7.753712278533996E-2</v>
      </c>
      <c r="AK8" s="27">
        <v>100516169</v>
      </c>
      <c r="AL8" s="24">
        <v>43213.191997500013</v>
      </c>
    </row>
    <row r="9" spans="1:38" x14ac:dyDescent="0.35">
      <c r="A9" s="27">
        <v>100516169</v>
      </c>
      <c r="B9" s="28" t="s">
        <v>19</v>
      </c>
      <c r="C9" s="21">
        <v>7790360967961</v>
      </c>
      <c r="D9" s="22">
        <v>5.76</v>
      </c>
      <c r="E9" s="23">
        <v>18</v>
      </c>
      <c r="F9" s="24">
        <v>43213.191997500013</v>
      </c>
      <c r="G9" s="23"/>
      <c r="H9" s="24">
        <f t="shared" si="0"/>
        <v>43213.191997500013</v>
      </c>
      <c r="I9" s="24">
        <f t="shared" si="1"/>
        <v>2400.7328887500007</v>
      </c>
      <c r="J9" s="24">
        <f t="shared" si="2"/>
        <v>504.15390663750014</v>
      </c>
      <c r="K9" s="24">
        <f t="shared" si="3"/>
        <v>2904.886795387501</v>
      </c>
      <c r="L9" s="24">
        <f t="shared" si="4"/>
        <v>958.6126424778754</v>
      </c>
      <c r="M9" s="24">
        <f t="shared" si="5"/>
        <v>3863.4994378653764</v>
      </c>
      <c r="N9" s="24">
        <f t="shared" si="6"/>
        <v>1545.3997751461507</v>
      </c>
      <c r="O9" s="25">
        <f t="shared" si="7"/>
        <v>5408.8992130115275</v>
      </c>
      <c r="P9"/>
      <c r="Q9"/>
      <c r="R9"/>
      <c r="S9"/>
      <c r="T9"/>
      <c r="U9"/>
      <c r="AF9">
        <v>41155.420950000007</v>
      </c>
      <c r="AG9">
        <f>+(H9-AF9)/AF9</f>
        <v>5.0000000000000135E-2</v>
      </c>
      <c r="AK9" s="204">
        <v>100520337</v>
      </c>
      <c r="AL9" s="24">
        <v>28412.978468899521</v>
      </c>
    </row>
    <row r="10" spans="1:38" x14ac:dyDescent="0.35">
      <c r="A10" s="83">
        <v>100520337</v>
      </c>
      <c r="B10" s="97" t="s">
        <v>20</v>
      </c>
      <c r="C10" s="98">
        <v>7790360977960</v>
      </c>
      <c r="D10" s="99">
        <v>4.8</v>
      </c>
      <c r="E10" s="100">
        <v>30</v>
      </c>
      <c r="F10" s="84">
        <v>30117.757177033494</v>
      </c>
      <c r="G10" s="100"/>
      <c r="H10" s="84">
        <f t="shared" si="0"/>
        <v>30117.757177033494</v>
      </c>
      <c r="I10" s="84">
        <f>+H10/E10</f>
        <v>1003.9252392344498</v>
      </c>
      <c r="J10" s="84">
        <f>+I10*J$3</f>
        <v>210.82430023923445</v>
      </c>
      <c r="K10" s="84">
        <f>+I10+J10</f>
        <v>1214.7495394736843</v>
      </c>
      <c r="L10" s="84">
        <f t="shared" si="4"/>
        <v>400.86734802631582</v>
      </c>
      <c r="M10" s="84">
        <f>+K10+L10</f>
        <v>1615.6168875000001</v>
      </c>
      <c r="N10" s="84">
        <f>+M10*N$3</f>
        <v>646.24675500000012</v>
      </c>
      <c r="O10" s="101">
        <f>+M10+N10</f>
        <v>2261.8636425000004</v>
      </c>
      <c r="P10" s="209" t="s">
        <v>193</v>
      </c>
      <c r="Q10"/>
      <c r="R10"/>
      <c r="S10"/>
      <c r="T10"/>
      <c r="U10"/>
      <c r="AF10">
        <v>27059.979494190018</v>
      </c>
      <c r="AG10">
        <f>+(H10-AF10)/AF10</f>
        <v>0.11300000000000016</v>
      </c>
      <c r="AK10" s="205">
        <v>100021503</v>
      </c>
      <c r="AL10" s="24">
        <v>22877.7656046107</v>
      </c>
    </row>
    <row r="11" spans="1:38" x14ac:dyDescent="0.35">
      <c r="A11" s="83">
        <v>100021503</v>
      </c>
      <c r="B11" s="97" t="s">
        <v>21</v>
      </c>
      <c r="C11" s="98">
        <v>7790360966841</v>
      </c>
      <c r="D11" s="99">
        <v>3.3119999999999998</v>
      </c>
      <c r="E11" s="100">
        <v>12</v>
      </c>
      <c r="F11" s="84">
        <v>24250.431540887344</v>
      </c>
      <c r="G11" s="193">
        <v>0.1</v>
      </c>
      <c r="H11" s="84">
        <f t="shared" si="0"/>
        <v>21825.388386798611</v>
      </c>
      <c r="I11" s="84">
        <f t="shared" si="1"/>
        <v>1818.7823655665509</v>
      </c>
      <c r="J11" s="84">
        <f t="shared" si="2"/>
        <v>381.94429676897568</v>
      </c>
      <c r="K11" s="84">
        <f t="shared" si="3"/>
        <v>2200.7266623355267</v>
      </c>
      <c r="L11" s="84">
        <f t="shared" si="4"/>
        <v>726.23979857072391</v>
      </c>
      <c r="M11" s="84">
        <f t="shared" si="5"/>
        <v>2926.9664609062506</v>
      </c>
      <c r="N11" s="84">
        <f t="shared" si="6"/>
        <v>1170.7865843625002</v>
      </c>
      <c r="O11" s="101">
        <f t="shared" si="7"/>
        <v>4097.7530452687506</v>
      </c>
      <c r="P11" s="209" t="s">
        <v>194</v>
      </c>
      <c r="Q11"/>
      <c r="R11"/>
      <c r="S11"/>
      <c r="T11"/>
      <c r="U11"/>
      <c r="AF11">
        <v>18946.389734667249</v>
      </c>
      <c r="AG11">
        <f>+(H11-AF11)/AF11</f>
        <v>0.15195500000000001</v>
      </c>
      <c r="AK11" s="27">
        <v>100516201</v>
      </c>
      <c r="AL11" s="24">
        <v>45177.910386183037</v>
      </c>
    </row>
    <row r="12" spans="1:38" x14ac:dyDescent="0.35">
      <c r="A12" s="27">
        <v>100516201</v>
      </c>
      <c r="B12" s="28" t="s">
        <v>22</v>
      </c>
      <c r="C12" s="21">
        <v>7790360968548</v>
      </c>
      <c r="D12" s="22">
        <v>6.6239999999999997</v>
      </c>
      <c r="E12" s="23">
        <v>8</v>
      </c>
      <c r="F12" s="24">
        <v>47888.585009354021</v>
      </c>
      <c r="G12" s="194"/>
      <c r="H12" s="24">
        <f t="shared" si="0"/>
        <v>47888.585009354021</v>
      </c>
      <c r="I12" s="24">
        <f t="shared" si="1"/>
        <v>5986.0731261692526</v>
      </c>
      <c r="J12" s="24">
        <f t="shared" si="2"/>
        <v>1257.075356495543</v>
      </c>
      <c r="K12" s="24">
        <f t="shared" si="3"/>
        <v>7243.1484826647957</v>
      </c>
      <c r="L12" s="24">
        <f t="shared" si="4"/>
        <v>2390.2389992793828</v>
      </c>
      <c r="M12" s="24">
        <f t="shared" si="5"/>
        <v>9633.3874819441789</v>
      </c>
      <c r="N12" s="24">
        <f t="shared" si="6"/>
        <v>3853.3549927776717</v>
      </c>
      <c r="O12" s="25">
        <f t="shared" si="7"/>
        <v>13486.74247472185</v>
      </c>
      <c r="P12" s="190"/>
      <c r="Q12"/>
      <c r="R12"/>
      <c r="S12"/>
      <c r="T12"/>
      <c r="U12"/>
      <c r="AF12">
        <v>43026.581320174322</v>
      </c>
      <c r="AG12">
        <f>+(H12-AF12)/AF12</f>
        <v>0.11300000000000002</v>
      </c>
      <c r="AK12" s="205">
        <v>100021643</v>
      </c>
      <c r="AL12" s="24">
        <v>25320.57416267943</v>
      </c>
    </row>
    <row r="13" spans="1:38" x14ac:dyDescent="0.35">
      <c r="A13" s="27">
        <v>100021643</v>
      </c>
      <c r="B13" s="28" t="s">
        <v>23</v>
      </c>
      <c r="C13" s="21">
        <v>7790360966797</v>
      </c>
      <c r="D13" s="22">
        <v>4.7039999999999997</v>
      </c>
      <c r="E13" s="23">
        <v>42</v>
      </c>
      <c r="F13" s="24">
        <v>26839.808612440196</v>
      </c>
      <c r="G13" s="23"/>
      <c r="H13" s="24">
        <f t="shared" si="0"/>
        <v>26839.808612440196</v>
      </c>
      <c r="I13" s="24">
        <f t="shared" si="1"/>
        <v>639.04306220095702</v>
      </c>
      <c r="J13" s="24">
        <f t="shared" si="2"/>
        <v>134.19904306220096</v>
      </c>
      <c r="K13" s="24">
        <f t="shared" si="3"/>
        <v>773.24210526315801</v>
      </c>
      <c r="L13" s="24">
        <f t="shared" si="4"/>
        <v>255.16989473684217</v>
      </c>
      <c r="M13" s="24">
        <f t="shared" si="5"/>
        <v>1028.4120000000003</v>
      </c>
      <c r="N13" s="24">
        <f t="shared" si="6"/>
        <v>411.36480000000012</v>
      </c>
      <c r="O13" s="25">
        <f t="shared" si="7"/>
        <v>1439.7768000000003</v>
      </c>
      <c r="P13" s="190"/>
      <c r="Q13"/>
      <c r="R13"/>
      <c r="S13"/>
      <c r="T13"/>
      <c r="U13"/>
      <c r="AF13">
        <v>19573.727707698999</v>
      </c>
      <c r="AG13">
        <f>+(H13-AF13)/AF13</f>
        <v>0.37121600000000027</v>
      </c>
      <c r="AK13" s="27">
        <v>100516325</v>
      </c>
      <c r="AL13" s="24">
        <v>27224.601650108631</v>
      </c>
    </row>
    <row r="14" spans="1:38" x14ac:dyDescent="0.35">
      <c r="A14" s="27">
        <v>100516325</v>
      </c>
      <c r="B14" s="28" t="s">
        <v>24</v>
      </c>
      <c r="C14" s="21">
        <v>7790360967763</v>
      </c>
      <c r="D14" s="22">
        <v>4.7039999999999997</v>
      </c>
      <c r="E14" s="23">
        <v>21</v>
      </c>
      <c r="F14" s="24">
        <v>28858.077749115149</v>
      </c>
      <c r="G14" s="23"/>
      <c r="H14" s="24">
        <f t="shared" si="0"/>
        <v>28858.077749115149</v>
      </c>
      <c r="I14" s="24">
        <f t="shared" si="1"/>
        <v>1374.1941785292929</v>
      </c>
      <c r="J14" s="24">
        <f t="shared" si="2"/>
        <v>288.58077749115148</v>
      </c>
      <c r="K14" s="24">
        <f t="shared" si="3"/>
        <v>1662.7749560204443</v>
      </c>
      <c r="L14" s="24">
        <f t="shared" si="4"/>
        <v>548.71573548674667</v>
      </c>
      <c r="M14" s="24">
        <f t="shared" si="5"/>
        <v>2211.4906915071911</v>
      </c>
      <c r="N14" s="24">
        <f t="shared" si="6"/>
        <v>884.59627660287651</v>
      </c>
      <c r="O14" s="25">
        <f t="shared" si="7"/>
        <v>3096.0869681100676</v>
      </c>
      <c r="P14" s="190"/>
      <c r="Q14"/>
      <c r="R14"/>
      <c r="S14"/>
      <c r="T14"/>
      <c r="U14"/>
      <c r="AF14">
        <v>25928.192047722503</v>
      </c>
      <c r="AG14">
        <f>+(H14-AF14)/AF14</f>
        <v>0.11300000000000013</v>
      </c>
      <c r="AK14" s="205">
        <v>100021676</v>
      </c>
      <c r="AL14" s="24">
        <v>64129.004050674208</v>
      </c>
    </row>
    <row r="15" spans="1:38" x14ac:dyDescent="0.35">
      <c r="A15" s="27">
        <v>100021676</v>
      </c>
      <c r="B15" s="28" t="s">
        <v>25</v>
      </c>
      <c r="C15" s="21">
        <v>7790360967411</v>
      </c>
      <c r="D15" s="22">
        <v>7.5</v>
      </c>
      <c r="E15" s="23">
        <v>30</v>
      </c>
      <c r="F15" s="24">
        <v>68618.034334221404</v>
      </c>
      <c r="G15" s="141"/>
      <c r="H15" s="24">
        <f t="shared" si="0"/>
        <v>68618.034334221404</v>
      </c>
      <c r="I15" s="24">
        <f t="shared" si="1"/>
        <v>2287.2678111407135</v>
      </c>
      <c r="J15" s="24">
        <f t="shared" si="2"/>
        <v>480.32624033954983</v>
      </c>
      <c r="K15" s="24">
        <f t="shared" si="3"/>
        <v>2767.5940514802633</v>
      </c>
      <c r="L15" s="24">
        <f t="shared" si="4"/>
        <v>913.30603698848688</v>
      </c>
      <c r="M15" s="24">
        <f t="shared" si="5"/>
        <v>3680.9000884687503</v>
      </c>
      <c r="N15" s="24">
        <f t="shared" si="6"/>
        <v>1472.3600353875001</v>
      </c>
      <c r="O15" s="25">
        <f t="shared" si="7"/>
        <v>5153.2601238562502</v>
      </c>
      <c r="P15" s="190"/>
      <c r="Q15"/>
      <c r="R15"/>
      <c r="S15"/>
      <c r="T15"/>
      <c r="U15"/>
      <c r="AF15">
        <v>53108.906046107011</v>
      </c>
      <c r="AG15">
        <f>+(H15-AF15)/AF15</f>
        <v>0.29202499999999987</v>
      </c>
      <c r="AK15" s="205">
        <v>100516008</v>
      </c>
      <c r="AL15" s="24">
        <v>62722.09760430357</v>
      </c>
    </row>
    <row r="16" spans="1:38" x14ac:dyDescent="0.35">
      <c r="A16" s="83">
        <v>100516008</v>
      </c>
      <c r="B16" s="97" t="s">
        <v>26</v>
      </c>
      <c r="C16" s="98">
        <v>7790360967701</v>
      </c>
      <c r="D16" s="99">
        <v>5.76</v>
      </c>
      <c r="E16" s="100">
        <v>24</v>
      </c>
      <c r="F16" s="84">
        <v>62722.09760430357</v>
      </c>
      <c r="G16" s="196">
        <v>9.0899999999999995E-2</v>
      </c>
      <c r="H16" s="84">
        <f t="shared" si="0"/>
        <v>57020.65893207238</v>
      </c>
      <c r="I16" s="84">
        <f t="shared" si="1"/>
        <v>2375.860788836349</v>
      </c>
      <c r="J16" s="84">
        <f t="shared" si="2"/>
        <v>498.93076565563325</v>
      </c>
      <c r="K16" s="84">
        <f t="shared" si="3"/>
        <v>2874.7915544919824</v>
      </c>
      <c r="L16" s="84">
        <f t="shared" si="4"/>
        <v>948.68121298235428</v>
      </c>
      <c r="M16" s="84">
        <f t="shared" si="5"/>
        <v>3823.4727674743367</v>
      </c>
      <c r="N16" s="84">
        <f t="shared" si="6"/>
        <v>1529.3891069897347</v>
      </c>
      <c r="O16" s="101">
        <f t="shared" si="7"/>
        <v>5352.8618744640717</v>
      </c>
      <c r="P16" s="209" t="s">
        <v>156</v>
      </c>
      <c r="Q16"/>
      <c r="R16"/>
      <c r="S16"/>
      <c r="T16"/>
      <c r="U16"/>
      <c r="AF16">
        <v>56890.791477826358</v>
      </c>
      <c r="AG16">
        <f>+(H16-AF16)/AF16</f>
        <v>2.2827500000002303E-3</v>
      </c>
      <c r="AK16" s="205">
        <v>100520834</v>
      </c>
      <c r="AL16" s="24">
        <v>61418.235190591615</v>
      </c>
    </row>
    <row r="17" spans="1:38" x14ac:dyDescent="0.35">
      <c r="A17" s="27">
        <v>100520834</v>
      </c>
      <c r="B17" s="28" t="s">
        <v>27</v>
      </c>
      <c r="C17" s="21">
        <v>7790360980618</v>
      </c>
      <c r="D17" s="22">
        <v>6.66</v>
      </c>
      <c r="E17" s="23">
        <v>36</v>
      </c>
      <c r="F17" s="24">
        <v>61418.235190591615</v>
      </c>
      <c r="G17" s="189"/>
      <c r="H17" s="24">
        <f t="shared" si="0"/>
        <v>61418.235190591615</v>
      </c>
      <c r="I17" s="24">
        <f t="shared" si="1"/>
        <v>1706.0620886275449</v>
      </c>
      <c r="J17" s="24">
        <f t="shared" si="2"/>
        <v>358.27303861178439</v>
      </c>
      <c r="K17" s="24">
        <f t="shared" si="3"/>
        <v>2064.3351272393293</v>
      </c>
      <c r="L17" s="24">
        <f t="shared" si="4"/>
        <v>681.23059198897874</v>
      </c>
      <c r="M17" s="24">
        <f t="shared" si="5"/>
        <v>2745.5657192283079</v>
      </c>
      <c r="N17" s="24">
        <f t="shared" si="6"/>
        <v>1098.2262876913233</v>
      </c>
      <c r="O17" s="25">
        <f t="shared" si="7"/>
        <v>3843.7920069196311</v>
      </c>
      <c r="P17"/>
      <c r="Q17"/>
      <c r="R17"/>
      <c r="S17"/>
      <c r="T17"/>
      <c r="U17"/>
      <c r="AF17">
        <v>55708.149832736155</v>
      </c>
      <c r="AG17">
        <f>+(H17-AF17)/AF17</f>
        <v>0.10250000000000006</v>
      </c>
      <c r="AK17" s="205">
        <v>100021644</v>
      </c>
      <c r="AL17" s="24">
        <v>21516.282062937065</v>
      </c>
    </row>
    <row r="18" spans="1:38" hidden="1" x14ac:dyDescent="0.35">
      <c r="A18" s="27">
        <v>100021680</v>
      </c>
      <c r="B18" s="28" t="s">
        <v>28</v>
      </c>
      <c r="C18" s="21">
        <v>7790360967688</v>
      </c>
      <c r="D18" s="22">
        <v>4.32</v>
      </c>
      <c r="E18" s="23">
        <v>18</v>
      </c>
      <c r="F18" s="24" t="e">
        <v>#N/A</v>
      </c>
      <c r="G18" s="192"/>
      <c r="H18" s="24" t="e">
        <f t="shared" si="0"/>
        <v>#N/A</v>
      </c>
      <c r="I18" s="24" t="e">
        <f t="shared" si="1"/>
        <v>#N/A</v>
      </c>
      <c r="J18" s="24" t="e">
        <f t="shared" si="2"/>
        <v>#N/A</v>
      </c>
      <c r="K18" s="24" t="e">
        <f t="shared" si="3"/>
        <v>#N/A</v>
      </c>
      <c r="L18" s="24" t="e">
        <f t="shared" si="4"/>
        <v>#N/A</v>
      </c>
      <c r="M18" s="24" t="e">
        <f t="shared" si="5"/>
        <v>#N/A</v>
      </c>
      <c r="N18" s="24" t="e">
        <f t="shared" si="6"/>
        <v>#N/A</v>
      </c>
      <c r="O18" s="25" t="e">
        <f t="shared" si="7"/>
        <v>#N/A</v>
      </c>
      <c r="P18"/>
      <c r="Q18"/>
      <c r="R18"/>
      <c r="S18"/>
      <c r="T18"/>
      <c r="U18"/>
      <c r="AF18">
        <v>45814.537371465805</v>
      </c>
      <c r="AG18" t="e">
        <f>+(H18-AF18)/AF18</f>
        <v>#N/A</v>
      </c>
      <c r="AK18" s="205">
        <v>100021677</v>
      </c>
      <c r="AL18" s="24">
        <v>16253.297416830897</v>
      </c>
    </row>
    <row r="19" spans="1:38" x14ac:dyDescent="0.35">
      <c r="A19" s="83">
        <v>100021644</v>
      </c>
      <c r="B19" s="97" t="s">
        <v>29</v>
      </c>
      <c r="C19" s="98">
        <v>7790360008541</v>
      </c>
      <c r="D19" s="99">
        <v>4.7039999999999997</v>
      </c>
      <c r="E19" s="100">
        <v>42</v>
      </c>
      <c r="F19" s="84">
        <v>22807.258986713292</v>
      </c>
      <c r="G19" s="196">
        <v>9.2399999999999996E-2</v>
      </c>
      <c r="H19" s="84">
        <f t="shared" si="0"/>
        <v>20699.868256340982</v>
      </c>
      <c r="I19" s="84">
        <f t="shared" si="1"/>
        <v>492.85400610335671</v>
      </c>
      <c r="J19" s="84">
        <f t="shared" si="2"/>
        <v>103.4993412817049</v>
      </c>
      <c r="K19" s="84">
        <f t="shared" si="3"/>
        <v>596.35334738506162</v>
      </c>
      <c r="L19" s="84">
        <f>+K19*0.3</f>
        <v>178.90600421551849</v>
      </c>
      <c r="M19" s="84">
        <f t="shared" si="5"/>
        <v>775.25935160058009</v>
      </c>
      <c r="N19" s="84">
        <f>+M19*0.4</f>
        <v>310.10374064023205</v>
      </c>
      <c r="O19" s="101">
        <f t="shared" si="7"/>
        <v>1085.3630922408122</v>
      </c>
      <c r="P19" s="209" t="s">
        <v>195</v>
      </c>
      <c r="Q19"/>
      <c r="R19"/>
      <c r="S19"/>
      <c r="T19"/>
      <c r="U19"/>
      <c r="AF19">
        <v>14418.308963763509</v>
      </c>
      <c r="AG19">
        <f>+(H19-AF19)/AF19</f>
        <v>0.43566546592700017</v>
      </c>
      <c r="AK19" s="27">
        <v>100021638</v>
      </c>
      <c r="AL19" s="24">
        <v>49008.427147897281</v>
      </c>
    </row>
    <row r="20" spans="1:38" x14ac:dyDescent="0.35">
      <c r="A20" s="27">
        <v>100021677</v>
      </c>
      <c r="B20" s="28" t="s">
        <v>30</v>
      </c>
      <c r="C20" s="21">
        <v>7790360967404</v>
      </c>
      <c r="D20" s="22">
        <v>3.3119999999999998</v>
      </c>
      <c r="E20" s="23">
        <v>12</v>
      </c>
      <c r="F20" s="24">
        <v>17228.495261840751</v>
      </c>
      <c r="G20" s="23"/>
      <c r="H20" s="24">
        <f t="shared" si="0"/>
        <v>17228.495261840751</v>
      </c>
      <c r="I20" s="24">
        <f t="shared" si="1"/>
        <v>1435.7079384867293</v>
      </c>
      <c r="J20" s="24">
        <f t="shared" si="2"/>
        <v>301.49866708221316</v>
      </c>
      <c r="K20" s="24">
        <f t="shared" si="3"/>
        <v>1737.2066055689425</v>
      </c>
      <c r="L20" s="24">
        <f t="shared" si="4"/>
        <v>573.27817983775105</v>
      </c>
      <c r="M20" s="24">
        <f t="shared" si="5"/>
        <v>2310.4847854066934</v>
      </c>
      <c r="N20" s="24">
        <f t="shared" si="6"/>
        <v>924.1939141626774</v>
      </c>
      <c r="O20" s="25">
        <f t="shared" si="7"/>
        <v>3234.678699569371</v>
      </c>
      <c r="P20"/>
      <c r="Q20"/>
      <c r="R20"/>
      <c r="S20"/>
      <c r="T20"/>
      <c r="U20"/>
      <c r="AF20">
        <v>13777.775588048315</v>
      </c>
      <c r="AG20">
        <f>+(H20-AF20)/AF20</f>
        <v>0.25045550000000016</v>
      </c>
      <c r="AK20" s="27">
        <v>100021575</v>
      </c>
      <c r="AL20" s="24">
        <v>39802.191387651481</v>
      </c>
    </row>
    <row r="21" spans="1:38" x14ac:dyDescent="0.35">
      <c r="A21" s="27">
        <v>100021638</v>
      </c>
      <c r="B21" s="28" t="s">
        <v>31</v>
      </c>
      <c r="C21" s="21">
        <v>7790360026699</v>
      </c>
      <c r="D21" s="22">
        <v>4.8</v>
      </c>
      <c r="E21" s="23">
        <v>60</v>
      </c>
      <c r="F21" s="24">
        <v>51948.932776771122</v>
      </c>
      <c r="G21" s="23"/>
      <c r="H21" s="24">
        <f t="shared" si="0"/>
        <v>51948.932776771122</v>
      </c>
      <c r="I21" s="24">
        <f t="shared" si="1"/>
        <v>865.81554627951868</v>
      </c>
      <c r="J21" s="24">
        <f t="shared" si="2"/>
        <v>181.82126471869893</v>
      </c>
      <c r="K21" s="24">
        <f t="shared" si="3"/>
        <v>1047.6368109982177</v>
      </c>
      <c r="L21" s="24">
        <f t="shared" si="4"/>
        <v>345.72014762941188</v>
      </c>
      <c r="M21" s="24">
        <f t="shared" si="5"/>
        <v>1393.3569586276296</v>
      </c>
      <c r="N21" s="24">
        <f t="shared" si="6"/>
        <v>557.3427834510519</v>
      </c>
      <c r="O21" s="25">
        <f t="shared" si="7"/>
        <v>1950.6997420786815</v>
      </c>
      <c r="P21"/>
      <c r="Q21"/>
      <c r="R21"/>
      <c r="S21"/>
      <c r="T21"/>
      <c r="U21"/>
      <c r="AF21">
        <v>44452.088116006598</v>
      </c>
      <c r="AG21">
        <f>+(H21-AF21)/AF21</f>
        <v>0.16865000000000024</v>
      </c>
      <c r="AK21" s="27">
        <v>100021514</v>
      </c>
      <c r="AL21" s="24">
        <v>36576.949596901701</v>
      </c>
    </row>
    <row r="22" spans="1:38" x14ac:dyDescent="0.35">
      <c r="A22" s="27">
        <v>100021575</v>
      </c>
      <c r="B22" s="28" t="s">
        <v>32</v>
      </c>
      <c r="C22" s="21">
        <v>7790360007032</v>
      </c>
      <c r="D22" s="22">
        <v>4.1399999999999997</v>
      </c>
      <c r="E22" s="23">
        <v>60</v>
      </c>
      <c r="F22" s="24">
        <v>42190.322870910575</v>
      </c>
      <c r="G22" s="23"/>
      <c r="H22" s="24">
        <f t="shared" si="0"/>
        <v>42190.322870910575</v>
      </c>
      <c r="I22" s="24">
        <f t="shared" si="1"/>
        <v>703.17204784850958</v>
      </c>
      <c r="J22" s="24">
        <f t="shared" si="2"/>
        <v>147.666130048187</v>
      </c>
      <c r="K22" s="24">
        <f t="shared" si="3"/>
        <v>850.83817789669661</v>
      </c>
      <c r="L22" s="24">
        <f t="shared" si="4"/>
        <v>280.77659870590992</v>
      </c>
      <c r="M22" s="24">
        <f t="shared" si="5"/>
        <v>1131.6147766026065</v>
      </c>
      <c r="N22" s="24">
        <f t="shared" si="6"/>
        <v>452.64591064104263</v>
      </c>
      <c r="O22" s="25">
        <f t="shared" si="7"/>
        <v>1584.260687243649</v>
      </c>
      <c r="P22"/>
      <c r="Q22"/>
      <c r="R22"/>
      <c r="S22"/>
      <c r="T22"/>
      <c r="U22"/>
      <c r="W22">
        <v>7732.76</v>
      </c>
      <c r="AF22">
        <v>36101.760895829</v>
      </c>
      <c r="AG22">
        <f>+(H22-AF22)/AF22</f>
        <v>0.16865000000000038</v>
      </c>
      <c r="AK22" s="26">
        <v>100516208</v>
      </c>
      <c r="AL22" s="24">
        <v>41975.344365513236</v>
      </c>
    </row>
    <row r="23" spans="1:38" x14ac:dyDescent="0.35">
      <c r="A23" s="27">
        <v>100021514</v>
      </c>
      <c r="B23" s="28" t="s">
        <v>33</v>
      </c>
      <c r="C23" s="21">
        <v>7790360006943</v>
      </c>
      <c r="D23" s="22">
        <v>4.1399999999999997</v>
      </c>
      <c r="E23" s="23">
        <v>60</v>
      </c>
      <c r="F23" s="24">
        <v>38771.566572715805</v>
      </c>
      <c r="G23" s="23"/>
      <c r="H23" s="24">
        <f t="shared" si="0"/>
        <v>38771.566572715805</v>
      </c>
      <c r="I23" s="24">
        <f t="shared" si="1"/>
        <v>646.1927762119301</v>
      </c>
      <c r="J23" s="24">
        <f t="shared" si="2"/>
        <v>135.70048300450532</v>
      </c>
      <c r="K23" s="24">
        <f t="shared" si="3"/>
        <v>781.89325921643535</v>
      </c>
      <c r="L23" s="24">
        <f t="shared" si="4"/>
        <v>258.02477554142365</v>
      </c>
      <c r="M23" s="24">
        <f t="shared" si="5"/>
        <v>1039.918034757859</v>
      </c>
      <c r="N23" s="24">
        <f t="shared" si="6"/>
        <v>415.9672139031436</v>
      </c>
      <c r="O23" s="25">
        <f t="shared" si="7"/>
        <v>1455.8852486610026</v>
      </c>
      <c r="P23"/>
      <c r="Q23"/>
      <c r="R23"/>
      <c r="S23"/>
      <c r="T23"/>
      <c r="U23"/>
      <c r="W23">
        <f>+W22*8640</f>
        <v>66811046.399999999</v>
      </c>
      <c r="AF23">
        <v>33176.371516464125</v>
      </c>
      <c r="AG23">
        <f>+(H23-AF23)/AF23</f>
        <v>0.16865000000000013</v>
      </c>
      <c r="AK23" s="27">
        <v>100518346</v>
      </c>
      <c r="AL23" s="24">
        <v>57727.077643076394</v>
      </c>
    </row>
    <row r="24" spans="1:38" x14ac:dyDescent="0.35">
      <c r="A24" s="26">
        <v>100516208</v>
      </c>
      <c r="B24" s="30" t="s">
        <v>34</v>
      </c>
      <c r="C24" s="31">
        <v>7790360968203</v>
      </c>
      <c r="D24" s="22">
        <f>60*0.08</f>
        <v>4.8</v>
      </c>
      <c r="E24" s="23">
        <v>60</v>
      </c>
      <c r="F24" s="24">
        <v>44493.86502744403</v>
      </c>
      <c r="G24" s="23"/>
      <c r="H24" s="24">
        <f t="shared" si="0"/>
        <v>44493.86502744403</v>
      </c>
      <c r="I24" s="24">
        <f t="shared" si="1"/>
        <v>741.56441712406718</v>
      </c>
      <c r="J24" s="24">
        <f t="shared" si="2"/>
        <v>155.72852759605411</v>
      </c>
      <c r="K24" s="24">
        <f t="shared" si="3"/>
        <v>897.29294472012134</v>
      </c>
      <c r="L24" s="24">
        <f t="shared" si="4"/>
        <v>296.10667175764007</v>
      </c>
      <c r="M24" s="24">
        <f t="shared" si="5"/>
        <v>1193.3996164777614</v>
      </c>
      <c r="N24" s="24">
        <f t="shared" si="6"/>
        <v>477.35984659110454</v>
      </c>
      <c r="O24" s="25">
        <f t="shared" si="7"/>
        <v>1670.7594630688659</v>
      </c>
      <c r="P24"/>
      <c r="Q24"/>
      <c r="R24"/>
      <c r="S24"/>
      <c r="T24"/>
      <c r="U24"/>
      <c r="W24" s="119">
        <f>+W23/2</f>
        <v>33405523.199999999</v>
      </c>
      <c r="AF24">
        <v>38072.874707948511</v>
      </c>
      <c r="AG24">
        <f>+(H24-AF24)/AF24</f>
        <v>0.16865000000000005</v>
      </c>
      <c r="AK24" s="27">
        <v>100516259</v>
      </c>
      <c r="AL24" s="24">
        <v>135947.63118772671</v>
      </c>
    </row>
    <row r="25" spans="1:38" x14ac:dyDescent="0.35">
      <c r="A25" s="27">
        <v>100518346</v>
      </c>
      <c r="B25" s="28" t="s">
        <v>35</v>
      </c>
      <c r="C25" s="21">
        <v>7790360975478</v>
      </c>
      <c r="D25" s="22">
        <f>60*0.109</f>
        <v>6.54</v>
      </c>
      <c r="E25" s="23">
        <v>60</v>
      </c>
      <c r="F25" s="24">
        <v>61190.702301660982</v>
      </c>
      <c r="G25" s="23"/>
      <c r="H25" s="24">
        <f t="shared" si="0"/>
        <v>61190.702301660982</v>
      </c>
      <c r="I25" s="24">
        <f t="shared" si="1"/>
        <v>1019.8450383610163</v>
      </c>
      <c r="J25" s="24">
        <f>I25*J3</f>
        <v>214.16745805581343</v>
      </c>
      <c r="K25" s="24">
        <f>J25+I25</f>
        <v>1234.0124964168299</v>
      </c>
      <c r="L25" s="24">
        <f t="shared" si="4"/>
        <v>407.2241238175539</v>
      </c>
      <c r="M25" s="24">
        <f>L25+K25</f>
        <v>1641.2366202343837</v>
      </c>
      <c r="N25" s="24">
        <f>M25*N3</f>
        <v>656.49464809375354</v>
      </c>
      <c r="O25" s="25">
        <f>N25+M25</f>
        <v>2297.731268328137</v>
      </c>
      <c r="P25"/>
      <c r="Q25"/>
      <c r="R25"/>
      <c r="S25"/>
      <c r="T25"/>
      <c r="U25"/>
      <c r="AF25">
        <v>52360.16112750693</v>
      </c>
      <c r="AG25">
        <f>+(H25-AF25)/AF25</f>
        <v>0.16865000000000016</v>
      </c>
      <c r="AK25" s="27">
        <v>100518095</v>
      </c>
      <c r="AL25" s="24">
        <v>64509.932015884107</v>
      </c>
    </row>
    <row r="26" spans="1:38" x14ac:dyDescent="0.35">
      <c r="A26" s="27">
        <v>100516259</v>
      </c>
      <c r="B26" s="28" t="s">
        <v>36</v>
      </c>
      <c r="C26" s="21">
        <v>7790360968340</v>
      </c>
      <c r="D26" s="22">
        <v>18.16</v>
      </c>
      <c r="E26" s="23">
        <v>48</v>
      </c>
      <c r="F26" s="24">
        <v>144104.48905899032</v>
      </c>
      <c r="G26" s="23"/>
      <c r="H26" s="24">
        <f t="shared" si="0"/>
        <v>144104.48905899032</v>
      </c>
      <c r="I26" s="24">
        <f t="shared" si="1"/>
        <v>3002.1768553956317</v>
      </c>
      <c r="J26" s="24">
        <f t="shared" si="2"/>
        <v>630.45713963308265</v>
      </c>
      <c r="K26" s="24">
        <f t="shared" si="3"/>
        <v>3632.6339950287143</v>
      </c>
      <c r="L26" s="24">
        <f t="shared" si="4"/>
        <v>1198.7692183594759</v>
      </c>
      <c r="M26" s="24">
        <f t="shared" si="5"/>
        <v>4831.4032133881901</v>
      </c>
      <c r="N26" s="24">
        <f t="shared" si="6"/>
        <v>1932.5612853552761</v>
      </c>
      <c r="O26" s="25">
        <f t="shared" si="7"/>
        <v>6763.9644987434658</v>
      </c>
      <c r="P26"/>
      <c r="Q26"/>
      <c r="R26"/>
      <c r="S26"/>
      <c r="T26"/>
      <c r="U26"/>
      <c r="AF26">
        <v>123308.50901381108</v>
      </c>
      <c r="AG26">
        <f>+(H26-AF26)/AF26</f>
        <v>0.16864999999999999</v>
      </c>
      <c r="AK26" s="27">
        <v>100518223</v>
      </c>
      <c r="AL26" s="24">
        <v>50224.567183273248</v>
      </c>
    </row>
    <row r="27" spans="1:38" x14ac:dyDescent="0.35">
      <c r="A27" s="27">
        <v>100518095</v>
      </c>
      <c r="B27" s="28" t="s">
        <v>37</v>
      </c>
      <c r="C27" s="21">
        <v>7790360974785</v>
      </c>
      <c r="D27" s="22">
        <v>6.66</v>
      </c>
      <c r="E27" s="23">
        <v>36</v>
      </c>
      <c r="F27" s="24">
        <v>68380.527936837156</v>
      </c>
      <c r="G27" s="23"/>
      <c r="H27" s="24">
        <f t="shared" si="0"/>
        <v>68380.527936837156</v>
      </c>
      <c r="I27" s="24">
        <f t="shared" si="1"/>
        <v>1899.4591093565878</v>
      </c>
      <c r="J27" s="24">
        <f>+I27*J$3</f>
        <v>398.88641296488339</v>
      </c>
      <c r="K27" s="24">
        <f>+I27+J27</f>
        <v>2298.345522321471</v>
      </c>
      <c r="L27" s="24">
        <f t="shared" si="4"/>
        <v>758.4540223660855</v>
      </c>
      <c r="M27" s="24">
        <f>+K27+L27</f>
        <v>3056.7995446875566</v>
      </c>
      <c r="N27" s="24">
        <f>+M27*N$3</f>
        <v>1222.7198178750227</v>
      </c>
      <c r="O27" s="25">
        <f>+M27+N27</f>
        <v>4279.5193625625798</v>
      </c>
      <c r="P27"/>
      <c r="Q27"/>
      <c r="R27"/>
      <c r="S27"/>
      <c r="T27"/>
      <c r="U27"/>
      <c r="W27" s="77"/>
      <c r="AF27">
        <v>58512.409991731613</v>
      </c>
      <c r="AG27">
        <f>+(H27-AF27)/AF27</f>
        <v>0.16865000000000011</v>
      </c>
      <c r="AK27" s="32"/>
      <c r="AL27" s="36" t="s">
        <v>163</v>
      </c>
    </row>
    <row r="28" spans="1:38" x14ac:dyDescent="0.35">
      <c r="A28" s="27">
        <v>100518223</v>
      </c>
      <c r="B28" s="28" t="s">
        <v>38</v>
      </c>
      <c r="C28" s="21">
        <v>7790360975065</v>
      </c>
      <c r="D28" s="22">
        <f>60*0.106</f>
        <v>6.3599999999999994</v>
      </c>
      <c r="E28" s="23">
        <v>30</v>
      </c>
      <c r="F28" s="24">
        <v>53238.041214269644</v>
      </c>
      <c r="G28" s="23"/>
      <c r="H28" s="24">
        <f t="shared" si="0"/>
        <v>53238.041214269644</v>
      </c>
      <c r="I28" s="24">
        <f t="shared" si="1"/>
        <v>1774.6013738089882</v>
      </c>
      <c r="J28" s="24">
        <f>+I28*J$3</f>
        <v>372.66628849988751</v>
      </c>
      <c r="K28" s="24">
        <f>+I28+J28</f>
        <v>2147.2676623088755</v>
      </c>
      <c r="L28" s="24">
        <f t="shared" si="4"/>
        <v>708.59832856192895</v>
      </c>
      <c r="M28" s="24">
        <f>+K28+L28</f>
        <v>2855.8659908708046</v>
      </c>
      <c r="N28" s="24">
        <f>+M28*N$3</f>
        <v>1142.3463963483218</v>
      </c>
      <c r="O28" s="25">
        <f>+M28+N28</f>
        <v>3998.2123872191264</v>
      </c>
      <c r="P28"/>
      <c r="Q28"/>
      <c r="R28"/>
      <c r="S28"/>
      <c r="T28"/>
      <c r="U28"/>
      <c r="AF28">
        <v>45555.162978025619</v>
      </c>
      <c r="AG28">
        <f>+(H28-AF28)/AF28</f>
        <v>0.16865000000000011</v>
      </c>
      <c r="AK28" s="27">
        <v>100522204</v>
      </c>
      <c r="AL28" s="24">
        <v>26630.922051291152</v>
      </c>
    </row>
    <row r="29" spans="1:38" x14ac:dyDescent="0.35">
      <c r="A29" s="32"/>
      <c r="B29" s="33"/>
      <c r="C29" s="34"/>
      <c r="D29" s="33"/>
      <c r="E29" s="35"/>
      <c r="F29" s="36" t="e">
        <v>#N/A</v>
      </c>
      <c r="G29" s="35"/>
      <c r="H29" s="36" t="e">
        <f t="shared" si="0"/>
        <v>#N/A</v>
      </c>
      <c r="I29" s="37" t="e">
        <f t="shared" si="1"/>
        <v>#N/A</v>
      </c>
      <c r="J29" s="38"/>
      <c r="K29" s="37"/>
      <c r="L29" s="17"/>
      <c r="M29" s="16"/>
      <c r="N29" s="17"/>
      <c r="O29" s="39"/>
      <c r="P29"/>
      <c r="Q29"/>
      <c r="R29"/>
      <c r="S29"/>
      <c r="T29"/>
      <c r="U29"/>
      <c r="V29" t="s">
        <v>132</v>
      </c>
      <c r="W29" t="s">
        <v>132</v>
      </c>
      <c r="Y29" t="s">
        <v>91</v>
      </c>
      <c r="Z29" t="s">
        <v>92</v>
      </c>
      <c r="AA29" t="s">
        <v>93</v>
      </c>
      <c r="AB29" t="s">
        <v>130</v>
      </c>
      <c r="AF29" t="e">
        <v>#N/A</v>
      </c>
      <c r="AG29" t="e">
        <f>+(H29-AF29)/AF29</f>
        <v>#N/A</v>
      </c>
      <c r="AK29" s="27">
        <v>100522205</v>
      </c>
      <c r="AL29" s="24">
        <v>25299.3759487266</v>
      </c>
    </row>
    <row r="30" spans="1:38" hidden="1" x14ac:dyDescent="0.35">
      <c r="A30" s="83">
        <v>100022085</v>
      </c>
      <c r="B30" s="97" t="s">
        <v>39</v>
      </c>
      <c r="C30" s="98">
        <v>7790360000132</v>
      </c>
      <c r="D30" s="99">
        <v>5.4</v>
      </c>
      <c r="E30" s="100">
        <v>24</v>
      </c>
      <c r="F30" s="84" t="e">
        <v>#N/A</v>
      </c>
      <c r="G30" s="116">
        <v>0.16666666666666666</v>
      </c>
      <c r="H30" s="84" t="e">
        <f t="shared" si="0"/>
        <v>#N/A</v>
      </c>
      <c r="I30" s="84" t="e">
        <f t="shared" si="1"/>
        <v>#N/A</v>
      </c>
      <c r="J30" s="84" t="e">
        <f t="shared" si="2"/>
        <v>#N/A</v>
      </c>
      <c r="K30" s="84" t="e">
        <f t="shared" si="3"/>
        <v>#N/A</v>
      </c>
      <c r="L30" s="84" t="e">
        <f>+K30*0.3</f>
        <v>#N/A</v>
      </c>
      <c r="M30" s="84" t="e">
        <f t="shared" si="5"/>
        <v>#N/A</v>
      </c>
      <c r="N30" s="84" t="e">
        <f>+M30*N$3</f>
        <v>#N/A</v>
      </c>
      <c r="O30" s="101" t="e">
        <f>+M30+N30</f>
        <v>#N/A</v>
      </c>
      <c r="P30" s="1" t="s">
        <v>168</v>
      </c>
      <c r="Q30"/>
      <c r="R30"/>
      <c r="S30"/>
      <c r="T30"/>
      <c r="U30"/>
      <c r="V30">
        <v>1850</v>
      </c>
      <c r="W30">
        <f>+V30</f>
        <v>1850</v>
      </c>
      <c r="Y30" s="123">
        <v>2295</v>
      </c>
      <c r="Z30" s="123">
        <v>2518</v>
      </c>
      <c r="AA30" s="123">
        <v>2518</v>
      </c>
      <c r="AB30" s="123">
        <v>1328</v>
      </c>
      <c r="AC30" s="123"/>
      <c r="AF30">
        <v>19706.882317955457</v>
      </c>
      <c r="AG30" t="e">
        <f>+(H30-AF30)/AF30</f>
        <v>#N/A</v>
      </c>
      <c r="AK30" s="27">
        <v>100516849</v>
      </c>
      <c r="AL30" s="24">
        <v>20506.55564531163</v>
      </c>
    </row>
    <row r="31" spans="1:38" x14ac:dyDescent="0.35">
      <c r="A31" s="83">
        <v>100522204</v>
      </c>
      <c r="B31" s="97" t="s">
        <v>39</v>
      </c>
      <c r="C31" s="98">
        <v>7790360983947</v>
      </c>
      <c r="D31" s="99">
        <v>5.4</v>
      </c>
      <c r="E31" s="100">
        <v>24</v>
      </c>
      <c r="F31" s="84">
        <v>27962.468153855712</v>
      </c>
      <c r="G31" s="116">
        <v>0.16666666666666666</v>
      </c>
      <c r="H31" s="84">
        <f t="shared" ref="H31" si="8">+F31*(1-G31)</f>
        <v>23302.056794879762</v>
      </c>
      <c r="I31" s="84">
        <f t="shared" ref="I31" si="9">+H31/E31</f>
        <v>970.9190331199901</v>
      </c>
      <c r="J31" s="84">
        <f t="shared" ref="J31" si="10">+I31*J$3</f>
        <v>203.8929969551979</v>
      </c>
      <c r="K31" s="84">
        <f t="shared" ref="K31" si="11">+I31+J31</f>
        <v>1174.812030075188</v>
      </c>
      <c r="L31" s="84">
        <f>+K31*0.33</f>
        <v>387.68796992481202</v>
      </c>
      <c r="M31" s="84">
        <f t="shared" ref="M31" si="12">+K31+L31</f>
        <v>1562.5</v>
      </c>
      <c r="N31" s="84">
        <f>+M31*N$3</f>
        <v>625</v>
      </c>
      <c r="O31" s="101">
        <f>+M31+N31</f>
        <v>2187.5</v>
      </c>
      <c r="P31" s="244" t="s">
        <v>196</v>
      </c>
      <c r="Q31" s="160"/>
      <c r="R31" s="160"/>
      <c r="S31" s="188"/>
      <c r="T31" s="118"/>
      <c r="U31"/>
      <c r="Y31" s="123"/>
      <c r="Z31" s="123"/>
      <c r="AA31" s="123"/>
      <c r="AB31" s="123"/>
      <c r="AC31" s="123"/>
      <c r="AK31" s="27">
        <v>100522206</v>
      </c>
      <c r="AL31" s="24">
        <v>60366.789354881163</v>
      </c>
    </row>
    <row r="32" spans="1:38" hidden="1" x14ac:dyDescent="0.35">
      <c r="A32" s="83">
        <v>100022072</v>
      </c>
      <c r="B32" s="97" t="s">
        <v>40</v>
      </c>
      <c r="C32" s="98">
        <v>7790360024541</v>
      </c>
      <c r="D32" s="99">
        <v>5.4</v>
      </c>
      <c r="E32" s="100">
        <v>12</v>
      </c>
      <c r="F32" s="84" t="e">
        <v>#N/A</v>
      </c>
      <c r="G32" s="116">
        <v>0.16666666666666666</v>
      </c>
      <c r="H32" s="84" t="e">
        <f t="shared" si="0"/>
        <v>#N/A</v>
      </c>
      <c r="I32" s="84" t="e">
        <f t="shared" si="1"/>
        <v>#N/A</v>
      </c>
      <c r="J32" s="84" t="e">
        <f t="shared" si="2"/>
        <v>#N/A</v>
      </c>
      <c r="K32" s="84" t="e">
        <f t="shared" si="3"/>
        <v>#N/A</v>
      </c>
      <c r="L32" s="84" t="e">
        <f>+K32*0.328678</f>
        <v>#N/A</v>
      </c>
      <c r="M32" s="84" t="e">
        <f t="shared" si="5"/>
        <v>#N/A</v>
      </c>
      <c r="N32" s="84" t="e">
        <f t="shared" si="6"/>
        <v>#N/A</v>
      </c>
      <c r="O32" s="101" t="e">
        <f t="shared" si="7"/>
        <v>#N/A</v>
      </c>
      <c r="P32" s="244" t="s">
        <v>196</v>
      </c>
      <c r="Q32"/>
      <c r="R32"/>
      <c r="S32"/>
      <c r="T32"/>
      <c r="U32"/>
      <c r="V32">
        <v>3400</v>
      </c>
      <c r="W32">
        <f>+V32</f>
        <v>3400</v>
      </c>
      <c r="Y32" s="123">
        <v>4590</v>
      </c>
      <c r="Z32" s="123">
        <v>5045</v>
      </c>
      <c r="AF32">
        <v>18109.026994877986</v>
      </c>
      <c r="AG32" t="e">
        <f>+(H32-AF32)/AF32</f>
        <v>#N/A</v>
      </c>
      <c r="AK32" s="27">
        <v>100022058</v>
      </c>
      <c r="AL32" s="40">
        <v>15595.31377713196</v>
      </c>
    </row>
    <row r="33" spans="1:38" x14ac:dyDescent="0.35">
      <c r="A33" s="83">
        <v>100522205</v>
      </c>
      <c r="B33" s="97" t="s">
        <v>40</v>
      </c>
      <c r="C33" s="98">
        <v>7790360983954</v>
      </c>
      <c r="D33" s="99">
        <v>5.4</v>
      </c>
      <c r="E33" s="100">
        <v>12</v>
      </c>
      <c r="F33" s="216">
        <v>26564.344746162929</v>
      </c>
      <c r="G33" s="116">
        <v>0.16666666666666666</v>
      </c>
      <c r="H33" s="84">
        <f t="shared" ref="H33" si="13">+F33*(1-G33)</f>
        <v>22136.953955135774</v>
      </c>
      <c r="I33" s="84">
        <f t="shared" ref="I33" si="14">+H33/E33</f>
        <v>1844.7461629279812</v>
      </c>
      <c r="J33" s="84">
        <f t="shared" ref="J33" si="15">+I33*J$3</f>
        <v>387.39669421487605</v>
      </c>
      <c r="K33" s="84">
        <f t="shared" ref="K33" si="16">+I33+J33</f>
        <v>2232.1428571428573</v>
      </c>
      <c r="L33" s="84">
        <f>+K33*0.33</f>
        <v>736.607142857143</v>
      </c>
      <c r="M33" s="84">
        <f t="shared" ref="M33" si="17">+K33+L33</f>
        <v>2968.7500000000005</v>
      </c>
      <c r="N33" s="84">
        <f>+M33*N$3</f>
        <v>1187.5000000000002</v>
      </c>
      <c r="O33" s="101">
        <f>+M33+N33</f>
        <v>4156.2500000000009</v>
      </c>
      <c r="P33" s="244" t="s">
        <v>175</v>
      </c>
      <c r="Q33"/>
      <c r="R33"/>
      <c r="S33"/>
      <c r="T33"/>
      <c r="U33"/>
      <c r="Y33" s="123"/>
      <c r="Z33" s="123"/>
      <c r="AK33" s="27">
        <v>100518151</v>
      </c>
      <c r="AL33" s="40">
        <v>69421.807758113311</v>
      </c>
    </row>
    <row r="34" spans="1:38" x14ac:dyDescent="0.35">
      <c r="A34" s="83">
        <v>100516849</v>
      </c>
      <c r="B34" s="97" t="s">
        <v>41</v>
      </c>
      <c r="C34" s="98">
        <v>7790360970053</v>
      </c>
      <c r="D34" s="99">
        <v>4.5599999990400004</v>
      </c>
      <c r="E34" s="100">
        <v>24</v>
      </c>
      <c r="F34" s="84">
        <v>21531.883427577213</v>
      </c>
      <c r="G34" s="102"/>
      <c r="H34" s="84">
        <f t="shared" si="0"/>
        <v>21531.883427577213</v>
      </c>
      <c r="I34" s="84">
        <f t="shared" si="1"/>
        <v>897.16180948238389</v>
      </c>
      <c r="J34" s="84">
        <f t="shared" si="2"/>
        <v>188.40397999130062</v>
      </c>
      <c r="K34" s="84">
        <f t="shared" si="3"/>
        <v>1085.5657894736846</v>
      </c>
      <c r="L34" s="84">
        <f>+K34*0.33</f>
        <v>358.23671052631596</v>
      </c>
      <c r="M34" s="84">
        <f t="shared" si="5"/>
        <v>1443.8025000000007</v>
      </c>
      <c r="N34" s="84">
        <f t="shared" si="6"/>
        <v>577.5210000000003</v>
      </c>
      <c r="O34" s="101">
        <f t="shared" si="7"/>
        <v>2021.3235000000009</v>
      </c>
      <c r="Q34"/>
      <c r="R34"/>
      <c r="S34"/>
      <c r="T34"/>
      <c r="U34"/>
      <c r="V34">
        <v>1600</v>
      </c>
      <c r="W34">
        <v>1650</v>
      </c>
      <c r="X34" t="s">
        <v>96</v>
      </c>
      <c r="Y34" s="123">
        <v>1745</v>
      </c>
      <c r="Z34" s="123"/>
      <c r="AF34">
        <v>17043.79011282634</v>
      </c>
      <c r="AG34" s="117">
        <f>+(H34-AF34)/AF34</f>
        <v>0.26332718750000028</v>
      </c>
      <c r="AK34" s="32"/>
      <c r="AL34" s="36" t="s">
        <v>163</v>
      </c>
    </row>
    <row r="35" spans="1:38" hidden="1" x14ac:dyDescent="0.35">
      <c r="A35" s="83">
        <v>100022039</v>
      </c>
      <c r="B35" s="97" t="s">
        <v>42</v>
      </c>
      <c r="C35" s="98">
        <v>7790360007063</v>
      </c>
      <c r="D35" s="99">
        <v>8.6999999999999993</v>
      </c>
      <c r="E35" s="100">
        <v>10</v>
      </c>
      <c r="F35" s="84" t="e">
        <v>#N/A</v>
      </c>
      <c r="G35" s="100"/>
      <c r="H35" s="84" t="e">
        <f t="shared" si="0"/>
        <v>#N/A</v>
      </c>
      <c r="I35" s="84" t="e">
        <f t="shared" si="1"/>
        <v>#N/A</v>
      </c>
      <c r="J35" s="84" t="e">
        <f t="shared" si="2"/>
        <v>#N/A</v>
      </c>
      <c r="K35" s="84" t="e">
        <f t="shared" si="3"/>
        <v>#N/A</v>
      </c>
      <c r="L35" s="84" t="e">
        <f t="shared" ref="L35:L77" si="18">+K35*L$3</f>
        <v>#N/A</v>
      </c>
      <c r="M35" s="84" t="e">
        <f t="shared" si="5"/>
        <v>#N/A</v>
      </c>
      <c r="N35" s="84" t="e">
        <f t="shared" si="6"/>
        <v>#N/A</v>
      </c>
      <c r="O35" s="101" t="e">
        <f t="shared" si="7"/>
        <v>#N/A</v>
      </c>
      <c r="P35"/>
      <c r="Q35"/>
      <c r="R35"/>
      <c r="S35"/>
      <c r="T35"/>
      <c r="U35"/>
      <c r="Y35" t="s">
        <v>94</v>
      </c>
      <c r="Z35">
        <v>66</v>
      </c>
      <c r="AA35" t="s">
        <v>95</v>
      </c>
      <c r="AB35" t="s">
        <v>129</v>
      </c>
      <c r="AF35">
        <v>46618.16124152932</v>
      </c>
      <c r="AG35" t="e">
        <f>+(H35-AF35)/AF35</f>
        <v>#N/A</v>
      </c>
      <c r="AK35" s="27">
        <v>100021000</v>
      </c>
      <c r="AL35" s="24">
        <v>12962.273708363024</v>
      </c>
    </row>
    <row r="36" spans="1:38" x14ac:dyDescent="0.35">
      <c r="A36" s="27">
        <v>100522206</v>
      </c>
      <c r="B36" s="28" t="s">
        <v>42</v>
      </c>
      <c r="C36" s="21">
        <v>7790360983961</v>
      </c>
      <c r="D36" s="22">
        <v>8.6999999999999993</v>
      </c>
      <c r="E36" s="23">
        <v>10</v>
      </c>
      <c r="F36" s="149">
        <v>63385.128822625222</v>
      </c>
      <c r="G36" s="23"/>
      <c r="H36" s="24">
        <f t="shared" ref="H36" si="19">+F36*(1-G36)</f>
        <v>63385.128822625222</v>
      </c>
      <c r="I36" s="24">
        <f t="shared" ref="I36" si="20">+H36/E36</f>
        <v>6338.512882262522</v>
      </c>
      <c r="J36" s="24">
        <f t="shared" ref="J36" si="21">+I36*J$3</f>
        <v>1331.0877052751296</v>
      </c>
      <c r="K36" s="24">
        <f t="shared" ref="K36" si="22">+I36+J36</f>
        <v>7669.6005875376513</v>
      </c>
      <c r="L36" s="24">
        <f t="shared" ref="L36" si="23">+K36*L$3</f>
        <v>2530.9681938874251</v>
      </c>
      <c r="M36" s="24">
        <f t="shared" ref="M36" si="24">+K36+L36</f>
        <v>10200.568781425076</v>
      </c>
      <c r="N36" s="24">
        <f>+M36*N$3</f>
        <v>4080.2275125700307</v>
      </c>
      <c r="O36" s="151">
        <f>+M36+N36</f>
        <v>14280.796293995107</v>
      </c>
      <c r="P36"/>
      <c r="Q36"/>
      <c r="R36"/>
      <c r="S36"/>
      <c r="T36"/>
      <c r="U36"/>
      <c r="AK36" s="27">
        <v>100021001</v>
      </c>
      <c r="AL36" s="24">
        <v>12962.273708363024</v>
      </c>
    </row>
    <row r="37" spans="1:38" x14ac:dyDescent="0.35">
      <c r="A37" s="144">
        <v>100022058</v>
      </c>
      <c r="B37" s="145" t="s">
        <v>43</v>
      </c>
      <c r="C37" s="146">
        <v>7790360026002</v>
      </c>
      <c r="D37" s="147">
        <v>4.5599999990400004</v>
      </c>
      <c r="E37" s="148">
        <v>24</v>
      </c>
      <c r="F37" s="149">
        <v>16375.079465988558</v>
      </c>
      <c r="G37" s="150"/>
      <c r="H37" s="40">
        <f t="shared" si="0"/>
        <v>16375.079465988558</v>
      </c>
      <c r="I37" s="143">
        <f t="shared" si="1"/>
        <v>682.29497774952324</v>
      </c>
      <c r="J37" s="143">
        <f t="shared" si="2"/>
        <v>143.28194532739988</v>
      </c>
      <c r="K37" s="143">
        <f t="shared" si="3"/>
        <v>825.57692307692309</v>
      </c>
      <c r="L37" s="143">
        <f>+K37*0.3</f>
        <v>247.67307692307691</v>
      </c>
      <c r="M37" s="143">
        <f t="shared" si="5"/>
        <v>1073.25</v>
      </c>
      <c r="N37" s="143">
        <f t="shared" si="6"/>
        <v>429.3</v>
      </c>
      <c r="O37" s="151">
        <f t="shared" si="7"/>
        <v>1502.55</v>
      </c>
      <c r="Q37"/>
      <c r="R37"/>
      <c r="S37"/>
      <c r="T37"/>
      <c r="V37">
        <v>1090</v>
      </c>
      <c r="W37" s="118">
        <v>1090</v>
      </c>
      <c r="X37" s="118" t="s">
        <v>152</v>
      </c>
      <c r="Y37" s="123">
        <v>1044</v>
      </c>
      <c r="Z37" s="123">
        <v>887</v>
      </c>
      <c r="AA37" s="123">
        <v>1069</v>
      </c>
      <c r="AB37" s="123">
        <v>988</v>
      </c>
      <c r="AF37">
        <v>11611.082014362944</v>
      </c>
      <c r="AG37">
        <f>+(H37-AF37)/AF37</f>
        <v>0.41029745942131268</v>
      </c>
      <c r="AK37" s="85">
        <v>100522277</v>
      </c>
      <c r="AL37" s="24">
        <v>12962.273708363024</v>
      </c>
    </row>
    <row r="38" spans="1:38" x14ac:dyDescent="0.35">
      <c r="A38" s="27">
        <v>100518151</v>
      </c>
      <c r="B38" s="28" t="s">
        <v>44</v>
      </c>
      <c r="C38" s="21">
        <v>7790360974990</v>
      </c>
      <c r="D38" s="22">
        <v>8.6999999999999993</v>
      </c>
      <c r="E38" s="23">
        <v>10</v>
      </c>
      <c r="F38" s="40">
        <v>72892.898146018983</v>
      </c>
      <c r="G38" s="23"/>
      <c r="H38" s="40">
        <f t="shared" si="0"/>
        <v>72892.898146018983</v>
      </c>
      <c r="I38" s="24">
        <f t="shared" si="1"/>
        <v>7289.2898146018979</v>
      </c>
      <c r="J38" s="24">
        <f>+I38*J$3</f>
        <v>1530.7508610663986</v>
      </c>
      <c r="K38" s="24">
        <f>+I38+J38</f>
        <v>8820.0406756682969</v>
      </c>
      <c r="L38" s="24">
        <f>+K38*0.3</f>
        <v>2646.0122027004891</v>
      </c>
      <c r="M38" s="24">
        <f>+K38+L38</f>
        <v>11466.052878368786</v>
      </c>
      <c r="N38" s="24">
        <f>+M38*N$3</f>
        <v>4586.4211513475148</v>
      </c>
      <c r="O38" s="25">
        <f>+M38+N38</f>
        <v>16052.474029716301</v>
      </c>
      <c r="P38" s="82"/>
      <c r="Q38"/>
      <c r="R38"/>
      <c r="S38"/>
      <c r="T38"/>
      <c r="U38"/>
      <c r="W38">
        <f>+W37*24</f>
        <v>26160</v>
      </c>
      <c r="AF38">
        <v>53610.885427758694</v>
      </c>
      <c r="AG38">
        <f>+(H38-AF38)/AF38</f>
        <v>0.35966600000000054</v>
      </c>
      <c r="AK38" s="85">
        <v>100522333</v>
      </c>
      <c r="AL38" s="24">
        <v>12962.273708363024</v>
      </c>
    </row>
    <row r="39" spans="1:38" x14ac:dyDescent="0.35">
      <c r="A39" s="32"/>
      <c r="B39" s="33"/>
      <c r="C39" s="34"/>
      <c r="D39" s="33"/>
      <c r="E39" s="35"/>
      <c r="F39" s="36" t="e">
        <v>#N/A</v>
      </c>
      <c r="G39" s="35"/>
      <c r="H39" s="36" t="e">
        <f t="shared" si="0"/>
        <v>#N/A</v>
      </c>
      <c r="I39" s="37" t="e">
        <f t="shared" si="1"/>
        <v>#N/A</v>
      </c>
      <c r="J39" s="38">
        <v>0.21</v>
      </c>
      <c r="K39" s="37"/>
      <c r="L39" s="17">
        <v>0.22</v>
      </c>
      <c r="M39" s="16"/>
      <c r="N39" s="17">
        <v>0.35</v>
      </c>
      <c r="O39" s="39"/>
      <c r="P39"/>
      <c r="Q39"/>
      <c r="R39"/>
      <c r="S39"/>
      <c r="T39"/>
      <c r="U39"/>
      <c r="W39" s="118">
        <f>+W38/1.21/1.33/1.4</f>
        <v>11611.082014362944</v>
      </c>
      <c r="X39">
        <f>+W32*12</f>
        <v>40800</v>
      </c>
      <c r="AF39" t="e">
        <v>#N/A</v>
      </c>
      <c r="AG39" t="e">
        <f>+(H39-AF39)/AF39</f>
        <v>#N/A</v>
      </c>
      <c r="AK39" s="27">
        <v>100021045</v>
      </c>
      <c r="AL39" s="24">
        <v>12962.273708363022</v>
      </c>
    </row>
    <row r="40" spans="1:38" ht="16" x14ac:dyDescent="0.4">
      <c r="A40" s="83">
        <v>100021000</v>
      </c>
      <c r="B40" s="97" t="s">
        <v>45</v>
      </c>
      <c r="C40" s="98">
        <v>7790360720382</v>
      </c>
      <c r="D40" s="99">
        <v>2.16</v>
      </c>
      <c r="E40" s="100">
        <v>24</v>
      </c>
      <c r="F40" s="84">
        <v>13610.387393781175</v>
      </c>
      <c r="G40" s="102"/>
      <c r="H40" s="84">
        <f t="shared" si="0"/>
        <v>13610.387393781175</v>
      </c>
      <c r="I40" s="84">
        <f t="shared" si="1"/>
        <v>567.09947474088233</v>
      </c>
      <c r="J40" s="84">
        <f t="shared" si="2"/>
        <v>119.09088969558529</v>
      </c>
      <c r="K40" s="84">
        <f t="shared" si="3"/>
        <v>686.19036443646758</v>
      </c>
      <c r="L40" s="84">
        <f>+K40*L$39</f>
        <v>150.96188017602287</v>
      </c>
      <c r="M40" s="84">
        <f t="shared" si="5"/>
        <v>837.15224461249045</v>
      </c>
      <c r="N40" s="84">
        <f>+M40*N$39</f>
        <v>293.00328561437163</v>
      </c>
      <c r="O40" s="101">
        <f t="shared" si="7"/>
        <v>1130.1555302268621</v>
      </c>
      <c r="P40" s="181"/>
      <c r="W40" s="82">
        <f>+F37-W39</f>
        <v>4763.9974516256134</v>
      </c>
      <c r="X40">
        <f>+X39/1.21/1.33/1.4</f>
        <v>18109.026994877986</v>
      </c>
      <c r="AF40">
        <v>10353.088375875002</v>
      </c>
      <c r="AG40">
        <f>+(H40-AF40)/AF40</f>
        <v>0.31462100000000032</v>
      </c>
      <c r="AK40" s="27">
        <v>100021004</v>
      </c>
      <c r="AL40" s="24">
        <v>12962.273708363022</v>
      </c>
    </row>
    <row r="41" spans="1:38" ht="16" x14ac:dyDescent="0.4">
      <c r="A41" s="83">
        <v>100021001</v>
      </c>
      <c r="B41" s="97" t="s">
        <v>46</v>
      </c>
      <c r="C41" s="98">
        <v>7790360720115</v>
      </c>
      <c r="D41" s="99">
        <v>2.16</v>
      </c>
      <c r="E41" s="100">
        <v>24</v>
      </c>
      <c r="F41" s="84">
        <v>13610.387393781175</v>
      </c>
      <c r="G41" s="102"/>
      <c r="H41" s="84">
        <f t="shared" si="0"/>
        <v>13610.387393781175</v>
      </c>
      <c r="I41" s="84">
        <f t="shared" si="1"/>
        <v>567.09947474088233</v>
      </c>
      <c r="J41" s="84">
        <f t="shared" si="2"/>
        <v>119.09088969558529</v>
      </c>
      <c r="K41" s="84">
        <f t="shared" si="3"/>
        <v>686.19036443646758</v>
      </c>
      <c r="L41" s="84">
        <f t="shared" ref="L41:L52" si="25">+K41*L$39</f>
        <v>150.96188017602287</v>
      </c>
      <c r="M41" s="84">
        <f t="shared" si="5"/>
        <v>837.15224461249045</v>
      </c>
      <c r="N41" s="84">
        <f t="shared" ref="N41:N56" si="26">+M41*N$39</f>
        <v>293.00328561437163</v>
      </c>
      <c r="O41" s="101">
        <f t="shared" si="7"/>
        <v>1130.1555302268621</v>
      </c>
      <c r="P41" s="181"/>
      <c r="W41">
        <f>+W40/F37</f>
        <v>0.29092973023554197</v>
      </c>
      <c r="X41" s="82" t="e">
        <f>+F32-X40</f>
        <v>#N/A</v>
      </c>
      <c r="AF41">
        <v>10353.088375875002</v>
      </c>
      <c r="AG41">
        <f>+(H41-AF41)/AF41</f>
        <v>0.31462100000000032</v>
      </c>
      <c r="AK41" s="27">
        <v>100021006</v>
      </c>
      <c r="AL41" s="24">
        <v>12962.273708363022</v>
      </c>
    </row>
    <row r="42" spans="1:38" ht="16" x14ac:dyDescent="0.4">
      <c r="A42" s="211">
        <v>100522277</v>
      </c>
      <c r="B42" s="97" t="s">
        <v>146</v>
      </c>
      <c r="C42" s="98"/>
      <c r="D42" s="99">
        <v>2.16</v>
      </c>
      <c r="E42" s="100">
        <v>24</v>
      </c>
      <c r="F42" s="84">
        <v>13610.387393781175</v>
      </c>
      <c r="G42" s="102"/>
      <c r="H42" s="84">
        <f t="shared" ref="H42:H43" si="27">+F42*(1-G42)</f>
        <v>13610.387393781175</v>
      </c>
      <c r="I42" s="84">
        <f t="shared" ref="I42:I43" si="28">+H42/E42</f>
        <v>567.09947474088233</v>
      </c>
      <c r="J42" s="84">
        <f t="shared" ref="J42:J43" si="29">+I42*J$3</f>
        <v>119.09088969558529</v>
      </c>
      <c r="K42" s="84">
        <f t="shared" ref="K42:K43" si="30">+I42+J42</f>
        <v>686.19036443646758</v>
      </c>
      <c r="L42" s="84">
        <f t="shared" ref="L42:L43" si="31">+K42*L$39</f>
        <v>150.96188017602287</v>
      </c>
      <c r="M42" s="84">
        <f t="shared" ref="M42:M43" si="32">+K42+L42</f>
        <v>837.15224461249045</v>
      </c>
      <c r="N42" s="84">
        <f t="shared" ref="N42:N43" si="33">+M42*N$39</f>
        <v>293.00328561437163</v>
      </c>
      <c r="O42" s="101">
        <f t="shared" ref="O42:O43" si="34">+M42+N42</f>
        <v>1130.1555302268621</v>
      </c>
      <c r="P42" s="181"/>
      <c r="X42" s="82"/>
      <c r="AK42" s="27">
        <v>100021007</v>
      </c>
      <c r="AL42" s="24">
        <v>15499.254843517137</v>
      </c>
    </row>
    <row r="43" spans="1:38" x14ac:dyDescent="0.35">
      <c r="A43" s="211">
        <v>100522333</v>
      </c>
      <c r="B43" s="97" t="s">
        <v>147</v>
      </c>
      <c r="C43" s="98"/>
      <c r="D43" s="99">
        <v>2.16</v>
      </c>
      <c r="E43" s="100">
        <v>24</v>
      </c>
      <c r="F43" s="84">
        <v>13610.387393781175</v>
      </c>
      <c r="G43" s="102"/>
      <c r="H43" s="84">
        <f t="shared" si="27"/>
        <v>13610.387393781175</v>
      </c>
      <c r="I43" s="84">
        <f t="shared" si="28"/>
        <v>567.09947474088233</v>
      </c>
      <c r="J43" s="84">
        <f t="shared" si="29"/>
        <v>119.09088969558529</v>
      </c>
      <c r="K43" s="84">
        <f t="shared" si="30"/>
        <v>686.19036443646758</v>
      </c>
      <c r="L43" s="84">
        <f t="shared" si="31"/>
        <v>150.96188017602287</v>
      </c>
      <c r="M43" s="84">
        <f t="shared" si="32"/>
        <v>837.15224461249045</v>
      </c>
      <c r="N43" s="84">
        <f t="shared" si="33"/>
        <v>293.00328561437163</v>
      </c>
      <c r="O43" s="101">
        <f t="shared" si="34"/>
        <v>1130.1555302268621</v>
      </c>
      <c r="X43" s="82"/>
      <c r="AK43" s="27">
        <v>100021013</v>
      </c>
      <c r="AL43" s="24">
        <v>15499.254843517137</v>
      </c>
    </row>
    <row r="44" spans="1:38" x14ac:dyDescent="0.35">
      <c r="A44" s="83">
        <v>100021045</v>
      </c>
      <c r="B44" s="97" t="s">
        <v>47</v>
      </c>
      <c r="C44" s="98">
        <v>7790360966582</v>
      </c>
      <c r="D44" s="99">
        <v>2.16</v>
      </c>
      <c r="E44" s="100">
        <v>24</v>
      </c>
      <c r="F44" s="84">
        <v>13610.387393781173</v>
      </c>
      <c r="G44" s="102"/>
      <c r="H44" s="84">
        <f t="shared" si="0"/>
        <v>13610.387393781173</v>
      </c>
      <c r="I44" s="84">
        <f t="shared" si="1"/>
        <v>567.09947474088221</v>
      </c>
      <c r="J44" s="84">
        <f t="shared" si="2"/>
        <v>119.09088969558526</v>
      </c>
      <c r="K44" s="84">
        <f t="shared" si="3"/>
        <v>686.19036443646746</v>
      </c>
      <c r="L44" s="84">
        <f t="shared" si="25"/>
        <v>150.96188017602285</v>
      </c>
      <c r="M44" s="84">
        <f t="shared" si="5"/>
        <v>837.15224461249034</v>
      </c>
      <c r="N44" s="84">
        <f t="shared" si="26"/>
        <v>293.00328561437158</v>
      </c>
      <c r="O44" s="101">
        <f t="shared" si="7"/>
        <v>1130.1555302268619</v>
      </c>
      <c r="X44" t="e">
        <f>+X41/F32</f>
        <v>#N/A</v>
      </c>
      <c r="AF44">
        <v>10088.4</v>
      </c>
      <c r="AG44">
        <f>+(H44-AF44)/AF44</f>
        <v>0.34911258413436952</v>
      </c>
      <c r="AK44" s="27">
        <v>100021014</v>
      </c>
      <c r="AL44" s="24">
        <v>15499.254843517137</v>
      </c>
    </row>
    <row r="45" spans="1:38" x14ac:dyDescent="0.35">
      <c r="A45" s="83">
        <v>100021004</v>
      </c>
      <c r="B45" s="97" t="s">
        <v>48</v>
      </c>
      <c r="C45" s="98">
        <v>7790360964526</v>
      </c>
      <c r="D45" s="99">
        <v>2.1120000000000001</v>
      </c>
      <c r="E45" s="100">
        <v>24</v>
      </c>
      <c r="F45" s="84">
        <v>13610.387393781173</v>
      </c>
      <c r="G45" s="102"/>
      <c r="H45" s="84">
        <f t="shared" si="0"/>
        <v>13610.387393781173</v>
      </c>
      <c r="I45" s="84">
        <f t="shared" si="1"/>
        <v>567.09947474088221</v>
      </c>
      <c r="J45" s="84">
        <f t="shared" si="2"/>
        <v>119.09088969558526</v>
      </c>
      <c r="K45" s="84">
        <f t="shared" si="3"/>
        <v>686.19036443646746</v>
      </c>
      <c r="L45" s="84">
        <f t="shared" si="25"/>
        <v>150.96188017602285</v>
      </c>
      <c r="M45" s="84">
        <f t="shared" si="5"/>
        <v>837.15224461249034</v>
      </c>
      <c r="N45" s="84">
        <f t="shared" si="26"/>
        <v>293.00328561437158</v>
      </c>
      <c r="O45" s="101">
        <f t="shared" si="7"/>
        <v>1130.1555302268619</v>
      </c>
      <c r="AF45">
        <v>10088.4</v>
      </c>
      <c r="AG45">
        <f>+(H45-AF45)/AF45</f>
        <v>0.34911258413436952</v>
      </c>
      <c r="AK45" s="27">
        <v>100021054</v>
      </c>
      <c r="AL45" s="24">
        <v>15499.254843517137</v>
      </c>
    </row>
    <row r="46" spans="1:38" x14ac:dyDescent="0.35">
      <c r="A46" s="83">
        <v>100021006</v>
      </c>
      <c r="B46" s="97" t="s">
        <v>49</v>
      </c>
      <c r="C46" s="98">
        <v>7790360964557</v>
      </c>
      <c r="D46" s="99">
        <v>2.1120000000000001</v>
      </c>
      <c r="E46" s="100">
        <v>24</v>
      </c>
      <c r="F46" s="84">
        <v>13610.387393781173</v>
      </c>
      <c r="G46" s="102"/>
      <c r="H46" s="84">
        <f t="shared" si="0"/>
        <v>13610.387393781173</v>
      </c>
      <c r="I46" s="84">
        <f t="shared" si="1"/>
        <v>567.09947474088221</v>
      </c>
      <c r="J46" s="84">
        <f t="shared" si="2"/>
        <v>119.09088969558526</v>
      </c>
      <c r="K46" s="84">
        <f t="shared" si="3"/>
        <v>686.19036443646746</v>
      </c>
      <c r="L46" s="84">
        <f t="shared" si="25"/>
        <v>150.96188017602285</v>
      </c>
      <c r="M46" s="84">
        <f t="shared" si="5"/>
        <v>837.15224461249034</v>
      </c>
      <c r="N46" s="84">
        <f t="shared" si="26"/>
        <v>293.00328561437158</v>
      </c>
      <c r="O46" s="101">
        <f t="shared" si="7"/>
        <v>1130.1555302268619</v>
      </c>
      <c r="AF46">
        <v>10088.4</v>
      </c>
      <c r="AG46">
        <f>+(H46-AF46)/AF46</f>
        <v>0.34911258413436952</v>
      </c>
      <c r="AK46" s="27">
        <v>100021055</v>
      </c>
      <c r="AL46" s="24">
        <v>15499.254843517137</v>
      </c>
    </row>
    <row r="47" spans="1:38" x14ac:dyDescent="0.35">
      <c r="A47" s="83">
        <v>100021007</v>
      </c>
      <c r="B47" s="97" t="s">
        <v>50</v>
      </c>
      <c r="C47" s="98">
        <v>7790360964540</v>
      </c>
      <c r="D47" s="99">
        <v>2.04</v>
      </c>
      <c r="E47" s="100">
        <v>24</v>
      </c>
      <c r="F47" s="84">
        <v>16274.217585692995</v>
      </c>
      <c r="G47" s="102"/>
      <c r="H47" s="84">
        <f t="shared" si="0"/>
        <v>16274.217585692995</v>
      </c>
      <c r="I47" s="84">
        <f t="shared" si="1"/>
        <v>678.09239940387477</v>
      </c>
      <c r="J47" s="84">
        <f t="shared" si="2"/>
        <v>142.39940387481369</v>
      </c>
      <c r="K47" s="84">
        <f t="shared" si="3"/>
        <v>820.49180327868839</v>
      </c>
      <c r="L47" s="84">
        <f t="shared" si="25"/>
        <v>180.50819672131144</v>
      </c>
      <c r="M47" s="84">
        <f t="shared" si="5"/>
        <v>1000.9999999999998</v>
      </c>
      <c r="N47" s="84">
        <f t="shared" si="26"/>
        <v>350.34999999999991</v>
      </c>
      <c r="O47" s="101">
        <f t="shared" si="7"/>
        <v>1351.3499999999997</v>
      </c>
      <c r="AF47">
        <v>11917.5</v>
      </c>
      <c r="AG47">
        <f>+(H47-AF47)/AF47</f>
        <v>0.36557311396626768</v>
      </c>
      <c r="AK47" s="27">
        <v>100021015</v>
      </c>
      <c r="AL47" s="24">
        <v>15499.254843517137</v>
      </c>
    </row>
    <row r="48" spans="1:38" x14ac:dyDescent="0.35">
      <c r="A48" s="83">
        <v>100021013</v>
      </c>
      <c r="B48" s="97" t="s">
        <v>51</v>
      </c>
      <c r="C48" s="98">
        <v>7790360965714</v>
      </c>
      <c r="D48" s="99">
        <v>2.04</v>
      </c>
      <c r="E48" s="100">
        <v>24</v>
      </c>
      <c r="F48" s="84">
        <v>16274.217585692995</v>
      </c>
      <c r="G48" s="102"/>
      <c r="H48" s="84">
        <f t="shared" si="0"/>
        <v>16274.217585692995</v>
      </c>
      <c r="I48" s="84">
        <f t="shared" si="1"/>
        <v>678.09239940387477</v>
      </c>
      <c r="J48" s="84">
        <f t="shared" si="2"/>
        <v>142.39940387481369</v>
      </c>
      <c r="K48" s="84">
        <f t="shared" si="3"/>
        <v>820.49180327868839</v>
      </c>
      <c r="L48" s="84">
        <f t="shared" si="25"/>
        <v>180.50819672131144</v>
      </c>
      <c r="M48" s="84">
        <f t="shared" si="5"/>
        <v>1000.9999999999998</v>
      </c>
      <c r="N48" s="84">
        <f t="shared" si="26"/>
        <v>350.34999999999991</v>
      </c>
      <c r="O48" s="101">
        <f t="shared" si="7"/>
        <v>1351.3499999999997</v>
      </c>
      <c r="W48">
        <v>7200</v>
      </c>
      <c r="AF48">
        <v>11917.5</v>
      </c>
      <c r="AG48">
        <f>+(H48-AF48)/AF48</f>
        <v>0.36557311396626768</v>
      </c>
      <c r="AK48" s="27">
        <v>100021008</v>
      </c>
      <c r="AL48" s="24">
        <v>10971.006927240942</v>
      </c>
    </row>
    <row r="49" spans="1:38" x14ac:dyDescent="0.35">
      <c r="A49" s="83">
        <v>100021014</v>
      </c>
      <c r="B49" s="97" t="s">
        <v>52</v>
      </c>
      <c r="C49" s="98">
        <v>7790360965721</v>
      </c>
      <c r="D49" s="99">
        <v>2.04</v>
      </c>
      <c r="E49" s="100">
        <v>24</v>
      </c>
      <c r="F49" s="84">
        <v>16274.217585692995</v>
      </c>
      <c r="G49" s="102"/>
      <c r="H49" s="84">
        <f t="shared" si="0"/>
        <v>16274.217585692995</v>
      </c>
      <c r="I49" s="84">
        <f t="shared" si="1"/>
        <v>678.09239940387477</v>
      </c>
      <c r="J49" s="84">
        <f t="shared" si="2"/>
        <v>142.39940387481369</v>
      </c>
      <c r="K49" s="84">
        <f t="shared" si="3"/>
        <v>820.49180327868839</v>
      </c>
      <c r="L49" s="84">
        <f t="shared" si="25"/>
        <v>180.50819672131144</v>
      </c>
      <c r="M49" s="84">
        <f t="shared" si="5"/>
        <v>1000.9999999999998</v>
      </c>
      <c r="N49" s="84">
        <f t="shared" si="26"/>
        <v>350.34999999999991</v>
      </c>
      <c r="O49" s="101">
        <f t="shared" si="7"/>
        <v>1351.3499999999997</v>
      </c>
      <c r="W49">
        <f>+W48*0.97</f>
        <v>6984</v>
      </c>
      <c r="AF49">
        <v>11917.5</v>
      </c>
      <c r="AG49">
        <f>+(H49-AF49)/AF49</f>
        <v>0.36557311396626768</v>
      </c>
      <c r="AK49" s="27">
        <v>100021009</v>
      </c>
      <c r="AL49" s="24">
        <v>10971.006927240942</v>
      </c>
    </row>
    <row r="50" spans="1:38" x14ac:dyDescent="0.35">
      <c r="A50" s="83">
        <v>100021054</v>
      </c>
      <c r="B50" s="97" t="s">
        <v>53</v>
      </c>
      <c r="C50" s="98">
        <v>7790360965707</v>
      </c>
      <c r="D50" s="99">
        <v>2.04</v>
      </c>
      <c r="E50" s="100">
        <v>24</v>
      </c>
      <c r="F50" s="84">
        <v>16274.217585692995</v>
      </c>
      <c r="G50" s="102"/>
      <c r="H50" s="84">
        <f t="shared" si="0"/>
        <v>16274.217585692995</v>
      </c>
      <c r="I50" s="84">
        <f t="shared" si="1"/>
        <v>678.09239940387477</v>
      </c>
      <c r="J50" s="84">
        <f t="shared" si="2"/>
        <v>142.39940387481369</v>
      </c>
      <c r="K50" s="84">
        <f t="shared" si="3"/>
        <v>820.49180327868839</v>
      </c>
      <c r="L50" s="84">
        <f t="shared" si="25"/>
        <v>180.50819672131144</v>
      </c>
      <c r="M50" s="84">
        <f t="shared" si="5"/>
        <v>1000.9999999999998</v>
      </c>
      <c r="N50" s="84">
        <f t="shared" si="26"/>
        <v>350.34999999999991</v>
      </c>
      <c r="O50" s="101">
        <f t="shared" si="7"/>
        <v>1351.3499999999997</v>
      </c>
      <c r="AF50">
        <v>11917.5</v>
      </c>
      <c r="AG50">
        <f>+(H50-AF50)/AF50</f>
        <v>0.36557311396626768</v>
      </c>
      <c r="AK50" s="27">
        <v>100021010</v>
      </c>
      <c r="AL50" s="24">
        <v>10971.006927240942</v>
      </c>
    </row>
    <row r="51" spans="1:38" x14ac:dyDescent="0.35">
      <c r="A51" s="83">
        <v>100021055</v>
      </c>
      <c r="B51" s="97" t="s">
        <v>54</v>
      </c>
      <c r="C51" s="98">
        <v>7790360965189</v>
      </c>
      <c r="D51" s="99">
        <v>2.04</v>
      </c>
      <c r="E51" s="100">
        <v>24</v>
      </c>
      <c r="F51" s="84">
        <v>16274.217585692995</v>
      </c>
      <c r="G51" s="102"/>
      <c r="H51" s="84">
        <f t="shared" si="0"/>
        <v>16274.217585692995</v>
      </c>
      <c r="I51" s="84">
        <f t="shared" si="1"/>
        <v>678.09239940387477</v>
      </c>
      <c r="J51" s="84">
        <f t="shared" si="2"/>
        <v>142.39940387481369</v>
      </c>
      <c r="K51" s="84">
        <f t="shared" si="3"/>
        <v>820.49180327868839</v>
      </c>
      <c r="L51" s="84">
        <f t="shared" si="25"/>
        <v>180.50819672131144</v>
      </c>
      <c r="M51" s="84">
        <f t="shared" si="5"/>
        <v>1000.9999999999998</v>
      </c>
      <c r="N51" s="84">
        <f t="shared" si="26"/>
        <v>350.34999999999991</v>
      </c>
      <c r="O51" s="101">
        <f t="shared" si="7"/>
        <v>1351.3499999999997</v>
      </c>
      <c r="AF51">
        <v>11917.5</v>
      </c>
      <c r="AG51">
        <f>+(H51-AF51)/AF51</f>
        <v>0.36557311396626768</v>
      </c>
      <c r="AK51" s="27">
        <v>100021011</v>
      </c>
      <c r="AL51" s="24">
        <v>10971.006927240942</v>
      </c>
    </row>
    <row r="52" spans="1:38" x14ac:dyDescent="0.35">
      <c r="A52" s="83">
        <v>100021015</v>
      </c>
      <c r="B52" s="97" t="s">
        <v>55</v>
      </c>
      <c r="C52" s="98">
        <v>7790360965202</v>
      </c>
      <c r="D52" s="99">
        <v>2.04</v>
      </c>
      <c r="E52" s="100">
        <v>24</v>
      </c>
      <c r="F52" s="84">
        <v>16274.217585692995</v>
      </c>
      <c r="G52" s="102"/>
      <c r="H52" s="84">
        <f t="shared" si="0"/>
        <v>16274.217585692995</v>
      </c>
      <c r="I52" s="84">
        <f t="shared" si="1"/>
        <v>678.09239940387477</v>
      </c>
      <c r="J52" s="84">
        <f t="shared" si="2"/>
        <v>142.39940387481369</v>
      </c>
      <c r="K52" s="84">
        <f t="shared" si="3"/>
        <v>820.49180327868839</v>
      </c>
      <c r="L52" s="84">
        <f t="shared" si="25"/>
        <v>180.50819672131144</v>
      </c>
      <c r="M52" s="84">
        <f t="shared" si="5"/>
        <v>1000.9999999999998</v>
      </c>
      <c r="N52" s="84">
        <f t="shared" si="26"/>
        <v>350.34999999999991</v>
      </c>
      <c r="O52" s="101">
        <f t="shared" si="7"/>
        <v>1351.3499999999997</v>
      </c>
      <c r="AF52">
        <v>11917.5</v>
      </c>
      <c r="AG52">
        <f>+(H52-AF52)/AF52</f>
        <v>0.36557311396626768</v>
      </c>
      <c r="AK52" s="32"/>
      <c r="AL52" s="36"/>
    </row>
    <row r="53" spans="1:38" x14ac:dyDescent="0.35">
      <c r="A53" s="83">
        <v>100021008</v>
      </c>
      <c r="B53" s="97" t="s">
        <v>56</v>
      </c>
      <c r="C53" s="98">
        <v>7790360720122</v>
      </c>
      <c r="D53" s="99">
        <v>2.16</v>
      </c>
      <c r="E53" s="100">
        <v>24</v>
      </c>
      <c r="F53" s="84">
        <v>10971.006927240942</v>
      </c>
      <c r="G53" s="102"/>
      <c r="H53" s="84">
        <f t="shared" si="0"/>
        <v>10971.006927240942</v>
      </c>
      <c r="I53" s="84">
        <f t="shared" si="1"/>
        <v>457.12528863503923</v>
      </c>
      <c r="J53" s="84">
        <f t="shared" si="2"/>
        <v>95.996310613358233</v>
      </c>
      <c r="K53" s="84">
        <f t="shared" si="3"/>
        <v>553.1215992483975</v>
      </c>
      <c r="L53" s="84">
        <f>+K53*0.2</f>
        <v>110.62431984967951</v>
      </c>
      <c r="M53" s="84">
        <f t="shared" si="5"/>
        <v>663.74591909807702</v>
      </c>
      <c r="N53" s="84">
        <f t="shared" si="26"/>
        <v>232.31107168432695</v>
      </c>
      <c r="O53" s="101">
        <f t="shared" si="7"/>
        <v>896.056990782404</v>
      </c>
      <c r="W53">
        <v>537</v>
      </c>
      <c r="X53" t="s">
        <v>99</v>
      </c>
      <c r="AF53">
        <v>9046.387901250002</v>
      </c>
      <c r="AG53">
        <f>+(H53-AF53)/AF53</f>
        <v>0.21275000000000022</v>
      </c>
      <c r="AK53" s="27">
        <v>100516217</v>
      </c>
      <c r="AL53" s="24">
        <v>26348.054908032984</v>
      </c>
    </row>
    <row r="54" spans="1:38" x14ac:dyDescent="0.35">
      <c r="A54" s="83">
        <v>100021009</v>
      </c>
      <c r="B54" s="97" t="s">
        <v>57</v>
      </c>
      <c r="C54" s="98">
        <v>7790360965127</v>
      </c>
      <c r="D54" s="99">
        <v>2.16</v>
      </c>
      <c r="E54" s="100">
        <v>24</v>
      </c>
      <c r="F54" s="84">
        <v>10971.006927240942</v>
      </c>
      <c r="G54" s="102"/>
      <c r="H54" s="84">
        <f t="shared" si="0"/>
        <v>10971.006927240942</v>
      </c>
      <c r="I54" s="84">
        <f t="shared" si="1"/>
        <v>457.12528863503923</v>
      </c>
      <c r="J54" s="84">
        <f t="shared" si="2"/>
        <v>95.996310613358233</v>
      </c>
      <c r="K54" s="84">
        <f t="shared" si="3"/>
        <v>553.1215992483975</v>
      </c>
      <c r="L54" s="84">
        <f>+K54*0.2</f>
        <v>110.62431984967951</v>
      </c>
      <c r="M54" s="84">
        <f t="shared" si="5"/>
        <v>663.74591909807702</v>
      </c>
      <c r="N54" s="84">
        <f t="shared" si="26"/>
        <v>232.31107168432695</v>
      </c>
      <c r="O54" s="101">
        <f t="shared" si="7"/>
        <v>896.056990782404</v>
      </c>
      <c r="W54">
        <v>567</v>
      </c>
      <c r="X54" t="s">
        <v>98</v>
      </c>
      <c r="AF54">
        <v>9046.387901250002</v>
      </c>
      <c r="AG54">
        <f>+(H54-AF54)/AF54</f>
        <v>0.21275000000000022</v>
      </c>
      <c r="AK54" s="27">
        <v>100516214</v>
      </c>
      <c r="AL54" s="24">
        <v>35163.986031039029</v>
      </c>
    </row>
    <row r="55" spans="1:38" x14ac:dyDescent="0.35">
      <c r="A55" s="27">
        <v>100021010</v>
      </c>
      <c r="B55" s="28" t="s">
        <v>58</v>
      </c>
      <c r="C55" s="21">
        <v>7790920008707</v>
      </c>
      <c r="D55" s="22">
        <v>2.16</v>
      </c>
      <c r="E55" s="23">
        <v>24</v>
      </c>
      <c r="F55" s="24">
        <v>10971.006927240942</v>
      </c>
      <c r="G55" s="23"/>
      <c r="H55" s="24">
        <f t="shared" si="0"/>
        <v>10971.006927240942</v>
      </c>
      <c r="I55" s="24">
        <f t="shared" si="1"/>
        <v>457.12528863503923</v>
      </c>
      <c r="J55" s="24">
        <f t="shared" si="2"/>
        <v>95.996310613358233</v>
      </c>
      <c r="K55" s="24">
        <f t="shared" si="3"/>
        <v>553.1215992483975</v>
      </c>
      <c r="L55" s="24">
        <f>+K55*0.2</f>
        <v>110.62431984967951</v>
      </c>
      <c r="M55" s="24">
        <f t="shared" si="5"/>
        <v>663.74591909807702</v>
      </c>
      <c r="N55" s="24">
        <f t="shared" si="26"/>
        <v>232.31107168432695</v>
      </c>
      <c r="O55" s="25">
        <f t="shared" si="7"/>
        <v>896.056990782404</v>
      </c>
      <c r="AF55">
        <v>9046.387901250002</v>
      </c>
      <c r="AG55">
        <f>+(H55-AF55)/AF55</f>
        <v>0.21275000000000022</v>
      </c>
      <c r="AK55" s="27">
        <v>100516215</v>
      </c>
      <c r="AL55" s="24">
        <v>35163.986031039029</v>
      </c>
    </row>
    <row r="56" spans="1:38" x14ac:dyDescent="0.35">
      <c r="A56" s="27">
        <v>100021011</v>
      </c>
      <c r="B56" s="28" t="s">
        <v>59</v>
      </c>
      <c r="C56" s="21">
        <v>7790920008714</v>
      </c>
      <c r="D56" s="22">
        <v>2.16</v>
      </c>
      <c r="E56" s="23">
        <v>24</v>
      </c>
      <c r="F56" s="24">
        <v>10971.006927240942</v>
      </c>
      <c r="G56" s="23"/>
      <c r="H56" s="24">
        <f t="shared" si="0"/>
        <v>10971.006927240942</v>
      </c>
      <c r="I56" s="24">
        <f t="shared" si="1"/>
        <v>457.12528863503923</v>
      </c>
      <c r="J56" s="24">
        <f t="shared" si="2"/>
        <v>95.996310613358233</v>
      </c>
      <c r="K56" s="24">
        <f t="shared" si="3"/>
        <v>553.1215992483975</v>
      </c>
      <c r="L56" s="24">
        <f>+K56*0.2</f>
        <v>110.62431984967951</v>
      </c>
      <c r="M56" s="24">
        <f t="shared" si="5"/>
        <v>663.74591909807702</v>
      </c>
      <c r="N56" s="24">
        <f t="shared" si="26"/>
        <v>232.31107168432695</v>
      </c>
      <c r="O56" s="25">
        <f t="shared" si="7"/>
        <v>896.056990782404</v>
      </c>
      <c r="AF56">
        <v>9046.387901250002</v>
      </c>
      <c r="AG56">
        <f>+(H56-AF56)/AF56</f>
        <v>0.21275000000000022</v>
      </c>
      <c r="AK56" s="27">
        <v>100516216</v>
      </c>
      <c r="AL56" s="24">
        <v>35163.986031039029</v>
      </c>
    </row>
    <row r="57" spans="1:38" ht="15" thickBot="1" x14ac:dyDescent="0.4">
      <c r="A57" s="32"/>
      <c r="B57" s="33"/>
      <c r="C57" s="34"/>
      <c r="D57" s="33"/>
      <c r="E57" s="35"/>
      <c r="F57" s="36" t="e">
        <v>#N/A</v>
      </c>
      <c r="G57" s="35"/>
      <c r="H57" s="36" t="e">
        <f t="shared" si="0"/>
        <v>#N/A</v>
      </c>
      <c r="I57" s="37" t="e">
        <f t="shared" si="1"/>
        <v>#N/A</v>
      </c>
      <c r="J57" s="38"/>
      <c r="K57" s="37"/>
      <c r="L57" s="17"/>
      <c r="M57" s="16"/>
      <c r="N57" s="17"/>
      <c r="O57" s="39"/>
      <c r="AF57" t="e">
        <v>#N/A</v>
      </c>
      <c r="AG57" t="e">
        <f>+(H57-AF57)/AF57</f>
        <v>#N/A</v>
      </c>
      <c r="AK57" s="32"/>
      <c r="AL57" s="36"/>
    </row>
    <row r="58" spans="1:38" x14ac:dyDescent="0.35">
      <c r="A58" s="83">
        <v>100516217</v>
      </c>
      <c r="B58" s="97" t="s">
        <v>60</v>
      </c>
      <c r="C58" s="98">
        <v>7790360967824</v>
      </c>
      <c r="D58" s="99">
        <v>5.8</v>
      </c>
      <c r="E58" s="100">
        <v>20</v>
      </c>
      <c r="F58" s="84">
        <v>26348.054908032984</v>
      </c>
      <c r="G58" s="96"/>
      <c r="H58" s="84">
        <f t="shared" si="0"/>
        <v>26348.054908032984</v>
      </c>
      <c r="I58" s="84">
        <f t="shared" si="1"/>
        <v>1317.4027454016491</v>
      </c>
      <c r="J58" s="84">
        <f t="shared" si="2"/>
        <v>276.65457653434629</v>
      </c>
      <c r="K58" s="84">
        <f t="shared" si="3"/>
        <v>1594.0573219359953</v>
      </c>
      <c r="L58" s="84">
        <f>+K58*0.33</f>
        <v>526.03891623887853</v>
      </c>
      <c r="M58" s="84">
        <f t="shared" si="5"/>
        <v>2120.0962381748741</v>
      </c>
      <c r="N58" s="84">
        <f t="shared" si="6"/>
        <v>848.03849526994964</v>
      </c>
      <c r="O58" s="101">
        <f t="shared" si="7"/>
        <v>2968.1347334448237</v>
      </c>
      <c r="P58" s="245" t="s">
        <v>197</v>
      </c>
      <c r="X58" s="162" t="s">
        <v>140</v>
      </c>
      <c r="Y58" s="170" t="s">
        <v>133</v>
      </c>
      <c r="Z58" s="170" t="s">
        <v>134</v>
      </c>
      <c r="AA58" s="170" t="s">
        <v>90</v>
      </c>
      <c r="AB58" s="170" t="s">
        <v>135</v>
      </c>
      <c r="AC58" s="170" t="s">
        <v>143</v>
      </c>
      <c r="AD58" s="166" t="s">
        <v>136</v>
      </c>
      <c r="AF58">
        <v>22964.002561205205</v>
      </c>
      <c r="AG58">
        <f>+(H58-AF58)/AF58</f>
        <v>0.14736335</v>
      </c>
      <c r="AK58" s="27">
        <v>100021704</v>
      </c>
      <c r="AL58" s="24">
        <v>32852.08756529948</v>
      </c>
    </row>
    <row r="59" spans="1:38" x14ac:dyDescent="0.35">
      <c r="A59" s="83">
        <v>100516214</v>
      </c>
      <c r="B59" s="97" t="s">
        <v>61</v>
      </c>
      <c r="C59" s="98">
        <v>7790360967794</v>
      </c>
      <c r="D59" s="99">
        <v>7</v>
      </c>
      <c r="E59" s="100">
        <v>20</v>
      </c>
      <c r="F59" s="84">
        <v>36218.9056119702</v>
      </c>
      <c r="G59" s="96"/>
      <c r="H59" s="84">
        <f t="shared" si="0"/>
        <v>36218.9056119702</v>
      </c>
      <c r="I59" s="84">
        <f t="shared" si="1"/>
        <v>1810.94528059851</v>
      </c>
      <c r="J59" s="84">
        <f t="shared" si="2"/>
        <v>380.29850892568709</v>
      </c>
      <c r="K59" s="84">
        <f t="shared" si="3"/>
        <v>2191.2437895241969</v>
      </c>
      <c r="L59" s="84">
        <f t="shared" ref="L59:L61" si="35">+K59*0.33</f>
        <v>723.11045054298506</v>
      </c>
      <c r="M59" s="84">
        <f t="shared" si="5"/>
        <v>2914.3542400671822</v>
      </c>
      <c r="N59" s="84">
        <f t="shared" si="6"/>
        <v>1165.7416960268729</v>
      </c>
      <c r="O59" s="101">
        <f t="shared" si="7"/>
        <v>4080.0959360940551</v>
      </c>
      <c r="P59" s="245" t="s">
        <v>198</v>
      </c>
      <c r="X59" s="157" t="s">
        <v>141</v>
      </c>
      <c r="Y59">
        <v>21725</v>
      </c>
      <c r="Z59" s="160">
        <f>+F69</f>
        <v>30306.703076758833</v>
      </c>
      <c r="AA59" s="169">
        <f>+(Z59-AB59)/Z59</f>
        <v>0.4456671859868736</v>
      </c>
      <c r="AB59" s="160">
        <v>16800</v>
      </c>
      <c r="AC59" s="160" t="s">
        <v>144</v>
      </c>
      <c r="AD59" s="172" t="s">
        <v>137</v>
      </c>
      <c r="AF59">
        <v>31567.075601613211</v>
      </c>
      <c r="AG59">
        <f>+(H59-AF59)/AF59</f>
        <v>0.14736335000000003</v>
      </c>
      <c r="AK59" s="27">
        <v>100021705</v>
      </c>
      <c r="AL59" s="24">
        <v>29873.001250629008</v>
      </c>
    </row>
    <row r="60" spans="1:38" ht="15.5" x14ac:dyDescent="0.35">
      <c r="A60" s="83">
        <v>100516215</v>
      </c>
      <c r="B60" s="97" t="s">
        <v>62</v>
      </c>
      <c r="C60" s="98">
        <v>7790360967800</v>
      </c>
      <c r="D60" s="99">
        <v>7</v>
      </c>
      <c r="E60" s="100">
        <v>20</v>
      </c>
      <c r="F60" s="84">
        <v>36218.9056119702</v>
      </c>
      <c r="G60" s="96"/>
      <c r="H60" s="84">
        <f t="shared" si="0"/>
        <v>36218.9056119702</v>
      </c>
      <c r="I60" s="84">
        <f t="shared" si="1"/>
        <v>1810.94528059851</v>
      </c>
      <c r="J60" s="84">
        <f t="shared" si="2"/>
        <v>380.29850892568709</v>
      </c>
      <c r="K60" s="84">
        <f t="shared" si="3"/>
        <v>2191.2437895241969</v>
      </c>
      <c r="L60" s="84">
        <f t="shared" si="35"/>
        <v>723.11045054298506</v>
      </c>
      <c r="M60" s="84">
        <f t="shared" si="5"/>
        <v>2914.3542400671822</v>
      </c>
      <c r="N60" s="84">
        <f t="shared" si="6"/>
        <v>1165.7416960268729</v>
      </c>
      <c r="O60" s="101">
        <f t="shared" si="7"/>
        <v>4080.0959360940551</v>
      </c>
      <c r="P60" s="245" t="s">
        <v>198</v>
      </c>
      <c r="X60" s="157" t="s">
        <v>141</v>
      </c>
      <c r="Y60" s="159">
        <v>100517679</v>
      </c>
      <c r="Z60" s="155">
        <v>34124.322337114681</v>
      </c>
      <c r="AA60" s="169">
        <f>+(Z60-AB60)/Z60</f>
        <v>0.36983363984311046</v>
      </c>
      <c r="AB60" s="171">
        <v>21504</v>
      </c>
      <c r="AC60" s="160" t="s">
        <v>144</v>
      </c>
      <c r="AD60" s="172" t="s">
        <v>138</v>
      </c>
      <c r="AF60">
        <v>31567.075601613211</v>
      </c>
      <c r="AG60">
        <f>+(H60-AF60)/AF60</f>
        <v>0.14736335000000003</v>
      </c>
      <c r="AK60" s="27">
        <v>100021709</v>
      </c>
      <c r="AL60" s="24">
        <v>56553.218821026654</v>
      </c>
    </row>
    <row r="61" spans="1:38" x14ac:dyDescent="0.35">
      <c r="A61" s="83">
        <v>100516216</v>
      </c>
      <c r="B61" s="97" t="s">
        <v>63</v>
      </c>
      <c r="C61" s="98">
        <v>7790360967817</v>
      </c>
      <c r="D61" s="99">
        <v>7</v>
      </c>
      <c r="E61" s="100">
        <v>20</v>
      </c>
      <c r="F61" s="84">
        <v>36218.9056119702</v>
      </c>
      <c r="G61" s="96"/>
      <c r="H61" s="84">
        <f t="shared" si="0"/>
        <v>36218.9056119702</v>
      </c>
      <c r="I61" s="84">
        <f t="shared" si="1"/>
        <v>1810.94528059851</v>
      </c>
      <c r="J61" s="84">
        <f t="shared" si="2"/>
        <v>380.29850892568709</v>
      </c>
      <c r="K61" s="84">
        <f t="shared" si="3"/>
        <v>2191.2437895241969</v>
      </c>
      <c r="L61" s="84">
        <f t="shared" si="35"/>
        <v>723.11045054298506</v>
      </c>
      <c r="M61" s="84">
        <f t="shared" si="5"/>
        <v>2914.3542400671822</v>
      </c>
      <c r="N61" s="84">
        <f t="shared" si="6"/>
        <v>1165.7416960268729</v>
      </c>
      <c r="O61" s="101">
        <f t="shared" si="7"/>
        <v>4080.0959360940551</v>
      </c>
      <c r="P61" s="245" t="s">
        <v>198</v>
      </c>
      <c r="X61" s="157" t="s">
        <v>142</v>
      </c>
      <c r="Y61">
        <v>21644</v>
      </c>
      <c r="Z61" s="163">
        <v>14418.308963763509</v>
      </c>
      <c r="AA61" s="174">
        <v>3.031E-2</v>
      </c>
      <c r="AB61" s="154">
        <v>13981.290019071837</v>
      </c>
      <c r="AC61" s="168">
        <v>750</v>
      </c>
      <c r="AD61" s="172" t="s">
        <v>137</v>
      </c>
      <c r="AF61">
        <v>31567.075601613211</v>
      </c>
      <c r="AG61">
        <f>+(H61-AF61)/AF61</f>
        <v>0.14736335000000003</v>
      </c>
      <c r="AK61" s="27">
        <v>100521357</v>
      </c>
      <c r="AL61" s="24">
        <v>44177.826000000015</v>
      </c>
    </row>
    <row r="62" spans="1:38" ht="15" thickBot="1" x14ac:dyDescent="0.4">
      <c r="A62" s="32"/>
      <c r="B62" s="33"/>
      <c r="C62" s="34"/>
      <c r="D62" s="33"/>
      <c r="E62" s="35"/>
      <c r="F62" s="36" t="e">
        <v>#N/A</v>
      </c>
      <c r="G62" s="132"/>
      <c r="H62" s="36" t="e">
        <f t="shared" si="0"/>
        <v>#N/A</v>
      </c>
      <c r="I62" s="37" t="e">
        <f t="shared" si="1"/>
        <v>#N/A</v>
      </c>
      <c r="J62" s="38"/>
      <c r="K62" s="37"/>
      <c r="L62" s="17"/>
      <c r="M62" s="16"/>
      <c r="N62" s="17"/>
      <c r="O62" s="39"/>
      <c r="X62" s="173" t="s">
        <v>142</v>
      </c>
      <c r="Y62" s="156">
        <v>21643</v>
      </c>
      <c r="Z62" s="165">
        <v>19573.727707698999</v>
      </c>
      <c r="AA62" s="167">
        <v>7.4359999999999996E-2</v>
      </c>
      <c r="AB62" s="158">
        <v>18118.225315354503</v>
      </c>
      <c r="AC62" s="161">
        <v>950</v>
      </c>
      <c r="AD62" s="164" t="s">
        <v>139</v>
      </c>
      <c r="AF62" t="e">
        <v>#N/A</v>
      </c>
      <c r="AG62" t="e">
        <f>+(H62-AF62)/AF62</f>
        <v>#N/A</v>
      </c>
      <c r="AK62" s="225">
        <v>100521358</v>
      </c>
      <c r="AL62" s="226">
        <v>66266.739000000016</v>
      </c>
    </row>
    <row r="63" spans="1:38" x14ac:dyDescent="0.35">
      <c r="A63" s="27">
        <v>100021704</v>
      </c>
      <c r="B63" s="28" t="s">
        <v>64</v>
      </c>
      <c r="C63" s="21">
        <v>7790360023902</v>
      </c>
      <c r="D63" s="22">
        <f>12*0.38</f>
        <v>4.5600000000000005</v>
      </c>
      <c r="E63" s="23">
        <v>12</v>
      </c>
      <c r="F63" s="24">
        <v>34494.691943564452</v>
      </c>
      <c r="G63" s="133"/>
      <c r="H63" s="24">
        <f t="shared" si="0"/>
        <v>34494.691943564452</v>
      </c>
      <c r="I63" s="24">
        <f t="shared" si="1"/>
        <v>2874.5576619637045</v>
      </c>
      <c r="J63" s="24">
        <f t="shared" si="2"/>
        <v>603.65710901237787</v>
      </c>
      <c r="K63" s="24">
        <f t="shared" si="3"/>
        <v>3478.2147709760825</v>
      </c>
      <c r="L63" s="24">
        <f t="shared" si="18"/>
        <v>1147.8108744221072</v>
      </c>
      <c r="M63" s="24">
        <f t="shared" si="5"/>
        <v>4626.0256453981892</v>
      </c>
      <c r="N63" s="24">
        <f t="shared" si="6"/>
        <v>1850.4102581592758</v>
      </c>
      <c r="O63" s="25">
        <f t="shared" si="7"/>
        <v>6476.4359035574653</v>
      </c>
      <c r="AF63">
        <v>31287.70244314236</v>
      </c>
      <c r="AG63">
        <f>+(H63-AF63)/AF63</f>
        <v>0.10250000000000002</v>
      </c>
      <c r="AK63" s="27">
        <v>100522130</v>
      </c>
      <c r="AL63" s="24">
        <v>36420.08712457501</v>
      </c>
    </row>
    <row r="64" spans="1:38" hidden="1" x14ac:dyDescent="0.35">
      <c r="A64" s="27">
        <v>100021705</v>
      </c>
      <c r="B64" s="28" t="s">
        <v>65</v>
      </c>
      <c r="C64" s="21">
        <v>7790360024336</v>
      </c>
      <c r="D64" s="22">
        <f>12*0.38</f>
        <v>4.5600000000000005</v>
      </c>
      <c r="E64" s="23">
        <v>12</v>
      </c>
      <c r="F64" s="24">
        <v>31366.651313160459</v>
      </c>
      <c r="G64" s="133"/>
      <c r="H64" s="24">
        <f t="shared" si="0"/>
        <v>31366.651313160459</v>
      </c>
      <c r="I64" s="24">
        <f t="shared" si="1"/>
        <v>2613.8876094300381</v>
      </c>
      <c r="J64" s="24">
        <f t="shared" si="2"/>
        <v>548.91639798030803</v>
      </c>
      <c r="K64" s="24">
        <f t="shared" si="3"/>
        <v>3162.804007410346</v>
      </c>
      <c r="L64" s="24">
        <f t="shared" si="18"/>
        <v>1043.7253224454141</v>
      </c>
      <c r="M64" s="24">
        <f t="shared" si="5"/>
        <v>4206.5293298557599</v>
      </c>
      <c r="N64" s="24">
        <f t="shared" si="6"/>
        <v>1682.611731942304</v>
      </c>
      <c r="O64" s="25">
        <f t="shared" si="7"/>
        <v>5889.1410617980637</v>
      </c>
      <c r="AF64">
        <v>28450.477381551435</v>
      </c>
      <c r="AG64">
        <f>+(H64-AF64)/AF64</f>
        <v>0.10250000000000008</v>
      </c>
      <c r="AK64" s="41">
        <v>100021725</v>
      </c>
      <c r="AL64" s="24">
        <v>28863.526739770317</v>
      </c>
    </row>
    <row r="65" spans="1:38" x14ac:dyDescent="0.35">
      <c r="A65" s="27">
        <v>100021709</v>
      </c>
      <c r="B65" s="28" t="s">
        <v>66</v>
      </c>
      <c r="C65" s="21">
        <v>7790360024701</v>
      </c>
      <c r="D65" s="22">
        <v>7.6</v>
      </c>
      <c r="E65" s="23">
        <v>10</v>
      </c>
      <c r="F65" s="24">
        <v>59380.879762077988</v>
      </c>
      <c r="G65" s="134"/>
      <c r="H65" s="24">
        <f t="shared" si="0"/>
        <v>59380.879762077988</v>
      </c>
      <c r="I65" s="24">
        <f t="shared" si="1"/>
        <v>5938.0879762077984</v>
      </c>
      <c r="J65" s="24">
        <f t="shared" si="2"/>
        <v>1246.9984750036376</v>
      </c>
      <c r="K65" s="24">
        <f t="shared" si="3"/>
        <v>7185.0864512114358</v>
      </c>
      <c r="L65" s="24">
        <f t="shared" si="18"/>
        <v>2371.078528899774</v>
      </c>
      <c r="M65" s="24">
        <f t="shared" si="5"/>
        <v>9556.1649801112108</v>
      </c>
      <c r="N65" s="24">
        <f t="shared" si="6"/>
        <v>3822.4659920444847</v>
      </c>
      <c r="O65" s="25">
        <f t="shared" si="7"/>
        <v>13378.630972155695</v>
      </c>
      <c r="AF65">
        <v>44881.711660534769</v>
      </c>
      <c r="AG65">
        <f>+(H65-AF65)/AF65</f>
        <v>0.3230529221168848</v>
      </c>
      <c r="AK65" s="27">
        <v>100517055</v>
      </c>
      <c r="AL65" s="24">
        <v>24684.358945969321</v>
      </c>
    </row>
    <row r="66" spans="1:38" x14ac:dyDescent="0.35">
      <c r="A66" s="83">
        <v>100521357</v>
      </c>
      <c r="B66" s="97" t="s">
        <v>120</v>
      </c>
      <c r="C66" s="98">
        <v>7790360982018</v>
      </c>
      <c r="D66" s="99">
        <v>4.5599999999999996</v>
      </c>
      <c r="E66" s="100">
        <v>12</v>
      </c>
      <c r="F66" s="84">
        <v>46386.717300000018</v>
      </c>
      <c r="G66" s="116">
        <v>0.4</v>
      </c>
      <c r="H66" s="84">
        <f t="shared" si="0"/>
        <v>27832.030380000011</v>
      </c>
      <c r="I66" s="84">
        <f t="shared" si="1"/>
        <v>2319.3358650000009</v>
      </c>
      <c r="J66" s="84">
        <f t="shared" si="2"/>
        <v>487.0605316500002</v>
      </c>
      <c r="K66" s="84">
        <f t="shared" si="3"/>
        <v>2806.396396650001</v>
      </c>
      <c r="L66" s="84">
        <f t="shared" si="18"/>
        <v>926.11081089450033</v>
      </c>
      <c r="M66" s="84">
        <f t="shared" si="5"/>
        <v>3732.5072075445014</v>
      </c>
      <c r="N66" s="84">
        <f t="shared" si="6"/>
        <v>1493.0028830178007</v>
      </c>
      <c r="O66" s="101">
        <f t="shared" si="7"/>
        <v>5225.5100905623021</v>
      </c>
      <c r="P66" s="245" t="s">
        <v>179</v>
      </c>
      <c r="AA66">
        <f>6*60</f>
        <v>360</v>
      </c>
      <c r="AF66">
        <v>42074.12000000001</v>
      </c>
      <c r="AK66" s="27">
        <v>100517186</v>
      </c>
      <c r="AL66" s="24">
        <v>62354.911212129613</v>
      </c>
    </row>
    <row r="67" spans="1:38" x14ac:dyDescent="0.35">
      <c r="A67" s="213">
        <v>100521358</v>
      </c>
      <c r="B67" s="210" t="s">
        <v>127</v>
      </c>
      <c r="C67" s="98">
        <v>7790360982025</v>
      </c>
      <c r="D67" s="99">
        <v>7.6</v>
      </c>
      <c r="E67" s="100">
        <v>10</v>
      </c>
      <c r="F67" s="84" t="e">
        <v>#N/A</v>
      </c>
      <c r="G67" s="116">
        <v>0.4</v>
      </c>
      <c r="H67" s="84" t="e">
        <f t="shared" ref="H67" si="36">+F67*(1-G67)</f>
        <v>#N/A</v>
      </c>
      <c r="I67" s="84" t="e">
        <f t="shared" ref="I67" si="37">+H67/E67</f>
        <v>#N/A</v>
      </c>
      <c r="J67" s="84" t="e">
        <f t="shared" ref="J67" si="38">+I67*J$3</f>
        <v>#N/A</v>
      </c>
      <c r="K67" s="84" t="e">
        <f t="shared" ref="K67" si="39">+I67+J67</f>
        <v>#N/A</v>
      </c>
      <c r="L67" s="84" t="e">
        <f t="shared" ref="L67" si="40">+K67*L$3</f>
        <v>#N/A</v>
      </c>
      <c r="M67" s="84" t="e">
        <f t="shared" ref="M67" si="41">+K67+L67</f>
        <v>#N/A</v>
      </c>
      <c r="N67" s="84" t="e">
        <f t="shared" ref="N67" si="42">+M67*N$3</f>
        <v>#N/A</v>
      </c>
      <c r="O67" s="101" t="e">
        <f t="shared" ref="O67" si="43">+M67+N67</f>
        <v>#N/A</v>
      </c>
      <c r="P67" s="245" t="s">
        <v>178</v>
      </c>
      <c r="V67" t="s">
        <v>132</v>
      </c>
      <c r="W67" t="s">
        <v>149</v>
      </c>
      <c r="X67" t="s">
        <v>128</v>
      </c>
      <c r="Y67" t="s">
        <v>150</v>
      </c>
      <c r="AA67">
        <f>+AA66*6</f>
        <v>2160</v>
      </c>
      <c r="AF67">
        <v>63111.180000000008</v>
      </c>
      <c r="AK67" s="80">
        <v>100521663</v>
      </c>
      <c r="AL67" s="24">
        <v>39946.383076936734</v>
      </c>
    </row>
    <row r="68" spans="1:38" x14ac:dyDescent="0.35">
      <c r="A68" s="83">
        <v>100522130</v>
      </c>
      <c r="B68" s="97" t="s">
        <v>121</v>
      </c>
      <c r="C68" s="98">
        <v>7790360982445</v>
      </c>
      <c r="D68" s="99">
        <v>4.8</v>
      </c>
      <c r="E68" s="100">
        <v>12</v>
      </c>
      <c r="F68" s="84">
        <v>38241.091480803763</v>
      </c>
      <c r="G68" s="116">
        <v>0.35</v>
      </c>
      <c r="H68" s="84">
        <f t="shared" si="0"/>
        <v>24856.709462522445</v>
      </c>
      <c r="I68" s="84">
        <f t="shared" si="1"/>
        <v>2071.3924552102039</v>
      </c>
      <c r="J68" s="84">
        <f t="shared" si="2"/>
        <v>434.99241559414281</v>
      </c>
      <c r="K68" s="84">
        <f t="shared" si="3"/>
        <v>2506.384870804347</v>
      </c>
      <c r="L68" s="84">
        <f t="shared" si="18"/>
        <v>827.10700736543458</v>
      </c>
      <c r="M68" s="84">
        <f t="shared" si="5"/>
        <v>3333.4918781697816</v>
      </c>
      <c r="N68" s="84">
        <f t="shared" si="6"/>
        <v>1333.3967512679128</v>
      </c>
      <c r="O68" s="101">
        <f t="shared" si="7"/>
        <v>4666.8886294376944</v>
      </c>
      <c r="P68" s="245" t="s">
        <v>179</v>
      </c>
      <c r="V68">
        <v>4000</v>
      </c>
      <c r="W68">
        <v>4200</v>
      </c>
      <c r="X68" s="123">
        <v>5344</v>
      </c>
      <c r="Y68" s="123">
        <v>6700</v>
      </c>
      <c r="AF68">
        <v>21304.737641032927</v>
      </c>
      <c r="AG68">
        <f>+(H68-AF68)/AF68</f>
        <v>0.1667221573594232</v>
      </c>
      <c r="AK68" s="41">
        <v>100021728</v>
      </c>
      <c r="AL68" s="24">
        <v>37828.070417268318</v>
      </c>
    </row>
    <row r="69" spans="1:38" x14ac:dyDescent="0.35">
      <c r="A69" s="41">
        <v>100021725</v>
      </c>
      <c r="B69" s="42" t="s">
        <v>67</v>
      </c>
      <c r="C69" s="43">
        <v>7790360027009</v>
      </c>
      <c r="D69" s="44">
        <v>6</v>
      </c>
      <c r="E69" s="45">
        <v>4</v>
      </c>
      <c r="F69" s="46">
        <v>30306.703076758833</v>
      </c>
      <c r="G69" s="135"/>
      <c r="H69" s="46">
        <f t="shared" si="0"/>
        <v>30306.703076758833</v>
      </c>
      <c r="I69" s="46">
        <f t="shared" si="1"/>
        <v>7576.6757691897083</v>
      </c>
      <c r="J69" s="46">
        <f t="shared" si="2"/>
        <v>1591.1019115298386</v>
      </c>
      <c r="K69" s="46">
        <f t="shared" si="3"/>
        <v>9167.7776807195478</v>
      </c>
      <c r="L69" s="46">
        <f t="shared" si="18"/>
        <v>3025.3666346374507</v>
      </c>
      <c r="M69" s="46">
        <f t="shared" si="5"/>
        <v>12193.144315356998</v>
      </c>
      <c r="N69" s="46">
        <f t="shared" si="6"/>
        <v>4877.2577261427996</v>
      </c>
      <c r="O69" s="47">
        <f t="shared" si="7"/>
        <v>17070.402041499798</v>
      </c>
      <c r="P69" s="248"/>
      <c r="AF69">
        <v>27489.07308549554</v>
      </c>
      <c r="AG69">
        <f>+(H69-AF69)/AF69</f>
        <v>0.10250000000000001</v>
      </c>
      <c r="AK69" s="41">
        <v>100517679</v>
      </c>
      <c r="AL69" s="24">
        <v>35830.538453970417</v>
      </c>
    </row>
    <row r="70" spans="1:38" x14ac:dyDescent="0.35">
      <c r="A70" s="27">
        <v>100517055</v>
      </c>
      <c r="B70" s="28" t="s">
        <v>68</v>
      </c>
      <c r="C70" s="21">
        <v>7790360971135</v>
      </c>
      <c r="D70" s="22">
        <v>3.12</v>
      </c>
      <c r="E70" s="23">
        <v>12</v>
      </c>
      <c r="F70" s="24">
        <v>25918.576893267789</v>
      </c>
      <c r="G70" s="133"/>
      <c r="H70" s="24">
        <f t="shared" si="0"/>
        <v>25918.576893267789</v>
      </c>
      <c r="I70" s="24">
        <f t="shared" si="1"/>
        <v>2159.8814077723159</v>
      </c>
      <c r="J70" s="24">
        <f t="shared" si="2"/>
        <v>453.57509563218633</v>
      </c>
      <c r="K70" s="24">
        <f t="shared" si="3"/>
        <v>2613.4565034045022</v>
      </c>
      <c r="L70" s="24">
        <f t="shared" si="18"/>
        <v>862.44064612348575</v>
      </c>
      <c r="M70" s="24">
        <f t="shared" si="5"/>
        <v>3475.8971495279879</v>
      </c>
      <c r="N70" s="24">
        <f t="shared" si="6"/>
        <v>1390.3588598111953</v>
      </c>
      <c r="O70" s="25">
        <f t="shared" si="7"/>
        <v>4866.256009339183</v>
      </c>
      <c r="P70" s="248"/>
      <c r="W70">
        <f>+W68*12</f>
        <v>50400</v>
      </c>
      <c r="AF70">
        <v>23508.913281875542</v>
      </c>
      <c r="AG70">
        <f>+(H70-AF70)/AF70</f>
        <v>0.10250000000000016</v>
      </c>
      <c r="AK70" s="32"/>
      <c r="AL70" s="36"/>
    </row>
    <row r="71" spans="1:38" x14ac:dyDescent="0.35">
      <c r="A71" s="83">
        <v>100517186</v>
      </c>
      <c r="B71" s="97" t="s">
        <v>69</v>
      </c>
      <c r="C71" s="98">
        <v>7790360971395</v>
      </c>
      <c r="D71" s="99">
        <v>8</v>
      </c>
      <c r="E71" s="100">
        <v>8</v>
      </c>
      <c r="F71" s="84">
        <v>65472.656772736096</v>
      </c>
      <c r="G71" s="140">
        <v>0.35</v>
      </c>
      <c r="H71" s="84">
        <f t="shared" si="0"/>
        <v>42557.22690227846</v>
      </c>
      <c r="I71" s="84">
        <f t="shared" si="1"/>
        <v>5319.6533627848075</v>
      </c>
      <c r="J71" s="84">
        <f t="shared" si="2"/>
        <v>1117.1272061848094</v>
      </c>
      <c r="K71" s="84">
        <f t="shared" si="3"/>
        <v>6436.780568969617</v>
      </c>
      <c r="L71" s="84">
        <f t="shared" si="18"/>
        <v>2124.1375877599735</v>
      </c>
      <c r="M71" s="84">
        <f t="shared" si="5"/>
        <v>8560.9181567295909</v>
      </c>
      <c r="N71" s="84">
        <f t="shared" si="6"/>
        <v>3424.3672626918365</v>
      </c>
      <c r="O71" s="101">
        <f t="shared" si="7"/>
        <v>11985.285419421427</v>
      </c>
      <c r="P71" s="245" t="s">
        <v>180</v>
      </c>
      <c r="W71">
        <f>+W70/1.21/1.33/1.4</f>
        <v>22369.974523084569</v>
      </c>
      <c r="AF71">
        <v>59385.629725837724</v>
      </c>
      <c r="AG71">
        <f>+(H71-AF71)/AF71</f>
        <v>-0.28337499999999999</v>
      </c>
      <c r="AK71" s="27">
        <v>100516219</v>
      </c>
      <c r="AL71" s="24">
        <v>16599.454447073913</v>
      </c>
    </row>
    <row r="72" spans="1:38" x14ac:dyDescent="0.35">
      <c r="A72" s="124">
        <v>100521663</v>
      </c>
      <c r="B72" s="125" t="s">
        <v>122</v>
      </c>
      <c r="C72" s="98">
        <v>7790360982537</v>
      </c>
      <c r="D72" s="99">
        <v>4.8</v>
      </c>
      <c r="E72" s="100">
        <v>12</v>
      </c>
      <c r="F72" s="84">
        <v>41943.702230783572</v>
      </c>
      <c r="G72" s="116">
        <v>0.3</v>
      </c>
      <c r="H72" s="84">
        <f t="shared" ref="H72" si="44">+F72*(1-G72)</f>
        <v>29360.591561548499</v>
      </c>
      <c r="I72" s="84">
        <f t="shared" ref="I72" si="45">+H72/E72</f>
        <v>2446.7159634623749</v>
      </c>
      <c r="J72" s="84">
        <f t="shared" ref="J72" si="46">+I72*J$3</f>
        <v>513.81035232709871</v>
      </c>
      <c r="K72" s="84">
        <f t="shared" ref="K72" si="47">+I72+J72</f>
        <v>2960.5263157894738</v>
      </c>
      <c r="L72" s="84">
        <f>+K72*0.33</f>
        <v>976.97368421052636</v>
      </c>
      <c r="M72" s="84">
        <f t="shared" ref="M72" si="48">+K72+L72</f>
        <v>3937.5</v>
      </c>
      <c r="N72" s="84">
        <f t="shared" ref="N72" si="49">+M72*N$3</f>
        <v>1575</v>
      </c>
      <c r="O72" s="101">
        <f t="shared" ref="O72" si="50">+M72+N72</f>
        <v>5512.5</v>
      </c>
      <c r="P72" s="245" t="s">
        <v>179</v>
      </c>
      <c r="W72" s="82">
        <f>+F68-W71</f>
        <v>15871.116957719194</v>
      </c>
      <c r="AF72">
        <v>42746.880000000005</v>
      </c>
      <c r="AK72" s="27">
        <v>100516220</v>
      </c>
      <c r="AL72" s="24">
        <v>17830.838018208367</v>
      </c>
    </row>
    <row r="73" spans="1:38" ht="15" thickBot="1" x14ac:dyDescent="0.4">
      <c r="A73" s="41">
        <v>100021728</v>
      </c>
      <c r="B73" s="42" t="s">
        <v>70</v>
      </c>
      <c r="C73" s="43">
        <v>7790360967558</v>
      </c>
      <c r="D73" s="44">
        <v>3.84</v>
      </c>
      <c r="E73" s="45">
        <v>12</v>
      </c>
      <c r="F73" s="46">
        <v>39719.473938131734</v>
      </c>
      <c r="G73" s="135"/>
      <c r="H73" s="46">
        <f t="shared" si="0"/>
        <v>39719.473938131734</v>
      </c>
      <c r="I73" s="46">
        <f t="shared" si="1"/>
        <v>3309.9561615109778</v>
      </c>
      <c r="J73" s="46">
        <f t="shared" si="2"/>
        <v>695.09079391730529</v>
      </c>
      <c r="K73" s="46">
        <f t="shared" si="3"/>
        <v>4005.0469554282831</v>
      </c>
      <c r="L73" s="46">
        <f t="shared" si="18"/>
        <v>1321.6654952913334</v>
      </c>
      <c r="M73" s="46">
        <f t="shared" si="5"/>
        <v>5326.7124507196168</v>
      </c>
      <c r="N73" s="46">
        <f t="shared" si="6"/>
        <v>2130.6849802878469</v>
      </c>
      <c r="O73" s="47">
        <f t="shared" si="7"/>
        <v>7457.3974310074636</v>
      </c>
      <c r="W73">
        <f>+W72/F68</f>
        <v>0.41502782329542465</v>
      </c>
      <c r="AF73">
        <v>36026.733730731728</v>
      </c>
      <c r="AG73">
        <f>+(H73-AF73)/AF73</f>
        <v>0.10250000000000009</v>
      </c>
      <c r="AK73" s="49"/>
      <c r="AL73" s="53"/>
    </row>
    <row r="74" spans="1:38" x14ac:dyDescent="0.35">
      <c r="A74" s="41">
        <v>100517679</v>
      </c>
      <c r="B74" s="42" t="s">
        <v>71</v>
      </c>
      <c r="C74" s="43">
        <v>7790360973498</v>
      </c>
      <c r="D74" s="44">
        <v>7.68</v>
      </c>
      <c r="E74" s="45">
        <v>8</v>
      </c>
      <c r="F74" s="46">
        <v>37622.065376668943</v>
      </c>
      <c r="G74" s="135"/>
      <c r="H74" s="46">
        <f t="shared" si="0"/>
        <v>37622.065376668943</v>
      </c>
      <c r="I74" s="46">
        <f t="shared" si="1"/>
        <v>4702.7581720836179</v>
      </c>
      <c r="J74" s="46">
        <f t="shared" si="2"/>
        <v>987.57921613755968</v>
      </c>
      <c r="K74" s="46">
        <f t="shared" si="3"/>
        <v>5690.3373882211772</v>
      </c>
      <c r="L74" s="46">
        <f t="shared" si="18"/>
        <v>1877.8113381129886</v>
      </c>
      <c r="M74" s="46">
        <f t="shared" si="5"/>
        <v>7568.148726334166</v>
      </c>
      <c r="N74" s="46">
        <f t="shared" si="6"/>
        <v>3027.2594905336664</v>
      </c>
      <c r="O74" s="47">
        <f t="shared" si="7"/>
        <v>10595.408216867832</v>
      </c>
      <c r="AF74">
        <v>34124.322337114681</v>
      </c>
      <c r="AG74">
        <f>+(H74-AF74)/AF74</f>
        <v>0.10250000000000019</v>
      </c>
      <c r="AK74" s="56">
        <v>100518158</v>
      </c>
      <c r="AL74" s="61">
        <v>72003.355496178468</v>
      </c>
    </row>
    <row r="75" spans="1:38" hidden="1" x14ac:dyDescent="0.35">
      <c r="A75" s="32"/>
      <c r="B75" s="33"/>
      <c r="C75" s="34"/>
      <c r="D75" s="33"/>
      <c r="E75" s="35"/>
      <c r="F75" s="36" t="e">
        <v>#N/A</v>
      </c>
      <c r="G75" s="132"/>
      <c r="H75" s="36" t="e">
        <f t="shared" si="0"/>
        <v>#N/A</v>
      </c>
      <c r="I75" s="37" t="e">
        <f t="shared" si="1"/>
        <v>#N/A</v>
      </c>
      <c r="J75" s="38"/>
      <c r="K75" s="37"/>
      <c r="L75" s="17"/>
      <c r="M75" s="16"/>
      <c r="N75" s="17"/>
      <c r="O75" s="39"/>
      <c r="AF75" t="e">
        <v>#N/A</v>
      </c>
      <c r="AG75" t="e">
        <f>+(H75-AF75)/AF75</f>
        <v>#N/A</v>
      </c>
      <c r="AK75" s="27">
        <v>100518160</v>
      </c>
      <c r="AL75" s="24">
        <v>72003.355496178468</v>
      </c>
    </row>
    <row r="76" spans="1:38" ht="15" hidden="1" customHeight="1" thickBot="1" x14ac:dyDescent="0.4">
      <c r="A76" s="27">
        <v>100516219</v>
      </c>
      <c r="B76" s="28" t="s">
        <v>72</v>
      </c>
      <c r="C76" s="48">
        <v>7790360967770</v>
      </c>
      <c r="D76" s="22">
        <v>10</v>
      </c>
      <c r="E76" s="23">
        <v>25</v>
      </c>
      <c r="F76" s="24">
        <v>16599.454447073913</v>
      </c>
      <c r="G76" s="133"/>
      <c r="H76" s="24">
        <f t="shared" si="0"/>
        <v>16599.454447073913</v>
      </c>
      <c r="I76" s="24">
        <f t="shared" si="1"/>
        <v>663.97817788295652</v>
      </c>
      <c r="J76" s="24">
        <f t="shared" si="2"/>
        <v>139.43541735542087</v>
      </c>
      <c r="K76" s="24">
        <f t="shared" si="3"/>
        <v>803.41359523837741</v>
      </c>
      <c r="L76" s="24">
        <f t="shared" si="18"/>
        <v>265.12648642866458</v>
      </c>
      <c r="M76" s="24">
        <f t="shared" si="5"/>
        <v>1068.5400816670419</v>
      </c>
      <c r="N76" s="24">
        <f t="shared" si="6"/>
        <v>427.41603266681682</v>
      </c>
      <c r="O76" s="25">
        <f t="shared" si="7"/>
        <v>1495.9561143338587</v>
      </c>
      <c r="AF76">
        <v>16599.454447073913</v>
      </c>
      <c r="AG76">
        <f>+(H76-AF76)/AF76</f>
        <v>0</v>
      </c>
      <c r="AK76" s="64">
        <v>100518463</v>
      </c>
      <c r="AL76" s="69">
        <v>33318.08548327742</v>
      </c>
    </row>
    <row r="77" spans="1:38" ht="15" hidden="1" customHeight="1" thickBot="1" x14ac:dyDescent="0.35">
      <c r="A77" s="27">
        <v>100516220</v>
      </c>
      <c r="B77" s="28" t="s">
        <v>73</v>
      </c>
      <c r="C77" s="48">
        <v>7790360967787</v>
      </c>
      <c r="D77" s="22">
        <v>12</v>
      </c>
      <c r="E77" s="23">
        <v>6</v>
      </c>
      <c r="F77" s="24">
        <v>17830.838018208367</v>
      </c>
      <c r="G77" s="133"/>
      <c r="H77" s="24">
        <f t="shared" si="0"/>
        <v>17830.838018208367</v>
      </c>
      <c r="I77" s="24">
        <f t="shared" si="1"/>
        <v>2971.8063363680612</v>
      </c>
      <c r="J77" s="24">
        <f t="shared" si="2"/>
        <v>624.07933063729286</v>
      </c>
      <c r="K77" s="24">
        <f t="shared" si="3"/>
        <v>3595.8856670053542</v>
      </c>
      <c r="L77" s="24">
        <f t="shared" si="18"/>
        <v>1186.6422701117669</v>
      </c>
      <c r="M77" s="24">
        <f t="shared" si="5"/>
        <v>4782.5279371171209</v>
      </c>
      <c r="N77" s="24">
        <f t="shared" si="6"/>
        <v>1913.0111748468485</v>
      </c>
      <c r="O77" s="25">
        <f t="shared" si="7"/>
        <v>6695.5391119639698</v>
      </c>
      <c r="AF77">
        <v>17830.838018208367</v>
      </c>
      <c r="AG77">
        <f>+(H77-AF77)/AF77</f>
        <v>0</v>
      </c>
      <c r="AK77" s="71"/>
      <c r="AL77" s="75"/>
    </row>
    <row r="78" spans="1:38" ht="15" hidden="1" customHeight="1" thickBot="1" x14ac:dyDescent="0.35">
      <c r="A78" s="49"/>
      <c r="B78" s="50"/>
      <c r="C78" s="51"/>
      <c r="D78" s="50"/>
      <c r="E78" s="52"/>
      <c r="F78" s="53" t="e">
        <v>#N/A</v>
      </c>
      <c r="G78" s="136"/>
      <c r="H78" s="53" t="e">
        <f t="shared" ref="H78:H106" si="51">+F78*(1-G78)</f>
        <v>#N/A</v>
      </c>
      <c r="I78" s="53" t="e">
        <f t="shared" ref="I78:I84" si="52">+H78/E78</f>
        <v>#N/A</v>
      </c>
      <c r="J78" s="53"/>
      <c r="K78" s="53"/>
      <c r="L78" s="53"/>
      <c r="M78" s="53"/>
      <c r="N78" s="53"/>
      <c r="O78" s="54"/>
      <c r="AF78" t="e">
        <v>#N/A</v>
      </c>
      <c r="AG78" t="e">
        <f>+(H78-AF78)/AF78</f>
        <v>#N/A</v>
      </c>
      <c r="AK78" s="197">
        <v>100518291</v>
      </c>
      <c r="AL78" s="61">
        <v>14228.63010787498</v>
      </c>
    </row>
    <row r="79" spans="1:38" ht="15" hidden="1" thickBot="1" x14ac:dyDescent="0.4">
      <c r="A79" s="56">
        <v>100518158</v>
      </c>
      <c r="B79" s="57" t="s">
        <v>74</v>
      </c>
      <c r="C79" s="58">
        <v>7790360974280</v>
      </c>
      <c r="D79" s="59">
        <v>12</v>
      </c>
      <c r="E79" s="60">
        <v>24</v>
      </c>
      <c r="F79" s="61">
        <v>72003.355496178468</v>
      </c>
      <c r="G79" s="137"/>
      <c r="H79" s="61">
        <f t="shared" si="51"/>
        <v>72003.355496178468</v>
      </c>
      <c r="I79" s="61">
        <f t="shared" si="52"/>
        <v>3000.1398123407694</v>
      </c>
      <c r="J79" s="61">
        <f>+I79*J$3</f>
        <v>630.0293605915615</v>
      </c>
      <c r="K79" s="61">
        <f>+I79+J79</f>
        <v>3630.1691729323311</v>
      </c>
      <c r="L79" s="61">
        <f>+K79*L$3</f>
        <v>1197.9558270676694</v>
      </c>
      <c r="M79" s="61">
        <f>+K79+L79</f>
        <v>4828.125</v>
      </c>
      <c r="N79" s="61">
        <f>+M79*N$3</f>
        <v>1931.25</v>
      </c>
      <c r="O79" s="62">
        <f>+M79+N79</f>
        <v>6759.375</v>
      </c>
      <c r="AF79">
        <v>72003.355496178468</v>
      </c>
      <c r="AG79">
        <f>+(H79-AF79)/AF79</f>
        <v>0</v>
      </c>
      <c r="AK79" s="198">
        <v>100518292</v>
      </c>
      <c r="AL79" s="24">
        <v>33574.489918000429</v>
      </c>
    </row>
    <row r="80" spans="1:38" hidden="1" x14ac:dyDescent="0.35">
      <c r="A80" s="27">
        <v>100518160</v>
      </c>
      <c r="B80" s="28" t="s">
        <v>75</v>
      </c>
      <c r="C80" s="63">
        <v>7790360974686</v>
      </c>
      <c r="D80" s="22">
        <v>12</v>
      </c>
      <c r="E80" s="23">
        <v>12</v>
      </c>
      <c r="F80" s="24">
        <v>72003.355496178468</v>
      </c>
      <c r="G80" s="133"/>
      <c r="H80" s="24">
        <f t="shared" si="51"/>
        <v>72003.355496178468</v>
      </c>
      <c r="I80" s="24">
        <f t="shared" si="52"/>
        <v>6000.2796246815387</v>
      </c>
      <c r="J80" s="24">
        <f>+I80*J$3</f>
        <v>1260.058721183123</v>
      </c>
      <c r="K80" s="24">
        <f>+I80+J80</f>
        <v>7260.3383458646622</v>
      </c>
      <c r="L80" s="24">
        <f>+K80*L$3</f>
        <v>2395.9116541353387</v>
      </c>
      <c r="M80" s="24">
        <f>+K80+L80</f>
        <v>9656.25</v>
      </c>
      <c r="N80" s="24">
        <f>+M80*N$3</f>
        <v>3862.5</v>
      </c>
      <c r="O80" s="25">
        <f>+M80+N80</f>
        <v>13518.75</v>
      </c>
      <c r="AF80">
        <v>72003.355496178468</v>
      </c>
      <c r="AG80">
        <f>+(H80-AF80)/AF80</f>
        <v>0</v>
      </c>
      <c r="AK80" s="71"/>
      <c r="AL80" s="75"/>
    </row>
    <row r="81" spans="1:38" ht="15" hidden="1" thickBot="1" x14ac:dyDescent="0.4">
      <c r="A81" s="64">
        <v>100518463</v>
      </c>
      <c r="B81" s="65" t="s">
        <v>76</v>
      </c>
      <c r="C81" s="66">
        <v>7790360975188</v>
      </c>
      <c r="D81" s="67">
        <v>5</v>
      </c>
      <c r="E81" s="68">
        <v>1</v>
      </c>
      <c r="F81" s="69">
        <v>33318.08548327742</v>
      </c>
      <c r="G81" s="138"/>
      <c r="H81" s="69">
        <f t="shared" si="51"/>
        <v>33318.08548327742</v>
      </c>
      <c r="I81" s="69">
        <f t="shared" si="52"/>
        <v>33318.08548327742</v>
      </c>
      <c r="J81" s="69">
        <f>+I81*J$3</f>
        <v>6996.7979514882581</v>
      </c>
      <c r="K81" s="69">
        <f>+I81+J81</f>
        <v>40314.883434765681</v>
      </c>
      <c r="L81" s="69">
        <f>+K81*L$3</f>
        <v>13303.911533472676</v>
      </c>
      <c r="M81" s="69">
        <f>+K81+L81</f>
        <v>53618.794968238355</v>
      </c>
      <c r="N81" s="69">
        <f>+M81*N$3</f>
        <v>21447.517987295345</v>
      </c>
      <c r="O81" s="70">
        <f>+M81+N81</f>
        <v>75066.312955533707</v>
      </c>
      <c r="AF81">
        <v>33318.08548327742</v>
      </c>
      <c r="AG81">
        <f>+(H81-AF81)/AF81</f>
        <v>0</v>
      </c>
      <c r="AK81" s="197">
        <v>100517915</v>
      </c>
      <c r="AL81" s="61">
        <v>145920.01119803212</v>
      </c>
    </row>
    <row r="82" spans="1:38" ht="15" thickBot="1" x14ac:dyDescent="0.4">
      <c r="A82" s="71"/>
      <c r="B82" s="72"/>
      <c r="C82" s="73"/>
      <c r="D82" s="72"/>
      <c r="E82" s="74"/>
      <c r="F82" s="75" t="e">
        <v>#N/A</v>
      </c>
      <c r="G82" s="139"/>
      <c r="H82" s="75" t="e">
        <f t="shared" si="51"/>
        <v>#N/A</v>
      </c>
      <c r="I82" s="75" t="e">
        <f t="shared" si="52"/>
        <v>#N/A</v>
      </c>
      <c r="J82" s="75"/>
      <c r="K82" s="75"/>
      <c r="L82" s="75"/>
      <c r="M82" s="75"/>
      <c r="N82" s="75"/>
      <c r="O82" s="76"/>
      <c r="AF82" t="e">
        <v>#N/A</v>
      </c>
      <c r="AG82" t="e">
        <f>+(H82-AF82)/AF82</f>
        <v>#N/A</v>
      </c>
      <c r="AK82" s="198">
        <v>100517914</v>
      </c>
      <c r="AL82" s="24">
        <v>159231.15888620811</v>
      </c>
    </row>
    <row r="83" spans="1:38" x14ac:dyDescent="0.35">
      <c r="A83" s="112">
        <v>100518291</v>
      </c>
      <c r="B83" s="113" t="s">
        <v>77</v>
      </c>
      <c r="C83" s="109">
        <v>7790360975195</v>
      </c>
      <c r="D83" s="114">
        <v>5</v>
      </c>
      <c r="E83" s="114">
        <v>10</v>
      </c>
      <c r="F83" s="110">
        <v>14655.489011111231</v>
      </c>
      <c r="G83" s="116"/>
      <c r="H83" s="84">
        <f t="shared" si="51"/>
        <v>14655.489011111231</v>
      </c>
      <c r="I83" s="110">
        <f t="shared" si="52"/>
        <v>1465.5489011111231</v>
      </c>
      <c r="J83" s="110">
        <f>+I83*J$3</f>
        <v>307.76526923333586</v>
      </c>
      <c r="K83" s="110">
        <f>+I83+J83</f>
        <v>1773.3141703444589</v>
      </c>
      <c r="L83" s="110">
        <f>+K83*L$39</f>
        <v>390.12911747578096</v>
      </c>
      <c r="M83" s="110">
        <f>+K83+L83</f>
        <v>2163.4432878202397</v>
      </c>
      <c r="N83" s="110">
        <f>+M83*N$39</f>
        <v>757.20515073708384</v>
      </c>
      <c r="O83" s="111">
        <f>+M83+N83</f>
        <v>2920.6484385573235</v>
      </c>
      <c r="P83" s="245" t="s">
        <v>181</v>
      </c>
      <c r="W83" s="128">
        <v>7.4261999999999995E-2</v>
      </c>
      <c r="X83">
        <f>+H83*(1-W83)</f>
        <v>13567.143086168087</v>
      </c>
      <c r="Y83">
        <f>+X83/10</f>
        <v>1356.7143086168087</v>
      </c>
      <c r="Z83">
        <f>+Y83*1.21*1.22*1.35</f>
        <v>2703.7552442131791</v>
      </c>
      <c r="AF83">
        <v>13551.076293214266</v>
      </c>
      <c r="AG83">
        <f>+(H83-AF83)/AF83</f>
        <v>8.1500000000000156E-2</v>
      </c>
      <c r="AK83" s="71"/>
      <c r="AL83" s="75"/>
    </row>
    <row r="84" spans="1:38" ht="15" thickBot="1" x14ac:dyDescent="0.4">
      <c r="A84" s="103">
        <v>100518292</v>
      </c>
      <c r="B84" s="104" t="s">
        <v>78</v>
      </c>
      <c r="C84" s="105">
        <v>7790360975201</v>
      </c>
      <c r="D84" s="106">
        <v>12</v>
      </c>
      <c r="E84" s="106">
        <v>12</v>
      </c>
      <c r="F84" s="84">
        <v>34581.724615540443</v>
      </c>
      <c r="G84" s="116"/>
      <c r="H84" s="84">
        <f t="shared" si="51"/>
        <v>34581.724615540443</v>
      </c>
      <c r="I84" s="107">
        <f t="shared" si="52"/>
        <v>2881.8103846283702</v>
      </c>
      <c r="J84" s="107">
        <f>+I84*J$3</f>
        <v>605.18018077195768</v>
      </c>
      <c r="K84" s="107">
        <f>+I84+J84</f>
        <v>3486.9905654003278</v>
      </c>
      <c r="L84" s="107">
        <f>+K84*L$39</f>
        <v>767.13792438807207</v>
      </c>
      <c r="M84" s="107">
        <f>+K84+L84</f>
        <v>4254.1284897883997</v>
      </c>
      <c r="N84" s="107">
        <f>+M84*N$39</f>
        <v>1488.9449714259399</v>
      </c>
      <c r="O84" s="108">
        <f>+M84+N84</f>
        <v>5743.0734612143397</v>
      </c>
      <c r="P84" s="245" t="s">
        <v>182</v>
      </c>
      <c r="AF84">
        <v>31975.704683809934</v>
      </c>
      <c r="AG84">
        <f>+(H84-AF84)/AF84</f>
        <v>8.1499999999999975E-2</v>
      </c>
      <c r="AK84" s="27">
        <v>100010689</v>
      </c>
      <c r="AL84" s="24">
        <v>15000</v>
      </c>
    </row>
    <row r="85" spans="1:38" ht="15" thickBot="1" x14ac:dyDescent="0.4">
      <c r="A85" s="71"/>
      <c r="B85" s="72"/>
      <c r="C85" s="73"/>
      <c r="D85" s="72"/>
      <c r="E85" s="74"/>
      <c r="F85" s="75" t="e">
        <v>#N/A</v>
      </c>
      <c r="G85" s="139"/>
      <c r="H85" s="75" t="e">
        <f t="shared" si="51"/>
        <v>#N/A</v>
      </c>
      <c r="I85" s="75" t="e">
        <f>+H85/E85</f>
        <v>#N/A</v>
      </c>
      <c r="J85" s="95">
        <v>0.105</v>
      </c>
      <c r="K85" s="75"/>
      <c r="L85" s="75">
        <v>0.3</v>
      </c>
      <c r="M85" s="75"/>
      <c r="N85" s="75">
        <v>0.4</v>
      </c>
      <c r="O85" s="76"/>
      <c r="AF85" t="e">
        <v>#N/A</v>
      </c>
      <c r="AG85" t="e">
        <f>+(H85-AF85)/AF85</f>
        <v>#N/A</v>
      </c>
      <c r="AK85" s="27">
        <v>100518335</v>
      </c>
      <c r="AL85" s="24">
        <v>10714.285714285714</v>
      </c>
    </row>
    <row r="86" spans="1:38" x14ac:dyDescent="0.35">
      <c r="A86" s="112">
        <v>100517915</v>
      </c>
      <c r="B86" s="113" t="s">
        <v>79</v>
      </c>
      <c r="C86" s="109">
        <v>7790360974020</v>
      </c>
      <c r="D86" s="114">
        <v>18</v>
      </c>
      <c r="E86" s="114">
        <v>36</v>
      </c>
      <c r="F86" s="110">
        <v>157593.61209387469</v>
      </c>
      <c r="G86" s="96"/>
      <c r="H86" s="84">
        <f t="shared" si="51"/>
        <v>157593.61209387469</v>
      </c>
      <c r="I86" s="110">
        <f>+H86/E86</f>
        <v>4377.6003359409633</v>
      </c>
      <c r="J86" s="110">
        <f>+I86*J$85</f>
        <v>459.64803527380116</v>
      </c>
      <c r="K86" s="110">
        <f>+I86+J86</f>
        <v>4837.2483712147641</v>
      </c>
      <c r="L86" s="110">
        <f>+K86*L$85</f>
        <v>1451.1745113644292</v>
      </c>
      <c r="M86" s="110">
        <f>+K86+L86</f>
        <v>6288.4228825791934</v>
      </c>
      <c r="N86" s="110">
        <f>+M86*N$85</f>
        <v>2515.3691530316773</v>
      </c>
      <c r="O86" s="111">
        <f>+M86+N86</f>
        <v>8803.7920356108698</v>
      </c>
      <c r="AF86">
        <v>126062.62630281298</v>
      </c>
      <c r="AG86">
        <f>+(H86-AF86)/AF86</f>
        <v>0.25012160000000039</v>
      </c>
      <c r="AK86" s="27">
        <v>100518332</v>
      </c>
      <c r="AL86" s="24">
        <v>12321.428571428572</v>
      </c>
    </row>
    <row r="87" spans="1:38" ht="15" thickBot="1" x14ac:dyDescent="0.4">
      <c r="A87" s="103">
        <v>100517914</v>
      </c>
      <c r="B87" s="104" t="s">
        <v>80</v>
      </c>
      <c r="C87" s="105">
        <v>7790360974037</v>
      </c>
      <c r="D87" s="106">
        <v>20</v>
      </c>
      <c r="E87" s="106">
        <v>20</v>
      </c>
      <c r="F87" s="84">
        <v>168785.0284193806</v>
      </c>
      <c r="G87" s="96"/>
      <c r="H87" s="84">
        <f t="shared" si="51"/>
        <v>168785.0284193806</v>
      </c>
      <c r="I87" s="107">
        <f>+H87/E87</f>
        <v>8439.2514209690307</v>
      </c>
      <c r="J87" s="107">
        <f>+I87*J$85</f>
        <v>886.1213992017482</v>
      </c>
      <c r="K87" s="107">
        <f>+I87+J87</f>
        <v>9325.3728201707781</v>
      </c>
      <c r="L87" s="107">
        <f>+K87*L$85</f>
        <v>2797.6118460512334</v>
      </c>
      <c r="M87" s="107">
        <f>+K87+L87</f>
        <v>12122.984666222012</v>
      </c>
      <c r="N87" s="107">
        <f>+M87*N$85</f>
        <v>4849.1938664888048</v>
      </c>
      <c r="O87" s="108">
        <f>+M87+N87</f>
        <v>16972.178532710815</v>
      </c>
      <c r="AF87">
        <v>137562.33921332512</v>
      </c>
      <c r="AG87">
        <f>+(H87-AF87)/AF87</f>
        <v>0.22697120000000018</v>
      </c>
      <c r="AK87" s="27">
        <v>100518334</v>
      </c>
      <c r="AL87" s="24">
        <v>10928.571428571429</v>
      </c>
    </row>
    <row r="88" spans="1:38" x14ac:dyDescent="0.35">
      <c r="A88" s="71"/>
      <c r="B88" s="72"/>
      <c r="C88" s="73"/>
      <c r="D88" s="72"/>
      <c r="E88" s="74"/>
      <c r="F88" s="75" t="e">
        <v>#N/A</v>
      </c>
      <c r="G88" s="139"/>
      <c r="H88" s="75" t="e">
        <f t="shared" si="51"/>
        <v>#N/A</v>
      </c>
      <c r="I88" s="75"/>
      <c r="J88" s="78">
        <v>0.105</v>
      </c>
      <c r="K88" s="78"/>
      <c r="L88" s="78">
        <v>0.3</v>
      </c>
      <c r="M88" s="78"/>
      <c r="N88" s="78">
        <v>0.4</v>
      </c>
      <c r="O88" s="79"/>
      <c r="AF88" t="e">
        <v>#N/A</v>
      </c>
      <c r="AG88" t="e">
        <f>+(H88-AF88)/AF88</f>
        <v>#N/A</v>
      </c>
      <c r="AK88" s="27">
        <v>100518227</v>
      </c>
      <c r="AL88" s="24">
        <v>12895.714285714286</v>
      </c>
    </row>
    <row r="89" spans="1:38" x14ac:dyDescent="0.35">
      <c r="A89" s="27">
        <v>100010689</v>
      </c>
      <c r="B89" s="28" t="s">
        <v>81</v>
      </c>
      <c r="C89" s="21"/>
      <c r="D89" s="22">
        <v>22</v>
      </c>
      <c r="E89" s="23">
        <v>1</v>
      </c>
      <c r="F89" s="24">
        <v>15000</v>
      </c>
      <c r="G89" s="133"/>
      <c r="H89" s="24">
        <f t="shared" si="51"/>
        <v>15000</v>
      </c>
      <c r="I89" s="24">
        <f t="shared" ref="I89:I94" si="53">+H89/E89</f>
        <v>15000</v>
      </c>
      <c r="J89" s="24">
        <f t="shared" ref="J89:J94" si="54">+I89*J$88</f>
        <v>1575</v>
      </c>
      <c r="K89" s="24">
        <f t="shared" ref="K89:K94" si="55">+I89+J89</f>
        <v>16575</v>
      </c>
      <c r="L89" s="24">
        <f t="shared" ref="L89:L94" si="56">+K89*L$88</f>
        <v>4972.5</v>
      </c>
      <c r="M89" s="24">
        <f t="shared" ref="M89:M94" si="57">+K89+L89</f>
        <v>21547.5</v>
      </c>
      <c r="N89" s="24">
        <f t="shared" ref="N89:N94" si="58">+M89*N$88</f>
        <v>8619</v>
      </c>
      <c r="O89" s="25">
        <f t="shared" ref="O89:O94" si="59">+M89+N89</f>
        <v>30166.5</v>
      </c>
      <c r="AF89">
        <v>14255.102040816328</v>
      </c>
      <c r="AG89">
        <f>+(H89-AF89)/AF89</f>
        <v>5.2254831782390758E-2</v>
      </c>
      <c r="AK89" s="71"/>
      <c r="AL89" s="75"/>
    </row>
    <row r="90" spans="1:38" x14ac:dyDescent="0.35">
      <c r="A90" s="27">
        <v>100518335</v>
      </c>
      <c r="B90" s="28" t="s">
        <v>82</v>
      </c>
      <c r="C90" s="21"/>
      <c r="D90" s="22">
        <v>22.5</v>
      </c>
      <c r="E90" s="23">
        <v>1</v>
      </c>
      <c r="F90" s="24">
        <v>10714.285714285714</v>
      </c>
      <c r="G90" s="133"/>
      <c r="H90" s="24">
        <f t="shared" si="51"/>
        <v>10714.285714285714</v>
      </c>
      <c r="I90" s="24">
        <f t="shared" si="53"/>
        <v>10714.285714285714</v>
      </c>
      <c r="J90" s="24">
        <f t="shared" si="54"/>
        <v>1125</v>
      </c>
      <c r="K90" s="24">
        <f t="shared" si="55"/>
        <v>11839.285714285714</v>
      </c>
      <c r="L90" s="24">
        <f t="shared" si="56"/>
        <v>3551.7857142857142</v>
      </c>
      <c r="M90" s="24">
        <f t="shared" si="57"/>
        <v>15391.071428571428</v>
      </c>
      <c r="N90" s="24">
        <f t="shared" si="58"/>
        <v>6156.4285714285716</v>
      </c>
      <c r="O90" s="25">
        <f t="shared" si="59"/>
        <v>21547.5</v>
      </c>
      <c r="W90" s="119">
        <f>+V4*144+V100*X90</f>
        <v>775710.00939277792</v>
      </c>
      <c r="X90">
        <f>144/2</f>
        <v>72</v>
      </c>
      <c r="AF90">
        <v>9029.5918367346949</v>
      </c>
      <c r="AG90">
        <f>+(H90-AF90)/AF90</f>
        <v>0.186574754209515</v>
      </c>
      <c r="AK90" s="80">
        <v>100520837</v>
      </c>
      <c r="AL90" s="24">
        <v>33805.838700484463</v>
      </c>
    </row>
    <row r="91" spans="1:38" x14ac:dyDescent="0.35">
      <c r="A91" s="27">
        <v>100518332</v>
      </c>
      <c r="B91" s="28" t="s">
        <v>83</v>
      </c>
      <c r="C91" s="21"/>
      <c r="D91" s="22">
        <v>21.5</v>
      </c>
      <c r="E91" s="23">
        <v>1</v>
      </c>
      <c r="F91" s="24">
        <v>12321.428571428572</v>
      </c>
      <c r="G91" s="133"/>
      <c r="H91" s="24">
        <f t="shared" si="51"/>
        <v>12321.428571428572</v>
      </c>
      <c r="I91" s="24">
        <f t="shared" si="53"/>
        <v>12321.428571428572</v>
      </c>
      <c r="J91" s="24">
        <f t="shared" si="54"/>
        <v>1293.75</v>
      </c>
      <c r="K91" s="24">
        <f t="shared" si="55"/>
        <v>13615.178571428572</v>
      </c>
      <c r="L91" s="24">
        <f t="shared" si="56"/>
        <v>4084.5535714285716</v>
      </c>
      <c r="M91" s="24">
        <f t="shared" si="57"/>
        <v>17699.732142857145</v>
      </c>
      <c r="N91" s="24">
        <f t="shared" si="58"/>
        <v>7079.8928571428587</v>
      </c>
      <c r="O91" s="25">
        <f t="shared" si="59"/>
        <v>24779.625000000004</v>
      </c>
      <c r="W91" s="119">
        <f>+V4*144+V96*X91</f>
        <v>669278.55121323944</v>
      </c>
      <c r="X91">
        <f>144/6</f>
        <v>24</v>
      </c>
      <c r="AF91">
        <v>9717.3469387755104</v>
      </c>
      <c r="AG91">
        <f>+(H91-AF91)/AF91</f>
        <v>0.26798277853617564</v>
      </c>
      <c r="AK91" s="80">
        <v>100522395</v>
      </c>
      <c r="AL91" s="24">
        <v>34481.948800000006</v>
      </c>
    </row>
    <row r="92" spans="1:38" x14ac:dyDescent="0.35">
      <c r="A92" s="27">
        <v>100518334</v>
      </c>
      <c r="B92" s="28" t="s">
        <v>84</v>
      </c>
      <c r="C92" s="21"/>
      <c r="D92" s="22">
        <v>22.5</v>
      </c>
      <c r="E92" s="23">
        <v>1</v>
      </c>
      <c r="F92" s="24">
        <v>10928.571428571429</v>
      </c>
      <c r="G92" s="133"/>
      <c r="H92" s="24">
        <f t="shared" si="51"/>
        <v>10928.571428571429</v>
      </c>
      <c r="I92" s="24">
        <f t="shared" si="53"/>
        <v>10928.571428571429</v>
      </c>
      <c r="J92" s="24">
        <f t="shared" si="54"/>
        <v>1147.5</v>
      </c>
      <c r="K92" s="24">
        <f t="shared" si="55"/>
        <v>12076.071428571429</v>
      </c>
      <c r="L92" s="24">
        <f t="shared" si="56"/>
        <v>3622.8214285714289</v>
      </c>
      <c r="M92" s="24">
        <f t="shared" si="57"/>
        <v>15698.892857142859</v>
      </c>
      <c r="N92" s="24">
        <f t="shared" si="58"/>
        <v>6279.5571428571438</v>
      </c>
      <c r="O92" s="25">
        <f t="shared" si="59"/>
        <v>21978.450000000004</v>
      </c>
      <c r="AF92">
        <v>7997.9591836734699</v>
      </c>
      <c r="AG92">
        <f>+(H92-AF92)/AF92</f>
        <v>0.36642000510334272</v>
      </c>
      <c r="AK92" s="80">
        <v>100522561</v>
      </c>
      <c r="AL92" s="24">
        <v>6824.5523666666677</v>
      </c>
    </row>
    <row r="93" spans="1:38" x14ac:dyDescent="0.35">
      <c r="A93" s="27">
        <v>100518227</v>
      </c>
      <c r="B93" s="28" t="s">
        <v>85</v>
      </c>
      <c r="C93" s="21"/>
      <c r="D93" s="22">
        <v>22.5</v>
      </c>
      <c r="E93" s="23">
        <v>1</v>
      </c>
      <c r="F93" s="24">
        <v>12895.714285714286</v>
      </c>
      <c r="G93" s="133"/>
      <c r="H93" s="24">
        <f t="shared" si="51"/>
        <v>12895.714285714286</v>
      </c>
      <c r="I93" s="24">
        <f t="shared" si="53"/>
        <v>12895.714285714286</v>
      </c>
      <c r="J93" s="24">
        <f t="shared" si="54"/>
        <v>1354.05</v>
      </c>
      <c r="K93" s="24">
        <f t="shared" si="55"/>
        <v>14249.764285714286</v>
      </c>
      <c r="L93" s="24">
        <f t="shared" si="56"/>
        <v>4274.9292857142855</v>
      </c>
      <c r="M93" s="24">
        <f t="shared" si="57"/>
        <v>18524.693571428572</v>
      </c>
      <c r="N93" s="24">
        <f t="shared" si="58"/>
        <v>7409.8774285714289</v>
      </c>
      <c r="O93" s="25">
        <f t="shared" si="59"/>
        <v>25934.571</v>
      </c>
      <c r="AF93">
        <v>7997.9591836734699</v>
      </c>
      <c r="AG93">
        <f>+(H93-AF93)/AF93</f>
        <v>0.6123756060219443</v>
      </c>
      <c r="AK93" s="71"/>
      <c r="AL93" s="75"/>
    </row>
    <row r="94" spans="1:38" hidden="1" x14ac:dyDescent="0.35">
      <c r="A94" s="175">
        <v>100027726</v>
      </c>
      <c r="B94" s="176" t="s">
        <v>148</v>
      </c>
      <c r="C94" s="177"/>
      <c r="D94" s="81">
        <v>22.5</v>
      </c>
      <c r="E94" s="23">
        <v>1</v>
      </c>
      <c r="F94" s="24" t="e">
        <v>#N/A</v>
      </c>
      <c r="G94" s="133"/>
      <c r="H94" s="24" t="e">
        <f t="shared" ref="H94" si="60">+F94*(1-G94)</f>
        <v>#N/A</v>
      </c>
      <c r="I94" s="24" t="e">
        <f t="shared" si="53"/>
        <v>#N/A</v>
      </c>
      <c r="J94" s="24" t="e">
        <f t="shared" si="54"/>
        <v>#N/A</v>
      </c>
      <c r="K94" s="24" t="e">
        <f t="shared" si="55"/>
        <v>#N/A</v>
      </c>
      <c r="L94" s="24" t="e">
        <f t="shared" si="56"/>
        <v>#N/A</v>
      </c>
      <c r="M94" s="24" t="e">
        <f t="shared" si="57"/>
        <v>#N/A</v>
      </c>
      <c r="N94" s="24" t="e">
        <f t="shared" si="58"/>
        <v>#N/A</v>
      </c>
      <c r="O94" s="25" t="e">
        <f t="shared" si="59"/>
        <v>#N/A</v>
      </c>
      <c r="AK94" s="80">
        <v>100520902</v>
      </c>
      <c r="AL94" s="24">
        <v>30287.433583483747</v>
      </c>
    </row>
    <row r="95" spans="1:38" x14ac:dyDescent="0.35">
      <c r="A95" s="71"/>
      <c r="B95" s="72"/>
      <c r="C95" s="73"/>
      <c r="D95" s="72"/>
      <c r="E95" s="74"/>
      <c r="F95" s="75" t="e">
        <v>#N/A</v>
      </c>
      <c r="G95" s="139"/>
      <c r="H95" s="75" t="e">
        <f t="shared" si="51"/>
        <v>#N/A</v>
      </c>
      <c r="I95" s="75"/>
      <c r="J95" s="78">
        <v>0.21</v>
      </c>
      <c r="K95" s="78"/>
      <c r="L95" s="78">
        <v>0.3</v>
      </c>
      <c r="M95" s="78"/>
      <c r="N95" s="78">
        <v>0.4</v>
      </c>
      <c r="O95" s="79"/>
      <c r="AF95" t="e">
        <v>#N/A</v>
      </c>
      <c r="AG95" t="e">
        <f>+(H95-AF95)/AF95</f>
        <v>#N/A</v>
      </c>
      <c r="AK95" s="80">
        <v>100522698</v>
      </c>
      <c r="AL95" s="24">
        <v>38836.761324799605</v>
      </c>
    </row>
    <row r="96" spans="1:38" x14ac:dyDescent="0.35">
      <c r="A96" s="80">
        <v>100520837</v>
      </c>
      <c r="B96" s="42" t="s">
        <v>86</v>
      </c>
      <c r="C96" s="43">
        <v>7790360980625</v>
      </c>
      <c r="D96" s="81">
        <v>4.8</v>
      </c>
      <c r="E96" s="23">
        <v>12</v>
      </c>
      <c r="F96" s="24">
        <v>35158.072248503842</v>
      </c>
      <c r="G96" s="133"/>
      <c r="H96" s="24">
        <f t="shared" si="51"/>
        <v>35158.072248503842</v>
      </c>
      <c r="I96" s="24">
        <f>+H96/E96</f>
        <v>2929.839354041987</v>
      </c>
      <c r="J96" s="24">
        <f>+I96*J$95</f>
        <v>615.26626434881723</v>
      </c>
      <c r="K96" s="24">
        <f>+I96+J96</f>
        <v>3545.105618390804</v>
      </c>
      <c r="L96" s="24">
        <f>+K96*L$95</f>
        <v>1063.5316855172412</v>
      </c>
      <c r="M96" s="24">
        <f>+K96+L96</f>
        <v>4608.6373039080454</v>
      </c>
      <c r="N96" s="24">
        <f>+M96*N$95</f>
        <v>1843.4549215632182</v>
      </c>
      <c r="O96" s="25">
        <f>+M96+N96</f>
        <v>6452.0922254712641</v>
      </c>
      <c r="P96" s="185"/>
      <c r="Q96" s="185"/>
      <c r="R96" s="185"/>
      <c r="S96" s="185"/>
      <c r="T96" s="185"/>
      <c r="U96" s="185"/>
      <c r="V96">
        <f>+W96*H96</f>
        <v>3515.8072248503845</v>
      </c>
      <c r="W96" s="120">
        <v>0.1</v>
      </c>
      <c r="X96" s="119">
        <f>+H96*(1-W96)</f>
        <v>31642.265023653457</v>
      </c>
      <c r="Y96" s="119">
        <f>+X96/E96</f>
        <v>2636.8554186377883</v>
      </c>
      <c r="Z96" s="119">
        <f>+Y96*1.21*1.3*1.4</f>
        <v>5806.8830029241371</v>
      </c>
      <c r="AA96" s="118" t="s">
        <v>111</v>
      </c>
      <c r="AB96" t="s">
        <v>110</v>
      </c>
      <c r="AF96">
        <v>30957.727747696394</v>
      </c>
      <c r="AG96">
        <f>+(H96-AF96)/AF96</f>
        <v>0.13568000000000005</v>
      </c>
      <c r="AK96" s="71"/>
      <c r="AL96" s="75"/>
    </row>
    <row r="97" spans="1:38" x14ac:dyDescent="0.35">
      <c r="A97" s="124">
        <v>100522395</v>
      </c>
      <c r="B97" s="125" t="s">
        <v>154</v>
      </c>
      <c r="C97" s="126">
        <v>7790360980625</v>
      </c>
      <c r="D97" s="127">
        <v>4.8</v>
      </c>
      <c r="E97" s="100">
        <v>12</v>
      </c>
      <c r="F97" s="84">
        <v>35861.22675200001</v>
      </c>
      <c r="G97" s="140"/>
      <c r="H97" s="84">
        <f t="shared" ref="H97" si="61">+F97*(1-G97)</f>
        <v>35861.22675200001</v>
      </c>
      <c r="I97" s="84">
        <f>+H97/E97</f>
        <v>2988.4355626666675</v>
      </c>
      <c r="J97" s="84">
        <f>+I97*J$95</f>
        <v>627.57146816000011</v>
      </c>
      <c r="K97" s="84">
        <f>+I97+J97</f>
        <v>3616.0070308266677</v>
      </c>
      <c r="L97" s="84">
        <f>+K97*L$95</f>
        <v>1084.8021092480003</v>
      </c>
      <c r="M97" s="84">
        <f>+K97+L97</f>
        <v>4700.809140074668</v>
      </c>
      <c r="N97" s="84">
        <f>+M97*N$95</f>
        <v>1880.3236560298674</v>
      </c>
      <c r="O97" s="101">
        <f>+M97+N97</f>
        <v>6581.1327961045354</v>
      </c>
      <c r="P97" s="252" t="s">
        <v>188</v>
      </c>
      <c r="Q97" s="185"/>
      <c r="R97" s="185"/>
      <c r="S97" s="185"/>
      <c r="T97" s="185"/>
      <c r="U97" s="185"/>
      <c r="W97" s="120"/>
      <c r="X97" s="119"/>
      <c r="Y97" s="119"/>
      <c r="Z97" s="119"/>
      <c r="AA97" s="118"/>
      <c r="AK97" s="80">
        <v>100521457</v>
      </c>
      <c r="AL97" s="24">
        <v>34485.72242804218</v>
      </c>
    </row>
    <row r="98" spans="1:38" x14ac:dyDescent="0.35">
      <c r="A98" s="124">
        <v>100522561</v>
      </c>
      <c r="B98" s="125" t="s">
        <v>161</v>
      </c>
      <c r="C98" s="126"/>
      <c r="D98" s="127">
        <v>16</v>
      </c>
      <c r="E98" s="100">
        <v>8</v>
      </c>
      <c r="F98" s="84">
        <v>7097.5344613333345</v>
      </c>
      <c r="G98" s="140"/>
      <c r="H98" s="84">
        <f t="shared" ref="H98" si="62">+F98*(1-G98)</f>
        <v>7097.5344613333345</v>
      </c>
      <c r="I98" s="84">
        <f>+H98*2</f>
        <v>14195.068922666669</v>
      </c>
      <c r="J98" s="84">
        <f>+I98*J$95</f>
        <v>2980.9644737600006</v>
      </c>
      <c r="K98" s="84">
        <f>+I98+J98</f>
        <v>17176.033396426668</v>
      </c>
      <c r="L98" s="84">
        <f>+K98*L$95</f>
        <v>5152.8100189280003</v>
      </c>
      <c r="M98" s="84">
        <f>+K98+L98</f>
        <v>22328.84341535467</v>
      </c>
      <c r="N98" s="84">
        <f>+M98*N$95</f>
        <v>8931.5373661418689</v>
      </c>
      <c r="O98" s="101">
        <f>+M98+N98</f>
        <v>31260.38078149654</v>
      </c>
      <c r="Q98" s="185"/>
      <c r="R98" s="185"/>
      <c r="S98" s="185"/>
      <c r="T98" s="185"/>
      <c r="U98" s="185"/>
      <c r="W98" s="120"/>
      <c r="X98" s="119"/>
      <c r="Y98" s="119"/>
      <c r="Z98" s="119"/>
      <c r="AA98" s="118"/>
      <c r="AK98" s="80">
        <v>100521455</v>
      </c>
      <c r="AL98" s="24">
        <v>34485.72242804218</v>
      </c>
    </row>
    <row r="99" spans="1:38" x14ac:dyDescent="0.35">
      <c r="A99" s="71"/>
      <c r="B99" s="72"/>
      <c r="C99" s="73"/>
      <c r="D99" s="72"/>
      <c r="E99" s="74"/>
      <c r="F99" s="75" t="e">
        <v>#N/A</v>
      </c>
      <c r="G99" s="139"/>
      <c r="H99" s="75" t="e">
        <f t="shared" si="51"/>
        <v>#N/A</v>
      </c>
      <c r="I99" s="75"/>
      <c r="J99" s="78">
        <v>0.21</v>
      </c>
      <c r="K99" s="78"/>
      <c r="L99" s="78">
        <v>0.33</v>
      </c>
      <c r="M99" s="78"/>
      <c r="N99" s="78">
        <v>0.4</v>
      </c>
      <c r="O99" s="79"/>
      <c r="P99"/>
      <c r="X99" s="129"/>
      <c r="Y99" s="129"/>
      <c r="Z99" s="129"/>
      <c r="AF99" t="e">
        <v>#N/A</v>
      </c>
      <c r="AG99" t="e">
        <f>+(H99-AF99)/AF99</f>
        <v>#N/A</v>
      </c>
      <c r="AK99" s="80">
        <v>100521453</v>
      </c>
      <c r="AL99" s="24">
        <v>33300.27571957824</v>
      </c>
    </row>
    <row r="100" spans="1:38" x14ac:dyDescent="0.35">
      <c r="A100" s="124">
        <v>100520902</v>
      </c>
      <c r="B100" s="125" t="s">
        <v>87</v>
      </c>
      <c r="C100" s="126">
        <v>7790360981042</v>
      </c>
      <c r="D100" s="127">
        <v>9.8000000000000007</v>
      </c>
      <c r="E100" s="100">
        <v>14</v>
      </c>
      <c r="F100" s="84">
        <v>30287.433583483747</v>
      </c>
      <c r="G100" s="96">
        <v>0.125</v>
      </c>
      <c r="H100" s="84">
        <f t="shared" si="51"/>
        <v>26501.50438554828</v>
      </c>
      <c r="I100" s="84">
        <f>+H100/E100</f>
        <v>1892.9645989677342</v>
      </c>
      <c r="J100" s="84">
        <f>+I100*J$99</f>
        <v>397.5225657832242</v>
      </c>
      <c r="K100" s="84">
        <f>+I100+J100</f>
        <v>2290.4871647509585</v>
      </c>
      <c r="L100" s="84">
        <f>+K100*L$99</f>
        <v>755.86076436781639</v>
      </c>
      <c r="M100" s="84">
        <f>+K100+L100</f>
        <v>3046.347929118775</v>
      </c>
      <c r="N100" s="84">
        <f>+M100*N$99</f>
        <v>1218.5391716475101</v>
      </c>
      <c r="O100" s="101">
        <f>+M100+N100</f>
        <v>4264.8871007662856</v>
      </c>
      <c r="P100" s="245" t="s">
        <v>169</v>
      </c>
      <c r="V100">
        <f>+W100*H100</f>
        <v>2650.1504385548283</v>
      </c>
      <c r="W100" s="120">
        <v>0.1</v>
      </c>
      <c r="X100" s="119">
        <f>+H100*(1-W100)</f>
        <v>23851.353946993451</v>
      </c>
      <c r="Y100" s="119">
        <f>+X100/E100</f>
        <v>1703.6681390709607</v>
      </c>
      <c r="Z100" s="119">
        <f>+Y100*1.21*1.3*1.4</f>
        <v>3751.817975862069</v>
      </c>
      <c r="AA100" s="118" t="s">
        <v>111</v>
      </c>
      <c r="AB100" t="s">
        <v>118</v>
      </c>
      <c r="AF100">
        <v>25729.6159082993</v>
      </c>
      <c r="AG100">
        <f>+(H100-AF100)/AF100</f>
        <v>3.0000000000000041E-2</v>
      </c>
      <c r="AK100" s="80">
        <v>100521454</v>
      </c>
      <c r="AL100" s="24">
        <v>33300.27571957824</v>
      </c>
    </row>
    <row r="101" spans="1:38" x14ac:dyDescent="0.35">
      <c r="A101" s="124">
        <v>100522698</v>
      </c>
      <c r="B101" s="125" t="s">
        <v>162</v>
      </c>
      <c r="C101" s="126">
        <v>7790360986511</v>
      </c>
      <c r="D101" s="127">
        <v>14</v>
      </c>
      <c r="E101" s="100">
        <v>7</v>
      </c>
      <c r="F101" s="84">
        <v>38836.761324799605</v>
      </c>
      <c r="G101" s="224"/>
      <c r="H101" s="84">
        <f t="shared" ref="H101" si="63">+F101*(1-G101)</f>
        <v>38836.761324799605</v>
      </c>
      <c r="I101" s="84">
        <f>+H101/E101</f>
        <v>5548.1087606856581</v>
      </c>
      <c r="J101" s="84">
        <f>+I101*J$99</f>
        <v>1165.1028397439882</v>
      </c>
      <c r="K101" s="84">
        <f>+I101+J101</f>
        <v>6713.2116004296458</v>
      </c>
      <c r="L101" s="84">
        <f>+K101*L$99</f>
        <v>2215.3598281417831</v>
      </c>
      <c r="M101" s="84">
        <f>+K101+L101</f>
        <v>8928.5714285714294</v>
      </c>
      <c r="N101" s="84">
        <f>+M101*N$99</f>
        <v>3571.428571428572</v>
      </c>
      <c r="O101" s="101">
        <f>+M101+N101</f>
        <v>12500.000000000002</v>
      </c>
      <c r="P101" s="245" t="s">
        <v>199</v>
      </c>
      <c r="W101" s="120"/>
      <c r="X101" s="119"/>
      <c r="Y101" s="119"/>
      <c r="Z101" s="119"/>
      <c r="AA101" s="118"/>
      <c r="AK101" s="80">
        <v>100521457</v>
      </c>
      <c r="AL101" s="24">
        <v>32843.545169563979</v>
      </c>
    </row>
    <row r="102" spans="1:38" x14ac:dyDescent="0.35">
      <c r="A102" s="71"/>
      <c r="B102" s="72"/>
      <c r="C102" s="73"/>
      <c r="D102" s="72"/>
      <c r="E102" s="74"/>
      <c r="F102" s="74" t="e">
        <v>#N/A</v>
      </c>
      <c r="G102" s="74"/>
      <c r="H102" s="75"/>
      <c r="I102" s="75"/>
      <c r="J102" s="78">
        <v>0.21</v>
      </c>
      <c r="K102" s="78"/>
      <c r="L102" s="78">
        <v>0.33</v>
      </c>
      <c r="M102" s="78"/>
      <c r="N102" s="78">
        <v>0.4</v>
      </c>
      <c r="O102" s="79"/>
      <c r="P102"/>
      <c r="AK102" s="80"/>
      <c r="AL102" s="24"/>
    </row>
    <row r="103" spans="1:38" x14ac:dyDescent="0.35">
      <c r="A103" s="124">
        <v>100521457</v>
      </c>
      <c r="B103" s="125" t="s">
        <v>102</v>
      </c>
      <c r="C103" s="126">
        <v>7790360982254</v>
      </c>
      <c r="D103" s="127">
        <v>4.8</v>
      </c>
      <c r="E103" s="100">
        <v>16</v>
      </c>
      <c r="F103" s="84">
        <v>33451.150755200913</v>
      </c>
      <c r="G103" s="215"/>
      <c r="H103" s="84">
        <f t="shared" si="51"/>
        <v>33451.150755200913</v>
      </c>
      <c r="I103" s="84">
        <f>+H103/E103</f>
        <v>2090.6969222000571</v>
      </c>
      <c r="J103" s="84">
        <f>+I103*J$102</f>
        <v>439.046353662012</v>
      </c>
      <c r="K103" s="84">
        <f t="shared" ref="K103:K106" si="64">+I103+J103</f>
        <v>2529.7432758620689</v>
      </c>
      <c r="L103" s="84">
        <f>+K103*L$102</f>
        <v>834.81528103448284</v>
      </c>
      <c r="M103" s="84">
        <f t="shared" ref="M103:M106" si="65">+K103+L103</f>
        <v>3364.5585568965516</v>
      </c>
      <c r="N103" s="84">
        <f>+M103*N$102</f>
        <v>1345.8234227586208</v>
      </c>
      <c r="O103" s="101">
        <f t="shared" ref="O103:O106" si="66">+M103+N103</f>
        <v>4710.3819796551725</v>
      </c>
      <c r="P103" s="245" t="s">
        <v>202</v>
      </c>
      <c r="W103" s="120">
        <v>0.15</v>
      </c>
      <c r="X103" s="119">
        <f>+H103*(1-W103)</f>
        <v>28433.478141920776</v>
      </c>
      <c r="Y103" s="119">
        <f>+X103/E103</f>
        <v>1777.0923838700485</v>
      </c>
      <c r="Z103" s="119">
        <f>+Y103*1.21*1.3*1.4</f>
        <v>3913.5128477586204</v>
      </c>
      <c r="AA103" s="118" t="s">
        <v>111</v>
      </c>
      <c r="AB103" t="s">
        <v>119</v>
      </c>
      <c r="AF103">
        <v>28151.610145340554</v>
      </c>
      <c r="AG103">
        <f>+(H103-AF103)/AF103</f>
        <v>0.18825000000000003</v>
      </c>
      <c r="AK103" s="80">
        <v>100521455</v>
      </c>
      <c r="AL103" s="24">
        <v>32843.545169563979</v>
      </c>
    </row>
    <row r="104" spans="1:38" x14ac:dyDescent="0.35">
      <c r="A104" s="124">
        <v>100521455</v>
      </c>
      <c r="B104" s="125" t="s">
        <v>103</v>
      </c>
      <c r="C104" s="126">
        <v>7790360982247</v>
      </c>
      <c r="D104" s="127">
        <v>4.8</v>
      </c>
      <c r="E104" s="100">
        <v>16</v>
      </c>
      <c r="F104" s="84">
        <v>33451.150755200913</v>
      </c>
      <c r="G104" s="215"/>
      <c r="H104" s="84">
        <f t="shared" si="51"/>
        <v>33451.150755200913</v>
      </c>
      <c r="I104" s="84">
        <f>+H104/E104</f>
        <v>2090.6969222000571</v>
      </c>
      <c r="J104" s="84">
        <f>+I104*J$102</f>
        <v>439.046353662012</v>
      </c>
      <c r="K104" s="84">
        <f t="shared" si="64"/>
        <v>2529.7432758620689</v>
      </c>
      <c r="L104" s="84">
        <f>+K104*L$102</f>
        <v>834.81528103448284</v>
      </c>
      <c r="M104" s="84">
        <f t="shared" si="65"/>
        <v>3364.5585568965516</v>
      </c>
      <c r="N104" s="84">
        <f>+M104*N$102</f>
        <v>1345.8234227586208</v>
      </c>
      <c r="O104" s="101">
        <f t="shared" si="66"/>
        <v>4710.3819796551725</v>
      </c>
      <c r="P104" s="245" t="s">
        <v>202</v>
      </c>
      <c r="V104">
        <f>+W104*H104</f>
        <v>5017.6726132801368</v>
      </c>
      <c r="W104" s="120">
        <v>0.15</v>
      </c>
      <c r="X104" s="119">
        <f>+H104*(1-W104)</f>
        <v>28433.478141920776</v>
      </c>
      <c r="Y104" s="119">
        <f>+X104/E104</f>
        <v>1777.0923838700485</v>
      </c>
      <c r="Z104" s="119">
        <f>+Y104*1.21*1.3*1.4</f>
        <v>3913.5128477586204</v>
      </c>
      <c r="AA104" s="118" t="s">
        <v>111</v>
      </c>
      <c r="AB104" t="s">
        <v>119</v>
      </c>
      <c r="AF104">
        <v>28151.610145340554</v>
      </c>
      <c r="AG104">
        <f>+(H104-AF104)/AF104</f>
        <v>0.18825000000000003</v>
      </c>
      <c r="AK104" s="80">
        <v>100521453</v>
      </c>
      <c r="AL104" s="24">
        <v>32330.364776289549</v>
      </c>
    </row>
    <row r="105" spans="1:38" x14ac:dyDescent="0.35">
      <c r="A105" s="124">
        <v>100521453</v>
      </c>
      <c r="B105" s="125" t="s">
        <v>104</v>
      </c>
      <c r="C105" s="126">
        <v>7790360982223</v>
      </c>
      <c r="D105" s="127">
        <v>5.4</v>
      </c>
      <c r="E105" s="100">
        <v>18</v>
      </c>
      <c r="F105" s="84">
        <v>32301.267447990893</v>
      </c>
      <c r="G105" s="215"/>
      <c r="H105" s="84">
        <f t="shared" si="51"/>
        <v>32301.267447990893</v>
      </c>
      <c r="I105" s="84">
        <f>+H105/E105</f>
        <v>1794.5148582217162</v>
      </c>
      <c r="J105" s="84">
        <f>+I105*J$102</f>
        <v>376.84812022656035</v>
      </c>
      <c r="K105" s="84">
        <f t="shared" si="64"/>
        <v>2171.3629784482764</v>
      </c>
      <c r="L105" s="84">
        <f>+K105*L$102</f>
        <v>716.5497828879312</v>
      </c>
      <c r="M105" s="84">
        <f t="shared" si="65"/>
        <v>2887.9127613362075</v>
      </c>
      <c r="N105" s="84">
        <f>+M105*N$102</f>
        <v>1155.1651045344831</v>
      </c>
      <c r="O105" s="101">
        <f t="shared" si="66"/>
        <v>4043.0778658706904</v>
      </c>
      <c r="P105" s="245" t="s">
        <v>203</v>
      </c>
      <c r="V105">
        <f>+W105*H105</f>
        <v>4845.1901171986337</v>
      </c>
      <c r="W105" s="120">
        <v>0.15</v>
      </c>
      <c r="X105" s="119">
        <f>+H105*(1-W105)</f>
        <v>27456.077330792257</v>
      </c>
      <c r="Y105" s="119">
        <f>+X105/E105</f>
        <v>1525.3376294884588</v>
      </c>
      <c r="Z105" s="119">
        <f>+Y105*1.21*1.3*1.4</f>
        <v>3359.0985276594838</v>
      </c>
      <c r="AA105" s="118" t="s">
        <v>111</v>
      </c>
      <c r="AB105" t="s">
        <v>119</v>
      </c>
      <c r="AF105">
        <v>28481.511826731268</v>
      </c>
      <c r="AG105">
        <f>+(H105-AF105)/AF105</f>
        <v>0.13411351351351372</v>
      </c>
      <c r="AK105" s="80">
        <v>100521454</v>
      </c>
      <c r="AL105" s="24">
        <v>32330.364776289549</v>
      </c>
    </row>
    <row r="106" spans="1:38" x14ac:dyDescent="0.35">
      <c r="A106" s="124">
        <v>100521454</v>
      </c>
      <c r="B106" s="125" t="s">
        <v>105</v>
      </c>
      <c r="C106" s="126">
        <v>7790360982230</v>
      </c>
      <c r="D106" s="127">
        <v>5.3999999999999995</v>
      </c>
      <c r="E106" s="100">
        <v>18</v>
      </c>
      <c r="F106" s="84">
        <v>32301.267447990893</v>
      </c>
      <c r="G106" s="215"/>
      <c r="H106" s="84">
        <f t="shared" si="51"/>
        <v>32301.267447990893</v>
      </c>
      <c r="I106" s="84">
        <f>+H106/E106</f>
        <v>1794.5148582217162</v>
      </c>
      <c r="J106" s="84">
        <f>+I106*J$102</f>
        <v>376.84812022656035</v>
      </c>
      <c r="K106" s="84">
        <f t="shared" si="64"/>
        <v>2171.3629784482764</v>
      </c>
      <c r="L106" s="84">
        <f>+K106*L$102</f>
        <v>716.5497828879312</v>
      </c>
      <c r="M106" s="84">
        <f t="shared" si="65"/>
        <v>2887.9127613362075</v>
      </c>
      <c r="N106" s="84">
        <f>+M106*N$102</f>
        <v>1155.1651045344831</v>
      </c>
      <c r="O106" s="101">
        <f t="shared" si="66"/>
        <v>4043.0778658706904</v>
      </c>
      <c r="P106" s="245" t="s">
        <v>203</v>
      </c>
      <c r="W106" s="120">
        <v>0.15</v>
      </c>
      <c r="X106" s="119">
        <f>+H106*(1-W106)</f>
        <v>27456.077330792257</v>
      </c>
      <c r="Y106" s="119">
        <f>+X106/E106</f>
        <v>1525.3376294884588</v>
      </c>
      <c r="Z106" s="119">
        <f>+Y106*1.21*1.3*1.4</f>
        <v>3359.0985276594838</v>
      </c>
      <c r="AA106" s="118" t="s">
        <v>111</v>
      </c>
      <c r="AB106" t="s">
        <v>119</v>
      </c>
      <c r="AF106">
        <v>28481.511826731268</v>
      </c>
      <c r="AG106">
        <f>+(H106-AF106)/AF106</f>
        <v>0.13411351351351372</v>
      </c>
      <c r="AK106" s="71"/>
      <c r="AL106" s="75">
        <v>0.35</v>
      </c>
    </row>
    <row r="107" spans="1:38" x14ac:dyDescent="0.35">
      <c r="A107" s="71"/>
      <c r="B107" s="72"/>
      <c r="C107" s="73"/>
      <c r="D107" s="199"/>
      <c r="E107" s="74"/>
      <c r="F107" s="74"/>
      <c r="G107" s="74"/>
      <c r="H107" s="75"/>
      <c r="I107" s="75"/>
      <c r="J107" s="78">
        <v>0.21</v>
      </c>
      <c r="K107" s="78"/>
      <c r="L107" s="78">
        <v>0.22</v>
      </c>
      <c r="M107" s="78"/>
      <c r="N107" s="78">
        <v>0.35</v>
      </c>
      <c r="O107" s="79"/>
      <c r="AK107" s="80">
        <v>100522246</v>
      </c>
      <c r="AL107" s="24">
        <v>106193.37939755226</v>
      </c>
    </row>
    <row r="108" spans="1:38" x14ac:dyDescent="0.35">
      <c r="A108" s="80">
        <v>100522246</v>
      </c>
      <c r="B108" s="42" t="s">
        <v>158</v>
      </c>
      <c r="C108" s="43">
        <v>7790360984234</v>
      </c>
      <c r="D108" s="81">
        <v>8.16</v>
      </c>
      <c r="E108" s="23">
        <v>48</v>
      </c>
      <c r="F108" s="24">
        <v>106193.37939755226</v>
      </c>
      <c r="G108" s="223"/>
      <c r="H108" s="24">
        <f t="shared" ref="H108:H109" si="67">+F108*(1-G108)</f>
        <v>106193.37939755226</v>
      </c>
      <c r="I108" s="24">
        <f t="shared" ref="I108:I109" si="68">+H108/E108</f>
        <v>2212.3620707823388</v>
      </c>
      <c r="J108" s="24">
        <f t="shared" ref="J108:J109" si="69">+I108*J$3</f>
        <v>464.59603486429114</v>
      </c>
      <c r="K108" s="24">
        <f t="shared" ref="K108:K109" si="70">+I108+J108</f>
        <v>2676.95810564663</v>
      </c>
      <c r="L108" s="24">
        <f t="shared" ref="L108:L109" si="71">+K108*L$39</f>
        <v>588.9307832422586</v>
      </c>
      <c r="M108" s="24">
        <f t="shared" ref="M108:M109" si="72">+K108+L108</f>
        <v>3265.8888888888887</v>
      </c>
      <c r="N108" s="24">
        <f t="shared" ref="N108:N109" si="73">+M108*N$39</f>
        <v>1143.0611111111109</v>
      </c>
      <c r="O108" s="25">
        <f t="shared" ref="O108:O109" si="74">+M108+N108</f>
        <v>4408.95</v>
      </c>
      <c r="W108">
        <f>+V104*9*2+V105*8*2+V4*144</f>
        <v>752740.32673105085</v>
      </c>
      <c r="AK108" s="80">
        <v>100522247</v>
      </c>
      <c r="AL108" s="24">
        <v>106193.37939755226</v>
      </c>
    </row>
    <row r="109" spans="1:38" x14ac:dyDescent="0.35">
      <c r="A109" s="80">
        <v>100522247</v>
      </c>
      <c r="B109" s="42" t="s">
        <v>159</v>
      </c>
      <c r="C109" s="43">
        <v>7790360984241</v>
      </c>
      <c r="D109" s="81">
        <v>8.16</v>
      </c>
      <c r="E109" s="23">
        <v>48</v>
      </c>
      <c r="F109" s="24">
        <v>106193.37939755226</v>
      </c>
      <c r="G109" s="223"/>
      <c r="H109" s="24">
        <f t="shared" si="67"/>
        <v>106193.37939755226</v>
      </c>
      <c r="I109" s="24">
        <f t="shared" si="68"/>
        <v>2212.3620707823388</v>
      </c>
      <c r="J109" s="24">
        <f t="shared" si="69"/>
        <v>464.59603486429114</v>
      </c>
      <c r="K109" s="24">
        <f t="shared" si="70"/>
        <v>2676.95810564663</v>
      </c>
      <c r="L109" s="24">
        <f t="shared" si="71"/>
        <v>588.9307832422586</v>
      </c>
      <c r="M109" s="24">
        <f t="shared" si="72"/>
        <v>3265.8888888888887</v>
      </c>
      <c r="N109" s="24">
        <f t="shared" si="73"/>
        <v>1143.0611111111109</v>
      </c>
      <c r="O109" s="25">
        <f t="shared" si="74"/>
        <v>4408.95</v>
      </c>
      <c r="Y109" t="s">
        <v>126</v>
      </c>
      <c r="Z109" t="s">
        <v>124</v>
      </c>
      <c r="AA109" s="118" t="s">
        <v>125</v>
      </c>
      <c r="AK109" s="80">
        <v>100521454</v>
      </c>
      <c r="AL109" s="24">
        <v>30790.823596466234</v>
      </c>
    </row>
    <row r="110" spans="1:38" x14ac:dyDescent="0.35">
      <c r="Y110">
        <v>4446</v>
      </c>
      <c r="Z110">
        <v>4300</v>
      </c>
      <c r="AA110">
        <v>4165</v>
      </c>
    </row>
  </sheetData>
  <mergeCells count="1">
    <mergeCell ref="W1:AB1"/>
  </mergeCells>
  <conditionalFormatting sqref="A20:B20">
    <cfRule type="cellIs" dxfId="172" priority="201" stopIfTrue="1" operator="equal">
      <formula>0</formula>
    </cfRule>
  </conditionalFormatting>
  <conditionalFormatting sqref="A63:C63">
    <cfRule type="cellIs" dxfId="171" priority="134" stopIfTrue="1" operator="equal">
      <formula>0</formula>
    </cfRule>
  </conditionalFormatting>
  <conditionalFormatting sqref="A16:F19 D20:G20">
    <cfRule type="cellIs" dxfId="170" priority="174" stopIfTrue="1" operator="equal">
      <formula>0</formula>
    </cfRule>
  </conditionalFormatting>
  <conditionalFormatting sqref="A101:F101">
    <cfRule type="cellIs" dxfId="169" priority="2" stopIfTrue="1" operator="equal">
      <formula>0</formula>
    </cfRule>
  </conditionalFormatting>
  <conditionalFormatting sqref="A103:F106">
    <cfRule type="cellIs" dxfId="168" priority="149" stopIfTrue="1" operator="equal">
      <formula>0</formula>
    </cfRule>
  </conditionalFormatting>
  <conditionalFormatting sqref="A69:F69 H69:O69">
    <cfRule type="cellIs" dxfId="167" priority="121" stopIfTrue="1" operator="equal">
      <formula>0</formula>
    </cfRule>
  </conditionalFormatting>
  <conditionalFormatting sqref="A73:O74">
    <cfRule type="cellIs" dxfId="166" priority="120" stopIfTrue="1" operator="equal">
      <formula>0</formula>
    </cfRule>
  </conditionalFormatting>
  <conditionalFormatting sqref="A96:O98">
    <cfRule type="cellIs" dxfId="165" priority="20" stopIfTrue="1" operator="equal">
      <formula>0</formula>
    </cfRule>
  </conditionalFormatting>
  <conditionalFormatting sqref="A100:O100 H101:O101">
    <cfRule type="cellIs" dxfId="164" priority="71" stopIfTrue="1" operator="equal">
      <formula>0</formula>
    </cfRule>
  </conditionalFormatting>
  <conditionalFormatting sqref="B28">
    <cfRule type="cellIs" dxfId="163" priority="189" stopIfTrue="1" operator="equal">
      <formula>0</formula>
    </cfRule>
  </conditionalFormatting>
  <conditionalFormatting sqref="D58:F61 I59:O61">
    <cfRule type="cellIs" dxfId="162" priority="195" stopIfTrue="1" operator="equal">
      <formula>0</formula>
    </cfRule>
  </conditionalFormatting>
  <conditionalFormatting sqref="D89:O94">
    <cfRule type="cellIs" dxfId="161" priority="118" stopIfTrue="1" operator="equal">
      <formula>0</formula>
    </cfRule>
  </conditionalFormatting>
  <conditionalFormatting sqref="F108:H109">
    <cfRule type="cellIs" dxfId="160" priority="39" stopIfTrue="1" operator="equal">
      <formula>0</formula>
    </cfRule>
  </conditionalFormatting>
  <conditionalFormatting sqref="G18">
    <cfRule type="cellIs" dxfId="159" priority="74" operator="greaterThan">
      <formula>0</formula>
    </cfRule>
  </conditionalFormatting>
  <conditionalFormatting sqref="H17:H20">
    <cfRule type="cellIs" dxfId="158" priority="180" stopIfTrue="1" operator="equal">
      <formula>0</formula>
    </cfRule>
  </conditionalFormatting>
  <conditionalFormatting sqref="H16:O16">
    <cfRule type="cellIs" dxfId="157" priority="196" stopIfTrue="1" operator="equal">
      <formula>0</formula>
    </cfRule>
  </conditionalFormatting>
  <conditionalFormatting sqref="H58:O58">
    <cfRule type="cellIs" dxfId="156" priority="172" stopIfTrue="1" operator="equal">
      <formula>0</formula>
    </cfRule>
  </conditionalFormatting>
  <conditionalFormatting sqref="H103:O106">
    <cfRule type="cellIs" dxfId="155" priority="139" stopIfTrue="1" operator="equal">
      <formula>0</formula>
    </cfRule>
  </conditionalFormatting>
  <conditionalFormatting sqref="I19:L19 I20:K20">
    <cfRule type="cellIs" dxfId="154" priority="191" stopIfTrue="1" operator="equal">
      <formula>0</formula>
    </cfRule>
  </conditionalFormatting>
  <conditionalFormatting sqref="I17:O18">
    <cfRule type="cellIs" dxfId="153" priority="181" stopIfTrue="1" operator="equal">
      <formula>0</formula>
    </cfRule>
  </conditionalFormatting>
  <conditionalFormatting sqref="L37">
    <cfRule type="cellIs" dxfId="152" priority="190" stopIfTrue="1" operator="equal">
      <formula>0</formula>
    </cfRule>
  </conditionalFormatting>
  <conditionalFormatting sqref="M19:N19">
    <cfRule type="cellIs" dxfId="151" priority="192" stopIfTrue="1" operator="equal">
      <formula>0</formula>
    </cfRule>
  </conditionalFormatting>
  <conditionalFormatting sqref="M20:O20">
    <cfRule type="cellIs" dxfId="150" priority="193" stopIfTrue="1" operator="equal">
      <formula>0</formula>
    </cfRule>
  </conditionalFormatting>
  <conditionalFormatting sqref="P12:P15">
    <cfRule type="cellIs" dxfId="149" priority="73" operator="greaterThan">
      <formula>0</formula>
    </cfRule>
  </conditionalFormatting>
  <conditionalFormatting sqref="Z60">
    <cfRule type="cellIs" dxfId="148" priority="119" stopIfTrue="1" operator="equal">
      <formula>0</formula>
    </cfRule>
  </conditionalFormatting>
  <conditionalFormatting sqref="AK58">
    <cfRule type="cellIs" dxfId="147" priority="17" stopIfTrue="1" operator="equal">
      <formula>0</formula>
    </cfRule>
  </conditionalFormatting>
  <conditionalFormatting sqref="AK67:AK69">
    <cfRule type="cellIs" dxfId="146" priority="15" stopIfTrue="1" operator="equal">
      <formula>0</formula>
    </cfRule>
  </conditionalFormatting>
  <conditionalFormatting sqref="AK107:AK108">
    <cfRule type="cellIs" dxfId="145" priority="30" stopIfTrue="1" operator="equal">
      <formula>0</formula>
    </cfRule>
  </conditionalFormatting>
  <conditionalFormatting sqref="AK64:AL64">
    <cfRule type="cellIs" dxfId="144" priority="6" stopIfTrue="1" operator="equal">
      <formula>0</formula>
    </cfRule>
  </conditionalFormatting>
  <conditionalFormatting sqref="AK90:AL92">
    <cfRule type="cellIs" dxfId="143" priority="4" stopIfTrue="1" operator="equal">
      <formula>0</formula>
    </cfRule>
  </conditionalFormatting>
  <conditionalFormatting sqref="AK94:AL95">
    <cfRule type="cellIs" dxfId="142" priority="3" stopIfTrue="1" operator="equal">
      <formula>0</formula>
    </cfRule>
  </conditionalFormatting>
  <conditionalFormatting sqref="AK97:AL105">
    <cfRule type="cellIs" dxfId="141" priority="8" stopIfTrue="1" operator="equal">
      <formula>0</formula>
    </cfRule>
  </conditionalFormatting>
  <conditionalFormatting sqref="AK109:AL109">
    <cfRule type="cellIs" dxfId="140" priority="97" stopIfTrue="1" operator="equal">
      <formula>0</formula>
    </cfRule>
  </conditionalFormatting>
  <conditionalFormatting sqref="AL15:AL18">
    <cfRule type="cellIs" dxfId="139" priority="7" stopIfTrue="1" operator="equal">
      <formula>0</formula>
    </cfRule>
  </conditionalFormatting>
  <conditionalFormatting sqref="AL53:AL56">
    <cfRule type="cellIs" dxfId="138" priority="10" stopIfTrue="1" operator="equal">
      <formula>0</formula>
    </cfRule>
  </conditionalFormatting>
  <conditionalFormatting sqref="AL68:AL69">
    <cfRule type="cellIs" dxfId="137" priority="5" stopIfTrue="1" operator="equal">
      <formula>0</formula>
    </cfRule>
  </conditionalFormatting>
  <conditionalFormatting sqref="AL84:AL88">
    <cfRule type="cellIs" dxfId="136" priority="9" stopIfTrue="1" operator="equal">
      <formula>0</formula>
    </cfRule>
  </conditionalFormatting>
  <conditionalFormatting sqref="G69">
    <cfRule type="cellIs" dxfId="135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0964-07BD-498B-835A-29269F283B35}">
  <dimension ref="A1:GF119"/>
  <sheetViews>
    <sheetView topLeftCell="D88" zoomScaleNormal="90" workbookViewId="0">
      <selection activeCell="G97" sqref="G97"/>
    </sheetView>
  </sheetViews>
  <sheetFormatPr baseColWidth="10" defaultColWidth="11.453125" defaultRowHeight="14.5" outlineLevelCol="1" x14ac:dyDescent="0.35"/>
  <cols>
    <col min="1" max="1" width="11.54296875" customWidth="1" collapsed="1"/>
    <col min="2" max="2" width="53.54296875" bestFit="1" customWidth="1"/>
    <col min="3" max="3" width="14.1796875" customWidth="1"/>
    <col min="4" max="4" width="8.1796875" customWidth="1"/>
    <col min="5" max="5" width="6" customWidth="1"/>
    <col min="6" max="6" width="9.453125" style="82" customWidth="1"/>
    <col min="7" max="7" width="10.453125" customWidth="1"/>
    <col min="8" max="8" width="9.453125" style="82" customWidth="1"/>
    <col min="9" max="9" width="10.1796875" customWidth="1"/>
    <col min="10" max="14" width="11.453125" customWidth="1"/>
    <col min="15" max="15" width="10.1796875" style="77" customWidth="1"/>
    <col min="16" max="16" width="10.54296875" style="77" hidden="1" customWidth="1"/>
    <col min="17" max="17" width="10" style="1" hidden="1" customWidth="1"/>
    <col min="18" max="18" width="97.6328125" style="1" customWidth="1"/>
    <col min="19" max="19" width="12.08984375" style="1" customWidth="1"/>
    <col min="20" max="21" width="10.6328125" style="1" bestFit="1" customWidth="1"/>
    <col min="22" max="22" width="10" style="1" customWidth="1"/>
    <col min="23" max="23" width="100.453125" style="1" hidden="1" customWidth="1"/>
    <col min="24" max="24" width="5.81640625" hidden="1" customWidth="1"/>
    <col min="25" max="25" width="13.1796875" hidden="1" customWidth="1"/>
    <col min="26" max="26" width="11.6328125" hidden="1" customWidth="1"/>
    <col min="27" max="27" width="11" hidden="1" customWidth="1"/>
    <col min="28" max="29" width="10.453125" hidden="1" customWidth="1"/>
    <col min="30" max="30" width="11.08984375" hidden="1" customWidth="1"/>
    <col min="31" max="31" width="1.81640625" hidden="1" customWidth="1"/>
    <col min="32" max="32" width="8" hidden="1" customWidth="1"/>
    <col min="33" max="33" width="7.1796875" hidden="1" customWidth="1"/>
    <col min="34" max="34" width="2.81640625" hidden="1" customWidth="1"/>
    <col min="35" max="35" width="11.453125" hidden="1" customWidth="1"/>
    <col min="36" max="36" width="4" hidden="1" customWidth="1"/>
    <col min="37" max="38" width="11.453125" hidden="1" customWidth="1"/>
    <col min="39" max="39" width="11.453125" customWidth="1"/>
    <col min="40" max="40" width="8.54296875" customWidth="1"/>
    <col min="41" max="41" width="11.453125" customWidth="1"/>
    <col min="42" max="42" width="10.1796875" customWidth="1"/>
    <col min="43" max="43" width="11.453125" customWidth="1"/>
    <col min="44" max="44" width="10.1796875" customWidth="1"/>
    <col min="45" max="45" width="11.453125" customWidth="1"/>
    <col min="46" max="46" width="10.1796875" customWidth="1"/>
    <col min="47" max="47" width="11.453125" customWidth="1"/>
    <col min="48" max="48" width="10.1796875" customWidth="1"/>
    <col min="49" max="49" width="11.453125" customWidth="1"/>
    <col min="50" max="50" width="10.1796875" customWidth="1"/>
    <col min="51" max="51" width="11.453125" customWidth="1"/>
    <col min="52" max="52" width="10.1796875" customWidth="1"/>
    <col min="53" max="53" width="11.453125" customWidth="1"/>
    <col min="54" max="54" width="10.1796875" customWidth="1"/>
    <col min="55" max="55" width="11.453125" customWidth="1"/>
    <col min="56" max="56" width="10.1796875" customWidth="1"/>
    <col min="57" max="57" width="11.453125" customWidth="1"/>
    <col min="58" max="58" width="10.1796875" customWidth="1"/>
    <col min="59" max="59" width="11.453125" customWidth="1"/>
    <col min="60" max="60" width="10.1796875" customWidth="1"/>
    <col min="61" max="61" width="11.453125" customWidth="1"/>
    <col min="62" max="62" width="9.81640625" customWidth="1"/>
    <col min="63" max="69" width="11.453125" customWidth="1"/>
    <col min="70" max="70" width="9.81640625" customWidth="1"/>
    <col min="71" max="71" width="11.453125" customWidth="1"/>
    <col min="72" max="72" width="9.81640625" customWidth="1"/>
    <col min="73" max="73" width="11.453125" customWidth="1"/>
    <col min="74" max="74" width="9.81640625" customWidth="1"/>
    <col min="75" max="75" width="11.453125" customWidth="1"/>
    <col min="76" max="76" width="9.81640625" customWidth="1"/>
    <col min="77" max="77" width="11.453125" customWidth="1"/>
    <col min="78" max="78" width="9.81640625" customWidth="1"/>
    <col min="79" max="79" width="11.453125" customWidth="1"/>
    <col min="80" max="80" width="10" customWidth="1"/>
    <col min="81" max="81" width="11.453125" customWidth="1"/>
    <col min="82" max="82" width="10" customWidth="1"/>
    <col min="83" max="83" width="11.453125" customWidth="1"/>
    <col min="84" max="84" width="10" customWidth="1"/>
    <col min="85" max="85" width="11.453125" customWidth="1"/>
    <col min="86" max="86" width="10" customWidth="1"/>
    <col min="87" max="87" width="11.453125" customWidth="1"/>
    <col min="88" max="88" width="9.81640625" customWidth="1"/>
    <col min="89" max="89" width="11.453125" customWidth="1"/>
    <col min="90" max="90" width="11.54296875" customWidth="1"/>
    <col min="91" max="91" width="6" customWidth="1"/>
    <col min="92" max="92" width="11.54296875" customWidth="1"/>
    <col min="93" max="93" width="3.453125" customWidth="1"/>
    <col min="94" max="94" width="11.54296875" customWidth="1"/>
    <col min="95" max="95" width="3.453125" customWidth="1"/>
    <col min="96" max="96" width="11.54296875" customWidth="1"/>
    <col min="97" max="97" width="3.453125" customWidth="1"/>
    <col min="98" max="98" width="11.54296875" customWidth="1"/>
    <col min="99" max="99" width="3.453125" customWidth="1"/>
    <col min="100" max="100" width="11.54296875" customWidth="1"/>
    <col min="101" max="101" width="3.453125" customWidth="1"/>
    <col min="102" max="102" width="11.54296875" customWidth="1"/>
    <col min="103" max="103" width="3.453125" customWidth="1"/>
    <col min="104" max="104" width="11.54296875" customWidth="1"/>
    <col min="105" max="105" width="3.453125" customWidth="1"/>
    <col min="106" max="106" width="11.54296875" customWidth="1"/>
    <col min="107" max="107" width="3.453125" customWidth="1"/>
    <col min="108" max="108" width="11.54296875" customWidth="1"/>
    <col min="109" max="109" width="3" customWidth="1"/>
    <col min="110" max="110" width="11.54296875" customWidth="1"/>
    <col min="111" max="111" width="4.81640625" customWidth="1"/>
    <col min="112" max="112" width="11.54296875" customWidth="1"/>
    <col min="113" max="113" width="4.81640625" customWidth="1"/>
    <col min="114" max="114" width="11.453125" customWidth="1"/>
    <col min="115" max="115" width="4.81640625" customWidth="1"/>
    <col min="116" max="116" width="11.453125" customWidth="1"/>
    <col min="117" max="117" width="4.81640625" customWidth="1"/>
    <col min="118" max="172" width="11.453125" customWidth="1"/>
    <col min="173" max="173" width="11.453125" customWidth="1" outlineLevel="1"/>
    <col min="174" max="175" width="11.453125" customWidth="1"/>
    <col min="177" max="183" width="11.453125" outlineLevel="1"/>
    <col min="186" max="188" width="11.453125" outlineLevel="1"/>
  </cols>
  <sheetData>
    <row r="1" spans="1:38" ht="15" thickBot="1" x14ac:dyDescent="0.4">
      <c r="A1" s="1"/>
      <c r="B1" s="1"/>
      <c r="C1" s="1"/>
      <c r="D1" s="1"/>
      <c r="E1" s="1"/>
      <c r="F1" s="2"/>
      <c r="G1" s="1"/>
      <c r="H1" s="2">
        <f>10700*1.05</f>
        <v>11235</v>
      </c>
      <c r="I1" s="1"/>
      <c r="J1" s="1"/>
      <c r="K1" s="1"/>
      <c r="L1" s="1"/>
      <c r="M1" s="1"/>
      <c r="N1" s="1"/>
      <c r="O1" s="3"/>
      <c r="P1" s="3"/>
      <c r="R1"/>
      <c r="S1"/>
      <c r="T1"/>
      <c r="U1"/>
      <c r="V1"/>
      <c r="W1"/>
      <c r="Y1" s="233" t="s">
        <v>109</v>
      </c>
      <c r="Z1" s="233"/>
      <c r="AA1" s="233"/>
      <c r="AB1" s="233"/>
      <c r="AC1" s="233"/>
      <c r="AD1" s="233"/>
    </row>
    <row r="2" spans="1:38" ht="36.5" thickBot="1" x14ac:dyDescent="0.4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6" t="s">
        <v>90</v>
      </c>
      <c r="H2" s="7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9" t="s">
        <v>12</v>
      </c>
      <c r="P2" s="10"/>
      <c r="Q2" s="11" t="s">
        <v>13</v>
      </c>
      <c r="R2" s="9" t="s">
        <v>171</v>
      </c>
      <c r="S2"/>
      <c r="T2"/>
      <c r="U2"/>
      <c r="V2"/>
      <c r="W2"/>
      <c r="Y2" s="121" t="s">
        <v>112</v>
      </c>
      <c r="Z2" s="122" t="s">
        <v>113</v>
      </c>
      <c r="AA2" s="122" t="s">
        <v>114</v>
      </c>
      <c r="AB2" s="122" t="s">
        <v>115</v>
      </c>
      <c r="AC2" s="122" t="s">
        <v>116</v>
      </c>
      <c r="AD2" s="122" t="s">
        <v>108</v>
      </c>
      <c r="AF2" t="s">
        <v>145</v>
      </c>
      <c r="AG2" t="s">
        <v>107</v>
      </c>
    </row>
    <row r="3" spans="1:38" x14ac:dyDescent="0.35">
      <c r="A3" s="12"/>
      <c r="B3" s="13"/>
      <c r="C3" s="14"/>
      <c r="D3" s="13"/>
      <c r="E3" s="13"/>
      <c r="F3" s="15"/>
      <c r="G3" s="13"/>
      <c r="H3" s="15"/>
      <c r="I3" s="16"/>
      <c r="J3" s="17">
        <v>0.21</v>
      </c>
      <c r="K3" s="16"/>
      <c r="L3" s="17">
        <v>0.33</v>
      </c>
      <c r="M3" s="16"/>
      <c r="N3" s="17">
        <v>0.4</v>
      </c>
      <c r="O3" s="18"/>
      <c r="P3" s="3"/>
      <c r="Q3" s="18"/>
      <c r="R3"/>
      <c r="S3" s="232">
        <v>6.1901371618337003E-2</v>
      </c>
      <c r="T3"/>
      <c r="U3"/>
      <c r="V3"/>
      <c r="W3"/>
    </row>
    <row r="4" spans="1:38" x14ac:dyDescent="0.35">
      <c r="A4" s="19">
        <v>100021632</v>
      </c>
      <c r="B4" s="20" t="s">
        <v>14</v>
      </c>
      <c r="C4" s="21">
        <v>7790360026606</v>
      </c>
      <c r="D4" s="22">
        <v>4.8</v>
      </c>
      <c r="E4" s="23">
        <v>30</v>
      </c>
      <c r="F4" s="24">
        <v>38759.009817190774</v>
      </c>
      <c r="G4" s="206"/>
      <c r="H4" s="24">
        <f>+F4*(1-G4)</f>
        <v>38759.009817190774</v>
      </c>
      <c r="I4" s="24">
        <f>+H4/E4</f>
        <v>1291.9669939063592</v>
      </c>
      <c r="J4" s="24">
        <f>+I4*J$3</f>
        <v>271.31306872033542</v>
      </c>
      <c r="K4" s="24">
        <f>+I4+J4</f>
        <v>1563.2800626266946</v>
      </c>
      <c r="L4" s="24">
        <f>+K4*L$3</f>
        <v>515.88242066680925</v>
      </c>
      <c r="M4" s="24">
        <f>+K4+L4</f>
        <v>2079.162483293504</v>
      </c>
      <c r="N4" s="24">
        <f>+M4*N$3</f>
        <v>831.6649933174017</v>
      </c>
      <c r="O4" s="25">
        <f>+M4+N4</f>
        <v>2910.8274766109057</v>
      </c>
      <c r="P4" s="183">
        <f>H4/Q4-1</f>
        <v>0.12349999999999994</v>
      </c>
      <c r="Q4" s="25">
        <v>34498.45110564377</v>
      </c>
      <c r="R4"/>
      <c r="S4"/>
      <c r="T4"/>
      <c r="U4"/>
      <c r="V4"/>
      <c r="W4"/>
      <c r="X4">
        <f>+Y4*H4</f>
        <v>3875.9009817190777</v>
      </c>
      <c r="Y4" s="120">
        <v>0.1</v>
      </c>
      <c r="Z4" s="119">
        <f>+H4*(1-Y4)</f>
        <v>34883.108835471699</v>
      </c>
      <c r="AA4" s="119">
        <f>+Z4/E4</f>
        <v>1162.7702945157232</v>
      </c>
      <c r="AB4" s="119">
        <f>+AA4*1.21*1.3*1.4</f>
        <v>2560.6527425825257</v>
      </c>
      <c r="AC4" s="118" t="s">
        <v>111</v>
      </c>
      <c r="AD4" t="s">
        <v>110</v>
      </c>
      <c r="AF4">
        <v>28670.617659852112</v>
      </c>
      <c r="AG4">
        <f>+(H4-AF4)/AF4</f>
        <v>0.35187215975000025</v>
      </c>
      <c r="AK4" s="203">
        <v>100021632</v>
      </c>
      <c r="AL4" s="24">
        <v>36223.373660925958</v>
      </c>
    </row>
    <row r="5" spans="1:38" x14ac:dyDescent="0.35">
      <c r="A5" s="26">
        <v>100021652</v>
      </c>
      <c r="B5" s="20" t="s">
        <v>15</v>
      </c>
      <c r="C5" s="21">
        <v>7790360026576</v>
      </c>
      <c r="D5" s="22">
        <v>5.76</v>
      </c>
      <c r="E5" s="23">
        <v>18</v>
      </c>
      <c r="F5" s="24">
        <v>49208.687914854294</v>
      </c>
      <c r="G5" s="23"/>
      <c r="H5" s="24">
        <f>+F5*(1-G5)</f>
        <v>49208.687914854294</v>
      </c>
      <c r="I5" s="24">
        <f t="shared" ref="I5:I77" si="0">+H5/E5</f>
        <v>2733.8159952696828</v>
      </c>
      <c r="J5" s="24">
        <f t="shared" ref="J5:J77" si="1">+I5*J$3</f>
        <v>574.1013590066334</v>
      </c>
      <c r="K5" s="24">
        <f t="shared" ref="K5:K77" si="2">+I5+J5</f>
        <v>3307.9173542763165</v>
      </c>
      <c r="L5" s="24">
        <f t="shared" ref="L5:L77" si="3">+K5*L$3</f>
        <v>1091.6127269111844</v>
      </c>
      <c r="M5" s="24">
        <f t="shared" ref="M5:M77" si="4">+K5+L5</f>
        <v>4399.5300811875004</v>
      </c>
      <c r="N5" s="24">
        <f t="shared" ref="N5:N77" si="5">+M5*N$3</f>
        <v>1759.8120324750003</v>
      </c>
      <c r="O5" s="25">
        <f t="shared" ref="O5:O77" si="6">+M5+N5</f>
        <v>6159.3421136625002</v>
      </c>
      <c r="P5" s="183">
        <f t="shared" ref="P5:P71" si="7">H5/Q5-1</f>
        <v>0</v>
      </c>
      <c r="Q5" s="25">
        <v>49208.687914854294</v>
      </c>
      <c r="R5"/>
      <c r="S5"/>
      <c r="T5"/>
      <c r="U5"/>
      <c r="V5"/>
      <c r="W5"/>
      <c r="AF5">
        <v>41713.766855154419</v>
      </c>
      <c r="AG5">
        <f>+(H5-AF5)/AF5</f>
        <v>0.17967500000000011</v>
      </c>
      <c r="AK5" s="203">
        <v>100021652</v>
      </c>
      <c r="AL5" s="24">
        <v>49208.687914854294</v>
      </c>
    </row>
    <row r="6" spans="1:38" x14ac:dyDescent="0.35">
      <c r="A6" s="26">
        <v>100021631</v>
      </c>
      <c r="B6" s="20" t="s">
        <v>16</v>
      </c>
      <c r="C6" s="21">
        <v>7790360026590</v>
      </c>
      <c r="D6" s="22">
        <v>7.68</v>
      </c>
      <c r="E6" s="23">
        <v>8</v>
      </c>
      <c r="F6" s="24">
        <v>60717.273945933041</v>
      </c>
      <c r="G6" s="23"/>
      <c r="H6" s="24">
        <f t="shared" ref="H6:H78" si="8">+F6*(1-G6)</f>
        <v>60717.273945933041</v>
      </c>
      <c r="I6" s="24">
        <f t="shared" si="0"/>
        <v>7589.6592432416301</v>
      </c>
      <c r="J6" s="24">
        <f t="shared" si="1"/>
        <v>1593.8284410807423</v>
      </c>
      <c r="K6" s="24">
        <f t="shared" si="2"/>
        <v>9183.4876843223719</v>
      </c>
      <c r="L6" s="24">
        <f t="shared" si="3"/>
        <v>3030.550935826383</v>
      </c>
      <c r="M6" s="24">
        <f t="shared" si="4"/>
        <v>12214.038620148754</v>
      </c>
      <c r="N6" s="24">
        <f t="shared" si="5"/>
        <v>4885.6154480595023</v>
      </c>
      <c r="O6" s="25">
        <f t="shared" si="6"/>
        <v>17099.654068208256</v>
      </c>
      <c r="P6" s="183">
        <f t="shared" si="7"/>
        <v>0</v>
      </c>
      <c r="Q6" s="25">
        <v>60717.273945933041</v>
      </c>
      <c r="R6"/>
      <c r="S6"/>
      <c r="T6"/>
      <c r="U6"/>
      <c r="V6"/>
      <c r="W6"/>
      <c r="AF6">
        <v>61026.747229477209</v>
      </c>
      <c r="AG6">
        <f>+(H6-AF6)/AF6</f>
        <v>-5.0711089414689648E-3</v>
      </c>
      <c r="AK6" s="26">
        <v>100021631</v>
      </c>
      <c r="AL6" s="24">
        <v>60717.273945933041</v>
      </c>
    </row>
    <row r="7" spans="1:38" x14ac:dyDescent="0.35">
      <c r="A7" s="26">
        <v>100021630</v>
      </c>
      <c r="B7" s="20" t="s">
        <v>17</v>
      </c>
      <c r="C7" s="21">
        <v>7790360026583</v>
      </c>
      <c r="D7" s="22">
        <v>9.6</v>
      </c>
      <c r="E7" s="23">
        <v>6</v>
      </c>
      <c r="F7" s="24">
        <v>75896.592432416306</v>
      </c>
      <c r="G7" s="23"/>
      <c r="H7" s="24">
        <f t="shared" si="8"/>
        <v>75896.592432416306</v>
      </c>
      <c r="I7" s="24">
        <f t="shared" si="0"/>
        <v>12649.432072069385</v>
      </c>
      <c r="J7" s="24">
        <f t="shared" si="1"/>
        <v>2656.3807351345708</v>
      </c>
      <c r="K7" s="24">
        <f t="shared" si="2"/>
        <v>15305.812807203956</v>
      </c>
      <c r="L7" s="24">
        <f t="shared" si="3"/>
        <v>5050.9182263773055</v>
      </c>
      <c r="M7" s="24">
        <f t="shared" si="4"/>
        <v>20356.731033581262</v>
      </c>
      <c r="N7" s="24">
        <f t="shared" si="5"/>
        <v>8142.6924134325054</v>
      </c>
      <c r="O7" s="25">
        <f t="shared" si="6"/>
        <v>28499.423447013767</v>
      </c>
      <c r="P7" s="183">
        <f t="shared" si="7"/>
        <v>0</v>
      </c>
      <c r="Q7" s="25">
        <v>75896.592432416306</v>
      </c>
      <c r="R7"/>
      <c r="S7"/>
      <c r="T7"/>
      <c r="U7"/>
      <c r="V7"/>
      <c r="W7"/>
      <c r="AF7">
        <v>76268.328406344153</v>
      </c>
      <c r="AG7">
        <f>+(H7-AF7)/AF7</f>
        <v>-4.8740542987556219E-3</v>
      </c>
      <c r="AK7" s="26">
        <v>100021630</v>
      </c>
      <c r="AL7" s="24">
        <v>75896.592432416306</v>
      </c>
    </row>
    <row r="8" spans="1:38" x14ac:dyDescent="0.35">
      <c r="A8" s="27">
        <v>100021653</v>
      </c>
      <c r="B8" s="28" t="s">
        <v>18</v>
      </c>
      <c r="C8" s="21">
        <v>7790360026682</v>
      </c>
      <c r="D8" s="22">
        <v>5.76</v>
      </c>
      <c r="E8" s="23">
        <v>18</v>
      </c>
      <c r="F8" s="24">
        <v>52653.296068894095</v>
      </c>
      <c r="G8" s="23"/>
      <c r="H8" s="24">
        <f t="shared" si="8"/>
        <v>52653.296068894095</v>
      </c>
      <c r="I8" s="24">
        <f t="shared" si="0"/>
        <v>2925.1831149385607</v>
      </c>
      <c r="J8" s="24">
        <f t="shared" si="1"/>
        <v>614.28845413709769</v>
      </c>
      <c r="K8" s="24">
        <f t="shared" si="2"/>
        <v>3539.4715690756584</v>
      </c>
      <c r="L8" s="24">
        <f t="shared" si="3"/>
        <v>1168.0256177949673</v>
      </c>
      <c r="M8" s="24">
        <f t="shared" si="4"/>
        <v>4707.4971868706252</v>
      </c>
      <c r="N8" s="24">
        <f t="shared" si="5"/>
        <v>1882.9988747482503</v>
      </c>
      <c r="O8" s="25">
        <f t="shared" si="6"/>
        <v>6590.4960616188755</v>
      </c>
      <c r="P8" s="183">
        <f t="shared" si="7"/>
        <v>7.0000000000000062E-2</v>
      </c>
      <c r="Q8" s="25">
        <v>49208.687914854294</v>
      </c>
      <c r="R8"/>
      <c r="S8"/>
      <c r="T8"/>
      <c r="U8"/>
      <c r="V8"/>
      <c r="W8"/>
      <c r="AF8">
        <v>49250.372548715786</v>
      </c>
      <c r="AG8">
        <f>+(H8-AF8)/AF8</f>
        <v>6.9094371150437942E-2</v>
      </c>
      <c r="AK8" s="27">
        <v>100021653</v>
      </c>
      <c r="AL8" s="24">
        <v>49208.687914854294</v>
      </c>
    </row>
    <row r="9" spans="1:38" x14ac:dyDescent="0.35">
      <c r="A9" s="27">
        <v>100516169</v>
      </c>
      <c r="B9" s="28" t="s">
        <v>19</v>
      </c>
      <c r="C9" s="21">
        <v>7790360967961</v>
      </c>
      <c r="D9" s="22">
        <v>5.76</v>
      </c>
      <c r="E9" s="23">
        <v>18</v>
      </c>
      <c r="F9" s="24">
        <v>45373.851597375018</v>
      </c>
      <c r="G9" s="23"/>
      <c r="H9" s="24">
        <f t="shared" si="8"/>
        <v>45373.851597375018</v>
      </c>
      <c r="I9" s="24">
        <f t="shared" si="0"/>
        <v>2520.7695331875011</v>
      </c>
      <c r="J9" s="24">
        <f t="shared" si="1"/>
        <v>529.36160196937522</v>
      </c>
      <c r="K9" s="24">
        <f t="shared" si="2"/>
        <v>3050.1311351568766</v>
      </c>
      <c r="L9" s="24">
        <f t="shared" si="3"/>
        <v>1006.5432746017693</v>
      </c>
      <c r="M9" s="24">
        <f t="shared" si="4"/>
        <v>4056.6744097586461</v>
      </c>
      <c r="N9" s="24">
        <f t="shared" si="5"/>
        <v>1622.6697639034585</v>
      </c>
      <c r="O9" s="25">
        <f t="shared" si="6"/>
        <v>5679.3441736621044</v>
      </c>
      <c r="P9" s="183">
        <f t="shared" si="7"/>
        <v>0</v>
      </c>
      <c r="Q9" s="25">
        <v>45373.851597375018</v>
      </c>
      <c r="R9"/>
      <c r="S9"/>
      <c r="T9"/>
      <c r="U9"/>
      <c r="V9"/>
      <c r="W9"/>
      <c r="AF9">
        <v>41155.420950000007</v>
      </c>
      <c r="AG9">
        <f>+(H9-AF9)/AF9</f>
        <v>0.10250000000000026</v>
      </c>
      <c r="AK9" s="27">
        <v>100516169</v>
      </c>
      <c r="AL9" s="24">
        <v>45373.851597375018</v>
      </c>
    </row>
    <row r="10" spans="1:38" x14ac:dyDescent="0.35">
      <c r="A10" s="27">
        <v>100520337</v>
      </c>
      <c r="B10" s="28" t="s">
        <v>20</v>
      </c>
      <c r="C10" s="21">
        <v>7790360977960</v>
      </c>
      <c r="D10" s="22">
        <v>4.8</v>
      </c>
      <c r="E10" s="23">
        <v>30</v>
      </c>
      <c r="F10" s="24">
        <v>30186.144717438296</v>
      </c>
      <c r="G10" s="23"/>
      <c r="H10" s="24">
        <f t="shared" si="8"/>
        <v>30186.144717438296</v>
      </c>
      <c r="I10" s="24">
        <f>+H10/E10</f>
        <v>1006.2048239146098</v>
      </c>
      <c r="J10" s="24">
        <f>+I10*J$3</f>
        <v>211.30301302206806</v>
      </c>
      <c r="K10" s="24">
        <f>+I10+J10</f>
        <v>1217.5078369366779</v>
      </c>
      <c r="L10" s="24">
        <f>+K10*L$3</f>
        <v>401.77758618910372</v>
      </c>
      <c r="M10" s="24">
        <f>+K10+L10</f>
        <v>1619.2854231257816</v>
      </c>
      <c r="N10" s="24">
        <f>+M10*N$3</f>
        <v>647.71416925031269</v>
      </c>
      <c r="O10" s="25">
        <f>+M10+N10</f>
        <v>2266.9995923760944</v>
      </c>
      <c r="P10" s="183">
        <f t="shared" si="7"/>
        <v>0.12350000000000017</v>
      </c>
      <c r="Q10" s="25">
        <v>26867.952574488911</v>
      </c>
      <c r="R10"/>
      <c r="S10"/>
      <c r="T10"/>
      <c r="U10"/>
      <c r="V10"/>
      <c r="W10"/>
      <c r="AF10">
        <v>24370.025010874295</v>
      </c>
      <c r="AG10">
        <f>+(H10-AF10)/AF10</f>
        <v>0.23865875000000022</v>
      </c>
      <c r="AK10" s="204">
        <v>100520337</v>
      </c>
      <c r="AL10" s="24">
        <v>28211.350203213358</v>
      </c>
    </row>
    <row r="11" spans="1:38" x14ac:dyDescent="0.35">
      <c r="A11" s="83">
        <v>100021503</v>
      </c>
      <c r="B11" s="97" t="s">
        <v>21</v>
      </c>
      <c r="C11" s="98">
        <v>7790360966841</v>
      </c>
      <c r="D11" s="99">
        <v>3.3119999999999998</v>
      </c>
      <c r="E11" s="100">
        <v>12</v>
      </c>
      <c r="F11" s="84">
        <v>21346.832309699879</v>
      </c>
      <c r="G11" s="196">
        <v>9.0909090909090912E-2</v>
      </c>
      <c r="H11" s="84">
        <f t="shared" si="8"/>
        <v>19406.211190636252</v>
      </c>
      <c r="I11" s="84">
        <f t="shared" si="0"/>
        <v>1617.1842658863543</v>
      </c>
      <c r="J11" s="84">
        <f t="shared" si="1"/>
        <v>339.60869583613442</v>
      </c>
      <c r="K11" s="84">
        <f t="shared" si="2"/>
        <v>1956.7929617224886</v>
      </c>
      <c r="L11" s="84">
        <f t="shared" si="3"/>
        <v>645.74167736842128</v>
      </c>
      <c r="M11" s="84">
        <f t="shared" si="4"/>
        <v>2602.5346390909099</v>
      </c>
      <c r="N11" s="84">
        <f t="shared" si="5"/>
        <v>1041.013855636364</v>
      </c>
      <c r="O11" s="101">
        <f t="shared" si="6"/>
        <v>3643.5484947272739</v>
      </c>
      <c r="P11" s="183">
        <f t="shared" si="7"/>
        <v>0.16717935292449315</v>
      </c>
      <c r="Q11" s="25">
        <v>16626.58882888213</v>
      </c>
      <c r="R11" s="209" t="s">
        <v>167</v>
      </c>
      <c r="S11"/>
      <c r="T11"/>
      <c r="U11"/>
      <c r="V11"/>
      <c r="W11"/>
      <c r="AF11">
        <v>16911.700739451939</v>
      </c>
      <c r="AG11">
        <f>+(H11-AF11)/AF11</f>
        <v>0.14750204545454562</v>
      </c>
      <c r="AK11" s="205">
        <v>100021503</v>
      </c>
      <c r="AL11" s="24">
        <v>19950.310569812969</v>
      </c>
    </row>
    <row r="12" spans="1:38" x14ac:dyDescent="0.35">
      <c r="A12" s="27">
        <v>100516201</v>
      </c>
      <c r="B12" s="28" t="s">
        <v>22</v>
      </c>
      <c r="C12" s="21">
        <v>7790360968548</v>
      </c>
      <c r="D12" s="22">
        <v>6.6239999999999997</v>
      </c>
      <c r="E12" s="23">
        <v>8</v>
      </c>
      <c r="F12" s="24">
        <v>42331.760798582603</v>
      </c>
      <c r="G12" s="195"/>
      <c r="H12" s="24">
        <f t="shared" si="8"/>
        <v>42331.760798582603</v>
      </c>
      <c r="I12" s="24">
        <f t="shared" si="0"/>
        <v>5291.4700998228254</v>
      </c>
      <c r="J12" s="24">
        <f t="shared" si="1"/>
        <v>1111.2087209627932</v>
      </c>
      <c r="K12" s="24">
        <f t="shared" si="2"/>
        <v>6402.6788207856189</v>
      </c>
      <c r="L12" s="24">
        <f t="shared" si="3"/>
        <v>2112.8840108592544</v>
      </c>
      <c r="M12" s="24">
        <f t="shared" si="4"/>
        <v>8515.5628316448729</v>
      </c>
      <c r="N12" s="24">
        <f t="shared" si="5"/>
        <v>3406.2251326579494</v>
      </c>
      <c r="O12" s="25">
        <f t="shared" si="6"/>
        <v>11921.787964302823</v>
      </c>
      <c r="P12" s="183">
        <f t="shared" si="7"/>
        <v>0.12349999999999994</v>
      </c>
      <c r="Q12" s="25">
        <v>37678.469780669875</v>
      </c>
      <c r="R12" s="242"/>
      <c r="S12"/>
      <c r="T12"/>
      <c r="U12"/>
      <c r="V12"/>
      <c r="W12"/>
      <c r="AF12">
        <v>34175.482794258387</v>
      </c>
      <c r="AG12">
        <f>+(H12-AF12)/AF12</f>
        <v>0.23865875000000009</v>
      </c>
      <c r="AK12" s="27">
        <v>100516201</v>
      </c>
      <c r="AL12" s="24">
        <v>39562.393269703367</v>
      </c>
    </row>
    <row r="13" spans="1:38" x14ac:dyDescent="0.35">
      <c r="A13" s="27">
        <v>100021643</v>
      </c>
      <c r="B13" s="28" t="s">
        <v>23</v>
      </c>
      <c r="C13" s="21">
        <v>7790360966797</v>
      </c>
      <c r="D13" s="22">
        <v>4.7039999999999997</v>
      </c>
      <c r="E13" s="23">
        <v>42</v>
      </c>
      <c r="F13" s="24">
        <v>29094.202914310576</v>
      </c>
      <c r="G13" s="195"/>
      <c r="H13" s="24">
        <f t="shared" si="8"/>
        <v>29094.202914310576</v>
      </c>
      <c r="I13" s="24">
        <f t="shared" si="0"/>
        <v>692.71911700739463</v>
      </c>
      <c r="J13" s="24">
        <f t="shared" si="1"/>
        <v>145.47101457155287</v>
      </c>
      <c r="K13" s="24">
        <f t="shared" si="2"/>
        <v>838.19013157894756</v>
      </c>
      <c r="L13" s="24">
        <f t="shared" si="3"/>
        <v>276.60274342105271</v>
      </c>
      <c r="M13" s="24">
        <f t="shared" si="4"/>
        <v>1114.7928750000003</v>
      </c>
      <c r="N13" s="24">
        <f t="shared" si="5"/>
        <v>445.91715000000016</v>
      </c>
      <c r="O13" s="25">
        <f t="shared" si="6"/>
        <v>1560.7100250000005</v>
      </c>
      <c r="P13" s="183">
        <f t="shared" si="7"/>
        <v>7.0000000000000062E-2</v>
      </c>
      <c r="Q13" s="25">
        <v>27190.84384515007</v>
      </c>
      <c r="R13" s="242"/>
      <c r="S13"/>
      <c r="T13"/>
      <c r="U13"/>
      <c r="V13"/>
      <c r="W13"/>
      <c r="AF13">
        <v>25896.04175728578</v>
      </c>
      <c r="AG13">
        <f>+(H13-AF13)/AF13</f>
        <v>0.12350000000000004</v>
      </c>
      <c r="AK13" s="205">
        <v>100021643</v>
      </c>
      <c r="AL13" s="24">
        <v>27190.84384515007</v>
      </c>
    </row>
    <row r="14" spans="1:38" x14ac:dyDescent="0.35">
      <c r="A14" s="27">
        <v>100516325</v>
      </c>
      <c r="B14" s="28" t="s">
        <v>24</v>
      </c>
      <c r="C14" s="21">
        <v>7790360967763</v>
      </c>
      <c r="D14" s="22">
        <v>4.7039999999999997</v>
      </c>
      <c r="E14" s="23">
        <v>21</v>
      </c>
      <c r="F14" s="24">
        <v>28295.95576990729</v>
      </c>
      <c r="G14" s="195"/>
      <c r="H14" s="24">
        <f t="shared" si="8"/>
        <v>28295.95576990729</v>
      </c>
      <c r="I14" s="24">
        <f t="shared" si="0"/>
        <v>1347.4264652336806</v>
      </c>
      <c r="J14" s="24">
        <f t="shared" si="1"/>
        <v>282.95955769907289</v>
      </c>
      <c r="K14" s="24">
        <f t="shared" si="2"/>
        <v>1630.3860229327533</v>
      </c>
      <c r="L14" s="24">
        <f t="shared" si="3"/>
        <v>538.02738756780866</v>
      </c>
      <c r="M14" s="24">
        <f t="shared" si="4"/>
        <v>2168.4134105005619</v>
      </c>
      <c r="N14" s="24">
        <f t="shared" si="5"/>
        <v>867.3653642002248</v>
      </c>
      <c r="O14" s="25">
        <f t="shared" si="6"/>
        <v>3035.7787747007869</v>
      </c>
      <c r="P14" s="183">
        <f t="shared" si="7"/>
        <v>7.0000000000000062E-2</v>
      </c>
      <c r="Q14" s="25">
        <v>26444.81847654887</v>
      </c>
      <c r="R14" s="242"/>
      <c r="S14"/>
      <c r="T14"/>
      <c r="U14"/>
      <c r="V14"/>
      <c r="W14"/>
      <c r="AF14">
        <v>23986.229910701921</v>
      </c>
      <c r="AG14">
        <f>+(H14-AF14)/AF14</f>
        <v>0.17967500000000008</v>
      </c>
      <c r="AK14" s="27">
        <v>100516325</v>
      </c>
      <c r="AL14" s="24">
        <v>26444.81847654887</v>
      </c>
    </row>
    <row r="15" spans="1:38" x14ac:dyDescent="0.35">
      <c r="A15" s="83">
        <v>100021676</v>
      </c>
      <c r="B15" s="97" t="s">
        <v>25</v>
      </c>
      <c r="C15" s="98">
        <v>7790360967411</v>
      </c>
      <c r="D15" s="99">
        <v>7.5</v>
      </c>
      <c r="E15" s="100">
        <v>30</v>
      </c>
      <c r="F15" s="84">
        <v>62496.145336162932</v>
      </c>
      <c r="G15" s="196">
        <v>0.1051</v>
      </c>
      <c r="H15" s="84">
        <f t="shared" si="8"/>
        <v>55927.800461332212</v>
      </c>
      <c r="I15" s="84">
        <f t="shared" si="0"/>
        <v>1864.2600153777405</v>
      </c>
      <c r="J15" s="84">
        <f t="shared" si="1"/>
        <v>391.49460322932549</v>
      </c>
      <c r="K15" s="84">
        <f t="shared" si="2"/>
        <v>2255.7546186070658</v>
      </c>
      <c r="L15" s="84">
        <f>+K15*0.33</f>
        <v>744.39902414033179</v>
      </c>
      <c r="M15" s="84">
        <f t="shared" si="4"/>
        <v>3000.1536427473975</v>
      </c>
      <c r="N15" s="84">
        <f t="shared" si="5"/>
        <v>1200.061457098959</v>
      </c>
      <c r="O15" s="101">
        <f t="shared" si="6"/>
        <v>4200.2150998463567</v>
      </c>
      <c r="P15" s="183">
        <f t="shared" si="7"/>
        <v>-4.2456999999999856E-2</v>
      </c>
      <c r="Q15" s="25">
        <v>58407.61246370367</v>
      </c>
      <c r="R15" s="209" t="s">
        <v>209</v>
      </c>
      <c r="S15"/>
      <c r="T15"/>
      <c r="U15"/>
      <c r="V15"/>
      <c r="W15"/>
      <c r="AF15">
        <v>48161.296609939112</v>
      </c>
      <c r="AG15">
        <f>+(H15-AF15)/AF15</f>
        <v>0.16126027325000042</v>
      </c>
      <c r="AK15" s="205">
        <v>100021676</v>
      </c>
      <c r="AL15" s="24">
        <v>58407.61246370367</v>
      </c>
    </row>
    <row r="16" spans="1:38" x14ac:dyDescent="0.35">
      <c r="A16" s="83">
        <v>100516008</v>
      </c>
      <c r="B16" s="97" t="s">
        <v>26</v>
      </c>
      <c r="C16" s="98">
        <v>7790360967701</v>
      </c>
      <c r="D16" s="99">
        <v>5.76</v>
      </c>
      <c r="E16" s="100">
        <v>24</v>
      </c>
      <c r="F16" s="84">
        <v>57960.920195249659</v>
      </c>
      <c r="G16" s="196">
        <v>9.0899999999999995E-2</v>
      </c>
      <c r="H16" s="84">
        <f t="shared" si="8"/>
        <v>52692.272549501467</v>
      </c>
      <c r="I16" s="84">
        <f t="shared" si="0"/>
        <v>2195.5113562292277</v>
      </c>
      <c r="J16" s="84">
        <f t="shared" si="1"/>
        <v>461.05738480813778</v>
      </c>
      <c r="K16" s="84">
        <f t="shared" si="2"/>
        <v>2656.5687410373653</v>
      </c>
      <c r="L16" s="84">
        <f t="shared" si="3"/>
        <v>876.66768454233056</v>
      </c>
      <c r="M16" s="84">
        <f t="shared" si="4"/>
        <v>3533.2364255796956</v>
      </c>
      <c r="N16" s="84">
        <f t="shared" si="5"/>
        <v>1413.2945702318784</v>
      </c>
      <c r="O16" s="101">
        <f t="shared" si="6"/>
        <v>4946.530995811574</v>
      </c>
      <c r="P16" s="183">
        <f t="shared" si="7"/>
        <v>0</v>
      </c>
      <c r="Q16" s="25">
        <v>52692.272549501467</v>
      </c>
      <c r="R16" s="209" t="s">
        <v>156</v>
      </c>
      <c r="S16"/>
      <c r="T16"/>
      <c r="U16"/>
      <c r="V16"/>
      <c r="W16"/>
      <c r="AF16">
        <v>52572.263215645944</v>
      </c>
      <c r="AG16">
        <f>+(H16-AF16)/AF16</f>
        <v>2.2827500000001458E-3</v>
      </c>
      <c r="AK16" s="205">
        <v>100516008</v>
      </c>
      <c r="AL16" s="24">
        <v>57960.920195249659</v>
      </c>
    </row>
    <row r="17" spans="1:38" x14ac:dyDescent="0.35">
      <c r="A17" s="27">
        <v>100520834</v>
      </c>
      <c r="B17" s="28" t="s">
        <v>27</v>
      </c>
      <c r="C17" s="21">
        <v>7790360980618</v>
      </c>
      <c r="D17" s="22">
        <v>6.66</v>
      </c>
      <c r="E17" s="23">
        <v>36</v>
      </c>
      <c r="F17" s="24">
        <v>67713.604297627258</v>
      </c>
      <c r="G17" s="23"/>
      <c r="H17" s="24">
        <f t="shared" si="8"/>
        <v>67713.604297627258</v>
      </c>
      <c r="I17" s="24">
        <f t="shared" si="0"/>
        <v>1880.9334527118683</v>
      </c>
      <c r="J17" s="24">
        <f t="shared" si="1"/>
        <v>394.9960250694923</v>
      </c>
      <c r="K17" s="24">
        <f t="shared" si="2"/>
        <v>2275.9294777813607</v>
      </c>
      <c r="L17" s="24">
        <f t="shared" si="3"/>
        <v>751.05672766784903</v>
      </c>
      <c r="M17" s="24">
        <f t="shared" si="4"/>
        <v>3026.9862054492096</v>
      </c>
      <c r="N17" s="24">
        <f t="shared" si="5"/>
        <v>1210.7944821796839</v>
      </c>
      <c r="O17" s="25">
        <f t="shared" si="6"/>
        <v>4237.7806876288932</v>
      </c>
      <c r="P17" s="183">
        <f t="shared" si="7"/>
        <v>0</v>
      </c>
      <c r="Q17" s="25">
        <v>67713.604297627258</v>
      </c>
      <c r="R17" s="123"/>
      <c r="S17"/>
      <c r="T17"/>
      <c r="U17"/>
      <c r="V17"/>
      <c r="W17"/>
      <c r="AF17">
        <v>58493.557324372967</v>
      </c>
      <c r="AG17">
        <f>+(H17-AF17)/AF17</f>
        <v>0.15762500000000004</v>
      </c>
      <c r="AK17" s="205">
        <v>100520834</v>
      </c>
      <c r="AL17" s="24">
        <v>67713.604297627258</v>
      </c>
    </row>
    <row r="18" spans="1:38" hidden="1" x14ac:dyDescent="0.35">
      <c r="A18" s="27">
        <v>100021680</v>
      </c>
      <c r="B18" s="28" t="s">
        <v>28</v>
      </c>
      <c r="C18" s="21">
        <v>7790360967688</v>
      </c>
      <c r="D18" s="22">
        <v>4.32</v>
      </c>
      <c r="E18" s="23">
        <v>18</v>
      </c>
      <c r="F18" s="24" t="e">
        <v>#N/A</v>
      </c>
      <c r="G18" s="23"/>
      <c r="H18" s="24" t="e">
        <f t="shared" si="8"/>
        <v>#N/A</v>
      </c>
      <c r="I18" s="24" t="e">
        <f t="shared" si="0"/>
        <v>#N/A</v>
      </c>
      <c r="J18" s="24" t="e">
        <f t="shared" si="1"/>
        <v>#N/A</v>
      </c>
      <c r="K18" s="24" t="e">
        <f t="shared" si="2"/>
        <v>#N/A</v>
      </c>
      <c r="L18" s="24" t="e">
        <f t="shared" si="3"/>
        <v>#N/A</v>
      </c>
      <c r="M18" s="24" t="e">
        <f t="shared" si="4"/>
        <v>#N/A</v>
      </c>
      <c r="N18" s="24" t="e">
        <f t="shared" si="5"/>
        <v>#N/A</v>
      </c>
      <c r="O18" s="25" t="e">
        <f t="shared" si="6"/>
        <v>#N/A</v>
      </c>
      <c r="P18" s="183" t="e">
        <f t="shared" si="7"/>
        <v>#N/A</v>
      </c>
      <c r="Q18" s="25">
        <v>51589.615993061918</v>
      </c>
      <c r="R18" s="123"/>
      <c r="S18"/>
      <c r="T18"/>
      <c r="U18"/>
      <c r="V18"/>
      <c r="W18"/>
      <c r="AF18">
        <v>44565.049988607636</v>
      </c>
      <c r="AG18" t="e">
        <f>+(H18-AF18)/AF18</f>
        <v>#N/A</v>
      </c>
      <c r="AK18" s="205">
        <v>100021644</v>
      </c>
      <c r="AL18" s="84">
        <v>20661.699801276809</v>
      </c>
    </row>
    <row r="19" spans="1:38" x14ac:dyDescent="0.35">
      <c r="A19" s="27">
        <v>100021644</v>
      </c>
      <c r="B19" s="28" t="s">
        <v>29</v>
      </c>
      <c r="C19" s="21">
        <v>7790360008541</v>
      </c>
      <c r="D19" s="22">
        <v>4.7039999999999997</v>
      </c>
      <c r="E19" s="23">
        <v>42</v>
      </c>
      <c r="F19" s="24">
        <v>22314.635785378956</v>
      </c>
      <c r="G19" s="23"/>
      <c r="H19" s="24">
        <f t="shared" si="8"/>
        <v>22314.635785378956</v>
      </c>
      <c r="I19" s="24">
        <f t="shared" si="0"/>
        <v>531.30085203283227</v>
      </c>
      <c r="J19" s="24">
        <f t="shared" si="1"/>
        <v>111.57317892689477</v>
      </c>
      <c r="K19" s="24">
        <f t="shared" si="2"/>
        <v>642.87403095972707</v>
      </c>
      <c r="L19" s="24">
        <f>+K19*0.3</f>
        <v>192.86220928791812</v>
      </c>
      <c r="M19" s="24">
        <f t="shared" si="4"/>
        <v>835.73624024764513</v>
      </c>
      <c r="N19" s="24">
        <f t="shared" si="5"/>
        <v>334.29449609905805</v>
      </c>
      <c r="O19" s="25">
        <f t="shared" si="6"/>
        <v>1170.0307363467032</v>
      </c>
      <c r="P19" s="183">
        <f t="shared" si="7"/>
        <v>0.13400000000000034</v>
      </c>
      <c r="Q19" s="25">
        <v>19677.80933454934</v>
      </c>
      <c r="R19" s="123"/>
      <c r="S19"/>
      <c r="T19"/>
      <c r="U19"/>
      <c r="V19"/>
      <c r="W19"/>
      <c r="AF19">
        <v>15520.307076446288</v>
      </c>
      <c r="AG19">
        <f>+(H19-AF19)/AF19</f>
        <v>0.43777025000000047</v>
      </c>
      <c r="AK19" s="205">
        <v>100021677</v>
      </c>
      <c r="AL19" s="24">
        <v>16816.177376033062</v>
      </c>
    </row>
    <row r="20" spans="1:38" x14ac:dyDescent="0.35">
      <c r="A20" s="27">
        <v>100021677</v>
      </c>
      <c r="B20" s="28" t="s">
        <v>30</v>
      </c>
      <c r="C20" s="21">
        <v>7790360967404</v>
      </c>
      <c r="D20" s="22">
        <v>3.3119999999999998</v>
      </c>
      <c r="E20" s="23">
        <v>12</v>
      </c>
      <c r="F20" s="24">
        <v>17825.148018595046</v>
      </c>
      <c r="G20" s="23"/>
      <c r="H20" s="24">
        <f t="shared" si="8"/>
        <v>17825.148018595046</v>
      </c>
      <c r="I20" s="24">
        <f t="shared" si="0"/>
        <v>1485.4290015495872</v>
      </c>
      <c r="J20" s="24">
        <f t="shared" si="1"/>
        <v>311.94009032541328</v>
      </c>
      <c r="K20" s="24">
        <f t="shared" si="2"/>
        <v>1797.3690918750003</v>
      </c>
      <c r="L20" s="24">
        <f>+K20*0.3</f>
        <v>539.2107275625001</v>
      </c>
      <c r="M20" s="24">
        <f t="shared" si="4"/>
        <v>2336.5798194375002</v>
      </c>
      <c r="N20" s="24">
        <f t="shared" si="5"/>
        <v>934.63192777500012</v>
      </c>
      <c r="O20" s="25">
        <f t="shared" si="6"/>
        <v>3271.2117472125001</v>
      </c>
      <c r="P20" s="183">
        <f t="shared" si="7"/>
        <v>6.0000000000000053E-2</v>
      </c>
      <c r="Q20" s="25">
        <v>16816.177376033062</v>
      </c>
      <c r="R20" s="123"/>
      <c r="S20"/>
      <c r="T20"/>
      <c r="U20"/>
      <c r="V20"/>
      <c r="W20"/>
      <c r="AF20">
        <v>14526.446280991737</v>
      </c>
      <c r="AG20">
        <f>+(H20-AF20)/AF20</f>
        <v>0.22708250000000021</v>
      </c>
      <c r="AK20" s="27">
        <v>100021638</v>
      </c>
      <c r="AL20" s="24">
        <v>48130.216696383417</v>
      </c>
    </row>
    <row r="21" spans="1:38" x14ac:dyDescent="0.35">
      <c r="A21" s="27">
        <v>100021638</v>
      </c>
      <c r="B21" s="28" t="s">
        <v>31</v>
      </c>
      <c r="C21" s="21">
        <v>7790360026699</v>
      </c>
      <c r="D21" s="22">
        <v>4.8</v>
      </c>
      <c r="E21" s="23">
        <v>60</v>
      </c>
      <c r="F21" s="24">
        <v>51018.029698166421</v>
      </c>
      <c r="G21" s="23"/>
      <c r="H21" s="24">
        <f t="shared" si="8"/>
        <v>51018.029698166421</v>
      </c>
      <c r="I21" s="24">
        <f t="shared" si="0"/>
        <v>850.30049496944036</v>
      </c>
      <c r="J21" s="24">
        <f t="shared" si="1"/>
        <v>178.56310394358246</v>
      </c>
      <c r="K21" s="24">
        <f t="shared" si="2"/>
        <v>1028.8635989130228</v>
      </c>
      <c r="L21" s="24">
        <f t="shared" si="3"/>
        <v>339.52498764129751</v>
      </c>
      <c r="M21" s="24">
        <f t="shared" si="4"/>
        <v>1368.3885865543202</v>
      </c>
      <c r="N21" s="24">
        <f t="shared" si="5"/>
        <v>547.35543462172814</v>
      </c>
      <c r="O21" s="25">
        <f t="shared" si="6"/>
        <v>1915.7440211760484</v>
      </c>
      <c r="P21" s="183">
        <f t="shared" si="7"/>
        <v>6.0000000000000053E-2</v>
      </c>
      <c r="Q21" s="25">
        <v>48130.216696383417</v>
      </c>
      <c r="R21" s="123"/>
      <c r="S21"/>
      <c r="T21"/>
      <c r="U21"/>
      <c r="V21"/>
      <c r="W21"/>
      <c r="AF21">
        <v>41576.690807803403</v>
      </c>
      <c r="AG21">
        <f>+(H21-AF21)/AF21</f>
        <v>0.22708250000000005</v>
      </c>
      <c r="AK21" s="27">
        <v>100021575</v>
      </c>
      <c r="AL21" s="24">
        <v>40652.510930933146</v>
      </c>
    </row>
    <row r="22" spans="1:38" x14ac:dyDescent="0.35">
      <c r="A22" s="27">
        <v>100021575</v>
      </c>
      <c r="B22" s="28" t="s">
        <v>32</v>
      </c>
      <c r="C22" s="21">
        <v>7790360007032</v>
      </c>
      <c r="D22" s="22">
        <v>4.1399999999999997</v>
      </c>
      <c r="E22" s="23">
        <v>60</v>
      </c>
      <c r="F22" s="24">
        <v>43091.661586789138</v>
      </c>
      <c r="G22" s="23"/>
      <c r="H22" s="24">
        <f t="shared" si="8"/>
        <v>43091.661586789138</v>
      </c>
      <c r="I22" s="24">
        <f t="shared" si="0"/>
        <v>718.19435977981891</v>
      </c>
      <c r="J22" s="24">
        <f t="shared" si="1"/>
        <v>150.82081555376197</v>
      </c>
      <c r="K22" s="24">
        <f t="shared" si="2"/>
        <v>869.01517533358083</v>
      </c>
      <c r="L22" s="24">
        <f t="shared" si="3"/>
        <v>286.7750078600817</v>
      </c>
      <c r="M22" s="24">
        <f t="shared" si="4"/>
        <v>1155.7901831936624</v>
      </c>
      <c r="N22" s="24">
        <f t="shared" si="5"/>
        <v>462.31607327746497</v>
      </c>
      <c r="O22" s="25">
        <f t="shared" si="6"/>
        <v>1618.1062564711274</v>
      </c>
      <c r="P22" s="183">
        <f t="shared" si="7"/>
        <v>6.0000000000000053E-2</v>
      </c>
      <c r="Q22" s="25">
        <v>40652.510930933146</v>
      </c>
      <c r="R22" s="123"/>
      <c r="S22"/>
      <c r="T22"/>
      <c r="U22"/>
      <c r="V22"/>
      <c r="W22"/>
      <c r="AF22">
        <v>35117.167416851866</v>
      </c>
      <c r="AG22">
        <f>+(H22-AF22)/AF22</f>
        <v>0.22708250000000024</v>
      </c>
      <c r="AK22" s="27">
        <v>100021514</v>
      </c>
      <c r="AL22" s="24">
        <v>37358.366247380967</v>
      </c>
    </row>
    <row r="23" spans="1:38" x14ac:dyDescent="0.35">
      <c r="A23" s="27">
        <v>100021514</v>
      </c>
      <c r="B23" s="28" t="s">
        <v>33</v>
      </c>
      <c r="C23" s="21">
        <v>7790360006943</v>
      </c>
      <c r="D23" s="22">
        <v>4.1399999999999997</v>
      </c>
      <c r="E23" s="23">
        <v>60</v>
      </c>
      <c r="F23" s="24">
        <v>39599.868222223828</v>
      </c>
      <c r="G23" s="23"/>
      <c r="H23" s="24">
        <f t="shared" si="8"/>
        <v>39599.868222223828</v>
      </c>
      <c r="I23" s="24">
        <f t="shared" si="0"/>
        <v>659.99780370373048</v>
      </c>
      <c r="J23" s="24">
        <f t="shared" si="1"/>
        <v>138.59953877778341</v>
      </c>
      <c r="K23" s="24">
        <f t="shared" si="2"/>
        <v>798.59734248151392</v>
      </c>
      <c r="L23" s="24">
        <f t="shared" si="3"/>
        <v>263.53712301889959</v>
      </c>
      <c r="M23" s="24">
        <f t="shared" si="4"/>
        <v>1062.1344655004136</v>
      </c>
      <c r="N23" s="24">
        <f t="shared" si="5"/>
        <v>424.85378620016547</v>
      </c>
      <c r="O23" s="25">
        <f t="shared" si="6"/>
        <v>1486.988251700579</v>
      </c>
      <c r="P23" s="183">
        <f t="shared" si="7"/>
        <v>6.0000000000000053E-2</v>
      </c>
      <c r="Q23" s="25">
        <v>37358.366247380967</v>
      </c>
      <c r="R23" s="123"/>
      <c r="S23"/>
      <c r="T23"/>
      <c r="U23"/>
      <c r="V23"/>
      <c r="W23"/>
      <c r="AF23">
        <v>32271.561384196928</v>
      </c>
      <c r="AG23">
        <f>+(H23-AF23)/AF23</f>
        <v>0.22708250000000002</v>
      </c>
      <c r="AK23" s="26">
        <v>100516208</v>
      </c>
      <c r="AL23" s="24">
        <v>42872.09035877647</v>
      </c>
    </row>
    <row r="24" spans="1:38" x14ac:dyDescent="0.35">
      <c r="A24" s="26">
        <v>100516208</v>
      </c>
      <c r="B24" s="30" t="s">
        <v>34</v>
      </c>
      <c r="C24" s="31">
        <v>7790360968203</v>
      </c>
      <c r="D24" s="22">
        <f>60*0.08</f>
        <v>4.8</v>
      </c>
      <c r="E24" s="23">
        <v>60</v>
      </c>
      <c r="F24" s="24">
        <v>45444.415780303061</v>
      </c>
      <c r="G24" s="23"/>
      <c r="H24" s="24">
        <f t="shared" si="8"/>
        <v>45444.415780303061</v>
      </c>
      <c r="I24" s="24">
        <f t="shared" si="0"/>
        <v>757.40692967171765</v>
      </c>
      <c r="J24" s="24">
        <f t="shared" si="1"/>
        <v>159.05545523106071</v>
      </c>
      <c r="K24" s="24">
        <f t="shared" si="2"/>
        <v>916.46238490277835</v>
      </c>
      <c r="L24" s="24">
        <f t="shared" si="3"/>
        <v>302.43258701791689</v>
      </c>
      <c r="M24" s="24">
        <f t="shared" si="4"/>
        <v>1218.8949719206953</v>
      </c>
      <c r="N24" s="24">
        <f t="shared" si="5"/>
        <v>487.55798876827816</v>
      </c>
      <c r="O24" s="25">
        <f t="shared" si="6"/>
        <v>1706.4529606889735</v>
      </c>
      <c r="P24" s="183">
        <f t="shared" si="7"/>
        <v>6.0000000000000053E-2</v>
      </c>
      <c r="Q24" s="25">
        <v>42872.09035877647</v>
      </c>
      <c r="R24" s="123"/>
      <c r="S24"/>
      <c r="T24"/>
      <c r="U24"/>
      <c r="V24"/>
      <c r="W24"/>
      <c r="AF24">
        <v>37034.52357954991</v>
      </c>
      <c r="AG24">
        <f>+(H24-AF24)/AF24</f>
        <v>0.22708250000000024</v>
      </c>
      <c r="AK24" s="27">
        <v>100518346</v>
      </c>
      <c r="AL24" s="24">
        <v>61908.35483508739</v>
      </c>
    </row>
    <row r="25" spans="1:38" x14ac:dyDescent="0.35">
      <c r="A25" s="27">
        <v>100518346</v>
      </c>
      <c r="B25" s="28" t="s">
        <v>35</v>
      </c>
      <c r="C25" s="21">
        <v>7790360975478</v>
      </c>
      <c r="D25" s="22">
        <f>60*0.109</f>
        <v>6.54</v>
      </c>
      <c r="E25" s="23">
        <v>60</v>
      </c>
      <c r="F25" s="24">
        <v>65622.856125192629</v>
      </c>
      <c r="G25" s="23"/>
      <c r="H25" s="24">
        <f t="shared" si="8"/>
        <v>65622.856125192629</v>
      </c>
      <c r="I25" s="24">
        <f t="shared" si="0"/>
        <v>1093.7142687532105</v>
      </c>
      <c r="J25" s="24">
        <f>I25*J3</f>
        <v>229.67999643817419</v>
      </c>
      <c r="K25" s="24">
        <f>J25+I25</f>
        <v>1323.3942651913846</v>
      </c>
      <c r="L25" s="24">
        <f>K25*L3</f>
        <v>436.72010751315696</v>
      </c>
      <c r="M25" s="24">
        <f>L25+K25</f>
        <v>1760.1143727045417</v>
      </c>
      <c r="N25" s="24">
        <f>M25*N3</f>
        <v>704.04574908181667</v>
      </c>
      <c r="O25" s="25">
        <f>N25+M25</f>
        <v>2464.1601217863581</v>
      </c>
      <c r="P25" s="183">
        <f t="shared" si="7"/>
        <v>5.9999999999999831E-2</v>
      </c>
      <c r="Q25" s="25">
        <v>61908.35483508739</v>
      </c>
      <c r="R25" s="123"/>
      <c r="S25"/>
      <c r="T25"/>
      <c r="U25"/>
      <c r="V25"/>
      <c r="W25"/>
      <c r="AF25">
        <v>53478.76456977638</v>
      </c>
      <c r="AG25">
        <f>+(H25-AF25)/AF25</f>
        <v>0.22708250000000008</v>
      </c>
      <c r="AK25" s="27">
        <v>100516259</v>
      </c>
      <c r="AL25" s="24">
        <v>138851.96694491903</v>
      </c>
    </row>
    <row r="26" spans="1:38" x14ac:dyDescent="0.35">
      <c r="A26" s="27">
        <v>100516259</v>
      </c>
      <c r="B26" s="28" t="s">
        <v>36</v>
      </c>
      <c r="C26" s="21">
        <v>7790360968340</v>
      </c>
      <c r="D26" s="22">
        <v>18.16</v>
      </c>
      <c r="E26" s="23">
        <v>48</v>
      </c>
      <c r="F26" s="24">
        <v>147183.08496161416</v>
      </c>
      <c r="G26" s="23"/>
      <c r="H26" s="24">
        <f t="shared" si="8"/>
        <v>147183.08496161416</v>
      </c>
      <c r="I26" s="24">
        <f t="shared" si="0"/>
        <v>3066.3142700336284</v>
      </c>
      <c r="J26" s="24">
        <f t="shared" si="1"/>
        <v>643.92599670706193</v>
      </c>
      <c r="K26" s="24">
        <f t="shared" si="2"/>
        <v>3710.2402667406905</v>
      </c>
      <c r="L26" s="24">
        <f t="shared" si="3"/>
        <v>1224.379288024428</v>
      </c>
      <c r="M26" s="24">
        <f t="shared" si="4"/>
        <v>4934.6195547651187</v>
      </c>
      <c r="N26" s="24">
        <f t="shared" si="5"/>
        <v>1973.8478219060476</v>
      </c>
      <c r="O26" s="25">
        <f t="shared" si="6"/>
        <v>6908.4673766711658</v>
      </c>
      <c r="P26" s="183">
        <f t="shared" si="7"/>
        <v>6.0000000000000053E-2</v>
      </c>
      <c r="Q26" s="25">
        <v>138851.96694491903</v>
      </c>
      <c r="R26" s="123"/>
      <c r="S26"/>
      <c r="T26"/>
      <c r="U26"/>
      <c r="V26"/>
      <c r="W26"/>
      <c r="AF26">
        <v>119945.54967707074</v>
      </c>
      <c r="AG26">
        <f>+(H26-AF26)/AF26</f>
        <v>0.22708250000000008</v>
      </c>
      <c r="AK26" s="27">
        <v>100518095</v>
      </c>
      <c r="AL26" s="24">
        <v>69182.503682580078</v>
      </c>
    </row>
    <row r="27" spans="1:38" x14ac:dyDescent="0.35">
      <c r="A27" s="27">
        <v>100518095</v>
      </c>
      <c r="B27" s="28" t="s">
        <v>37</v>
      </c>
      <c r="C27" s="21">
        <v>7790360974785</v>
      </c>
      <c r="D27" s="22">
        <v>6.66</v>
      </c>
      <c r="E27" s="23">
        <v>36</v>
      </c>
      <c r="F27" s="24">
        <v>73333.453903534886</v>
      </c>
      <c r="G27" s="23"/>
      <c r="H27" s="24">
        <f t="shared" si="8"/>
        <v>73333.453903534886</v>
      </c>
      <c r="I27" s="24">
        <f t="shared" si="0"/>
        <v>2037.0403862093024</v>
      </c>
      <c r="J27" s="24">
        <f>+I27*J$3</f>
        <v>427.77848110395348</v>
      </c>
      <c r="K27" s="24">
        <f>+I27+J27</f>
        <v>2464.8188673132559</v>
      </c>
      <c r="L27" s="24">
        <f>+K27*L$3</f>
        <v>813.39022621337449</v>
      </c>
      <c r="M27" s="24">
        <f>+K27+L27</f>
        <v>3278.2090935266306</v>
      </c>
      <c r="N27" s="24">
        <f>+M27*N$3</f>
        <v>1311.2836374106523</v>
      </c>
      <c r="O27" s="25">
        <f>+M27+N27</f>
        <v>4589.4927309372833</v>
      </c>
      <c r="P27" s="183">
        <f t="shared" si="7"/>
        <v>6.0000000000000053E-2</v>
      </c>
      <c r="Q27" s="25">
        <v>69182.503682580078</v>
      </c>
      <c r="R27" s="123"/>
      <c r="S27"/>
      <c r="T27"/>
      <c r="U27"/>
      <c r="V27"/>
      <c r="W27"/>
      <c r="Y27" s="77"/>
      <c r="AF27">
        <v>59762.447841554975</v>
      </c>
      <c r="AG27">
        <f>+(H27-AF27)/AF27</f>
        <v>0.22708250000000008</v>
      </c>
      <c r="AK27" s="27">
        <v>100518223</v>
      </c>
      <c r="AL27" s="24">
        <v>53862.423901752642</v>
      </c>
    </row>
    <row r="28" spans="1:38" x14ac:dyDescent="0.35">
      <c r="A28" s="27">
        <v>100518223</v>
      </c>
      <c r="B28" s="28" t="s">
        <v>38</v>
      </c>
      <c r="C28" s="21">
        <v>7790360975065</v>
      </c>
      <c r="D28" s="22">
        <f>60*0.106</f>
        <v>6.3599999999999994</v>
      </c>
      <c r="E28" s="23">
        <v>30</v>
      </c>
      <c r="F28" s="24">
        <v>57094.169335857805</v>
      </c>
      <c r="G28" s="23"/>
      <c r="H28" s="24">
        <f t="shared" si="8"/>
        <v>57094.169335857805</v>
      </c>
      <c r="I28" s="24">
        <f t="shared" si="0"/>
        <v>1903.1389778619268</v>
      </c>
      <c r="J28" s="24">
        <f>+I28*J$3</f>
        <v>399.65918535100462</v>
      </c>
      <c r="K28" s="24">
        <f>+I28+J28</f>
        <v>2302.7981632129313</v>
      </c>
      <c r="L28" s="24">
        <f>+K28*L$3</f>
        <v>759.92339386026731</v>
      </c>
      <c r="M28" s="24">
        <f>+K28+L28</f>
        <v>3062.7215570731987</v>
      </c>
      <c r="N28" s="24">
        <f>+M28*N$3</f>
        <v>1225.0886228292795</v>
      </c>
      <c r="O28" s="25">
        <f>+M28+N28</f>
        <v>4287.810179902478</v>
      </c>
      <c r="P28" s="183">
        <f t="shared" si="7"/>
        <v>6.0000000000000053E-2</v>
      </c>
      <c r="Q28" s="25">
        <v>53862.423901752642</v>
      </c>
      <c r="R28" s="123"/>
      <c r="S28"/>
      <c r="T28"/>
      <c r="U28"/>
      <c r="V28"/>
      <c r="W28"/>
      <c r="AF28">
        <v>46528.386914374372</v>
      </c>
      <c r="AG28">
        <f>+(H28-AF28)/AF28</f>
        <v>0.2270825000000003</v>
      </c>
      <c r="AK28" s="32"/>
      <c r="AL28" s="36" t="s">
        <v>163</v>
      </c>
    </row>
    <row r="29" spans="1:38" x14ac:dyDescent="0.35">
      <c r="A29" s="32"/>
      <c r="B29" s="33"/>
      <c r="C29" s="34"/>
      <c r="D29" s="33"/>
      <c r="E29" s="35"/>
      <c r="F29" s="36" t="e">
        <v>#N/A</v>
      </c>
      <c r="G29" s="35"/>
      <c r="H29" s="36" t="e">
        <f t="shared" si="8"/>
        <v>#N/A</v>
      </c>
      <c r="I29" s="37" t="e">
        <f t="shared" si="0"/>
        <v>#N/A</v>
      </c>
      <c r="J29" s="38"/>
      <c r="K29" s="37"/>
      <c r="L29" s="17"/>
      <c r="M29" s="16"/>
      <c r="N29" s="17"/>
      <c r="O29" s="39"/>
      <c r="P29" s="183" t="e">
        <f t="shared" si="7"/>
        <v>#N/A</v>
      </c>
      <c r="Q29" s="39" t="e">
        <v>#N/A</v>
      </c>
      <c r="R29" s="123"/>
      <c r="S29"/>
      <c r="T29"/>
      <c r="U29"/>
      <c r="V29"/>
      <c r="W29"/>
      <c r="X29" t="s">
        <v>145</v>
      </c>
      <c r="Y29" t="s">
        <v>149</v>
      </c>
      <c r="AA29" t="s">
        <v>91</v>
      </c>
      <c r="AB29" t="s">
        <v>92</v>
      </c>
      <c r="AC29" t="s">
        <v>93</v>
      </c>
      <c r="AF29" t="e">
        <v>#N/A</v>
      </c>
      <c r="AG29" t="e">
        <f>+(H29-AF29)/AF29</f>
        <v>#N/A</v>
      </c>
      <c r="AK29" s="27">
        <v>100522204</v>
      </c>
      <c r="AL29" s="24">
        <v>26630.922051291152</v>
      </c>
    </row>
    <row r="30" spans="1:38" hidden="1" x14ac:dyDescent="0.35">
      <c r="A30" s="83">
        <v>100022085</v>
      </c>
      <c r="B30" s="97" t="s">
        <v>39</v>
      </c>
      <c r="C30" s="98">
        <v>7790360000132</v>
      </c>
      <c r="D30" s="99">
        <v>5.4</v>
      </c>
      <c r="E30" s="100">
        <v>24</v>
      </c>
      <c r="F30" s="84" t="e">
        <v>#N/A</v>
      </c>
      <c r="G30" s="102">
        <v>0.25</v>
      </c>
      <c r="H30" s="84" t="e">
        <f t="shared" si="8"/>
        <v>#N/A</v>
      </c>
      <c r="I30" s="84" t="e">
        <f t="shared" si="0"/>
        <v>#N/A</v>
      </c>
      <c r="J30" s="84" t="e">
        <f t="shared" si="1"/>
        <v>#N/A</v>
      </c>
      <c r="K30" s="84" t="e">
        <f t="shared" si="2"/>
        <v>#N/A</v>
      </c>
      <c r="L30" s="84" t="e">
        <f t="shared" si="3"/>
        <v>#N/A</v>
      </c>
      <c r="M30" s="84" t="e">
        <f t="shared" si="4"/>
        <v>#N/A</v>
      </c>
      <c r="N30" s="84" t="e">
        <f t="shared" si="5"/>
        <v>#N/A</v>
      </c>
      <c r="O30" s="115" t="e">
        <f t="shared" si="6"/>
        <v>#N/A</v>
      </c>
      <c r="P30" s="183" t="e">
        <f t="shared" si="7"/>
        <v>#N/A</v>
      </c>
      <c r="Q30" s="25">
        <v>19973.191538468363</v>
      </c>
      <c r="R30" s="243" t="s">
        <v>160</v>
      </c>
      <c r="S30"/>
      <c r="T30"/>
      <c r="U30"/>
      <c r="V30"/>
      <c r="W30"/>
      <c r="X30">
        <v>1700</v>
      </c>
      <c r="Y30">
        <v>1750</v>
      </c>
      <c r="AA30" s="123">
        <v>1890</v>
      </c>
      <c r="AB30" s="123">
        <v>2153</v>
      </c>
      <c r="AC30" s="123">
        <v>2208</v>
      </c>
      <c r="AF30">
        <v>18109.026994877986</v>
      </c>
      <c r="AG30" t="e">
        <f>+(H30-AF30)/AF30</f>
        <v>#N/A</v>
      </c>
      <c r="AK30" s="27">
        <v>100522205</v>
      </c>
      <c r="AL30" s="24">
        <v>25299.3759487266</v>
      </c>
    </row>
    <row r="31" spans="1:38" x14ac:dyDescent="0.35">
      <c r="A31" s="83">
        <v>100522204</v>
      </c>
      <c r="B31" s="97" t="s">
        <v>39</v>
      </c>
      <c r="C31" s="98">
        <v>7790360983947</v>
      </c>
      <c r="D31" s="99">
        <v>5.4</v>
      </c>
      <c r="E31" s="100">
        <v>24</v>
      </c>
      <c r="F31" s="216">
        <v>27429.849712829888</v>
      </c>
      <c r="G31" s="102">
        <v>0.25</v>
      </c>
      <c r="H31" s="84">
        <f t="shared" ref="H31" si="9">+F31*(1-G31)</f>
        <v>20572.387284622415</v>
      </c>
      <c r="I31" s="84">
        <f t="shared" ref="I31" si="10">+H31/E31</f>
        <v>857.18280352593399</v>
      </c>
      <c r="J31" s="84">
        <f t="shared" ref="J31" si="11">+I31*J$3</f>
        <v>180.00838874044612</v>
      </c>
      <c r="K31" s="84">
        <f t="shared" ref="K31" si="12">+I31+J31</f>
        <v>1037.1911922663801</v>
      </c>
      <c r="L31" s="84">
        <f t="shared" ref="L31" si="13">+K31*L$3</f>
        <v>342.27309344790547</v>
      </c>
      <c r="M31" s="84">
        <f t="shared" ref="M31" si="14">+K31+L31</f>
        <v>1379.4642857142856</v>
      </c>
      <c r="N31" s="84">
        <f t="shared" ref="N31" si="15">+M31*N$3</f>
        <v>551.78571428571422</v>
      </c>
      <c r="O31" s="115">
        <f t="shared" ref="O31" si="16">+M31+N31</f>
        <v>1931.2499999999998</v>
      </c>
      <c r="P31" s="183">
        <f t="shared" si="7"/>
        <v>3.0000000000000027E-2</v>
      </c>
      <c r="Q31" s="25">
        <v>19973.191538468363</v>
      </c>
      <c r="R31" s="244" t="s">
        <v>210</v>
      </c>
      <c r="S31" s="160"/>
      <c r="T31" s="160"/>
      <c r="U31" s="188"/>
      <c r="V31" s="118"/>
      <c r="W31"/>
      <c r="AA31" s="123"/>
      <c r="AB31" s="123"/>
      <c r="AC31" s="123"/>
      <c r="AK31" s="27">
        <v>100516849</v>
      </c>
      <c r="AL31" s="24">
        <v>17895.97961846766</v>
      </c>
    </row>
    <row r="32" spans="1:38" hidden="1" x14ac:dyDescent="0.35">
      <c r="A32" s="83">
        <v>100022072</v>
      </c>
      <c r="B32" s="97" t="s">
        <v>40</v>
      </c>
      <c r="C32" s="98">
        <v>7790360024541</v>
      </c>
      <c r="D32" s="99">
        <v>5.4</v>
      </c>
      <c r="E32" s="100">
        <v>12</v>
      </c>
      <c r="F32" s="84" t="e">
        <v>#N/A</v>
      </c>
      <c r="G32" s="102">
        <v>0.21060000000000001</v>
      </c>
      <c r="H32" s="84" t="e">
        <f t="shared" si="8"/>
        <v>#N/A</v>
      </c>
      <c r="I32" s="84" t="e">
        <f t="shared" si="0"/>
        <v>#N/A</v>
      </c>
      <c r="J32" s="84" t="e">
        <f t="shared" si="1"/>
        <v>#N/A</v>
      </c>
      <c r="K32" s="84" t="e">
        <f t="shared" si="2"/>
        <v>#N/A</v>
      </c>
      <c r="L32" s="84" t="e">
        <f>+K32*0.30667</f>
        <v>#N/A</v>
      </c>
      <c r="M32" s="84" t="e">
        <f t="shared" si="4"/>
        <v>#N/A</v>
      </c>
      <c r="N32" s="84" t="e">
        <f t="shared" si="5"/>
        <v>#N/A</v>
      </c>
      <c r="O32" s="115" t="e">
        <f t="shared" si="6"/>
        <v>#N/A</v>
      </c>
      <c r="P32" s="183" t="e">
        <f t="shared" si="7"/>
        <v>#N/A</v>
      </c>
      <c r="Q32" s="25">
        <v>18974.531961544948</v>
      </c>
      <c r="R32" s="244" t="s">
        <v>157</v>
      </c>
      <c r="S32"/>
      <c r="T32"/>
      <c r="U32"/>
      <c r="V32"/>
      <c r="W32"/>
      <c r="X32">
        <v>3300</v>
      </c>
      <c r="Y32">
        <v>3350</v>
      </c>
      <c r="AF32">
        <v>17576.408553852161</v>
      </c>
      <c r="AG32" t="e">
        <f>+(H32-AF32)/AF32</f>
        <v>#N/A</v>
      </c>
      <c r="AK32" s="27">
        <v>100522206</v>
      </c>
      <c r="AL32" s="24">
        <v>47623.273002860871</v>
      </c>
    </row>
    <row r="33" spans="1:38" x14ac:dyDescent="0.35">
      <c r="A33" s="83">
        <v>100522205</v>
      </c>
      <c r="B33" s="97" t="s">
        <v>40</v>
      </c>
      <c r="C33" s="98">
        <v>7790360983954</v>
      </c>
      <c r="D33" s="99">
        <v>5.4</v>
      </c>
      <c r="E33" s="100">
        <v>12</v>
      </c>
      <c r="F33" s="216">
        <v>26058.357227188397</v>
      </c>
      <c r="G33" s="102">
        <v>0.21060000000000001</v>
      </c>
      <c r="H33" s="84">
        <f t="shared" ref="H33" si="17">+F33*(1-G33)</f>
        <v>20570.467195142519</v>
      </c>
      <c r="I33" s="84">
        <f t="shared" ref="I33" si="18">+H33/E33</f>
        <v>1714.2055995952098</v>
      </c>
      <c r="J33" s="84">
        <f t="shared" ref="J33" si="19">+I33*J$3</f>
        <v>359.98317591499404</v>
      </c>
      <c r="K33" s="84">
        <f t="shared" ref="K33" si="20">+I33+J33</f>
        <v>2074.1887755102039</v>
      </c>
      <c r="L33" s="84">
        <f>+K33*0.33</f>
        <v>684.4822959183673</v>
      </c>
      <c r="M33" s="84">
        <f t="shared" ref="M33" si="21">+K33+L33</f>
        <v>2758.6710714285709</v>
      </c>
      <c r="N33" s="84">
        <f t="shared" ref="N33" si="22">+M33*N$3</f>
        <v>1103.4684285714284</v>
      </c>
      <c r="O33" s="115">
        <f t="shared" ref="O33" si="23">+M33+N33</f>
        <v>3862.1394999999993</v>
      </c>
      <c r="P33" s="183">
        <f t="shared" si="7"/>
        <v>8.4109333333333369E-2</v>
      </c>
      <c r="Q33" s="25">
        <v>18974.531961544948</v>
      </c>
      <c r="R33" s="123"/>
      <c r="S33"/>
      <c r="T33"/>
      <c r="U33"/>
      <c r="V33"/>
      <c r="W33"/>
      <c r="AK33" s="27">
        <v>100022058</v>
      </c>
      <c r="AL33" s="40">
        <v>15595.31377713196</v>
      </c>
    </row>
    <row r="34" spans="1:38" x14ac:dyDescent="0.35">
      <c r="A34" s="83">
        <v>100516849</v>
      </c>
      <c r="B34" s="97" t="s">
        <v>41</v>
      </c>
      <c r="C34" s="98">
        <v>7790360970053</v>
      </c>
      <c r="D34" s="99">
        <v>4.5599999990400004</v>
      </c>
      <c r="E34" s="100">
        <v>24</v>
      </c>
      <c r="F34" s="84">
        <v>18432.859007021689</v>
      </c>
      <c r="G34" s="102"/>
      <c r="H34" s="84">
        <f t="shared" si="8"/>
        <v>18432.859007021689</v>
      </c>
      <c r="I34" s="84">
        <f t="shared" si="0"/>
        <v>768.03579195923703</v>
      </c>
      <c r="J34" s="84">
        <f t="shared" si="1"/>
        <v>161.28751631143976</v>
      </c>
      <c r="K34" s="84">
        <f t="shared" si="2"/>
        <v>929.32330827067676</v>
      </c>
      <c r="L34" s="84">
        <f t="shared" ref="L34:L38" si="24">+K34*0.33</f>
        <v>306.67669172932335</v>
      </c>
      <c r="M34" s="84">
        <f t="shared" si="4"/>
        <v>1236</v>
      </c>
      <c r="N34" s="84">
        <f t="shared" si="5"/>
        <v>494.40000000000003</v>
      </c>
      <c r="O34" s="115">
        <f t="shared" si="6"/>
        <v>1730.4</v>
      </c>
      <c r="P34" s="183">
        <f t="shared" si="7"/>
        <v>0.15360000000000018</v>
      </c>
      <c r="Q34" s="25">
        <v>15978.553230774694</v>
      </c>
      <c r="R34" s="244" t="s">
        <v>217</v>
      </c>
      <c r="S34"/>
      <c r="T34"/>
      <c r="U34"/>
      <c r="V34"/>
      <c r="W34"/>
      <c r="X34">
        <v>1450</v>
      </c>
      <c r="Y34">
        <v>1500</v>
      </c>
      <c r="Z34" t="s">
        <v>96</v>
      </c>
      <c r="AA34" s="123">
        <v>1534</v>
      </c>
      <c r="AF34">
        <v>15445.934789748871</v>
      </c>
      <c r="AG34">
        <f>+(H34-AF34)/AF34</f>
        <v>0.19337931034482767</v>
      </c>
      <c r="AK34" s="27">
        <v>100518151</v>
      </c>
      <c r="AL34" s="40">
        <v>58015.639781027436</v>
      </c>
    </row>
    <row r="35" spans="1:38" hidden="1" x14ac:dyDescent="0.35">
      <c r="A35" s="83">
        <v>100022039</v>
      </c>
      <c r="B35" s="97" t="s">
        <v>42</v>
      </c>
      <c r="C35" s="98">
        <v>7790360007063</v>
      </c>
      <c r="D35" s="99">
        <v>8.6999999999999993</v>
      </c>
      <c r="E35" s="100">
        <v>10</v>
      </c>
      <c r="F35" s="84" t="e">
        <v>#N/A</v>
      </c>
      <c r="G35" s="102"/>
      <c r="H35" s="84" t="e">
        <f t="shared" si="8"/>
        <v>#N/A</v>
      </c>
      <c r="I35" s="84" t="e">
        <f t="shared" si="0"/>
        <v>#N/A</v>
      </c>
      <c r="J35" s="84" t="e">
        <f t="shared" si="1"/>
        <v>#N/A</v>
      </c>
      <c r="K35" s="84" t="e">
        <f t="shared" si="2"/>
        <v>#N/A</v>
      </c>
      <c r="L35" s="84" t="e">
        <f t="shared" si="24"/>
        <v>#N/A</v>
      </c>
      <c r="M35" s="84" t="e">
        <f t="shared" si="4"/>
        <v>#N/A</v>
      </c>
      <c r="N35" s="84" t="e">
        <f t="shared" si="5"/>
        <v>#N/A</v>
      </c>
      <c r="O35" s="101" t="e">
        <f t="shared" si="6"/>
        <v>#N/A</v>
      </c>
      <c r="P35" s="183" t="e">
        <f t="shared" si="7"/>
        <v>#N/A</v>
      </c>
      <c r="Q35" s="25">
        <v>47623.273002860871</v>
      </c>
      <c r="R35" s="123"/>
      <c r="S35"/>
      <c r="T35"/>
      <c r="U35"/>
      <c r="V35"/>
      <c r="W35"/>
      <c r="AA35" t="s">
        <v>94</v>
      </c>
      <c r="AB35">
        <v>66</v>
      </c>
      <c r="AC35" t="s">
        <v>97</v>
      </c>
      <c r="AD35" t="s">
        <v>95</v>
      </c>
      <c r="AF35">
        <v>40388.004351343741</v>
      </c>
      <c r="AG35" t="e">
        <f>+(H35-AF35)/AF35</f>
        <v>#N/A</v>
      </c>
      <c r="AK35" s="32"/>
      <c r="AL35" s="36" t="s">
        <v>163</v>
      </c>
    </row>
    <row r="36" spans="1:38" x14ac:dyDescent="0.35">
      <c r="A36" s="27">
        <v>100522206</v>
      </c>
      <c r="B36" s="28" t="s">
        <v>42</v>
      </c>
      <c r="C36" s="21">
        <v>7790360983961</v>
      </c>
      <c r="D36" s="22">
        <v>8.6999999999999993</v>
      </c>
      <c r="E36" s="23">
        <v>10</v>
      </c>
      <c r="F36" s="40">
        <v>49051.971192946701</v>
      </c>
      <c r="G36" s="141"/>
      <c r="H36" s="24">
        <f t="shared" ref="H36" si="25">+F36*(1-G36)</f>
        <v>49051.971192946701</v>
      </c>
      <c r="I36" s="24">
        <f t="shared" ref="I36" si="26">+H36/E36</f>
        <v>4905.1971192946703</v>
      </c>
      <c r="J36" s="24">
        <f t="shared" ref="J36" si="27">+I36*J$3</f>
        <v>1030.0913950518807</v>
      </c>
      <c r="K36" s="24">
        <f t="shared" ref="K36" si="28">+I36+J36</f>
        <v>5935.288514346551</v>
      </c>
      <c r="L36" s="24">
        <f t="shared" si="24"/>
        <v>1958.645209734362</v>
      </c>
      <c r="M36" s="24">
        <f t="shared" ref="M36" si="29">+K36+L36</f>
        <v>7893.9337240809127</v>
      </c>
      <c r="N36" s="24">
        <f t="shared" ref="N36" si="30">+M36*N$3</f>
        <v>3157.5734896323652</v>
      </c>
      <c r="O36" s="191">
        <f t="shared" ref="O36" si="31">+M36+N36</f>
        <v>11051.507213713277</v>
      </c>
      <c r="P36" s="183"/>
      <c r="Q36" s="25">
        <v>47623.273002860871</v>
      </c>
      <c r="R36" s="123"/>
      <c r="S36"/>
      <c r="T36"/>
      <c r="U36"/>
      <c r="V36"/>
      <c r="W36"/>
      <c r="AK36" s="27">
        <v>100021000</v>
      </c>
      <c r="AL36" s="24">
        <v>12962.273708363024</v>
      </c>
    </row>
    <row r="37" spans="1:38" x14ac:dyDescent="0.35">
      <c r="A37" s="27">
        <v>100022058</v>
      </c>
      <c r="B37" s="28" t="s">
        <v>43</v>
      </c>
      <c r="C37" s="21">
        <v>7790360026002</v>
      </c>
      <c r="D37" s="22">
        <v>4.5599999990400004</v>
      </c>
      <c r="E37" s="23">
        <v>24</v>
      </c>
      <c r="F37" s="40">
        <v>16063.173190445919</v>
      </c>
      <c r="G37" s="142"/>
      <c r="H37" s="40">
        <f t="shared" si="8"/>
        <v>16063.173190445919</v>
      </c>
      <c r="I37" s="24">
        <f t="shared" si="0"/>
        <v>669.29888293524664</v>
      </c>
      <c r="J37" s="24">
        <f t="shared" si="1"/>
        <v>140.5527654164018</v>
      </c>
      <c r="K37" s="24">
        <f t="shared" si="2"/>
        <v>809.85164835164846</v>
      </c>
      <c r="L37" s="24">
        <f>+K37*0.3</f>
        <v>242.95549450549453</v>
      </c>
      <c r="M37" s="24">
        <f t="shared" si="4"/>
        <v>1052.8071428571429</v>
      </c>
      <c r="N37" s="24">
        <f t="shared" si="5"/>
        <v>421.12285714285719</v>
      </c>
      <c r="O37" s="25">
        <f t="shared" si="6"/>
        <v>1473.93</v>
      </c>
      <c r="P37" s="183">
        <f t="shared" si="7"/>
        <v>9.1800000000000104E-2</v>
      </c>
      <c r="Q37" s="25">
        <v>14712.560167105621</v>
      </c>
      <c r="R37" s="243"/>
      <c r="S37"/>
      <c r="T37"/>
      <c r="U37"/>
      <c r="V37"/>
      <c r="X37">
        <v>980</v>
      </c>
      <c r="Y37" s="118">
        <f>+X37</f>
        <v>980</v>
      </c>
      <c r="Z37" s="118" t="s">
        <v>153</v>
      </c>
      <c r="AA37" s="123">
        <v>766</v>
      </c>
      <c r="AB37" s="123">
        <v>818</v>
      </c>
      <c r="AC37" s="123">
        <v>825</v>
      </c>
      <c r="AD37" s="123">
        <v>765</v>
      </c>
      <c r="AF37">
        <v>10439.321444106135</v>
      </c>
      <c r="AG37">
        <f>+(H37-AF37)/AF37</f>
        <v>0.53871813186813167</v>
      </c>
      <c r="AK37" s="27">
        <v>100021001</v>
      </c>
      <c r="AL37" s="24">
        <v>12962.273708363024</v>
      </c>
    </row>
    <row r="38" spans="1:38" x14ac:dyDescent="0.35">
      <c r="A38" s="27">
        <v>100518151</v>
      </c>
      <c r="B38" s="28" t="s">
        <v>44</v>
      </c>
      <c r="C38" s="21">
        <v>7790360974990</v>
      </c>
      <c r="D38" s="22">
        <v>8.6999999999999993</v>
      </c>
      <c r="E38" s="23">
        <v>10</v>
      </c>
      <c r="F38" s="40">
        <v>59756.108974458257</v>
      </c>
      <c r="G38" s="23"/>
      <c r="H38" s="40">
        <f t="shared" si="8"/>
        <v>59756.108974458257</v>
      </c>
      <c r="I38" s="24">
        <f t="shared" si="0"/>
        <v>5975.6108974458257</v>
      </c>
      <c r="J38" s="24">
        <f>+I38*J$3</f>
        <v>1254.8782884636234</v>
      </c>
      <c r="K38" s="24">
        <f>+I38+J38</f>
        <v>7230.4891859094496</v>
      </c>
      <c r="L38" s="29">
        <f t="shared" si="24"/>
        <v>2386.0614313501183</v>
      </c>
      <c r="M38" s="24">
        <f>+K38+L38</f>
        <v>9616.5506172595669</v>
      </c>
      <c r="N38" s="24">
        <f>+M38*N$3</f>
        <v>3846.6202469038271</v>
      </c>
      <c r="O38" s="25">
        <f>+M38+N38</f>
        <v>13463.170864163394</v>
      </c>
      <c r="P38" s="183">
        <f t="shared" si="7"/>
        <v>3.0000000000000027E-2</v>
      </c>
      <c r="Q38" s="25">
        <v>58015.639781027436</v>
      </c>
      <c r="R38" s="123"/>
      <c r="S38"/>
      <c r="T38"/>
      <c r="U38"/>
      <c r="V38"/>
      <c r="W38"/>
      <c r="X38">
        <f>+X37*24</f>
        <v>23520</v>
      </c>
      <c r="Z38" s="131"/>
      <c r="AA38" s="180"/>
      <c r="AC38" s="123" t="s">
        <v>151</v>
      </c>
      <c r="AF38">
        <v>49201.488351742817</v>
      </c>
      <c r="AG38">
        <f>+(H38-AF38)/AF38</f>
        <v>0.21451832000000004</v>
      </c>
      <c r="AK38" s="85">
        <v>100522277</v>
      </c>
      <c r="AL38" s="24">
        <v>12962.273708363024</v>
      </c>
    </row>
    <row r="39" spans="1:38" x14ac:dyDescent="0.35">
      <c r="A39" s="32"/>
      <c r="B39" s="33"/>
      <c r="C39" s="34"/>
      <c r="D39" s="33"/>
      <c r="E39" s="35"/>
      <c r="F39" s="36" t="e">
        <v>#N/A</v>
      </c>
      <c r="G39" s="35"/>
      <c r="H39" s="36" t="e">
        <f t="shared" si="8"/>
        <v>#N/A</v>
      </c>
      <c r="I39" s="37" t="e">
        <f t="shared" si="0"/>
        <v>#N/A</v>
      </c>
      <c r="J39" s="38">
        <v>0.21</v>
      </c>
      <c r="K39" s="37"/>
      <c r="L39" s="17">
        <v>0.22</v>
      </c>
      <c r="M39" s="16"/>
      <c r="N39" s="17">
        <v>0.35</v>
      </c>
      <c r="O39" s="39"/>
      <c r="P39" s="183" t="e">
        <f t="shared" si="7"/>
        <v>#N/A</v>
      </c>
      <c r="Q39" s="39" t="e">
        <v>#N/A</v>
      </c>
      <c r="R39"/>
      <c r="S39"/>
      <c r="T39"/>
      <c r="U39"/>
      <c r="V39"/>
      <c r="W39"/>
      <c r="X39" s="118">
        <f>+X38/1.21/1.33/1.4</f>
        <v>10439.321444106135</v>
      </c>
      <c r="Y39" s="130"/>
      <c r="Z39">
        <f>+Y32*12</f>
        <v>40200</v>
      </c>
      <c r="AF39" t="e">
        <v>#N/A</v>
      </c>
      <c r="AG39" t="e">
        <f>+(H39-AF39)/AF39</f>
        <v>#N/A</v>
      </c>
      <c r="AK39" s="85">
        <v>100522333</v>
      </c>
      <c r="AL39" s="24">
        <v>12962.273708363024</v>
      </c>
    </row>
    <row r="40" spans="1:38" ht="16" x14ac:dyDescent="0.4">
      <c r="A40" s="83">
        <v>100021000</v>
      </c>
      <c r="B40" s="97" t="s">
        <v>45</v>
      </c>
      <c r="C40" s="98">
        <v>7790360720382</v>
      </c>
      <c r="D40" s="99">
        <v>2.16</v>
      </c>
      <c r="E40" s="100">
        <v>24</v>
      </c>
      <c r="F40" s="84">
        <v>13610.387393781175</v>
      </c>
      <c r="G40" s="102"/>
      <c r="H40" s="84">
        <f t="shared" si="8"/>
        <v>13610.387393781175</v>
      </c>
      <c r="I40" s="84">
        <f t="shared" si="0"/>
        <v>567.09947474088233</v>
      </c>
      <c r="J40" s="84">
        <f t="shared" si="1"/>
        <v>119.09088969558529</v>
      </c>
      <c r="K40" s="84">
        <f t="shared" si="2"/>
        <v>686.19036443646758</v>
      </c>
      <c r="L40" s="84">
        <f>+K40*L$39</f>
        <v>150.96188017602287</v>
      </c>
      <c r="M40" s="84">
        <f t="shared" si="4"/>
        <v>837.15224461249045</v>
      </c>
      <c r="N40" s="84">
        <f>+M40*N$39</f>
        <v>293.00328561437163</v>
      </c>
      <c r="O40" s="101">
        <f t="shared" si="6"/>
        <v>1130.1555302268621</v>
      </c>
      <c r="P40" s="183">
        <f t="shared" si="7"/>
        <v>0.10250000000000004</v>
      </c>
      <c r="Q40" s="25">
        <v>12345.022579393355</v>
      </c>
      <c r="R40" s="181"/>
      <c r="X40" s="82">
        <f>+F37-X39</f>
        <v>5623.8517463397839</v>
      </c>
      <c r="Z40">
        <f>+Z39/1.21/1.33/1.4</f>
        <v>17842.717774365072</v>
      </c>
      <c r="AF40">
        <v>10353.088375875002</v>
      </c>
      <c r="AG40">
        <f>+(H40-AF40)/AF40</f>
        <v>0.31462100000000032</v>
      </c>
      <c r="AK40" s="27">
        <v>100021045</v>
      </c>
      <c r="AL40" s="24">
        <v>12962.273708363022</v>
      </c>
    </row>
    <row r="41" spans="1:38" ht="16" x14ac:dyDescent="0.4">
      <c r="A41" s="83">
        <v>100021001</v>
      </c>
      <c r="B41" s="97" t="s">
        <v>46</v>
      </c>
      <c r="C41" s="98">
        <v>7790360720115</v>
      </c>
      <c r="D41" s="99">
        <v>2.16</v>
      </c>
      <c r="E41" s="100">
        <v>24</v>
      </c>
      <c r="F41" s="84">
        <v>13610.387393781175</v>
      </c>
      <c r="G41" s="102"/>
      <c r="H41" s="84">
        <f t="shared" si="8"/>
        <v>13610.387393781175</v>
      </c>
      <c r="I41" s="84">
        <f t="shared" si="0"/>
        <v>567.09947474088233</v>
      </c>
      <c r="J41" s="84">
        <f t="shared" si="1"/>
        <v>119.09088969558529</v>
      </c>
      <c r="K41" s="84">
        <f t="shared" si="2"/>
        <v>686.19036443646758</v>
      </c>
      <c r="L41" s="84">
        <f t="shared" ref="L41:L56" si="32">+K41*L$39</f>
        <v>150.96188017602287</v>
      </c>
      <c r="M41" s="84">
        <f t="shared" si="4"/>
        <v>837.15224461249045</v>
      </c>
      <c r="N41" s="84">
        <f t="shared" ref="N41:N56" si="33">+M41*N$39</f>
        <v>293.00328561437163</v>
      </c>
      <c r="O41" s="101">
        <f t="shared" si="6"/>
        <v>1130.1555302268621</v>
      </c>
      <c r="P41" s="183">
        <f t="shared" si="7"/>
        <v>0.10250000000000004</v>
      </c>
      <c r="Q41" s="25">
        <v>12345.022579393355</v>
      </c>
      <c r="R41" s="181"/>
      <c r="X41">
        <f>+X40/F37</f>
        <v>0.3501083926359424</v>
      </c>
      <c r="Z41" s="82" t="e">
        <f>+F32-Z40</f>
        <v>#N/A</v>
      </c>
      <c r="AF41">
        <v>10353.088375875002</v>
      </c>
      <c r="AG41">
        <f>+(H41-AF41)/AF41</f>
        <v>0.31462100000000032</v>
      </c>
      <c r="AK41" s="27">
        <v>100021004</v>
      </c>
      <c r="AL41" s="24">
        <v>12962.273708363022</v>
      </c>
    </row>
    <row r="42" spans="1:38" ht="16" x14ac:dyDescent="0.4">
      <c r="A42" s="211">
        <v>100522277</v>
      </c>
      <c r="B42" s="97" t="s">
        <v>146</v>
      </c>
      <c r="C42" s="98"/>
      <c r="D42" s="99">
        <v>2.16</v>
      </c>
      <c r="E42" s="100">
        <v>24</v>
      </c>
      <c r="F42" s="84">
        <v>13610.387393781175</v>
      </c>
      <c r="G42" s="102"/>
      <c r="H42" s="84">
        <f t="shared" ref="H42:H43" si="34">+F42*(1-G42)</f>
        <v>13610.387393781175</v>
      </c>
      <c r="I42" s="84">
        <f t="shared" ref="I42:I43" si="35">+H42/E42</f>
        <v>567.09947474088233</v>
      </c>
      <c r="J42" s="84">
        <f t="shared" ref="J42:J43" si="36">+I42*J$3</f>
        <v>119.09088969558529</v>
      </c>
      <c r="K42" s="84">
        <f t="shared" ref="K42:K43" si="37">+I42+J42</f>
        <v>686.19036443646758</v>
      </c>
      <c r="L42" s="84">
        <f t="shared" ref="L42:L43" si="38">+K42*L$39</f>
        <v>150.96188017602287</v>
      </c>
      <c r="M42" s="84">
        <f t="shared" ref="M42:M43" si="39">+K42+L42</f>
        <v>837.15224461249045</v>
      </c>
      <c r="N42" s="84">
        <f t="shared" ref="N42:N43" si="40">+M42*N$39</f>
        <v>293.00328561437163</v>
      </c>
      <c r="O42" s="101">
        <f t="shared" ref="O42:O43" si="41">+M42+N42</f>
        <v>1130.1555302268621</v>
      </c>
      <c r="P42" s="183">
        <f t="shared" si="7"/>
        <v>0.10250000000000004</v>
      </c>
      <c r="Q42" s="25">
        <v>12345.022579393355</v>
      </c>
      <c r="R42" s="181"/>
      <c r="Z42" s="82"/>
      <c r="AK42" s="27">
        <v>100021006</v>
      </c>
      <c r="AL42" s="24">
        <v>12962.273708363022</v>
      </c>
    </row>
    <row r="43" spans="1:38" x14ac:dyDescent="0.35">
      <c r="A43" s="211">
        <v>100522333</v>
      </c>
      <c r="B43" s="97" t="s">
        <v>147</v>
      </c>
      <c r="C43" s="98"/>
      <c r="D43" s="99">
        <v>2.16</v>
      </c>
      <c r="E43" s="100">
        <v>24</v>
      </c>
      <c r="F43" s="84">
        <v>13610.387393781175</v>
      </c>
      <c r="G43" s="102"/>
      <c r="H43" s="84">
        <f t="shared" si="34"/>
        <v>13610.387393781175</v>
      </c>
      <c r="I43" s="84">
        <f t="shared" si="35"/>
        <v>567.09947474088233</v>
      </c>
      <c r="J43" s="84">
        <f t="shared" si="36"/>
        <v>119.09088969558529</v>
      </c>
      <c r="K43" s="84">
        <f t="shared" si="37"/>
        <v>686.19036443646758</v>
      </c>
      <c r="L43" s="84">
        <f t="shared" si="38"/>
        <v>150.96188017602287</v>
      </c>
      <c r="M43" s="84">
        <f t="shared" si="39"/>
        <v>837.15224461249045</v>
      </c>
      <c r="N43" s="84">
        <f t="shared" si="40"/>
        <v>293.00328561437163</v>
      </c>
      <c r="O43" s="101">
        <f t="shared" si="41"/>
        <v>1130.1555302268621</v>
      </c>
      <c r="P43" s="183">
        <f t="shared" si="7"/>
        <v>0.10250000000000004</v>
      </c>
      <c r="Q43" s="25">
        <v>12345.022579393355</v>
      </c>
      <c r="Z43" s="82"/>
      <c r="AK43" s="27">
        <v>100021007</v>
      </c>
      <c r="AL43" s="24">
        <v>15499.254843517137</v>
      </c>
    </row>
    <row r="44" spans="1:38" x14ac:dyDescent="0.35">
      <c r="A44" s="83">
        <v>100021045</v>
      </c>
      <c r="B44" s="97" t="s">
        <v>47</v>
      </c>
      <c r="C44" s="98">
        <v>7790360966582</v>
      </c>
      <c r="D44" s="99">
        <v>2.16</v>
      </c>
      <c r="E44" s="100">
        <v>24</v>
      </c>
      <c r="F44" s="84">
        <v>13610.387393781173</v>
      </c>
      <c r="G44" s="102"/>
      <c r="H44" s="84">
        <f t="shared" si="8"/>
        <v>13610.387393781173</v>
      </c>
      <c r="I44" s="84">
        <f t="shared" si="0"/>
        <v>567.09947474088221</v>
      </c>
      <c r="J44" s="84">
        <f t="shared" si="1"/>
        <v>119.09088969558526</v>
      </c>
      <c r="K44" s="84">
        <f t="shared" si="2"/>
        <v>686.19036443646746</v>
      </c>
      <c r="L44" s="84">
        <f t="shared" si="32"/>
        <v>150.96188017602285</v>
      </c>
      <c r="M44" s="84">
        <f t="shared" si="4"/>
        <v>837.15224461249034</v>
      </c>
      <c r="N44" s="84">
        <f t="shared" si="33"/>
        <v>293.00328561437158</v>
      </c>
      <c r="O44" s="101">
        <f t="shared" si="6"/>
        <v>1130.1555302268619</v>
      </c>
      <c r="P44" s="183">
        <f t="shared" si="7"/>
        <v>0.10250000000000004</v>
      </c>
      <c r="Q44" s="25">
        <v>12345.022579393353</v>
      </c>
      <c r="Z44" t="e">
        <f>+Z41/F32</f>
        <v>#N/A</v>
      </c>
      <c r="AF44">
        <v>10088.4</v>
      </c>
      <c r="AG44">
        <f>+(H44-AF44)/AF44</f>
        <v>0.34911258413436952</v>
      </c>
      <c r="AK44" s="27">
        <v>100021013</v>
      </c>
      <c r="AL44" s="24">
        <v>15499.254843517137</v>
      </c>
    </row>
    <row r="45" spans="1:38" x14ac:dyDescent="0.35">
      <c r="A45" s="83">
        <v>100021004</v>
      </c>
      <c r="B45" s="97" t="s">
        <v>48</v>
      </c>
      <c r="C45" s="98">
        <v>7790360964526</v>
      </c>
      <c r="D45" s="99">
        <v>2.1120000000000001</v>
      </c>
      <c r="E45" s="100">
        <v>24</v>
      </c>
      <c r="F45" s="84">
        <v>13610.387393781173</v>
      </c>
      <c r="G45" s="102"/>
      <c r="H45" s="84">
        <f t="shared" si="8"/>
        <v>13610.387393781173</v>
      </c>
      <c r="I45" s="84">
        <f t="shared" si="0"/>
        <v>567.09947474088221</v>
      </c>
      <c r="J45" s="84">
        <f t="shared" si="1"/>
        <v>119.09088969558526</v>
      </c>
      <c r="K45" s="84">
        <f t="shared" si="2"/>
        <v>686.19036443646746</v>
      </c>
      <c r="L45" s="84">
        <f t="shared" si="32"/>
        <v>150.96188017602285</v>
      </c>
      <c r="M45" s="84">
        <f t="shared" si="4"/>
        <v>837.15224461249034</v>
      </c>
      <c r="N45" s="84">
        <f t="shared" si="33"/>
        <v>293.00328561437158</v>
      </c>
      <c r="O45" s="101">
        <f t="shared" si="6"/>
        <v>1130.1555302268619</v>
      </c>
      <c r="P45" s="183">
        <f t="shared" si="7"/>
        <v>0.10250000000000004</v>
      </c>
      <c r="Q45" s="25">
        <v>12345.022579393353</v>
      </c>
      <c r="AF45">
        <v>10088.4</v>
      </c>
      <c r="AG45">
        <f>+(H45-AF45)/AF45</f>
        <v>0.34911258413436952</v>
      </c>
      <c r="AK45" s="27">
        <v>100021014</v>
      </c>
      <c r="AL45" s="24">
        <v>15499.254843517137</v>
      </c>
    </row>
    <row r="46" spans="1:38" x14ac:dyDescent="0.35">
      <c r="A46" s="83">
        <v>100021006</v>
      </c>
      <c r="B46" s="97" t="s">
        <v>49</v>
      </c>
      <c r="C46" s="98">
        <v>7790360964557</v>
      </c>
      <c r="D46" s="99">
        <v>2.1120000000000001</v>
      </c>
      <c r="E46" s="100">
        <v>24</v>
      </c>
      <c r="F46" s="84">
        <v>13610.387393781173</v>
      </c>
      <c r="G46" s="102"/>
      <c r="H46" s="84">
        <f t="shared" si="8"/>
        <v>13610.387393781173</v>
      </c>
      <c r="I46" s="84">
        <f t="shared" si="0"/>
        <v>567.09947474088221</v>
      </c>
      <c r="J46" s="84">
        <f t="shared" si="1"/>
        <v>119.09088969558526</v>
      </c>
      <c r="K46" s="84">
        <f t="shared" si="2"/>
        <v>686.19036443646746</v>
      </c>
      <c r="L46" s="84">
        <f t="shared" si="32"/>
        <v>150.96188017602285</v>
      </c>
      <c r="M46" s="84">
        <f t="shared" si="4"/>
        <v>837.15224461249034</v>
      </c>
      <c r="N46" s="84">
        <f t="shared" si="33"/>
        <v>293.00328561437158</v>
      </c>
      <c r="O46" s="101">
        <f t="shared" si="6"/>
        <v>1130.1555302268619</v>
      </c>
      <c r="P46" s="183">
        <f t="shared" si="7"/>
        <v>0.10250000000000004</v>
      </c>
      <c r="Q46" s="25">
        <v>12345.022579393353</v>
      </c>
      <c r="AF46">
        <v>10088.4</v>
      </c>
      <c r="AG46">
        <f>+(H46-AF46)/AF46</f>
        <v>0.34911258413436952</v>
      </c>
      <c r="AK46" s="27">
        <v>100021054</v>
      </c>
      <c r="AL46" s="24">
        <v>15499.254843517137</v>
      </c>
    </row>
    <row r="47" spans="1:38" x14ac:dyDescent="0.35">
      <c r="A47" s="83">
        <v>100021007</v>
      </c>
      <c r="B47" s="97" t="s">
        <v>50</v>
      </c>
      <c r="C47" s="98">
        <v>7790360964540</v>
      </c>
      <c r="D47" s="99">
        <v>2.04</v>
      </c>
      <c r="E47" s="100">
        <v>24</v>
      </c>
      <c r="F47" s="84">
        <v>16274.217585692995</v>
      </c>
      <c r="G47" s="102"/>
      <c r="H47" s="84">
        <f t="shared" si="8"/>
        <v>16274.217585692995</v>
      </c>
      <c r="I47" s="84">
        <f t="shared" si="0"/>
        <v>678.09239940387477</v>
      </c>
      <c r="J47" s="84">
        <f t="shared" si="1"/>
        <v>142.39940387481369</v>
      </c>
      <c r="K47" s="84">
        <f t="shared" si="2"/>
        <v>820.49180327868839</v>
      </c>
      <c r="L47" s="84">
        <f t="shared" si="32"/>
        <v>180.50819672131144</v>
      </c>
      <c r="M47" s="84">
        <f t="shared" si="4"/>
        <v>1000.9999999999998</v>
      </c>
      <c r="N47" s="84">
        <f t="shared" si="33"/>
        <v>350.34999999999991</v>
      </c>
      <c r="O47" s="101">
        <f t="shared" si="6"/>
        <v>1351.3499999999997</v>
      </c>
      <c r="P47" s="183">
        <f t="shared" si="7"/>
        <v>0.15481870102855622</v>
      </c>
      <c r="Q47" s="25">
        <v>14092.44375</v>
      </c>
      <c r="AF47">
        <v>11917.5</v>
      </c>
      <c r="AG47">
        <f>+(H47-AF47)/AF47</f>
        <v>0.36557311396626768</v>
      </c>
      <c r="AK47" s="27">
        <v>100021055</v>
      </c>
      <c r="AL47" s="24">
        <v>15499.254843517137</v>
      </c>
    </row>
    <row r="48" spans="1:38" x14ac:dyDescent="0.35">
      <c r="A48" s="83">
        <v>100021013</v>
      </c>
      <c r="B48" s="97" t="s">
        <v>51</v>
      </c>
      <c r="C48" s="98">
        <v>7790360965714</v>
      </c>
      <c r="D48" s="99">
        <v>2.04</v>
      </c>
      <c r="E48" s="100">
        <v>24</v>
      </c>
      <c r="F48" s="84">
        <v>16274.217585692995</v>
      </c>
      <c r="G48" s="102"/>
      <c r="H48" s="84">
        <f t="shared" si="8"/>
        <v>16274.217585692995</v>
      </c>
      <c r="I48" s="84">
        <f t="shared" si="0"/>
        <v>678.09239940387477</v>
      </c>
      <c r="J48" s="84">
        <f t="shared" si="1"/>
        <v>142.39940387481369</v>
      </c>
      <c r="K48" s="84">
        <f t="shared" si="2"/>
        <v>820.49180327868839</v>
      </c>
      <c r="L48" s="84">
        <f t="shared" si="32"/>
        <v>180.50819672131144</v>
      </c>
      <c r="M48" s="84">
        <f t="shared" si="4"/>
        <v>1000.9999999999998</v>
      </c>
      <c r="N48" s="84">
        <f t="shared" si="33"/>
        <v>350.34999999999991</v>
      </c>
      <c r="O48" s="101">
        <f t="shared" si="6"/>
        <v>1351.3499999999997</v>
      </c>
      <c r="P48" s="183">
        <f t="shared" si="7"/>
        <v>0.15481870102855622</v>
      </c>
      <c r="Q48" s="25">
        <v>14092.44375</v>
      </c>
      <c r="AF48">
        <v>11917.5</v>
      </c>
      <c r="AG48">
        <f>+(H48-AF48)/AF48</f>
        <v>0.36557311396626768</v>
      </c>
      <c r="AK48" s="27">
        <v>100021015</v>
      </c>
      <c r="AL48" s="24">
        <v>15499.254843517137</v>
      </c>
    </row>
    <row r="49" spans="1:38" x14ac:dyDescent="0.35">
      <c r="A49" s="83">
        <v>100021014</v>
      </c>
      <c r="B49" s="97" t="s">
        <v>52</v>
      </c>
      <c r="C49" s="98">
        <v>7790360965721</v>
      </c>
      <c r="D49" s="99">
        <v>2.04</v>
      </c>
      <c r="E49" s="100">
        <v>24</v>
      </c>
      <c r="F49" s="84">
        <v>16274.217585692995</v>
      </c>
      <c r="G49" s="102"/>
      <c r="H49" s="84">
        <f t="shared" si="8"/>
        <v>16274.217585692995</v>
      </c>
      <c r="I49" s="84">
        <f t="shared" si="0"/>
        <v>678.09239940387477</v>
      </c>
      <c r="J49" s="84">
        <f t="shared" si="1"/>
        <v>142.39940387481369</v>
      </c>
      <c r="K49" s="84">
        <f t="shared" si="2"/>
        <v>820.49180327868839</v>
      </c>
      <c r="L49" s="84">
        <f t="shared" si="32"/>
        <v>180.50819672131144</v>
      </c>
      <c r="M49" s="84">
        <f t="shared" si="4"/>
        <v>1000.9999999999998</v>
      </c>
      <c r="N49" s="84">
        <f t="shared" si="33"/>
        <v>350.34999999999991</v>
      </c>
      <c r="O49" s="101">
        <f t="shared" si="6"/>
        <v>1351.3499999999997</v>
      </c>
      <c r="P49" s="183">
        <f t="shared" si="7"/>
        <v>0.15481870102855622</v>
      </c>
      <c r="Q49" s="25">
        <v>14092.44375</v>
      </c>
      <c r="AF49">
        <v>11917.5</v>
      </c>
      <c r="AG49">
        <f>+(H49-AF49)/AF49</f>
        <v>0.36557311396626768</v>
      </c>
      <c r="AK49" s="27">
        <v>100021008</v>
      </c>
      <c r="AL49" s="24">
        <v>10971.006927240942</v>
      </c>
    </row>
    <row r="50" spans="1:38" x14ac:dyDescent="0.35">
      <c r="A50" s="83">
        <v>100021054</v>
      </c>
      <c r="B50" s="97" t="s">
        <v>53</v>
      </c>
      <c r="C50" s="98">
        <v>7790360965707</v>
      </c>
      <c r="D50" s="99">
        <v>2.04</v>
      </c>
      <c r="E50" s="100">
        <v>24</v>
      </c>
      <c r="F50" s="84">
        <v>16274.217585692995</v>
      </c>
      <c r="G50" s="102"/>
      <c r="H50" s="84">
        <f t="shared" si="8"/>
        <v>16274.217585692995</v>
      </c>
      <c r="I50" s="84">
        <f t="shared" si="0"/>
        <v>678.09239940387477</v>
      </c>
      <c r="J50" s="84">
        <f t="shared" si="1"/>
        <v>142.39940387481369</v>
      </c>
      <c r="K50" s="84">
        <f t="shared" si="2"/>
        <v>820.49180327868839</v>
      </c>
      <c r="L50" s="84">
        <f t="shared" si="32"/>
        <v>180.50819672131144</v>
      </c>
      <c r="M50" s="84">
        <f t="shared" si="4"/>
        <v>1000.9999999999998</v>
      </c>
      <c r="N50" s="84">
        <f t="shared" si="33"/>
        <v>350.34999999999991</v>
      </c>
      <c r="O50" s="101">
        <f t="shared" si="6"/>
        <v>1351.3499999999997</v>
      </c>
      <c r="P50" s="183">
        <f t="shared" si="7"/>
        <v>0.15481870102855622</v>
      </c>
      <c r="Q50" s="25">
        <v>14092.44375</v>
      </c>
      <c r="AF50">
        <v>11917.5</v>
      </c>
      <c r="AG50">
        <f>+(H50-AF50)/AF50</f>
        <v>0.36557311396626768</v>
      </c>
      <c r="AK50" s="27">
        <v>100021009</v>
      </c>
      <c r="AL50" s="24">
        <v>10971.006927240942</v>
      </c>
    </row>
    <row r="51" spans="1:38" x14ac:dyDescent="0.35">
      <c r="A51" s="83">
        <v>100021055</v>
      </c>
      <c r="B51" s="97" t="s">
        <v>54</v>
      </c>
      <c r="C51" s="98">
        <v>7790360965189</v>
      </c>
      <c r="D51" s="99">
        <v>2.04</v>
      </c>
      <c r="E51" s="100">
        <v>24</v>
      </c>
      <c r="F51" s="84">
        <v>16274.217585692995</v>
      </c>
      <c r="G51" s="102"/>
      <c r="H51" s="84">
        <f t="shared" si="8"/>
        <v>16274.217585692995</v>
      </c>
      <c r="I51" s="84">
        <f t="shared" si="0"/>
        <v>678.09239940387477</v>
      </c>
      <c r="J51" s="84">
        <f t="shared" si="1"/>
        <v>142.39940387481369</v>
      </c>
      <c r="K51" s="84">
        <f t="shared" si="2"/>
        <v>820.49180327868839</v>
      </c>
      <c r="L51" s="84">
        <f t="shared" si="32"/>
        <v>180.50819672131144</v>
      </c>
      <c r="M51" s="84">
        <f t="shared" si="4"/>
        <v>1000.9999999999998</v>
      </c>
      <c r="N51" s="84">
        <f t="shared" si="33"/>
        <v>350.34999999999991</v>
      </c>
      <c r="O51" s="101">
        <f t="shared" si="6"/>
        <v>1351.3499999999997</v>
      </c>
      <c r="P51" s="183">
        <f t="shared" si="7"/>
        <v>0.15481870102855622</v>
      </c>
      <c r="Q51" s="25">
        <v>14092.44375</v>
      </c>
      <c r="AF51">
        <v>11917.5</v>
      </c>
      <c r="AG51">
        <f>+(H51-AF51)/AF51</f>
        <v>0.36557311396626768</v>
      </c>
      <c r="AK51" s="27">
        <v>100021010</v>
      </c>
      <c r="AL51" s="24">
        <v>10971.006927240942</v>
      </c>
    </row>
    <row r="52" spans="1:38" x14ac:dyDescent="0.35">
      <c r="A52" s="83">
        <v>100021015</v>
      </c>
      <c r="B52" s="97" t="s">
        <v>55</v>
      </c>
      <c r="C52" s="98">
        <v>7790360965202</v>
      </c>
      <c r="D52" s="99">
        <v>2.04</v>
      </c>
      <c r="E52" s="100">
        <v>24</v>
      </c>
      <c r="F52" s="84">
        <v>16274.217585692995</v>
      </c>
      <c r="G52" s="102"/>
      <c r="H52" s="84">
        <f t="shared" si="8"/>
        <v>16274.217585692995</v>
      </c>
      <c r="I52" s="84">
        <f t="shared" si="0"/>
        <v>678.09239940387477</v>
      </c>
      <c r="J52" s="84">
        <f t="shared" si="1"/>
        <v>142.39940387481369</v>
      </c>
      <c r="K52" s="84">
        <f t="shared" si="2"/>
        <v>820.49180327868839</v>
      </c>
      <c r="L52" s="84">
        <f t="shared" si="32"/>
        <v>180.50819672131144</v>
      </c>
      <c r="M52" s="84">
        <f t="shared" si="4"/>
        <v>1000.9999999999998</v>
      </c>
      <c r="N52" s="84">
        <f t="shared" si="33"/>
        <v>350.34999999999991</v>
      </c>
      <c r="O52" s="101">
        <f t="shared" si="6"/>
        <v>1351.3499999999997</v>
      </c>
      <c r="P52" s="183">
        <f t="shared" si="7"/>
        <v>0.15481870102855622</v>
      </c>
      <c r="Q52" s="25">
        <v>14092.44375</v>
      </c>
      <c r="AF52">
        <v>11917.5</v>
      </c>
      <c r="AG52">
        <f>+(H52-AF52)/AF52</f>
        <v>0.36557311396626768</v>
      </c>
      <c r="AK52" s="27">
        <v>100021011</v>
      </c>
      <c r="AL52" s="24">
        <v>10971.006927240942</v>
      </c>
    </row>
    <row r="53" spans="1:38" x14ac:dyDescent="0.35">
      <c r="A53" s="83">
        <v>100021008</v>
      </c>
      <c r="B53" s="97" t="s">
        <v>56</v>
      </c>
      <c r="C53" s="98">
        <v>7790360720122</v>
      </c>
      <c r="D53" s="99">
        <v>2.16</v>
      </c>
      <c r="E53" s="100">
        <v>24</v>
      </c>
      <c r="F53" s="84">
        <v>10971.006927240942</v>
      </c>
      <c r="G53" s="102"/>
      <c r="H53" s="84">
        <f t="shared" si="8"/>
        <v>10971.006927240942</v>
      </c>
      <c r="I53" s="84">
        <f t="shared" si="0"/>
        <v>457.12528863503923</v>
      </c>
      <c r="J53" s="84">
        <f t="shared" si="1"/>
        <v>95.996310613358233</v>
      </c>
      <c r="K53" s="84">
        <f t="shared" si="2"/>
        <v>553.1215992483975</v>
      </c>
      <c r="L53" s="84">
        <f>+K53*0.2</f>
        <v>110.62431984967951</v>
      </c>
      <c r="M53" s="84">
        <f t="shared" si="4"/>
        <v>663.74591909807702</v>
      </c>
      <c r="N53" s="84">
        <f t="shared" si="33"/>
        <v>232.31107168432695</v>
      </c>
      <c r="O53" s="101">
        <f t="shared" si="6"/>
        <v>896.056990782404</v>
      </c>
      <c r="P53" s="183">
        <f t="shared" si="7"/>
        <v>5.0000000000000044E-2</v>
      </c>
      <c r="Q53" s="25">
        <v>10448.578025943754</v>
      </c>
      <c r="AF53">
        <v>9046.387901250002</v>
      </c>
      <c r="AG53">
        <f>+(H53-AF53)/AF53</f>
        <v>0.21275000000000022</v>
      </c>
      <c r="AK53" s="32"/>
      <c r="AL53" s="36"/>
    </row>
    <row r="54" spans="1:38" x14ac:dyDescent="0.35">
      <c r="A54" s="83">
        <v>100021009</v>
      </c>
      <c r="B54" s="97" t="s">
        <v>57</v>
      </c>
      <c r="C54" s="98">
        <v>7790360965127</v>
      </c>
      <c r="D54" s="99">
        <v>2.16</v>
      </c>
      <c r="E54" s="100">
        <v>24</v>
      </c>
      <c r="F54" s="84">
        <v>10971.006927240942</v>
      </c>
      <c r="G54" s="102"/>
      <c r="H54" s="84">
        <f t="shared" si="8"/>
        <v>10971.006927240942</v>
      </c>
      <c r="I54" s="84">
        <f t="shared" si="0"/>
        <v>457.12528863503923</v>
      </c>
      <c r="J54" s="84">
        <f t="shared" si="1"/>
        <v>95.996310613358233</v>
      </c>
      <c r="K54" s="84">
        <f t="shared" si="2"/>
        <v>553.1215992483975</v>
      </c>
      <c r="L54" s="84">
        <f>+K54*0.2</f>
        <v>110.62431984967951</v>
      </c>
      <c r="M54" s="84">
        <f t="shared" si="4"/>
        <v>663.74591909807702</v>
      </c>
      <c r="N54" s="84">
        <f t="shared" si="33"/>
        <v>232.31107168432695</v>
      </c>
      <c r="O54" s="101">
        <f t="shared" si="6"/>
        <v>896.056990782404</v>
      </c>
      <c r="P54" s="183">
        <f t="shared" si="7"/>
        <v>5.0000000000000044E-2</v>
      </c>
      <c r="Q54" s="25">
        <v>10448.578025943754</v>
      </c>
      <c r="AF54">
        <v>9046.387901250002</v>
      </c>
      <c r="AG54">
        <f>+(H54-AF54)/AF54</f>
        <v>0.21275000000000022</v>
      </c>
      <c r="AK54" s="27">
        <v>100516217</v>
      </c>
      <c r="AL54" s="24">
        <v>25505.374073480652</v>
      </c>
    </row>
    <row r="55" spans="1:38" x14ac:dyDescent="0.35">
      <c r="A55" s="27">
        <v>100021010</v>
      </c>
      <c r="B55" s="28" t="s">
        <v>58</v>
      </c>
      <c r="C55" s="21">
        <v>7790920008707</v>
      </c>
      <c r="D55" s="22">
        <v>2.16</v>
      </c>
      <c r="E55" s="23">
        <v>24</v>
      </c>
      <c r="F55" s="24">
        <v>10971.006927240942</v>
      </c>
      <c r="G55" s="23"/>
      <c r="H55" s="24">
        <f t="shared" si="8"/>
        <v>10971.006927240942</v>
      </c>
      <c r="I55" s="24">
        <f t="shared" si="0"/>
        <v>457.12528863503923</v>
      </c>
      <c r="J55" s="24">
        <f t="shared" si="1"/>
        <v>95.996310613358233</v>
      </c>
      <c r="K55" s="24">
        <f t="shared" si="2"/>
        <v>553.1215992483975</v>
      </c>
      <c r="L55" s="24">
        <f t="shared" si="32"/>
        <v>121.68675183464745</v>
      </c>
      <c r="M55" s="24">
        <f t="shared" si="4"/>
        <v>674.80835108304495</v>
      </c>
      <c r="N55" s="24">
        <f t="shared" si="33"/>
        <v>236.18292287906573</v>
      </c>
      <c r="O55" s="25">
        <f t="shared" si="6"/>
        <v>910.99127396211065</v>
      </c>
      <c r="P55" s="183">
        <f t="shared" si="7"/>
        <v>5.0000000000000044E-2</v>
      </c>
      <c r="Q55" s="25">
        <v>10448.578025943754</v>
      </c>
      <c r="AF55">
        <v>9046.387901250002</v>
      </c>
      <c r="AG55">
        <f>+(H55-AF55)/AF55</f>
        <v>0.21275000000000022</v>
      </c>
      <c r="AK55" s="27">
        <v>100516214</v>
      </c>
      <c r="AL55" s="24">
        <v>35312.915854229308</v>
      </c>
    </row>
    <row r="56" spans="1:38" x14ac:dyDescent="0.35">
      <c r="A56" s="27">
        <v>100021011</v>
      </c>
      <c r="B56" s="28" t="s">
        <v>59</v>
      </c>
      <c r="C56" s="21">
        <v>7790920008714</v>
      </c>
      <c r="D56" s="22">
        <v>2.16</v>
      </c>
      <c r="E56" s="23">
        <v>24</v>
      </c>
      <c r="F56" s="24">
        <v>10971.006927240942</v>
      </c>
      <c r="G56" s="23"/>
      <c r="H56" s="24">
        <f t="shared" si="8"/>
        <v>10971.006927240942</v>
      </c>
      <c r="I56" s="24">
        <f t="shared" si="0"/>
        <v>457.12528863503923</v>
      </c>
      <c r="J56" s="24">
        <f t="shared" si="1"/>
        <v>95.996310613358233</v>
      </c>
      <c r="K56" s="24">
        <f t="shared" si="2"/>
        <v>553.1215992483975</v>
      </c>
      <c r="L56" s="24">
        <f t="shared" si="32"/>
        <v>121.68675183464745</v>
      </c>
      <c r="M56" s="24">
        <f t="shared" si="4"/>
        <v>674.80835108304495</v>
      </c>
      <c r="N56" s="24">
        <f t="shared" si="33"/>
        <v>236.18292287906573</v>
      </c>
      <c r="O56" s="25">
        <f t="shared" si="6"/>
        <v>910.99127396211065</v>
      </c>
      <c r="P56" s="183">
        <f t="shared" si="7"/>
        <v>5.0000000000000044E-2</v>
      </c>
      <c r="Q56" s="25">
        <v>10448.578025943754</v>
      </c>
      <c r="AF56">
        <v>9046.387901250002</v>
      </c>
      <c r="AG56">
        <f>+(H56-AF56)/AF56</f>
        <v>0.21275000000000022</v>
      </c>
      <c r="AK56" s="27">
        <v>100516215</v>
      </c>
      <c r="AL56" s="24">
        <v>35312.915854229308</v>
      </c>
    </row>
    <row r="57" spans="1:38" x14ac:dyDescent="0.35">
      <c r="A57" s="32"/>
      <c r="B57" s="33"/>
      <c r="C57" s="34"/>
      <c r="D57" s="33"/>
      <c r="E57" s="35"/>
      <c r="F57" s="36" t="e">
        <v>#N/A</v>
      </c>
      <c r="G57" s="35"/>
      <c r="H57" s="36" t="e">
        <f t="shared" si="8"/>
        <v>#N/A</v>
      </c>
      <c r="I57" s="37" t="e">
        <f t="shared" si="0"/>
        <v>#N/A</v>
      </c>
      <c r="J57" s="38"/>
      <c r="K57" s="37"/>
      <c r="L57" s="17"/>
      <c r="M57" s="16"/>
      <c r="N57" s="17"/>
      <c r="O57" s="39"/>
      <c r="P57" s="183" t="e">
        <f t="shared" si="7"/>
        <v>#N/A</v>
      </c>
      <c r="Q57" s="39" t="e">
        <v>#N/A</v>
      </c>
      <c r="AF57" t="e">
        <v>#N/A</v>
      </c>
      <c r="AG57" t="e">
        <f>+(H57-AF57)/AF57</f>
        <v>#N/A</v>
      </c>
      <c r="AK57" s="27">
        <v>100516216</v>
      </c>
      <c r="AL57" s="24">
        <v>35312.915854229308</v>
      </c>
    </row>
    <row r="58" spans="1:38" x14ac:dyDescent="0.35">
      <c r="A58" s="27">
        <v>100516217</v>
      </c>
      <c r="B58" s="28" t="s">
        <v>60</v>
      </c>
      <c r="C58" s="21">
        <v>7790360967824</v>
      </c>
      <c r="D58" s="22">
        <v>5.8</v>
      </c>
      <c r="E58" s="23">
        <v>20</v>
      </c>
      <c r="F58" s="24">
        <v>25505.374073480652</v>
      </c>
      <c r="G58" s="141"/>
      <c r="H58" s="24">
        <f t="shared" si="8"/>
        <v>25505.374073480652</v>
      </c>
      <c r="I58" s="24">
        <f t="shared" si="0"/>
        <v>1275.2687036740326</v>
      </c>
      <c r="J58" s="24">
        <f t="shared" si="1"/>
        <v>267.80642777154685</v>
      </c>
      <c r="K58" s="24">
        <f t="shared" si="2"/>
        <v>1543.0751314455795</v>
      </c>
      <c r="L58" s="24">
        <f>+K58*0.33</f>
        <v>509.21479337704125</v>
      </c>
      <c r="M58" s="24">
        <f t="shared" si="4"/>
        <v>2052.2899248226208</v>
      </c>
      <c r="N58" s="24">
        <f t="shared" si="5"/>
        <v>820.9159699290484</v>
      </c>
      <c r="O58" s="25">
        <f t="shared" si="6"/>
        <v>2873.2058947516693</v>
      </c>
      <c r="P58" s="183">
        <f t="shared" si="7"/>
        <v>0.11111111111111094</v>
      </c>
      <c r="Q58" s="25">
        <v>22954.836666132589</v>
      </c>
      <c r="R58" s="245" t="s">
        <v>212</v>
      </c>
      <c r="AF58">
        <v>24041.261262588981</v>
      </c>
      <c r="AG58">
        <f>+(H58-AF58)/AF58</f>
        <v>6.0900000000000086E-2</v>
      </c>
      <c r="AK58" s="32"/>
      <c r="AL58" s="36"/>
    </row>
    <row r="59" spans="1:38" x14ac:dyDescent="0.35">
      <c r="A59" s="83">
        <v>100516214</v>
      </c>
      <c r="B59" s="97" t="s">
        <v>61</v>
      </c>
      <c r="C59" s="98">
        <v>7790360967794</v>
      </c>
      <c r="D59" s="99">
        <v>7</v>
      </c>
      <c r="E59" s="100">
        <v>20</v>
      </c>
      <c r="F59" s="84">
        <v>36372.303329856186</v>
      </c>
      <c r="G59" s="96"/>
      <c r="H59" s="84">
        <f t="shared" si="8"/>
        <v>36372.303329856186</v>
      </c>
      <c r="I59" s="84">
        <f t="shared" si="0"/>
        <v>1818.6151664928093</v>
      </c>
      <c r="J59" s="84">
        <f t="shared" si="1"/>
        <v>381.90918496348996</v>
      </c>
      <c r="K59" s="84">
        <f t="shared" si="2"/>
        <v>2200.5243514562994</v>
      </c>
      <c r="L59" s="84">
        <f t="shared" ref="L59:L61" si="42">+K59*0.33</f>
        <v>726.1730359805789</v>
      </c>
      <c r="M59" s="84">
        <f t="shared" si="4"/>
        <v>2926.6973874368782</v>
      </c>
      <c r="N59" s="84">
        <f t="shared" si="5"/>
        <v>1170.6789549747514</v>
      </c>
      <c r="O59" s="101">
        <f t="shared" si="6"/>
        <v>4097.3763424116296</v>
      </c>
      <c r="P59" s="183">
        <f t="shared" si="7"/>
        <v>-9.0000000000012292E-4</v>
      </c>
      <c r="Q59" s="25">
        <v>36405.067890958053</v>
      </c>
      <c r="R59" s="245" t="s">
        <v>211</v>
      </c>
      <c r="AF59">
        <v>34315.268065753648</v>
      </c>
      <c r="AG59">
        <f>+(H59-AF59)/AF59</f>
        <v>5.99451900000001E-2</v>
      </c>
      <c r="AK59" s="27">
        <v>100021704</v>
      </c>
      <c r="AL59" s="24">
        <v>36084.031149342401</v>
      </c>
    </row>
    <row r="60" spans="1:38" x14ac:dyDescent="0.35">
      <c r="A60" s="83">
        <v>100516215</v>
      </c>
      <c r="B60" s="97" t="s">
        <v>62</v>
      </c>
      <c r="C60" s="98">
        <v>7790360967800</v>
      </c>
      <c r="D60" s="99">
        <v>7</v>
      </c>
      <c r="E60" s="100">
        <v>20</v>
      </c>
      <c r="F60" s="84">
        <v>36372.303329856186</v>
      </c>
      <c r="G60" s="96"/>
      <c r="H60" s="84">
        <f t="shared" si="8"/>
        <v>36372.303329856186</v>
      </c>
      <c r="I60" s="84">
        <f t="shared" si="0"/>
        <v>1818.6151664928093</v>
      </c>
      <c r="J60" s="84">
        <f t="shared" si="1"/>
        <v>381.90918496348996</v>
      </c>
      <c r="K60" s="84">
        <f t="shared" si="2"/>
        <v>2200.5243514562994</v>
      </c>
      <c r="L60" s="84">
        <f t="shared" si="42"/>
        <v>726.1730359805789</v>
      </c>
      <c r="M60" s="84">
        <f t="shared" si="4"/>
        <v>2926.6973874368782</v>
      </c>
      <c r="N60" s="84">
        <f t="shared" si="5"/>
        <v>1170.6789549747514</v>
      </c>
      <c r="O60" s="101">
        <f t="shared" si="6"/>
        <v>4097.3763424116296</v>
      </c>
      <c r="P60" s="183">
        <f t="shared" si="7"/>
        <v>-9.0000000000012292E-4</v>
      </c>
      <c r="Q60" s="25">
        <v>36405.067890958053</v>
      </c>
      <c r="R60" s="245" t="s">
        <v>211</v>
      </c>
      <c r="AF60">
        <v>34315.268065753648</v>
      </c>
      <c r="AG60">
        <f>+(H60-AF60)/AF60</f>
        <v>5.99451900000001E-2</v>
      </c>
      <c r="AK60" s="27">
        <v>100021705</v>
      </c>
      <c r="AL60" s="24">
        <v>32473.211800483499</v>
      </c>
    </row>
    <row r="61" spans="1:38" x14ac:dyDescent="0.35">
      <c r="A61" s="83">
        <v>100516216</v>
      </c>
      <c r="B61" s="97" t="s">
        <v>63</v>
      </c>
      <c r="C61" s="98">
        <v>7790360967817</v>
      </c>
      <c r="D61" s="99">
        <v>7</v>
      </c>
      <c r="E61" s="100">
        <v>20</v>
      </c>
      <c r="F61" s="84">
        <v>36372.303329856186</v>
      </c>
      <c r="G61" s="96"/>
      <c r="H61" s="84">
        <f t="shared" si="8"/>
        <v>36372.303329856186</v>
      </c>
      <c r="I61" s="84">
        <f t="shared" si="0"/>
        <v>1818.6151664928093</v>
      </c>
      <c r="J61" s="84">
        <f t="shared" si="1"/>
        <v>381.90918496348996</v>
      </c>
      <c r="K61" s="84">
        <f t="shared" si="2"/>
        <v>2200.5243514562994</v>
      </c>
      <c r="L61" s="84">
        <f t="shared" si="42"/>
        <v>726.1730359805789</v>
      </c>
      <c r="M61" s="84">
        <f t="shared" si="4"/>
        <v>2926.6973874368782</v>
      </c>
      <c r="N61" s="84">
        <f t="shared" si="5"/>
        <v>1170.6789549747514</v>
      </c>
      <c r="O61" s="101">
        <f t="shared" si="6"/>
        <v>4097.3763424116296</v>
      </c>
      <c r="P61" s="183">
        <f t="shared" si="7"/>
        <v>-9.0000000000012292E-4</v>
      </c>
      <c r="Q61" s="25">
        <v>36405.067890958053</v>
      </c>
      <c r="R61" s="245" t="s">
        <v>211</v>
      </c>
      <c r="AF61">
        <v>34315.268065753648</v>
      </c>
      <c r="AG61">
        <f>+(H61-AF61)/AF61</f>
        <v>5.99451900000001E-2</v>
      </c>
      <c r="AK61" s="27">
        <v>100021709</v>
      </c>
      <c r="AL61" s="24">
        <v>54740.252050895244</v>
      </c>
    </row>
    <row r="62" spans="1:38" x14ac:dyDescent="0.35">
      <c r="A62" s="32"/>
      <c r="B62" s="33"/>
      <c r="C62" s="34"/>
      <c r="D62" s="33"/>
      <c r="E62" s="35"/>
      <c r="F62" s="36" t="e">
        <v>#N/A</v>
      </c>
      <c r="G62" s="132"/>
      <c r="H62" s="36" t="e">
        <f t="shared" si="8"/>
        <v>#N/A</v>
      </c>
      <c r="I62" s="37" t="e">
        <f t="shared" si="0"/>
        <v>#N/A</v>
      </c>
      <c r="J62" s="38"/>
      <c r="K62" s="37"/>
      <c r="L62" s="17"/>
      <c r="M62" s="16"/>
      <c r="N62" s="17"/>
      <c r="O62" s="39"/>
      <c r="P62" s="183" t="e">
        <f t="shared" si="7"/>
        <v>#N/A</v>
      </c>
      <c r="Q62" s="39" t="e">
        <v>#N/A</v>
      </c>
      <c r="AF62" t="e">
        <v>#N/A</v>
      </c>
      <c r="AG62" t="e">
        <f>+(H62-AF62)/AF62</f>
        <v>#N/A</v>
      </c>
      <c r="AK62" s="27">
        <v>100521357</v>
      </c>
      <c r="AL62" s="24">
        <v>44177.826000000015</v>
      </c>
    </row>
    <row r="63" spans="1:38" x14ac:dyDescent="0.35">
      <c r="A63" s="27">
        <v>100021704</v>
      </c>
      <c r="B63" s="28" t="s">
        <v>64</v>
      </c>
      <c r="C63" s="21">
        <v>7790360023902</v>
      </c>
      <c r="D63" s="22">
        <f>12*0.38</f>
        <v>4.5600000000000005</v>
      </c>
      <c r="E63" s="23">
        <v>12</v>
      </c>
      <c r="F63" s="24">
        <v>37888.232706809526</v>
      </c>
      <c r="G63" s="133"/>
      <c r="H63" s="24">
        <f t="shared" si="8"/>
        <v>37888.232706809526</v>
      </c>
      <c r="I63" s="24">
        <f t="shared" si="0"/>
        <v>3157.3527255674603</v>
      </c>
      <c r="J63" s="24">
        <f t="shared" si="1"/>
        <v>663.04407236916666</v>
      </c>
      <c r="K63" s="24">
        <f t="shared" si="2"/>
        <v>3820.3967979366271</v>
      </c>
      <c r="L63" s="24">
        <f t="shared" si="3"/>
        <v>1260.7309433190869</v>
      </c>
      <c r="M63" s="24">
        <f t="shared" si="4"/>
        <v>5081.1277412557138</v>
      </c>
      <c r="N63" s="24">
        <f t="shared" si="5"/>
        <v>2032.4510965022855</v>
      </c>
      <c r="O63" s="25">
        <f t="shared" si="6"/>
        <v>7113.5788377579993</v>
      </c>
      <c r="P63" s="183">
        <f t="shared" si="7"/>
        <v>5.0000000000000044E-2</v>
      </c>
      <c r="Q63" s="25">
        <v>36084.031149342401</v>
      </c>
      <c r="AF63">
        <v>34365.743951754666</v>
      </c>
      <c r="AG63">
        <f>+(H63-AF63)/AF63</f>
        <v>0.10250000000000017</v>
      </c>
      <c r="AK63" s="225">
        <v>100521358</v>
      </c>
      <c r="AL63" s="226">
        <v>66266.739000000016</v>
      </c>
    </row>
    <row r="64" spans="1:38" x14ac:dyDescent="0.35">
      <c r="A64" s="27">
        <v>100021705</v>
      </c>
      <c r="B64" s="28" t="s">
        <v>65</v>
      </c>
      <c r="C64" s="21">
        <v>7790360024336</v>
      </c>
      <c r="D64" s="22">
        <f>12*0.38</f>
        <v>4.5600000000000005</v>
      </c>
      <c r="E64" s="23">
        <v>12</v>
      </c>
      <c r="F64" s="24">
        <v>34096.872390507677</v>
      </c>
      <c r="G64" s="133"/>
      <c r="H64" s="24">
        <f t="shared" si="8"/>
        <v>34096.872390507677</v>
      </c>
      <c r="I64" s="24">
        <f t="shared" si="0"/>
        <v>2841.4060325423065</v>
      </c>
      <c r="J64" s="24">
        <f t="shared" si="1"/>
        <v>596.69526683388438</v>
      </c>
      <c r="K64" s="24">
        <f t="shared" si="2"/>
        <v>3438.101299376191</v>
      </c>
      <c r="L64" s="24">
        <f t="shared" si="3"/>
        <v>1134.5734287941432</v>
      </c>
      <c r="M64" s="24">
        <f t="shared" si="4"/>
        <v>4572.6747281703338</v>
      </c>
      <c r="N64" s="24">
        <f t="shared" si="5"/>
        <v>1829.0698912681337</v>
      </c>
      <c r="O64" s="25">
        <f t="shared" si="6"/>
        <v>6401.7446194384675</v>
      </c>
      <c r="P64" s="183" t="e">
        <f t="shared" si="7"/>
        <v>#N/A</v>
      </c>
      <c r="Q64" s="25" t="e">
        <v>#N/A</v>
      </c>
      <c r="AF64">
        <v>30926.868381412856</v>
      </c>
      <c r="AG64">
        <f>+(H64-AF64)/AF64</f>
        <v>0.10250000000000009</v>
      </c>
      <c r="AK64" s="27">
        <v>100522130</v>
      </c>
      <c r="AL64" s="24">
        <v>36420.08712457501</v>
      </c>
    </row>
    <row r="65" spans="1:38" x14ac:dyDescent="0.35">
      <c r="A65" s="27">
        <v>100021709</v>
      </c>
      <c r="B65" s="28" t="s">
        <v>66</v>
      </c>
      <c r="C65" s="21">
        <v>7790360024701</v>
      </c>
      <c r="D65" s="22">
        <v>7.6</v>
      </c>
      <c r="E65" s="23">
        <v>10</v>
      </c>
      <c r="F65" s="24">
        <v>57477.264653440012</v>
      </c>
      <c r="G65" s="134"/>
      <c r="H65" s="24">
        <f t="shared" si="8"/>
        <v>57477.264653440012</v>
      </c>
      <c r="I65" s="24">
        <f t="shared" si="0"/>
        <v>5747.7264653440016</v>
      </c>
      <c r="J65" s="24">
        <f t="shared" si="1"/>
        <v>1207.0225577222402</v>
      </c>
      <c r="K65" s="24">
        <f t="shared" si="2"/>
        <v>6954.7490230662415</v>
      </c>
      <c r="L65" s="24">
        <f t="shared" si="3"/>
        <v>2295.0671776118597</v>
      </c>
      <c r="M65" s="24">
        <f t="shared" si="4"/>
        <v>9249.8162006781022</v>
      </c>
      <c r="N65" s="24">
        <f t="shared" si="5"/>
        <v>3699.926480271241</v>
      </c>
      <c r="O65" s="25">
        <f t="shared" si="6"/>
        <v>12949.742680949343</v>
      </c>
      <c r="P65" s="184">
        <f t="shared" si="7"/>
        <v>5.0000000000000044E-2</v>
      </c>
      <c r="Q65" s="25">
        <v>54740.252050895244</v>
      </c>
      <c r="Y65" t="s">
        <v>132</v>
      </c>
      <c r="AF65">
        <v>43442.906699058105</v>
      </c>
      <c r="AG65">
        <f>+(H65-AF65)/AF65</f>
        <v>0.32305292211688469</v>
      </c>
      <c r="AK65" s="41">
        <v>100021725</v>
      </c>
      <c r="AL65" s="24">
        <v>27314.920754211387</v>
      </c>
    </row>
    <row r="66" spans="1:38" x14ac:dyDescent="0.35">
      <c r="A66" s="83">
        <v>100521357</v>
      </c>
      <c r="B66" s="97" t="s">
        <v>120</v>
      </c>
      <c r="C66" s="98">
        <v>7790360982018</v>
      </c>
      <c r="D66" s="99">
        <v>4.5599999999999996</v>
      </c>
      <c r="E66" s="100">
        <v>12</v>
      </c>
      <c r="F66" s="152">
        <v>46386.717300000018</v>
      </c>
      <c r="G66" s="116">
        <v>0.4</v>
      </c>
      <c r="H66" s="84">
        <f t="shared" si="8"/>
        <v>27832.030380000011</v>
      </c>
      <c r="I66" s="84">
        <f t="shared" si="0"/>
        <v>2319.3358650000009</v>
      </c>
      <c r="J66" s="84">
        <f t="shared" si="1"/>
        <v>487.0605316500002</v>
      </c>
      <c r="K66" s="84">
        <f t="shared" si="2"/>
        <v>2806.396396650001</v>
      </c>
      <c r="L66" s="84">
        <f t="shared" si="3"/>
        <v>926.11081089450033</v>
      </c>
      <c r="M66" s="84">
        <f t="shared" si="4"/>
        <v>3732.5072075445014</v>
      </c>
      <c r="N66" s="84">
        <f t="shared" si="5"/>
        <v>1493.0028830178007</v>
      </c>
      <c r="O66" s="101">
        <f t="shared" si="6"/>
        <v>5225.5100905623021</v>
      </c>
      <c r="P66" s="183">
        <f t="shared" si="7"/>
        <v>-5.9701492537313272E-2</v>
      </c>
      <c r="Q66" s="25">
        <v>29599.143420000008</v>
      </c>
      <c r="R66" s="245" t="s">
        <v>179</v>
      </c>
      <c r="AF66">
        <v>42074.12000000001</v>
      </c>
      <c r="AK66" s="27">
        <v>100517055</v>
      </c>
      <c r="AL66" s="24">
        <v>27215.39023811392</v>
      </c>
    </row>
    <row r="67" spans="1:38" x14ac:dyDescent="0.35">
      <c r="A67" s="83">
        <v>100521358</v>
      </c>
      <c r="B67" s="97" t="s">
        <v>127</v>
      </c>
      <c r="C67" s="98">
        <v>7790360982025</v>
      </c>
      <c r="D67" s="99">
        <v>7.6</v>
      </c>
      <c r="E67" s="100">
        <v>10</v>
      </c>
      <c r="F67" s="152" t="e">
        <v>#N/A</v>
      </c>
      <c r="G67" s="116">
        <v>0.4</v>
      </c>
      <c r="H67" s="84" t="e">
        <f t="shared" ref="H67" si="43">+F67*(1-G67)</f>
        <v>#N/A</v>
      </c>
      <c r="I67" s="84" t="e">
        <f t="shared" ref="I67" si="44">+H67/E67</f>
        <v>#N/A</v>
      </c>
      <c r="J67" s="84" t="e">
        <f t="shared" ref="J67" si="45">+I67*J$3</f>
        <v>#N/A</v>
      </c>
      <c r="K67" s="84" t="e">
        <f t="shared" ref="K67" si="46">+I67+J67</f>
        <v>#N/A</v>
      </c>
      <c r="L67" s="84" t="e">
        <f t="shared" ref="L67" si="47">+K67*L$3</f>
        <v>#N/A</v>
      </c>
      <c r="M67" s="84" t="e">
        <f t="shared" ref="M67" si="48">+K67+L67</f>
        <v>#N/A</v>
      </c>
      <c r="N67" s="84" t="e">
        <f t="shared" ref="N67" si="49">+M67*N$3</f>
        <v>#N/A</v>
      </c>
      <c r="O67" s="101" t="e">
        <f t="shared" ref="O67" si="50">+M67+N67</f>
        <v>#N/A</v>
      </c>
      <c r="P67" s="183" t="e">
        <f t="shared" si="7"/>
        <v>#N/A</v>
      </c>
      <c r="Q67" s="25">
        <v>66266.739000000016</v>
      </c>
      <c r="R67" s="245" t="s">
        <v>178</v>
      </c>
      <c r="Z67" t="s">
        <v>131</v>
      </c>
      <c r="AA67" t="s">
        <v>93</v>
      </c>
      <c r="AF67">
        <v>63111.180000000008</v>
      </c>
      <c r="AK67" s="27">
        <v>100517186</v>
      </c>
      <c r="AL67" s="24">
        <v>69116.127027926646</v>
      </c>
    </row>
    <row r="68" spans="1:38" x14ac:dyDescent="0.35">
      <c r="A68" s="83">
        <v>100522130</v>
      </c>
      <c r="B68" s="97" t="s">
        <v>121</v>
      </c>
      <c r="C68" s="98">
        <v>7790360982445</v>
      </c>
      <c r="D68" s="99">
        <v>4.8</v>
      </c>
      <c r="E68" s="100">
        <v>12</v>
      </c>
      <c r="F68" s="152">
        <v>38241.091480803763</v>
      </c>
      <c r="G68" s="116">
        <v>0.35</v>
      </c>
      <c r="H68" s="84">
        <f t="shared" si="8"/>
        <v>24856.709462522445</v>
      </c>
      <c r="I68" s="84">
        <f t="shared" si="0"/>
        <v>2071.3924552102039</v>
      </c>
      <c r="J68" s="84">
        <f t="shared" si="1"/>
        <v>434.99241559414281</v>
      </c>
      <c r="K68" s="84">
        <f t="shared" si="2"/>
        <v>2506.384870804347</v>
      </c>
      <c r="L68" s="84">
        <f t="shared" si="3"/>
        <v>827.10700736543458</v>
      </c>
      <c r="M68" s="84">
        <f t="shared" si="4"/>
        <v>3333.4918781697816</v>
      </c>
      <c r="N68" s="84">
        <f t="shared" si="5"/>
        <v>1333.3967512679128</v>
      </c>
      <c r="O68" s="101">
        <f t="shared" si="6"/>
        <v>4666.8886294376944</v>
      </c>
      <c r="P68" s="183">
        <f t="shared" si="7"/>
        <v>-0.28337500000000004</v>
      </c>
      <c r="Q68" s="25">
        <v>34685.797261500011</v>
      </c>
      <c r="R68" s="245" t="s">
        <v>179</v>
      </c>
      <c r="X68">
        <v>4000</v>
      </c>
      <c r="Y68" s="118">
        <v>4200</v>
      </c>
      <c r="Z68">
        <v>7900</v>
      </c>
      <c r="AA68">
        <v>4800</v>
      </c>
      <c r="AF68">
        <v>21304.737641032927</v>
      </c>
      <c r="AK68" s="80">
        <v>100521663</v>
      </c>
      <c r="AL68" s="24">
        <v>39946.383076936734</v>
      </c>
    </row>
    <row r="69" spans="1:38" x14ac:dyDescent="0.35">
      <c r="A69" s="41">
        <v>100021725</v>
      </c>
      <c r="B69" s="42" t="s">
        <v>67</v>
      </c>
      <c r="C69" s="43">
        <v>7790360027009</v>
      </c>
      <c r="D69" s="44">
        <v>6</v>
      </c>
      <c r="E69" s="45">
        <v>4</v>
      </c>
      <c r="F69" s="46">
        <v>28680.666791921958</v>
      </c>
      <c r="G69" s="135"/>
      <c r="H69" s="46">
        <f t="shared" si="8"/>
        <v>28680.666791921958</v>
      </c>
      <c r="I69" s="46">
        <f t="shared" si="0"/>
        <v>7170.1666979804895</v>
      </c>
      <c r="J69" s="46">
        <f t="shared" si="1"/>
        <v>1505.7350065759028</v>
      </c>
      <c r="K69" s="46">
        <f t="shared" si="2"/>
        <v>8675.9017045563924</v>
      </c>
      <c r="L69" s="46">
        <f t="shared" si="3"/>
        <v>2863.0475625036097</v>
      </c>
      <c r="M69" s="46">
        <f t="shared" si="4"/>
        <v>11538.949267060001</v>
      </c>
      <c r="N69" s="46">
        <f t="shared" si="5"/>
        <v>4615.5797068240008</v>
      </c>
      <c r="O69" s="47">
        <f t="shared" si="6"/>
        <v>16154.528973884002</v>
      </c>
      <c r="P69" s="183">
        <f t="shared" si="7"/>
        <v>5.0000000000000044E-2</v>
      </c>
      <c r="Q69" s="47">
        <v>27314.920754211387</v>
      </c>
      <c r="R69" s="248"/>
      <c r="AF69">
        <v>26014.210242106081</v>
      </c>
      <c r="AG69">
        <f>+(H69-AF69)/AF69</f>
        <v>0.10250000000000015</v>
      </c>
      <c r="AK69" s="41">
        <v>100021728</v>
      </c>
      <c r="AL69" s="24">
        <v>37847.094552753675</v>
      </c>
    </row>
    <row r="70" spans="1:38" x14ac:dyDescent="0.35">
      <c r="A70" s="27">
        <v>100517055</v>
      </c>
      <c r="B70" s="28" t="s">
        <v>68</v>
      </c>
      <c r="C70" s="21">
        <v>7790360971135</v>
      </c>
      <c r="D70" s="22">
        <v>3.12</v>
      </c>
      <c r="E70" s="23">
        <v>12</v>
      </c>
      <c r="F70" s="24">
        <v>28576.159750019619</v>
      </c>
      <c r="G70" s="133"/>
      <c r="H70" s="24">
        <f t="shared" si="8"/>
        <v>28576.159750019619</v>
      </c>
      <c r="I70" s="24">
        <f t="shared" si="0"/>
        <v>2381.3466458349681</v>
      </c>
      <c r="J70" s="24">
        <f t="shared" si="1"/>
        <v>500.08279562534329</v>
      </c>
      <c r="K70" s="24">
        <f t="shared" si="2"/>
        <v>2881.4294414603114</v>
      </c>
      <c r="L70" s="24">
        <f t="shared" si="3"/>
        <v>950.87171568190286</v>
      </c>
      <c r="M70" s="24">
        <f t="shared" si="4"/>
        <v>3832.3011571422144</v>
      </c>
      <c r="N70" s="24">
        <f t="shared" si="5"/>
        <v>1532.9204628568859</v>
      </c>
      <c r="O70" s="25">
        <f t="shared" si="6"/>
        <v>5365.2216199990999</v>
      </c>
      <c r="P70" s="183">
        <f t="shared" si="7"/>
        <v>5.0000000000000044E-2</v>
      </c>
      <c r="Q70" s="25">
        <v>27215.39023811392</v>
      </c>
      <c r="R70" s="248"/>
      <c r="Y70">
        <f>+Y68*12</f>
        <v>50400</v>
      </c>
      <c r="AF70">
        <v>25919.419274394208</v>
      </c>
      <c r="AG70">
        <f>+(H70-AF70)/AF70</f>
        <v>0.10250000000000017</v>
      </c>
      <c r="AK70" s="41">
        <v>100517679</v>
      </c>
      <c r="AL70" s="24">
        <v>35830.538453970417</v>
      </c>
    </row>
    <row r="71" spans="1:38" x14ac:dyDescent="0.35">
      <c r="A71" s="83">
        <v>100517186</v>
      </c>
      <c r="B71" s="97" t="s">
        <v>69</v>
      </c>
      <c r="C71" s="98">
        <v>7790360971395</v>
      </c>
      <c r="D71" s="99">
        <v>8</v>
      </c>
      <c r="E71" s="100">
        <v>8</v>
      </c>
      <c r="F71" s="84">
        <v>72571.933379322989</v>
      </c>
      <c r="G71" s="140">
        <v>0.35</v>
      </c>
      <c r="H71" s="84">
        <f t="shared" si="8"/>
        <v>47171.756696559947</v>
      </c>
      <c r="I71" s="84">
        <f t="shared" si="0"/>
        <v>5896.4695870699934</v>
      </c>
      <c r="J71" s="84">
        <f t="shared" si="1"/>
        <v>1238.2586132846986</v>
      </c>
      <c r="K71" s="84">
        <f t="shared" si="2"/>
        <v>7134.7282003546916</v>
      </c>
      <c r="L71" s="84">
        <f t="shared" si="3"/>
        <v>2354.4603061170483</v>
      </c>
      <c r="M71" s="84">
        <f t="shared" si="4"/>
        <v>9489.1885064717389</v>
      </c>
      <c r="N71" s="84">
        <f t="shared" si="5"/>
        <v>3795.6754025886958</v>
      </c>
      <c r="O71" s="101">
        <f t="shared" si="6"/>
        <v>13284.863909060434</v>
      </c>
      <c r="P71" s="183">
        <f t="shared" si="7"/>
        <v>-0.31749999999999989</v>
      </c>
      <c r="Q71" s="25">
        <v>69116.127027926646</v>
      </c>
      <c r="R71" s="245" t="s">
        <v>180</v>
      </c>
      <c r="Y71">
        <f>+Y70/1.21/1.33/1.4</f>
        <v>22369.974523084569</v>
      </c>
      <c r="AF71">
        <v>65824.882883739658</v>
      </c>
      <c r="AG71">
        <f>+(H71-AF71)/AF71</f>
        <v>-0.28337499999999977</v>
      </c>
      <c r="AK71" s="32"/>
      <c r="AL71" s="36"/>
    </row>
    <row r="72" spans="1:38" x14ac:dyDescent="0.35">
      <c r="A72" s="124">
        <v>100521663</v>
      </c>
      <c r="B72" s="125" t="s">
        <v>122</v>
      </c>
      <c r="C72" s="98">
        <v>7790360982537</v>
      </c>
      <c r="D72" s="99">
        <v>4.8</v>
      </c>
      <c r="E72" s="100">
        <v>12</v>
      </c>
      <c r="F72" s="84">
        <v>41943.702230783572</v>
      </c>
      <c r="G72" s="116">
        <v>0.3</v>
      </c>
      <c r="H72" s="84">
        <f t="shared" ref="H72" si="51">+F72*(1-G72)</f>
        <v>29360.591561548499</v>
      </c>
      <c r="I72" s="84">
        <f t="shared" ref="I72" si="52">+H72/E72</f>
        <v>2446.7159634623749</v>
      </c>
      <c r="J72" s="84">
        <f t="shared" ref="J72" si="53">+I72*J$3</f>
        <v>513.81035232709871</v>
      </c>
      <c r="K72" s="84">
        <f t="shared" ref="K72" si="54">+I72+J72</f>
        <v>2960.5263157894738</v>
      </c>
      <c r="L72" s="84">
        <f>+K72*0.33</f>
        <v>976.97368421052636</v>
      </c>
      <c r="M72" s="84">
        <f t="shared" ref="M72" si="55">+K72+L72</f>
        <v>3937.5</v>
      </c>
      <c r="N72" s="84">
        <f t="shared" ref="N72" si="56">+M72*N$3</f>
        <v>1575</v>
      </c>
      <c r="O72" s="101">
        <f t="shared" ref="O72" si="57">+M72+N72</f>
        <v>5512.5</v>
      </c>
      <c r="P72" s="183">
        <f t="shared" ref="P72:P108" si="58">H72/Q72-1</f>
        <v>9.7014925373134497E-2</v>
      </c>
      <c r="Q72" s="25">
        <v>26764.07666154761</v>
      </c>
      <c r="R72" s="245" t="s">
        <v>179</v>
      </c>
      <c r="Y72" s="82">
        <f>+F68-Y71</f>
        <v>15871.116957719194</v>
      </c>
      <c r="AF72">
        <v>42746.880000000005</v>
      </c>
      <c r="AK72" s="27">
        <v>100516219</v>
      </c>
      <c r="AL72" s="24">
        <v>16599.454447073913</v>
      </c>
    </row>
    <row r="73" spans="1:38" x14ac:dyDescent="0.35">
      <c r="A73" s="41">
        <v>100021728</v>
      </c>
      <c r="B73" s="42" t="s">
        <v>70</v>
      </c>
      <c r="C73" s="43">
        <v>7790360967558</v>
      </c>
      <c r="D73" s="44">
        <v>3.84</v>
      </c>
      <c r="E73" s="45">
        <v>12</v>
      </c>
      <c r="F73" s="46">
        <v>39739.44928039136</v>
      </c>
      <c r="G73" s="135"/>
      <c r="H73" s="46">
        <f t="shared" si="8"/>
        <v>39739.44928039136</v>
      </c>
      <c r="I73" s="46">
        <f t="shared" si="0"/>
        <v>3311.6207733659467</v>
      </c>
      <c r="J73" s="46">
        <f t="shared" si="1"/>
        <v>695.44036240684875</v>
      </c>
      <c r="K73" s="46">
        <f t="shared" si="2"/>
        <v>4007.0611357727953</v>
      </c>
      <c r="L73" s="46">
        <f t="shared" si="3"/>
        <v>1322.3301748050226</v>
      </c>
      <c r="M73" s="46">
        <f t="shared" si="4"/>
        <v>5329.3913105778174</v>
      </c>
      <c r="N73" s="46">
        <f t="shared" si="5"/>
        <v>2131.7565242311271</v>
      </c>
      <c r="O73" s="47">
        <f t="shared" si="6"/>
        <v>7461.147834808944</v>
      </c>
      <c r="P73" s="183">
        <f t="shared" si="58"/>
        <v>5.0000000000000044E-2</v>
      </c>
      <c r="Q73" s="47">
        <v>37847.094552753675</v>
      </c>
      <c r="Y73">
        <f>+Y72/F68</f>
        <v>0.41502782329542465</v>
      </c>
      <c r="AF73">
        <v>36044.851955003498</v>
      </c>
      <c r="AG73">
        <f>+(H73-AF73)/AF73</f>
        <v>0.10250000000000009</v>
      </c>
      <c r="AK73" s="27">
        <v>100516220</v>
      </c>
      <c r="AL73" s="24">
        <v>17830.838018208367</v>
      </c>
    </row>
    <row r="74" spans="1:38" ht="15" thickBot="1" x14ac:dyDescent="0.4">
      <c r="A74" s="41">
        <v>100517679</v>
      </c>
      <c r="B74" s="42" t="s">
        <v>71</v>
      </c>
      <c r="C74" s="43">
        <v>7790360973498</v>
      </c>
      <c r="D74" s="44">
        <v>7.68</v>
      </c>
      <c r="E74" s="45">
        <v>8</v>
      </c>
      <c r="F74" s="46">
        <v>37622.065376668943</v>
      </c>
      <c r="G74" s="135"/>
      <c r="H74" s="46">
        <f t="shared" si="8"/>
        <v>37622.065376668943</v>
      </c>
      <c r="I74" s="46">
        <f t="shared" si="0"/>
        <v>4702.7581720836179</v>
      </c>
      <c r="J74" s="46">
        <f t="shared" si="1"/>
        <v>987.57921613755968</v>
      </c>
      <c r="K74" s="46">
        <f t="shared" si="2"/>
        <v>5690.3373882211772</v>
      </c>
      <c r="L74" s="46">
        <f t="shared" si="3"/>
        <v>1877.8113381129886</v>
      </c>
      <c r="M74" s="46">
        <f t="shared" si="4"/>
        <v>7568.148726334166</v>
      </c>
      <c r="N74" s="46">
        <f t="shared" si="5"/>
        <v>3027.2594905336664</v>
      </c>
      <c r="O74" s="47">
        <f t="shared" si="6"/>
        <v>10595.408216867832</v>
      </c>
      <c r="P74" s="183">
        <f t="shared" si="58"/>
        <v>5.0000000000000044E-2</v>
      </c>
      <c r="Q74" s="47">
        <v>35830.538453970417</v>
      </c>
      <c r="AF74">
        <v>34124.322337114681</v>
      </c>
      <c r="AG74">
        <f>+(H74-AF74)/AF74</f>
        <v>0.10250000000000019</v>
      </c>
      <c r="AK74" s="49"/>
      <c r="AL74" s="53">
        <v>0</v>
      </c>
    </row>
    <row r="75" spans="1:38" ht="15" thickBot="1" x14ac:dyDescent="0.4">
      <c r="A75" s="32"/>
      <c r="B75" s="33"/>
      <c r="C75" s="34"/>
      <c r="D75" s="33"/>
      <c r="E75" s="35"/>
      <c r="F75" s="36" t="e">
        <v>#N/A</v>
      </c>
      <c r="G75" s="132"/>
      <c r="H75" s="36" t="e">
        <f t="shared" si="8"/>
        <v>#N/A</v>
      </c>
      <c r="I75" s="37" t="e">
        <f t="shared" si="0"/>
        <v>#N/A</v>
      </c>
      <c r="J75" s="38"/>
      <c r="K75" s="37"/>
      <c r="L75" s="17"/>
      <c r="M75" s="16"/>
      <c r="N75" s="17"/>
      <c r="O75" s="39"/>
      <c r="P75" s="183" t="e">
        <f t="shared" si="58"/>
        <v>#N/A</v>
      </c>
      <c r="Q75" s="39" t="e">
        <v>#N/A</v>
      </c>
      <c r="AF75" t="e">
        <v>#N/A</v>
      </c>
      <c r="AG75" t="e">
        <f>+(H75-AF75)/AF75</f>
        <v>#N/A</v>
      </c>
      <c r="AK75" s="56">
        <v>100518158</v>
      </c>
      <c r="AL75" s="61">
        <v>72003.355496178468</v>
      </c>
    </row>
    <row r="76" spans="1:38" ht="15" hidden="1" customHeight="1" thickBot="1" x14ac:dyDescent="0.4">
      <c r="A76" s="27">
        <v>100516219</v>
      </c>
      <c r="B76" s="28" t="s">
        <v>72</v>
      </c>
      <c r="C76" s="48">
        <v>7790360967770</v>
      </c>
      <c r="D76" s="22">
        <v>10</v>
      </c>
      <c r="E76" s="23">
        <v>25</v>
      </c>
      <c r="F76" s="24">
        <v>16599.454447073913</v>
      </c>
      <c r="G76" s="133"/>
      <c r="H76" s="24">
        <f t="shared" si="8"/>
        <v>16599.454447073913</v>
      </c>
      <c r="I76" s="24">
        <f t="shared" si="0"/>
        <v>663.97817788295652</v>
      </c>
      <c r="J76" s="24">
        <f t="shared" si="1"/>
        <v>139.43541735542087</v>
      </c>
      <c r="K76" s="24">
        <f t="shared" si="2"/>
        <v>803.41359523837741</v>
      </c>
      <c r="L76" s="24">
        <f t="shared" si="3"/>
        <v>265.12648642866458</v>
      </c>
      <c r="M76" s="24">
        <f t="shared" si="4"/>
        <v>1068.5400816670419</v>
      </c>
      <c r="N76" s="24">
        <f t="shared" si="5"/>
        <v>427.41603266681682</v>
      </c>
      <c r="O76" s="25">
        <f t="shared" si="6"/>
        <v>1495.9561143338587</v>
      </c>
      <c r="P76" s="183">
        <f t="shared" si="58"/>
        <v>0</v>
      </c>
      <c r="Q76" s="25">
        <v>16599.454447073913</v>
      </c>
      <c r="AF76">
        <v>16599.454447073913</v>
      </c>
      <c r="AG76">
        <f>+(H76-AF76)/AF76</f>
        <v>0</v>
      </c>
      <c r="AK76" s="27">
        <v>100518160</v>
      </c>
      <c r="AL76" s="24">
        <v>72003.355496178468</v>
      </c>
    </row>
    <row r="77" spans="1:38" ht="15" hidden="1" customHeight="1" thickBot="1" x14ac:dyDescent="0.4">
      <c r="A77" s="27">
        <v>100516220</v>
      </c>
      <c r="B77" s="28" t="s">
        <v>73</v>
      </c>
      <c r="C77" s="48">
        <v>7790360967787</v>
      </c>
      <c r="D77" s="22">
        <v>12</v>
      </c>
      <c r="E77" s="23">
        <v>6</v>
      </c>
      <c r="F77" s="24">
        <v>17830.838018208367</v>
      </c>
      <c r="G77" s="133"/>
      <c r="H77" s="24">
        <f t="shared" si="8"/>
        <v>17830.838018208367</v>
      </c>
      <c r="I77" s="24">
        <f t="shared" si="0"/>
        <v>2971.8063363680612</v>
      </c>
      <c r="J77" s="24">
        <f t="shared" si="1"/>
        <v>624.07933063729286</v>
      </c>
      <c r="K77" s="24">
        <f t="shared" si="2"/>
        <v>3595.8856670053542</v>
      </c>
      <c r="L77" s="24">
        <f t="shared" si="3"/>
        <v>1186.6422701117669</v>
      </c>
      <c r="M77" s="24">
        <f t="shared" si="4"/>
        <v>4782.5279371171209</v>
      </c>
      <c r="N77" s="24">
        <f t="shared" si="5"/>
        <v>1913.0111748468485</v>
      </c>
      <c r="O77" s="25">
        <f t="shared" si="6"/>
        <v>6695.5391119639698</v>
      </c>
      <c r="P77" s="183">
        <f t="shared" si="58"/>
        <v>0</v>
      </c>
      <c r="Q77" s="25">
        <v>17830.838018208367</v>
      </c>
      <c r="AF77">
        <v>17830.838018208367</v>
      </c>
      <c r="AG77">
        <f>+(H77-AF77)/AF77</f>
        <v>0</v>
      </c>
      <c r="AK77" s="64">
        <v>100518463</v>
      </c>
      <c r="AL77" s="69">
        <v>33357.515625</v>
      </c>
    </row>
    <row r="78" spans="1:38" ht="15" hidden="1" customHeight="1" thickBot="1" x14ac:dyDescent="0.4">
      <c r="A78" s="49"/>
      <c r="B78" s="50"/>
      <c r="C78" s="51"/>
      <c r="D78" s="50"/>
      <c r="E78" s="52"/>
      <c r="F78" s="53" t="e">
        <v>#N/A</v>
      </c>
      <c r="G78" s="136"/>
      <c r="H78" s="53" t="e">
        <f t="shared" si="8"/>
        <v>#N/A</v>
      </c>
      <c r="I78" s="53" t="e">
        <f t="shared" ref="I78:I84" si="59">+H78/E78</f>
        <v>#N/A</v>
      </c>
      <c r="J78" s="53"/>
      <c r="K78" s="53"/>
      <c r="L78" s="53"/>
      <c r="M78" s="53"/>
      <c r="N78" s="53"/>
      <c r="O78" s="54"/>
      <c r="P78" s="183" t="e">
        <f t="shared" si="58"/>
        <v>#N/A</v>
      </c>
      <c r="Q78" s="55" t="e">
        <v>#N/A</v>
      </c>
      <c r="AF78" t="e">
        <v>#N/A</v>
      </c>
      <c r="AG78" t="e">
        <f>+(H78-AF78)/AF78</f>
        <v>#N/A</v>
      </c>
      <c r="AK78" s="71"/>
      <c r="AL78" s="75"/>
    </row>
    <row r="79" spans="1:38" x14ac:dyDescent="0.35">
      <c r="A79" s="56">
        <v>100518158</v>
      </c>
      <c r="B79" s="57" t="s">
        <v>74</v>
      </c>
      <c r="C79" s="58">
        <v>7790360974280</v>
      </c>
      <c r="D79" s="59">
        <v>12</v>
      </c>
      <c r="E79" s="60">
        <v>24</v>
      </c>
      <c r="F79" s="61">
        <v>72003.355496178468</v>
      </c>
      <c r="G79" s="137"/>
      <c r="H79" s="61">
        <f t="shared" ref="H79:H106" si="60">+F79*(1-G79)</f>
        <v>72003.355496178468</v>
      </c>
      <c r="I79" s="61">
        <f t="shared" si="59"/>
        <v>3000.1398123407694</v>
      </c>
      <c r="J79" s="61">
        <f>+I79*J$3</f>
        <v>630.0293605915615</v>
      </c>
      <c r="K79" s="61">
        <f>+I79+J79</f>
        <v>3630.1691729323311</v>
      </c>
      <c r="L79" s="61">
        <f>+K79*L$3</f>
        <v>1197.9558270676694</v>
      </c>
      <c r="M79" s="61">
        <f>+K79+L79</f>
        <v>4828.125</v>
      </c>
      <c r="N79" s="61">
        <f>+M79*N$3</f>
        <v>1931.25</v>
      </c>
      <c r="O79" s="62">
        <f>+M79+N79</f>
        <v>6759.375</v>
      </c>
      <c r="P79" s="183">
        <f t="shared" si="58"/>
        <v>0</v>
      </c>
      <c r="Q79" s="25">
        <v>72003.355496178468</v>
      </c>
      <c r="AF79">
        <v>72003.355496178468</v>
      </c>
      <c r="AG79">
        <f>+(H79-AF79)/AF79</f>
        <v>0</v>
      </c>
      <c r="AK79" s="197">
        <v>100518291</v>
      </c>
      <c r="AL79" s="61">
        <v>13957.608582010695</v>
      </c>
    </row>
    <row r="80" spans="1:38" ht="15" thickBot="1" x14ac:dyDescent="0.4">
      <c r="A80" s="27">
        <v>100518160</v>
      </c>
      <c r="B80" s="28" t="s">
        <v>75</v>
      </c>
      <c r="C80" s="63">
        <v>7790360974686</v>
      </c>
      <c r="D80" s="22">
        <v>12</v>
      </c>
      <c r="E80" s="23">
        <v>12</v>
      </c>
      <c r="F80" s="24">
        <v>72003.355496178468</v>
      </c>
      <c r="G80" s="133"/>
      <c r="H80" s="24">
        <f t="shared" si="60"/>
        <v>72003.355496178468</v>
      </c>
      <c r="I80" s="24">
        <f t="shared" si="59"/>
        <v>6000.2796246815387</v>
      </c>
      <c r="J80" s="24">
        <f>+I80*J$3</f>
        <v>1260.058721183123</v>
      </c>
      <c r="K80" s="24">
        <f>+I80+J80</f>
        <v>7260.3383458646622</v>
      </c>
      <c r="L80" s="24">
        <f>+K80*L$3</f>
        <v>2395.9116541353387</v>
      </c>
      <c r="M80" s="24">
        <f>+K80+L80</f>
        <v>9656.25</v>
      </c>
      <c r="N80" s="24">
        <f>+M80*N$3</f>
        <v>3862.5</v>
      </c>
      <c r="O80" s="25">
        <f>+M80+N80</f>
        <v>13518.75</v>
      </c>
      <c r="P80" s="183">
        <f t="shared" si="58"/>
        <v>0</v>
      </c>
      <c r="Q80" s="25">
        <v>72003.355496178468</v>
      </c>
      <c r="AF80">
        <v>72003.355496178468</v>
      </c>
      <c r="AG80">
        <f>+(H80-AF80)/AF80</f>
        <v>0</v>
      </c>
      <c r="AK80" s="198">
        <v>100518292</v>
      </c>
      <c r="AL80" s="24">
        <v>32934.975824324232</v>
      </c>
    </row>
    <row r="81" spans="1:38" ht="15" thickBot="1" x14ac:dyDescent="0.4">
      <c r="A81" s="64">
        <v>100518463</v>
      </c>
      <c r="B81" s="65" t="s">
        <v>76</v>
      </c>
      <c r="C81" s="66">
        <v>7790360975188</v>
      </c>
      <c r="D81" s="67">
        <v>5</v>
      </c>
      <c r="E81" s="68">
        <v>1</v>
      </c>
      <c r="F81" s="69">
        <v>33357.515625</v>
      </c>
      <c r="G81" s="138"/>
      <c r="H81" s="69">
        <f t="shared" si="60"/>
        <v>33357.515625</v>
      </c>
      <c r="I81" s="69">
        <f t="shared" si="59"/>
        <v>33357.515625</v>
      </c>
      <c r="J81" s="69">
        <f>+I81*J$3</f>
        <v>7005.0782812500001</v>
      </c>
      <c r="K81" s="69">
        <f>+I81+J81</f>
        <v>40362.593906249997</v>
      </c>
      <c r="L81" s="69">
        <f>+K81*L$3</f>
        <v>13319.655989062499</v>
      </c>
      <c r="M81" s="69">
        <f>+K81+L81</f>
        <v>53682.249895312496</v>
      </c>
      <c r="N81" s="69">
        <f>+M81*N$3</f>
        <v>21472.899958124999</v>
      </c>
      <c r="O81" s="70">
        <f>+M81+N81</f>
        <v>75155.149853437499</v>
      </c>
      <c r="P81" s="183">
        <f t="shared" si="58"/>
        <v>0</v>
      </c>
      <c r="Q81" s="25">
        <v>33357.515625</v>
      </c>
      <c r="AF81">
        <v>33357.515625</v>
      </c>
      <c r="AG81">
        <f>+(H81-AF81)/AF81</f>
        <v>0</v>
      </c>
      <c r="AK81" s="71"/>
      <c r="AL81" s="75"/>
    </row>
    <row r="82" spans="1:38" ht="15" thickBot="1" x14ac:dyDescent="0.4">
      <c r="A82" s="71"/>
      <c r="B82" s="72"/>
      <c r="C82" s="73"/>
      <c r="D82" s="72"/>
      <c r="E82" s="74"/>
      <c r="F82" s="75" t="e">
        <v>#N/A</v>
      </c>
      <c r="G82" s="139"/>
      <c r="H82" s="75" t="e">
        <f t="shared" si="60"/>
        <v>#N/A</v>
      </c>
      <c r="I82" s="75" t="e">
        <f t="shared" si="59"/>
        <v>#N/A</v>
      </c>
      <c r="J82" s="75"/>
      <c r="K82" s="75"/>
      <c r="L82" s="75"/>
      <c r="M82" s="75"/>
      <c r="N82" s="75"/>
      <c r="O82" s="76"/>
      <c r="P82" s="183" t="e">
        <f t="shared" si="58"/>
        <v>#N/A</v>
      </c>
      <c r="Q82" s="55" t="e">
        <v>#N/A</v>
      </c>
      <c r="AF82" t="e">
        <v>#N/A</v>
      </c>
      <c r="AG82" t="e">
        <f>+(H82-AF82)/AF82</f>
        <v>#N/A</v>
      </c>
      <c r="AK82" s="197">
        <v>100517915</v>
      </c>
      <c r="AL82" s="61">
        <v>145920.01119803212</v>
      </c>
    </row>
    <row r="83" spans="1:38" ht="15" thickBot="1" x14ac:dyDescent="0.4">
      <c r="A83" s="112">
        <v>100518291</v>
      </c>
      <c r="B83" s="113" t="s">
        <v>77</v>
      </c>
      <c r="C83" s="109">
        <v>7790360975195</v>
      </c>
      <c r="D83" s="114">
        <v>5</v>
      </c>
      <c r="E83" s="114">
        <v>10</v>
      </c>
      <c r="F83" s="110">
        <v>14376.336839471016</v>
      </c>
      <c r="G83" s="116"/>
      <c r="H83" s="84">
        <f t="shared" si="60"/>
        <v>14376.336839471016</v>
      </c>
      <c r="I83" s="110">
        <f t="shared" si="59"/>
        <v>1437.6336839471016</v>
      </c>
      <c r="J83" s="110">
        <f>+I83*J$3</f>
        <v>301.90307362889132</v>
      </c>
      <c r="K83" s="110">
        <f>+I83+J83</f>
        <v>1739.5367575759929</v>
      </c>
      <c r="L83" s="110">
        <f>+K83*L$39</f>
        <v>382.69808666671844</v>
      </c>
      <c r="M83" s="110">
        <f>+K83+L83</f>
        <v>2122.2348442427115</v>
      </c>
      <c r="N83" s="110">
        <f>+M83*N$39</f>
        <v>742.78219548494894</v>
      </c>
      <c r="O83" s="111">
        <f>+M83+N83</f>
        <v>2865.0170397276606</v>
      </c>
      <c r="P83" s="183">
        <f t="shared" si="58"/>
        <v>6.0900000000000176E-2</v>
      </c>
      <c r="Q83" s="25">
        <v>13551.076293214266</v>
      </c>
      <c r="R83" s="245" t="s">
        <v>213</v>
      </c>
      <c r="AF83">
        <v>13551.076293214266</v>
      </c>
      <c r="AG83">
        <f>+(H83-AF83)/AF83</f>
        <v>6.0900000000000079E-2</v>
      </c>
      <c r="AK83" s="198">
        <v>100517914</v>
      </c>
      <c r="AL83" s="24">
        <v>159231.15888620811</v>
      </c>
    </row>
    <row r="84" spans="1:38" ht="15" thickBot="1" x14ac:dyDescent="0.4">
      <c r="A84" s="103">
        <v>100518292</v>
      </c>
      <c r="B84" s="104" t="s">
        <v>78</v>
      </c>
      <c r="C84" s="105">
        <v>7790360975201</v>
      </c>
      <c r="D84" s="106">
        <v>12</v>
      </c>
      <c r="E84" s="106">
        <v>12</v>
      </c>
      <c r="F84" s="84">
        <v>33923.025099053957</v>
      </c>
      <c r="G84" s="116"/>
      <c r="H84" s="84">
        <f t="shared" si="60"/>
        <v>33923.025099053957</v>
      </c>
      <c r="I84" s="107">
        <f t="shared" si="59"/>
        <v>2826.9187582544964</v>
      </c>
      <c r="J84" s="107">
        <f>+I84*J$3</f>
        <v>593.65293923344427</v>
      </c>
      <c r="K84" s="107">
        <f>+I84+J84</f>
        <v>3420.5716974879406</v>
      </c>
      <c r="L84" s="107">
        <f>+K84*L$39</f>
        <v>752.52577344734698</v>
      </c>
      <c r="M84" s="107">
        <f>+K84+L84</f>
        <v>4173.0974709352877</v>
      </c>
      <c r="N84" s="107">
        <f>+M84*N$39</f>
        <v>1460.5841148273505</v>
      </c>
      <c r="O84" s="108">
        <f>+M84+N84</f>
        <v>5633.681585762638</v>
      </c>
      <c r="P84" s="183">
        <f t="shared" si="58"/>
        <v>6.0899999999999954E-2</v>
      </c>
      <c r="Q84" s="25">
        <v>31975.704683809934</v>
      </c>
      <c r="R84" s="245" t="s">
        <v>214</v>
      </c>
      <c r="AF84">
        <v>31975.704683809934</v>
      </c>
      <c r="AG84">
        <f>+(H84-AF84)/AF84</f>
        <v>6.089999999999994E-2</v>
      </c>
      <c r="AK84" s="71"/>
      <c r="AL84" s="75"/>
    </row>
    <row r="85" spans="1:38" ht="15" thickBot="1" x14ac:dyDescent="0.4">
      <c r="A85" s="71"/>
      <c r="B85" s="72"/>
      <c r="C85" s="73"/>
      <c r="D85" s="72"/>
      <c r="E85" s="74"/>
      <c r="F85" s="75" t="e">
        <v>#N/A</v>
      </c>
      <c r="G85" s="139"/>
      <c r="H85" s="75" t="e">
        <f t="shared" si="60"/>
        <v>#N/A</v>
      </c>
      <c r="I85" s="75" t="e">
        <f>+H85/E85</f>
        <v>#N/A</v>
      </c>
      <c r="J85" s="75">
        <v>0.105</v>
      </c>
      <c r="K85" s="75"/>
      <c r="L85" s="75">
        <v>0.3</v>
      </c>
      <c r="M85" s="75"/>
      <c r="N85" s="75">
        <v>0.4</v>
      </c>
      <c r="O85" s="76"/>
      <c r="P85" s="183" t="e">
        <f t="shared" si="58"/>
        <v>#N/A</v>
      </c>
      <c r="Q85" s="76" t="e">
        <v>#N/A</v>
      </c>
      <c r="AF85" t="e">
        <v>#N/A</v>
      </c>
      <c r="AG85" t="e">
        <f>+(H85-AF85)/AF85</f>
        <v>#N/A</v>
      </c>
      <c r="AK85" s="27">
        <v>100010689</v>
      </c>
      <c r="AL85" s="24">
        <v>15000</v>
      </c>
    </row>
    <row r="86" spans="1:38" x14ac:dyDescent="0.35">
      <c r="A86" s="112">
        <v>100517915</v>
      </c>
      <c r="B86" s="113" t="s">
        <v>79</v>
      </c>
      <c r="C86" s="109">
        <v>7790360974020</v>
      </c>
      <c r="D86" s="114">
        <v>18</v>
      </c>
      <c r="E86" s="114">
        <v>36</v>
      </c>
      <c r="F86" s="110">
        <v>157593.61209387469</v>
      </c>
      <c r="G86" s="96"/>
      <c r="H86" s="84">
        <f t="shared" si="60"/>
        <v>157593.61209387469</v>
      </c>
      <c r="I86" s="110">
        <f>+H86/E86</f>
        <v>4377.6003359409633</v>
      </c>
      <c r="J86" s="110">
        <f>+I86*J$85</f>
        <v>459.64803527380116</v>
      </c>
      <c r="K86" s="110">
        <f>+I86+J86</f>
        <v>4837.2483712147641</v>
      </c>
      <c r="L86" s="110">
        <f>+K86*L$85</f>
        <v>1451.1745113644292</v>
      </c>
      <c r="M86" s="110">
        <f>+K86+L86</f>
        <v>6288.4228825791934</v>
      </c>
      <c r="N86" s="110">
        <f>+M86*N$85</f>
        <v>2515.3691530316773</v>
      </c>
      <c r="O86" s="111">
        <f>+M86+N86</f>
        <v>8803.7920356108698</v>
      </c>
      <c r="P86" s="183">
        <f t="shared" si="58"/>
        <v>8.0000000000000071E-2</v>
      </c>
      <c r="Q86" s="62">
        <v>145920.01119803212</v>
      </c>
      <c r="AF86">
        <v>126062.62630281298</v>
      </c>
      <c r="AG86">
        <f>+(H86-AF86)/AF86</f>
        <v>0.25012160000000039</v>
      </c>
      <c r="AK86" s="27">
        <v>100518335</v>
      </c>
      <c r="AL86" s="24">
        <v>10714.285714285714</v>
      </c>
    </row>
    <row r="87" spans="1:38" ht="15" thickBot="1" x14ac:dyDescent="0.4">
      <c r="A87" s="103">
        <v>100517914</v>
      </c>
      <c r="B87" s="104" t="s">
        <v>80</v>
      </c>
      <c r="C87" s="105">
        <v>7790360974037</v>
      </c>
      <c r="D87" s="106">
        <v>20</v>
      </c>
      <c r="E87" s="106">
        <v>20</v>
      </c>
      <c r="F87" s="84">
        <v>168785.0284193806</v>
      </c>
      <c r="G87" s="96"/>
      <c r="H87" s="84">
        <f t="shared" si="60"/>
        <v>168785.0284193806</v>
      </c>
      <c r="I87" s="107">
        <f>+H87/E87</f>
        <v>8439.2514209690307</v>
      </c>
      <c r="J87" s="107">
        <f>+I87*J$85</f>
        <v>886.1213992017482</v>
      </c>
      <c r="K87" s="107">
        <f>+I87+J87</f>
        <v>9325.3728201707781</v>
      </c>
      <c r="L87" s="107">
        <f>+K87*L$85</f>
        <v>2797.6118460512334</v>
      </c>
      <c r="M87" s="107">
        <f>+K87+L87</f>
        <v>12122.984666222012</v>
      </c>
      <c r="N87" s="107">
        <f>+M87*N$85</f>
        <v>4849.1938664888048</v>
      </c>
      <c r="O87" s="108">
        <f>+M87+N87</f>
        <v>16972.178532710815</v>
      </c>
      <c r="P87" s="183">
        <f t="shared" si="58"/>
        <v>6.0000000000000053E-2</v>
      </c>
      <c r="Q87" s="70">
        <v>159231.15888620811</v>
      </c>
      <c r="AF87">
        <v>137562.33921332512</v>
      </c>
      <c r="AG87">
        <f>+(H87-AF87)/AF87</f>
        <v>0.22697120000000018</v>
      </c>
      <c r="AK87" s="27">
        <v>100518332</v>
      </c>
      <c r="AL87" s="24">
        <v>12321.428571428572</v>
      </c>
    </row>
    <row r="88" spans="1:38" x14ac:dyDescent="0.35">
      <c r="A88" s="71"/>
      <c r="B88" s="72"/>
      <c r="C88" s="73"/>
      <c r="D88" s="72"/>
      <c r="E88" s="74"/>
      <c r="F88" s="75" t="e">
        <v>#N/A</v>
      </c>
      <c r="G88" s="139"/>
      <c r="H88" s="75" t="e">
        <f t="shared" si="60"/>
        <v>#N/A</v>
      </c>
      <c r="I88" s="75"/>
      <c r="J88" s="78">
        <v>0.105</v>
      </c>
      <c r="K88" s="78"/>
      <c r="L88" s="78">
        <v>0.3</v>
      </c>
      <c r="M88" s="78"/>
      <c r="N88" s="78">
        <v>0.4</v>
      </c>
      <c r="O88" s="79"/>
      <c r="P88" s="183" t="e">
        <f t="shared" si="58"/>
        <v>#N/A</v>
      </c>
      <c r="Q88" s="76" t="e">
        <v>#N/A</v>
      </c>
      <c r="AF88" t="e">
        <v>#N/A</v>
      </c>
      <c r="AG88" t="e">
        <f>+(H88-AF88)/AF88</f>
        <v>#N/A</v>
      </c>
      <c r="AK88" s="27">
        <v>100518334</v>
      </c>
      <c r="AL88" s="24">
        <v>10928.571428571429</v>
      </c>
    </row>
    <row r="89" spans="1:38" x14ac:dyDescent="0.35">
      <c r="A89" s="27">
        <v>100010689</v>
      </c>
      <c r="B89" s="28" t="s">
        <v>81</v>
      </c>
      <c r="C89" s="21"/>
      <c r="D89" s="22">
        <v>22</v>
      </c>
      <c r="E89" s="23">
        <v>1</v>
      </c>
      <c r="F89" s="24">
        <v>15000</v>
      </c>
      <c r="G89" s="133"/>
      <c r="H89" s="24">
        <f t="shared" si="60"/>
        <v>15000</v>
      </c>
      <c r="I89" s="24">
        <f t="shared" ref="I89:I94" si="61">+H89/E89</f>
        <v>15000</v>
      </c>
      <c r="J89" s="24">
        <f t="shared" ref="J89:J94" si="62">+I89*J$88</f>
        <v>1575</v>
      </c>
      <c r="K89" s="24">
        <f t="shared" ref="K89:K94" si="63">+I89+J89</f>
        <v>16575</v>
      </c>
      <c r="L89" s="24">
        <f t="shared" ref="L89:L94" si="64">+K89*L$88</f>
        <v>4972.5</v>
      </c>
      <c r="M89" s="24">
        <f t="shared" ref="M89:M94" si="65">+K89+L89</f>
        <v>21547.5</v>
      </c>
      <c r="N89" s="24">
        <f t="shared" ref="N89:N94" si="66">+M89*N$88</f>
        <v>8619</v>
      </c>
      <c r="O89" s="25">
        <f t="shared" ref="O89:O94" si="67">+M89+N89</f>
        <v>30166.5</v>
      </c>
      <c r="P89" s="183">
        <f t="shared" si="58"/>
        <v>5.0000000000000044E-2</v>
      </c>
      <c r="Q89" s="25">
        <v>14285.714285714286</v>
      </c>
      <c r="AF89">
        <v>14255.102040816328</v>
      </c>
      <c r="AG89">
        <f>+(H89-AF89)/AF89</f>
        <v>5.2254831782390758E-2</v>
      </c>
      <c r="AK89" s="27">
        <v>100518227</v>
      </c>
      <c r="AL89" s="24">
        <v>12895.714285714286</v>
      </c>
    </row>
    <row r="90" spans="1:38" x14ac:dyDescent="0.35">
      <c r="A90" s="27">
        <v>100518335</v>
      </c>
      <c r="B90" s="28" t="s">
        <v>82</v>
      </c>
      <c r="C90" s="21"/>
      <c r="D90" s="22">
        <v>22.5</v>
      </c>
      <c r="E90" s="23">
        <v>1</v>
      </c>
      <c r="F90" s="24">
        <v>10714.285714285714</v>
      </c>
      <c r="G90" s="133"/>
      <c r="H90" s="24">
        <f t="shared" si="60"/>
        <v>10714.285714285714</v>
      </c>
      <c r="I90" s="24">
        <f t="shared" si="61"/>
        <v>10714.285714285714</v>
      </c>
      <c r="J90" s="24">
        <f t="shared" si="62"/>
        <v>1125</v>
      </c>
      <c r="K90" s="24">
        <f t="shared" si="63"/>
        <v>11839.285714285714</v>
      </c>
      <c r="L90" s="24">
        <f t="shared" si="64"/>
        <v>3551.7857142857142</v>
      </c>
      <c r="M90" s="24">
        <f t="shared" si="65"/>
        <v>15391.071428571428</v>
      </c>
      <c r="N90" s="24">
        <f t="shared" si="66"/>
        <v>6156.4285714285716</v>
      </c>
      <c r="O90" s="25">
        <f t="shared" si="67"/>
        <v>21547.5</v>
      </c>
      <c r="P90" s="183">
        <f t="shared" si="58"/>
        <v>4.9999999999999822E-2</v>
      </c>
      <c r="Q90" s="25">
        <v>10204.081632653062</v>
      </c>
      <c r="Y90" s="119"/>
      <c r="AF90">
        <v>9029.5918367346949</v>
      </c>
      <c r="AG90">
        <f>+(H90-AF90)/AF90</f>
        <v>0.186574754209515</v>
      </c>
      <c r="AK90" s="71"/>
      <c r="AL90" s="75"/>
    </row>
    <row r="91" spans="1:38" x14ac:dyDescent="0.35">
      <c r="A91" s="27">
        <v>100518332</v>
      </c>
      <c r="B91" s="28" t="s">
        <v>83</v>
      </c>
      <c r="C91" s="21"/>
      <c r="D91" s="22">
        <v>21.5</v>
      </c>
      <c r="E91" s="23">
        <v>1</v>
      </c>
      <c r="F91" s="24">
        <v>12321.428571428572</v>
      </c>
      <c r="G91" s="133"/>
      <c r="H91" s="24">
        <f t="shared" si="60"/>
        <v>12321.428571428572</v>
      </c>
      <c r="I91" s="24">
        <f t="shared" si="61"/>
        <v>12321.428571428572</v>
      </c>
      <c r="J91" s="24">
        <f t="shared" si="62"/>
        <v>1293.75</v>
      </c>
      <c r="K91" s="24">
        <f t="shared" si="63"/>
        <v>13615.178571428572</v>
      </c>
      <c r="L91" s="24">
        <f t="shared" si="64"/>
        <v>4084.5535714285716</v>
      </c>
      <c r="M91" s="24">
        <f t="shared" si="65"/>
        <v>17699.732142857145</v>
      </c>
      <c r="N91" s="24">
        <f t="shared" si="66"/>
        <v>7079.8928571428587</v>
      </c>
      <c r="O91" s="25">
        <f t="shared" si="67"/>
        <v>24779.625000000004</v>
      </c>
      <c r="P91" s="183">
        <f t="shared" si="58"/>
        <v>5.0000000000000266E-2</v>
      </c>
      <c r="Q91" s="25">
        <v>11734.693877551019</v>
      </c>
      <c r="Y91" s="119"/>
      <c r="AF91">
        <v>9717.3469387755104</v>
      </c>
      <c r="AG91">
        <f>+(H91-AF91)/AF91</f>
        <v>0.26798277853617564</v>
      </c>
      <c r="AK91" s="80">
        <v>100520837</v>
      </c>
      <c r="AL91" s="24">
        <v>33805.838700484463</v>
      </c>
    </row>
    <row r="92" spans="1:38" x14ac:dyDescent="0.35">
      <c r="A92" s="27">
        <v>100518334</v>
      </c>
      <c r="B92" s="28" t="s">
        <v>84</v>
      </c>
      <c r="C92" s="21"/>
      <c r="D92" s="22">
        <v>22.5</v>
      </c>
      <c r="E92" s="23">
        <v>1</v>
      </c>
      <c r="F92" s="24">
        <v>10928.571428571429</v>
      </c>
      <c r="G92" s="133"/>
      <c r="H92" s="24">
        <f t="shared" si="60"/>
        <v>10928.571428571429</v>
      </c>
      <c r="I92" s="24">
        <f t="shared" si="61"/>
        <v>10928.571428571429</v>
      </c>
      <c r="J92" s="24">
        <f t="shared" si="62"/>
        <v>1147.5</v>
      </c>
      <c r="K92" s="24">
        <f t="shared" si="63"/>
        <v>12076.071428571429</v>
      </c>
      <c r="L92" s="24">
        <f t="shared" si="64"/>
        <v>3622.8214285714289</v>
      </c>
      <c r="M92" s="24">
        <f t="shared" si="65"/>
        <v>15698.892857142859</v>
      </c>
      <c r="N92" s="24">
        <f t="shared" si="66"/>
        <v>6279.5571428571438</v>
      </c>
      <c r="O92" s="25">
        <f t="shared" si="67"/>
        <v>21978.450000000004</v>
      </c>
      <c r="P92" s="183">
        <f t="shared" si="58"/>
        <v>5.0000000000000044E-2</v>
      </c>
      <c r="Q92" s="25">
        <v>10408.163265306122</v>
      </c>
      <c r="Y92">
        <f>+X96*24+X4*144</f>
        <v>642509.1147639564</v>
      </c>
      <c r="AF92">
        <v>7997.9591836734699</v>
      </c>
      <c r="AG92">
        <f>+(H92-AF92)/AF92</f>
        <v>0.36642000510334272</v>
      </c>
      <c r="AK92" s="80">
        <v>100522395</v>
      </c>
      <c r="AL92" s="24">
        <v>34481.948800000006</v>
      </c>
    </row>
    <row r="93" spans="1:38" x14ac:dyDescent="0.35">
      <c r="A93" s="27">
        <v>100518227</v>
      </c>
      <c r="B93" s="28" t="s">
        <v>85</v>
      </c>
      <c r="C93" s="21"/>
      <c r="D93" s="22">
        <v>22.5</v>
      </c>
      <c r="E93" s="23">
        <v>1</v>
      </c>
      <c r="F93" s="24">
        <v>12895.714285714286</v>
      </c>
      <c r="G93" s="133"/>
      <c r="H93" s="24">
        <f t="shared" si="60"/>
        <v>12895.714285714286</v>
      </c>
      <c r="I93" s="24">
        <f t="shared" si="61"/>
        <v>12895.714285714286</v>
      </c>
      <c r="J93" s="24">
        <f t="shared" si="62"/>
        <v>1354.05</v>
      </c>
      <c r="K93" s="24">
        <f t="shared" si="63"/>
        <v>14249.764285714286</v>
      </c>
      <c r="L93" s="24">
        <f t="shared" si="64"/>
        <v>4274.9292857142855</v>
      </c>
      <c r="M93" s="24">
        <f t="shared" si="65"/>
        <v>18524.693571428572</v>
      </c>
      <c r="N93" s="24">
        <f t="shared" si="66"/>
        <v>7409.8774285714289</v>
      </c>
      <c r="O93" s="25">
        <f t="shared" si="67"/>
        <v>25934.571</v>
      </c>
      <c r="P93" s="183">
        <f t="shared" si="58"/>
        <v>7.1000000000000174E-2</v>
      </c>
      <c r="Q93" s="25">
        <v>12040.81632653061</v>
      </c>
      <c r="Y93">
        <f>+X100*72+X4*144</f>
        <v>748940.57294349489</v>
      </c>
      <c r="AF93">
        <v>7997.9591836734699</v>
      </c>
      <c r="AG93">
        <f>+(H93-AF93)/AF93</f>
        <v>0.6123756060219443</v>
      </c>
      <c r="AK93" s="80">
        <v>100522561</v>
      </c>
      <c r="AL93" s="24">
        <v>6824.5523666666677</v>
      </c>
    </row>
    <row r="94" spans="1:38" hidden="1" x14ac:dyDescent="0.35">
      <c r="A94" s="175">
        <v>100027726</v>
      </c>
      <c r="B94" s="176" t="s">
        <v>148</v>
      </c>
      <c r="C94" s="177"/>
      <c r="D94" s="81">
        <v>22.5</v>
      </c>
      <c r="E94" s="23">
        <v>1</v>
      </c>
      <c r="F94" s="24" t="e">
        <v>#N/A</v>
      </c>
      <c r="G94" s="133"/>
      <c r="H94" s="24" t="e">
        <f t="shared" ref="H94" si="68">+F94*(1-G94)</f>
        <v>#N/A</v>
      </c>
      <c r="I94" s="24" t="e">
        <f t="shared" si="61"/>
        <v>#N/A</v>
      </c>
      <c r="J94" s="24" t="e">
        <f t="shared" si="62"/>
        <v>#N/A</v>
      </c>
      <c r="K94" s="24" t="e">
        <f t="shared" si="63"/>
        <v>#N/A</v>
      </c>
      <c r="L94" s="24" t="e">
        <f t="shared" si="64"/>
        <v>#N/A</v>
      </c>
      <c r="M94" s="24" t="e">
        <f t="shared" si="65"/>
        <v>#N/A</v>
      </c>
      <c r="N94" s="24" t="e">
        <f t="shared" si="66"/>
        <v>#N/A</v>
      </c>
      <c r="O94" s="25" t="e">
        <f t="shared" si="67"/>
        <v>#N/A</v>
      </c>
      <c r="P94" s="183" t="e">
        <f t="shared" si="58"/>
        <v>#N/A</v>
      </c>
      <c r="Q94" s="179">
        <v>6195</v>
      </c>
      <c r="AK94" s="71"/>
      <c r="AL94" s="75"/>
    </row>
    <row r="95" spans="1:38" x14ac:dyDescent="0.35">
      <c r="A95" s="71"/>
      <c r="B95" s="72"/>
      <c r="C95" s="73"/>
      <c r="D95" s="72"/>
      <c r="E95" s="74"/>
      <c r="F95" s="75" t="e">
        <v>#N/A</v>
      </c>
      <c r="G95" s="139"/>
      <c r="H95" s="75" t="e">
        <f t="shared" si="60"/>
        <v>#N/A</v>
      </c>
      <c r="I95" s="75"/>
      <c r="J95" s="78">
        <v>0.21</v>
      </c>
      <c r="K95" s="78"/>
      <c r="L95" s="78">
        <v>0.3</v>
      </c>
      <c r="M95" s="78"/>
      <c r="N95" s="78">
        <v>0.4</v>
      </c>
      <c r="O95" s="79"/>
      <c r="P95" s="183" t="e">
        <f t="shared" si="58"/>
        <v>#N/A</v>
      </c>
      <c r="Q95" s="76" t="e">
        <v>#N/A</v>
      </c>
      <c r="AF95" t="e">
        <v>#N/A</v>
      </c>
      <c r="AG95" t="e">
        <f>+(H95-AF95)/AF95</f>
        <v>#N/A</v>
      </c>
      <c r="AK95" s="80">
        <v>100520902</v>
      </c>
      <c r="AL95" s="24">
        <v>30287.433583483747</v>
      </c>
    </row>
    <row r="96" spans="1:38" x14ac:dyDescent="0.35">
      <c r="A96" s="80">
        <v>100520837</v>
      </c>
      <c r="B96" s="42" t="s">
        <v>86</v>
      </c>
      <c r="C96" s="43">
        <v>7790360980625</v>
      </c>
      <c r="D96" s="81">
        <v>4.8</v>
      </c>
      <c r="E96" s="23">
        <v>12</v>
      </c>
      <c r="F96" s="24">
        <v>35158.072248503842</v>
      </c>
      <c r="G96" s="133"/>
      <c r="H96" s="24">
        <f t="shared" si="60"/>
        <v>35158.072248503842</v>
      </c>
      <c r="I96" s="24">
        <f>+H96/E96</f>
        <v>2929.839354041987</v>
      </c>
      <c r="J96" s="24">
        <f>+I96*J$95</f>
        <v>615.26626434881723</v>
      </c>
      <c r="K96" s="24">
        <f>+I96+J96</f>
        <v>3545.105618390804</v>
      </c>
      <c r="L96" s="24">
        <f>+K96*L$95</f>
        <v>1063.5316855172412</v>
      </c>
      <c r="M96" s="24">
        <f>+K96+L96</f>
        <v>4608.6373039080454</v>
      </c>
      <c r="N96" s="24">
        <f>+M96*N$95</f>
        <v>1843.4549215632182</v>
      </c>
      <c r="O96" s="25">
        <f>+M96+N96</f>
        <v>6452.0922254712641</v>
      </c>
      <c r="P96" s="183">
        <f t="shared" si="58"/>
        <v>8.1600000000000117E-2</v>
      </c>
      <c r="Q96" s="25">
        <v>32505.614135081214</v>
      </c>
      <c r="R96" s="185"/>
      <c r="S96" s="185"/>
      <c r="T96" s="185"/>
      <c r="U96" s="185"/>
      <c r="V96" s="185"/>
      <c r="W96" s="185"/>
      <c r="X96">
        <f>+F96*0.1</f>
        <v>3515.8072248503845</v>
      </c>
      <c r="Y96" s="120">
        <v>0.1</v>
      </c>
      <c r="Z96" s="119">
        <f>+H96*(1-Y96)</f>
        <v>31642.265023653457</v>
      </c>
      <c r="AA96" s="119">
        <f>+Z96/E96</f>
        <v>2636.8554186377883</v>
      </c>
      <c r="AB96" s="119">
        <f>+AA96*1.21*1.3*1.4</f>
        <v>5806.8830029241371</v>
      </c>
      <c r="AC96" s="118" t="s">
        <v>111</v>
      </c>
      <c r="AD96" t="s">
        <v>110</v>
      </c>
      <c r="AF96">
        <v>30957.727747696394</v>
      </c>
      <c r="AG96">
        <f>+(H96-AF96)/AF96</f>
        <v>0.13568000000000005</v>
      </c>
      <c r="AK96" s="80">
        <v>100522698</v>
      </c>
      <c r="AL96" s="24">
        <v>38836.761324799605</v>
      </c>
    </row>
    <row r="97" spans="1:38" x14ac:dyDescent="0.35">
      <c r="A97" s="124">
        <v>100522395</v>
      </c>
      <c r="B97" s="125" t="s">
        <v>154</v>
      </c>
      <c r="C97" s="126">
        <v>7790360980625</v>
      </c>
      <c r="D97" s="127">
        <v>4.8</v>
      </c>
      <c r="E97" s="100">
        <v>12</v>
      </c>
      <c r="F97" s="84">
        <v>35861.22675200001</v>
      </c>
      <c r="G97" s="186"/>
      <c r="H97" s="84">
        <f t="shared" ref="H97" si="69">+F97*(1-G97)</f>
        <v>35861.22675200001</v>
      </c>
      <c r="I97" s="84">
        <f>+H97/E97</f>
        <v>2988.4355626666675</v>
      </c>
      <c r="J97" s="84">
        <f>+I97*J$95</f>
        <v>627.57146816000011</v>
      </c>
      <c r="K97" s="84">
        <f>+I97+J97</f>
        <v>3616.0070308266677</v>
      </c>
      <c r="L97" s="84">
        <f>+K97*L$95</f>
        <v>1084.8021092480003</v>
      </c>
      <c r="M97" s="84">
        <f>+K97+L97</f>
        <v>4700.809140074668</v>
      </c>
      <c r="N97" s="84">
        <f>+M97*N$95</f>
        <v>1880.3236560298674</v>
      </c>
      <c r="O97" s="101">
        <f>+M97+N97</f>
        <v>6581.1327961045354</v>
      </c>
      <c r="P97" s="183"/>
      <c r="Q97" s="179">
        <v>33155.72</v>
      </c>
      <c r="R97" s="252" t="s">
        <v>188</v>
      </c>
      <c r="S97" s="185"/>
      <c r="T97" s="185"/>
      <c r="U97" s="185"/>
      <c r="V97" s="185"/>
      <c r="W97" s="185"/>
      <c r="Y97" s="120"/>
      <c r="Z97" s="119"/>
      <c r="AA97" s="119"/>
      <c r="AB97" s="119"/>
      <c r="AC97" s="118"/>
      <c r="AK97" s="71"/>
      <c r="AL97" s="75"/>
    </row>
    <row r="98" spans="1:38" x14ac:dyDescent="0.35">
      <c r="A98" s="124">
        <v>100522561</v>
      </c>
      <c r="B98" s="125" t="s">
        <v>161</v>
      </c>
      <c r="C98" s="126"/>
      <c r="D98" s="127">
        <v>16</v>
      </c>
      <c r="E98" s="100">
        <v>8</v>
      </c>
      <c r="F98" s="84">
        <v>7097.5344613333345</v>
      </c>
      <c r="G98" s="186"/>
      <c r="H98" s="84">
        <f t="shared" ref="H98" si="70">+F98*(1-G98)</f>
        <v>7097.5344613333345</v>
      </c>
      <c r="I98" s="84">
        <f>+H98*2</f>
        <v>14195.068922666669</v>
      </c>
      <c r="J98" s="84">
        <f>+I98*J$95</f>
        <v>2980.9644737600006</v>
      </c>
      <c r="K98" s="84">
        <f>+I98+J98</f>
        <v>17176.033396426668</v>
      </c>
      <c r="L98" s="84">
        <f>+K98*L$95</f>
        <v>5152.8100189280003</v>
      </c>
      <c r="M98" s="84">
        <f>+K98+L98</f>
        <v>22328.84341535467</v>
      </c>
      <c r="N98" s="84">
        <f>+M98*N$95</f>
        <v>8931.5373661418689</v>
      </c>
      <c r="O98" s="101">
        <f>+M98+N98</f>
        <v>31260.38078149654</v>
      </c>
      <c r="P98" s="183"/>
      <c r="Q98" s="179" t="e">
        <v>#N/A</v>
      </c>
      <c r="S98" s="185"/>
      <c r="T98" s="185"/>
      <c r="U98" s="185"/>
      <c r="V98" s="185"/>
      <c r="W98" s="185"/>
      <c r="Y98" s="120"/>
      <c r="Z98" s="119"/>
      <c r="AA98" s="119"/>
      <c r="AB98" s="119"/>
      <c r="AC98" s="118"/>
      <c r="AK98" s="80">
        <v>100521457</v>
      </c>
      <c r="AL98" s="24">
        <v>34485.72242804218</v>
      </c>
    </row>
    <row r="99" spans="1:38" x14ac:dyDescent="0.35">
      <c r="A99" s="71"/>
      <c r="B99" s="72"/>
      <c r="C99" s="73"/>
      <c r="D99" s="72"/>
      <c r="E99" s="74"/>
      <c r="F99" s="75" t="e">
        <v>#N/A</v>
      </c>
      <c r="G99" s="139"/>
      <c r="H99" s="75" t="e">
        <f t="shared" si="60"/>
        <v>#N/A</v>
      </c>
      <c r="I99" s="75"/>
      <c r="J99" s="78">
        <v>0.21</v>
      </c>
      <c r="K99" s="78"/>
      <c r="L99" s="78">
        <v>0.33</v>
      </c>
      <c r="M99" s="78"/>
      <c r="N99" s="78">
        <v>0.4</v>
      </c>
      <c r="O99" s="79"/>
      <c r="P99" s="183" t="e">
        <f t="shared" si="58"/>
        <v>#N/A</v>
      </c>
      <c r="Q99" s="76" t="e">
        <v>#N/A</v>
      </c>
      <c r="R99"/>
      <c r="Z99" s="129"/>
      <c r="AA99" s="129"/>
      <c r="AB99" s="129"/>
      <c r="AF99" t="e">
        <v>#N/A</v>
      </c>
      <c r="AG99" t="e">
        <f>+(H99-AF99)/AF99</f>
        <v>#N/A</v>
      </c>
      <c r="AK99" s="80">
        <v>100521455</v>
      </c>
      <c r="AL99" s="24">
        <v>34485.72242804218</v>
      </c>
    </row>
    <row r="100" spans="1:38" x14ac:dyDescent="0.35">
      <c r="A100" s="124">
        <v>100520902</v>
      </c>
      <c r="B100" s="125" t="s">
        <v>87</v>
      </c>
      <c r="C100" s="126">
        <v>7790360981042</v>
      </c>
      <c r="D100" s="127">
        <v>9.8000000000000007</v>
      </c>
      <c r="E100" s="100">
        <v>14</v>
      </c>
      <c r="F100" s="84">
        <v>30287.433583483747</v>
      </c>
      <c r="G100" s="187">
        <v>0.125</v>
      </c>
      <c r="H100" s="84">
        <f t="shared" si="60"/>
        <v>26501.50438554828</v>
      </c>
      <c r="I100" s="84">
        <f>+H100/E100</f>
        <v>1892.9645989677342</v>
      </c>
      <c r="J100" s="84">
        <f>+I100*J$99</f>
        <v>397.5225657832242</v>
      </c>
      <c r="K100" s="84">
        <f>+I100+J100</f>
        <v>2290.4871647509585</v>
      </c>
      <c r="L100" s="84">
        <f>+K100*L$99</f>
        <v>755.86076436781639</v>
      </c>
      <c r="M100" s="84">
        <f>+K100+L100</f>
        <v>3046.347929118775</v>
      </c>
      <c r="N100" s="84">
        <f>+M100*N$99</f>
        <v>1218.5391716475101</v>
      </c>
      <c r="O100" s="101">
        <f>+M100+N100</f>
        <v>4264.8871007662856</v>
      </c>
      <c r="P100" s="183">
        <f t="shared" si="58"/>
        <v>3.0000000000000027E-2</v>
      </c>
      <c r="Q100" s="25">
        <v>25729.6159082993</v>
      </c>
      <c r="R100" s="245" t="s">
        <v>169</v>
      </c>
      <c r="X100">
        <f>+H100*0.1</f>
        <v>2650.1504385548283</v>
      </c>
      <c r="Y100" s="120">
        <v>0.1</v>
      </c>
      <c r="Z100" s="119">
        <f>+H100*(1-Y100)</f>
        <v>23851.353946993451</v>
      </c>
      <c r="AA100" s="119">
        <f>+Z100/E100</f>
        <v>1703.6681390709607</v>
      </c>
      <c r="AB100" s="119">
        <f>+AA100*1.21*1.3*1.4</f>
        <v>3751.817975862069</v>
      </c>
      <c r="AC100" s="118" t="s">
        <v>111</v>
      </c>
      <c r="AD100" t="s">
        <v>118</v>
      </c>
      <c r="AF100">
        <v>25729.6159082993</v>
      </c>
      <c r="AG100">
        <f>+(H100-AF100)/AF100</f>
        <v>3.0000000000000041E-2</v>
      </c>
      <c r="AK100" s="80">
        <v>100521453</v>
      </c>
      <c r="AL100" s="24">
        <v>33300.27571957824</v>
      </c>
    </row>
    <row r="101" spans="1:38" ht="15" thickBot="1" x14ac:dyDescent="0.4">
      <c r="A101" s="124">
        <v>100522698</v>
      </c>
      <c r="B101" s="125" t="s">
        <v>162</v>
      </c>
      <c r="C101" s="126">
        <v>7790360986511</v>
      </c>
      <c r="D101" s="127">
        <v>14</v>
      </c>
      <c r="E101" s="100">
        <v>7</v>
      </c>
      <c r="F101" s="107">
        <v>38836.761324799605</v>
      </c>
      <c r="G101" s="208"/>
      <c r="H101" s="84">
        <f t="shared" ref="H101" si="71">+F101*(1-G101)</f>
        <v>38836.761324799605</v>
      </c>
      <c r="I101" s="84">
        <f>+H101/E101</f>
        <v>5548.1087606856581</v>
      </c>
      <c r="J101" s="84">
        <f>+I101*J$99</f>
        <v>1165.1028397439882</v>
      </c>
      <c r="K101" s="84">
        <f>+I101+J101</f>
        <v>6713.2116004296458</v>
      </c>
      <c r="L101" s="84">
        <f>+K101*L$99</f>
        <v>2215.3598281417831</v>
      </c>
      <c r="M101" s="84">
        <f>+K101+L101</f>
        <v>8928.5714285714294</v>
      </c>
      <c r="N101" s="84">
        <f>+M101*N$99</f>
        <v>3571.428571428572</v>
      </c>
      <c r="O101" s="101">
        <f>+M101+N101</f>
        <v>12500.000000000002</v>
      </c>
      <c r="P101" s="183"/>
      <c r="Q101" s="182" t="e">
        <v>#N/A</v>
      </c>
      <c r="R101" s="245" t="s">
        <v>199</v>
      </c>
      <c r="Y101" s="120"/>
      <c r="Z101" s="119"/>
      <c r="AA101" s="119"/>
      <c r="AB101" s="119"/>
      <c r="AC101" s="118"/>
      <c r="AK101" s="80">
        <v>100521454</v>
      </c>
      <c r="AL101" s="24">
        <v>33300.27571957824</v>
      </c>
    </row>
    <row r="102" spans="1:38" x14ac:dyDescent="0.35">
      <c r="A102" s="71"/>
      <c r="B102" s="72"/>
      <c r="C102" s="73"/>
      <c r="D102" s="72"/>
      <c r="E102" s="74"/>
      <c r="F102" s="75" t="e">
        <v>#N/A</v>
      </c>
      <c r="G102" s="74"/>
      <c r="H102" s="75"/>
      <c r="I102" s="75"/>
      <c r="J102" s="78">
        <v>0.21</v>
      </c>
      <c r="K102" s="78"/>
      <c r="L102" s="78">
        <v>0.33</v>
      </c>
      <c r="M102" s="78"/>
      <c r="N102" s="78">
        <v>0.4</v>
      </c>
      <c r="O102" s="79"/>
      <c r="P102" s="183" t="e">
        <f t="shared" si="58"/>
        <v>#DIV/0!</v>
      </c>
      <c r="Q102" s="3"/>
      <c r="R102"/>
      <c r="AK102" s="202"/>
      <c r="AL102" s="75"/>
    </row>
    <row r="103" spans="1:38" x14ac:dyDescent="0.35">
      <c r="A103" s="124">
        <v>100521457</v>
      </c>
      <c r="B103" s="125" t="s">
        <v>102</v>
      </c>
      <c r="C103" s="126">
        <v>7790360982254</v>
      </c>
      <c r="D103" s="127">
        <v>4.8</v>
      </c>
      <c r="E103" s="100">
        <v>16</v>
      </c>
      <c r="F103" s="84">
        <v>33451.150755200913</v>
      </c>
      <c r="G103" s="215"/>
      <c r="H103" s="84">
        <f t="shared" si="60"/>
        <v>33451.150755200913</v>
      </c>
      <c r="I103" s="84">
        <f>+H103/E103</f>
        <v>2090.6969222000571</v>
      </c>
      <c r="J103" s="84">
        <f>+I103*J$102</f>
        <v>439.046353662012</v>
      </c>
      <c r="K103" s="84">
        <f t="shared" ref="K103:K106" si="72">+I103+J103</f>
        <v>2529.7432758620689</v>
      </c>
      <c r="L103" s="84">
        <f>+K103*L$102</f>
        <v>834.81528103448284</v>
      </c>
      <c r="M103" s="84">
        <f t="shared" ref="M103:M106" si="73">+K103+L103</f>
        <v>3364.5585568965516</v>
      </c>
      <c r="N103" s="84">
        <f>+M103*N$102</f>
        <v>1345.8234227586208</v>
      </c>
      <c r="O103" s="101">
        <f t="shared" ref="O103:O106" si="74">+M103+N103</f>
        <v>4710.3819796551725</v>
      </c>
      <c r="P103" s="183">
        <f t="shared" si="58"/>
        <v>0.10108108108108116</v>
      </c>
      <c r="Q103" s="3">
        <v>30380.279281846681</v>
      </c>
      <c r="R103" s="245" t="s">
        <v>202</v>
      </c>
      <c r="Y103" s="120">
        <v>0.15</v>
      </c>
      <c r="Z103" s="119">
        <f>+H103*(1-Y103)</f>
        <v>28433.478141920776</v>
      </c>
      <c r="AA103" s="119">
        <f>+Z103/E103</f>
        <v>1777.0923838700485</v>
      </c>
      <c r="AB103" s="119">
        <f>+AA103*1.21*1.3*1.4</f>
        <v>3913.5128477586204</v>
      </c>
      <c r="AC103" s="118" t="s">
        <v>111</v>
      </c>
      <c r="AD103" t="s">
        <v>119</v>
      </c>
      <c r="AF103">
        <v>28151.610145340554</v>
      </c>
      <c r="AG103">
        <f>+(H103-AF103)/AF103</f>
        <v>0.18825000000000003</v>
      </c>
      <c r="AK103" s="80">
        <v>100521457</v>
      </c>
      <c r="AL103" s="24">
        <v>32843.545169563979</v>
      </c>
    </row>
    <row r="104" spans="1:38" x14ac:dyDescent="0.35">
      <c r="A104" s="124">
        <v>100521455</v>
      </c>
      <c r="B104" s="125" t="s">
        <v>103</v>
      </c>
      <c r="C104" s="126">
        <v>7790360982247</v>
      </c>
      <c r="D104" s="127">
        <v>4.8</v>
      </c>
      <c r="E104" s="100">
        <v>16</v>
      </c>
      <c r="F104" s="84">
        <v>33451.150755200913</v>
      </c>
      <c r="G104" s="215"/>
      <c r="H104" s="84">
        <f t="shared" si="60"/>
        <v>33451.150755200913</v>
      </c>
      <c r="I104" s="84">
        <f>+H104/E104</f>
        <v>2090.6969222000571</v>
      </c>
      <c r="J104" s="84">
        <f>+I104*J$102</f>
        <v>439.046353662012</v>
      </c>
      <c r="K104" s="84">
        <f t="shared" si="72"/>
        <v>2529.7432758620689</v>
      </c>
      <c r="L104" s="84">
        <f>+K104*L$102</f>
        <v>834.81528103448284</v>
      </c>
      <c r="M104" s="84">
        <f t="shared" si="73"/>
        <v>3364.5585568965516</v>
      </c>
      <c r="N104" s="84">
        <f>+M104*N$102</f>
        <v>1345.8234227586208</v>
      </c>
      <c r="O104" s="101">
        <f t="shared" si="74"/>
        <v>4710.3819796551725</v>
      </c>
      <c r="P104" s="183">
        <f t="shared" si="58"/>
        <v>0.10108108108108116</v>
      </c>
      <c r="Q104" s="3">
        <v>30380.279281846681</v>
      </c>
      <c r="R104" s="245" t="s">
        <v>202</v>
      </c>
      <c r="X104">
        <f>+Y104*H104</f>
        <v>5017.6726132801368</v>
      </c>
      <c r="Y104" s="120">
        <v>0.15</v>
      </c>
      <c r="Z104" s="119">
        <f>+H104*(1-Y104)</f>
        <v>28433.478141920776</v>
      </c>
      <c r="AA104" s="119">
        <f>+Z104/E104</f>
        <v>1777.0923838700485</v>
      </c>
      <c r="AB104" s="119">
        <f>+AA104*1.21*1.3*1.4</f>
        <v>3913.5128477586204</v>
      </c>
      <c r="AC104" s="118" t="s">
        <v>111</v>
      </c>
      <c r="AD104" t="s">
        <v>119</v>
      </c>
      <c r="AF104">
        <v>28151.610145340554</v>
      </c>
      <c r="AG104">
        <f>+(H104-AF104)/AF104</f>
        <v>0.18825000000000003</v>
      </c>
      <c r="AK104" s="80">
        <v>100521455</v>
      </c>
      <c r="AL104" s="24">
        <v>32843.545169563979</v>
      </c>
    </row>
    <row r="105" spans="1:38" x14ac:dyDescent="0.35">
      <c r="A105" s="124">
        <v>100521453</v>
      </c>
      <c r="B105" s="125" t="s">
        <v>104</v>
      </c>
      <c r="C105" s="126">
        <v>7790360982223</v>
      </c>
      <c r="D105" s="127">
        <v>5.4</v>
      </c>
      <c r="E105" s="100">
        <v>18</v>
      </c>
      <c r="F105" s="84">
        <v>32301.267447990893</v>
      </c>
      <c r="G105" s="215"/>
      <c r="H105" s="84">
        <f t="shared" si="60"/>
        <v>32301.267447990893</v>
      </c>
      <c r="I105" s="84">
        <f>+H105/E105</f>
        <v>1794.5148582217162</v>
      </c>
      <c r="J105" s="84">
        <f>+I105*J$102</f>
        <v>376.84812022656035</v>
      </c>
      <c r="K105" s="84">
        <f t="shared" si="72"/>
        <v>2171.3629784482764</v>
      </c>
      <c r="L105" s="84">
        <f>+K105*L$102</f>
        <v>716.5497828879312</v>
      </c>
      <c r="M105" s="84">
        <f t="shared" si="73"/>
        <v>2887.9127613362075</v>
      </c>
      <c r="N105" s="84">
        <f>+M105*N$102</f>
        <v>1155.1651045344831</v>
      </c>
      <c r="O105" s="101">
        <f t="shared" si="74"/>
        <v>4043.0778658706904</v>
      </c>
      <c r="P105" s="183">
        <f t="shared" si="58"/>
        <v>8.0108108108108311E-2</v>
      </c>
      <c r="Q105" s="3">
        <v>29905.587418067833</v>
      </c>
      <c r="R105" s="245" t="s">
        <v>203</v>
      </c>
      <c r="X105">
        <f>+Y105*H105</f>
        <v>4845.1901171986337</v>
      </c>
      <c r="Y105" s="120">
        <v>0.15</v>
      </c>
      <c r="Z105" s="119">
        <f>+H105*(1-Y105)</f>
        <v>27456.077330792257</v>
      </c>
      <c r="AA105" s="119">
        <f>+Z105/E105</f>
        <v>1525.3376294884588</v>
      </c>
      <c r="AB105" s="119">
        <f>+AA105*1.21*1.3*1.4</f>
        <v>3359.0985276594838</v>
      </c>
      <c r="AC105" s="118" t="s">
        <v>111</v>
      </c>
      <c r="AD105" t="s">
        <v>119</v>
      </c>
      <c r="AF105">
        <v>28481.511826731268</v>
      </c>
      <c r="AG105">
        <f>+(H105-AF105)/AF105</f>
        <v>0.13411351351351372</v>
      </c>
      <c r="AK105" s="80">
        <v>100521453</v>
      </c>
      <c r="AL105" s="24">
        <v>32330.364776289549</v>
      </c>
    </row>
    <row r="106" spans="1:38" x14ac:dyDescent="0.35">
      <c r="A106" s="124">
        <v>100521454</v>
      </c>
      <c r="B106" s="125" t="s">
        <v>105</v>
      </c>
      <c r="C106" s="126">
        <v>7790360982230</v>
      </c>
      <c r="D106" s="127">
        <v>5.3999999999999995</v>
      </c>
      <c r="E106" s="100">
        <v>18</v>
      </c>
      <c r="F106" s="84">
        <v>32301.267447990893</v>
      </c>
      <c r="G106" s="215"/>
      <c r="H106" s="84">
        <f t="shared" si="60"/>
        <v>32301.267447990893</v>
      </c>
      <c r="I106" s="84">
        <f>+H106/E106</f>
        <v>1794.5148582217162</v>
      </c>
      <c r="J106" s="84">
        <f>+I106*J$102</f>
        <v>376.84812022656035</v>
      </c>
      <c r="K106" s="84">
        <f t="shared" si="72"/>
        <v>2171.3629784482764</v>
      </c>
      <c r="L106" s="84">
        <f>+K106*L$102</f>
        <v>716.5497828879312</v>
      </c>
      <c r="M106" s="84">
        <f t="shared" si="73"/>
        <v>2887.9127613362075</v>
      </c>
      <c r="N106" s="84">
        <f>+M106*N$102</f>
        <v>1155.1651045344831</v>
      </c>
      <c r="O106" s="101">
        <f t="shared" si="74"/>
        <v>4043.0778658706904</v>
      </c>
      <c r="P106" s="183">
        <f t="shared" si="58"/>
        <v>8.0108108108108311E-2</v>
      </c>
      <c r="Q106" s="3">
        <v>29905.587418067833</v>
      </c>
      <c r="R106" s="245" t="s">
        <v>203</v>
      </c>
      <c r="Y106" s="120">
        <v>0.15</v>
      </c>
      <c r="Z106" s="119">
        <f>+H106*(1-Y106)</f>
        <v>27456.077330792257</v>
      </c>
      <c r="AA106" s="119">
        <f>+Z106/E106</f>
        <v>1525.3376294884588</v>
      </c>
      <c r="AB106" s="119">
        <f>+AA106*1.21*1.3*1.4</f>
        <v>3359.0985276594838</v>
      </c>
      <c r="AC106" s="118" t="s">
        <v>111</v>
      </c>
      <c r="AD106" t="s">
        <v>119</v>
      </c>
      <c r="AF106">
        <v>28481.511826731268</v>
      </c>
      <c r="AG106">
        <f>+(H106-AF106)/AF106</f>
        <v>0.13411351351351372</v>
      </c>
      <c r="AK106" s="80">
        <v>100521454</v>
      </c>
      <c r="AL106" s="24">
        <v>32330.364776289549</v>
      </c>
    </row>
    <row r="107" spans="1:38" x14ac:dyDescent="0.35">
      <c r="A107" s="71"/>
      <c r="B107" s="72"/>
      <c r="C107" s="73"/>
      <c r="D107" s="199"/>
      <c r="E107" s="74"/>
      <c r="F107" s="74"/>
      <c r="G107" s="74"/>
      <c r="H107" s="75"/>
      <c r="I107" s="75"/>
      <c r="J107" s="78">
        <v>0.21</v>
      </c>
      <c r="K107" s="78"/>
      <c r="L107" s="78">
        <v>0.22</v>
      </c>
      <c r="M107" s="78"/>
      <c r="N107" s="78">
        <v>0.35</v>
      </c>
      <c r="O107" s="79"/>
      <c r="Q107" s="3"/>
      <c r="AK107" s="71"/>
      <c r="AL107" s="75">
        <v>0.35</v>
      </c>
    </row>
    <row r="108" spans="1:38" x14ac:dyDescent="0.35">
      <c r="A108" s="80">
        <v>100522246</v>
      </c>
      <c r="B108" s="42" t="s">
        <v>158</v>
      </c>
      <c r="C108" s="43">
        <v>7790360984234</v>
      </c>
      <c r="D108" s="81">
        <v>8.16</v>
      </c>
      <c r="E108" s="23">
        <v>48</v>
      </c>
      <c r="F108" s="24">
        <v>106193.37939755226</v>
      </c>
      <c r="G108" s="223"/>
      <c r="H108" s="24">
        <f t="shared" ref="H108:H109" si="75">+F108*(1-G108)</f>
        <v>106193.37939755226</v>
      </c>
      <c r="I108" s="24">
        <f t="shared" ref="I108:I109" si="76">+H108/E108</f>
        <v>2212.3620707823388</v>
      </c>
      <c r="J108" s="24">
        <f t="shared" ref="J108:J109" si="77">+I108*J$3</f>
        <v>464.59603486429114</v>
      </c>
      <c r="K108" s="24">
        <f t="shared" ref="K108:K109" si="78">+I108+J108</f>
        <v>2676.95810564663</v>
      </c>
      <c r="L108" s="24">
        <f t="shared" ref="L108:L109" si="79">+K108*L$39</f>
        <v>588.9307832422586</v>
      </c>
      <c r="M108" s="24">
        <f t="shared" ref="M108:M109" si="80">+K108+L108</f>
        <v>3265.8888888888887</v>
      </c>
      <c r="N108" s="24">
        <f t="shared" ref="N108:N109" si="81">+M108*N$39</f>
        <v>1143.0611111111109</v>
      </c>
      <c r="O108" s="25">
        <f t="shared" ref="O108:O109" si="82">+M108+N108</f>
        <v>4408.95</v>
      </c>
      <c r="P108" s="183">
        <f t="shared" si="58"/>
        <v>0.26315789473684159</v>
      </c>
      <c r="Q108" s="1">
        <v>84069.7586897289</v>
      </c>
      <c r="S108" s="182"/>
      <c r="T108" s="182"/>
      <c r="U108" s="182"/>
      <c r="V108" s="182"/>
      <c r="W108" s="182"/>
      <c r="Y108">
        <f>+X104*9*2+X105*8*2+X4*144</f>
        <v>725970.89028176782</v>
      </c>
      <c r="AA108" t="s">
        <v>123</v>
      </c>
      <c r="AB108" t="s">
        <v>124</v>
      </c>
      <c r="AC108" s="118" t="s">
        <v>125</v>
      </c>
      <c r="AK108" s="80">
        <v>100522246</v>
      </c>
      <c r="AL108" s="24">
        <v>106193.37939755226</v>
      </c>
    </row>
    <row r="109" spans="1:38" x14ac:dyDescent="0.35">
      <c r="A109" s="80">
        <v>100522247</v>
      </c>
      <c r="B109" s="42" t="s">
        <v>159</v>
      </c>
      <c r="C109" s="43">
        <v>7790360984241</v>
      </c>
      <c r="D109" s="81">
        <v>8.16</v>
      </c>
      <c r="E109" s="23">
        <v>48</v>
      </c>
      <c r="F109" s="24">
        <v>106193.37939755226</v>
      </c>
      <c r="G109" s="223"/>
      <c r="H109" s="24">
        <f t="shared" si="75"/>
        <v>106193.37939755226</v>
      </c>
      <c r="I109" s="24">
        <f t="shared" si="76"/>
        <v>2212.3620707823388</v>
      </c>
      <c r="J109" s="24">
        <f t="shared" si="77"/>
        <v>464.59603486429114</v>
      </c>
      <c r="K109" s="24">
        <f t="shared" si="78"/>
        <v>2676.95810564663</v>
      </c>
      <c r="L109" s="24">
        <f t="shared" si="79"/>
        <v>588.9307832422586</v>
      </c>
      <c r="M109" s="24">
        <f t="shared" si="80"/>
        <v>3265.8888888888887</v>
      </c>
      <c r="N109" s="24">
        <f t="shared" si="81"/>
        <v>1143.0611111111109</v>
      </c>
      <c r="O109" s="25">
        <f t="shared" si="82"/>
        <v>4408.95</v>
      </c>
      <c r="P109" s="183">
        <f t="shared" ref="P109" si="83">H109/Q109-1</f>
        <v>0.26315789473684159</v>
      </c>
      <c r="Q109" s="1">
        <v>84069.7586897289</v>
      </c>
      <c r="S109" s="182"/>
      <c r="T109" s="182"/>
      <c r="U109" s="182"/>
      <c r="V109" s="182"/>
      <c r="W109" s="182"/>
      <c r="AA109">
        <v>5580</v>
      </c>
      <c r="AB109">
        <v>3750</v>
      </c>
      <c r="AC109">
        <v>4500</v>
      </c>
      <c r="AK109" s="80">
        <v>100522247</v>
      </c>
      <c r="AL109" s="24">
        <v>106193.37939755226</v>
      </c>
    </row>
    <row r="110" spans="1:38" x14ac:dyDescent="0.35">
      <c r="R110" s="182"/>
      <c r="S110" s="182"/>
      <c r="T110" s="182"/>
      <c r="U110" s="182"/>
      <c r="V110" s="182"/>
      <c r="W110" s="182"/>
      <c r="AK110" s="80">
        <v>100521454</v>
      </c>
      <c r="AL110" s="24">
        <v>30790.823596466234</v>
      </c>
    </row>
    <row r="111" spans="1:38" x14ac:dyDescent="0.35">
      <c r="R111" s="182"/>
      <c r="S111" s="182"/>
      <c r="T111" s="182"/>
      <c r="U111" s="182"/>
      <c r="V111" s="182"/>
      <c r="W111" s="182"/>
    </row>
    <row r="112" spans="1:38" x14ac:dyDescent="0.35">
      <c r="R112" s="182"/>
      <c r="S112" s="182"/>
      <c r="T112" s="182"/>
      <c r="U112" s="182"/>
      <c r="V112" s="182"/>
      <c r="W112" s="182"/>
    </row>
    <row r="113" spans="18:23" x14ac:dyDescent="0.35">
      <c r="R113" s="182"/>
      <c r="S113" s="182"/>
      <c r="T113" s="182"/>
      <c r="U113" s="182"/>
      <c r="V113" s="182"/>
      <c r="W113" s="182"/>
    </row>
    <row r="114" spans="18:23" x14ac:dyDescent="0.35">
      <c r="R114" s="182"/>
      <c r="S114" s="182"/>
      <c r="T114" s="182"/>
      <c r="U114" s="182"/>
      <c r="V114" s="182"/>
      <c r="W114" s="182"/>
    </row>
    <row r="115" spans="18:23" x14ac:dyDescent="0.35">
      <c r="R115" s="182"/>
      <c r="S115" s="182"/>
      <c r="T115" s="182"/>
      <c r="U115" s="182"/>
      <c r="V115" s="182"/>
      <c r="W115" s="182"/>
    </row>
    <row r="116" spans="18:23" x14ac:dyDescent="0.35">
      <c r="R116" s="182"/>
      <c r="S116" s="182"/>
      <c r="T116" s="182"/>
      <c r="U116" s="182"/>
      <c r="V116" s="182"/>
      <c r="W116" s="182"/>
    </row>
    <row r="117" spans="18:23" x14ac:dyDescent="0.35">
      <c r="R117" s="182"/>
      <c r="S117" s="182"/>
      <c r="T117" s="182"/>
      <c r="U117" s="182"/>
      <c r="V117" s="182"/>
      <c r="W117" s="182"/>
    </row>
    <row r="118" spans="18:23" x14ac:dyDescent="0.35">
      <c r="R118" s="182"/>
      <c r="S118" s="182"/>
      <c r="T118" s="182"/>
      <c r="U118" s="182"/>
      <c r="V118" s="182"/>
      <c r="W118" s="182"/>
    </row>
    <row r="119" spans="18:23" x14ac:dyDescent="0.35">
      <c r="R119" s="182"/>
      <c r="S119" s="182"/>
      <c r="T119" s="182"/>
      <c r="U119" s="182"/>
      <c r="V119" s="182"/>
      <c r="W119" s="182"/>
    </row>
  </sheetData>
  <mergeCells count="1">
    <mergeCell ref="Y1:AD1"/>
  </mergeCells>
  <conditionalFormatting sqref="A20:B20">
    <cfRule type="cellIs" dxfId="134" priority="179" stopIfTrue="1" operator="equal">
      <formula>0</formula>
    </cfRule>
  </conditionalFormatting>
  <conditionalFormatting sqref="A63:C63">
    <cfRule type="cellIs" dxfId="133" priority="124" stopIfTrue="1" operator="equal">
      <formula>0</formula>
    </cfRule>
  </conditionalFormatting>
  <conditionalFormatting sqref="A16:E19">
    <cfRule type="cellIs" dxfId="132" priority="177" stopIfTrue="1" operator="equal">
      <formula>0</formula>
    </cfRule>
  </conditionalFormatting>
  <conditionalFormatting sqref="A101:F101">
    <cfRule type="cellIs" dxfId="131" priority="2" stopIfTrue="1" operator="equal">
      <formula>0</formula>
    </cfRule>
  </conditionalFormatting>
  <conditionalFormatting sqref="A103:F106">
    <cfRule type="cellIs" dxfId="130" priority="139" stopIfTrue="1" operator="equal">
      <formula>0</formula>
    </cfRule>
  </conditionalFormatting>
  <conditionalFormatting sqref="A69:F69 H69:O69">
    <cfRule type="cellIs" dxfId="129" priority="111" stopIfTrue="1" operator="equal">
      <formula>0</formula>
    </cfRule>
  </conditionalFormatting>
  <conditionalFormatting sqref="A73:O74">
    <cfRule type="cellIs" dxfId="128" priority="110" stopIfTrue="1" operator="equal">
      <formula>0</formula>
    </cfRule>
  </conditionalFormatting>
  <conditionalFormatting sqref="A96:O98">
    <cfRule type="cellIs" dxfId="127" priority="19" stopIfTrue="1" operator="equal">
      <formula>0</formula>
    </cfRule>
  </conditionalFormatting>
  <conditionalFormatting sqref="A100:O100 H101:O101">
    <cfRule type="cellIs" dxfId="126" priority="58" stopIfTrue="1" operator="equal">
      <formula>0</formula>
    </cfRule>
  </conditionalFormatting>
  <conditionalFormatting sqref="B28">
    <cfRule type="cellIs" dxfId="125" priority="171" stopIfTrue="1" operator="equal">
      <formula>0</formula>
    </cfRule>
  </conditionalFormatting>
  <conditionalFormatting sqref="D20:E20">
    <cfRule type="cellIs" dxfId="124" priority="178" stopIfTrue="1" operator="equal">
      <formula>0</formula>
    </cfRule>
  </conditionalFormatting>
  <conditionalFormatting sqref="D89:O94">
    <cfRule type="cellIs" dxfId="123" priority="109" stopIfTrue="1" operator="equal">
      <formula>0</formula>
    </cfRule>
  </conditionalFormatting>
  <conditionalFormatting sqref="F16 H16:O16 F17:O20">
    <cfRule type="cellIs" dxfId="122" priority="159" stopIfTrue="1" operator="equal">
      <formula>0</formula>
    </cfRule>
  </conditionalFormatting>
  <conditionalFormatting sqref="F66:F68">
    <cfRule type="cellIs" dxfId="121" priority="129" stopIfTrue="1" operator="equal">
      <formula>0</formula>
    </cfRule>
  </conditionalFormatting>
  <conditionalFormatting sqref="F108:H109">
    <cfRule type="cellIs" dxfId="120" priority="37" stopIfTrue="1" operator="equal">
      <formula>0</formula>
    </cfRule>
  </conditionalFormatting>
  <conditionalFormatting sqref="H58:O58 D58:F61 I59:O61">
    <cfRule type="cellIs" dxfId="119" priority="174" stopIfTrue="1" operator="equal">
      <formula>0</formula>
    </cfRule>
  </conditionalFormatting>
  <conditionalFormatting sqref="H103:O106">
    <cfRule type="cellIs" dxfId="118" priority="127" stopIfTrue="1" operator="equal">
      <formula>0</formula>
    </cfRule>
  </conditionalFormatting>
  <conditionalFormatting sqref="L37:L38">
    <cfRule type="cellIs" dxfId="117" priority="172" stopIfTrue="1" operator="equal">
      <formula>0</formula>
    </cfRule>
  </conditionalFormatting>
  <conditionalFormatting sqref="Q16:Q20">
    <cfRule type="cellIs" dxfId="116" priority="169" stopIfTrue="1" operator="equal">
      <formula>0</formula>
    </cfRule>
  </conditionalFormatting>
  <conditionalFormatting sqref="Q58:Q61">
    <cfRule type="cellIs" dxfId="115" priority="168" stopIfTrue="1" operator="equal">
      <formula>0</formula>
    </cfRule>
  </conditionalFormatting>
  <conditionalFormatting sqref="Q69">
    <cfRule type="cellIs" dxfId="114" priority="170" stopIfTrue="1" operator="equal">
      <formula>0</formula>
    </cfRule>
  </conditionalFormatting>
  <conditionalFormatting sqref="Q73:Q74">
    <cfRule type="cellIs" dxfId="113" priority="167" stopIfTrue="1" operator="equal">
      <formula>0</formula>
    </cfRule>
  </conditionalFormatting>
  <conditionalFormatting sqref="Q89:Q94">
    <cfRule type="cellIs" dxfId="112" priority="166" stopIfTrue="1" operator="equal">
      <formula>0</formula>
    </cfRule>
  </conditionalFormatting>
  <conditionalFormatting sqref="Q96:Q98">
    <cfRule type="cellIs" dxfId="111" priority="163" stopIfTrue="1" operator="equal">
      <formula>0</formula>
    </cfRule>
  </conditionalFormatting>
  <conditionalFormatting sqref="Q100:Q101">
    <cfRule type="cellIs" dxfId="110" priority="161" stopIfTrue="1" operator="equal">
      <formula>0</formula>
    </cfRule>
  </conditionalFormatting>
  <conditionalFormatting sqref="R12:R14">
    <cfRule type="cellIs" dxfId="109" priority="59" operator="greaterThan">
      <formula>0</formula>
    </cfRule>
  </conditionalFormatting>
  <conditionalFormatting sqref="AK59">
    <cfRule type="cellIs" dxfId="108" priority="16" stopIfTrue="1" operator="equal">
      <formula>0</formula>
    </cfRule>
  </conditionalFormatting>
  <conditionalFormatting sqref="AK68:AK70">
    <cfRule type="cellIs" dxfId="107" priority="14" stopIfTrue="1" operator="equal">
      <formula>0</formula>
    </cfRule>
  </conditionalFormatting>
  <conditionalFormatting sqref="AK108:AK109">
    <cfRule type="cellIs" dxfId="106" priority="28" stopIfTrue="1" operator="equal">
      <formula>0</formula>
    </cfRule>
  </conditionalFormatting>
  <conditionalFormatting sqref="AK65:AL65">
    <cfRule type="cellIs" dxfId="105" priority="6" stopIfTrue="1" operator="equal">
      <formula>0</formula>
    </cfRule>
  </conditionalFormatting>
  <conditionalFormatting sqref="AK91:AL93">
    <cfRule type="cellIs" dxfId="104" priority="4" stopIfTrue="1" operator="equal">
      <formula>0</formula>
    </cfRule>
  </conditionalFormatting>
  <conditionalFormatting sqref="AK95:AL96">
    <cfRule type="cellIs" dxfId="103" priority="3" stopIfTrue="1" operator="equal">
      <formula>0</formula>
    </cfRule>
  </conditionalFormatting>
  <conditionalFormatting sqref="AK98:AL101">
    <cfRule type="cellIs" dxfId="102" priority="8" stopIfTrue="1" operator="equal">
      <formula>0</formula>
    </cfRule>
  </conditionalFormatting>
  <conditionalFormatting sqref="AK103:AL106">
    <cfRule type="cellIs" dxfId="101" priority="24" stopIfTrue="1" operator="equal">
      <formula>0</formula>
    </cfRule>
  </conditionalFormatting>
  <conditionalFormatting sqref="AK110:AL110">
    <cfRule type="cellIs" dxfId="100" priority="81" stopIfTrue="1" operator="equal">
      <formula>0</formula>
    </cfRule>
  </conditionalFormatting>
  <conditionalFormatting sqref="AL16:AL19">
    <cfRule type="cellIs" dxfId="99" priority="7" stopIfTrue="1" operator="equal">
      <formula>0</formula>
    </cfRule>
  </conditionalFormatting>
  <conditionalFormatting sqref="AL54:AL57">
    <cfRule type="cellIs" dxfId="98" priority="10" stopIfTrue="1" operator="equal">
      <formula>0</formula>
    </cfRule>
  </conditionalFormatting>
  <conditionalFormatting sqref="AL69:AL70">
    <cfRule type="cellIs" dxfId="97" priority="5" stopIfTrue="1" operator="equal">
      <formula>0</formula>
    </cfRule>
  </conditionalFormatting>
  <conditionalFormatting sqref="AL85:AL89">
    <cfRule type="cellIs" dxfId="96" priority="9" stopIfTrue="1" operator="equal">
      <formula>0</formula>
    </cfRule>
  </conditionalFormatting>
  <conditionalFormatting sqref="G69">
    <cfRule type="cellIs" dxfId="1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434D-1A9A-486F-A2BB-771A99AE47C8}">
  <dimension ref="A1:U109"/>
  <sheetViews>
    <sheetView topLeftCell="L87" zoomScaleNormal="100" workbookViewId="0">
      <selection activeCell="Q97" sqref="Q97"/>
    </sheetView>
  </sheetViews>
  <sheetFormatPr baseColWidth="10" defaultColWidth="11.453125" defaultRowHeight="14.5" outlineLevelCol="1" x14ac:dyDescent="0.35"/>
  <cols>
    <col min="1" max="1" width="2.81640625" customWidth="1"/>
    <col min="2" max="2" width="11.81640625" customWidth="1"/>
    <col min="3" max="3" width="46.1796875" bestFit="1" customWidth="1"/>
    <col min="4" max="4" width="12.1796875" hidden="1" customWidth="1"/>
    <col min="5" max="5" width="8" bestFit="1" customWidth="1"/>
    <col min="6" max="6" width="9.453125" bestFit="1" customWidth="1"/>
    <col min="7" max="7" width="9.453125" style="82" bestFit="1" customWidth="1"/>
    <col min="8" max="8" width="9.453125" customWidth="1"/>
    <col min="9" max="9" width="9.453125" style="82" bestFit="1" customWidth="1"/>
    <col min="10" max="15" width="11.453125" customWidth="1" outlineLevel="1"/>
    <col min="16" max="16" width="11.453125" style="77" customWidth="1"/>
    <col min="17" max="17" width="71.54296875" customWidth="1"/>
  </cols>
  <sheetData>
    <row r="1" spans="2:17" s="1" customFormat="1" ht="12.5" thickBot="1" x14ac:dyDescent="0.35">
      <c r="G1" s="2"/>
      <c r="I1" s="2"/>
      <c r="P1" s="3"/>
    </row>
    <row r="2" spans="2:17" s="1" customFormat="1" ht="36.5" thickBot="1" x14ac:dyDescent="0.35">
      <c r="B2" s="4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7" t="s">
        <v>88</v>
      </c>
      <c r="H2" s="6" t="s">
        <v>90</v>
      </c>
      <c r="I2" s="7" t="s">
        <v>100</v>
      </c>
      <c r="J2" s="8" t="s">
        <v>6</v>
      </c>
      <c r="K2" s="8" t="s">
        <v>7</v>
      </c>
      <c r="L2" s="8" t="s">
        <v>8</v>
      </c>
      <c r="M2" s="8" t="s">
        <v>9</v>
      </c>
      <c r="N2" s="8" t="s">
        <v>10</v>
      </c>
      <c r="O2" s="8" t="s">
        <v>11</v>
      </c>
      <c r="P2" s="9" t="s">
        <v>12</v>
      </c>
      <c r="Q2" s="9" t="s">
        <v>171</v>
      </c>
    </row>
    <row r="3" spans="2:17" s="1" customFormat="1" ht="12" x14ac:dyDescent="0.3">
      <c r="B3" s="12"/>
      <c r="C3" s="13"/>
      <c r="D3" s="14"/>
      <c r="E3" s="13"/>
      <c r="F3" s="13"/>
      <c r="G3" s="15"/>
      <c r="H3" s="13"/>
      <c r="I3" s="15"/>
      <c r="J3" s="16"/>
      <c r="K3" s="17">
        <v>0.21</v>
      </c>
      <c r="L3" s="16"/>
      <c r="M3" s="17">
        <v>0.3</v>
      </c>
      <c r="N3" s="16"/>
      <c r="O3" s="17">
        <v>0.4</v>
      </c>
      <c r="P3" s="18"/>
    </row>
    <row r="4" spans="2:17" x14ac:dyDescent="0.35">
      <c r="B4" s="19">
        <v>100021632</v>
      </c>
      <c r="C4" s="20" t="s">
        <v>14</v>
      </c>
      <c r="D4" s="21">
        <v>7790360026606</v>
      </c>
      <c r="E4" s="22">
        <v>4.8</v>
      </c>
      <c r="F4" s="23">
        <v>30</v>
      </c>
      <c r="G4" s="24">
        <v>48716.756166569001</v>
      </c>
      <c r="H4" s="23"/>
      <c r="I4" s="24">
        <f>+G4*(1-H4)</f>
        <v>48716.756166569001</v>
      </c>
      <c r="J4" s="24">
        <f t="shared" ref="J4:J38" si="0">+I4/F4</f>
        <v>1623.8918722189667</v>
      </c>
      <c r="K4" s="24">
        <f>+J4*K$3</f>
        <v>341.01729316598301</v>
      </c>
      <c r="L4" s="24">
        <f>+J4+K4</f>
        <v>1964.9091653849496</v>
      </c>
      <c r="M4" s="24">
        <f>+L4*M$3</f>
        <v>589.47274961548487</v>
      </c>
      <c r="N4" s="24">
        <f>+L4+M4</f>
        <v>2554.3819150004347</v>
      </c>
      <c r="O4" s="24">
        <f>+N4*O$3</f>
        <v>1021.7527660001739</v>
      </c>
      <c r="P4" s="25">
        <f>+N4+O4</f>
        <v>3576.1346810006085</v>
      </c>
    </row>
    <row r="5" spans="2:17" x14ac:dyDescent="0.35">
      <c r="B5" s="26">
        <v>100021652</v>
      </c>
      <c r="C5" s="20" t="s">
        <v>15</v>
      </c>
      <c r="D5" s="21">
        <v>7790360026576</v>
      </c>
      <c r="E5" s="22">
        <v>5.76</v>
      </c>
      <c r="F5" s="23">
        <v>18</v>
      </c>
      <c r="G5" s="24">
        <v>61438.772456069004</v>
      </c>
      <c r="H5" s="23"/>
      <c r="I5" s="24">
        <f t="shared" ref="I5:I38" si="1">+G5*(1-H5)</f>
        <v>61438.772456069004</v>
      </c>
      <c r="J5" s="24">
        <f t="shared" si="0"/>
        <v>3413.2651364482781</v>
      </c>
      <c r="K5" s="24">
        <f t="shared" ref="K5:K77" si="2">+J5*K$3</f>
        <v>716.78567865413834</v>
      </c>
      <c r="L5" s="24">
        <f t="shared" ref="L5:L77" si="3">+J5+K5</f>
        <v>4130.0508151024169</v>
      </c>
      <c r="M5" s="24">
        <f t="shared" ref="M5:M77" si="4">+L5*M$3</f>
        <v>1239.0152445307251</v>
      </c>
      <c r="N5" s="24">
        <f t="shared" ref="N5:N77" si="5">+L5+M5</f>
        <v>5369.0660596331418</v>
      </c>
      <c r="O5" s="24">
        <f t="shared" ref="O5:O77" si="6">+N5*O$3</f>
        <v>2147.6264238532567</v>
      </c>
      <c r="P5" s="25">
        <f t="shared" ref="P5:P77" si="7">+N5+O5</f>
        <v>7516.6924834863985</v>
      </c>
    </row>
    <row r="6" spans="2:17" x14ac:dyDescent="0.35">
      <c r="B6" s="26">
        <v>100021631</v>
      </c>
      <c r="C6" s="20" t="s">
        <v>16</v>
      </c>
      <c r="D6" s="21">
        <v>7790360026590</v>
      </c>
      <c r="E6" s="22">
        <v>7.68</v>
      </c>
      <c r="F6" s="23">
        <v>8</v>
      </c>
      <c r="G6" s="24">
        <v>77878.073702606955</v>
      </c>
      <c r="H6" s="23"/>
      <c r="I6" s="24">
        <f t="shared" si="1"/>
        <v>77878.073702606955</v>
      </c>
      <c r="J6" s="24">
        <f t="shared" si="0"/>
        <v>9734.7592128258693</v>
      </c>
      <c r="K6" s="24">
        <f t="shared" si="2"/>
        <v>2044.2994346934324</v>
      </c>
      <c r="L6" s="24">
        <f t="shared" si="3"/>
        <v>11779.058647519301</v>
      </c>
      <c r="M6" s="24">
        <f t="shared" si="4"/>
        <v>3533.7175942557901</v>
      </c>
      <c r="N6" s="24">
        <f t="shared" si="5"/>
        <v>15312.776241775091</v>
      </c>
      <c r="O6" s="24">
        <f t="shared" si="6"/>
        <v>6125.1104967100364</v>
      </c>
      <c r="P6" s="25">
        <f t="shared" si="7"/>
        <v>21437.886738485126</v>
      </c>
    </row>
    <row r="7" spans="2:17" x14ac:dyDescent="0.35">
      <c r="B7" s="26">
        <v>100021630</v>
      </c>
      <c r="C7" s="20" t="s">
        <v>17</v>
      </c>
      <c r="D7" s="21">
        <v>7790360026583</v>
      </c>
      <c r="E7" s="22">
        <v>9.6</v>
      </c>
      <c r="F7" s="23">
        <v>6</v>
      </c>
      <c r="G7" s="24">
        <v>95457.347620913875</v>
      </c>
      <c r="H7" s="23"/>
      <c r="I7" s="24">
        <f t="shared" si="1"/>
        <v>95457.347620913875</v>
      </c>
      <c r="J7" s="24">
        <f t="shared" si="0"/>
        <v>15909.557936818979</v>
      </c>
      <c r="K7" s="24">
        <f t="shared" si="2"/>
        <v>3341.0071667319853</v>
      </c>
      <c r="L7" s="24">
        <f t="shared" si="3"/>
        <v>19250.565103550965</v>
      </c>
      <c r="M7" s="24">
        <f t="shared" si="4"/>
        <v>5775.1695310652894</v>
      </c>
      <c r="N7" s="24">
        <f t="shared" si="5"/>
        <v>25025.734634616256</v>
      </c>
      <c r="O7" s="24">
        <f t="shared" si="6"/>
        <v>10010.293853846502</v>
      </c>
      <c r="P7" s="25">
        <f t="shared" si="7"/>
        <v>35036.028488462762</v>
      </c>
    </row>
    <row r="8" spans="2:17" x14ac:dyDescent="0.35">
      <c r="B8" s="27">
        <v>100021653</v>
      </c>
      <c r="C8" s="28" t="s">
        <v>18</v>
      </c>
      <c r="D8" s="21">
        <v>7790360026682</v>
      </c>
      <c r="E8" s="22">
        <v>5.76</v>
      </c>
      <c r="F8" s="23">
        <v>18</v>
      </c>
      <c r="G8" s="24">
        <v>61243.922037972472</v>
      </c>
      <c r="H8" s="23"/>
      <c r="I8" s="24">
        <f t="shared" si="1"/>
        <v>61243.922037972472</v>
      </c>
      <c r="J8" s="24">
        <f t="shared" si="0"/>
        <v>3402.4401132206931</v>
      </c>
      <c r="K8" s="24">
        <f t="shared" si="2"/>
        <v>714.51242377634549</v>
      </c>
      <c r="L8" s="24">
        <f t="shared" si="3"/>
        <v>4116.9525369970388</v>
      </c>
      <c r="M8" s="24">
        <f t="shared" si="4"/>
        <v>1235.0857610991116</v>
      </c>
      <c r="N8" s="24">
        <f t="shared" si="5"/>
        <v>5352.0382980961504</v>
      </c>
      <c r="O8" s="24">
        <f t="shared" si="6"/>
        <v>2140.8153192384602</v>
      </c>
      <c r="P8" s="25">
        <f t="shared" si="7"/>
        <v>7492.853617334611</v>
      </c>
    </row>
    <row r="9" spans="2:17" x14ac:dyDescent="0.35">
      <c r="B9" s="27">
        <v>100516169</v>
      </c>
      <c r="C9" s="28" t="s">
        <v>19</v>
      </c>
      <c r="D9" s="21">
        <v>7790360967961</v>
      </c>
      <c r="E9" s="22">
        <v>5.76</v>
      </c>
      <c r="F9" s="23">
        <v>18</v>
      </c>
      <c r="G9" s="24">
        <v>51337.27209303002</v>
      </c>
      <c r="H9" s="23"/>
      <c r="I9" s="24">
        <f t="shared" si="1"/>
        <v>51337.27209303002</v>
      </c>
      <c r="J9" s="24">
        <f t="shared" si="0"/>
        <v>2852.0706718350011</v>
      </c>
      <c r="K9" s="24">
        <f t="shared" si="2"/>
        <v>598.93484108535017</v>
      </c>
      <c r="L9" s="24">
        <f t="shared" si="3"/>
        <v>3451.0055129203511</v>
      </c>
      <c r="M9" s="24">
        <f t="shared" si="4"/>
        <v>1035.3016538761053</v>
      </c>
      <c r="N9" s="24">
        <f t="shared" si="5"/>
        <v>4486.3071667964559</v>
      </c>
      <c r="O9" s="24">
        <f t="shared" si="6"/>
        <v>1794.5228667185825</v>
      </c>
      <c r="P9" s="25">
        <f t="shared" si="7"/>
        <v>6280.8300335150379</v>
      </c>
    </row>
    <row r="10" spans="2:17" x14ac:dyDescent="0.35">
      <c r="B10" s="27">
        <v>100520337</v>
      </c>
      <c r="C10" s="28" t="s">
        <v>20</v>
      </c>
      <c r="D10" s="21">
        <v>7790360977960</v>
      </c>
      <c r="E10" s="22">
        <v>4.8</v>
      </c>
      <c r="F10" s="23">
        <v>30</v>
      </c>
      <c r="G10" s="24">
        <v>34446.129827586221</v>
      </c>
      <c r="H10" s="23"/>
      <c r="I10" s="24">
        <f t="shared" si="1"/>
        <v>34446.129827586221</v>
      </c>
      <c r="J10" s="24">
        <f t="shared" si="0"/>
        <v>1148.2043275862075</v>
      </c>
      <c r="K10" s="24">
        <f>+J10*K$3</f>
        <v>241.12290879310356</v>
      </c>
      <c r="L10" s="24">
        <f>+J10+K10</f>
        <v>1389.327236379311</v>
      </c>
      <c r="M10" s="24">
        <f>+L10*M$3</f>
        <v>416.79817091379329</v>
      </c>
      <c r="N10" s="24">
        <f>+L10+M10</f>
        <v>1806.1254072931042</v>
      </c>
      <c r="O10" s="24">
        <f>+N10*O$3</f>
        <v>722.45016291724176</v>
      </c>
      <c r="P10" s="25">
        <f>+N10+O10</f>
        <v>2528.5755702103461</v>
      </c>
    </row>
    <row r="11" spans="2:17" x14ac:dyDescent="0.35">
      <c r="B11" s="27">
        <v>100021503</v>
      </c>
      <c r="C11" s="28" t="s">
        <v>21</v>
      </c>
      <c r="D11" s="21">
        <v>7790360966841</v>
      </c>
      <c r="E11" s="22">
        <v>3.3119999999999998</v>
      </c>
      <c r="F11" s="23">
        <v>12</v>
      </c>
      <c r="G11" s="24">
        <v>26300.510068965526</v>
      </c>
      <c r="H11" s="212"/>
      <c r="I11" s="24">
        <f t="shared" si="1"/>
        <v>26300.510068965526</v>
      </c>
      <c r="J11" s="24">
        <f t="shared" si="0"/>
        <v>2191.709172413794</v>
      </c>
      <c r="K11" s="24">
        <f t="shared" si="2"/>
        <v>460.25892620689672</v>
      </c>
      <c r="L11" s="24">
        <f t="shared" si="3"/>
        <v>2651.9680986206909</v>
      </c>
      <c r="M11" s="24">
        <f t="shared" si="4"/>
        <v>795.59042958620728</v>
      </c>
      <c r="N11" s="24">
        <f t="shared" si="5"/>
        <v>3447.5585282068982</v>
      </c>
      <c r="O11" s="24">
        <f t="shared" si="6"/>
        <v>1379.0234112827593</v>
      </c>
      <c r="P11" s="25">
        <f t="shared" si="7"/>
        <v>4826.5819394896571</v>
      </c>
    </row>
    <row r="12" spans="2:17" x14ac:dyDescent="0.35">
      <c r="B12" s="27">
        <v>100516201</v>
      </c>
      <c r="C12" s="28" t="s">
        <v>22</v>
      </c>
      <c r="D12" s="21">
        <v>7790360968548</v>
      </c>
      <c r="E12" s="22">
        <v>6.6239999999999997</v>
      </c>
      <c r="F12" s="23">
        <v>8</v>
      </c>
      <c r="G12" s="24">
        <v>57464.122802373284</v>
      </c>
      <c r="H12" s="212"/>
      <c r="I12" s="24">
        <f t="shared" si="1"/>
        <v>57464.122802373284</v>
      </c>
      <c r="J12" s="24">
        <f t="shared" si="0"/>
        <v>7183.0153502966605</v>
      </c>
      <c r="K12" s="24">
        <f t="shared" si="2"/>
        <v>1508.4332235622987</v>
      </c>
      <c r="L12" s="24">
        <f t="shared" si="3"/>
        <v>8691.4485738589592</v>
      </c>
      <c r="M12" s="24">
        <f t="shared" si="4"/>
        <v>2607.4345721576879</v>
      </c>
      <c r="N12" s="24">
        <f t="shared" si="5"/>
        <v>11298.883146016648</v>
      </c>
      <c r="O12" s="24">
        <f t="shared" si="6"/>
        <v>4519.5532584066596</v>
      </c>
      <c r="P12" s="25">
        <f t="shared" si="7"/>
        <v>15818.436404423308</v>
      </c>
    </row>
    <row r="13" spans="2:17" x14ac:dyDescent="0.35">
      <c r="B13" s="83">
        <v>100021643</v>
      </c>
      <c r="C13" s="97" t="s">
        <v>23</v>
      </c>
      <c r="D13" s="98">
        <v>7790360966797</v>
      </c>
      <c r="E13" s="99">
        <v>4.7039999999999997</v>
      </c>
      <c r="F13" s="100">
        <v>42</v>
      </c>
      <c r="G13" s="84">
        <v>33639.139583943594</v>
      </c>
      <c r="H13" s="196">
        <v>4.7619047619047616E-2</v>
      </c>
      <c r="I13" s="84">
        <f t="shared" si="1"/>
        <v>32037.275794231991</v>
      </c>
      <c r="J13" s="84">
        <f t="shared" si="0"/>
        <v>762.79228081504743</v>
      </c>
      <c r="K13" s="84">
        <f t="shared" si="2"/>
        <v>160.18637897115997</v>
      </c>
      <c r="L13" s="84">
        <f t="shared" si="3"/>
        <v>922.97865978620734</v>
      </c>
      <c r="M13" s="84">
        <f t="shared" si="4"/>
        <v>276.8935979358622</v>
      </c>
      <c r="N13" s="84">
        <f t="shared" si="5"/>
        <v>1199.8722577220697</v>
      </c>
      <c r="O13" s="84">
        <f t="shared" si="6"/>
        <v>479.94890308882788</v>
      </c>
      <c r="P13" s="101">
        <f t="shared" si="7"/>
        <v>1679.8211608108975</v>
      </c>
      <c r="Q13" s="245" t="s">
        <v>174</v>
      </c>
    </row>
    <row r="14" spans="2:17" x14ac:dyDescent="0.35">
      <c r="B14" s="27">
        <v>100516325</v>
      </c>
      <c r="C14" s="28" t="s">
        <v>24</v>
      </c>
      <c r="D14" s="21">
        <v>7790360967763</v>
      </c>
      <c r="E14" s="22">
        <v>4.7039999999999997</v>
      </c>
      <c r="F14" s="23">
        <v>21</v>
      </c>
      <c r="G14" s="24">
        <v>37832.136649292042</v>
      </c>
      <c r="H14" s="212"/>
      <c r="I14" s="24">
        <f t="shared" si="1"/>
        <v>37832.136649292042</v>
      </c>
      <c r="J14" s="24">
        <f t="shared" si="0"/>
        <v>1801.5303166329545</v>
      </c>
      <c r="K14" s="24">
        <f t="shared" si="2"/>
        <v>378.32136649292045</v>
      </c>
      <c r="L14" s="24">
        <f t="shared" si="3"/>
        <v>2179.8516831258748</v>
      </c>
      <c r="M14" s="24">
        <f t="shared" si="4"/>
        <v>653.95550493776238</v>
      </c>
      <c r="N14" s="24">
        <f t="shared" si="5"/>
        <v>2833.8071880636371</v>
      </c>
      <c r="O14" s="24">
        <f t="shared" si="6"/>
        <v>1133.522875225455</v>
      </c>
      <c r="P14" s="25">
        <f t="shared" si="7"/>
        <v>3967.3300632890923</v>
      </c>
      <c r="Q14" s="247"/>
    </row>
    <row r="15" spans="2:17" x14ac:dyDescent="0.35">
      <c r="B15" s="27">
        <v>100021676</v>
      </c>
      <c r="C15" s="28" t="s">
        <v>25</v>
      </c>
      <c r="D15" s="21">
        <v>7790360967411</v>
      </c>
      <c r="E15" s="22">
        <v>7.5</v>
      </c>
      <c r="F15" s="23">
        <v>30</v>
      </c>
      <c r="G15" s="24">
        <v>73540.83457241382</v>
      </c>
      <c r="H15" s="212"/>
      <c r="I15" s="24">
        <f t="shared" si="1"/>
        <v>73540.83457241382</v>
      </c>
      <c r="J15" s="24">
        <f t="shared" si="0"/>
        <v>2451.3611524137941</v>
      </c>
      <c r="K15" s="24">
        <f t="shared" si="2"/>
        <v>514.7858420068967</v>
      </c>
      <c r="L15" s="24">
        <f t="shared" si="3"/>
        <v>2966.146994420691</v>
      </c>
      <c r="M15" s="24">
        <f t="shared" si="4"/>
        <v>889.84409832620725</v>
      </c>
      <c r="N15" s="24">
        <f t="shared" si="5"/>
        <v>3855.9910927468982</v>
      </c>
      <c r="O15" s="24">
        <f t="shared" si="6"/>
        <v>1542.3964370987594</v>
      </c>
      <c r="P15" s="25">
        <f t="shared" si="7"/>
        <v>5398.3875298456578</v>
      </c>
      <c r="Q15" s="246"/>
    </row>
    <row r="16" spans="2:17" x14ac:dyDescent="0.35">
      <c r="B16" s="83">
        <v>100516008</v>
      </c>
      <c r="C16" s="97" t="s">
        <v>26</v>
      </c>
      <c r="D16" s="98">
        <v>7790360967701</v>
      </c>
      <c r="E16" s="99">
        <v>5.76</v>
      </c>
      <c r="F16" s="100">
        <v>24</v>
      </c>
      <c r="G16" s="84">
        <v>61658.075002019919</v>
      </c>
      <c r="H16" s="196">
        <v>9.0909090909090912E-2</v>
      </c>
      <c r="I16" s="84">
        <f t="shared" si="1"/>
        <v>56052.79545638174</v>
      </c>
      <c r="J16" s="84">
        <f t="shared" si="0"/>
        <v>2335.5331440159057</v>
      </c>
      <c r="K16" s="84">
        <f t="shared" si="2"/>
        <v>490.46196024334017</v>
      </c>
      <c r="L16" s="84">
        <f t="shared" si="3"/>
        <v>2825.9951042592456</v>
      </c>
      <c r="M16" s="84">
        <f t="shared" si="4"/>
        <v>847.79853127777369</v>
      </c>
      <c r="N16" s="84">
        <f t="shared" si="5"/>
        <v>3673.7936355370193</v>
      </c>
      <c r="O16" s="84">
        <f t="shared" si="6"/>
        <v>1469.5174542148079</v>
      </c>
      <c r="P16" s="101">
        <f t="shared" si="7"/>
        <v>5143.3110897518272</v>
      </c>
      <c r="Q16" s="245" t="s">
        <v>173</v>
      </c>
    </row>
    <row r="17" spans="1:17" x14ac:dyDescent="0.35">
      <c r="B17" s="27">
        <v>100520834</v>
      </c>
      <c r="C17" s="28" t="s">
        <v>27</v>
      </c>
      <c r="D17" s="21">
        <v>7790360980618</v>
      </c>
      <c r="E17" s="22">
        <v>6.66</v>
      </c>
      <c r="F17" s="23">
        <v>36</v>
      </c>
      <c r="G17" s="24">
        <v>69405.147209583316</v>
      </c>
      <c r="H17" s="23"/>
      <c r="I17" s="24">
        <f t="shared" si="1"/>
        <v>69405.147209583316</v>
      </c>
      <c r="J17" s="24">
        <f t="shared" si="0"/>
        <v>1927.9207558217588</v>
      </c>
      <c r="K17" s="24">
        <f>+J17*K$3</f>
        <v>404.86335872256933</v>
      </c>
      <c r="L17" s="24">
        <f>+J17+K17</f>
        <v>2332.7841145443281</v>
      </c>
      <c r="M17" s="24">
        <f>+L17*M$3</f>
        <v>699.83523436329835</v>
      </c>
      <c r="N17" s="24">
        <f>+L17+M17</f>
        <v>3032.6193489076263</v>
      </c>
      <c r="O17" s="24">
        <f>+N17*O$3</f>
        <v>1213.0477395630505</v>
      </c>
      <c r="P17" s="25">
        <f>+N17+O17</f>
        <v>4245.6670884706764</v>
      </c>
    </row>
    <row r="18" spans="1:17" x14ac:dyDescent="0.35">
      <c r="B18" s="27">
        <v>100021680</v>
      </c>
      <c r="C18" s="28" t="s">
        <v>28</v>
      </c>
      <c r="D18" s="21">
        <v>7790360967688</v>
      </c>
      <c r="E18" s="22">
        <v>4.32</v>
      </c>
      <c r="F18" s="23">
        <v>18</v>
      </c>
      <c r="G18" s="24" t="e">
        <v>#N/A</v>
      </c>
      <c r="H18" s="23"/>
      <c r="I18" s="24" t="e">
        <f t="shared" si="1"/>
        <v>#N/A</v>
      </c>
      <c r="J18" s="24" t="e">
        <f t="shared" si="0"/>
        <v>#N/A</v>
      </c>
      <c r="K18" s="24" t="e">
        <f t="shared" si="2"/>
        <v>#N/A</v>
      </c>
      <c r="L18" s="24" t="e">
        <f t="shared" si="3"/>
        <v>#N/A</v>
      </c>
      <c r="M18" s="24" t="e">
        <f t="shared" si="4"/>
        <v>#N/A</v>
      </c>
      <c r="N18" s="24" t="e">
        <f t="shared" si="5"/>
        <v>#N/A</v>
      </c>
      <c r="O18" s="24" t="e">
        <f t="shared" si="6"/>
        <v>#N/A</v>
      </c>
      <c r="P18" s="25" t="e">
        <f t="shared" si="7"/>
        <v>#N/A</v>
      </c>
    </row>
    <row r="19" spans="1:17" x14ac:dyDescent="0.35">
      <c r="B19" s="27">
        <v>100021644</v>
      </c>
      <c r="C19" s="28" t="s">
        <v>29</v>
      </c>
      <c r="D19" s="21">
        <v>7790360008541</v>
      </c>
      <c r="E19" s="22">
        <v>4.7039999999999997</v>
      </c>
      <c r="F19" s="23">
        <v>42</v>
      </c>
      <c r="G19" s="24">
        <v>25518.705766114068</v>
      </c>
      <c r="H19" s="23"/>
      <c r="I19" s="24">
        <f t="shared" si="1"/>
        <v>25518.705766114068</v>
      </c>
      <c r="J19" s="24">
        <f t="shared" si="0"/>
        <v>607.58823252652542</v>
      </c>
      <c r="K19" s="24">
        <f t="shared" si="2"/>
        <v>127.59352883057034</v>
      </c>
      <c r="L19" s="24">
        <f t="shared" si="3"/>
        <v>735.18176135709575</v>
      </c>
      <c r="M19" s="29">
        <f>+L19*0.33</f>
        <v>242.6099812478416</v>
      </c>
      <c r="N19" s="24">
        <f t="shared" si="5"/>
        <v>977.79174260493733</v>
      </c>
      <c r="O19" s="24">
        <f t="shared" si="6"/>
        <v>391.11669704197493</v>
      </c>
      <c r="P19" s="25">
        <f t="shared" si="7"/>
        <v>1368.9084396469123</v>
      </c>
    </row>
    <row r="20" spans="1:17" x14ac:dyDescent="0.35">
      <c r="B20" s="27">
        <v>100021677</v>
      </c>
      <c r="C20" s="28" t="s">
        <v>30</v>
      </c>
      <c r="D20" s="21">
        <v>7790360967404</v>
      </c>
      <c r="E20" s="22">
        <v>3.3119999999999998</v>
      </c>
      <c r="F20" s="23">
        <v>12</v>
      </c>
      <c r="G20" s="24">
        <v>20252.049375198952</v>
      </c>
      <c r="H20" s="23"/>
      <c r="I20" s="24">
        <f t="shared" si="1"/>
        <v>20252.049375198952</v>
      </c>
      <c r="J20" s="24">
        <f t="shared" si="0"/>
        <v>1687.6707812665793</v>
      </c>
      <c r="K20" s="24">
        <f t="shared" si="2"/>
        <v>354.41086406598163</v>
      </c>
      <c r="L20" s="24">
        <f t="shared" si="3"/>
        <v>2042.081645332561</v>
      </c>
      <c r="M20" s="29">
        <f>+L20*0.33</f>
        <v>673.88694295974517</v>
      </c>
      <c r="N20" s="24">
        <f t="shared" si="5"/>
        <v>2715.9685882923063</v>
      </c>
      <c r="O20" s="24">
        <f t="shared" si="6"/>
        <v>1086.3874353169226</v>
      </c>
      <c r="P20" s="25">
        <f t="shared" si="7"/>
        <v>3802.3560236092289</v>
      </c>
    </row>
    <row r="21" spans="1:17" x14ac:dyDescent="0.35">
      <c r="B21" s="27">
        <v>100021638</v>
      </c>
      <c r="C21" s="28" t="s">
        <v>31</v>
      </c>
      <c r="D21" s="21">
        <v>7790360026699</v>
      </c>
      <c r="E21" s="22">
        <v>4.8</v>
      </c>
      <c r="F21" s="23">
        <v>60</v>
      </c>
      <c r="G21" s="24">
        <v>57514.746978284813</v>
      </c>
      <c r="H21" s="23"/>
      <c r="I21" s="24">
        <f t="shared" si="1"/>
        <v>57514.746978284813</v>
      </c>
      <c r="J21" s="24">
        <f t="shared" si="0"/>
        <v>958.57911630474689</v>
      </c>
      <c r="K21" s="24">
        <f t="shared" si="2"/>
        <v>201.30161442399685</v>
      </c>
      <c r="L21" s="24">
        <f t="shared" si="3"/>
        <v>1159.8807307287439</v>
      </c>
      <c r="M21" s="24">
        <f t="shared" si="4"/>
        <v>347.96421921862316</v>
      </c>
      <c r="N21" s="24">
        <f t="shared" si="5"/>
        <v>1507.844949947367</v>
      </c>
      <c r="O21" s="24">
        <f t="shared" si="6"/>
        <v>603.13797997894687</v>
      </c>
      <c r="P21" s="25">
        <f t="shared" si="7"/>
        <v>2110.9829299263138</v>
      </c>
    </row>
    <row r="22" spans="1:17" x14ac:dyDescent="0.35">
      <c r="B22" s="27">
        <v>100021575</v>
      </c>
      <c r="C22" s="28" t="s">
        <v>32</v>
      </c>
      <c r="D22" s="21">
        <v>7790360007032</v>
      </c>
      <c r="E22" s="22">
        <v>4.1399999999999997</v>
      </c>
      <c r="F22" s="23">
        <v>60</v>
      </c>
      <c r="G22" s="24">
        <v>47171.234939372567</v>
      </c>
      <c r="H22" s="23"/>
      <c r="I22" s="24">
        <f t="shared" si="1"/>
        <v>47171.234939372567</v>
      </c>
      <c r="J22" s="24">
        <f t="shared" si="0"/>
        <v>786.18724898954281</v>
      </c>
      <c r="K22" s="24">
        <f t="shared" si="2"/>
        <v>165.09932228780397</v>
      </c>
      <c r="L22" s="24">
        <f t="shared" si="3"/>
        <v>951.28657127734675</v>
      </c>
      <c r="M22" s="24">
        <f t="shared" si="4"/>
        <v>285.38597138320404</v>
      </c>
      <c r="N22" s="24">
        <f t="shared" si="5"/>
        <v>1236.6725426605508</v>
      </c>
      <c r="O22" s="24">
        <f t="shared" si="6"/>
        <v>494.66901706422033</v>
      </c>
      <c r="P22" s="25">
        <f t="shared" si="7"/>
        <v>1731.3415597247711</v>
      </c>
    </row>
    <row r="23" spans="1:17" x14ac:dyDescent="0.35">
      <c r="B23" s="27">
        <v>100021514</v>
      </c>
      <c r="C23" s="28" t="s">
        <v>33</v>
      </c>
      <c r="D23" s="21">
        <v>7790360006943</v>
      </c>
      <c r="E23" s="22">
        <v>4.1399999999999997</v>
      </c>
      <c r="F23" s="23">
        <v>60</v>
      </c>
      <c r="G23" s="24">
        <v>42925.556352884043</v>
      </c>
      <c r="H23" s="23"/>
      <c r="I23" s="24">
        <f t="shared" si="1"/>
        <v>42925.556352884043</v>
      </c>
      <c r="J23" s="24">
        <f t="shared" si="0"/>
        <v>715.42593921473406</v>
      </c>
      <c r="K23" s="24">
        <f t="shared" si="2"/>
        <v>150.23944723509413</v>
      </c>
      <c r="L23" s="24">
        <f t="shared" si="3"/>
        <v>865.66538644982825</v>
      </c>
      <c r="M23" s="24">
        <f t="shared" si="4"/>
        <v>259.69961593494844</v>
      </c>
      <c r="N23" s="24">
        <f t="shared" si="5"/>
        <v>1125.3650023847767</v>
      </c>
      <c r="O23" s="24">
        <f t="shared" si="6"/>
        <v>450.14600095391074</v>
      </c>
      <c r="P23" s="25">
        <f t="shared" si="7"/>
        <v>1575.5110033386875</v>
      </c>
    </row>
    <row r="24" spans="1:17" x14ac:dyDescent="0.35">
      <c r="B24" s="26">
        <v>100516208</v>
      </c>
      <c r="C24" s="30" t="s">
        <v>34</v>
      </c>
      <c r="D24" s="31">
        <v>7790360968203</v>
      </c>
      <c r="E24" s="22">
        <f>60*0.08</f>
        <v>4.8</v>
      </c>
      <c r="F24" s="23">
        <v>60</v>
      </c>
      <c r="G24" s="24">
        <v>49768.787242496328</v>
      </c>
      <c r="H24" s="23"/>
      <c r="I24" s="24">
        <f t="shared" si="1"/>
        <v>49768.787242496328</v>
      </c>
      <c r="J24" s="24">
        <f t="shared" si="0"/>
        <v>829.47978737493884</v>
      </c>
      <c r="K24" s="24">
        <f t="shared" si="2"/>
        <v>174.19075534873716</v>
      </c>
      <c r="L24" s="24">
        <f t="shared" si="3"/>
        <v>1003.670542723676</v>
      </c>
      <c r="M24" s="24">
        <f t="shared" si="4"/>
        <v>301.10116281710282</v>
      </c>
      <c r="N24" s="24">
        <f t="shared" si="5"/>
        <v>1304.7717055407788</v>
      </c>
      <c r="O24" s="24">
        <f t="shared" si="6"/>
        <v>521.9086822163116</v>
      </c>
      <c r="P24" s="25">
        <f t="shared" si="7"/>
        <v>1826.6803877570906</v>
      </c>
    </row>
    <row r="25" spans="1:17" x14ac:dyDescent="0.35">
      <c r="B25" s="27">
        <v>100518346</v>
      </c>
      <c r="C25" s="28" t="s">
        <v>35</v>
      </c>
      <c r="D25" s="21"/>
      <c r="E25" s="22">
        <v>6.54</v>
      </c>
      <c r="F25" s="23">
        <v>60</v>
      </c>
      <c r="G25" s="24">
        <v>71134.014710137082</v>
      </c>
      <c r="H25" s="23"/>
      <c r="I25" s="24">
        <f t="shared" si="1"/>
        <v>71134.014710137082</v>
      </c>
      <c r="J25" s="24">
        <f t="shared" si="0"/>
        <v>1185.5669118356179</v>
      </c>
      <c r="K25" s="24">
        <f t="shared" si="2"/>
        <v>248.96905148547975</v>
      </c>
      <c r="L25" s="24">
        <f t="shared" si="3"/>
        <v>1434.5359633210976</v>
      </c>
      <c r="M25" s="24">
        <f t="shared" si="4"/>
        <v>430.36078899632929</v>
      </c>
      <c r="N25" s="24">
        <f t="shared" si="5"/>
        <v>1864.8967523174269</v>
      </c>
      <c r="O25" s="24">
        <f t="shared" si="6"/>
        <v>745.95870092697078</v>
      </c>
      <c r="P25" s="25">
        <f t="shared" si="7"/>
        <v>2610.8554532443977</v>
      </c>
    </row>
    <row r="26" spans="1:17" x14ac:dyDescent="0.35">
      <c r="B26" s="27">
        <v>100516259</v>
      </c>
      <c r="C26" s="28" t="s">
        <v>36</v>
      </c>
      <c r="D26" s="21">
        <v>7790360968340</v>
      </c>
      <c r="E26" s="22">
        <v>18.16</v>
      </c>
      <c r="F26" s="23">
        <v>48</v>
      </c>
      <c r="G26" s="24">
        <v>164582.03478779795</v>
      </c>
      <c r="H26" s="23"/>
      <c r="I26" s="24">
        <f t="shared" si="1"/>
        <v>164582.03478779795</v>
      </c>
      <c r="J26" s="24">
        <f t="shared" si="0"/>
        <v>3428.7923914124572</v>
      </c>
      <c r="K26" s="24">
        <f t="shared" si="2"/>
        <v>720.04640219661599</v>
      </c>
      <c r="L26" s="24">
        <f t="shared" si="3"/>
        <v>4148.838793609073</v>
      </c>
      <c r="M26" s="24">
        <f t="shared" si="4"/>
        <v>1244.6516380827218</v>
      </c>
      <c r="N26" s="24">
        <f t="shared" si="5"/>
        <v>5393.4904316917946</v>
      </c>
      <c r="O26" s="24">
        <f t="shared" si="6"/>
        <v>2157.3961726767179</v>
      </c>
      <c r="P26" s="25">
        <f t="shared" si="7"/>
        <v>7550.8866043685121</v>
      </c>
    </row>
    <row r="27" spans="1:17" x14ac:dyDescent="0.35">
      <c r="B27" s="85">
        <v>100518095</v>
      </c>
      <c r="C27" s="28" t="s">
        <v>37</v>
      </c>
      <c r="D27" s="21">
        <v>7790360974785</v>
      </c>
      <c r="E27" s="22">
        <v>6.66</v>
      </c>
      <c r="F27" s="23">
        <v>36</v>
      </c>
      <c r="G27" s="24">
        <v>82002.445181311254</v>
      </c>
      <c r="H27" s="23"/>
      <c r="I27" s="24">
        <f t="shared" si="1"/>
        <v>82002.445181311254</v>
      </c>
      <c r="J27" s="24">
        <f t="shared" si="0"/>
        <v>2277.845699480868</v>
      </c>
      <c r="K27" s="24">
        <f t="shared" si="2"/>
        <v>478.34759689098229</v>
      </c>
      <c r="L27" s="24">
        <f t="shared" si="3"/>
        <v>2756.1932963718505</v>
      </c>
      <c r="M27" s="24">
        <f t="shared" si="4"/>
        <v>826.85798891155514</v>
      </c>
      <c r="N27" s="24">
        <f t="shared" si="5"/>
        <v>3583.0512852834054</v>
      </c>
      <c r="O27" s="24">
        <f t="shared" si="6"/>
        <v>1433.2205141133622</v>
      </c>
      <c r="P27" s="25">
        <f t="shared" si="7"/>
        <v>5016.2717993967672</v>
      </c>
    </row>
    <row r="28" spans="1:17" x14ac:dyDescent="0.35">
      <c r="B28" s="27">
        <v>100518223</v>
      </c>
      <c r="C28" s="28" t="s">
        <v>38</v>
      </c>
      <c r="D28" s="21">
        <v>7790360975065</v>
      </c>
      <c r="E28" s="22">
        <f>60*0.106</f>
        <v>6.3599999999999994</v>
      </c>
      <c r="F28" s="23">
        <v>30</v>
      </c>
      <c r="G28" s="24">
        <v>63843.460820689674</v>
      </c>
      <c r="H28" s="23"/>
      <c r="I28" s="24">
        <f t="shared" si="1"/>
        <v>63843.460820689674</v>
      </c>
      <c r="J28" s="24">
        <f t="shared" si="0"/>
        <v>2128.115360689656</v>
      </c>
      <c r="K28" s="24">
        <f t="shared" si="2"/>
        <v>446.90422574482773</v>
      </c>
      <c r="L28" s="24">
        <f t="shared" si="3"/>
        <v>2575.0195864344837</v>
      </c>
      <c r="M28" s="24">
        <f t="shared" si="4"/>
        <v>772.50587593034504</v>
      </c>
      <c r="N28" s="24">
        <f t="shared" si="5"/>
        <v>3347.5254623648289</v>
      </c>
      <c r="O28" s="24">
        <f t="shared" si="6"/>
        <v>1339.0101849459315</v>
      </c>
      <c r="P28" s="25">
        <f t="shared" si="7"/>
        <v>4686.5356473107604</v>
      </c>
    </row>
    <row r="29" spans="1:17" x14ac:dyDescent="0.35">
      <c r="B29" s="32"/>
      <c r="C29" s="33"/>
      <c r="D29" s="34"/>
      <c r="E29" s="33"/>
      <c r="F29" s="35"/>
      <c r="G29" s="35" t="e">
        <v>#N/A</v>
      </c>
      <c r="H29" s="35"/>
      <c r="I29" s="35"/>
      <c r="J29" s="37" t="e">
        <f t="shared" si="0"/>
        <v>#DIV/0!</v>
      </c>
      <c r="K29" s="38">
        <v>0.21</v>
      </c>
      <c r="L29" s="37"/>
      <c r="M29" s="38">
        <v>0.3</v>
      </c>
      <c r="N29" s="37"/>
      <c r="O29" s="38">
        <v>0.4</v>
      </c>
      <c r="P29" s="39"/>
    </row>
    <row r="30" spans="1:17" hidden="1" x14ac:dyDescent="0.35">
      <c r="B30" s="83">
        <v>100022085</v>
      </c>
      <c r="C30" s="97" t="s">
        <v>39</v>
      </c>
      <c r="D30" s="98">
        <v>7790360000132</v>
      </c>
      <c r="E30" s="99">
        <v>5.4</v>
      </c>
      <c r="F30" s="100">
        <v>24</v>
      </c>
      <c r="G30" s="84" t="e">
        <v>#N/A</v>
      </c>
      <c r="H30" s="102"/>
      <c r="I30" s="84" t="e">
        <f t="shared" si="1"/>
        <v>#N/A</v>
      </c>
      <c r="J30" s="84" t="e">
        <f t="shared" si="0"/>
        <v>#N/A</v>
      </c>
      <c r="K30" s="84" t="e">
        <f t="shared" si="2"/>
        <v>#N/A</v>
      </c>
      <c r="L30" s="84" t="e">
        <f t="shared" si="3"/>
        <v>#N/A</v>
      </c>
      <c r="M30" s="84" t="e">
        <f t="shared" si="4"/>
        <v>#N/A</v>
      </c>
      <c r="N30" s="84" t="e">
        <f t="shared" si="5"/>
        <v>#N/A</v>
      </c>
      <c r="O30" s="84" t="e">
        <f t="shared" si="6"/>
        <v>#N/A</v>
      </c>
      <c r="P30" s="101" t="e">
        <f t="shared" si="7"/>
        <v>#N/A</v>
      </c>
    </row>
    <row r="31" spans="1:17" x14ac:dyDescent="0.35">
      <c r="A31" s="27"/>
      <c r="B31" s="83">
        <v>100522204</v>
      </c>
      <c r="C31" s="97" t="s">
        <v>39</v>
      </c>
      <c r="D31" s="98">
        <v>7790360983947</v>
      </c>
      <c r="E31" s="99">
        <v>5.4</v>
      </c>
      <c r="F31" s="100">
        <v>24</v>
      </c>
      <c r="G31" s="84">
        <v>28064.367816091959</v>
      </c>
      <c r="H31" s="102">
        <v>0.12609999999999999</v>
      </c>
      <c r="I31" s="84">
        <f t="shared" ref="I31" si="8">+G31*(1-H31)</f>
        <v>24525.451034482765</v>
      </c>
      <c r="J31" s="84">
        <f t="shared" ref="J31" si="9">+I31/F31</f>
        <v>1021.8937931034485</v>
      </c>
      <c r="K31" s="84">
        <f t="shared" ref="K31" si="10">+J31*K$3</f>
        <v>214.59769655172417</v>
      </c>
      <c r="L31" s="84">
        <f t="shared" ref="L31" si="11">+J31+K31</f>
        <v>1236.4914896551727</v>
      </c>
      <c r="M31" s="84">
        <f t="shared" ref="M31" si="12">+L31*M$3</f>
        <v>370.94744689655181</v>
      </c>
      <c r="N31" s="84">
        <f t="shared" ref="N31" si="13">+L31+M31</f>
        <v>1607.4389365517245</v>
      </c>
      <c r="O31" s="84">
        <f t="shared" ref="O31" si="14">+N31*O$3</f>
        <v>642.97557462068983</v>
      </c>
      <c r="P31" s="101">
        <f t="shared" si="7"/>
        <v>2250.4145111724142</v>
      </c>
      <c r="Q31" s="245" t="s">
        <v>189</v>
      </c>
    </row>
    <row r="32" spans="1:17" hidden="1" x14ac:dyDescent="0.35">
      <c r="B32" s="83">
        <v>100022072</v>
      </c>
      <c r="C32" s="97" t="s">
        <v>40</v>
      </c>
      <c r="D32" s="98">
        <v>7790360024541</v>
      </c>
      <c r="E32" s="99">
        <v>5.4</v>
      </c>
      <c r="F32" s="100">
        <v>12</v>
      </c>
      <c r="G32" s="84" t="e">
        <v>#N/A</v>
      </c>
      <c r="H32" s="102">
        <v>0.12609999999999999</v>
      </c>
      <c r="I32" s="84" t="e">
        <f t="shared" si="1"/>
        <v>#N/A</v>
      </c>
      <c r="J32" s="84" t="e">
        <f t="shared" si="0"/>
        <v>#N/A</v>
      </c>
      <c r="K32" s="84" t="e">
        <f t="shared" si="2"/>
        <v>#N/A</v>
      </c>
      <c r="L32" s="84" t="e">
        <f t="shared" si="3"/>
        <v>#N/A</v>
      </c>
      <c r="M32" s="84" t="e">
        <f t="shared" si="4"/>
        <v>#N/A</v>
      </c>
      <c r="N32" s="84" t="e">
        <f t="shared" si="5"/>
        <v>#N/A</v>
      </c>
      <c r="O32" s="84" t="e">
        <f t="shared" si="6"/>
        <v>#N/A</v>
      </c>
      <c r="P32" s="101" t="e">
        <f t="shared" si="7"/>
        <v>#N/A</v>
      </c>
      <c r="Q32" s="245" t="s">
        <v>165</v>
      </c>
    </row>
    <row r="33" spans="1:18" x14ac:dyDescent="0.35">
      <c r="A33" s="27"/>
      <c r="B33" s="83">
        <v>100522205</v>
      </c>
      <c r="C33" s="97" t="s">
        <v>40</v>
      </c>
      <c r="D33" s="98">
        <v>7790360983954</v>
      </c>
      <c r="E33" s="99">
        <v>5.4</v>
      </c>
      <c r="F33" s="100">
        <v>12</v>
      </c>
      <c r="G33" s="84">
        <v>26661.14942528736</v>
      </c>
      <c r="H33" s="102">
        <v>0.12609999999999999</v>
      </c>
      <c r="I33" s="84">
        <f t="shared" ref="I33" si="15">+G33*(1-H33)</f>
        <v>23299.178482758623</v>
      </c>
      <c r="J33" s="84">
        <f t="shared" ref="J33" si="16">+I33/F33</f>
        <v>1941.598206896552</v>
      </c>
      <c r="K33" s="84">
        <f t="shared" ref="K33" si="17">+J33*K$3</f>
        <v>407.73562344827593</v>
      </c>
      <c r="L33" s="84">
        <f t="shared" ref="L33" si="18">+J33+K33</f>
        <v>2349.3338303448281</v>
      </c>
      <c r="M33" s="84">
        <f t="shared" ref="M33" si="19">+L33*M$3</f>
        <v>704.80014910344846</v>
      </c>
      <c r="N33" s="84">
        <f t="shared" ref="N33" si="20">+L33+M33</f>
        <v>3054.1339794482765</v>
      </c>
      <c r="O33" s="84">
        <f t="shared" ref="O33" si="21">+N33*O$3</f>
        <v>1221.6535917793105</v>
      </c>
      <c r="P33" s="101">
        <f t="shared" si="7"/>
        <v>4275.7875712275873</v>
      </c>
      <c r="Q33" s="245" t="s">
        <v>190</v>
      </c>
    </row>
    <row r="34" spans="1:18" x14ac:dyDescent="0.35">
      <c r="B34" s="83">
        <v>100516849</v>
      </c>
      <c r="C34" s="97" t="s">
        <v>41</v>
      </c>
      <c r="D34" s="98">
        <v>7790360970053</v>
      </c>
      <c r="E34" s="99">
        <v>4.5599999990400004</v>
      </c>
      <c r="F34" s="100">
        <v>24</v>
      </c>
      <c r="G34" s="84">
        <v>21610.349020689657</v>
      </c>
      <c r="H34" s="102"/>
      <c r="I34" s="84">
        <f t="shared" si="1"/>
        <v>21610.349020689657</v>
      </c>
      <c r="J34" s="84">
        <f t="shared" si="0"/>
        <v>900.4312091954024</v>
      </c>
      <c r="K34" s="84">
        <f t="shared" si="2"/>
        <v>189.09055393103449</v>
      </c>
      <c r="L34" s="84">
        <f t="shared" si="3"/>
        <v>1089.5217631264368</v>
      </c>
      <c r="M34" s="84">
        <f t="shared" si="4"/>
        <v>326.85652893793105</v>
      </c>
      <c r="N34" s="84">
        <f t="shared" si="5"/>
        <v>1416.3782920643678</v>
      </c>
      <c r="O34" s="84">
        <f t="shared" si="6"/>
        <v>566.55131682574711</v>
      </c>
      <c r="P34" s="101">
        <f t="shared" si="7"/>
        <v>1982.9296088901149</v>
      </c>
    </row>
    <row r="35" spans="1:18" x14ac:dyDescent="0.35">
      <c r="B35" s="27">
        <v>100022039</v>
      </c>
      <c r="C35" s="28" t="s">
        <v>42</v>
      </c>
      <c r="D35" s="21">
        <v>7790360007063</v>
      </c>
      <c r="E35" s="22">
        <v>8.6999999999999993</v>
      </c>
      <c r="F35" s="23">
        <v>10</v>
      </c>
      <c r="G35" s="24" t="e">
        <v>#N/A</v>
      </c>
      <c r="H35" s="141"/>
      <c r="I35" s="24" t="e">
        <f t="shared" si="1"/>
        <v>#N/A</v>
      </c>
      <c r="J35" s="24" t="e">
        <f t="shared" si="0"/>
        <v>#N/A</v>
      </c>
      <c r="K35" s="24" t="e">
        <f t="shared" si="2"/>
        <v>#N/A</v>
      </c>
      <c r="L35" s="24" t="e">
        <f t="shared" si="3"/>
        <v>#N/A</v>
      </c>
      <c r="M35" s="24" t="e">
        <f t="shared" si="4"/>
        <v>#N/A</v>
      </c>
      <c r="N35" s="24" t="e">
        <f t="shared" si="5"/>
        <v>#N/A</v>
      </c>
      <c r="O35" s="24" t="e">
        <f t="shared" si="6"/>
        <v>#N/A</v>
      </c>
      <c r="P35" s="25" t="e">
        <f t="shared" si="7"/>
        <v>#N/A</v>
      </c>
    </row>
    <row r="36" spans="1:18" x14ac:dyDescent="0.35">
      <c r="A36" s="27"/>
      <c r="B36" s="27">
        <v>100522206</v>
      </c>
      <c r="C36" s="28" t="s">
        <v>42</v>
      </c>
      <c r="D36" s="21">
        <v>7790360983961</v>
      </c>
      <c r="E36" s="22">
        <v>8.6999999999999993</v>
      </c>
      <c r="F36" s="23">
        <v>10</v>
      </c>
      <c r="G36" s="24">
        <v>70553.810822661879</v>
      </c>
      <c r="H36" s="141"/>
      <c r="I36" s="24">
        <f t="shared" ref="I36" si="22">+G36*(1-H36)</f>
        <v>70553.810822661879</v>
      </c>
      <c r="J36" s="24">
        <f t="shared" ref="J36" si="23">+I36/F36</f>
        <v>7055.3810822661881</v>
      </c>
      <c r="K36" s="24">
        <f t="shared" ref="K36" si="24">+J36*K$3</f>
        <v>1481.6300272758995</v>
      </c>
      <c r="L36" s="24">
        <f t="shared" ref="L36" si="25">+J36+K36</f>
        <v>8537.0111095420871</v>
      </c>
      <c r="M36" s="24">
        <f t="shared" ref="M36" si="26">+L36*M$3</f>
        <v>2561.1033328626258</v>
      </c>
      <c r="N36" s="24">
        <f t="shared" ref="N36" si="27">+L36+M36</f>
        <v>11098.114442404712</v>
      </c>
      <c r="O36" s="24">
        <f t="shared" ref="O36" si="28">+N36*O$3</f>
        <v>4439.245776961885</v>
      </c>
      <c r="P36" s="25">
        <f t="shared" si="7"/>
        <v>15537.360219366597</v>
      </c>
    </row>
    <row r="37" spans="1:18" x14ac:dyDescent="0.35">
      <c r="B37" s="27">
        <v>100022058</v>
      </c>
      <c r="C37" s="28" t="s">
        <v>43</v>
      </c>
      <c r="D37" s="21">
        <v>7790360026002</v>
      </c>
      <c r="E37" s="22">
        <v>4.5599999990400004</v>
      </c>
      <c r="F37" s="23">
        <v>24</v>
      </c>
      <c r="G37" s="24">
        <v>18230.045816252721</v>
      </c>
      <c r="H37" s="141"/>
      <c r="I37" s="24">
        <f t="shared" si="1"/>
        <v>18230.045816252721</v>
      </c>
      <c r="J37" s="24">
        <f t="shared" si="0"/>
        <v>759.58524234386334</v>
      </c>
      <c r="K37" s="24">
        <f t="shared" si="2"/>
        <v>159.51290089221129</v>
      </c>
      <c r="L37" s="24">
        <f t="shared" si="3"/>
        <v>919.09814323607463</v>
      </c>
      <c r="M37" s="24">
        <f>+L37*0.33</f>
        <v>303.30238726790463</v>
      </c>
      <c r="N37" s="24">
        <f t="shared" si="5"/>
        <v>1222.4005305039793</v>
      </c>
      <c r="O37" s="24">
        <f t="shared" si="6"/>
        <v>488.96021220159173</v>
      </c>
      <c r="P37" s="25">
        <f t="shared" si="7"/>
        <v>1711.3607427055711</v>
      </c>
      <c r="R37" s="1"/>
    </row>
    <row r="38" spans="1:18" x14ac:dyDescent="0.35">
      <c r="B38" s="27">
        <v>100518151</v>
      </c>
      <c r="C38" s="28" t="s">
        <v>44</v>
      </c>
      <c r="D38" s="21">
        <v>7790360974990</v>
      </c>
      <c r="E38" s="22">
        <v>8.6999999999999993</v>
      </c>
      <c r="F38" s="23">
        <v>10</v>
      </c>
      <c r="G38" s="24">
        <v>80378.593825069882</v>
      </c>
      <c r="H38" s="23"/>
      <c r="I38" s="24">
        <f t="shared" si="1"/>
        <v>80378.593825069882</v>
      </c>
      <c r="J38" s="24">
        <f t="shared" si="0"/>
        <v>8037.8593825069884</v>
      </c>
      <c r="K38" s="24">
        <f t="shared" si="2"/>
        <v>1687.9504703264674</v>
      </c>
      <c r="L38" s="24">
        <f t="shared" si="3"/>
        <v>9725.8098528334558</v>
      </c>
      <c r="M38" s="24">
        <f>+L38*0.33</f>
        <v>3209.5172514350406</v>
      </c>
      <c r="N38" s="24">
        <f t="shared" si="5"/>
        <v>12935.327104268497</v>
      </c>
      <c r="O38" s="24">
        <f t="shared" si="6"/>
        <v>5174.1308417073997</v>
      </c>
      <c r="P38" s="25">
        <f t="shared" si="7"/>
        <v>18109.457945975897</v>
      </c>
    </row>
    <row r="39" spans="1:18" x14ac:dyDescent="0.35">
      <c r="B39" s="32"/>
      <c r="C39" s="33"/>
      <c r="D39" s="34"/>
      <c r="E39" s="33"/>
      <c r="F39" s="35"/>
      <c r="G39" s="35" t="e">
        <v>#N/A</v>
      </c>
      <c r="H39" s="35"/>
      <c r="I39" s="35"/>
      <c r="J39" s="37" t="e">
        <f t="shared" ref="J39:J76" si="29">+I39/F39</f>
        <v>#DIV/0!</v>
      </c>
      <c r="K39" s="38">
        <v>0.21</v>
      </c>
      <c r="L39" s="37"/>
      <c r="M39" s="38">
        <v>0.2</v>
      </c>
      <c r="N39" s="37"/>
      <c r="O39" s="38">
        <v>0.35</v>
      </c>
      <c r="P39" s="39"/>
    </row>
    <row r="40" spans="1:18" x14ac:dyDescent="0.35">
      <c r="B40" s="83">
        <v>100021000</v>
      </c>
      <c r="C40" s="97" t="s">
        <v>45</v>
      </c>
      <c r="D40" s="98">
        <v>7790360720382</v>
      </c>
      <c r="E40" s="99">
        <v>2.16</v>
      </c>
      <c r="F40" s="100">
        <v>24</v>
      </c>
      <c r="G40" s="84">
        <v>14971.426133159293</v>
      </c>
      <c r="H40" s="102"/>
      <c r="I40" s="84">
        <f t="shared" ref="I40:I58" si="30">+G40*(1-H40)</f>
        <v>14971.426133159293</v>
      </c>
      <c r="J40" s="84">
        <f t="shared" si="29"/>
        <v>623.8094222149706</v>
      </c>
      <c r="K40" s="84">
        <f t="shared" si="2"/>
        <v>130.99997866514383</v>
      </c>
      <c r="L40" s="84">
        <f t="shared" si="3"/>
        <v>754.80940088011448</v>
      </c>
      <c r="M40" s="84">
        <f>+L40*M$39</f>
        <v>150.9618801760229</v>
      </c>
      <c r="N40" s="84">
        <f t="shared" si="5"/>
        <v>905.77128105613735</v>
      </c>
      <c r="O40" s="84">
        <f>+N40*O$39</f>
        <v>317.01994836964803</v>
      </c>
      <c r="P40" s="101">
        <f t="shared" si="7"/>
        <v>1222.7912294257853</v>
      </c>
    </row>
    <row r="41" spans="1:18" x14ac:dyDescent="0.35">
      <c r="B41" s="83">
        <v>100021001</v>
      </c>
      <c r="C41" s="97" t="s">
        <v>46</v>
      </c>
      <c r="D41" s="98">
        <v>7790360720115</v>
      </c>
      <c r="E41" s="99">
        <v>2.16</v>
      </c>
      <c r="F41" s="100">
        <v>24</v>
      </c>
      <c r="G41" s="84">
        <v>14971.426133159293</v>
      </c>
      <c r="H41" s="102"/>
      <c r="I41" s="84">
        <f t="shared" si="30"/>
        <v>14971.426133159293</v>
      </c>
      <c r="J41" s="84">
        <f t="shared" si="29"/>
        <v>623.8094222149706</v>
      </c>
      <c r="K41" s="84">
        <f t="shared" si="2"/>
        <v>130.99997866514383</v>
      </c>
      <c r="L41" s="84">
        <f t="shared" si="3"/>
        <v>754.80940088011448</v>
      </c>
      <c r="M41" s="84">
        <f t="shared" ref="M41:M56" si="31">+L41*M$39</f>
        <v>150.9618801760229</v>
      </c>
      <c r="N41" s="84">
        <f t="shared" si="5"/>
        <v>905.77128105613735</v>
      </c>
      <c r="O41" s="84">
        <f t="shared" ref="O41:O56" si="32">+N41*O$39</f>
        <v>317.01994836964803</v>
      </c>
      <c r="P41" s="101">
        <f t="shared" si="7"/>
        <v>1222.7912294257853</v>
      </c>
    </row>
    <row r="42" spans="1:18" x14ac:dyDescent="0.35">
      <c r="A42" s="85"/>
      <c r="B42" s="211">
        <v>100522277</v>
      </c>
      <c r="C42" s="97" t="s">
        <v>146</v>
      </c>
      <c r="D42" s="98"/>
      <c r="E42" s="99">
        <v>2.16</v>
      </c>
      <c r="F42" s="100">
        <v>24</v>
      </c>
      <c r="G42" s="84">
        <v>14971.426133159293</v>
      </c>
      <c r="H42" s="102"/>
      <c r="I42" s="84">
        <f t="shared" ref="I42:I43" si="33">+G42*(1-H42)</f>
        <v>14971.426133159293</v>
      </c>
      <c r="J42" s="84">
        <f t="shared" ref="J42:J43" si="34">+I42/F42</f>
        <v>623.8094222149706</v>
      </c>
      <c r="K42" s="84">
        <f t="shared" ref="K42:K43" si="35">+J42*K$3</f>
        <v>130.99997866514383</v>
      </c>
      <c r="L42" s="84">
        <f t="shared" ref="L42:L43" si="36">+J42+K42</f>
        <v>754.80940088011448</v>
      </c>
      <c r="M42" s="84">
        <f t="shared" ref="M42:M43" si="37">+L42*M$39</f>
        <v>150.9618801760229</v>
      </c>
      <c r="N42" s="84">
        <f t="shared" ref="N42:N43" si="38">+L42+M42</f>
        <v>905.77128105613735</v>
      </c>
      <c r="O42" s="84">
        <f t="shared" ref="O42:O43" si="39">+N42*O$39</f>
        <v>317.01994836964803</v>
      </c>
      <c r="P42" s="101">
        <f t="shared" si="7"/>
        <v>1222.7912294257853</v>
      </c>
    </row>
    <row r="43" spans="1:18" x14ac:dyDescent="0.35">
      <c r="A43" s="85"/>
      <c r="B43" s="211">
        <v>100522333</v>
      </c>
      <c r="C43" s="97" t="s">
        <v>147</v>
      </c>
      <c r="D43" s="98"/>
      <c r="E43" s="99">
        <v>2.16</v>
      </c>
      <c r="F43" s="100">
        <v>24</v>
      </c>
      <c r="G43" s="84">
        <v>14971.426133159293</v>
      </c>
      <c r="H43" s="102"/>
      <c r="I43" s="84">
        <f t="shared" si="33"/>
        <v>14971.426133159293</v>
      </c>
      <c r="J43" s="84">
        <f t="shared" si="34"/>
        <v>623.8094222149706</v>
      </c>
      <c r="K43" s="84">
        <f t="shared" si="35"/>
        <v>130.99997866514383</v>
      </c>
      <c r="L43" s="84">
        <f t="shared" si="36"/>
        <v>754.80940088011448</v>
      </c>
      <c r="M43" s="84">
        <f t="shared" si="37"/>
        <v>150.9618801760229</v>
      </c>
      <c r="N43" s="84">
        <f t="shared" si="38"/>
        <v>905.77128105613735</v>
      </c>
      <c r="O43" s="84">
        <f t="shared" si="39"/>
        <v>317.01994836964803</v>
      </c>
      <c r="P43" s="101">
        <f t="shared" si="7"/>
        <v>1222.7912294257853</v>
      </c>
    </row>
    <row r="44" spans="1:18" x14ac:dyDescent="0.35">
      <c r="B44" s="83">
        <v>100021045</v>
      </c>
      <c r="C44" s="97" t="s">
        <v>47</v>
      </c>
      <c r="D44" s="98">
        <v>7790360966582</v>
      </c>
      <c r="E44" s="99">
        <v>2.16</v>
      </c>
      <c r="F44" s="100">
        <v>24</v>
      </c>
      <c r="G44" s="84">
        <v>14971.426133159292</v>
      </c>
      <c r="H44" s="102"/>
      <c r="I44" s="84">
        <f t="shared" si="30"/>
        <v>14971.426133159292</v>
      </c>
      <c r="J44" s="84">
        <f t="shared" si="29"/>
        <v>623.80942221497048</v>
      </c>
      <c r="K44" s="84">
        <f t="shared" si="2"/>
        <v>130.9999786651438</v>
      </c>
      <c r="L44" s="84">
        <f t="shared" si="3"/>
        <v>754.80940088011425</v>
      </c>
      <c r="M44" s="84">
        <f t="shared" si="31"/>
        <v>150.96188017602285</v>
      </c>
      <c r="N44" s="84">
        <f t="shared" si="5"/>
        <v>905.77128105613713</v>
      </c>
      <c r="O44" s="84">
        <f t="shared" si="32"/>
        <v>317.01994836964798</v>
      </c>
      <c r="P44" s="101">
        <f t="shared" si="7"/>
        <v>1222.7912294257851</v>
      </c>
    </row>
    <row r="45" spans="1:18" x14ac:dyDescent="0.35">
      <c r="B45" s="83">
        <v>100021004</v>
      </c>
      <c r="C45" s="97" t="s">
        <v>48</v>
      </c>
      <c r="D45" s="98">
        <v>7790360964526</v>
      </c>
      <c r="E45" s="99">
        <v>2.1120000000000001</v>
      </c>
      <c r="F45" s="100">
        <v>24</v>
      </c>
      <c r="G45" s="84">
        <v>14971.426133159292</v>
      </c>
      <c r="H45" s="102"/>
      <c r="I45" s="84">
        <f t="shared" si="30"/>
        <v>14971.426133159292</v>
      </c>
      <c r="J45" s="84">
        <f t="shared" si="29"/>
        <v>623.80942221497048</v>
      </c>
      <c r="K45" s="84">
        <f t="shared" si="2"/>
        <v>130.9999786651438</v>
      </c>
      <c r="L45" s="84">
        <f t="shared" si="3"/>
        <v>754.80940088011425</v>
      </c>
      <c r="M45" s="84">
        <f t="shared" si="31"/>
        <v>150.96188017602285</v>
      </c>
      <c r="N45" s="84">
        <f t="shared" si="5"/>
        <v>905.77128105613713</v>
      </c>
      <c r="O45" s="84">
        <f t="shared" si="32"/>
        <v>317.01994836964798</v>
      </c>
      <c r="P45" s="101">
        <f t="shared" si="7"/>
        <v>1222.7912294257851</v>
      </c>
    </row>
    <row r="46" spans="1:18" x14ac:dyDescent="0.35">
      <c r="B46" s="83">
        <v>100021006</v>
      </c>
      <c r="C46" s="97" t="s">
        <v>49</v>
      </c>
      <c r="D46" s="98">
        <v>7790360964557</v>
      </c>
      <c r="E46" s="99">
        <v>2.1120000000000001</v>
      </c>
      <c r="F46" s="100">
        <v>24</v>
      </c>
      <c r="G46" s="84">
        <v>14971.426133159292</v>
      </c>
      <c r="H46" s="102"/>
      <c r="I46" s="84">
        <f t="shared" si="30"/>
        <v>14971.426133159292</v>
      </c>
      <c r="J46" s="84">
        <f t="shared" si="29"/>
        <v>623.80942221497048</v>
      </c>
      <c r="K46" s="84">
        <f t="shared" si="2"/>
        <v>130.9999786651438</v>
      </c>
      <c r="L46" s="84">
        <f t="shared" si="3"/>
        <v>754.80940088011425</v>
      </c>
      <c r="M46" s="84">
        <f t="shared" si="31"/>
        <v>150.96188017602285</v>
      </c>
      <c r="N46" s="84">
        <f t="shared" si="5"/>
        <v>905.77128105613713</v>
      </c>
      <c r="O46" s="84">
        <f t="shared" si="32"/>
        <v>317.01994836964798</v>
      </c>
      <c r="P46" s="101">
        <f t="shared" si="7"/>
        <v>1222.7912294257851</v>
      </c>
    </row>
    <row r="47" spans="1:18" x14ac:dyDescent="0.35">
      <c r="B47" s="83">
        <v>100021007</v>
      </c>
      <c r="C47" s="97" t="s">
        <v>50</v>
      </c>
      <c r="D47" s="98">
        <v>7790360964540</v>
      </c>
      <c r="E47" s="99">
        <v>2.04</v>
      </c>
      <c r="F47" s="100">
        <v>24</v>
      </c>
      <c r="G47" s="84">
        <v>17901.639344262298</v>
      </c>
      <c r="H47" s="102"/>
      <c r="I47" s="84">
        <f t="shared" si="30"/>
        <v>17901.639344262298</v>
      </c>
      <c r="J47" s="84">
        <f t="shared" si="29"/>
        <v>745.90163934426243</v>
      </c>
      <c r="K47" s="84">
        <f t="shared" si="2"/>
        <v>156.63934426229511</v>
      </c>
      <c r="L47" s="84">
        <f t="shared" si="3"/>
        <v>902.54098360655757</v>
      </c>
      <c r="M47" s="84">
        <f t="shared" si="31"/>
        <v>180.50819672131152</v>
      </c>
      <c r="N47" s="84">
        <f t="shared" si="5"/>
        <v>1083.0491803278692</v>
      </c>
      <c r="O47" s="84">
        <f t="shared" si="32"/>
        <v>379.06721311475417</v>
      </c>
      <c r="P47" s="101">
        <f t="shared" si="7"/>
        <v>1462.1163934426233</v>
      </c>
    </row>
    <row r="48" spans="1:18" x14ac:dyDescent="0.35">
      <c r="B48" s="83">
        <v>100021013</v>
      </c>
      <c r="C48" s="97" t="s">
        <v>51</v>
      </c>
      <c r="D48" s="98">
        <v>7790360965714</v>
      </c>
      <c r="E48" s="99">
        <v>2.04</v>
      </c>
      <c r="F48" s="100">
        <v>24</v>
      </c>
      <c r="G48" s="84">
        <v>17901.639344262298</v>
      </c>
      <c r="H48" s="102"/>
      <c r="I48" s="84">
        <f t="shared" si="30"/>
        <v>17901.639344262298</v>
      </c>
      <c r="J48" s="84">
        <f t="shared" si="29"/>
        <v>745.90163934426243</v>
      </c>
      <c r="K48" s="84">
        <f t="shared" si="2"/>
        <v>156.63934426229511</v>
      </c>
      <c r="L48" s="84">
        <f t="shared" si="3"/>
        <v>902.54098360655757</v>
      </c>
      <c r="M48" s="84">
        <f t="shared" si="31"/>
        <v>180.50819672131152</v>
      </c>
      <c r="N48" s="84">
        <f t="shared" si="5"/>
        <v>1083.0491803278692</v>
      </c>
      <c r="O48" s="84">
        <f t="shared" si="32"/>
        <v>379.06721311475417</v>
      </c>
      <c r="P48" s="101">
        <f t="shared" si="7"/>
        <v>1462.1163934426233</v>
      </c>
    </row>
    <row r="49" spans="2:16" x14ac:dyDescent="0.35">
      <c r="B49" s="83">
        <v>100021014</v>
      </c>
      <c r="C49" s="97" t="s">
        <v>52</v>
      </c>
      <c r="D49" s="98">
        <v>7790360965721</v>
      </c>
      <c r="E49" s="99">
        <v>2.04</v>
      </c>
      <c r="F49" s="100">
        <v>24</v>
      </c>
      <c r="G49" s="84">
        <v>17901.639344262298</v>
      </c>
      <c r="H49" s="102"/>
      <c r="I49" s="84">
        <f t="shared" si="30"/>
        <v>17901.639344262298</v>
      </c>
      <c r="J49" s="84">
        <f t="shared" si="29"/>
        <v>745.90163934426243</v>
      </c>
      <c r="K49" s="84">
        <f t="shared" si="2"/>
        <v>156.63934426229511</v>
      </c>
      <c r="L49" s="84">
        <f t="shared" si="3"/>
        <v>902.54098360655757</v>
      </c>
      <c r="M49" s="84">
        <f t="shared" si="31"/>
        <v>180.50819672131152</v>
      </c>
      <c r="N49" s="84">
        <f t="shared" si="5"/>
        <v>1083.0491803278692</v>
      </c>
      <c r="O49" s="84">
        <f t="shared" si="32"/>
        <v>379.06721311475417</v>
      </c>
      <c r="P49" s="101">
        <f t="shared" si="7"/>
        <v>1462.1163934426233</v>
      </c>
    </row>
    <row r="50" spans="2:16" x14ac:dyDescent="0.35">
      <c r="B50" s="83">
        <v>100021054</v>
      </c>
      <c r="C50" s="97" t="s">
        <v>53</v>
      </c>
      <c r="D50" s="98">
        <v>7790360965707</v>
      </c>
      <c r="E50" s="99">
        <v>2.04</v>
      </c>
      <c r="F50" s="100">
        <v>24</v>
      </c>
      <c r="G50" s="84">
        <v>17901.639344262298</v>
      </c>
      <c r="H50" s="102"/>
      <c r="I50" s="84">
        <f t="shared" si="30"/>
        <v>17901.639344262298</v>
      </c>
      <c r="J50" s="84">
        <f t="shared" si="29"/>
        <v>745.90163934426243</v>
      </c>
      <c r="K50" s="84">
        <f t="shared" si="2"/>
        <v>156.63934426229511</v>
      </c>
      <c r="L50" s="84">
        <f t="shared" si="3"/>
        <v>902.54098360655757</v>
      </c>
      <c r="M50" s="84">
        <f t="shared" si="31"/>
        <v>180.50819672131152</v>
      </c>
      <c r="N50" s="84">
        <f t="shared" si="5"/>
        <v>1083.0491803278692</v>
      </c>
      <c r="O50" s="84">
        <f t="shared" si="32"/>
        <v>379.06721311475417</v>
      </c>
      <c r="P50" s="101">
        <f t="shared" si="7"/>
        <v>1462.1163934426233</v>
      </c>
    </row>
    <row r="51" spans="2:16" x14ac:dyDescent="0.35">
      <c r="B51" s="83">
        <v>100021055</v>
      </c>
      <c r="C51" s="97" t="s">
        <v>54</v>
      </c>
      <c r="D51" s="98">
        <v>7790360965189</v>
      </c>
      <c r="E51" s="99">
        <v>2.04</v>
      </c>
      <c r="F51" s="100">
        <v>24</v>
      </c>
      <c r="G51" s="84">
        <v>17901.639344262298</v>
      </c>
      <c r="H51" s="102"/>
      <c r="I51" s="84">
        <f t="shared" si="30"/>
        <v>17901.639344262298</v>
      </c>
      <c r="J51" s="84">
        <f t="shared" si="29"/>
        <v>745.90163934426243</v>
      </c>
      <c r="K51" s="84">
        <f t="shared" si="2"/>
        <v>156.63934426229511</v>
      </c>
      <c r="L51" s="84">
        <f t="shared" si="3"/>
        <v>902.54098360655757</v>
      </c>
      <c r="M51" s="84">
        <f t="shared" si="31"/>
        <v>180.50819672131152</v>
      </c>
      <c r="N51" s="84">
        <f t="shared" si="5"/>
        <v>1083.0491803278692</v>
      </c>
      <c r="O51" s="84">
        <f t="shared" si="32"/>
        <v>379.06721311475417</v>
      </c>
      <c r="P51" s="101">
        <f t="shared" si="7"/>
        <v>1462.1163934426233</v>
      </c>
    </row>
    <row r="52" spans="2:16" x14ac:dyDescent="0.35">
      <c r="B52" s="83">
        <v>100021015</v>
      </c>
      <c r="C52" s="97" t="s">
        <v>55</v>
      </c>
      <c r="D52" s="98">
        <v>7790360965202</v>
      </c>
      <c r="E52" s="99">
        <v>2.04</v>
      </c>
      <c r="F52" s="100">
        <v>24</v>
      </c>
      <c r="G52" s="84">
        <v>17901.639344262298</v>
      </c>
      <c r="H52" s="102"/>
      <c r="I52" s="84">
        <f t="shared" si="30"/>
        <v>17901.639344262298</v>
      </c>
      <c r="J52" s="84">
        <f t="shared" si="29"/>
        <v>745.90163934426243</v>
      </c>
      <c r="K52" s="84">
        <f t="shared" si="2"/>
        <v>156.63934426229511</v>
      </c>
      <c r="L52" s="84">
        <f t="shared" si="3"/>
        <v>902.54098360655757</v>
      </c>
      <c r="M52" s="84">
        <f t="shared" si="31"/>
        <v>180.50819672131152</v>
      </c>
      <c r="N52" s="84">
        <f t="shared" si="5"/>
        <v>1083.0491803278692</v>
      </c>
      <c r="O52" s="84">
        <f t="shared" si="32"/>
        <v>379.06721311475417</v>
      </c>
      <c r="P52" s="101">
        <f t="shared" si="7"/>
        <v>1462.1163934426233</v>
      </c>
    </row>
    <row r="53" spans="2:16" x14ac:dyDescent="0.35">
      <c r="B53" s="83">
        <v>100021008</v>
      </c>
      <c r="C53" s="97" t="s">
        <v>56</v>
      </c>
      <c r="D53" s="98">
        <v>7790360720122</v>
      </c>
      <c r="E53" s="99">
        <v>2.16</v>
      </c>
      <c r="F53" s="100">
        <v>24</v>
      </c>
      <c r="G53" s="84">
        <v>12068.107619965038</v>
      </c>
      <c r="H53" s="102"/>
      <c r="I53" s="84">
        <f t="shared" si="30"/>
        <v>12068.107619965038</v>
      </c>
      <c r="J53" s="84">
        <f t="shared" si="29"/>
        <v>502.83781749854325</v>
      </c>
      <c r="K53" s="84">
        <f t="shared" si="2"/>
        <v>105.59594167469407</v>
      </c>
      <c r="L53" s="84">
        <f t="shared" si="3"/>
        <v>608.43375917323738</v>
      </c>
      <c r="M53" s="84">
        <f t="shared" si="31"/>
        <v>121.68675183464748</v>
      </c>
      <c r="N53" s="84">
        <f t="shared" si="5"/>
        <v>730.12051100788483</v>
      </c>
      <c r="O53" s="84">
        <f t="shared" si="32"/>
        <v>255.54217885275966</v>
      </c>
      <c r="P53" s="101">
        <f t="shared" si="7"/>
        <v>985.66268986064449</v>
      </c>
    </row>
    <row r="54" spans="2:16" x14ac:dyDescent="0.35">
      <c r="B54" s="83">
        <v>100021009</v>
      </c>
      <c r="C54" s="97" t="s">
        <v>57</v>
      </c>
      <c r="D54" s="98">
        <v>7790360965127</v>
      </c>
      <c r="E54" s="99">
        <v>2.16</v>
      </c>
      <c r="F54" s="100">
        <v>24</v>
      </c>
      <c r="G54" s="84">
        <v>12068.107619965038</v>
      </c>
      <c r="H54" s="102"/>
      <c r="I54" s="84">
        <f t="shared" si="30"/>
        <v>12068.107619965038</v>
      </c>
      <c r="J54" s="84">
        <f t="shared" si="29"/>
        <v>502.83781749854325</v>
      </c>
      <c r="K54" s="84">
        <f t="shared" si="2"/>
        <v>105.59594167469407</v>
      </c>
      <c r="L54" s="84">
        <f t="shared" si="3"/>
        <v>608.43375917323738</v>
      </c>
      <c r="M54" s="84">
        <f t="shared" si="31"/>
        <v>121.68675183464748</v>
      </c>
      <c r="N54" s="84">
        <f t="shared" si="5"/>
        <v>730.12051100788483</v>
      </c>
      <c r="O54" s="84">
        <f t="shared" si="32"/>
        <v>255.54217885275966</v>
      </c>
      <c r="P54" s="101">
        <f t="shared" si="7"/>
        <v>985.66268986064449</v>
      </c>
    </row>
    <row r="55" spans="2:16" x14ac:dyDescent="0.35">
      <c r="B55" s="27">
        <v>100021010</v>
      </c>
      <c r="C55" s="28" t="s">
        <v>58</v>
      </c>
      <c r="D55" s="21">
        <v>7790920008707</v>
      </c>
      <c r="E55" s="22">
        <v>2.16</v>
      </c>
      <c r="F55" s="23">
        <v>24</v>
      </c>
      <c r="G55" s="24">
        <v>12068.107619965038</v>
      </c>
      <c r="H55" s="23"/>
      <c r="I55" s="24">
        <f t="shared" si="30"/>
        <v>12068.107619965038</v>
      </c>
      <c r="J55" s="24">
        <f t="shared" si="29"/>
        <v>502.83781749854325</v>
      </c>
      <c r="K55" s="24">
        <f t="shared" si="2"/>
        <v>105.59594167469407</v>
      </c>
      <c r="L55" s="24">
        <f t="shared" si="3"/>
        <v>608.43375917323738</v>
      </c>
      <c r="M55" s="24">
        <f t="shared" si="31"/>
        <v>121.68675183464748</v>
      </c>
      <c r="N55" s="24">
        <f t="shared" si="5"/>
        <v>730.12051100788483</v>
      </c>
      <c r="O55" s="24">
        <f t="shared" si="32"/>
        <v>255.54217885275966</v>
      </c>
      <c r="P55" s="25">
        <f t="shared" si="7"/>
        <v>985.66268986064449</v>
      </c>
    </row>
    <row r="56" spans="2:16" x14ac:dyDescent="0.35">
      <c r="B56" s="27">
        <v>100021011</v>
      </c>
      <c r="C56" s="28" t="s">
        <v>59</v>
      </c>
      <c r="D56" s="21">
        <v>7790920008714</v>
      </c>
      <c r="E56" s="22">
        <v>2.16</v>
      </c>
      <c r="F56" s="23">
        <v>24</v>
      </c>
      <c r="G56" s="24">
        <v>12068.107619965038</v>
      </c>
      <c r="H56" s="23"/>
      <c r="I56" s="24">
        <f t="shared" si="30"/>
        <v>12068.107619965038</v>
      </c>
      <c r="J56" s="24">
        <f t="shared" si="29"/>
        <v>502.83781749854325</v>
      </c>
      <c r="K56" s="24">
        <f t="shared" si="2"/>
        <v>105.59594167469407</v>
      </c>
      <c r="L56" s="24">
        <f t="shared" si="3"/>
        <v>608.43375917323738</v>
      </c>
      <c r="M56" s="24">
        <f t="shared" si="31"/>
        <v>121.68675183464748</v>
      </c>
      <c r="N56" s="24">
        <f t="shared" si="5"/>
        <v>730.12051100788483</v>
      </c>
      <c r="O56" s="24">
        <f t="shared" si="32"/>
        <v>255.54217885275966</v>
      </c>
      <c r="P56" s="25">
        <f t="shared" si="7"/>
        <v>985.66268986064449</v>
      </c>
    </row>
    <row r="57" spans="2:16" x14ac:dyDescent="0.35">
      <c r="B57" s="32"/>
      <c r="C57" s="33"/>
      <c r="D57" s="34"/>
      <c r="E57" s="33"/>
      <c r="F57" s="35"/>
      <c r="G57" s="35" t="e">
        <v>#N/A</v>
      </c>
      <c r="H57" s="35"/>
      <c r="I57" s="35"/>
      <c r="J57" s="37" t="e">
        <f t="shared" si="29"/>
        <v>#DIV/0!</v>
      </c>
      <c r="K57" s="38">
        <v>0.21</v>
      </c>
      <c r="L57" s="37"/>
      <c r="M57" s="38">
        <v>0.3</v>
      </c>
      <c r="N57" s="37"/>
      <c r="O57" s="38">
        <v>0.4</v>
      </c>
      <c r="P57" s="39"/>
    </row>
    <row r="58" spans="2:16" x14ac:dyDescent="0.35">
      <c r="B58" s="83">
        <v>100516217</v>
      </c>
      <c r="C58" s="97" t="s">
        <v>60</v>
      </c>
      <c r="D58" s="98">
        <v>7790360967824</v>
      </c>
      <c r="E58" s="99">
        <v>5.8</v>
      </c>
      <c r="F58" s="100">
        <v>20</v>
      </c>
      <c r="G58" s="84">
        <v>28398.276388830345</v>
      </c>
      <c r="H58" s="96"/>
      <c r="I58" s="84">
        <f t="shared" si="30"/>
        <v>28398.276388830345</v>
      </c>
      <c r="J58" s="84">
        <f t="shared" si="29"/>
        <v>1419.9138194415173</v>
      </c>
      <c r="K58" s="84">
        <f t="shared" si="2"/>
        <v>298.18190208271864</v>
      </c>
      <c r="L58" s="84">
        <f t="shared" si="3"/>
        <v>1718.0957215242358</v>
      </c>
      <c r="M58" s="84">
        <f t="shared" si="4"/>
        <v>515.42871645727075</v>
      </c>
      <c r="N58" s="84">
        <f t="shared" si="5"/>
        <v>2233.5244379815067</v>
      </c>
      <c r="O58" s="84">
        <f t="shared" si="6"/>
        <v>893.40977519260275</v>
      </c>
      <c r="P58" s="101">
        <f t="shared" si="7"/>
        <v>3126.9342131741096</v>
      </c>
    </row>
    <row r="59" spans="2:16" x14ac:dyDescent="0.35">
      <c r="B59" s="83">
        <v>100516214</v>
      </c>
      <c r="C59" s="97" t="s">
        <v>61</v>
      </c>
      <c r="D59" s="98">
        <v>7790360967794</v>
      </c>
      <c r="E59" s="99">
        <v>7</v>
      </c>
      <c r="F59" s="100">
        <v>20</v>
      </c>
      <c r="G59" s="84">
        <v>37765.052897000001</v>
      </c>
      <c r="H59" s="96"/>
      <c r="I59" s="84">
        <f t="shared" ref="I59:I100" si="40">+G59*(1-H59)</f>
        <v>37765.052897000001</v>
      </c>
      <c r="J59" s="84">
        <f t="shared" si="29"/>
        <v>1888.25264485</v>
      </c>
      <c r="K59" s="84">
        <f t="shared" si="2"/>
        <v>396.5330554185</v>
      </c>
      <c r="L59" s="84">
        <f t="shared" si="3"/>
        <v>2284.7857002685</v>
      </c>
      <c r="M59" s="84">
        <f t="shared" si="4"/>
        <v>685.43571008054994</v>
      </c>
      <c r="N59" s="84">
        <f t="shared" si="5"/>
        <v>2970.2214103490501</v>
      </c>
      <c r="O59" s="84">
        <f t="shared" si="6"/>
        <v>1188.0885641396201</v>
      </c>
      <c r="P59" s="101">
        <f t="shared" si="7"/>
        <v>4158.3099744886704</v>
      </c>
    </row>
    <row r="60" spans="2:16" x14ac:dyDescent="0.35">
      <c r="B60" s="83">
        <v>100516215</v>
      </c>
      <c r="C60" s="97" t="s">
        <v>62</v>
      </c>
      <c r="D60" s="98">
        <v>7790360967800</v>
      </c>
      <c r="E60" s="99">
        <v>7</v>
      </c>
      <c r="F60" s="100">
        <v>20</v>
      </c>
      <c r="G60" s="84">
        <v>37765.052897000001</v>
      </c>
      <c r="H60" s="96"/>
      <c r="I60" s="84">
        <f t="shared" si="40"/>
        <v>37765.052897000001</v>
      </c>
      <c r="J60" s="84">
        <f t="shared" si="29"/>
        <v>1888.25264485</v>
      </c>
      <c r="K60" s="84">
        <f t="shared" si="2"/>
        <v>396.5330554185</v>
      </c>
      <c r="L60" s="84">
        <f t="shared" si="3"/>
        <v>2284.7857002685</v>
      </c>
      <c r="M60" s="84">
        <f t="shared" si="4"/>
        <v>685.43571008054994</v>
      </c>
      <c r="N60" s="84">
        <f t="shared" si="5"/>
        <v>2970.2214103490501</v>
      </c>
      <c r="O60" s="84">
        <f t="shared" si="6"/>
        <v>1188.0885641396201</v>
      </c>
      <c r="P60" s="101">
        <f t="shared" si="7"/>
        <v>4158.3099744886704</v>
      </c>
    </row>
    <row r="61" spans="2:16" x14ac:dyDescent="0.35">
      <c r="B61" s="83">
        <v>100516216</v>
      </c>
      <c r="C61" s="97" t="s">
        <v>63</v>
      </c>
      <c r="D61" s="98">
        <v>7790360967817</v>
      </c>
      <c r="E61" s="99">
        <v>7</v>
      </c>
      <c r="F61" s="100">
        <v>20</v>
      </c>
      <c r="G61" s="84">
        <v>37765.052897000001</v>
      </c>
      <c r="H61" s="96"/>
      <c r="I61" s="84">
        <f t="shared" si="40"/>
        <v>37765.052897000001</v>
      </c>
      <c r="J61" s="84">
        <f t="shared" si="29"/>
        <v>1888.25264485</v>
      </c>
      <c r="K61" s="84">
        <f t="shared" si="2"/>
        <v>396.5330554185</v>
      </c>
      <c r="L61" s="84">
        <f t="shared" si="3"/>
        <v>2284.7857002685</v>
      </c>
      <c r="M61" s="84">
        <f t="shared" si="4"/>
        <v>685.43571008054994</v>
      </c>
      <c r="N61" s="84">
        <f t="shared" si="5"/>
        <v>2970.2214103490501</v>
      </c>
      <c r="O61" s="84">
        <f t="shared" si="6"/>
        <v>1188.0885641396201</v>
      </c>
      <c r="P61" s="101">
        <f t="shared" si="7"/>
        <v>4158.3099744886704</v>
      </c>
    </row>
    <row r="62" spans="2:16" x14ac:dyDescent="0.35">
      <c r="B62" s="32"/>
      <c r="C62" s="33"/>
      <c r="D62" s="34"/>
      <c r="E62" s="33"/>
      <c r="F62" s="35"/>
      <c r="G62" s="35" t="e">
        <v>#N/A</v>
      </c>
      <c r="H62" s="132"/>
      <c r="I62" s="35"/>
      <c r="J62" s="37" t="e">
        <f t="shared" si="29"/>
        <v>#DIV/0!</v>
      </c>
      <c r="K62" s="38">
        <v>0.21</v>
      </c>
      <c r="L62" s="37"/>
      <c r="M62" s="38">
        <v>0.3</v>
      </c>
      <c r="N62" s="37"/>
      <c r="O62" s="38">
        <v>0.4</v>
      </c>
      <c r="P62" s="39"/>
    </row>
    <row r="63" spans="2:16" x14ac:dyDescent="0.35">
      <c r="B63" s="27">
        <v>100021704</v>
      </c>
      <c r="C63" s="28" t="s">
        <v>64</v>
      </c>
      <c r="D63" s="21">
        <v>7790360023902</v>
      </c>
      <c r="E63" s="22">
        <f>12*0.38</f>
        <v>4.5600000000000005</v>
      </c>
      <c r="F63" s="23">
        <v>12</v>
      </c>
      <c r="G63" s="24">
        <v>43528.064341299701</v>
      </c>
      <c r="H63" s="133"/>
      <c r="I63" s="24">
        <f t="shared" si="40"/>
        <v>43528.064341299701</v>
      </c>
      <c r="J63" s="24">
        <f t="shared" si="29"/>
        <v>3627.3386951083085</v>
      </c>
      <c r="K63" s="24">
        <f t="shared" si="2"/>
        <v>761.74112597274473</v>
      </c>
      <c r="L63" s="24">
        <f t="shared" si="3"/>
        <v>4389.0798210810535</v>
      </c>
      <c r="M63" s="24">
        <f t="shared" si="4"/>
        <v>1316.7239463243161</v>
      </c>
      <c r="N63" s="24">
        <f t="shared" si="5"/>
        <v>5705.8037674053694</v>
      </c>
      <c r="O63" s="24">
        <f t="shared" si="6"/>
        <v>2282.3215069621479</v>
      </c>
      <c r="P63" s="25">
        <f t="shared" si="7"/>
        <v>7988.1252743675177</v>
      </c>
    </row>
    <row r="64" spans="2:16" x14ac:dyDescent="0.35">
      <c r="B64" s="27">
        <v>100021705</v>
      </c>
      <c r="C64" s="28" t="s">
        <v>65</v>
      </c>
      <c r="D64" s="21">
        <v>7790360024336</v>
      </c>
      <c r="E64" s="22">
        <f>12*0.38</f>
        <v>4.5600000000000005</v>
      </c>
      <c r="F64" s="23">
        <v>12</v>
      </c>
      <c r="G64" s="24">
        <v>39568.023445500578</v>
      </c>
      <c r="H64" s="133"/>
      <c r="I64" s="24">
        <f t="shared" si="40"/>
        <v>39568.023445500578</v>
      </c>
      <c r="J64" s="24">
        <f t="shared" si="29"/>
        <v>3297.3352871250481</v>
      </c>
      <c r="K64" s="24">
        <f t="shared" si="2"/>
        <v>692.4404102962601</v>
      </c>
      <c r="L64" s="24">
        <f t="shared" si="3"/>
        <v>3989.775697421308</v>
      </c>
      <c r="M64" s="24">
        <f t="shared" si="4"/>
        <v>1196.9327092263923</v>
      </c>
      <c r="N64" s="24">
        <f t="shared" si="5"/>
        <v>5186.7084066477</v>
      </c>
      <c r="O64" s="24">
        <f t="shared" si="6"/>
        <v>2074.6833626590801</v>
      </c>
      <c r="P64" s="25">
        <f t="shared" si="7"/>
        <v>7261.3917693067797</v>
      </c>
    </row>
    <row r="65" spans="2:17" x14ac:dyDescent="0.35">
      <c r="B65" s="27">
        <v>100021709</v>
      </c>
      <c r="C65" s="28" t="s">
        <v>66</v>
      </c>
      <c r="D65" s="21">
        <v>7790360024701</v>
      </c>
      <c r="E65" s="22">
        <v>7.6</v>
      </c>
      <c r="F65" s="23">
        <v>10</v>
      </c>
      <c r="G65" s="24">
        <v>63492.85586180511</v>
      </c>
      <c r="H65" s="134"/>
      <c r="I65" s="24">
        <f t="shared" si="40"/>
        <v>63492.85586180511</v>
      </c>
      <c r="J65" s="24">
        <f t="shared" si="29"/>
        <v>6349.285586180511</v>
      </c>
      <c r="K65" s="24">
        <f t="shared" si="2"/>
        <v>1333.3499730979072</v>
      </c>
      <c r="L65" s="24">
        <f t="shared" si="3"/>
        <v>7682.6355592784184</v>
      </c>
      <c r="M65" s="24">
        <f t="shared" si="4"/>
        <v>2304.7906677835254</v>
      </c>
      <c r="N65" s="24">
        <f t="shared" si="5"/>
        <v>9987.4262270619438</v>
      </c>
      <c r="O65" s="24">
        <f t="shared" si="6"/>
        <v>3994.9704908247777</v>
      </c>
      <c r="P65" s="25">
        <f t="shared" si="7"/>
        <v>13982.396717886721</v>
      </c>
    </row>
    <row r="66" spans="2:17" x14ac:dyDescent="0.35">
      <c r="B66" s="83">
        <v>100521357</v>
      </c>
      <c r="C66" s="97" t="s">
        <v>120</v>
      </c>
      <c r="D66" s="98"/>
      <c r="E66" s="99">
        <v>4.5599999999999996</v>
      </c>
      <c r="F66" s="100">
        <v>12</v>
      </c>
      <c r="G66" s="84">
        <v>51025.389030000028</v>
      </c>
      <c r="H66" s="116">
        <v>0.4</v>
      </c>
      <c r="I66" s="84">
        <f t="shared" si="40"/>
        <v>30615.233418000014</v>
      </c>
      <c r="J66" s="84">
        <f t="shared" ref="J66:J68" si="41">+I66/F66</f>
        <v>2551.2694515000012</v>
      </c>
      <c r="K66" s="84">
        <f t="shared" ref="K66:K68" si="42">+J66*K$3</f>
        <v>535.76658481500021</v>
      </c>
      <c r="L66" s="84">
        <f t="shared" ref="L66:L68" si="43">+J66+K66</f>
        <v>3087.0360363150012</v>
      </c>
      <c r="M66" s="84">
        <f t="shared" ref="M66:M68" si="44">+L66*M$3</f>
        <v>926.11081089450033</v>
      </c>
      <c r="N66" s="84">
        <f t="shared" ref="N66:N68" si="45">+L66+M66</f>
        <v>4013.1468472095016</v>
      </c>
      <c r="O66" s="84">
        <f t="shared" ref="O66:O68" si="46">+N66*O$3</f>
        <v>1605.2587388838008</v>
      </c>
      <c r="P66" s="101">
        <f t="shared" ref="P66:P68" si="47">+N66+O66</f>
        <v>5618.4055860933022</v>
      </c>
      <c r="Q66" s="245" t="s">
        <v>179</v>
      </c>
    </row>
    <row r="67" spans="2:17" x14ac:dyDescent="0.35">
      <c r="B67" s="83">
        <v>100521358</v>
      </c>
      <c r="C67" s="97" t="s">
        <v>127</v>
      </c>
      <c r="D67" s="98">
        <v>7790360982025</v>
      </c>
      <c r="E67" s="99">
        <v>7.6</v>
      </c>
      <c r="F67" s="100">
        <v>10</v>
      </c>
      <c r="G67" s="84" t="e">
        <v>#N/A</v>
      </c>
      <c r="H67" s="116">
        <v>0.4</v>
      </c>
      <c r="I67" s="84" t="e">
        <f t="shared" ref="I67" si="48">+G67*(1-H67)</f>
        <v>#N/A</v>
      </c>
      <c r="J67" s="84" t="e">
        <f t="shared" ref="J67" si="49">+I67/F67</f>
        <v>#N/A</v>
      </c>
      <c r="K67" s="84" t="e">
        <f t="shared" ref="K67" si="50">+J67*K$3</f>
        <v>#N/A</v>
      </c>
      <c r="L67" s="84" t="e">
        <f t="shared" ref="L67" si="51">+J67+K67</f>
        <v>#N/A</v>
      </c>
      <c r="M67" s="84" t="e">
        <f t="shared" ref="M67" si="52">+L67*M$3</f>
        <v>#N/A</v>
      </c>
      <c r="N67" s="84" t="e">
        <f t="shared" ref="N67" si="53">+L67+M67</f>
        <v>#N/A</v>
      </c>
      <c r="O67" s="84" t="e">
        <f t="shared" ref="O67" si="54">+N67*O$3</f>
        <v>#N/A</v>
      </c>
      <c r="P67" s="101" t="e">
        <f t="shared" ref="P67" si="55">+N67+O67</f>
        <v>#N/A</v>
      </c>
      <c r="Q67" s="245" t="s">
        <v>178</v>
      </c>
    </row>
    <row r="68" spans="2:17" x14ac:dyDescent="0.35">
      <c r="B68" s="83">
        <v>100522130</v>
      </c>
      <c r="C68" s="97" t="s">
        <v>121</v>
      </c>
      <c r="D68" s="98"/>
      <c r="E68" s="99">
        <v>4.8</v>
      </c>
      <c r="F68" s="100">
        <v>12</v>
      </c>
      <c r="G68" s="84">
        <v>42065.200628884144</v>
      </c>
      <c r="H68" s="116">
        <v>0.35</v>
      </c>
      <c r="I68" s="84">
        <f t="shared" si="40"/>
        <v>27342.380408774694</v>
      </c>
      <c r="J68" s="84">
        <f t="shared" si="41"/>
        <v>2278.5317007312246</v>
      </c>
      <c r="K68" s="84">
        <f t="shared" si="42"/>
        <v>478.49165715355718</v>
      </c>
      <c r="L68" s="84">
        <f t="shared" si="43"/>
        <v>2757.0233578847819</v>
      </c>
      <c r="M68" s="84">
        <f t="shared" si="44"/>
        <v>827.10700736543458</v>
      </c>
      <c r="N68" s="84">
        <f t="shared" si="45"/>
        <v>3584.1303652502165</v>
      </c>
      <c r="O68" s="84">
        <f t="shared" si="46"/>
        <v>1433.6521461000866</v>
      </c>
      <c r="P68" s="101">
        <f t="shared" si="47"/>
        <v>5017.7825113503031</v>
      </c>
      <c r="Q68" s="245" t="s">
        <v>179</v>
      </c>
    </row>
    <row r="69" spans="2:17" x14ac:dyDescent="0.35">
      <c r="B69" s="41">
        <v>100021725</v>
      </c>
      <c r="C69" s="42" t="s">
        <v>67</v>
      </c>
      <c r="D69" s="43">
        <v>7790360027009</v>
      </c>
      <c r="E69" s="44">
        <v>6</v>
      </c>
      <c r="F69" s="45">
        <v>4</v>
      </c>
      <c r="G69" s="46">
        <v>32818.348409587234</v>
      </c>
      <c r="H69" s="135"/>
      <c r="I69" s="46">
        <f t="shared" si="40"/>
        <v>32818.348409587234</v>
      </c>
      <c r="J69" s="46">
        <f t="shared" si="29"/>
        <v>8204.5871023968084</v>
      </c>
      <c r="K69" s="46">
        <f t="shared" si="2"/>
        <v>1722.9632915033296</v>
      </c>
      <c r="L69" s="46">
        <f t="shared" si="3"/>
        <v>9927.5503939001374</v>
      </c>
      <c r="M69" s="46">
        <f t="shared" si="4"/>
        <v>2978.2651181700412</v>
      </c>
      <c r="N69" s="46">
        <f t="shared" si="5"/>
        <v>12905.815512070178</v>
      </c>
      <c r="O69" s="46">
        <f t="shared" si="6"/>
        <v>5162.3262048280712</v>
      </c>
      <c r="P69" s="47">
        <f t="shared" si="7"/>
        <v>18068.141716898248</v>
      </c>
      <c r="Q69" s="248"/>
    </row>
    <row r="70" spans="2:17" x14ac:dyDescent="0.35">
      <c r="B70" s="27">
        <v>100517055</v>
      </c>
      <c r="C70" s="28" t="s">
        <v>68</v>
      </c>
      <c r="D70" s="21">
        <v>7790360971135</v>
      </c>
      <c r="E70" s="22">
        <v>3.12</v>
      </c>
      <c r="F70" s="23">
        <v>12</v>
      </c>
      <c r="G70" s="24">
        <v>32774.289450988013</v>
      </c>
      <c r="H70" s="133"/>
      <c r="I70" s="24">
        <f t="shared" si="40"/>
        <v>32774.289450988013</v>
      </c>
      <c r="J70" s="24">
        <f t="shared" si="29"/>
        <v>2731.1907875823345</v>
      </c>
      <c r="K70" s="24">
        <f t="shared" si="2"/>
        <v>573.55006539229021</v>
      </c>
      <c r="L70" s="24">
        <f t="shared" si="3"/>
        <v>3304.7408529746244</v>
      </c>
      <c r="M70" s="24">
        <f t="shared" si="4"/>
        <v>991.42225589238728</v>
      </c>
      <c r="N70" s="24">
        <f t="shared" si="5"/>
        <v>4296.1631088670119</v>
      </c>
      <c r="O70" s="24">
        <f t="shared" si="6"/>
        <v>1718.4652435468049</v>
      </c>
      <c r="P70" s="25">
        <f t="shared" si="7"/>
        <v>6014.6283524138171</v>
      </c>
      <c r="Q70" s="248"/>
    </row>
    <row r="71" spans="2:17" x14ac:dyDescent="0.35">
      <c r="B71" s="83">
        <v>100517186</v>
      </c>
      <c r="C71" s="97" t="s">
        <v>69</v>
      </c>
      <c r="D71" s="98">
        <v>7790360971395</v>
      </c>
      <c r="E71" s="99">
        <v>8</v>
      </c>
      <c r="F71" s="100">
        <v>8</v>
      </c>
      <c r="G71" s="84">
        <v>82815.034647273598</v>
      </c>
      <c r="H71" s="140">
        <v>0.35</v>
      </c>
      <c r="I71" s="84">
        <f t="shared" si="40"/>
        <v>53829.772520727842</v>
      </c>
      <c r="J71" s="84">
        <f t="shared" si="29"/>
        <v>6728.7215650909802</v>
      </c>
      <c r="K71" s="84">
        <f t="shared" si="2"/>
        <v>1413.0315286691057</v>
      </c>
      <c r="L71" s="84">
        <f t="shared" si="3"/>
        <v>8141.7530937600859</v>
      </c>
      <c r="M71" s="84">
        <f t="shared" si="4"/>
        <v>2442.5259281280255</v>
      </c>
      <c r="N71" s="84">
        <f t="shared" si="5"/>
        <v>10584.279021888111</v>
      </c>
      <c r="O71" s="84">
        <f t="shared" si="6"/>
        <v>4233.7116087552449</v>
      </c>
      <c r="P71" s="101">
        <f t="shared" si="7"/>
        <v>14817.990630643355</v>
      </c>
      <c r="Q71" s="245" t="s">
        <v>180</v>
      </c>
    </row>
    <row r="72" spans="2:17" x14ac:dyDescent="0.35">
      <c r="B72" s="124">
        <v>100521663</v>
      </c>
      <c r="C72" s="125" t="s">
        <v>122</v>
      </c>
      <c r="D72" s="98"/>
      <c r="E72" s="99">
        <v>4.8</v>
      </c>
      <c r="F72" s="100">
        <v>12</v>
      </c>
      <c r="G72" s="84">
        <v>43887.147335423193</v>
      </c>
      <c r="H72" s="116">
        <v>0.3</v>
      </c>
      <c r="I72" s="84">
        <f t="shared" ref="I72" si="56">+G72*(1-H72)</f>
        <v>30721.003134796232</v>
      </c>
      <c r="J72" s="84">
        <f t="shared" ref="J72" si="57">+I72/F72</f>
        <v>2560.0835945663525</v>
      </c>
      <c r="K72" s="84">
        <f t="shared" ref="K72" si="58">+J72*K$3</f>
        <v>537.617554858934</v>
      </c>
      <c r="L72" s="84">
        <f t="shared" ref="L72" si="59">+J72+K72</f>
        <v>3097.7011494252865</v>
      </c>
      <c r="M72" s="84">
        <f t="shared" ref="M72" si="60">+L72*M$3</f>
        <v>929.31034482758594</v>
      </c>
      <c r="N72" s="84">
        <f t="shared" ref="N72" si="61">+L72+M72</f>
        <v>4027.0114942528726</v>
      </c>
      <c r="O72" s="84">
        <f t="shared" ref="O72" si="62">+N72*O$3</f>
        <v>1610.8045977011491</v>
      </c>
      <c r="P72" s="101">
        <f t="shared" ref="P72" si="63">+N72+O72</f>
        <v>5637.8160919540214</v>
      </c>
      <c r="Q72" s="245" t="s">
        <v>179</v>
      </c>
    </row>
    <row r="73" spans="2:17" x14ac:dyDescent="0.35">
      <c r="B73" s="41">
        <v>100021728</v>
      </c>
      <c r="C73" s="42" t="s">
        <v>70</v>
      </c>
      <c r="D73" s="43">
        <v>7790360967558</v>
      </c>
      <c r="E73" s="44">
        <v>3.84</v>
      </c>
      <c r="F73" s="45">
        <v>12</v>
      </c>
      <c r="G73" s="46">
        <v>41198.693697713716</v>
      </c>
      <c r="H73" s="135"/>
      <c r="I73" s="46">
        <f t="shared" si="40"/>
        <v>41198.693697713716</v>
      </c>
      <c r="J73" s="46">
        <f t="shared" si="29"/>
        <v>3433.2244748094763</v>
      </c>
      <c r="K73" s="46">
        <f t="shared" si="2"/>
        <v>720.97713970998996</v>
      </c>
      <c r="L73" s="46">
        <f t="shared" si="3"/>
        <v>4154.2016145194666</v>
      </c>
      <c r="M73" s="46">
        <f t="shared" si="4"/>
        <v>1246.2604843558399</v>
      </c>
      <c r="N73" s="46">
        <f t="shared" si="5"/>
        <v>5400.4620988753068</v>
      </c>
      <c r="O73" s="46">
        <f t="shared" si="6"/>
        <v>2160.1848395501229</v>
      </c>
      <c r="P73" s="47">
        <f t="shared" si="7"/>
        <v>7560.6469384254297</v>
      </c>
    </row>
    <row r="74" spans="2:17" x14ac:dyDescent="0.35">
      <c r="B74" s="41">
        <v>100517679</v>
      </c>
      <c r="C74" s="42" t="s">
        <v>71</v>
      </c>
      <c r="D74" s="43"/>
      <c r="E74" s="44">
        <v>7.68</v>
      </c>
      <c r="F74" s="45">
        <v>8</v>
      </c>
      <c r="G74" s="46">
        <v>41384.271914335841</v>
      </c>
      <c r="H74" s="135"/>
      <c r="I74" s="46">
        <f t="shared" si="40"/>
        <v>41384.271914335841</v>
      </c>
      <c r="J74" s="46">
        <f t="shared" si="29"/>
        <v>5173.0339892919801</v>
      </c>
      <c r="K74" s="46">
        <f t="shared" si="2"/>
        <v>1086.3371377513158</v>
      </c>
      <c r="L74" s="46">
        <f t="shared" si="3"/>
        <v>6259.3711270432959</v>
      </c>
      <c r="M74" s="46">
        <f t="shared" si="4"/>
        <v>1877.8113381129888</v>
      </c>
      <c r="N74" s="46">
        <f t="shared" si="5"/>
        <v>8137.1824651562847</v>
      </c>
      <c r="O74" s="46">
        <f t="shared" si="6"/>
        <v>3254.872986062514</v>
      </c>
      <c r="P74" s="47">
        <f t="shared" si="7"/>
        <v>11392.055451218799</v>
      </c>
    </row>
    <row r="75" spans="2:17" ht="15" thickBot="1" x14ac:dyDescent="0.4">
      <c r="B75" s="32"/>
      <c r="C75" s="33"/>
      <c r="D75" s="34"/>
      <c r="E75" s="33"/>
      <c r="F75" s="35"/>
      <c r="G75" s="36" t="e">
        <v>#N/A</v>
      </c>
      <c r="H75" s="132"/>
      <c r="I75" s="36" t="e">
        <f t="shared" si="40"/>
        <v>#N/A</v>
      </c>
      <c r="J75" s="37" t="e">
        <f t="shared" si="29"/>
        <v>#N/A</v>
      </c>
      <c r="K75" s="38">
        <v>0.21</v>
      </c>
      <c r="L75" s="37"/>
      <c r="M75" s="38">
        <v>0.3</v>
      </c>
      <c r="N75" s="37"/>
      <c r="O75" s="38">
        <v>0.4</v>
      </c>
      <c r="P75" s="39"/>
    </row>
    <row r="76" spans="2:17" ht="15" hidden="1" thickBot="1" x14ac:dyDescent="0.4">
      <c r="B76" s="27">
        <v>100516219</v>
      </c>
      <c r="C76" s="28" t="s">
        <v>72</v>
      </c>
      <c r="D76" s="48">
        <v>7790360967770</v>
      </c>
      <c r="E76" s="22">
        <v>10</v>
      </c>
      <c r="F76" s="23">
        <v>25</v>
      </c>
      <c r="G76" s="24">
        <v>18259.399891781304</v>
      </c>
      <c r="H76" s="133"/>
      <c r="I76" s="24">
        <f t="shared" si="40"/>
        <v>18259.399891781304</v>
      </c>
      <c r="J76" s="24">
        <f t="shared" si="29"/>
        <v>730.37599567125221</v>
      </c>
      <c r="K76" s="24">
        <f t="shared" si="2"/>
        <v>153.37895909096295</v>
      </c>
      <c r="L76" s="24">
        <f t="shared" si="3"/>
        <v>883.75495476221522</v>
      </c>
      <c r="M76" s="24">
        <f t="shared" si="4"/>
        <v>265.12648642866458</v>
      </c>
      <c r="N76" s="24">
        <f t="shared" si="5"/>
        <v>1148.8814411908797</v>
      </c>
      <c r="O76" s="24">
        <f t="shared" si="6"/>
        <v>459.55257647635193</v>
      </c>
      <c r="P76" s="25">
        <f t="shared" si="7"/>
        <v>1608.4340176672317</v>
      </c>
    </row>
    <row r="77" spans="2:17" ht="15" hidden="1" thickBot="1" x14ac:dyDescent="0.4">
      <c r="B77" s="27">
        <v>100516220</v>
      </c>
      <c r="C77" s="28" t="s">
        <v>73</v>
      </c>
      <c r="D77" s="48">
        <v>7790360967787</v>
      </c>
      <c r="E77" s="22">
        <v>12</v>
      </c>
      <c r="F77" s="23">
        <v>6</v>
      </c>
      <c r="G77" s="24">
        <v>19613.921820029205</v>
      </c>
      <c r="H77" s="133"/>
      <c r="I77" s="24">
        <f t="shared" si="40"/>
        <v>19613.921820029205</v>
      </c>
      <c r="J77" s="24">
        <f t="shared" ref="J77:J87" si="64">+I77/F77</f>
        <v>3268.9869700048675</v>
      </c>
      <c r="K77" s="24">
        <f t="shared" si="2"/>
        <v>686.48726370102213</v>
      </c>
      <c r="L77" s="24">
        <f t="shared" si="3"/>
        <v>3955.4742337058897</v>
      </c>
      <c r="M77" s="24">
        <f t="shared" si="4"/>
        <v>1186.6422701117669</v>
      </c>
      <c r="N77" s="24">
        <f t="shared" si="5"/>
        <v>5142.1165038176568</v>
      </c>
      <c r="O77" s="24">
        <f t="shared" si="6"/>
        <v>2056.8466015270628</v>
      </c>
      <c r="P77" s="25">
        <f t="shared" si="7"/>
        <v>7198.9631053447192</v>
      </c>
    </row>
    <row r="78" spans="2:17" ht="15" hidden="1" thickBot="1" x14ac:dyDescent="0.4">
      <c r="B78" s="86"/>
      <c r="C78" s="87"/>
      <c r="D78" s="88"/>
      <c r="E78" s="87"/>
      <c r="F78" s="89"/>
      <c r="G78" s="90" t="e">
        <v>#N/A</v>
      </c>
      <c r="H78" s="136"/>
      <c r="I78" s="90" t="e">
        <f t="shared" si="40"/>
        <v>#N/A</v>
      </c>
      <c r="J78" s="37" t="e">
        <f t="shared" si="64"/>
        <v>#N/A</v>
      </c>
      <c r="K78" s="38"/>
      <c r="L78" s="37"/>
      <c r="M78" s="38"/>
      <c r="N78" s="37"/>
      <c r="O78" s="38"/>
      <c r="P78" s="39"/>
    </row>
    <row r="79" spans="2:17" x14ac:dyDescent="0.35">
      <c r="B79" s="85">
        <v>100518158</v>
      </c>
      <c r="C79" s="28" t="s">
        <v>74</v>
      </c>
      <c r="D79" s="63">
        <v>7790360974280</v>
      </c>
      <c r="E79" s="22">
        <v>12</v>
      </c>
      <c r="F79" s="23">
        <v>24</v>
      </c>
      <c r="G79" s="24">
        <v>75339.602925809828</v>
      </c>
      <c r="H79" s="137"/>
      <c r="I79" s="24">
        <f t="shared" si="40"/>
        <v>75339.602925809828</v>
      </c>
      <c r="J79" s="24">
        <f t="shared" si="64"/>
        <v>3139.1501219087427</v>
      </c>
      <c r="K79" s="24">
        <f>+J79*K$3</f>
        <v>659.22152560083589</v>
      </c>
      <c r="L79" s="24">
        <f>+J79+K79</f>
        <v>3798.3716475095785</v>
      </c>
      <c r="M79" s="24">
        <f>+L79*M$3</f>
        <v>1139.5114942528735</v>
      </c>
      <c r="N79" s="24">
        <f>+L79+M79</f>
        <v>4937.8831417624515</v>
      </c>
      <c r="O79" s="24">
        <f>+N79*O$3</f>
        <v>1975.1532567049808</v>
      </c>
      <c r="P79" s="25">
        <f>+N79+O79</f>
        <v>6913.0363984674323</v>
      </c>
    </row>
    <row r="80" spans="2:17" x14ac:dyDescent="0.35">
      <c r="B80" s="85">
        <v>100518160</v>
      </c>
      <c r="C80" s="28" t="s">
        <v>75</v>
      </c>
      <c r="D80" s="63">
        <v>7790360974686</v>
      </c>
      <c r="E80" s="22">
        <v>12</v>
      </c>
      <c r="F80" s="23">
        <v>12</v>
      </c>
      <c r="G80" s="24">
        <v>75339.602925809828</v>
      </c>
      <c r="H80" s="133"/>
      <c r="I80" s="24">
        <f t="shared" si="40"/>
        <v>75339.602925809828</v>
      </c>
      <c r="J80" s="24">
        <f t="shared" si="64"/>
        <v>6278.3002438174854</v>
      </c>
      <c r="K80" s="24">
        <f>+J80*K$3</f>
        <v>1318.4430512016718</v>
      </c>
      <c r="L80" s="24">
        <f>+J80+K80</f>
        <v>7596.7432950191569</v>
      </c>
      <c r="M80" s="24">
        <f>+L80*M$3</f>
        <v>2279.022988505747</v>
      </c>
      <c r="N80" s="24">
        <f>+L80+M80</f>
        <v>9875.766283524903</v>
      </c>
      <c r="O80" s="24">
        <f>+N80*O$3</f>
        <v>3950.3065134099616</v>
      </c>
      <c r="P80" s="25">
        <f>+N80+O80</f>
        <v>13826.072796934865</v>
      </c>
    </row>
    <row r="81" spans="1:16" ht="15" thickBot="1" x14ac:dyDescent="0.4">
      <c r="B81" s="85">
        <v>100518463</v>
      </c>
      <c r="C81" s="28" t="s">
        <v>89</v>
      </c>
      <c r="D81" s="63"/>
      <c r="E81" s="22">
        <v>5</v>
      </c>
      <c r="F81" s="23">
        <v>1</v>
      </c>
      <c r="G81" s="24">
        <v>36693.267187500001</v>
      </c>
      <c r="H81" s="138"/>
      <c r="I81" s="24">
        <f t="shared" si="40"/>
        <v>36693.267187500001</v>
      </c>
      <c r="J81" s="24">
        <f t="shared" si="64"/>
        <v>36693.267187500001</v>
      </c>
      <c r="K81" s="24">
        <f>+J81*K$3</f>
        <v>7705.586109375</v>
      </c>
      <c r="L81" s="24">
        <f>+J81+K81</f>
        <v>44398.853296875001</v>
      </c>
      <c r="M81" s="24">
        <f>+L81*M$3</f>
        <v>13319.655989062499</v>
      </c>
      <c r="N81" s="24">
        <f>+L81+M81</f>
        <v>57718.5092859375</v>
      </c>
      <c r="O81" s="24">
        <f>+N81*O$3</f>
        <v>23087.403714375003</v>
      </c>
      <c r="P81" s="25">
        <f>+N81+O81</f>
        <v>80805.913000312503</v>
      </c>
    </row>
    <row r="82" spans="1:16" ht="15" thickBot="1" x14ac:dyDescent="0.4">
      <c r="B82" s="71"/>
      <c r="C82" s="72"/>
      <c r="D82" s="73"/>
      <c r="E82" s="72"/>
      <c r="F82" s="74"/>
      <c r="G82" s="75" t="e">
        <v>#N/A</v>
      </c>
      <c r="H82" s="139"/>
      <c r="I82" s="75" t="e">
        <f t="shared" si="40"/>
        <v>#N/A</v>
      </c>
      <c r="J82" s="37" t="e">
        <f t="shared" si="64"/>
        <v>#N/A</v>
      </c>
      <c r="K82" s="38"/>
      <c r="L82" s="37"/>
      <c r="M82" s="38">
        <v>0.2</v>
      </c>
      <c r="N82" s="37"/>
      <c r="O82" s="38">
        <v>0.35</v>
      </c>
      <c r="P82" s="39"/>
    </row>
    <row r="83" spans="1:16" x14ac:dyDescent="0.35">
      <c r="B83" s="112">
        <v>100518291</v>
      </c>
      <c r="C83" s="113" t="s">
        <v>77</v>
      </c>
      <c r="D83" s="109">
        <v>7790360975195</v>
      </c>
      <c r="E83" s="114">
        <v>5</v>
      </c>
      <c r="F83" s="114">
        <v>10</v>
      </c>
      <c r="G83" s="110">
        <v>16121.037912222355</v>
      </c>
      <c r="H83" s="116"/>
      <c r="I83" s="84">
        <f t="shared" si="40"/>
        <v>16121.037912222355</v>
      </c>
      <c r="J83" s="110">
        <f t="shared" si="64"/>
        <v>1612.1037912222355</v>
      </c>
      <c r="K83" s="110">
        <f>+J83*K$3</f>
        <v>338.54179615666942</v>
      </c>
      <c r="L83" s="110">
        <f>+J83+K83</f>
        <v>1950.645587378905</v>
      </c>
      <c r="M83" s="110">
        <f>+L83*M$39</f>
        <v>390.12911747578102</v>
      </c>
      <c r="N83" s="110">
        <f>+L83+M83</f>
        <v>2340.7747048546862</v>
      </c>
      <c r="O83" s="110">
        <f>+N83*O$39</f>
        <v>819.2711466991401</v>
      </c>
      <c r="P83" s="111">
        <f>+N83+O83</f>
        <v>3160.0458515538262</v>
      </c>
    </row>
    <row r="84" spans="1:16" ht="15" thickBot="1" x14ac:dyDescent="0.4">
      <c r="B84" s="103">
        <v>100518292</v>
      </c>
      <c r="C84" s="104" t="s">
        <v>78</v>
      </c>
      <c r="D84" s="105">
        <v>7790360975201</v>
      </c>
      <c r="E84" s="106">
        <v>12</v>
      </c>
      <c r="F84" s="106">
        <v>12</v>
      </c>
      <c r="G84" s="107">
        <v>38039.897077094487</v>
      </c>
      <c r="H84" s="116"/>
      <c r="I84" s="84">
        <f t="shared" si="40"/>
        <v>38039.897077094487</v>
      </c>
      <c r="J84" s="107">
        <f t="shared" si="64"/>
        <v>3169.9914230912073</v>
      </c>
      <c r="K84" s="107">
        <f>+J84*K$3</f>
        <v>665.69819884915353</v>
      </c>
      <c r="L84" s="107">
        <f>+J84+K84</f>
        <v>3835.6896219403607</v>
      </c>
      <c r="M84" s="107">
        <f>+L84*M$39</f>
        <v>767.13792438807218</v>
      </c>
      <c r="N84" s="107">
        <f>+L84+M84</f>
        <v>4602.8275463284326</v>
      </c>
      <c r="O84" s="107">
        <f>+N84*O$39</f>
        <v>1610.9896412149512</v>
      </c>
      <c r="P84" s="108">
        <f>+N84+O84</f>
        <v>6213.8171875433836</v>
      </c>
    </row>
    <row r="85" spans="1:16" ht="15" thickBot="1" x14ac:dyDescent="0.4">
      <c r="B85" s="71"/>
      <c r="C85" s="72"/>
      <c r="D85" s="73"/>
      <c r="E85" s="72"/>
      <c r="F85" s="74"/>
      <c r="G85" s="75" t="e">
        <v>#N/A</v>
      </c>
      <c r="H85" s="139"/>
      <c r="I85" s="75" t="e">
        <f t="shared" si="40"/>
        <v>#N/A</v>
      </c>
      <c r="J85" s="37" t="e">
        <f t="shared" si="64"/>
        <v>#N/A</v>
      </c>
      <c r="K85" s="38">
        <v>0.105</v>
      </c>
      <c r="L85" s="37"/>
      <c r="M85" s="38">
        <v>0.3</v>
      </c>
      <c r="N85" s="37"/>
      <c r="O85" s="38">
        <v>0.4</v>
      </c>
      <c r="P85" s="39"/>
    </row>
    <row r="86" spans="1:16" x14ac:dyDescent="0.35">
      <c r="B86" s="112">
        <v>100517915</v>
      </c>
      <c r="C86" s="113" t="s">
        <v>79</v>
      </c>
      <c r="D86" s="109">
        <v>7790360974020</v>
      </c>
      <c r="E86" s="114">
        <v>18</v>
      </c>
      <c r="F86" s="114">
        <v>36</v>
      </c>
      <c r="G86" s="110">
        <v>173352.97330326217</v>
      </c>
      <c r="H86" s="96"/>
      <c r="I86" s="84">
        <f t="shared" si="40"/>
        <v>173352.97330326217</v>
      </c>
      <c r="J86" s="110">
        <f t="shared" si="64"/>
        <v>4815.3603695350603</v>
      </c>
      <c r="K86" s="110">
        <f>+J86*K$85</f>
        <v>505.61283880118128</v>
      </c>
      <c r="L86" s="110">
        <f>+J86+K86</f>
        <v>5320.9732083362414</v>
      </c>
      <c r="M86" s="110">
        <f>+L86*M$85</f>
        <v>1596.2919625008724</v>
      </c>
      <c r="N86" s="110">
        <f>+L86+M86</f>
        <v>6917.2651708371141</v>
      </c>
      <c r="O86" s="110">
        <f>+N86*O$85</f>
        <v>2766.9060683348457</v>
      </c>
      <c r="P86" s="111">
        <f>+N86+O86</f>
        <v>9684.1712391719593</v>
      </c>
    </row>
    <row r="87" spans="1:16" ht="15" thickBot="1" x14ac:dyDescent="0.4">
      <c r="B87" s="103">
        <v>100517914</v>
      </c>
      <c r="C87" s="104" t="s">
        <v>80</v>
      </c>
      <c r="D87" s="105">
        <v>7790360974037</v>
      </c>
      <c r="E87" s="106">
        <v>20</v>
      </c>
      <c r="F87" s="106">
        <v>20</v>
      </c>
      <c r="G87" s="107">
        <v>185663.53126131868</v>
      </c>
      <c r="H87" s="96"/>
      <c r="I87" s="84">
        <f t="shared" si="40"/>
        <v>185663.53126131868</v>
      </c>
      <c r="J87" s="107">
        <f t="shared" si="64"/>
        <v>9283.1765630659338</v>
      </c>
      <c r="K87" s="107">
        <f>+J87*K$85</f>
        <v>974.73353912192306</v>
      </c>
      <c r="L87" s="107">
        <f>+J87+K87</f>
        <v>10257.910102187856</v>
      </c>
      <c r="M87" s="107">
        <f>+L87*M$85</f>
        <v>3077.3730306563566</v>
      </c>
      <c r="N87" s="107">
        <f>+L87+M87</f>
        <v>13335.283132844212</v>
      </c>
      <c r="O87" s="107">
        <f>+N87*O$85</f>
        <v>5334.1132531376852</v>
      </c>
      <c r="P87" s="108">
        <f>+N87+O87</f>
        <v>18669.396385981898</v>
      </c>
    </row>
    <row r="88" spans="1:16" ht="15" thickBot="1" x14ac:dyDescent="0.4">
      <c r="B88" s="71"/>
      <c r="C88" s="72"/>
      <c r="D88" s="73"/>
      <c r="E88" s="72"/>
      <c r="F88" s="74"/>
      <c r="G88" s="75" t="e">
        <v>#N/A</v>
      </c>
      <c r="H88" s="139"/>
      <c r="I88" s="75" t="e">
        <f t="shared" si="40"/>
        <v>#N/A</v>
      </c>
      <c r="J88" s="91"/>
      <c r="K88" s="92">
        <v>0.105</v>
      </c>
      <c r="L88" s="91"/>
      <c r="M88" s="93">
        <v>0.3</v>
      </c>
      <c r="N88" s="91"/>
      <c r="O88" s="93">
        <v>0.4</v>
      </c>
      <c r="P88" s="94"/>
    </row>
    <row r="89" spans="1:16" x14ac:dyDescent="0.35">
      <c r="B89" s="27">
        <v>100010689</v>
      </c>
      <c r="C89" s="28" t="s">
        <v>81</v>
      </c>
      <c r="D89" s="21"/>
      <c r="E89" s="81">
        <v>22</v>
      </c>
      <c r="F89" s="23">
        <v>1</v>
      </c>
      <c r="G89" s="24">
        <v>16500</v>
      </c>
      <c r="H89" s="133"/>
      <c r="I89" s="24">
        <f t="shared" si="40"/>
        <v>16500</v>
      </c>
      <c r="J89" s="61">
        <f t="shared" ref="J89:J94" si="65">+I89/F89</f>
        <v>16500</v>
      </c>
      <c r="K89" s="61">
        <f t="shared" ref="K89:K94" si="66">+J89*K$88</f>
        <v>1732.5</v>
      </c>
      <c r="L89" s="61">
        <f t="shared" ref="L89:L94" si="67">+J89+K89</f>
        <v>18232.5</v>
      </c>
      <c r="M89" s="61">
        <f t="shared" ref="M89:M94" si="68">+L89*M$88</f>
        <v>5469.75</v>
      </c>
      <c r="N89" s="61">
        <f t="shared" ref="N89:N94" si="69">+L89+M89</f>
        <v>23702.25</v>
      </c>
      <c r="O89" s="61">
        <f t="shared" ref="O89:O94" si="70">+N89*O$88</f>
        <v>9480.9</v>
      </c>
      <c r="P89" s="62">
        <f t="shared" ref="P89:P94" si="71">+N89+O89</f>
        <v>33183.15</v>
      </c>
    </row>
    <row r="90" spans="1:16" x14ac:dyDescent="0.35">
      <c r="B90" s="27">
        <v>100518335</v>
      </c>
      <c r="C90" s="28" t="s">
        <v>82</v>
      </c>
      <c r="D90" s="21"/>
      <c r="E90" s="81">
        <v>22.5</v>
      </c>
      <c r="F90" s="23">
        <v>1</v>
      </c>
      <c r="G90" s="24">
        <v>11785.714285714286</v>
      </c>
      <c r="H90" s="133"/>
      <c r="I90" s="24">
        <f t="shared" si="40"/>
        <v>11785.714285714286</v>
      </c>
      <c r="J90" s="24">
        <f t="shared" si="65"/>
        <v>11785.714285714286</v>
      </c>
      <c r="K90" s="24">
        <f t="shared" si="66"/>
        <v>1237.5</v>
      </c>
      <c r="L90" s="24">
        <f t="shared" si="67"/>
        <v>13023.214285714286</v>
      </c>
      <c r="M90" s="24">
        <f t="shared" si="68"/>
        <v>3906.9642857142858</v>
      </c>
      <c r="N90" s="24">
        <f t="shared" si="69"/>
        <v>16930.178571428572</v>
      </c>
      <c r="O90" s="24">
        <f t="shared" si="70"/>
        <v>6772.0714285714294</v>
      </c>
      <c r="P90" s="25">
        <f t="shared" si="71"/>
        <v>23702.25</v>
      </c>
    </row>
    <row r="91" spans="1:16" x14ac:dyDescent="0.35">
      <c r="B91" s="27">
        <v>100518332</v>
      </c>
      <c r="C91" s="28" t="s">
        <v>83</v>
      </c>
      <c r="D91" s="21"/>
      <c r="E91" s="81">
        <v>21.5</v>
      </c>
      <c r="F91" s="23">
        <v>1</v>
      </c>
      <c r="G91" s="24">
        <v>13553.571428571431</v>
      </c>
      <c r="H91" s="133"/>
      <c r="I91" s="24">
        <f t="shared" si="40"/>
        <v>13553.571428571431</v>
      </c>
      <c r="J91" s="24">
        <f t="shared" si="65"/>
        <v>13553.571428571431</v>
      </c>
      <c r="K91" s="24">
        <f t="shared" si="66"/>
        <v>1423.1250000000002</v>
      </c>
      <c r="L91" s="24">
        <f t="shared" si="67"/>
        <v>14976.696428571431</v>
      </c>
      <c r="M91" s="24">
        <f t="shared" si="68"/>
        <v>4493.0089285714294</v>
      </c>
      <c r="N91" s="24">
        <f t="shared" si="69"/>
        <v>19469.705357142862</v>
      </c>
      <c r="O91" s="24">
        <f t="shared" si="70"/>
        <v>7787.8821428571455</v>
      </c>
      <c r="P91" s="25">
        <f t="shared" si="71"/>
        <v>27257.587500000009</v>
      </c>
    </row>
    <row r="92" spans="1:16" x14ac:dyDescent="0.35">
      <c r="B92" s="27">
        <v>100518334</v>
      </c>
      <c r="C92" s="28" t="s">
        <v>84</v>
      </c>
      <c r="D92" s="21"/>
      <c r="E92" s="81">
        <v>22.5</v>
      </c>
      <c r="F92" s="23">
        <v>1</v>
      </c>
      <c r="G92" s="24">
        <v>12021.428571428572</v>
      </c>
      <c r="H92" s="133"/>
      <c r="I92" s="24">
        <f t="shared" si="40"/>
        <v>12021.428571428572</v>
      </c>
      <c r="J92" s="24">
        <f t="shared" si="65"/>
        <v>12021.428571428572</v>
      </c>
      <c r="K92" s="24">
        <f t="shared" si="66"/>
        <v>1262.25</v>
      </c>
      <c r="L92" s="24">
        <f t="shared" si="67"/>
        <v>13283.678571428572</v>
      </c>
      <c r="M92" s="24">
        <f t="shared" si="68"/>
        <v>3985.1035714285717</v>
      </c>
      <c r="N92" s="24">
        <f t="shared" si="69"/>
        <v>17268.782142857144</v>
      </c>
      <c r="O92" s="24">
        <f t="shared" si="70"/>
        <v>6907.5128571428577</v>
      </c>
      <c r="P92" s="25">
        <f t="shared" si="71"/>
        <v>24176.295000000002</v>
      </c>
    </row>
    <row r="93" spans="1:16" x14ac:dyDescent="0.35">
      <c r="B93" s="27">
        <v>100518227</v>
      </c>
      <c r="C93" s="28" t="s">
        <v>85</v>
      </c>
      <c r="D93" s="21"/>
      <c r="E93" s="81">
        <v>22.5</v>
      </c>
      <c r="F93" s="23">
        <v>1</v>
      </c>
      <c r="G93" s="24">
        <v>14185.285714285716</v>
      </c>
      <c r="H93" s="133"/>
      <c r="I93" s="24">
        <f t="shared" si="40"/>
        <v>14185.285714285716</v>
      </c>
      <c r="J93" s="24">
        <f t="shared" si="65"/>
        <v>14185.285714285716</v>
      </c>
      <c r="K93" s="24">
        <f t="shared" si="66"/>
        <v>1489.4550000000002</v>
      </c>
      <c r="L93" s="24">
        <f t="shared" si="67"/>
        <v>15674.740714285716</v>
      </c>
      <c r="M93" s="24">
        <f t="shared" si="68"/>
        <v>4702.4222142857143</v>
      </c>
      <c r="N93" s="24">
        <f t="shared" si="69"/>
        <v>20377.16292857143</v>
      </c>
      <c r="O93" s="24">
        <f t="shared" si="70"/>
        <v>8150.8651714285725</v>
      </c>
      <c r="P93" s="25">
        <f t="shared" si="71"/>
        <v>28528.028100000003</v>
      </c>
    </row>
    <row r="94" spans="1:16" x14ac:dyDescent="0.35">
      <c r="A94" s="175"/>
      <c r="B94" s="175">
        <v>100027726</v>
      </c>
      <c r="C94" s="176" t="s">
        <v>148</v>
      </c>
      <c r="D94" s="81">
        <v>22.5</v>
      </c>
      <c r="E94" s="23">
        <v>1</v>
      </c>
      <c r="F94" s="23">
        <v>1</v>
      </c>
      <c r="G94" s="24" t="e">
        <v>#N/A</v>
      </c>
      <c r="H94" s="133"/>
      <c r="I94" s="24" t="e">
        <f t="shared" ref="I94" si="72">+G94*(1-H94)</f>
        <v>#N/A</v>
      </c>
      <c r="J94" s="24" t="e">
        <f t="shared" si="65"/>
        <v>#N/A</v>
      </c>
      <c r="K94" s="24" t="e">
        <f t="shared" si="66"/>
        <v>#N/A</v>
      </c>
      <c r="L94" s="24" t="e">
        <f t="shared" si="67"/>
        <v>#N/A</v>
      </c>
      <c r="M94" s="24" t="e">
        <f t="shared" si="68"/>
        <v>#N/A</v>
      </c>
      <c r="N94" s="24" t="e">
        <f t="shared" si="69"/>
        <v>#N/A</v>
      </c>
      <c r="O94" s="24" t="e">
        <f t="shared" si="70"/>
        <v>#N/A</v>
      </c>
      <c r="P94" s="25" t="e">
        <f t="shared" si="71"/>
        <v>#N/A</v>
      </c>
    </row>
    <row r="95" spans="1:16" ht="15" thickBot="1" x14ac:dyDescent="0.4">
      <c r="B95" s="71"/>
      <c r="C95" s="72"/>
      <c r="D95" s="73"/>
      <c r="E95" s="72"/>
      <c r="F95" s="74"/>
      <c r="G95" s="75" t="e">
        <v>#N/A</v>
      </c>
      <c r="H95" s="139"/>
      <c r="I95" s="75" t="e">
        <f t="shared" si="40"/>
        <v>#N/A</v>
      </c>
      <c r="J95" s="91"/>
      <c r="K95" s="92">
        <v>0.21</v>
      </c>
      <c r="L95" s="91"/>
      <c r="M95" s="38">
        <v>0.3</v>
      </c>
      <c r="N95" s="37"/>
      <c r="O95" s="38">
        <v>0.4</v>
      </c>
      <c r="P95" s="94"/>
    </row>
    <row r="96" spans="1:16" ht="15" thickBot="1" x14ac:dyDescent="0.4">
      <c r="B96" s="27">
        <v>100520837</v>
      </c>
      <c r="C96" s="28" t="s">
        <v>86</v>
      </c>
      <c r="D96" s="21">
        <v>7790360980625</v>
      </c>
      <c r="E96" s="81">
        <v>4.8</v>
      </c>
      <c r="F96" s="23">
        <v>12</v>
      </c>
      <c r="G96" s="24">
        <v>38673.879473354231</v>
      </c>
      <c r="H96" s="133"/>
      <c r="I96" s="24">
        <f t="shared" si="40"/>
        <v>38673.879473354231</v>
      </c>
      <c r="J96" s="46">
        <f>+I96/F96</f>
        <v>3222.8232894461858</v>
      </c>
      <c r="K96" s="46">
        <f>+J96*K$95</f>
        <v>676.79289078369902</v>
      </c>
      <c r="L96" s="43">
        <f>+J96+K96</f>
        <v>3899.6161802298848</v>
      </c>
      <c r="M96" s="81">
        <f>+L96*M$95</f>
        <v>1169.8848540689653</v>
      </c>
      <c r="N96" s="23">
        <f>+L96+M96</f>
        <v>5069.5010342988498</v>
      </c>
      <c r="O96" s="61">
        <f>+N96*O$95</f>
        <v>2027.8004137195401</v>
      </c>
      <c r="P96" s="62">
        <f>+N96+O96</f>
        <v>7097.3014480183901</v>
      </c>
    </row>
    <row r="97" spans="1:17" ht="15" thickBot="1" x14ac:dyDescent="0.4">
      <c r="A97" s="80"/>
      <c r="B97" s="80">
        <v>100522395</v>
      </c>
      <c r="C97" s="42" t="s">
        <v>154</v>
      </c>
      <c r="D97" s="43">
        <v>7790360980625</v>
      </c>
      <c r="E97" s="81">
        <v>4.8</v>
      </c>
      <c r="F97" s="23">
        <v>12</v>
      </c>
      <c r="G97" s="24">
        <v>39447.349427200017</v>
      </c>
      <c r="H97" s="133"/>
      <c r="I97" s="24">
        <f t="shared" ref="I97" si="73">+G97*(1-H97)</f>
        <v>39447.349427200017</v>
      </c>
      <c r="J97" s="46">
        <f>+I97/F97</f>
        <v>3287.2791189333348</v>
      </c>
      <c r="K97" s="46">
        <f>+J97*K$95</f>
        <v>690.32861497600027</v>
      </c>
      <c r="L97" s="43">
        <f>+J97+K97</f>
        <v>3977.6077339093349</v>
      </c>
      <c r="M97" s="81">
        <f>+L97*M$95</f>
        <v>1193.2823201728004</v>
      </c>
      <c r="N97" s="23">
        <f>+L97+M97</f>
        <v>5170.8900540821351</v>
      </c>
      <c r="O97" s="61">
        <f>+N97*O$95</f>
        <v>2068.3560216328542</v>
      </c>
      <c r="P97" s="62">
        <f>+N97+O97</f>
        <v>7239.2460757149893</v>
      </c>
    </row>
    <row r="98" spans="1:17" x14ac:dyDescent="0.35">
      <c r="A98" s="80"/>
      <c r="B98" s="80">
        <v>100522561</v>
      </c>
      <c r="C98" s="42" t="s">
        <v>161</v>
      </c>
      <c r="D98" s="43"/>
      <c r="E98" s="81">
        <v>16</v>
      </c>
      <c r="F98" s="23">
        <v>8</v>
      </c>
      <c r="G98" s="24">
        <v>7807.2879074666689</v>
      </c>
      <c r="H98" s="133"/>
      <c r="I98" s="24">
        <f t="shared" ref="I98" si="74">+G98*(1-H98)</f>
        <v>7807.2879074666689</v>
      </c>
      <c r="J98" s="46">
        <f>+I98*2</f>
        <v>15614.575814933338</v>
      </c>
      <c r="K98" s="46">
        <f>+J98*K$95</f>
        <v>3279.0609211360006</v>
      </c>
      <c r="L98" s="43">
        <f>+J98+K98</f>
        <v>18893.63673606934</v>
      </c>
      <c r="M98" s="81">
        <f>+L98*M$95</f>
        <v>5668.0910208208015</v>
      </c>
      <c r="N98" s="23">
        <f>+L98+M98</f>
        <v>24561.727756890141</v>
      </c>
      <c r="O98" s="61">
        <f>+N98*O$95</f>
        <v>9824.6911027560564</v>
      </c>
      <c r="P98" s="62">
        <f>+N98+O98</f>
        <v>34386.418859646197</v>
      </c>
    </row>
    <row r="99" spans="1:17" ht="15" thickBot="1" x14ac:dyDescent="0.4">
      <c r="B99" s="71"/>
      <c r="C99" s="72"/>
      <c r="D99" s="73"/>
      <c r="E99" s="72"/>
      <c r="F99" s="74"/>
      <c r="G99" s="75" t="e">
        <v>#N/A</v>
      </c>
      <c r="H99" s="139"/>
      <c r="I99" s="75" t="e">
        <f t="shared" si="40"/>
        <v>#N/A</v>
      </c>
      <c r="J99" s="228"/>
      <c r="K99" s="229">
        <v>0.21</v>
      </c>
      <c r="L99" s="91"/>
      <c r="M99" s="38">
        <v>0.3</v>
      </c>
      <c r="N99" s="37"/>
      <c r="O99" s="38">
        <v>0.4</v>
      </c>
      <c r="P99" s="94"/>
    </row>
    <row r="100" spans="1:17" ht="15" thickBot="1" x14ac:dyDescent="0.4">
      <c r="B100" s="83">
        <v>100520902</v>
      </c>
      <c r="C100" s="97" t="s">
        <v>87</v>
      </c>
      <c r="D100" s="98">
        <v>7790360981042</v>
      </c>
      <c r="E100" s="127">
        <v>9.8000000000000007</v>
      </c>
      <c r="F100" s="100">
        <v>14</v>
      </c>
      <c r="G100" s="84">
        <v>33316.176941832127</v>
      </c>
      <c r="H100" s="187">
        <v>0.125</v>
      </c>
      <c r="I100" s="84">
        <f t="shared" si="40"/>
        <v>29151.654824103112</v>
      </c>
      <c r="J100" s="152">
        <f>+I100/F100</f>
        <v>2082.261058864508</v>
      </c>
      <c r="K100" s="152">
        <f>+J100*K$99</f>
        <v>437.27482236154668</v>
      </c>
      <c r="L100" s="126">
        <f>+J100+K100</f>
        <v>2519.5358812260547</v>
      </c>
      <c r="M100" s="127">
        <f>+L100*M$99</f>
        <v>755.86076436781639</v>
      </c>
      <c r="N100" s="100">
        <f>+L100+M100</f>
        <v>3275.3966455938712</v>
      </c>
      <c r="O100" s="110">
        <f>+N100*O$99</f>
        <v>1310.1586582375485</v>
      </c>
      <c r="P100" s="111">
        <f>+N100+O100</f>
        <v>4585.5553038314192</v>
      </c>
      <c r="Q100" s="245" t="s">
        <v>169</v>
      </c>
    </row>
    <row r="101" spans="1:17" x14ac:dyDescent="0.35">
      <c r="A101" s="80"/>
      <c r="B101" s="124">
        <v>100522698</v>
      </c>
      <c r="C101" s="125" t="s">
        <v>162</v>
      </c>
      <c r="D101" s="126">
        <v>7790360986511</v>
      </c>
      <c r="E101" s="127">
        <v>14</v>
      </c>
      <c r="F101" s="100">
        <v>7</v>
      </c>
      <c r="G101" s="84">
        <v>42261.697434111236</v>
      </c>
      <c r="H101" s="187"/>
      <c r="I101" s="84">
        <f t="shared" ref="I101" si="75">+G101*(1-H101)</f>
        <v>42261.697434111236</v>
      </c>
      <c r="J101" s="152">
        <f>+I101/F101</f>
        <v>6037.3853477301764</v>
      </c>
      <c r="K101" s="152">
        <f>+J101*K$99</f>
        <v>1267.8509230233369</v>
      </c>
      <c r="L101" s="126">
        <f>+J101+K101</f>
        <v>7305.2362707535131</v>
      </c>
      <c r="M101" s="127">
        <f>+L101*M$99</f>
        <v>2191.5708812260536</v>
      </c>
      <c r="N101" s="100">
        <f>+L101+M101</f>
        <v>9496.8071519795667</v>
      </c>
      <c r="O101" s="110">
        <f>+N101*O$99</f>
        <v>3798.7228607918269</v>
      </c>
      <c r="P101" s="111">
        <f>+N101+O101</f>
        <v>13295.530012771393</v>
      </c>
      <c r="Q101" s="245" t="s">
        <v>191</v>
      </c>
    </row>
    <row r="102" spans="1:17" ht="15" thickBot="1" x14ac:dyDescent="0.4">
      <c r="B102" s="71"/>
      <c r="C102" s="72"/>
      <c r="D102" s="73"/>
      <c r="E102" s="72"/>
      <c r="F102" s="74"/>
      <c r="G102" s="75" t="e">
        <v>#N/A</v>
      </c>
      <c r="H102" s="74"/>
      <c r="I102" s="75" t="e">
        <f t="shared" ref="I102" si="76">+G102*(1-H102)</f>
        <v>#N/A</v>
      </c>
      <c r="J102" s="228"/>
      <c r="K102" s="229">
        <v>0.21</v>
      </c>
      <c r="L102" s="91"/>
      <c r="M102" s="93">
        <v>0.3</v>
      </c>
      <c r="N102" s="91"/>
      <c r="O102" s="93">
        <v>0.4</v>
      </c>
      <c r="P102" s="94"/>
    </row>
    <row r="103" spans="1:17" ht="15" thickBot="1" x14ac:dyDescent="0.4">
      <c r="B103" s="83">
        <v>100521457</v>
      </c>
      <c r="C103" s="97" t="s">
        <v>102</v>
      </c>
      <c r="D103" s="98">
        <v>7790360982254</v>
      </c>
      <c r="E103" s="127">
        <v>4.8</v>
      </c>
      <c r="F103" s="100">
        <v>16</v>
      </c>
      <c r="G103" s="84">
        <v>36796.265830721008</v>
      </c>
      <c r="H103" s="215"/>
      <c r="I103" s="84">
        <f t="shared" ref="I103:I106" si="77">+G103*(1-H103)</f>
        <v>36796.265830721008</v>
      </c>
      <c r="J103" s="152">
        <f t="shared" ref="J103:J106" si="78">+I103/F103</f>
        <v>2299.766614420063</v>
      </c>
      <c r="K103" s="152">
        <f>+J103*K$102</f>
        <v>482.9509890282132</v>
      </c>
      <c r="L103" s="126">
        <f>+J103+K103</f>
        <v>2782.7176034482763</v>
      </c>
      <c r="M103" s="127">
        <f>+L103*M$102</f>
        <v>834.81528103448284</v>
      </c>
      <c r="N103" s="100">
        <f>+L103+M103</f>
        <v>3617.5328844827591</v>
      </c>
      <c r="O103" s="110">
        <f>+N103*O$102</f>
        <v>1447.0131537931038</v>
      </c>
      <c r="P103" s="111">
        <f>+N103+O103</f>
        <v>5064.5460382758629</v>
      </c>
    </row>
    <row r="104" spans="1:17" ht="15" thickBot="1" x14ac:dyDescent="0.4">
      <c r="B104" s="83">
        <v>100521455</v>
      </c>
      <c r="C104" s="97" t="s">
        <v>103</v>
      </c>
      <c r="D104" s="98">
        <v>7790360982247</v>
      </c>
      <c r="E104" s="127">
        <v>4.8</v>
      </c>
      <c r="F104" s="100">
        <v>16</v>
      </c>
      <c r="G104" s="84">
        <v>36796.265830721008</v>
      </c>
      <c r="H104" s="215"/>
      <c r="I104" s="84">
        <f t="shared" si="77"/>
        <v>36796.265830721008</v>
      </c>
      <c r="J104" s="152">
        <f t="shared" si="78"/>
        <v>2299.766614420063</v>
      </c>
      <c r="K104" s="152">
        <f>+J104*K$102</f>
        <v>482.9509890282132</v>
      </c>
      <c r="L104" s="126">
        <f t="shared" ref="L104:L106" si="79">+J104+K104</f>
        <v>2782.7176034482763</v>
      </c>
      <c r="M104" s="127">
        <f>+L104*M$102</f>
        <v>834.81528103448284</v>
      </c>
      <c r="N104" s="100">
        <f t="shared" ref="N104:N106" si="80">+L104+M104</f>
        <v>3617.5328844827591</v>
      </c>
      <c r="O104" s="110">
        <f>+N104*O$102</f>
        <v>1447.0131537931038</v>
      </c>
      <c r="P104" s="111">
        <f t="shared" ref="P104:P106" si="81">+N104+O104</f>
        <v>5064.5460382758629</v>
      </c>
    </row>
    <row r="105" spans="1:17" ht="15" thickBot="1" x14ac:dyDescent="0.4">
      <c r="B105" s="83">
        <v>100521453</v>
      </c>
      <c r="C105" s="97" t="s">
        <v>104</v>
      </c>
      <c r="D105" s="98">
        <v>7790360982223</v>
      </c>
      <c r="E105" s="127">
        <v>5.4</v>
      </c>
      <c r="F105" s="100">
        <v>18</v>
      </c>
      <c r="G105" s="84">
        <v>35531.394192789987</v>
      </c>
      <c r="H105" s="215"/>
      <c r="I105" s="84">
        <f t="shared" si="77"/>
        <v>35531.394192789987</v>
      </c>
      <c r="J105" s="152">
        <f t="shared" si="78"/>
        <v>1973.9663440438881</v>
      </c>
      <c r="K105" s="152">
        <f>+J105*K$102</f>
        <v>414.53293224921646</v>
      </c>
      <c r="L105" s="126">
        <f t="shared" si="79"/>
        <v>2388.4992762931047</v>
      </c>
      <c r="M105" s="127">
        <f>+L105*M$102</f>
        <v>716.54978288793143</v>
      </c>
      <c r="N105" s="100">
        <f t="shared" si="80"/>
        <v>3105.0490591810362</v>
      </c>
      <c r="O105" s="110">
        <f>+N105*O$102</f>
        <v>1242.0196236724146</v>
      </c>
      <c r="P105" s="111">
        <f t="shared" si="81"/>
        <v>4347.0686828534508</v>
      </c>
    </row>
    <row r="106" spans="1:17" x14ac:dyDescent="0.35">
      <c r="B106" s="83">
        <v>100521454</v>
      </c>
      <c r="C106" s="97" t="s">
        <v>105</v>
      </c>
      <c r="D106" s="98">
        <v>7790360982230</v>
      </c>
      <c r="E106" s="127">
        <v>5.3999999999999995</v>
      </c>
      <c r="F106" s="100">
        <v>18</v>
      </c>
      <c r="G106" s="84">
        <v>35531.394192789987</v>
      </c>
      <c r="H106" s="215"/>
      <c r="I106" s="84">
        <f t="shared" si="77"/>
        <v>35531.394192789987</v>
      </c>
      <c r="J106" s="152">
        <f t="shared" si="78"/>
        <v>1973.9663440438881</v>
      </c>
      <c r="K106" s="152">
        <f>+J106*K$102</f>
        <v>414.53293224921646</v>
      </c>
      <c r="L106" s="126">
        <f t="shared" si="79"/>
        <v>2388.4992762931047</v>
      </c>
      <c r="M106" s="127">
        <f>+L106*M$102</f>
        <v>716.54978288793143</v>
      </c>
      <c r="N106" s="100">
        <f t="shared" si="80"/>
        <v>3105.0490591810362</v>
      </c>
      <c r="O106" s="110">
        <f>+N106*O$102</f>
        <v>1242.0196236724146</v>
      </c>
      <c r="P106" s="111">
        <f t="shared" si="81"/>
        <v>4347.0686828534508</v>
      </c>
    </row>
    <row r="107" spans="1:17" x14ac:dyDescent="0.35">
      <c r="B107" s="71"/>
      <c r="C107" s="72"/>
      <c r="D107" s="73"/>
      <c r="E107" s="199"/>
      <c r="F107" s="74"/>
      <c r="G107" s="74"/>
      <c r="H107" s="74"/>
      <c r="I107" s="75"/>
      <c r="J107" s="230"/>
      <c r="K107" s="231">
        <v>0.21</v>
      </c>
      <c r="L107" s="78"/>
      <c r="M107" s="78">
        <v>0.22</v>
      </c>
      <c r="N107" s="78"/>
      <c r="O107" s="78">
        <v>0.35</v>
      </c>
      <c r="P107" s="79"/>
    </row>
    <row r="108" spans="1:17" x14ac:dyDescent="0.35">
      <c r="B108" s="80">
        <v>100522246</v>
      </c>
      <c r="C108" s="42" t="s">
        <v>158</v>
      </c>
      <c r="D108" s="43">
        <v>7790360984234</v>
      </c>
      <c r="E108" s="81">
        <v>8.16</v>
      </c>
      <c r="F108" s="23">
        <v>48</v>
      </c>
      <c r="G108" s="24">
        <v>116812.71733730749</v>
      </c>
      <c r="H108" s="223"/>
      <c r="I108" s="24">
        <f t="shared" ref="I108:I109" si="82">+G108*(1-H108)</f>
        <v>116812.71733730749</v>
      </c>
      <c r="J108" s="24">
        <f t="shared" ref="J108:J109" si="83">+I108/F108</f>
        <v>2433.5982778605726</v>
      </c>
      <c r="K108" s="24">
        <f t="shared" ref="K108:K109" si="84">+J108*K$3</f>
        <v>511.05563835072024</v>
      </c>
      <c r="L108" s="24">
        <f t="shared" ref="L108:L109" si="85">+J108+K108</f>
        <v>2944.6539162112927</v>
      </c>
      <c r="M108" s="24">
        <f t="shared" ref="M108:M109" si="86">+L108*M$39</f>
        <v>588.9307832422586</v>
      </c>
      <c r="N108" s="24">
        <f t="shared" ref="N108:N109" si="87">+L108+M108</f>
        <v>3533.5846994535514</v>
      </c>
      <c r="O108" s="24">
        <f t="shared" ref="O108:O109" si="88">+N108*O$39</f>
        <v>1236.7546448087428</v>
      </c>
      <c r="P108" s="25">
        <f t="shared" ref="P108:P109" si="89">+N108+O108</f>
        <v>4770.3393442622946</v>
      </c>
    </row>
    <row r="109" spans="1:17" x14ac:dyDescent="0.35">
      <c r="B109" s="80">
        <v>100522247</v>
      </c>
      <c r="C109" s="42" t="s">
        <v>159</v>
      </c>
      <c r="D109" s="43">
        <v>7790360984241</v>
      </c>
      <c r="E109" s="81">
        <v>8.16</v>
      </c>
      <c r="F109" s="23">
        <v>48</v>
      </c>
      <c r="G109" s="24">
        <v>116812.71733730749</v>
      </c>
      <c r="H109" s="223"/>
      <c r="I109" s="24">
        <f t="shared" si="82"/>
        <v>116812.71733730749</v>
      </c>
      <c r="J109" s="24">
        <f t="shared" si="83"/>
        <v>2433.5982778605726</v>
      </c>
      <c r="K109" s="24">
        <f t="shared" si="84"/>
        <v>511.05563835072024</v>
      </c>
      <c r="L109" s="24">
        <f t="shared" si="85"/>
        <v>2944.6539162112927</v>
      </c>
      <c r="M109" s="24">
        <f t="shared" si="86"/>
        <v>588.9307832422586</v>
      </c>
      <c r="N109" s="24">
        <f t="shared" si="87"/>
        <v>3533.5846994535514</v>
      </c>
      <c r="O109" s="24">
        <f t="shared" si="88"/>
        <v>1236.7546448087428</v>
      </c>
      <c r="P109" s="25">
        <f t="shared" si="89"/>
        <v>4770.3393442622946</v>
      </c>
    </row>
  </sheetData>
  <conditionalFormatting sqref="A98:F98">
    <cfRule type="cellIs" dxfId="95" priority="5" stopIfTrue="1" operator="equal">
      <formula>0</formula>
    </cfRule>
  </conditionalFormatting>
  <conditionalFormatting sqref="A101:F101">
    <cfRule type="cellIs" dxfId="94" priority="3" stopIfTrue="1" operator="equal">
      <formula>0</formula>
    </cfRule>
  </conditionalFormatting>
  <conditionalFormatting sqref="B20:C20">
    <cfRule type="cellIs" dxfId="93" priority="69" stopIfTrue="1" operator="equal">
      <formula>0</formula>
    </cfRule>
  </conditionalFormatting>
  <conditionalFormatting sqref="B27:C27">
    <cfRule type="cellIs" dxfId="92" priority="60" stopIfTrue="1" operator="equal">
      <formula>0</formula>
    </cfRule>
  </conditionalFormatting>
  <conditionalFormatting sqref="B63:D63">
    <cfRule type="cellIs" dxfId="91" priority="67" stopIfTrue="1" operator="equal">
      <formula>0</formula>
    </cfRule>
  </conditionalFormatting>
  <conditionalFormatting sqref="B16:F19">
    <cfRule type="cellIs" dxfId="90" priority="56" stopIfTrue="1" operator="equal">
      <formula>0</formula>
    </cfRule>
  </conditionalFormatting>
  <conditionalFormatting sqref="B69:G69 I69:P69">
    <cfRule type="cellIs" dxfId="89" priority="9" stopIfTrue="1" operator="equal">
      <formula>0</formula>
    </cfRule>
  </conditionalFormatting>
  <conditionalFormatting sqref="B73:P74">
    <cfRule type="cellIs" dxfId="88" priority="8" stopIfTrue="1" operator="equal">
      <formula>0</formula>
    </cfRule>
  </conditionalFormatting>
  <conditionalFormatting sqref="C28">
    <cfRule type="cellIs" dxfId="87" priority="59" stopIfTrue="1" operator="equal">
      <formula>0</formula>
    </cfRule>
  </conditionalFormatting>
  <conditionalFormatting sqref="D94:F94">
    <cfRule type="cellIs" dxfId="86" priority="22" stopIfTrue="1" operator="equal">
      <formula>0</formula>
    </cfRule>
  </conditionalFormatting>
  <conditionalFormatting sqref="E20:F20">
    <cfRule type="cellIs" dxfId="85" priority="68" stopIfTrue="1" operator="equal">
      <formula>0</formula>
    </cfRule>
  </conditionalFormatting>
  <conditionalFormatting sqref="E89:F93">
    <cfRule type="cellIs" dxfId="84" priority="57" stopIfTrue="1" operator="equal">
      <formula>0</formula>
    </cfRule>
  </conditionalFormatting>
  <conditionalFormatting sqref="E96:F97">
    <cfRule type="cellIs" dxfId="83" priority="55" stopIfTrue="1" operator="equal">
      <formula>0</formula>
    </cfRule>
  </conditionalFormatting>
  <conditionalFormatting sqref="E100:F100">
    <cfRule type="cellIs" dxfId="82" priority="53" stopIfTrue="1" operator="equal">
      <formula>0</formula>
    </cfRule>
  </conditionalFormatting>
  <conditionalFormatting sqref="E103:F106">
    <cfRule type="cellIs" dxfId="81" priority="33" stopIfTrue="1" operator="equal">
      <formula>0</formula>
    </cfRule>
  </conditionalFormatting>
  <conditionalFormatting sqref="E58:G61">
    <cfRule type="cellIs" dxfId="80" priority="64" stopIfTrue="1" operator="equal">
      <formula>0</formula>
    </cfRule>
  </conditionalFormatting>
  <conditionalFormatting sqref="G16 I16:J16 G17:J20">
    <cfRule type="cellIs" dxfId="79" priority="51" stopIfTrue="1" operator="equal">
      <formula>0</formula>
    </cfRule>
  </conditionalFormatting>
  <conditionalFormatting sqref="H89:H94">
    <cfRule type="cellIs" dxfId="78" priority="7" stopIfTrue="1" operator="equal">
      <formula>0</formula>
    </cfRule>
  </conditionalFormatting>
  <conditionalFormatting sqref="H96:H98">
    <cfRule type="cellIs" dxfId="77" priority="11" stopIfTrue="1" operator="equal">
      <formula>0</formula>
    </cfRule>
  </conditionalFormatting>
  <conditionalFormatting sqref="H100:H101">
    <cfRule type="cellIs" dxfId="76" priority="10" stopIfTrue="1" operator="equal">
      <formula>0</formula>
    </cfRule>
  </conditionalFormatting>
  <conditionalFormatting sqref="H108:I109">
    <cfRule type="cellIs" dxfId="75" priority="6" stopIfTrue="1" operator="equal">
      <formula>0</formula>
    </cfRule>
  </conditionalFormatting>
  <conditionalFormatting sqref="J96:N98">
    <cfRule type="cellIs" dxfId="74" priority="54" stopIfTrue="1" operator="equal">
      <formula>0</formula>
    </cfRule>
  </conditionalFormatting>
  <conditionalFormatting sqref="J100:N101">
    <cfRule type="cellIs" dxfId="73" priority="52" stopIfTrue="1" operator="equal">
      <formula>0</formula>
    </cfRule>
  </conditionalFormatting>
  <conditionalFormatting sqref="J103:N106">
    <cfRule type="cellIs" dxfId="72" priority="30" stopIfTrue="1" operator="equal">
      <formula>0</formula>
    </cfRule>
  </conditionalFormatting>
  <conditionalFormatting sqref="J58:P61">
    <cfRule type="cellIs" dxfId="71" priority="49" stopIfTrue="1" operator="equal">
      <formula>0</formula>
    </cfRule>
  </conditionalFormatting>
  <conditionalFormatting sqref="J90:P94">
    <cfRule type="cellIs" dxfId="70" priority="58" stopIfTrue="1" operator="equal">
      <formula>0</formula>
    </cfRule>
  </conditionalFormatting>
  <conditionalFormatting sqref="M37:M38">
    <cfRule type="cellIs" dxfId="69" priority="62" stopIfTrue="1" operator="equal">
      <formula>0</formula>
    </cfRule>
  </conditionalFormatting>
  <conditionalFormatting sqref="M16:P20">
    <cfRule type="cellIs" dxfId="68" priority="61" stopIfTrue="1" operator="equal">
      <formula>0</formula>
    </cfRule>
  </conditionalFormatting>
  <conditionalFormatting sqref="H69">
    <cfRule type="cellIs" dxfId="67" priority="2" stopIfTrue="1" operator="equal">
      <formula>0</formula>
    </cfRule>
  </conditionalFormatting>
  <conditionalFormatting sqref="Q14">
    <cfRule type="cellIs" dxfId="66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EC1A-C29E-4792-B279-81D413924D60}">
  <dimension ref="A1:V109"/>
  <sheetViews>
    <sheetView topLeftCell="C89" zoomScaleNormal="100" workbookViewId="0">
      <selection activeCell="Q103" sqref="Q103:Q106"/>
    </sheetView>
  </sheetViews>
  <sheetFormatPr baseColWidth="10" defaultColWidth="11.453125" defaultRowHeight="14.5" outlineLevelCol="1" x14ac:dyDescent="0.35"/>
  <cols>
    <col min="1" max="1" width="2.81640625" customWidth="1"/>
    <col min="2" max="2" width="11.81640625" customWidth="1"/>
    <col min="3" max="3" width="46.1796875" bestFit="1" customWidth="1"/>
    <col min="4" max="4" width="12.1796875" hidden="1" customWidth="1"/>
    <col min="5" max="5" width="8" bestFit="1" customWidth="1"/>
    <col min="6" max="6" width="9.453125" bestFit="1" customWidth="1"/>
    <col min="7" max="7" width="9.453125" style="82" bestFit="1" customWidth="1"/>
    <col min="8" max="8" width="9.453125" customWidth="1"/>
    <col min="9" max="9" width="9.453125" style="82" bestFit="1" customWidth="1"/>
    <col min="10" max="15" width="11.453125" customWidth="1" outlineLevel="1"/>
    <col min="16" max="16" width="11.453125" style="77" customWidth="1"/>
    <col min="17" max="17" width="111.36328125" customWidth="1"/>
  </cols>
  <sheetData>
    <row r="1" spans="2:17" s="1" customFormat="1" ht="12.5" thickBot="1" x14ac:dyDescent="0.35">
      <c r="G1" s="2"/>
      <c r="I1" s="2"/>
      <c r="P1" s="3"/>
    </row>
    <row r="2" spans="2:17" s="1" customFormat="1" ht="36.5" thickBot="1" x14ac:dyDescent="0.35">
      <c r="B2" s="4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7" t="s">
        <v>88</v>
      </c>
      <c r="H2" s="6" t="s">
        <v>101</v>
      </c>
      <c r="I2" s="7" t="s">
        <v>5</v>
      </c>
      <c r="J2" s="8" t="s">
        <v>6</v>
      </c>
      <c r="K2" s="8" t="s">
        <v>7</v>
      </c>
      <c r="L2" s="8" t="s">
        <v>8</v>
      </c>
      <c r="M2" s="8" t="s">
        <v>9</v>
      </c>
      <c r="N2" s="8" t="s">
        <v>10</v>
      </c>
      <c r="O2" s="8" t="s">
        <v>11</v>
      </c>
      <c r="P2" s="9" t="s">
        <v>12</v>
      </c>
      <c r="Q2" s="9" t="s">
        <v>171</v>
      </c>
    </row>
    <row r="3" spans="2:17" s="1" customFormat="1" ht="12" x14ac:dyDescent="0.3">
      <c r="B3" s="12"/>
      <c r="C3" s="13"/>
      <c r="D3" s="14"/>
      <c r="E3" s="13"/>
      <c r="F3" s="13"/>
      <c r="G3" s="15"/>
      <c r="H3" s="13"/>
      <c r="I3" s="15"/>
      <c r="J3" s="16"/>
      <c r="K3" s="17">
        <v>0.21</v>
      </c>
      <c r="L3" s="16"/>
      <c r="M3" s="17">
        <v>0.3</v>
      </c>
      <c r="N3" s="16"/>
      <c r="O3" s="17">
        <v>0.4</v>
      </c>
      <c r="P3" s="18"/>
    </row>
    <row r="4" spans="2:17" x14ac:dyDescent="0.35">
      <c r="B4" s="213">
        <v>100021632</v>
      </c>
      <c r="C4" s="210" t="s">
        <v>14</v>
      </c>
      <c r="D4" s="98">
        <v>7790360026606</v>
      </c>
      <c r="E4" s="99">
        <v>4.8</v>
      </c>
      <c r="F4" s="100">
        <v>30</v>
      </c>
      <c r="G4" s="84">
        <v>49644.220339391453</v>
      </c>
      <c r="H4" s="102">
        <v>0.1</v>
      </c>
      <c r="I4" s="84">
        <f>+G4*(1-H4)</f>
        <v>44679.798305452307</v>
      </c>
      <c r="J4" s="84">
        <f>+I4/F4</f>
        <v>1489.3266101817435</v>
      </c>
      <c r="K4" s="84">
        <f>+J4*K$3</f>
        <v>312.75858813816615</v>
      </c>
      <c r="L4" s="84">
        <f>+J4+K4</f>
        <v>1802.0851983199095</v>
      </c>
      <c r="M4" s="84">
        <f>+L4*M$3</f>
        <v>540.62555949597288</v>
      </c>
      <c r="N4" s="84">
        <f>+L4+M4</f>
        <v>2342.7107578158825</v>
      </c>
      <c r="O4" s="84">
        <f>+N4*O$3</f>
        <v>937.08430312635301</v>
      </c>
      <c r="P4" s="101">
        <f>+N4+O4</f>
        <v>3279.7950609422355</v>
      </c>
      <c r="Q4" s="209" t="s">
        <v>207</v>
      </c>
    </row>
    <row r="5" spans="2:17" x14ac:dyDescent="0.35">
      <c r="B5" s="26">
        <v>100021652</v>
      </c>
      <c r="C5" s="20" t="s">
        <v>15</v>
      </c>
      <c r="D5" s="21">
        <v>7790360026576</v>
      </c>
      <c r="E5" s="22">
        <v>5.76</v>
      </c>
      <c r="F5" s="23">
        <v>18</v>
      </c>
      <c r="G5" s="24">
        <v>61568.924649034103</v>
      </c>
      <c r="H5" s="23"/>
      <c r="I5" s="24">
        <f t="shared" ref="I5:I77" si="0">+G5*(1-H5)</f>
        <v>61568.924649034103</v>
      </c>
      <c r="J5" s="24">
        <f t="shared" ref="J5:J77" si="1">+I5/F5</f>
        <v>3420.4958138352281</v>
      </c>
      <c r="K5" s="24">
        <f t="shared" ref="K5:K77" si="2">+J5*K$3</f>
        <v>718.30412090539789</v>
      </c>
      <c r="L5" s="24">
        <f t="shared" ref="L5:L77" si="3">+J5+K5</f>
        <v>4138.7999347406258</v>
      </c>
      <c r="M5" s="24">
        <f t="shared" ref="M5:M77" si="4">+L5*M$3</f>
        <v>1241.6399804221876</v>
      </c>
      <c r="N5" s="24">
        <f t="shared" ref="N5:N77" si="5">+L5+M5</f>
        <v>5380.4399151628131</v>
      </c>
      <c r="O5" s="24">
        <f t="shared" ref="O5:O77" si="6">+N5*O$3</f>
        <v>2152.1759660651255</v>
      </c>
      <c r="P5" s="25">
        <f t="shared" ref="P5:P77" si="7">+N5+O5</f>
        <v>7532.6158812279391</v>
      </c>
    </row>
    <row r="6" spans="2:17" x14ac:dyDescent="0.35">
      <c r="B6" s="26">
        <v>100021631</v>
      </c>
      <c r="C6" s="20" t="s">
        <v>16</v>
      </c>
      <c r="D6" s="21">
        <v>7790360026590</v>
      </c>
      <c r="E6" s="22">
        <v>7.68</v>
      </c>
      <c r="F6" s="23">
        <v>8</v>
      </c>
      <c r="G6" s="24">
        <v>71865.918967499994</v>
      </c>
      <c r="H6" s="23"/>
      <c r="I6" s="24">
        <f t="shared" si="0"/>
        <v>71865.918967499994</v>
      </c>
      <c r="J6" s="24">
        <f t="shared" si="1"/>
        <v>8983.2398709374993</v>
      </c>
      <c r="K6" s="24">
        <f t="shared" si="2"/>
        <v>1886.4803728968748</v>
      </c>
      <c r="L6" s="24">
        <f t="shared" si="3"/>
        <v>10869.720243834374</v>
      </c>
      <c r="M6" s="24">
        <f t="shared" si="4"/>
        <v>3260.9160731503121</v>
      </c>
      <c r="N6" s="24">
        <f t="shared" si="5"/>
        <v>14130.636316984686</v>
      </c>
      <c r="O6" s="24">
        <f t="shared" si="6"/>
        <v>5652.2545267938749</v>
      </c>
      <c r="P6" s="25">
        <f t="shared" si="7"/>
        <v>19782.890843778561</v>
      </c>
    </row>
    <row r="7" spans="2:17" x14ac:dyDescent="0.35">
      <c r="B7" s="26">
        <v>100021630</v>
      </c>
      <c r="C7" s="20" t="s">
        <v>17</v>
      </c>
      <c r="D7" s="21">
        <v>7790360026583</v>
      </c>
      <c r="E7" s="22">
        <v>9.6</v>
      </c>
      <c r="F7" s="23">
        <v>6</v>
      </c>
      <c r="G7" s="24">
        <v>87941.190315493441</v>
      </c>
      <c r="H7" s="23"/>
      <c r="I7" s="24">
        <f t="shared" si="0"/>
        <v>87941.190315493441</v>
      </c>
      <c r="J7" s="24">
        <f t="shared" si="1"/>
        <v>14656.86505258224</v>
      </c>
      <c r="K7" s="24">
        <f t="shared" si="2"/>
        <v>3077.94166104227</v>
      </c>
      <c r="L7" s="24">
        <f t="shared" si="3"/>
        <v>17734.806713624508</v>
      </c>
      <c r="M7" s="24">
        <f t="shared" si="4"/>
        <v>5320.4420140873526</v>
      </c>
      <c r="N7" s="24">
        <f t="shared" si="5"/>
        <v>23055.24872771186</v>
      </c>
      <c r="O7" s="24">
        <f t="shared" si="6"/>
        <v>9222.0994910847439</v>
      </c>
      <c r="P7" s="25">
        <f t="shared" si="7"/>
        <v>32277.348218796604</v>
      </c>
    </row>
    <row r="8" spans="2:17" x14ac:dyDescent="0.35">
      <c r="B8" s="27">
        <v>100021653</v>
      </c>
      <c r="C8" s="28" t="s">
        <v>18</v>
      </c>
      <c r="D8" s="21">
        <v>7790360026682</v>
      </c>
      <c r="E8" s="22">
        <v>5.76</v>
      </c>
      <c r="F8" s="23">
        <v>18</v>
      </c>
      <c r="G8" s="24">
        <v>62409.876998092113</v>
      </c>
      <c r="H8" s="23"/>
      <c r="I8" s="24">
        <f t="shared" si="0"/>
        <v>62409.876998092113</v>
      </c>
      <c r="J8" s="24">
        <f t="shared" si="1"/>
        <v>3467.2153887828954</v>
      </c>
      <c r="K8" s="24">
        <f t="shared" si="2"/>
        <v>728.11523164440803</v>
      </c>
      <c r="L8" s="24">
        <f t="shared" si="3"/>
        <v>4195.3306204273031</v>
      </c>
      <c r="M8" s="24">
        <f t="shared" si="4"/>
        <v>1258.5991861281909</v>
      </c>
      <c r="N8" s="24">
        <f t="shared" si="5"/>
        <v>5453.929806555494</v>
      </c>
      <c r="O8" s="24">
        <f t="shared" si="6"/>
        <v>2181.5719226221977</v>
      </c>
      <c r="P8" s="25">
        <f t="shared" si="7"/>
        <v>7635.5017291776912</v>
      </c>
    </row>
    <row r="9" spans="2:17" x14ac:dyDescent="0.35">
      <c r="B9" s="27">
        <v>100516169</v>
      </c>
      <c r="C9" s="28" t="s">
        <v>19</v>
      </c>
      <c r="D9" s="21">
        <v>7790360967961</v>
      </c>
      <c r="E9" s="22">
        <v>5.76</v>
      </c>
      <c r="F9" s="23">
        <v>18</v>
      </c>
      <c r="G9" s="24">
        <v>47534.511197250016</v>
      </c>
      <c r="H9" s="23"/>
      <c r="I9" s="24">
        <f t="shared" si="0"/>
        <v>47534.511197250016</v>
      </c>
      <c r="J9" s="24">
        <f t="shared" si="1"/>
        <v>2640.8061776250011</v>
      </c>
      <c r="K9" s="24">
        <f t="shared" si="2"/>
        <v>554.56929730125023</v>
      </c>
      <c r="L9" s="24">
        <f t="shared" si="3"/>
        <v>3195.3754749262512</v>
      </c>
      <c r="M9" s="24">
        <f t="shared" si="4"/>
        <v>958.61264247787528</v>
      </c>
      <c r="N9" s="24">
        <f t="shared" si="5"/>
        <v>4153.9881174041266</v>
      </c>
      <c r="O9" s="24">
        <f t="shared" si="6"/>
        <v>1661.5952469616507</v>
      </c>
      <c r="P9" s="25">
        <f t="shared" si="7"/>
        <v>5815.583364365777</v>
      </c>
    </row>
    <row r="10" spans="2:17" x14ac:dyDescent="0.35">
      <c r="B10" s="27">
        <v>100520337</v>
      </c>
      <c r="C10" s="28" t="s">
        <v>20</v>
      </c>
      <c r="D10" s="21">
        <v>7790360977960</v>
      </c>
      <c r="E10" s="22">
        <v>4.8</v>
      </c>
      <c r="F10" s="23">
        <v>30</v>
      </c>
      <c r="G10" s="24">
        <v>33129.532894736847</v>
      </c>
      <c r="H10" s="23"/>
      <c r="I10" s="24">
        <f t="shared" si="0"/>
        <v>33129.532894736847</v>
      </c>
      <c r="J10" s="24">
        <f>+I10/F10</f>
        <v>1104.3177631578949</v>
      </c>
      <c r="K10" s="24">
        <f>+J10*K$3</f>
        <v>231.90673026315793</v>
      </c>
      <c r="L10" s="24">
        <f>+J10+K10</f>
        <v>1336.2244934210528</v>
      </c>
      <c r="M10" s="24">
        <f>+L10*M$3</f>
        <v>400.86734802631582</v>
      </c>
      <c r="N10" s="24">
        <f>+L10+M10</f>
        <v>1737.0918414473686</v>
      </c>
      <c r="O10" s="24">
        <f>+N10*O$3</f>
        <v>694.83673657894747</v>
      </c>
      <c r="P10" s="25">
        <f>+N10+O10</f>
        <v>2431.9285780263162</v>
      </c>
      <c r="Q10" s="209" t="s">
        <v>208</v>
      </c>
    </row>
    <row r="11" spans="2:17" x14ac:dyDescent="0.35">
      <c r="B11" s="83">
        <v>100021503</v>
      </c>
      <c r="C11" s="97" t="s">
        <v>21</v>
      </c>
      <c r="D11" s="98">
        <v>7790360966841</v>
      </c>
      <c r="E11" s="99">
        <v>3.3119999999999998</v>
      </c>
      <c r="F11" s="100">
        <v>12</v>
      </c>
      <c r="G11" s="84">
        <v>26675.474694976081</v>
      </c>
      <c r="H11" s="193">
        <v>0.1</v>
      </c>
      <c r="I11" s="84">
        <f t="shared" si="0"/>
        <v>24007.927225478474</v>
      </c>
      <c r="J11" s="84">
        <f t="shared" si="1"/>
        <v>2000.6606021232062</v>
      </c>
      <c r="K11" s="84">
        <f t="shared" si="2"/>
        <v>420.13872644587332</v>
      </c>
      <c r="L11" s="84">
        <f t="shared" si="3"/>
        <v>2420.7993285690795</v>
      </c>
      <c r="M11" s="84">
        <f t="shared" si="4"/>
        <v>726.23979857072379</v>
      </c>
      <c r="N11" s="84">
        <f t="shared" si="5"/>
        <v>3147.0391271398034</v>
      </c>
      <c r="O11" s="84">
        <f t="shared" si="6"/>
        <v>1258.8156508559214</v>
      </c>
      <c r="P11" s="101">
        <f t="shared" si="7"/>
        <v>4405.8547779957244</v>
      </c>
      <c r="Q11" s="209" t="s">
        <v>194</v>
      </c>
    </row>
    <row r="12" spans="2:17" x14ac:dyDescent="0.35">
      <c r="B12" s="27">
        <v>100516201</v>
      </c>
      <c r="C12" s="28" t="s">
        <v>22</v>
      </c>
      <c r="D12" s="21">
        <v>7790360968548</v>
      </c>
      <c r="E12" s="22">
        <v>6.6239999999999997</v>
      </c>
      <c r="F12" s="23">
        <v>8</v>
      </c>
      <c r="G12" s="24">
        <v>52677.443510289428</v>
      </c>
      <c r="H12" s="194"/>
      <c r="I12" s="24">
        <f t="shared" si="0"/>
        <v>52677.443510289428</v>
      </c>
      <c r="J12" s="24">
        <f t="shared" si="1"/>
        <v>6584.6804387861785</v>
      </c>
      <c r="K12" s="24">
        <f t="shared" si="2"/>
        <v>1382.7828921450973</v>
      </c>
      <c r="L12" s="24">
        <f t="shared" si="3"/>
        <v>7967.4633309312758</v>
      </c>
      <c r="M12" s="24">
        <f t="shared" si="4"/>
        <v>2390.2389992793828</v>
      </c>
      <c r="N12" s="24">
        <f t="shared" si="5"/>
        <v>10357.702330210659</v>
      </c>
      <c r="O12" s="24">
        <f t="shared" si="6"/>
        <v>4143.0809320842636</v>
      </c>
      <c r="P12" s="25">
        <f t="shared" si="7"/>
        <v>14500.783262294923</v>
      </c>
      <c r="Q12" s="190"/>
    </row>
    <row r="13" spans="2:17" x14ac:dyDescent="0.35">
      <c r="B13" s="27">
        <v>100021643</v>
      </c>
      <c r="C13" s="28" t="s">
        <v>23</v>
      </c>
      <c r="D13" s="21">
        <v>7790360966797</v>
      </c>
      <c r="E13" s="22">
        <v>4.7039999999999997</v>
      </c>
      <c r="F13" s="23">
        <v>42</v>
      </c>
      <c r="G13" s="24">
        <v>29523.789473684217</v>
      </c>
      <c r="H13" s="23"/>
      <c r="I13" s="24">
        <f t="shared" si="0"/>
        <v>29523.789473684217</v>
      </c>
      <c r="J13" s="24">
        <f t="shared" si="1"/>
        <v>702.94736842105283</v>
      </c>
      <c r="K13" s="24">
        <f t="shared" si="2"/>
        <v>147.61894736842109</v>
      </c>
      <c r="L13" s="24">
        <f t="shared" si="3"/>
        <v>850.56631578947395</v>
      </c>
      <c r="M13" s="24">
        <f t="shared" si="4"/>
        <v>255.16989473684217</v>
      </c>
      <c r="N13" s="24">
        <f t="shared" si="5"/>
        <v>1105.7362105263162</v>
      </c>
      <c r="O13" s="24">
        <f t="shared" si="6"/>
        <v>442.29448421052649</v>
      </c>
      <c r="P13" s="25">
        <f t="shared" si="7"/>
        <v>1548.0306947368426</v>
      </c>
      <c r="Q13" s="190"/>
    </row>
    <row r="14" spans="2:17" x14ac:dyDescent="0.35">
      <c r="B14" s="27">
        <v>100516325</v>
      </c>
      <c r="C14" s="28" t="s">
        <v>24</v>
      </c>
      <c r="D14" s="21">
        <v>7790360967763</v>
      </c>
      <c r="E14" s="22">
        <v>4.7039999999999997</v>
      </c>
      <c r="F14" s="23">
        <v>21</v>
      </c>
      <c r="G14" s="24">
        <v>31743.885524026668</v>
      </c>
      <c r="H14" s="23"/>
      <c r="I14" s="24">
        <f t="shared" si="0"/>
        <v>31743.885524026668</v>
      </c>
      <c r="J14" s="24">
        <f t="shared" si="1"/>
        <v>1511.6135963822223</v>
      </c>
      <c r="K14" s="24">
        <f t="shared" si="2"/>
        <v>317.43885524026666</v>
      </c>
      <c r="L14" s="24">
        <f t="shared" si="3"/>
        <v>1829.0524516224891</v>
      </c>
      <c r="M14" s="24">
        <f t="shared" si="4"/>
        <v>548.71573548674667</v>
      </c>
      <c r="N14" s="24">
        <f t="shared" si="5"/>
        <v>2377.7681871092359</v>
      </c>
      <c r="O14" s="24">
        <f t="shared" si="6"/>
        <v>951.10727484369443</v>
      </c>
      <c r="P14" s="25">
        <f t="shared" si="7"/>
        <v>3328.8754619529304</v>
      </c>
      <c r="Q14" s="190"/>
    </row>
    <row r="15" spans="2:17" x14ac:dyDescent="0.35">
      <c r="B15" s="27">
        <v>100021676</v>
      </c>
      <c r="C15" s="28" t="s">
        <v>25</v>
      </c>
      <c r="D15" s="21">
        <v>7790360967411</v>
      </c>
      <c r="E15" s="22">
        <v>7.5</v>
      </c>
      <c r="F15" s="23">
        <v>30</v>
      </c>
      <c r="G15" s="24">
        <v>75479.837767643548</v>
      </c>
      <c r="H15" s="141"/>
      <c r="I15" s="24">
        <f t="shared" si="0"/>
        <v>75479.837767643548</v>
      </c>
      <c r="J15" s="24">
        <f t="shared" si="1"/>
        <v>2515.9945922547849</v>
      </c>
      <c r="K15" s="24">
        <f t="shared" si="2"/>
        <v>528.35886437350484</v>
      </c>
      <c r="L15" s="24">
        <f t="shared" si="3"/>
        <v>3044.3534566282897</v>
      </c>
      <c r="M15" s="24">
        <f t="shared" si="4"/>
        <v>913.30603698848688</v>
      </c>
      <c r="N15" s="24">
        <f t="shared" si="5"/>
        <v>3957.6594936167767</v>
      </c>
      <c r="O15" s="24">
        <f t="shared" si="6"/>
        <v>1583.0637974467109</v>
      </c>
      <c r="P15" s="25">
        <f t="shared" si="7"/>
        <v>5540.7232910634875</v>
      </c>
      <c r="Q15" s="190"/>
    </row>
    <row r="16" spans="2:17" x14ac:dyDescent="0.35">
      <c r="B16" s="83">
        <v>100516008</v>
      </c>
      <c r="C16" s="97" t="s">
        <v>26</v>
      </c>
      <c r="D16" s="98">
        <v>7790360967701</v>
      </c>
      <c r="E16" s="99">
        <v>5.76</v>
      </c>
      <c r="F16" s="100">
        <v>24</v>
      </c>
      <c r="G16" s="84">
        <v>68994.307364733933</v>
      </c>
      <c r="H16" s="196">
        <v>9.0899999999999995E-2</v>
      </c>
      <c r="I16" s="84">
        <f t="shared" si="0"/>
        <v>62722.72482527962</v>
      </c>
      <c r="J16" s="84">
        <f t="shared" si="1"/>
        <v>2613.4468677199843</v>
      </c>
      <c r="K16" s="84">
        <f t="shared" si="2"/>
        <v>548.82384222119674</v>
      </c>
      <c r="L16" s="84">
        <f t="shared" si="3"/>
        <v>3162.2707099411809</v>
      </c>
      <c r="M16" s="84">
        <f t="shared" si="4"/>
        <v>948.68121298235428</v>
      </c>
      <c r="N16" s="84">
        <f t="shared" si="5"/>
        <v>4110.9519229235357</v>
      </c>
      <c r="O16" s="84">
        <f t="shared" si="6"/>
        <v>1644.3807691694144</v>
      </c>
      <c r="P16" s="101">
        <f t="shared" si="7"/>
        <v>5755.3326920929503</v>
      </c>
      <c r="Q16" s="209" t="s">
        <v>156</v>
      </c>
    </row>
    <row r="17" spans="1:17" x14ac:dyDescent="0.35">
      <c r="B17" s="27">
        <v>100520834</v>
      </c>
      <c r="C17" s="28" t="s">
        <v>27</v>
      </c>
      <c r="D17" s="21">
        <v>7790360980618</v>
      </c>
      <c r="E17" s="22">
        <v>6.66</v>
      </c>
      <c r="F17" s="23">
        <v>36</v>
      </c>
      <c r="G17" s="24">
        <v>67560.058709650781</v>
      </c>
      <c r="H17" s="195"/>
      <c r="I17" s="24">
        <f t="shared" si="0"/>
        <v>67560.058709650781</v>
      </c>
      <c r="J17" s="24">
        <f>+I17/F17</f>
        <v>1876.6682974902994</v>
      </c>
      <c r="K17" s="24">
        <f>+J17*K$3</f>
        <v>394.10034247296289</v>
      </c>
      <c r="L17" s="24">
        <f>+J17+K17</f>
        <v>2270.7686399632621</v>
      </c>
      <c r="M17" s="24">
        <f>+L17*M$3</f>
        <v>681.23059198897863</v>
      </c>
      <c r="N17" s="24">
        <f>+L17+M17</f>
        <v>2951.9992319522407</v>
      </c>
      <c r="O17" s="24">
        <f>+N17*O$3</f>
        <v>1180.7996927808963</v>
      </c>
      <c r="P17" s="25">
        <f>+N17+O17</f>
        <v>4132.798924733137</v>
      </c>
    </row>
    <row r="18" spans="1:17" x14ac:dyDescent="0.35">
      <c r="B18" s="27">
        <v>100021680</v>
      </c>
      <c r="C18" s="28" t="s">
        <v>28</v>
      </c>
      <c r="D18" s="21">
        <v>7790360967688</v>
      </c>
      <c r="E18" s="22">
        <v>4.32</v>
      </c>
      <c r="F18" s="23">
        <v>18</v>
      </c>
      <c r="G18" s="24" t="e">
        <v>#N/A</v>
      </c>
      <c r="H18" s="214"/>
      <c r="I18" s="24" t="e">
        <f t="shared" si="0"/>
        <v>#N/A</v>
      </c>
      <c r="J18" s="24" t="e">
        <f t="shared" si="1"/>
        <v>#N/A</v>
      </c>
      <c r="K18" s="24" t="e">
        <f t="shared" si="2"/>
        <v>#N/A</v>
      </c>
      <c r="L18" s="24" t="e">
        <f t="shared" si="3"/>
        <v>#N/A</v>
      </c>
      <c r="M18" s="24" t="e">
        <f t="shared" si="4"/>
        <v>#N/A</v>
      </c>
      <c r="N18" s="24" t="e">
        <f t="shared" si="5"/>
        <v>#N/A</v>
      </c>
      <c r="O18" s="24" t="e">
        <f t="shared" si="6"/>
        <v>#N/A</v>
      </c>
      <c r="P18" s="25" t="e">
        <f t="shared" si="7"/>
        <v>#N/A</v>
      </c>
    </row>
    <row r="19" spans="1:17" x14ac:dyDescent="0.35">
      <c r="B19" s="83">
        <v>100021644</v>
      </c>
      <c r="C19" s="97" t="s">
        <v>29</v>
      </c>
      <c r="D19" s="98">
        <v>7790360008541</v>
      </c>
      <c r="E19" s="99">
        <v>4.7039999999999997</v>
      </c>
      <c r="F19" s="100">
        <v>42</v>
      </c>
      <c r="G19" s="84">
        <v>25087.984885384623</v>
      </c>
      <c r="H19" s="196">
        <v>9.2399999999999996E-2</v>
      </c>
      <c r="I19" s="84">
        <f t="shared" si="0"/>
        <v>22769.855081975082</v>
      </c>
      <c r="J19" s="84">
        <f t="shared" si="1"/>
        <v>542.13940671369244</v>
      </c>
      <c r="K19" s="84">
        <f t="shared" si="2"/>
        <v>113.8492754098754</v>
      </c>
      <c r="L19" s="84">
        <f t="shared" si="3"/>
        <v>655.98868212356786</v>
      </c>
      <c r="M19" s="84">
        <f>+L19*0.33</f>
        <v>216.4762651007774</v>
      </c>
      <c r="N19" s="84">
        <f t="shared" si="5"/>
        <v>872.46494722434522</v>
      </c>
      <c r="O19" s="84">
        <f t="shared" si="6"/>
        <v>348.98597888973813</v>
      </c>
      <c r="P19" s="101">
        <f t="shared" si="7"/>
        <v>1221.4509261140834</v>
      </c>
      <c r="Q19" s="209" t="s">
        <v>195</v>
      </c>
    </row>
    <row r="20" spans="1:17" x14ac:dyDescent="0.35">
      <c r="B20" s="27">
        <v>100021677</v>
      </c>
      <c r="C20" s="28" t="s">
        <v>30</v>
      </c>
      <c r="D20" s="21">
        <v>7790360967404</v>
      </c>
      <c r="E20" s="22">
        <v>3.3119999999999998</v>
      </c>
      <c r="F20" s="23">
        <v>12</v>
      </c>
      <c r="G20" s="24">
        <v>18951.344788024828</v>
      </c>
      <c r="H20" s="23"/>
      <c r="I20" s="24">
        <f t="shared" si="0"/>
        <v>18951.344788024828</v>
      </c>
      <c r="J20" s="24">
        <f t="shared" si="1"/>
        <v>1579.2787323354023</v>
      </c>
      <c r="K20" s="24">
        <f t="shared" si="2"/>
        <v>331.6485337904345</v>
      </c>
      <c r="L20" s="24">
        <f t="shared" si="3"/>
        <v>1910.9272661258369</v>
      </c>
      <c r="M20" s="24">
        <f>+L20*0.33</f>
        <v>630.60599782152622</v>
      </c>
      <c r="N20" s="24">
        <f t="shared" si="5"/>
        <v>2541.5332639473631</v>
      </c>
      <c r="O20" s="24">
        <f t="shared" si="6"/>
        <v>1016.6133055789453</v>
      </c>
      <c r="P20" s="25">
        <f t="shared" si="7"/>
        <v>3558.1465695263087</v>
      </c>
    </row>
    <row r="21" spans="1:17" x14ac:dyDescent="0.35">
      <c r="B21" s="27">
        <v>100021638</v>
      </c>
      <c r="C21" s="28" t="s">
        <v>31</v>
      </c>
      <c r="D21" s="21">
        <v>7790360026699</v>
      </c>
      <c r="E21" s="22">
        <v>4.8</v>
      </c>
      <c r="F21" s="23">
        <v>60</v>
      </c>
      <c r="G21" s="24">
        <v>57143.82605444824</v>
      </c>
      <c r="H21" s="23"/>
      <c r="I21" s="24">
        <f t="shared" si="0"/>
        <v>57143.82605444824</v>
      </c>
      <c r="J21" s="24">
        <f t="shared" si="1"/>
        <v>952.39710090747064</v>
      </c>
      <c r="K21" s="24">
        <f t="shared" si="2"/>
        <v>200.00339119056883</v>
      </c>
      <c r="L21" s="24">
        <f t="shared" si="3"/>
        <v>1152.4004920980394</v>
      </c>
      <c r="M21" s="24">
        <f t="shared" si="4"/>
        <v>345.72014762941183</v>
      </c>
      <c r="N21" s="24">
        <f t="shared" si="5"/>
        <v>1498.1206397274514</v>
      </c>
      <c r="O21" s="24">
        <f t="shared" si="6"/>
        <v>599.24825589098054</v>
      </c>
      <c r="P21" s="25">
        <f t="shared" si="7"/>
        <v>2097.3688956184319</v>
      </c>
    </row>
    <row r="22" spans="1:17" x14ac:dyDescent="0.35">
      <c r="B22" s="27">
        <v>100021575</v>
      </c>
      <c r="C22" s="28" t="s">
        <v>32</v>
      </c>
      <c r="D22" s="21">
        <v>7790360007032</v>
      </c>
      <c r="E22" s="22">
        <v>4.1399999999999997</v>
      </c>
      <c r="F22" s="23">
        <v>60</v>
      </c>
      <c r="G22" s="24">
        <v>46409.355158001636</v>
      </c>
      <c r="H22" s="23"/>
      <c r="I22" s="24">
        <f t="shared" si="0"/>
        <v>46409.355158001636</v>
      </c>
      <c r="J22" s="24">
        <f t="shared" si="1"/>
        <v>773.48925263336059</v>
      </c>
      <c r="K22" s="24">
        <f t="shared" si="2"/>
        <v>162.43274305300571</v>
      </c>
      <c r="L22" s="24">
        <f t="shared" si="3"/>
        <v>935.92199568636624</v>
      </c>
      <c r="M22" s="24">
        <f t="shared" si="4"/>
        <v>280.77659870590986</v>
      </c>
      <c r="N22" s="24">
        <f t="shared" si="5"/>
        <v>1216.6985943922762</v>
      </c>
      <c r="O22" s="24">
        <f t="shared" si="6"/>
        <v>486.67943775691049</v>
      </c>
      <c r="P22" s="25">
        <f t="shared" si="7"/>
        <v>1703.3780321491868</v>
      </c>
    </row>
    <row r="23" spans="1:17" x14ac:dyDescent="0.35">
      <c r="B23" s="27">
        <v>100021514</v>
      </c>
      <c r="C23" s="28" t="s">
        <v>33</v>
      </c>
      <c r="D23" s="21">
        <v>7790360006943</v>
      </c>
      <c r="E23" s="22">
        <v>4.1399999999999997</v>
      </c>
      <c r="F23" s="23">
        <v>60</v>
      </c>
      <c r="G23" s="24">
        <v>42648.723229987387</v>
      </c>
      <c r="H23" s="23"/>
      <c r="I23" s="24">
        <f t="shared" si="0"/>
        <v>42648.723229987387</v>
      </c>
      <c r="J23" s="24">
        <f t="shared" si="1"/>
        <v>710.81205383312306</v>
      </c>
      <c r="K23" s="24">
        <f t="shared" si="2"/>
        <v>149.27053130495582</v>
      </c>
      <c r="L23" s="24">
        <f t="shared" si="3"/>
        <v>860.08258513807891</v>
      </c>
      <c r="M23" s="24">
        <f t="shared" si="4"/>
        <v>258.02477554142365</v>
      </c>
      <c r="N23" s="24">
        <f t="shared" si="5"/>
        <v>1118.1073606795026</v>
      </c>
      <c r="O23" s="24">
        <f t="shared" si="6"/>
        <v>447.24294427180104</v>
      </c>
      <c r="P23" s="25">
        <f t="shared" si="7"/>
        <v>1565.3503049513035</v>
      </c>
    </row>
    <row r="24" spans="1:17" x14ac:dyDescent="0.35">
      <c r="B24" s="26">
        <v>100516208</v>
      </c>
      <c r="C24" s="30" t="s">
        <v>34</v>
      </c>
      <c r="D24" s="31">
        <v>7790360968203</v>
      </c>
      <c r="E24" s="22">
        <f>60*0.08</f>
        <v>4.8</v>
      </c>
      <c r="F24" s="23">
        <v>60</v>
      </c>
      <c r="G24" s="24">
        <v>48943.251530188434</v>
      </c>
      <c r="H24" s="23"/>
      <c r="I24" s="24">
        <f t="shared" si="0"/>
        <v>48943.251530188434</v>
      </c>
      <c r="J24" s="24">
        <f t="shared" si="1"/>
        <v>815.72085883647389</v>
      </c>
      <c r="K24" s="24">
        <f t="shared" si="2"/>
        <v>171.30138035565952</v>
      </c>
      <c r="L24" s="24">
        <f t="shared" si="3"/>
        <v>987.02223919213338</v>
      </c>
      <c r="M24" s="24">
        <f t="shared" si="4"/>
        <v>296.10667175764002</v>
      </c>
      <c r="N24" s="24">
        <f t="shared" si="5"/>
        <v>1283.1289109497734</v>
      </c>
      <c r="O24" s="24">
        <f t="shared" si="6"/>
        <v>513.25156437990938</v>
      </c>
      <c r="P24" s="25">
        <f t="shared" si="7"/>
        <v>1796.3804753296827</v>
      </c>
    </row>
    <row r="25" spans="1:17" x14ac:dyDescent="0.35">
      <c r="B25" s="27">
        <v>100518346</v>
      </c>
      <c r="C25" s="28" t="s">
        <v>35</v>
      </c>
      <c r="D25" s="21"/>
      <c r="E25" s="22">
        <v>6.54</v>
      </c>
      <c r="F25" s="23">
        <v>60</v>
      </c>
      <c r="G25" s="24">
        <v>67309.772531827082</v>
      </c>
      <c r="H25" s="23"/>
      <c r="I25" s="24">
        <f t="shared" si="0"/>
        <v>67309.772531827082</v>
      </c>
      <c r="J25" s="24">
        <f t="shared" si="1"/>
        <v>1121.8295421971181</v>
      </c>
      <c r="K25" s="24">
        <f t="shared" si="2"/>
        <v>235.5842038613948</v>
      </c>
      <c r="L25" s="24">
        <f t="shared" si="3"/>
        <v>1357.413746058513</v>
      </c>
      <c r="M25" s="24">
        <f t="shared" si="4"/>
        <v>407.2241238175539</v>
      </c>
      <c r="N25" s="24">
        <f t="shared" si="5"/>
        <v>1764.6378698760668</v>
      </c>
      <c r="O25" s="24">
        <f t="shared" si="6"/>
        <v>705.85514795042673</v>
      </c>
      <c r="P25" s="25">
        <f t="shared" si="7"/>
        <v>2470.4930178264935</v>
      </c>
    </row>
    <row r="26" spans="1:17" x14ac:dyDescent="0.35">
      <c r="B26" s="27">
        <v>100516259</v>
      </c>
      <c r="C26" s="28" t="s">
        <v>36</v>
      </c>
      <c r="D26" s="21">
        <v>7790360968340</v>
      </c>
      <c r="E26" s="22">
        <v>18.16</v>
      </c>
      <c r="F26" s="23">
        <v>48</v>
      </c>
      <c r="G26" s="24">
        <v>158514.93796488937</v>
      </c>
      <c r="H26" s="23"/>
      <c r="I26" s="24">
        <f t="shared" si="0"/>
        <v>158514.93796488937</v>
      </c>
      <c r="J26" s="24">
        <f t="shared" si="1"/>
        <v>3302.394540935195</v>
      </c>
      <c r="K26" s="24">
        <f t="shared" si="2"/>
        <v>693.50285359639088</v>
      </c>
      <c r="L26" s="24">
        <f t="shared" si="3"/>
        <v>3995.8973945315856</v>
      </c>
      <c r="M26" s="24">
        <f t="shared" si="4"/>
        <v>1198.7692183594756</v>
      </c>
      <c r="N26" s="24">
        <f t="shared" si="5"/>
        <v>5194.666612891061</v>
      </c>
      <c r="O26" s="24">
        <f t="shared" si="6"/>
        <v>2077.8666451564245</v>
      </c>
      <c r="P26" s="25">
        <f t="shared" si="7"/>
        <v>7272.533258047486</v>
      </c>
    </row>
    <row r="27" spans="1:17" x14ac:dyDescent="0.35">
      <c r="B27" s="85">
        <v>100518095</v>
      </c>
      <c r="C27" s="28" t="s">
        <v>37</v>
      </c>
      <c r="D27" s="21">
        <v>7790360974785</v>
      </c>
      <c r="E27" s="22">
        <v>6.66</v>
      </c>
      <c r="F27" s="23">
        <v>36</v>
      </c>
      <c r="G27" s="24">
        <v>75218.580730520873</v>
      </c>
      <c r="H27" s="23"/>
      <c r="I27" s="24">
        <f t="shared" si="0"/>
        <v>75218.580730520873</v>
      </c>
      <c r="J27" s="24">
        <f t="shared" si="1"/>
        <v>2089.4050202922463</v>
      </c>
      <c r="K27" s="24">
        <f t="shared" si="2"/>
        <v>438.77505426137168</v>
      </c>
      <c r="L27" s="24">
        <f t="shared" si="3"/>
        <v>2528.1800745536179</v>
      </c>
      <c r="M27" s="24">
        <f t="shared" si="4"/>
        <v>758.45402236608538</v>
      </c>
      <c r="N27" s="24">
        <f t="shared" si="5"/>
        <v>3286.6340969197036</v>
      </c>
      <c r="O27" s="24">
        <f t="shared" si="6"/>
        <v>1314.6536387678816</v>
      </c>
      <c r="P27" s="25">
        <f t="shared" si="7"/>
        <v>4601.2877356875852</v>
      </c>
    </row>
    <row r="28" spans="1:17" x14ac:dyDescent="0.35">
      <c r="B28" s="27">
        <v>100518223</v>
      </c>
      <c r="C28" s="28" t="s">
        <v>38</v>
      </c>
      <c r="D28" s="21">
        <v>7790360975065</v>
      </c>
      <c r="E28" s="22">
        <f>60*0.106</f>
        <v>6.3599999999999994</v>
      </c>
      <c r="F28" s="23">
        <v>30</v>
      </c>
      <c r="G28" s="24">
        <v>58561.845335696613</v>
      </c>
      <c r="H28" s="23"/>
      <c r="I28" s="24">
        <f t="shared" si="0"/>
        <v>58561.845335696613</v>
      </c>
      <c r="J28" s="24">
        <f t="shared" si="1"/>
        <v>1952.0615111898871</v>
      </c>
      <c r="K28" s="24">
        <f t="shared" si="2"/>
        <v>409.93291734987628</v>
      </c>
      <c r="L28" s="24">
        <f t="shared" si="3"/>
        <v>2361.9944285397632</v>
      </c>
      <c r="M28" s="24">
        <f t="shared" si="4"/>
        <v>708.59832856192895</v>
      </c>
      <c r="N28" s="24">
        <f t="shared" si="5"/>
        <v>3070.5927571016923</v>
      </c>
      <c r="O28" s="24">
        <f t="shared" si="6"/>
        <v>1228.2371028406769</v>
      </c>
      <c r="P28" s="25">
        <f t="shared" si="7"/>
        <v>4298.8298599423688</v>
      </c>
    </row>
    <row r="29" spans="1:17" x14ac:dyDescent="0.35">
      <c r="B29" s="32"/>
      <c r="C29" s="33"/>
      <c r="D29" s="34"/>
      <c r="E29" s="33"/>
      <c r="F29" s="35"/>
      <c r="G29" s="35" t="e">
        <v>#N/A</v>
      </c>
      <c r="H29" s="35"/>
      <c r="I29" s="35" t="e">
        <f t="shared" si="0"/>
        <v>#N/A</v>
      </c>
      <c r="J29" s="37" t="e">
        <f t="shared" si="1"/>
        <v>#N/A</v>
      </c>
      <c r="K29" s="38">
        <v>0.21</v>
      </c>
      <c r="L29" s="37"/>
      <c r="M29" s="38">
        <v>0.3</v>
      </c>
      <c r="N29" s="37"/>
      <c r="O29" s="38">
        <v>0.4</v>
      </c>
      <c r="P29" s="39"/>
    </row>
    <row r="30" spans="1:17" hidden="1" x14ac:dyDescent="0.35">
      <c r="B30" s="83">
        <v>100022085</v>
      </c>
      <c r="C30" s="97" t="s">
        <v>39</v>
      </c>
      <c r="D30" s="98">
        <v>7790360000132</v>
      </c>
      <c r="E30" s="99">
        <v>5.4</v>
      </c>
      <c r="F30" s="100">
        <v>24</v>
      </c>
      <c r="G30" s="84" t="e">
        <v>#N/A</v>
      </c>
      <c r="H30" s="116">
        <v>0.16666666666666666</v>
      </c>
      <c r="I30" s="84" t="e">
        <f t="shared" si="0"/>
        <v>#N/A</v>
      </c>
      <c r="J30" s="84" t="e">
        <f t="shared" si="1"/>
        <v>#N/A</v>
      </c>
      <c r="K30" s="84" t="e">
        <f t="shared" si="2"/>
        <v>#N/A</v>
      </c>
      <c r="L30" s="84" t="e">
        <f t="shared" si="3"/>
        <v>#N/A</v>
      </c>
      <c r="M30" s="84" t="e">
        <f t="shared" si="4"/>
        <v>#N/A</v>
      </c>
      <c r="N30" s="84" t="e">
        <f t="shared" si="5"/>
        <v>#N/A</v>
      </c>
      <c r="O30" s="84" t="e">
        <f t="shared" si="6"/>
        <v>#N/A</v>
      </c>
      <c r="P30" s="101" t="e">
        <f t="shared" si="7"/>
        <v>#N/A</v>
      </c>
    </row>
    <row r="31" spans="1:17" x14ac:dyDescent="0.35">
      <c r="A31" s="27"/>
      <c r="B31" s="83">
        <v>100522204</v>
      </c>
      <c r="C31" s="97" t="s">
        <v>39</v>
      </c>
      <c r="D31" s="98">
        <v>7790360983947</v>
      </c>
      <c r="E31" s="99">
        <v>5.4</v>
      </c>
      <c r="F31" s="100">
        <v>24</v>
      </c>
      <c r="G31" s="84">
        <v>30758.714969241286</v>
      </c>
      <c r="H31" s="116">
        <v>0.16666666666666666</v>
      </c>
      <c r="I31" s="84">
        <f t="shared" ref="I31" si="8">+G31*(1-H31)</f>
        <v>25632.262474367741</v>
      </c>
      <c r="J31" s="84">
        <f t="shared" ref="J31" si="9">+I31/F31</f>
        <v>1068.0109364319892</v>
      </c>
      <c r="K31" s="84">
        <f t="shared" ref="K31" si="10">+J31*K$3</f>
        <v>224.28229665071771</v>
      </c>
      <c r="L31" s="84">
        <f t="shared" ref="L31" si="11">+J31+K31</f>
        <v>1292.2932330827068</v>
      </c>
      <c r="M31" s="84">
        <f t="shared" ref="M31" si="12">+L31*M$3</f>
        <v>387.68796992481202</v>
      </c>
      <c r="N31" s="84">
        <f t="shared" ref="N31" si="13">+L31+M31</f>
        <v>1679.9812030075188</v>
      </c>
      <c r="O31" s="84">
        <f t="shared" ref="O31" si="14">+N31*O$3</f>
        <v>671.99248120300763</v>
      </c>
      <c r="P31" s="101">
        <f t="shared" si="7"/>
        <v>2351.9736842105267</v>
      </c>
    </row>
    <row r="32" spans="1:17" hidden="1" x14ac:dyDescent="0.35">
      <c r="B32" s="83">
        <v>100022072</v>
      </c>
      <c r="C32" s="97" t="s">
        <v>40</v>
      </c>
      <c r="D32" s="98">
        <v>7790360024541</v>
      </c>
      <c r="E32" s="99">
        <v>5.4</v>
      </c>
      <c r="F32" s="100">
        <v>12</v>
      </c>
      <c r="G32" s="84" t="e">
        <v>#N/A</v>
      </c>
      <c r="H32" s="116">
        <v>0.16666666666666666</v>
      </c>
      <c r="I32" s="84" t="e">
        <f t="shared" si="0"/>
        <v>#N/A</v>
      </c>
      <c r="J32" s="84" t="e">
        <f t="shared" si="1"/>
        <v>#N/A</v>
      </c>
      <c r="K32" s="84" t="e">
        <f t="shared" si="2"/>
        <v>#N/A</v>
      </c>
      <c r="L32" s="84" t="e">
        <f t="shared" si="3"/>
        <v>#N/A</v>
      </c>
      <c r="M32" s="84" t="e">
        <f t="shared" si="4"/>
        <v>#N/A</v>
      </c>
      <c r="N32" s="84" t="e">
        <f t="shared" si="5"/>
        <v>#N/A</v>
      </c>
      <c r="O32" s="84" t="e">
        <f t="shared" si="6"/>
        <v>#N/A</v>
      </c>
      <c r="P32" s="101" t="e">
        <f t="shared" si="7"/>
        <v>#N/A</v>
      </c>
    </row>
    <row r="33" spans="1:16" x14ac:dyDescent="0.35">
      <c r="A33" s="27"/>
      <c r="B33" s="83">
        <v>100522205</v>
      </c>
      <c r="C33" s="97" t="s">
        <v>40</v>
      </c>
      <c r="D33" s="98">
        <v>7790360983954</v>
      </c>
      <c r="E33" s="99">
        <v>5.4</v>
      </c>
      <c r="F33" s="100">
        <v>12</v>
      </c>
      <c r="G33" s="84">
        <v>29220.779220779226</v>
      </c>
      <c r="H33" s="116">
        <v>0.16666666666666666</v>
      </c>
      <c r="I33" s="84">
        <f t="shared" ref="I33" si="15">+G33*(1-H33)</f>
        <v>24350.649350649357</v>
      </c>
      <c r="J33" s="84">
        <f t="shared" ref="J33" si="16">+I33/F33</f>
        <v>2029.2207792207798</v>
      </c>
      <c r="K33" s="84">
        <f t="shared" ref="K33" si="17">+J33*K$3</f>
        <v>426.13636363636374</v>
      </c>
      <c r="L33" s="84">
        <f t="shared" ref="L33" si="18">+J33+K33</f>
        <v>2455.3571428571436</v>
      </c>
      <c r="M33" s="84">
        <f t="shared" ref="M33" si="19">+L33*M$3</f>
        <v>736.607142857143</v>
      </c>
      <c r="N33" s="84">
        <f t="shared" ref="N33" si="20">+L33+M33</f>
        <v>3191.9642857142867</v>
      </c>
      <c r="O33" s="84">
        <f t="shared" ref="O33" si="21">+N33*O$3</f>
        <v>1276.7857142857147</v>
      </c>
      <c r="P33" s="101">
        <f t="shared" si="7"/>
        <v>4468.7500000000018</v>
      </c>
    </row>
    <row r="34" spans="1:16" x14ac:dyDescent="0.35">
      <c r="B34" s="83">
        <v>100516849</v>
      </c>
      <c r="C34" s="97" t="s">
        <v>41</v>
      </c>
      <c r="D34" s="98">
        <v>7790360970053</v>
      </c>
      <c r="E34" s="99">
        <v>4.5599999990400004</v>
      </c>
      <c r="F34" s="100">
        <v>24</v>
      </c>
      <c r="G34" s="84">
        <v>23685.071770334936</v>
      </c>
      <c r="H34" s="102"/>
      <c r="I34" s="84">
        <f t="shared" si="0"/>
        <v>23685.071770334936</v>
      </c>
      <c r="J34" s="84">
        <f t="shared" si="1"/>
        <v>986.87799043062239</v>
      </c>
      <c r="K34" s="84">
        <f t="shared" si="2"/>
        <v>207.24437799043071</v>
      </c>
      <c r="L34" s="84">
        <f t="shared" si="3"/>
        <v>1194.1223684210531</v>
      </c>
      <c r="M34" s="84">
        <f t="shared" si="4"/>
        <v>358.2367105263159</v>
      </c>
      <c r="N34" s="84">
        <f t="shared" si="5"/>
        <v>1552.359078947369</v>
      </c>
      <c r="O34" s="84">
        <f t="shared" si="6"/>
        <v>620.94363157894759</v>
      </c>
      <c r="P34" s="101">
        <f t="shared" si="7"/>
        <v>2173.3027105263163</v>
      </c>
    </row>
    <row r="35" spans="1:16" hidden="1" x14ac:dyDescent="0.35">
      <c r="B35" s="27">
        <v>100022039</v>
      </c>
      <c r="C35" s="28" t="s">
        <v>42</v>
      </c>
      <c r="D35" s="21">
        <v>7790360007063</v>
      </c>
      <c r="E35" s="22">
        <v>8.6999999999999993</v>
      </c>
      <c r="F35" s="23">
        <v>10</v>
      </c>
      <c r="G35" s="24" t="e">
        <v>#N/A</v>
      </c>
      <c r="H35" s="23"/>
      <c r="I35" s="24" t="e">
        <f t="shared" si="0"/>
        <v>#N/A</v>
      </c>
      <c r="J35" s="24" t="e">
        <f t="shared" si="1"/>
        <v>#N/A</v>
      </c>
      <c r="K35" s="24" t="e">
        <f t="shared" si="2"/>
        <v>#N/A</v>
      </c>
      <c r="L35" s="24" t="e">
        <f t="shared" si="3"/>
        <v>#N/A</v>
      </c>
      <c r="M35" s="24" t="e">
        <f t="shared" si="4"/>
        <v>#N/A</v>
      </c>
      <c r="N35" s="24" t="e">
        <f t="shared" si="5"/>
        <v>#N/A</v>
      </c>
      <c r="O35" s="24" t="e">
        <f t="shared" si="6"/>
        <v>#N/A</v>
      </c>
      <c r="P35" s="25" t="e">
        <f t="shared" si="7"/>
        <v>#N/A</v>
      </c>
    </row>
    <row r="36" spans="1:16" x14ac:dyDescent="0.35">
      <c r="A36" s="27"/>
      <c r="B36" s="27">
        <v>100522206</v>
      </c>
      <c r="C36" s="28" t="s">
        <v>42</v>
      </c>
      <c r="D36" s="21">
        <v>7790360983961</v>
      </c>
      <c r="E36" s="22">
        <v>8.6999999999999993</v>
      </c>
      <c r="F36" s="23">
        <v>10</v>
      </c>
      <c r="G36" s="24">
        <v>69723.641704887748</v>
      </c>
      <c r="H36" s="141"/>
      <c r="I36" s="24">
        <f t="shared" ref="I36" si="22">+G36*(1-H36)</f>
        <v>69723.641704887748</v>
      </c>
      <c r="J36" s="24">
        <f t="shared" ref="J36" si="23">+I36/F36</f>
        <v>6972.364170488775</v>
      </c>
      <c r="K36" s="24">
        <f t="shared" ref="K36" si="24">+J36*K$3</f>
        <v>1464.1964758026427</v>
      </c>
      <c r="L36" s="24">
        <f t="shared" ref="L36" si="25">+J36+K36</f>
        <v>8436.5606462914184</v>
      </c>
      <c r="M36" s="24">
        <f t="shared" ref="M36" si="26">+L36*M$3</f>
        <v>2530.9681938874255</v>
      </c>
      <c r="N36" s="24">
        <f t="shared" ref="N36" si="27">+L36+M36</f>
        <v>10967.528840178844</v>
      </c>
      <c r="O36" s="24">
        <f t="shared" ref="O36" si="28">+N36*O$3</f>
        <v>4387.0115360715381</v>
      </c>
      <c r="P36" s="25">
        <f t="shared" si="7"/>
        <v>15354.540376250381</v>
      </c>
    </row>
    <row r="37" spans="1:16" x14ac:dyDescent="0.35">
      <c r="B37" s="27">
        <v>100022058</v>
      </c>
      <c r="C37" s="28" t="s">
        <v>43</v>
      </c>
      <c r="D37" s="21">
        <v>7790360026002</v>
      </c>
      <c r="E37" s="22">
        <v>4.5599999990400004</v>
      </c>
      <c r="F37" s="23">
        <v>24</v>
      </c>
      <c r="G37" s="24">
        <v>18012.587412587414</v>
      </c>
      <c r="H37" s="141"/>
      <c r="I37" s="24">
        <f t="shared" si="0"/>
        <v>18012.587412587414</v>
      </c>
      <c r="J37" s="24">
        <f t="shared" si="1"/>
        <v>750.52447552447563</v>
      </c>
      <c r="K37" s="24">
        <f t="shared" si="2"/>
        <v>157.61013986013987</v>
      </c>
      <c r="L37" s="24">
        <f t="shared" si="3"/>
        <v>908.13461538461547</v>
      </c>
      <c r="M37" s="24">
        <f>+L37*0.33</f>
        <v>299.68442307692311</v>
      </c>
      <c r="N37" s="24">
        <f t="shared" si="5"/>
        <v>1207.8190384615386</v>
      </c>
      <c r="O37" s="24">
        <f t="shared" si="6"/>
        <v>483.12761538461547</v>
      </c>
      <c r="P37" s="25">
        <f t="shared" si="7"/>
        <v>1690.946653846154</v>
      </c>
    </row>
    <row r="38" spans="1:16" x14ac:dyDescent="0.35">
      <c r="B38" s="27">
        <v>100518151</v>
      </c>
      <c r="C38" s="28" t="s">
        <v>44</v>
      </c>
      <c r="D38" s="21">
        <v>7790360974990</v>
      </c>
      <c r="E38" s="22">
        <v>8.6999999999999993</v>
      </c>
      <c r="F38" s="23">
        <v>10</v>
      </c>
      <c r="G38" s="24">
        <v>80182.187960620882</v>
      </c>
      <c r="H38" s="23"/>
      <c r="I38" s="24">
        <f t="shared" si="0"/>
        <v>80182.187960620882</v>
      </c>
      <c r="J38" s="24">
        <f t="shared" si="1"/>
        <v>8018.2187960620886</v>
      </c>
      <c r="K38" s="24">
        <f t="shared" si="2"/>
        <v>1683.8259471730385</v>
      </c>
      <c r="L38" s="24">
        <f t="shared" si="3"/>
        <v>9702.0447432351266</v>
      </c>
      <c r="M38" s="24">
        <f>+L38*0.33</f>
        <v>3201.6747652675917</v>
      </c>
      <c r="N38" s="24">
        <f t="shared" si="5"/>
        <v>12903.719508502718</v>
      </c>
      <c r="O38" s="24">
        <f t="shared" si="6"/>
        <v>5161.4878034010871</v>
      </c>
      <c r="P38" s="25">
        <f t="shared" si="7"/>
        <v>18065.207311903803</v>
      </c>
    </row>
    <row r="39" spans="1:16" x14ac:dyDescent="0.35">
      <c r="B39" s="32"/>
      <c r="C39" s="33"/>
      <c r="D39" s="34"/>
      <c r="E39" s="33"/>
      <c r="F39" s="35"/>
      <c r="G39" s="35" t="e">
        <v>#N/A</v>
      </c>
      <c r="H39" s="35"/>
      <c r="I39" s="35" t="e">
        <f t="shared" si="0"/>
        <v>#N/A</v>
      </c>
      <c r="J39" s="37" t="e">
        <f t="shared" si="1"/>
        <v>#N/A</v>
      </c>
      <c r="K39" s="38">
        <v>0.21</v>
      </c>
      <c r="L39" s="37"/>
      <c r="M39" s="38">
        <v>0.2</v>
      </c>
      <c r="N39" s="37"/>
      <c r="O39" s="38">
        <v>0.35</v>
      </c>
      <c r="P39" s="39"/>
    </row>
    <row r="40" spans="1:16" x14ac:dyDescent="0.35">
      <c r="B40" s="83">
        <v>100021000</v>
      </c>
      <c r="C40" s="97" t="s">
        <v>45</v>
      </c>
      <c r="D40" s="98">
        <v>7790360720382</v>
      </c>
      <c r="E40" s="99">
        <v>2.16</v>
      </c>
      <c r="F40" s="100">
        <v>24</v>
      </c>
      <c r="G40" s="84">
        <v>14971.426133159293</v>
      </c>
      <c r="H40" s="102"/>
      <c r="I40" s="84">
        <f t="shared" si="0"/>
        <v>14971.426133159293</v>
      </c>
      <c r="J40" s="84">
        <f t="shared" si="1"/>
        <v>623.8094222149706</v>
      </c>
      <c r="K40" s="84">
        <f t="shared" si="2"/>
        <v>130.99997866514383</v>
      </c>
      <c r="L40" s="84">
        <f t="shared" si="3"/>
        <v>754.80940088011448</v>
      </c>
      <c r="M40" s="84">
        <f>+L40*M$39</f>
        <v>150.9618801760229</v>
      </c>
      <c r="N40" s="84">
        <f t="shared" si="5"/>
        <v>905.77128105613735</v>
      </c>
      <c r="O40" s="84">
        <f>+N40*O$39</f>
        <v>317.01994836964803</v>
      </c>
      <c r="P40" s="101">
        <f t="shared" si="7"/>
        <v>1222.7912294257853</v>
      </c>
    </row>
    <row r="41" spans="1:16" x14ac:dyDescent="0.35">
      <c r="B41" s="83">
        <v>100021001</v>
      </c>
      <c r="C41" s="97" t="s">
        <v>46</v>
      </c>
      <c r="D41" s="98">
        <v>7790360720115</v>
      </c>
      <c r="E41" s="99">
        <v>2.16</v>
      </c>
      <c r="F41" s="100">
        <v>24</v>
      </c>
      <c r="G41" s="84">
        <v>14971.426133159293</v>
      </c>
      <c r="H41" s="102"/>
      <c r="I41" s="84">
        <f t="shared" si="0"/>
        <v>14971.426133159293</v>
      </c>
      <c r="J41" s="84">
        <f t="shared" si="1"/>
        <v>623.8094222149706</v>
      </c>
      <c r="K41" s="84">
        <f t="shared" si="2"/>
        <v>130.99997866514383</v>
      </c>
      <c r="L41" s="84">
        <f t="shared" si="3"/>
        <v>754.80940088011448</v>
      </c>
      <c r="M41" s="84">
        <f t="shared" ref="M41:M56" si="29">+L41*M$39</f>
        <v>150.9618801760229</v>
      </c>
      <c r="N41" s="84">
        <f t="shared" si="5"/>
        <v>905.77128105613735</v>
      </c>
      <c r="O41" s="84">
        <f t="shared" ref="O41:O56" si="30">+N41*O$39</f>
        <v>317.01994836964803</v>
      </c>
      <c r="P41" s="101">
        <f t="shared" si="7"/>
        <v>1222.7912294257853</v>
      </c>
    </row>
    <row r="42" spans="1:16" x14ac:dyDescent="0.35">
      <c r="B42" s="211">
        <v>100522277</v>
      </c>
      <c r="C42" s="97" t="s">
        <v>146</v>
      </c>
      <c r="D42" s="98"/>
      <c r="E42" s="99">
        <v>2.16</v>
      </c>
      <c r="F42" s="100">
        <v>24</v>
      </c>
      <c r="G42" s="84">
        <v>14971.426133159293</v>
      </c>
      <c r="H42" s="102"/>
      <c r="I42" s="84">
        <f t="shared" ref="I42:I43" si="31">+G42*(1-H42)</f>
        <v>14971.426133159293</v>
      </c>
      <c r="J42" s="84">
        <f t="shared" ref="J42:J43" si="32">+I42/F42</f>
        <v>623.8094222149706</v>
      </c>
      <c r="K42" s="84">
        <f t="shared" ref="K42:K43" si="33">+J42*K$3</f>
        <v>130.99997866514383</v>
      </c>
      <c r="L42" s="84">
        <f t="shared" ref="L42:L43" si="34">+J42+K42</f>
        <v>754.80940088011448</v>
      </c>
      <c r="M42" s="84">
        <f t="shared" ref="M42:M43" si="35">+L42*M$39</f>
        <v>150.9618801760229</v>
      </c>
      <c r="N42" s="84">
        <f t="shared" ref="N42:N43" si="36">+L42+M42</f>
        <v>905.77128105613735</v>
      </c>
      <c r="O42" s="84">
        <f t="shared" ref="O42:O43" si="37">+N42*O$39</f>
        <v>317.01994836964803</v>
      </c>
      <c r="P42" s="101">
        <f t="shared" si="7"/>
        <v>1222.7912294257853</v>
      </c>
    </row>
    <row r="43" spans="1:16" x14ac:dyDescent="0.35">
      <c r="B43" s="211">
        <v>100522333</v>
      </c>
      <c r="C43" s="97" t="s">
        <v>147</v>
      </c>
      <c r="D43" s="98"/>
      <c r="E43" s="99">
        <v>2.16</v>
      </c>
      <c r="F43" s="100">
        <v>24</v>
      </c>
      <c r="G43" s="84">
        <v>14971.426133159293</v>
      </c>
      <c r="H43" s="102"/>
      <c r="I43" s="84">
        <f t="shared" si="31"/>
        <v>14971.426133159293</v>
      </c>
      <c r="J43" s="84">
        <f t="shared" si="32"/>
        <v>623.8094222149706</v>
      </c>
      <c r="K43" s="84">
        <f t="shared" si="33"/>
        <v>130.99997866514383</v>
      </c>
      <c r="L43" s="84">
        <f t="shared" si="34"/>
        <v>754.80940088011448</v>
      </c>
      <c r="M43" s="84">
        <f t="shared" si="35"/>
        <v>150.9618801760229</v>
      </c>
      <c r="N43" s="84">
        <f t="shared" si="36"/>
        <v>905.77128105613735</v>
      </c>
      <c r="O43" s="84">
        <f t="shared" si="37"/>
        <v>317.01994836964803</v>
      </c>
      <c r="P43" s="101">
        <f t="shared" si="7"/>
        <v>1222.7912294257853</v>
      </c>
    </row>
    <row r="44" spans="1:16" x14ac:dyDescent="0.35">
      <c r="B44" s="83">
        <v>100021045</v>
      </c>
      <c r="C44" s="97" t="s">
        <v>47</v>
      </c>
      <c r="D44" s="98">
        <v>7790360966582</v>
      </c>
      <c r="E44" s="99">
        <v>2.16</v>
      </c>
      <c r="F44" s="100">
        <v>24</v>
      </c>
      <c r="G44" s="84">
        <v>14971.426133159292</v>
      </c>
      <c r="H44" s="102"/>
      <c r="I44" s="84">
        <f t="shared" si="0"/>
        <v>14971.426133159292</v>
      </c>
      <c r="J44" s="84">
        <f t="shared" si="1"/>
        <v>623.80942221497048</v>
      </c>
      <c r="K44" s="84">
        <f t="shared" si="2"/>
        <v>130.9999786651438</v>
      </c>
      <c r="L44" s="84">
        <f t="shared" si="3"/>
        <v>754.80940088011425</v>
      </c>
      <c r="M44" s="84">
        <f t="shared" si="29"/>
        <v>150.96188017602285</v>
      </c>
      <c r="N44" s="84">
        <f t="shared" si="5"/>
        <v>905.77128105613713</v>
      </c>
      <c r="O44" s="84">
        <f t="shared" si="30"/>
        <v>317.01994836964798</v>
      </c>
      <c r="P44" s="101">
        <f t="shared" si="7"/>
        <v>1222.7912294257851</v>
      </c>
    </row>
    <row r="45" spans="1:16" x14ac:dyDescent="0.35">
      <c r="B45" s="83">
        <v>100021004</v>
      </c>
      <c r="C45" s="97" t="s">
        <v>48</v>
      </c>
      <c r="D45" s="98">
        <v>7790360964526</v>
      </c>
      <c r="E45" s="99">
        <v>2.1120000000000001</v>
      </c>
      <c r="F45" s="100">
        <v>24</v>
      </c>
      <c r="G45" s="84">
        <v>14971.426133159292</v>
      </c>
      <c r="H45" s="102"/>
      <c r="I45" s="84">
        <f t="shared" si="0"/>
        <v>14971.426133159292</v>
      </c>
      <c r="J45" s="84">
        <f t="shared" si="1"/>
        <v>623.80942221497048</v>
      </c>
      <c r="K45" s="84">
        <f t="shared" si="2"/>
        <v>130.9999786651438</v>
      </c>
      <c r="L45" s="84">
        <f t="shared" si="3"/>
        <v>754.80940088011425</v>
      </c>
      <c r="M45" s="84">
        <f t="shared" si="29"/>
        <v>150.96188017602285</v>
      </c>
      <c r="N45" s="84">
        <f t="shared" si="5"/>
        <v>905.77128105613713</v>
      </c>
      <c r="O45" s="84">
        <f t="shared" si="30"/>
        <v>317.01994836964798</v>
      </c>
      <c r="P45" s="101">
        <f t="shared" si="7"/>
        <v>1222.7912294257851</v>
      </c>
    </row>
    <row r="46" spans="1:16" x14ac:dyDescent="0.35">
      <c r="B46" s="83">
        <v>100021006</v>
      </c>
      <c r="C46" s="97" t="s">
        <v>49</v>
      </c>
      <c r="D46" s="98">
        <v>7790360964557</v>
      </c>
      <c r="E46" s="99">
        <v>2.1120000000000001</v>
      </c>
      <c r="F46" s="100">
        <v>24</v>
      </c>
      <c r="G46" s="84">
        <v>14971.426133159292</v>
      </c>
      <c r="H46" s="102"/>
      <c r="I46" s="84">
        <f t="shared" si="0"/>
        <v>14971.426133159292</v>
      </c>
      <c r="J46" s="84">
        <f t="shared" si="1"/>
        <v>623.80942221497048</v>
      </c>
      <c r="K46" s="84">
        <f t="shared" si="2"/>
        <v>130.9999786651438</v>
      </c>
      <c r="L46" s="84">
        <f t="shared" si="3"/>
        <v>754.80940088011425</v>
      </c>
      <c r="M46" s="84">
        <f t="shared" si="29"/>
        <v>150.96188017602285</v>
      </c>
      <c r="N46" s="84">
        <f t="shared" si="5"/>
        <v>905.77128105613713</v>
      </c>
      <c r="O46" s="84">
        <f t="shared" si="30"/>
        <v>317.01994836964798</v>
      </c>
      <c r="P46" s="101">
        <f t="shared" si="7"/>
        <v>1222.7912294257851</v>
      </c>
    </row>
    <row r="47" spans="1:16" x14ac:dyDescent="0.35">
      <c r="B47" s="83">
        <v>100021007</v>
      </c>
      <c r="C47" s="97" t="s">
        <v>50</v>
      </c>
      <c r="D47" s="98">
        <v>7790360964540</v>
      </c>
      <c r="E47" s="99">
        <v>2.04</v>
      </c>
      <c r="F47" s="100">
        <v>24</v>
      </c>
      <c r="G47" s="84">
        <v>17901.639344262298</v>
      </c>
      <c r="H47" s="102"/>
      <c r="I47" s="84">
        <f t="shared" si="0"/>
        <v>17901.639344262298</v>
      </c>
      <c r="J47" s="84">
        <f t="shared" si="1"/>
        <v>745.90163934426243</v>
      </c>
      <c r="K47" s="84">
        <f t="shared" si="2"/>
        <v>156.63934426229511</v>
      </c>
      <c r="L47" s="84">
        <f t="shared" si="3"/>
        <v>902.54098360655757</v>
      </c>
      <c r="M47" s="84">
        <f t="shared" si="29"/>
        <v>180.50819672131152</v>
      </c>
      <c r="N47" s="84">
        <f t="shared" si="5"/>
        <v>1083.0491803278692</v>
      </c>
      <c r="O47" s="84">
        <f t="shared" si="30"/>
        <v>379.06721311475417</v>
      </c>
      <c r="P47" s="101">
        <f t="shared" si="7"/>
        <v>1462.1163934426233</v>
      </c>
    </row>
    <row r="48" spans="1:16" x14ac:dyDescent="0.35">
      <c r="B48" s="83">
        <v>100021013</v>
      </c>
      <c r="C48" s="97" t="s">
        <v>51</v>
      </c>
      <c r="D48" s="98">
        <v>7790360965714</v>
      </c>
      <c r="E48" s="99">
        <v>2.04</v>
      </c>
      <c r="F48" s="100">
        <v>24</v>
      </c>
      <c r="G48" s="84">
        <v>17901.639344262298</v>
      </c>
      <c r="H48" s="102"/>
      <c r="I48" s="84">
        <f t="shared" si="0"/>
        <v>17901.639344262298</v>
      </c>
      <c r="J48" s="84">
        <f t="shared" si="1"/>
        <v>745.90163934426243</v>
      </c>
      <c r="K48" s="84">
        <f t="shared" si="2"/>
        <v>156.63934426229511</v>
      </c>
      <c r="L48" s="84">
        <f t="shared" si="3"/>
        <v>902.54098360655757</v>
      </c>
      <c r="M48" s="84">
        <f t="shared" si="29"/>
        <v>180.50819672131152</v>
      </c>
      <c r="N48" s="84">
        <f t="shared" si="5"/>
        <v>1083.0491803278692</v>
      </c>
      <c r="O48" s="84">
        <f t="shared" si="30"/>
        <v>379.06721311475417</v>
      </c>
      <c r="P48" s="101">
        <f t="shared" si="7"/>
        <v>1462.1163934426233</v>
      </c>
    </row>
    <row r="49" spans="2:16" x14ac:dyDescent="0.35">
      <c r="B49" s="83">
        <v>100021014</v>
      </c>
      <c r="C49" s="97" t="s">
        <v>52</v>
      </c>
      <c r="D49" s="98">
        <v>7790360965721</v>
      </c>
      <c r="E49" s="99">
        <v>2.04</v>
      </c>
      <c r="F49" s="100">
        <v>24</v>
      </c>
      <c r="G49" s="84">
        <v>17901.639344262298</v>
      </c>
      <c r="H49" s="102"/>
      <c r="I49" s="84">
        <f t="shared" si="0"/>
        <v>17901.639344262298</v>
      </c>
      <c r="J49" s="84">
        <f t="shared" si="1"/>
        <v>745.90163934426243</v>
      </c>
      <c r="K49" s="84">
        <f t="shared" si="2"/>
        <v>156.63934426229511</v>
      </c>
      <c r="L49" s="84">
        <f t="shared" si="3"/>
        <v>902.54098360655757</v>
      </c>
      <c r="M49" s="84">
        <f t="shared" si="29"/>
        <v>180.50819672131152</v>
      </c>
      <c r="N49" s="84">
        <f t="shared" si="5"/>
        <v>1083.0491803278692</v>
      </c>
      <c r="O49" s="84">
        <f t="shared" si="30"/>
        <v>379.06721311475417</v>
      </c>
      <c r="P49" s="101">
        <f t="shared" si="7"/>
        <v>1462.1163934426233</v>
      </c>
    </row>
    <row r="50" spans="2:16" x14ac:dyDescent="0.35">
      <c r="B50" s="83">
        <v>100021054</v>
      </c>
      <c r="C50" s="97" t="s">
        <v>53</v>
      </c>
      <c r="D50" s="98">
        <v>7790360965707</v>
      </c>
      <c r="E50" s="99">
        <v>2.04</v>
      </c>
      <c r="F50" s="100">
        <v>24</v>
      </c>
      <c r="G50" s="84">
        <v>17901.639344262298</v>
      </c>
      <c r="H50" s="102"/>
      <c r="I50" s="84">
        <f t="shared" si="0"/>
        <v>17901.639344262298</v>
      </c>
      <c r="J50" s="84">
        <f t="shared" si="1"/>
        <v>745.90163934426243</v>
      </c>
      <c r="K50" s="84">
        <f t="shared" si="2"/>
        <v>156.63934426229511</v>
      </c>
      <c r="L50" s="84">
        <f t="shared" si="3"/>
        <v>902.54098360655757</v>
      </c>
      <c r="M50" s="84">
        <f t="shared" si="29"/>
        <v>180.50819672131152</v>
      </c>
      <c r="N50" s="84">
        <f t="shared" si="5"/>
        <v>1083.0491803278692</v>
      </c>
      <c r="O50" s="84">
        <f t="shared" si="30"/>
        <v>379.06721311475417</v>
      </c>
      <c r="P50" s="101">
        <f t="shared" si="7"/>
        <v>1462.1163934426233</v>
      </c>
    </row>
    <row r="51" spans="2:16" x14ac:dyDescent="0.35">
      <c r="B51" s="83">
        <v>100021055</v>
      </c>
      <c r="C51" s="97" t="s">
        <v>54</v>
      </c>
      <c r="D51" s="98">
        <v>7790360965189</v>
      </c>
      <c r="E51" s="99">
        <v>2.04</v>
      </c>
      <c r="F51" s="100">
        <v>24</v>
      </c>
      <c r="G51" s="84">
        <v>17901.639344262298</v>
      </c>
      <c r="H51" s="102"/>
      <c r="I51" s="84">
        <f t="shared" si="0"/>
        <v>17901.639344262298</v>
      </c>
      <c r="J51" s="84">
        <f t="shared" si="1"/>
        <v>745.90163934426243</v>
      </c>
      <c r="K51" s="84">
        <f t="shared" si="2"/>
        <v>156.63934426229511</v>
      </c>
      <c r="L51" s="84">
        <f t="shared" si="3"/>
        <v>902.54098360655757</v>
      </c>
      <c r="M51" s="84">
        <f t="shared" si="29"/>
        <v>180.50819672131152</v>
      </c>
      <c r="N51" s="84">
        <f t="shared" si="5"/>
        <v>1083.0491803278692</v>
      </c>
      <c r="O51" s="84">
        <f t="shared" si="30"/>
        <v>379.06721311475417</v>
      </c>
      <c r="P51" s="101">
        <f t="shared" si="7"/>
        <v>1462.1163934426233</v>
      </c>
    </row>
    <row r="52" spans="2:16" x14ac:dyDescent="0.35">
      <c r="B52" s="83">
        <v>100021015</v>
      </c>
      <c r="C52" s="97" t="s">
        <v>55</v>
      </c>
      <c r="D52" s="98">
        <v>7790360965202</v>
      </c>
      <c r="E52" s="99">
        <v>2.04</v>
      </c>
      <c r="F52" s="100">
        <v>24</v>
      </c>
      <c r="G52" s="84">
        <v>17901.639344262298</v>
      </c>
      <c r="H52" s="102"/>
      <c r="I52" s="84">
        <f t="shared" si="0"/>
        <v>17901.639344262298</v>
      </c>
      <c r="J52" s="84">
        <f t="shared" si="1"/>
        <v>745.90163934426243</v>
      </c>
      <c r="K52" s="84">
        <f t="shared" si="2"/>
        <v>156.63934426229511</v>
      </c>
      <c r="L52" s="84">
        <f t="shared" si="3"/>
        <v>902.54098360655757</v>
      </c>
      <c r="M52" s="84">
        <f t="shared" si="29"/>
        <v>180.50819672131152</v>
      </c>
      <c r="N52" s="84">
        <f t="shared" si="5"/>
        <v>1083.0491803278692</v>
      </c>
      <c r="O52" s="84">
        <f t="shared" si="30"/>
        <v>379.06721311475417</v>
      </c>
      <c r="P52" s="101">
        <f t="shared" si="7"/>
        <v>1462.1163934426233</v>
      </c>
    </row>
    <row r="53" spans="2:16" x14ac:dyDescent="0.35">
      <c r="B53" s="83">
        <v>100021008</v>
      </c>
      <c r="C53" s="97" t="s">
        <v>56</v>
      </c>
      <c r="D53" s="98">
        <v>7790360720122</v>
      </c>
      <c r="E53" s="99">
        <v>2.16</v>
      </c>
      <c r="F53" s="100">
        <v>24</v>
      </c>
      <c r="G53" s="84">
        <v>12068.107619965038</v>
      </c>
      <c r="H53" s="102"/>
      <c r="I53" s="84">
        <f t="shared" si="0"/>
        <v>12068.107619965038</v>
      </c>
      <c r="J53" s="84">
        <f t="shared" si="1"/>
        <v>502.83781749854325</v>
      </c>
      <c r="K53" s="84">
        <f t="shared" si="2"/>
        <v>105.59594167469407</v>
      </c>
      <c r="L53" s="84">
        <f t="shared" si="3"/>
        <v>608.43375917323738</v>
      </c>
      <c r="M53" s="84">
        <f t="shared" si="29"/>
        <v>121.68675183464748</v>
      </c>
      <c r="N53" s="84">
        <f t="shared" si="5"/>
        <v>730.12051100788483</v>
      </c>
      <c r="O53" s="84">
        <f t="shared" si="30"/>
        <v>255.54217885275966</v>
      </c>
      <c r="P53" s="101">
        <f t="shared" si="7"/>
        <v>985.66268986064449</v>
      </c>
    </row>
    <row r="54" spans="2:16" x14ac:dyDescent="0.35">
      <c r="B54" s="83">
        <v>100021009</v>
      </c>
      <c r="C54" s="97" t="s">
        <v>57</v>
      </c>
      <c r="D54" s="98">
        <v>7790360965127</v>
      </c>
      <c r="E54" s="99">
        <v>2.16</v>
      </c>
      <c r="F54" s="100">
        <v>24</v>
      </c>
      <c r="G54" s="84">
        <v>12068.107619965038</v>
      </c>
      <c r="H54" s="102"/>
      <c r="I54" s="84">
        <f t="shared" si="0"/>
        <v>12068.107619965038</v>
      </c>
      <c r="J54" s="84">
        <f t="shared" si="1"/>
        <v>502.83781749854325</v>
      </c>
      <c r="K54" s="84">
        <f t="shared" si="2"/>
        <v>105.59594167469407</v>
      </c>
      <c r="L54" s="84">
        <f t="shared" si="3"/>
        <v>608.43375917323738</v>
      </c>
      <c r="M54" s="84">
        <f t="shared" si="29"/>
        <v>121.68675183464748</v>
      </c>
      <c r="N54" s="84">
        <f t="shared" si="5"/>
        <v>730.12051100788483</v>
      </c>
      <c r="O54" s="84">
        <f t="shared" si="30"/>
        <v>255.54217885275966</v>
      </c>
      <c r="P54" s="101">
        <f t="shared" si="7"/>
        <v>985.66268986064449</v>
      </c>
    </row>
    <row r="55" spans="2:16" x14ac:dyDescent="0.35">
      <c r="B55" s="27">
        <v>100021010</v>
      </c>
      <c r="C55" s="28" t="s">
        <v>58</v>
      </c>
      <c r="D55" s="21">
        <v>7790920008707</v>
      </c>
      <c r="E55" s="22">
        <v>2.16</v>
      </c>
      <c r="F55" s="23">
        <v>24</v>
      </c>
      <c r="G55" s="24">
        <v>12068.107619965038</v>
      </c>
      <c r="H55" s="23"/>
      <c r="I55" s="24">
        <f t="shared" si="0"/>
        <v>12068.107619965038</v>
      </c>
      <c r="J55" s="24">
        <f t="shared" si="1"/>
        <v>502.83781749854325</v>
      </c>
      <c r="K55" s="24">
        <f t="shared" si="2"/>
        <v>105.59594167469407</v>
      </c>
      <c r="L55" s="24">
        <f t="shared" si="3"/>
        <v>608.43375917323738</v>
      </c>
      <c r="M55" s="24">
        <f t="shared" si="29"/>
        <v>121.68675183464748</v>
      </c>
      <c r="N55" s="24">
        <f t="shared" si="5"/>
        <v>730.12051100788483</v>
      </c>
      <c r="O55" s="24">
        <f t="shared" si="30"/>
        <v>255.54217885275966</v>
      </c>
      <c r="P55" s="25">
        <f t="shared" si="7"/>
        <v>985.66268986064449</v>
      </c>
    </row>
    <row r="56" spans="2:16" x14ac:dyDescent="0.35">
      <c r="B56" s="27">
        <v>100021011</v>
      </c>
      <c r="C56" s="28" t="s">
        <v>59</v>
      </c>
      <c r="D56" s="21">
        <v>7790920008714</v>
      </c>
      <c r="E56" s="22">
        <v>2.16</v>
      </c>
      <c r="F56" s="23">
        <v>24</v>
      </c>
      <c r="G56" s="24">
        <v>12068.107619965038</v>
      </c>
      <c r="H56" s="23"/>
      <c r="I56" s="24">
        <f t="shared" si="0"/>
        <v>12068.107619965038</v>
      </c>
      <c r="J56" s="24">
        <f t="shared" si="1"/>
        <v>502.83781749854325</v>
      </c>
      <c r="K56" s="24">
        <f t="shared" si="2"/>
        <v>105.59594167469407</v>
      </c>
      <c r="L56" s="24">
        <f t="shared" si="3"/>
        <v>608.43375917323738</v>
      </c>
      <c r="M56" s="24">
        <f t="shared" si="29"/>
        <v>121.68675183464748</v>
      </c>
      <c r="N56" s="24">
        <f t="shared" si="5"/>
        <v>730.12051100788483</v>
      </c>
      <c r="O56" s="24">
        <f t="shared" si="30"/>
        <v>255.54217885275966</v>
      </c>
      <c r="P56" s="25">
        <f t="shared" si="7"/>
        <v>985.66268986064449</v>
      </c>
    </row>
    <row r="57" spans="2:16" x14ac:dyDescent="0.35">
      <c r="B57" s="32"/>
      <c r="C57" s="33"/>
      <c r="D57" s="34"/>
      <c r="E57" s="33"/>
      <c r="F57" s="35"/>
      <c r="G57" s="35" t="e">
        <v>#N/A</v>
      </c>
      <c r="H57" s="35"/>
      <c r="I57" s="35" t="e">
        <f t="shared" si="0"/>
        <v>#N/A</v>
      </c>
      <c r="J57" s="37" t="e">
        <f t="shared" si="1"/>
        <v>#N/A</v>
      </c>
      <c r="K57" s="38">
        <v>0.21</v>
      </c>
      <c r="L57" s="37"/>
      <c r="M57" s="38">
        <v>0.3</v>
      </c>
      <c r="N57" s="37"/>
      <c r="O57" s="38">
        <v>0.4</v>
      </c>
      <c r="P57" s="39"/>
    </row>
    <row r="58" spans="2:16" x14ac:dyDescent="0.35">
      <c r="B58" s="83">
        <v>100516217</v>
      </c>
      <c r="C58" s="97" t="s">
        <v>60</v>
      </c>
      <c r="D58" s="98">
        <v>7790360967824</v>
      </c>
      <c r="E58" s="99">
        <v>5.8</v>
      </c>
      <c r="F58" s="100">
        <v>20</v>
      </c>
      <c r="G58" s="84">
        <v>28982.860398836285</v>
      </c>
      <c r="H58" s="96"/>
      <c r="I58" s="84">
        <f t="shared" si="0"/>
        <v>28982.860398836285</v>
      </c>
      <c r="J58" s="84">
        <f t="shared" si="1"/>
        <v>1449.1430199418141</v>
      </c>
      <c r="K58" s="84">
        <f t="shared" si="2"/>
        <v>304.32003418778095</v>
      </c>
      <c r="L58" s="84">
        <f t="shared" si="3"/>
        <v>1753.4630541295951</v>
      </c>
      <c r="M58" s="84">
        <f t="shared" si="4"/>
        <v>526.03891623887853</v>
      </c>
      <c r="N58" s="84">
        <f t="shared" si="5"/>
        <v>2279.5019703684738</v>
      </c>
      <c r="O58" s="84">
        <f t="shared" si="6"/>
        <v>911.80078814738954</v>
      </c>
      <c r="P58" s="101">
        <f t="shared" si="7"/>
        <v>3191.3027585158634</v>
      </c>
    </row>
    <row r="59" spans="2:16" x14ac:dyDescent="0.35">
      <c r="B59" s="83">
        <v>100516214</v>
      </c>
      <c r="C59" s="97" t="s">
        <v>61</v>
      </c>
      <c r="D59" s="98">
        <v>7790360967794</v>
      </c>
      <c r="E59" s="99">
        <v>7</v>
      </c>
      <c r="F59" s="100">
        <v>20</v>
      </c>
      <c r="G59" s="84">
        <v>39840.796173167226</v>
      </c>
      <c r="H59" s="96"/>
      <c r="I59" s="84">
        <f t="shared" si="0"/>
        <v>39840.796173167226</v>
      </c>
      <c r="J59" s="84">
        <f t="shared" si="1"/>
        <v>1992.0398086583614</v>
      </c>
      <c r="K59" s="84">
        <f t="shared" si="2"/>
        <v>418.32835981825588</v>
      </c>
      <c r="L59" s="84">
        <f t="shared" si="3"/>
        <v>2410.368168476617</v>
      </c>
      <c r="M59" s="84">
        <f t="shared" si="4"/>
        <v>723.11045054298506</v>
      </c>
      <c r="N59" s="84">
        <f t="shared" si="5"/>
        <v>3133.4786190196019</v>
      </c>
      <c r="O59" s="84">
        <f t="shared" si="6"/>
        <v>1253.3914476078407</v>
      </c>
      <c r="P59" s="101">
        <f t="shared" si="7"/>
        <v>4386.8700666274426</v>
      </c>
    </row>
    <row r="60" spans="2:16" x14ac:dyDescent="0.35">
      <c r="B60" s="83">
        <v>100516215</v>
      </c>
      <c r="C60" s="97" t="s">
        <v>62</v>
      </c>
      <c r="D60" s="98">
        <v>7790360967800</v>
      </c>
      <c r="E60" s="99">
        <v>7</v>
      </c>
      <c r="F60" s="100">
        <v>20</v>
      </c>
      <c r="G60" s="84">
        <v>39840.796173167226</v>
      </c>
      <c r="H60" s="96"/>
      <c r="I60" s="84">
        <f t="shared" si="0"/>
        <v>39840.796173167226</v>
      </c>
      <c r="J60" s="84">
        <f t="shared" si="1"/>
        <v>1992.0398086583614</v>
      </c>
      <c r="K60" s="84">
        <f t="shared" si="2"/>
        <v>418.32835981825588</v>
      </c>
      <c r="L60" s="84">
        <f t="shared" si="3"/>
        <v>2410.368168476617</v>
      </c>
      <c r="M60" s="84">
        <f t="shared" si="4"/>
        <v>723.11045054298506</v>
      </c>
      <c r="N60" s="84">
        <f t="shared" si="5"/>
        <v>3133.4786190196019</v>
      </c>
      <c r="O60" s="84">
        <f t="shared" si="6"/>
        <v>1253.3914476078407</v>
      </c>
      <c r="P60" s="101">
        <f t="shared" si="7"/>
        <v>4386.8700666274426</v>
      </c>
    </row>
    <row r="61" spans="2:16" x14ac:dyDescent="0.35">
      <c r="B61" s="83">
        <v>100516216</v>
      </c>
      <c r="C61" s="97" t="s">
        <v>63</v>
      </c>
      <c r="D61" s="98">
        <v>7790360967817</v>
      </c>
      <c r="E61" s="99">
        <v>7</v>
      </c>
      <c r="F61" s="100">
        <v>20</v>
      </c>
      <c r="G61" s="84">
        <v>39840.796173167226</v>
      </c>
      <c r="H61" s="96"/>
      <c r="I61" s="84">
        <f t="shared" si="0"/>
        <v>39840.796173167226</v>
      </c>
      <c r="J61" s="84">
        <f t="shared" si="1"/>
        <v>1992.0398086583614</v>
      </c>
      <c r="K61" s="84">
        <f t="shared" si="2"/>
        <v>418.32835981825588</v>
      </c>
      <c r="L61" s="84">
        <f t="shared" si="3"/>
        <v>2410.368168476617</v>
      </c>
      <c r="M61" s="84">
        <f t="shared" si="4"/>
        <v>723.11045054298506</v>
      </c>
      <c r="N61" s="84">
        <f t="shared" si="5"/>
        <v>3133.4786190196019</v>
      </c>
      <c r="O61" s="84">
        <f t="shared" si="6"/>
        <v>1253.3914476078407</v>
      </c>
      <c r="P61" s="101">
        <f t="shared" si="7"/>
        <v>4386.8700666274426</v>
      </c>
    </row>
    <row r="62" spans="2:16" x14ac:dyDescent="0.35">
      <c r="B62" s="32"/>
      <c r="C62" s="33"/>
      <c r="D62" s="34"/>
      <c r="E62" s="33"/>
      <c r="F62" s="35"/>
      <c r="G62" s="35" t="e">
        <v>#N/A</v>
      </c>
      <c r="H62" s="132"/>
      <c r="I62" s="35" t="e">
        <f t="shared" si="0"/>
        <v>#N/A</v>
      </c>
      <c r="J62" s="37" t="e">
        <f t="shared" si="1"/>
        <v>#N/A</v>
      </c>
      <c r="K62" s="38">
        <v>0.21</v>
      </c>
      <c r="L62" s="37"/>
      <c r="M62" s="38">
        <v>0.3</v>
      </c>
      <c r="N62" s="37"/>
      <c r="O62" s="38">
        <v>0.4</v>
      </c>
      <c r="P62" s="39"/>
    </row>
    <row r="63" spans="2:16" x14ac:dyDescent="0.35">
      <c r="B63" s="27">
        <v>100021704</v>
      </c>
      <c r="C63" s="28" t="s">
        <v>64</v>
      </c>
      <c r="D63" s="21">
        <v>7790360023902</v>
      </c>
      <c r="E63" s="22">
        <f>12*0.38</f>
        <v>4.5600000000000005</v>
      </c>
      <c r="F63" s="23">
        <v>12</v>
      </c>
      <c r="G63" s="24">
        <v>37944.161137920899</v>
      </c>
      <c r="H63" s="133"/>
      <c r="I63" s="24">
        <f t="shared" si="0"/>
        <v>37944.161137920899</v>
      </c>
      <c r="J63" s="24">
        <f t="shared" si="1"/>
        <v>3162.0134281600749</v>
      </c>
      <c r="K63" s="24">
        <f t="shared" si="2"/>
        <v>664.02281991361576</v>
      </c>
      <c r="L63" s="24">
        <f t="shared" si="3"/>
        <v>3826.0362480736908</v>
      </c>
      <c r="M63" s="24">
        <f t="shared" si="4"/>
        <v>1147.8108744221072</v>
      </c>
      <c r="N63" s="24">
        <f t="shared" si="5"/>
        <v>4973.8471224957975</v>
      </c>
      <c r="O63" s="24">
        <f t="shared" si="6"/>
        <v>1989.5388489983191</v>
      </c>
      <c r="P63" s="25">
        <f t="shared" si="7"/>
        <v>6963.3859714941163</v>
      </c>
    </row>
    <row r="64" spans="2:16" x14ac:dyDescent="0.35">
      <c r="B64" s="27">
        <v>100021705</v>
      </c>
      <c r="C64" s="28" t="s">
        <v>65</v>
      </c>
      <c r="D64" s="21">
        <v>7790360024336</v>
      </c>
      <c r="E64" s="22">
        <f>12*0.38</f>
        <v>4.5600000000000005</v>
      </c>
      <c r="F64" s="23">
        <v>12</v>
      </c>
      <c r="G64" s="24">
        <v>34503.316444476506</v>
      </c>
      <c r="H64" s="133"/>
      <c r="I64" s="24">
        <f t="shared" si="0"/>
        <v>34503.316444476506</v>
      </c>
      <c r="J64" s="24">
        <f t="shared" si="1"/>
        <v>2875.276370373042</v>
      </c>
      <c r="K64" s="24">
        <f t="shared" si="2"/>
        <v>603.80803777833876</v>
      </c>
      <c r="L64" s="24">
        <f t="shared" si="3"/>
        <v>3479.0844081513806</v>
      </c>
      <c r="M64" s="24">
        <f t="shared" si="4"/>
        <v>1043.7253224454141</v>
      </c>
      <c r="N64" s="24">
        <f t="shared" si="5"/>
        <v>4522.8097305967949</v>
      </c>
      <c r="O64" s="24">
        <f t="shared" si="6"/>
        <v>1809.1238922387181</v>
      </c>
      <c r="P64" s="25">
        <f t="shared" si="7"/>
        <v>6331.9336228355132</v>
      </c>
    </row>
    <row r="65" spans="2:17" x14ac:dyDescent="0.35">
      <c r="B65" s="27">
        <v>100021709</v>
      </c>
      <c r="C65" s="28" t="s">
        <v>66</v>
      </c>
      <c r="D65" s="21">
        <v>7790360024701</v>
      </c>
      <c r="E65" s="22">
        <v>7.6</v>
      </c>
      <c r="F65" s="23">
        <v>10</v>
      </c>
      <c r="G65" s="24">
        <v>65318.967738285792</v>
      </c>
      <c r="H65" s="134"/>
      <c r="I65" s="24">
        <f t="shared" si="0"/>
        <v>65318.967738285792</v>
      </c>
      <c r="J65" s="24">
        <f t="shared" si="1"/>
        <v>6531.8967738285792</v>
      </c>
      <c r="K65" s="24">
        <f t="shared" si="2"/>
        <v>1371.6983225040017</v>
      </c>
      <c r="L65" s="24">
        <f t="shared" si="3"/>
        <v>7903.5950963325813</v>
      </c>
      <c r="M65" s="24">
        <f t="shared" si="4"/>
        <v>2371.0785288997745</v>
      </c>
      <c r="N65" s="24">
        <f t="shared" si="5"/>
        <v>10274.673625232355</v>
      </c>
      <c r="O65" s="24">
        <f t="shared" si="6"/>
        <v>4109.8694500929423</v>
      </c>
      <c r="P65" s="25">
        <f t="shared" si="7"/>
        <v>14384.543075325299</v>
      </c>
    </row>
    <row r="66" spans="2:17" x14ac:dyDescent="0.35">
      <c r="B66" s="83">
        <v>100521357</v>
      </c>
      <c r="C66" s="97" t="s">
        <v>120</v>
      </c>
      <c r="D66" s="98"/>
      <c r="E66" s="99">
        <v>4.5599999999999996</v>
      </c>
      <c r="F66" s="100">
        <v>12</v>
      </c>
      <c r="G66" s="84">
        <v>51025.389030000028</v>
      </c>
      <c r="H66" s="116">
        <v>0.4</v>
      </c>
      <c r="I66" s="84">
        <f t="shared" si="0"/>
        <v>30615.233418000014</v>
      </c>
      <c r="J66" s="84">
        <f t="shared" si="1"/>
        <v>2551.2694515000012</v>
      </c>
      <c r="K66" s="84">
        <f t="shared" si="2"/>
        <v>535.76658481500021</v>
      </c>
      <c r="L66" s="84">
        <f t="shared" si="3"/>
        <v>3087.0360363150012</v>
      </c>
      <c r="M66" s="84">
        <f t="shared" si="4"/>
        <v>926.11081089450033</v>
      </c>
      <c r="N66" s="84">
        <f t="shared" si="5"/>
        <v>4013.1468472095016</v>
      </c>
      <c r="O66" s="84">
        <f t="shared" si="6"/>
        <v>1605.2587388838008</v>
      </c>
      <c r="P66" s="101">
        <f t="shared" si="7"/>
        <v>5618.4055860933022</v>
      </c>
      <c r="Q66" s="245" t="s">
        <v>179</v>
      </c>
    </row>
    <row r="67" spans="2:17" x14ac:dyDescent="0.35">
      <c r="B67" s="83">
        <v>100521358</v>
      </c>
      <c r="C67" s="97" t="s">
        <v>127</v>
      </c>
      <c r="D67" s="98">
        <v>7790360982025</v>
      </c>
      <c r="E67" s="99">
        <v>7.6</v>
      </c>
      <c r="F67" s="100">
        <v>10</v>
      </c>
      <c r="G67" s="84" t="e">
        <v>#N/A</v>
      </c>
      <c r="H67" s="116">
        <v>0.4</v>
      </c>
      <c r="I67" s="84" t="e">
        <f t="shared" ref="I67" si="38">+G67*(1-H67)</f>
        <v>#N/A</v>
      </c>
      <c r="J67" s="84" t="e">
        <f t="shared" ref="J67" si="39">+I67/F67</f>
        <v>#N/A</v>
      </c>
      <c r="K67" s="84" t="e">
        <f t="shared" ref="K67" si="40">+J67*K$3</f>
        <v>#N/A</v>
      </c>
      <c r="L67" s="84" t="e">
        <f t="shared" ref="L67" si="41">+J67+K67</f>
        <v>#N/A</v>
      </c>
      <c r="M67" s="84" t="e">
        <f t="shared" ref="M67" si="42">+L67*M$3</f>
        <v>#N/A</v>
      </c>
      <c r="N67" s="84" t="e">
        <f t="shared" ref="N67" si="43">+L67+M67</f>
        <v>#N/A</v>
      </c>
      <c r="O67" s="84" t="e">
        <f t="shared" ref="O67" si="44">+N67*O$3</f>
        <v>#N/A</v>
      </c>
      <c r="P67" s="101" t="e">
        <f t="shared" ref="P67" si="45">+N67+O67</f>
        <v>#N/A</v>
      </c>
      <c r="Q67" s="245" t="s">
        <v>178</v>
      </c>
    </row>
    <row r="68" spans="2:17" x14ac:dyDescent="0.35">
      <c r="B68" s="83">
        <v>100522130</v>
      </c>
      <c r="C68" s="97" t="s">
        <v>121</v>
      </c>
      <c r="D68" s="98"/>
      <c r="E68" s="99">
        <v>4.8</v>
      </c>
      <c r="F68" s="100">
        <v>12</v>
      </c>
      <c r="G68" s="84">
        <v>42065.200628884144</v>
      </c>
      <c r="H68" s="116">
        <v>0.35</v>
      </c>
      <c r="I68" s="84">
        <f t="shared" si="0"/>
        <v>27342.380408774694</v>
      </c>
      <c r="J68" s="84">
        <f t="shared" si="1"/>
        <v>2278.5317007312246</v>
      </c>
      <c r="K68" s="84">
        <f t="shared" si="2"/>
        <v>478.49165715355718</v>
      </c>
      <c r="L68" s="84">
        <f t="shared" si="3"/>
        <v>2757.0233578847819</v>
      </c>
      <c r="M68" s="84">
        <f t="shared" si="4"/>
        <v>827.10700736543458</v>
      </c>
      <c r="N68" s="84">
        <f t="shared" si="5"/>
        <v>3584.1303652502165</v>
      </c>
      <c r="O68" s="84">
        <f t="shared" si="6"/>
        <v>1433.6521461000866</v>
      </c>
      <c r="P68" s="101">
        <f t="shared" si="7"/>
        <v>5017.7825113503031</v>
      </c>
      <c r="Q68" s="245" t="s">
        <v>179</v>
      </c>
    </row>
    <row r="69" spans="2:17" x14ac:dyDescent="0.35">
      <c r="B69" s="41">
        <v>100021725</v>
      </c>
      <c r="C69" s="42" t="s">
        <v>67</v>
      </c>
      <c r="D69" s="43">
        <v>7790360027009</v>
      </c>
      <c r="E69" s="44">
        <v>6</v>
      </c>
      <c r="F69" s="45">
        <v>4</v>
      </c>
      <c r="G69" s="46">
        <v>33337.373384434723</v>
      </c>
      <c r="H69" s="135"/>
      <c r="I69" s="46">
        <f t="shared" si="0"/>
        <v>33337.373384434723</v>
      </c>
      <c r="J69" s="46">
        <f t="shared" si="1"/>
        <v>8334.3433461086806</v>
      </c>
      <c r="K69" s="46">
        <f t="shared" si="2"/>
        <v>1750.2121026828229</v>
      </c>
      <c r="L69" s="46">
        <f t="shared" si="3"/>
        <v>10084.555448791503</v>
      </c>
      <c r="M69" s="46">
        <f t="shared" si="4"/>
        <v>3025.3666346374507</v>
      </c>
      <c r="N69" s="46">
        <f t="shared" si="5"/>
        <v>13109.922083428954</v>
      </c>
      <c r="O69" s="46">
        <f t="shared" si="6"/>
        <v>5243.9688333715821</v>
      </c>
      <c r="P69" s="47">
        <f t="shared" si="7"/>
        <v>18353.890916800534</v>
      </c>
      <c r="Q69" s="248"/>
    </row>
    <row r="70" spans="2:17" x14ac:dyDescent="0.35">
      <c r="B70" s="27">
        <v>100517055</v>
      </c>
      <c r="C70" s="28" t="s">
        <v>68</v>
      </c>
      <c r="D70" s="21">
        <v>7790360971135</v>
      </c>
      <c r="E70" s="22">
        <v>3.12</v>
      </c>
      <c r="F70" s="23">
        <v>12</v>
      </c>
      <c r="G70" s="24">
        <v>28510.434582594571</v>
      </c>
      <c r="H70" s="133"/>
      <c r="I70" s="24">
        <f t="shared" si="0"/>
        <v>28510.434582594571</v>
      </c>
      <c r="J70" s="24">
        <f t="shared" si="1"/>
        <v>2375.8695485495477</v>
      </c>
      <c r="K70" s="24">
        <f t="shared" si="2"/>
        <v>498.93260519540502</v>
      </c>
      <c r="L70" s="24">
        <f t="shared" si="3"/>
        <v>2874.8021537449526</v>
      </c>
      <c r="M70" s="24">
        <f t="shared" si="4"/>
        <v>862.44064612348575</v>
      </c>
      <c r="N70" s="24">
        <f t="shared" si="5"/>
        <v>3737.2427998684384</v>
      </c>
      <c r="O70" s="24">
        <f t="shared" si="6"/>
        <v>1494.8971199473754</v>
      </c>
      <c r="P70" s="25">
        <f t="shared" si="7"/>
        <v>5232.1399198158142</v>
      </c>
      <c r="Q70" s="248"/>
    </row>
    <row r="71" spans="2:17" x14ac:dyDescent="0.35">
      <c r="B71" s="83">
        <v>100517186</v>
      </c>
      <c r="C71" s="97" t="s">
        <v>69</v>
      </c>
      <c r="D71" s="98">
        <v>7790360971395</v>
      </c>
      <c r="E71" s="99">
        <v>8</v>
      </c>
      <c r="F71" s="100">
        <v>8</v>
      </c>
      <c r="G71" s="84">
        <v>72019.922450009704</v>
      </c>
      <c r="H71" s="140">
        <v>0.35</v>
      </c>
      <c r="I71" s="84">
        <f t="shared" si="0"/>
        <v>46812.949592506309</v>
      </c>
      <c r="J71" s="84">
        <f t="shared" si="1"/>
        <v>5851.6186990632887</v>
      </c>
      <c r="K71" s="84">
        <f t="shared" si="2"/>
        <v>1228.8399268032906</v>
      </c>
      <c r="L71" s="84">
        <f t="shared" si="3"/>
        <v>7080.4586258665795</v>
      </c>
      <c r="M71" s="84">
        <f t="shared" si="4"/>
        <v>2124.1375877599739</v>
      </c>
      <c r="N71" s="84">
        <f t="shared" si="5"/>
        <v>9204.5962136265534</v>
      </c>
      <c r="O71" s="84">
        <f t="shared" si="6"/>
        <v>3681.8384854506216</v>
      </c>
      <c r="P71" s="101">
        <f t="shared" si="7"/>
        <v>12886.434699077176</v>
      </c>
      <c r="Q71" s="245" t="s">
        <v>180</v>
      </c>
    </row>
    <row r="72" spans="2:17" x14ac:dyDescent="0.35">
      <c r="B72" s="124">
        <v>100521663</v>
      </c>
      <c r="C72" s="125" t="s">
        <v>122</v>
      </c>
      <c r="D72" s="98"/>
      <c r="E72" s="99">
        <v>4.8</v>
      </c>
      <c r="F72" s="100">
        <v>12</v>
      </c>
      <c r="G72" s="84">
        <v>46138.072453861932</v>
      </c>
      <c r="H72" s="116">
        <v>0.3</v>
      </c>
      <c r="I72" s="84">
        <f t="shared" si="0"/>
        <v>32296.650717703349</v>
      </c>
      <c r="J72" s="84">
        <f t="shared" si="1"/>
        <v>2691.3875598086124</v>
      </c>
      <c r="K72" s="84">
        <f t="shared" si="2"/>
        <v>565.19138755980862</v>
      </c>
      <c r="L72" s="84">
        <f t="shared" si="3"/>
        <v>3256.5789473684208</v>
      </c>
      <c r="M72" s="84">
        <f t="shared" si="4"/>
        <v>976.97368421052624</v>
      </c>
      <c r="N72" s="84">
        <f t="shared" si="5"/>
        <v>4233.5526315789466</v>
      </c>
      <c r="O72" s="84">
        <f t="shared" si="6"/>
        <v>1693.4210526315787</v>
      </c>
      <c r="P72" s="101">
        <f t="shared" si="7"/>
        <v>5926.9736842105249</v>
      </c>
      <c r="Q72" s="245" t="s">
        <v>179</v>
      </c>
    </row>
    <row r="73" spans="2:17" x14ac:dyDescent="0.35">
      <c r="B73" s="41">
        <v>100021728</v>
      </c>
      <c r="C73" s="42" t="s">
        <v>70</v>
      </c>
      <c r="D73" s="43">
        <v>7790360967558</v>
      </c>
      <c r="E73" s="44">
        <v>3.84</v>
      </c>
      <c r="F73" s="45">
        <v>12</v>
      </c>
      <c r="G73" s="46">
        <v>43691.421331944912</v>
      </c>
      <c r="H73" s="135"/>
      <c r="I73" s="46">
        <f t="shared" si="0"/>
        <v>43691.421331944912</v>
      </c>
      <c r="J73" s="46">
        <f t="shared" si="1"/>
        <v>3640.951777662076</v>
      </c>
      <c r="K73" s="46">
        <f t="shared" si="2"/>
        <v>764.59987330903596</v>
      </c>
      <c r="L73" s="46">
        <f t="shared" si="3"/>
        <v>4405.5516509711124</v>
      </c>
      <c r="M73" s="46">
        <f t="shared" si="4"/>
        <v>1321.6654952913336</v>
      </c>
      <c r="N73" s="46">
        <f t="shared" si="5"/>
        <v>5727.2171462624465</v>
      </c>
      <c r="O73" s="46">
        <f t="shared" si="6"/>
        <v>2290.8868585049786</v>
      </c>
      <c r="P73" s="47">
        <f t="shared" si="7"/>
        <v>8018.1040047674251</v>
      </c>
    </row>
    <row r="74" spans="2:17" x14ac:dyDescent="0.35">
      <c r="B74" s="41">
        <v>100517679</v>
      </c>
      <c r="C74" s="42" t="s">
        <v>71</v>
      </c>
      <c r="D74" s="43"/>
      <c r="E74" s="44">
        <v>7.68</v>
      </c>
      <c r="F74" s="45">
        <v>8</v>
      </c>
      <c r="G74" s="46">
        <v>41384.271914335841</v>
      </c>
      <c r="H74" s="135"/>
      <c r="I74" s="46">
        <f t="shared" si="0"/>
        <v>41384.271914335841</v>
      </c>
      <c r="J74" s="46">
        <f t="shared" si="1"/>
        <v>5173.0339892919801</v>
      </c>
      <c r="K74" s="46">
        <f t="shared" si="2"/>
        <v>1086.3371377513158</v>
      </c>
      <c r="L74" s="46">
        <f t="shared" si="3"/>
        <v>6259.3711270432959</v>
      </c>
      <c r="M74" s="46">
        <f t="shared" si="4"/>
        <v>1877.8113381129888</v>
      </c>
      <c r="N74" s="46">
        <f t="shared" si="5"/>
        <v>8137.1824651562847</v>
      </c>
      <c r="O74" s="46">
        <f t="shared" si="6"/>
        <v>3254.872986062514</v>
      </c>
      <c r="P74" s="47">
        <f t="shared" si="7"/>
        <v>11392.055451218799</v>
      </c>
    </row>
    <row r="75" spans="2:17" ht="15" thickBot="1" x14ac:dyDescent="0.4">
      <c r="B75" s="32"/>
      <c r="C75" s="33"/>
      <c r="D75" s="34"/>
      <c r="E75" s="33"/>
      <c r="F75" s="35"/>
      <c r="G75" s="36" t="e">
        <v>#N/A</v>
      </c>
      <c r="H75" s="132"/>
      <c r="I75" s="36" t="e">
        <f t="shared" si="0"/>
        <v>#N/A</v>
      </c>
      <c r="J75" s="37" t="e">
        <f t="shared" si="1"/>
        <v>#N/A</v>
      </c>
      <c r="K75" s="38">
        <v>0.21</v>
      </c>
      <c r="L75" s="37"/>
      <c r="M75" s="38">
        <v>0.3</v>
      </c>
      <c r="N75" s="37"/>
      <c r="O75" s="38">
        <v>0.4</v>
      </c>
      <c r="P75" s="39"/>
    </row>
    <row r="76" spans="2:17" ht="15" hidden="1" thickBot="1" x14ac:dyDescent="0.4">
      <c r="B76" s="27">
        <v>100516219</v>
      </c>
      <c r="C76" s="28" t="s">
        <v>72</v>
      </c>
      <c r="D76" s="48">
        <v>7790360967770</v>
      </c>
      <c r="E76" s="22">
        <v>10</v>
      </c>
      <c r="F76" s="23">
        <v>25</v>
      </c>
      <c r="G76" s="24">
        <v>18259.399891781304</v>
      </c>
      <c r="H76" s="133"/>
      <c r="I76" s="24">
        <f t="shared" si="0"/>
        <v>18259.399891781304</v>
      </c>
      <c r="J76" s="24">
        <f t="shared" si="1"/>
        <v>730.37599567125221</v>
      </c>
      <c r="K76" s="24">
        <f t="shared" si="2"/>
        <v>153.37895909096295</v>
      </c>
      <c r="L76" s="24">
        <f t="shared" si="3"/>
        <v>883.75495476221522</v>
      </c>
      <c r="M76" s="24">
        <f t="shared" si="4"/>
        <v>265.12648642866458</v>
      </c>
      <c r="N76" s="24">
        <f t="shared" si="5"/>
        <v>1148.8814411908797</v>
      </c>
      <c r="O76" s="24">
        <f t="shared" si="6"/>
        <v>459.55257647635193</v>
      </c>
      <c r="P76" s="25">
        <f t="shared" si="7"/>
        <v>1608.4340176672317</v>
      </c>
    </row>
    <row r="77" spans="2:17" ht="15" hidden="1" thickBot="1" x14ac:dyDescent="0.4">
      <c r="B77" s="27">
        <v>100516220</v>
      </c>
      <c r="C77" s="28" t="s">
        <v>73</v>
      </c>
      <c r="D77" s="48">
        <v>7790360967787</v>
      </c>
      <c r="E77" s="22">
        <v>12</v>
      </c>
      <c r="F77" s="23">
        <v>6</v>
      </c>
      <c r="G77" s="24">
        <v>19613.921820029205</v>
      </c>
      <c r="H77" s="133"/>
      <c r="I77" s="24">
        <f t="shared" si="0"/>
        <v>19613.921820029205</v>
      </c>
      <c r="J77" s="24">
        <f t="shared" si="1"/>
        <v>3268.9869700048675</v>
      </c>
      <c r="K77" s="24">
        <f t="shared" si="2"/>
        <v>686.48726370102213</v>
      </c>
      <c r="L77" s="24">
        <f t="shared" si="3"/>
        <v>3955.4742337058897</v>
      </c>
      <c r="M77" s="24">
        <f t="shared" si="4"/>
        <v>1186.6422701117669</v>
      </c>
      <c r="N77" s="24">
        <f t="shared" si="5"/>
        <v>5142.1165038176568</v>
      </c>
      <c r="O77" s="24">
        <f t="shared" si="6"/>
        <v>2056.8466015270628</v>
      </c>
      <c r="P77" s="25">
        <f t="shared" si="7"/>
        <v>7198.9631053447192</v>
      </c>
    </row>
    <row r="78" spans="2:17" ht="15" hidden="1" thickBot="1" x14ac:dyDescent="0.4">
      <c r="B78" s="86"/>
      <c r="C78" s="87"/>
      <c r="D78" s="88"/>
      <c r="E78" s="87"/>
      <c r="F78" s="89"/>
      <c r="G78" s="90" t="e">
        <v>#N/A</v>
      </c>
      <c r="H78" s="136"/>
      <c r="I78" s="90" t="e">
        <f t="shared" ref="I78:I106" si="46">+G78*(1-H78)</f>
        <v>#N/A</v>
      </c>
      <c r="J78" s="37" t="e">
        <f t="shared" ref="J78:J84" si="47">+I78/F78</f>
        <v>#N/A</v>
      </c>
      <c r="K78" s="38"/>
      <c r="L78" s="37"/>
      <c r="M78" s="38"/>
      <c r="N78" s="37"/>
      <c r="O78" s="38"/>
      <c r="P78" s="39"/>
    </row>
    <row r="79" spans="2:17" x14ac:dyDescent="0.35">
      <c r="B79" s="85">
        <v>100518158</v>
      </c>
      <c r="C79" s="28" t="s">
        <v>74</v>
      </c>
      <c r="D79" s="63">
        <v>7790360974280</v>
      </c>
      <c r="E79" s="22">
        <v>12</v>
      </c>
      <c r="F79" s="23">
        <v>24</v>
      </c>
      <c r="G79" s="24">
        <v>79203.691045796324</v>
      </c>
      <c r="H79" s="137"/>
      <c r="I79" s="24">
        <f t="shared" si="46"/>
        <v>79203.691045796324</v>
      </c>
      <c r="J79" s="24">
        <f t="shared" si="47"/>
        <v>3300.153793574847</v>
      </c>
      <c r="K79" s="24">
        <f>+J79*K$3</f>
        <v>693.03229665071785</v>
      </c>
      <c r="L79" s="24">
        <f>+J79+K79</f>
        <v>3993.1860902255648</v>
      </c>
      <c r="M79" s="24">
        <f>+L79*M$3</f>
        <v>1197.9558270676694</v>
      </c>
      <c r="N79" s="24">
        <f>+L79+M79</f>
        <v>5191.1419172932347</v>
      </c>
      <c r="O79" s="24">
        <f>+N79*O$3</f>
        <v>2076.4567669172939</v>
      </c>
      <c r="P79" s="25">
        <f>+N79+O79</f>
        <v>7267.5986842105285</v>
      </c>
    </row>
    <row r="80" spans="2:17" x14ac:dyDescent="0.35">
      <c r="B80" s="85">
        <v>100518160</v>
      </c>
      <c r="C80" s="28" t="s">
        <v>75</v>
      </c>
      <c r="D80" s="63">
        <v>7790360974686</v>
      </c>
      <c r="E80" s="22">
        <v>12</v>
      </c>
      <c r="F80" s="23">
        <v>12</v>
      </c>
      <c r="G80" s="24">
        <v>79203.691045796324</v>
      </c>
      <c r="H80" s="133"/>
      <c r="I80" s="24">
        <f t="shared" si="46"/>
        <v>79203.691045796324</v>
      </c>
      <c r="J80" s="24">
        <f t="shared" si="47"/>
        <v>6600.307587149694</v>
      </c>
      <c r="K80" s="24">
        <f>+J80*K$3</f>
        <v>1386.0645933014357</v>
      </c>
      <c r="L80" s="24">
        <f>+J80+K80</f>
        <v>7986.3721804511297</v>
      </c>
      <c r="M80" s="24">
        <f>+L80*M$3</f>
        <v>2395.9116541353387</v>
      </c>
      <c r="N80" s="24">
        <f>+L80+M80</f>
        <v>10382.283834586469</v>
      </c>
      <c r="O80" s="24">
        <f>+N80*O$3</f>
        <v>4152.9135338345877</v>
      </c>
      <c r="P80" s="25">
        <f>+N80+O80</f>
        <v>14535.197368421057</v>
      </c>
    </row>
    <row r="81" spans="1:17" ht="15" thickBot="1" x14ac:dyDescent="0.4">
      <c r="B81" s="85">
        <v>100518463</v>
      </c>
      <c r="C81" s="28" t="s">
        <v>89</v>
      </c>
      <c r="D81" s="63"/>
      <c r="E81" s="22">
        <v>5</v>
      </c>
      <c r="F81" s="23">
        <v>1</v>
      </c>
      <c r="G81" s="24">
        <v>36649.894031605167</v>
      </c>
      <c r="H81" s="138"/>
      <c r="I81" s="24">
        <f t="shared" si="46"/>
        <v>36649.894031605167</v>
      </c>
      <c r="J81" s="24">
        <f t="shared" si="47"/>
        <v>36649.894031605167</v>
      </c>
      <c r="K81" s="24">
        <f>+J81*K$3</f>
        <v>7696.4777466370851</v>
      </c>
      <c r="L81" s="24">
        <f>+J81+K81</f>
        <v>44346.371778242254</v>
      </c>
      <c r="M81" s="24">
        <f>+L81*M$3</f>
        <v>13303.911533472676</v>
      </c>
      <c r="N81" s="24">
        <f>+L81+M81</f>
        <v>57650.283311714928</v>
      </c>
      <c r="O81" s="24">
        <f>+N81*O$3</f>
        <v>23060.113324685972</v>
      </c>
      <c r="P81" s="25">
        <f>+N81+O81</f>
        <v>80710.396636400896</v>
      </c>
    </row>
    <row r="82" spans="1:17" ht="15" thickBot="1" x14ac:dyDescent="0.4">
      <c r="B82" s="71"/>
      <c r="C82" s="72"/>
      <c r="D82" s="73"/>
      <c r="E82" s="72"/>
      <c r="F82" s="74"/>
      <c r="G82" s="75" t="e">
        <v>#N/A</v>
      </c>
      <c r="H82" s="139"/>
      <c r="I82" s="75" t="e">
        <f t="shared" si="46"/>
        <v>#N/A</v>
      </c>
      <c r="J82" s="37" t="e">
        <f t="shared" si="47"/>
        <v>#N/A</v>
      </c>
      <c r="K82" s="38"/>
      <c r="L82" s="37"/>
      <c r="M82" s="38"/>
      <c r="N82" s="37"/>
      <c r="O82" s="38"/>
      <c r="P82" s="39"/>
    </row>
    <row r="83" spans="1:17" x14ac:dyDescent="0.35">
      <c r="B83" s="112">
        <v>100518291</v>
      </c>
      <c r="C83" s="113" t="s">
        <v>77</v>
      </c>
      <c r="D83" s="109">
        <v>7790360975195</v>
      </c>
      <c r="E83" s="114">
        <v>5</v>
      </c>
      <c r="F83" s="114">
        <v>10</v>
      </c>
      <c r="G83" s="110">
        <v>16121.037912222355</v>
      </c>
      <c r="H83" s="116"/>
      <c r="I83" s="84">
        <f t="shared" si="46"/>
        <v>16121.037912222355</v>
      </c>
      <c r="J83" s="110">
        <f t="shared" si="47"/>
        <v>1612.1037912222355</v>
      </c>
      <c r="K83" s="110">
        <f>+J83*K$3</f>
        <v>338.54179615666942</v>
      </c>
      <c r="L83" s="110">
        <f>+J83+K83</f>
        <v>1950.645587378905</v>
      </c>
      <c r="M83" s="110">
        <f>+L83*M$39</f>
        <v>390.12911747578102</v>
      </c>
      <c r="N83" s="110">
        <f>+L83+M83</f>
        <v>2340.7747048546862</v>
      </c>
      <c r="O83" s="110">
        <f>+N83*O$39</f>
        <v>819.2711466991401</v>
      </c>
      <c r="P83" s="111">
        <f>+N83+O83</f>
        <v>3160.0458515538262</v>
      </c>
      <c r="Q83" s="245" t="s">
        <v>200</v>
      </c>
    </row>
    <row r="84" spans="1:17" ht="15" thickBot="1" x14ac:dyDescent="0.4">
      <c r="B84" s="103">
        <v>100518292</v>
      </c>
      <c r="C84" s="104" t="s">
        <v>78</v>
      </c>
      <c r="D84" s="105">
        <v>7790360975201</v>
      </c>
      <c r="E84" s="106">
        <v>12</v>
      </c>
      <c r="F84" s="106">
        <v>12</v>
      </c>
      <c r="G84" s="107">
        <v>38039.897077094487</v>
      </c>
      <c r="H84" s="116"/>
      <c r="I84" s="84">
        <f t="shared" si="46"/>
        <v>38039.897077094487</v>
      </c>
      <c r="J84" s="107">
        <f t="shared" si="47"/>
        <v>3169.9914230912073</v>
      </c>
      <c r="K84" s="107">
        <f>+J84*K$3</f>
        <v>665.69819884915353</v>
      </c>
      <c r="L84" s="107">
        <f>+J84+K84</f>
        <v>3835.6896219403607</v>
      </c>
      <c r="M84" s="107">
        <f>+L84*M$39</f>
        <v>767.13792438807218</v>
      </c>
      <c r="N84" s="107">
        <f>+L84+M84</f>
        <v>4602.8275463284326</v>
      </c>
      <c r="O84" s="107">
        <f>+N84*O$39</f>
        <v>1610.9896412149512</v>
      </c>
      <c r="P84" s="108">
        <f>+N84+O84</f>
        <v>6213.8171875433836</v>
      </c>
      <c r="Q84" s="245" t="s">
        <v>201</v>
      </c>
    </row>
    <row r="85" spans="1:17" ht="15" thickBot="1" x14ac:dyDescent="0.4">
      <c r="B85" s="71"/>
      <c r="C85" s="72"/>
      <c r="D85" s="73"/>
      <c r="E85" s="72"/>
      <c r="F85" s="74"/>
      <c r="G85" s="75" t="e">
        <v>#N/A</v>
      </c>
      <c r="H85" s="139"/>
      <c r="I85" s="75" t="e">
        <f t="shared" si="46"/>
        <v>#N/A</v>
      </c>
      <c r="J85" s="37" t="e">
        <f>+I85/F85</f>
        <v>#N/A</v>
      </c>
      <c r="K85" s="38">
        <v>0.105</v>
      </c>
      <c r="L85" s="37"/>
      <c r="M85" s="38">
        <v>0.2</v>
      </c>
      <c r="N85" s="37"/>
      <c r="O85" s="38">
        <v>0.35</v>
      </c>
      <c r="P85" s="39"/>
    </row>
    <row r="86" spans="1:17" x14ac:dyDescent="0.35">
      <c r="B86" s="112">
        <v>100517915</v>
      </c>
      <c r="C86" s="113" t="s">
        <v>79</v>
      </c>
      <c r="D86" s="109">
        <v>7790360974020</v>
      </c>
      <c r="E86" s="114">
        <v>18</v>
      </c>
      <c r="F86" s="114">
        <v>36</v>
      </c>
      <c r="G86" s="110">
        <v>173352.97330326217</v>
      </c>
      <c r="H86" s="96"/>
      <c r="I86" s="84">
        <f t="shared" si="46"/>
        <v>173352.97330326217</v>
      </c>
      <c r="J86" s="110">
        <f>+I86/F86</f>
        <v>4815.3603695350603</v>
      </c>
      <c r="K86" s="110">
        <f>+J86*K$85</f>
        <v>505.61283880118128</v>
      </c>
      <c r="L86" s="110">
        <f>+J86+K86</f>
        <v>5320.9732083362414</v>
      </c>
      <c r="M86" s="110">
        <f>+L86*M$85</f>
        <v>1064.1946416672483</v>
      </c>
      <c r="N86" s="110">
        <f>+L86+M86</f>
        <v>6385.1678500034895</v>
      </c>
      <c r="O86" s="110">
        <f>+N86*O$85</f>
        <v>2234.8087475012212</v>
      </c>
      <c r="P86" s="111">
        <f>+N86+O86</f>
        <v>8619.9765975047103</v>
      </c>
    </row>
    <row r="87" spans="1:17" ht="15" thickBot="1" x14ac:dyDescent="0.4">
      <c r="B87" s="103">
        <v>100517914</v>
      </c>
      <c r="C87" s="104" t="s">
        <v>80</v>
      </c>
      <c r="D87" s="105">
        <v>7790360974037</v>
      </c>
      <c r="E87" s="106">
        <v>20</v>
      </c>
      <c r="F87" s="106">
        <v>20</v>
      </c>
      <c r="G87" s="107">
        <v>185663.53126131868</v>
      </c>
      <c r="H87" s="96"/>
      <c r="I87" s="84">
        <f t="shared" si="46"/>
        <v>185663.53126131868</v>
      </c>
      <c r="J87" s="107">
        <f>+I87/F87</f>
        <v>9283.1765630659338</v>
      </c>
      <c r="K87" s="107">
        <f>+J87*K$85</f>
        <v>974.73353912192306</v>
      </c>
      <c r="L87" s="107">
        <f>+J87+K87</f>
        <v>10257.910102187856</v>
      </c>
      <c r="M87" s="107">
        <f>+L87*M$85</f>
        <v>2051.5820204375714</v>
      </c>
      <c r="N87" s="107">
        <f>+L87+M87</f>
        <v>12309.492122625426</v>
      </c>
      <c r="O87" s="107">
        <f>+N87*O$85</f>
        <v>4308.3222429188991</v>
      </c>
      <c r="P87" s="108">
        <f>+N87+O87</f>
        <v>16617.814365544327</v>
      </c>
    </row>
    <row r="88" spans="1:17" ht="15" thickBot="1" x14ac:dyDescent="0.4">
      <c r="B88" s="71"/>
      <c r="C88" s="72"/>
      <c r="D88" s="73"/>
      <c r="E88" s="72"/>
      <c r="F88" s="74"/>
      <c r="G88" s="75" t="e">
        <v>#N/A</v>
      </c>
      <c r="H88" s="139"/>
      <c r="I88" s="75" t="e">
        <f t="shared" si="46"/>
        <v>#N/A</v>
      </c>
      <c r="J88" s="91"/>
      <c r="K88" s="92">
        <v>0.105</v>
      </c>
      <c r="L88" s="91"/>
      <c r="M88" s="93">
        <v>0.3</v>
      </c>
      <c r="N88" s="91"/>
      <c r="O88" s="93">
        <v>0.4</v>
      </c>
      <c r="P88" s="94"/>
    </row>
    <row r="89" spans="1:17" x14ac:dyDescent="0.35">
      <c r="B89" s="27">
        <v>100010689</v>
      </c>
      <c r="C89" s="28" t="s">
        <v>81</v>
      </c>
      <c r="D89" s="21"/>
      <c r="E89" s="81">
        <v>22</v>
      </c>
      <c r="F89" s="23">
        <v>1</v>
      </c>
      <c r="G89" s="24">
        <v>16500</v>
      </c>
      <c r="H89" s="133"/>
      <c r="I89" s="24">
        <f t="shared" si="46"/>
        <v>16500</v>
      </c>
      <c r="J89" s="61">
        <f t="shared" ref="J89:J94" si="48">+I89/F89</f>
        <v>16500</v>
      </c>
      <c r="K89" s="61">
        <f t="shared" ref="K89:K94" si="49">+J89*K$88</f>
        <v>1732.5</v>
      </c>
      <c r="L89" s="61">
        <f t="shared" ref="L89:L94" si="50">+J89+K89</f>
        <v>18232.5</v>
      </c>
      <c r="M89" s="61">
        <f t="shared" ref="M89:M94" si="51">+L89*M$88</f>
        <v>5469.75</v>
      </c>
      <c r="N89" s="61">
        <f t="shared" ref="N89:N94" si="52">+L89+M89</f>
        <v>23702.25</v>
      </c>
      <c r="O89" s="61">
        <f t="shared" ref="O89:O94" si="53">+N89*O$88</f>
        <v>9480.9</v>
      </c>
      <c r="P89" s="62">
        <f t="shared" ref="P89:P94" si="54">+N89+O89</f>
        <v>33183.15</v>
      </c>
    </row>
    <row r="90" spans="1:17" x14ac:dyDescent="0.35">
      <c r="B90" s="27">
        <v>100518335</v>
      </c>
      <c r="C90" s="28" t="s">
        <v>82</v>
      </c>
      <c r="D90" s="21"/>
      <c r="E90" s="81">
        <v>22.5</v>
      </c>
      <c r="F90" s="23">
        <v>1</v>
      </c>
      <c r="G90" s="24">
        <v>11785.714285714286</v>
      </c>
      <c r="H90" s="133"/>
      <c r="I90" s="24">
        <f t="shared" si="46"/>
        <v>11785.714285714286</v>
      </c>
      <c r="J90" s="24">
        <f t="shared" si="48"/>
        <v>11785.714285714286</v>
      </c>
      <c r="K90" s="24">
        <f t="shared" si="49"/>
        <v>1237.5</v>
      </c>
      <c r="L90" s="24">
        <f t="shared" si="50"/>
        <v>13023.214285714286</v>
      </c>
      <c r="M90" s="24">
        <f t="shared" si="51"/>
        <v>3906.9642857142858</v>
      </c>
      <c r="N90" s="24">
        <f t="shared" si="52"/>
        <v>16930.178571428572</v>
      </c>
      <c r="O90" s="24">
        <f t="shared" si="53"/>
        <v>6772.0714285714294</v>
      </c>
      <c r="P90" s="25">
        <f t="shared" si="54"/>
        <v>23702.25</v>
      </c>
    </row>
    <row r="91" spans="1:17" x14ac:dyDescent="0.35">
      <c r="B91" s="27">
        <v>100518332</v>
      </c>
      <c r="C91" s="28" t="s">
        <v>83</v>
      </c>
      <c r="D91" s="21"/>
      <c r="E91" s="81">
        <v>21.5</v>
      </c>
      <c r="F91" s="23">
        <v>1</v>
      </c>
      <c r="G91" s="24">
        <v>13553.571428571431</v>
      </c>
      <c r="H91" s="133"/>
      <c r="I91" s="24">
        <f t="shared" si="46"/>
        <v>13553.571428571431</v>
      </c>
      <c r="J91" s="24">
        <f t="shared" si="48"/>
        <v>13553.571428571431</v>
      </c>
      <c r="K91" s="24">
        <f t="shared" si="49"/>
        <v>1423.1250000000002</v>
      </c>
      <c r="L91" s="24">
        <f t="shared" si="50"/>
        <v>14976.696428571431</v>
      </c>
      <c r="M91" s="24">
        <f t="shared" si="51"/>
        <v>4493.0089285714294</v>
      </c>
      <c r="N91" s="24">
        <f t="shared" si="52"/>
        <v>19469.705357142862</v>
      </c>
      <c r="O91" s="24">
        <f t="shared" si="53"/>
        <v>7787.8821428571455</v>
      </c>
      <c r="P91" s="25">
        <f t="shared" si="54"/>
        <v>27257.587500000009</v>
      </c>
    </row>
    <row r="92" spans="1:17" x14ac:dyDescent="0.35">
      <c r="B92" s="27">
        <v>100518334</v>
      </c>
      <c r="C92" s="28" t="s">
        <v>84</v>
      </c>
      <c r="D92" s="21"/>
      <c r="E92" s="81">
        <v>22.5</v>
      </c>
      <c r="F92" s="23">
        <v>1</v>
      </c>
      <c r="G92" s="24">
        <v>12021.428571428572</v>
      </c>
      <c r="H92" s="133"/>
      <c r="I92" s="24">
        <f t="shared" si="46"/>
        <v>12021.428571428572</v>
      </c>
      <c r="J92" s="24">
        <f t="shared" si="48"/>
        <v>12021.428571428572</v>
      </c>
      <c r="K92" s="24">
        <f t="shared" si="49"/>
        <v>1262.25</v>
      </c>
      <c r="L92" s="24">
        <f t="shared" si="50"/>
        <v>13283.678571428572</v>
      </c>
      <c r="M92" s="24">
        <f t="shared" si="51"/>
        <v>3985.1035714285717</v>
      </c>
      <c r="N92" s="24">
        <f t="shared" si="52"/>
        <v>17268.782142857144</v>
      </c>
      <c r="O92" s="24">
        <f t="shared" si="53"/>
        <v>6907.5128571428577</v>
      </c>
      <c r="P92" s="25">
        <f t="shared" si="54"/>
        <v>24176.295000000002</v>
      </c>
    </row>
    <row r="93" spans="1:17" x14ac:dyDescent="0.35">
      <c r="B93" s="27">
        <v>100518227</v>
      </c>
      <c r="C93" s="28" t="s">
        <v>85</v>
      </c>
      <c r="D93" s="21"/>
      <c r="E93" s="81">
        <v>22.5</v>
      </c>
      <c r="F93" s="23">
        <v>1</v>
      </c>
      <c r="G93" s="24">
        <v>14185.285714285716</v>
      </c>
      <c r="H93" s="133"/>
      <c r="I93" s="24">
        <f t="shared" si="46"/>
        <v>14185.285714285716</v>
      </c>
      <c r="J93" s="24">
        <f t="shared" si="48"/>
        <v>14185.285714285716</v>
      </c>
      <c r="K93" s="24">
        <f t="shared" si="49"/>
        <v>1489.4550000000002</v>
      </c>
      <c r="L93" s="24">
        <f t="shared" si="50"/>
        <v>15674.740714285716</v>
      </c>
      <c r="M93" s="24">
        <f t="shared" si="51"/>
        <v>4702.4222142857143</v>
      </c>
      <c r="N93" s="24">
        <f t="shared" si="52"/>
        <v>20377.16292857143</v>
      </c>
      <c r="O93" s="24">
        <f t="shared" si="53"/>
        <v>8150.8651714285725</v>
      </c>
      <c r="P93" s="25">
        <f t="shared" si="54"/>
        <v>28528.028100000003</v>
      </c>
    </row>
    <row r="94" spans="1:17" x14ac:dyDescent="0.35">
      <c r="A94" s="175"/>
      <c r="B94" s="175">
        <v>100027726</v>
      </c>
      <c r="C94" s="176" t="s">
        <v>148</v>
      </c>
      <c r="D94" s="81">
        <v>22.5</v>
      </c>
      <c r="E94" s="23">
        <v>1</v>
      </c>
      <c r="F94" s="23">
        <v>1</v>
      </c>
      <c r="G94" s="24" t="e">
        <v>#N/A</v>
      </c>
      <c r="H94" s="133"/>
      <c r="I94" s="24" t="e">
        <f t="shared" ref="I94" si="55">+G94*(1-H94)</f>
        <v>#N/A</v>
      </c>
      <c r="J94" s="24" t="e">
        <f t="shared" si="48"/>
        <v>#N/A</v>
      </c>
      <c r="K94" s="24" t="e">
        <f t="shared" si="49"/>
        <v>#N/A</v>
      </c>
      <c r="L94" s="24" t="e">
        <f t="shared" si="50"/>
        <v>#N/A</v>
      </c>
      <c r="M94" s="24" t="e">
        <f t="shared" si="51"/>
        <v>#N/A</v>
      </c>
      <c r="N94" s="24" t="e">
        <f t="shared" si="52"/>
        <v>#N/A</v>
      </c>
      <c r="O94" s="24" t="e">
        <f t="shared" si="53"/>
        <v>#N/A</v>
      </c>
      <c r="P94" s="25" t="e">
        <f t="shared" si="54"/>
        <v>#N/A</v>
      </c>
    </row>
    <row r="95" spans="1:17" ht="15" thickBot="1" x14ac:dyDescent="0.4">
      <c r="B95" s="71"/>
      <c r="C95" s="72"/>
      <c r="D95" s="73"/>
      <c r="E95" s="72"/>
      <c r="F95" s="74"/>
      <c r="G95" s="75" t="e">
        <v>#N/A</v>
      </c>
      <c r="H95" s="139"/>
      <c r="I95" s="75" t="e">
        <f t="shared" si="46"/>
        <v>#N/A</v>
      </c>
      <c r="J95" s="91"/>
      <c r="K95" s="92">
        <v>0.21</v>
      </c>
      <c r="L95" s="91"/>
      <c r="M95" s="38">
        <v>0.3</v>
      </c>
      <c r="N95" s="37"/>
      <c r="O95" s="38">
        <v>0.4</v>
      </c>
      <c r="P95" s="94"/>
    </row>
    <row r="96" spans="1:17" ht="15" thickBot="1" x14ac:dyDescent="0.4">
      <c r="B96" s="27">
        <v>100520837</v>
      </c>
      <c r="C96" s="28" t="s">
        <v>86</v>
      </c>
      <c r="D96" s="21">
        <v>7790360980625</v>
      </c>
      <c r="E96" s="81">
        <v>4.8</v>
      </c>
      <c r="F96" s="23">
        <v>12</v>
      </c>
      <c r="G96" s="24">
        <v>38673.879473354231</v>
      </c>
      <c r="H96" s="133"/>
      <c r="I96" s="24">
        <f t="shared" si="46"/>
        <v>38673.879473354231</v>
      </c>
      <c r="J96" s="218">
        <f>+I96/F96</f>
        <v>3222.8232894461858</v>
      </c>
      <c r="K96" s="218">
        <f>+J96*K$95</f>
        <v>676.79289078369902</v>
      </c>
      <c r="L96" s="43">
        <f>+J96+K96</f>
        <v>3899.6161802298848</v>
      </c>
      <c r="M96" s="81">
        <f>+L96*M$95</f>
        <v>1169.8848540689653</v>
      </c>
      <c r="N96" s="23">
        <f>+L96+M96</f>
        <v>5069.5010342988498</v>
      </c>
      <c r="O96" s="61">
        <f>+N96*O$95</f>
        <v>2027.8004137195401</v>
      </c>
      <c r="P96" s="62">
        <f>+N96+O96</f>
        <v>7097.3014480183901</v>
      </c>
    </row>
    <row r="97" spans="1:17" ht="15" thickBot="1" x14ac:dyDescent="0.4">
      <c r="A97" s="80">
        <v>100522395</v>
      </c>
      <c r="B97" s="80">
        <v>100522395</v>
      </c>
      <c r="C97" s="42" t="s">
        <v>154</v>
      </c>
      <c r="D97" s="43">
        <v>7790360980625</v>
      </c>
      <c r="E97" s="81">
        <v>4.8</v>
      </c>
      <c r="F97" s="23">
        <v>12</v>
      </c>
      <c r="G97" s="24">
        <v>39447.349427200017</v>
      </c>
      <c r="H97" s="133"/>
      <c r="I97" s="24">
        <f t="shared" ref="I97" si="56">+G97*(1-H97)</f>
        <v>39447.349427200017</v>
      </c>
      <c r="J97" s="218">
        <f>+I97/F97</f>
        <v>3287.2791189333348</v>
      </c>
      <c r="K97" s="218">
        <f>+J97*K$95</f>
        <v>690.32861497600027</v>
      </c>
      <c r="L97" s="43">
        <f>+J97+K97</f>
        <v>3977.6077339093349</v>
      </c>
      <c r="M97" s="81">
        <f>+L97*M$95</f>
        <v>1193.2823201728004</v>
      </c>
      <c r="N97" s="23">
        <f>+L97+M97</f>
        <v>5170.8900540821351</v>
      </c>
      <c r="O97" s="61">
        <f>+N97*O$95</f>
        <v>2068.3560216328542</v>
      </c>
      <c r="P97" s="62">
        <f>+N97+O97</f>
        <v>7239.2460757149893</v>
      </c>
    </row>
    <row r="98" spans="1:17" x14ac:dyDescent="0.35">
      <c r="A98" s="80"/>
      <c r="B98" s="80">
        <v>100522561</v>
      </c>
      <c r="C98" s="42" t="s">
        <v>161</v>
      </c>
      <c r="D98" s="43"/>
      <c r="E98" s="81">
        <v>16</v>
      </c>
      <c r="F98" s="23">
        <v>8</v>
      </c>
      <c r="G98" s="24">
        <v>7807.2879074666689</v>
      </c>
      <c r="H98" s="133"/>
      <c r="I98" s="24">
        <f t="shared" ref="I98" si="57">+G98*(1-H98)</f>
        <v>7807.2879074666689</v>
      </c>
      <c r="J98" s="218">
        <f>+I98*2</f>
        <v>15614.575814933338</v>
      </c>
      <c r="K98" s="218">
        <f>+J98*K$95</f>
        <v>3279.0609211360006</v>
      </c>
      <c r="L98" s="43">
        <f>+J98+K98</f>
        <v>18893.63673606934</v>
      </c>
      <c r="M98" s="81">
        <f>+L98*M$95</f>
        <v>5668.0910208208015</v>
      </c>
      <c r="N98" s="23">
        <f>+L98+M98</f>
        <v>24561.727756890141</v>
      </c>
      <c r="O98" s="61">
        <f>+N98*O$95</f>
        <v>9824.6911027560564</v>
      </c>
      <c r="P98" s="62">
        <f>+N98+O98</f>
        <v>34386.418859646197</v>
      </c>
    </row>
    <row r="99" spans="1:17" ht="15" thickBot="1" x14ac:dyDescent="0.4">
      <c r="B99" s="71"/>
      <c r="C99" s="72"/>
      <c r="D99" s="73"/>
      <c r="E99" s="72"/>
      <c r="F99" s="74"/>
      <c r="G99" s="75" t="e">
        <v>#N/A</v>
      </c>
      <c r="H99" s="139"/>
      <c r="I99" s="75" t="e">
        <f t="shared" si="46"/>
        <v>#N/A</v>
      </c>
      <c r="J99" s="221"/>
      <c r="K99" s="222">
        <v>0.21</v>
      </c>
      <c r="L99" s="91"/>
      <c r="M99" s="38">
        <v>0.3</v>
      </c>
      <c r="N99" s="37"/>
      <c r="O99" s="38">
        <v>0.4</v>
      </c>
      <c r="P99" s="94"/>
    </row>
    <row r="100" spans="1:17" ht="15" thickBot="1" x14ac:dyDescent="0.4">
      <c r="B100" s="83">
        <v>100520902</v>
      </c>
      <c r="C100" s="97" t="s">
        <v>87</v>
      </c>
      <c r="D100" s="98">
        <v>7790360981042</v>
      </c>
      <c r="E100" s="127">
        <v>9.8000000000000007</v>
      </c>
      <c r="F100" s="100">
        <v>14</v>
      </c>
      <c r="G100" s="84">
        <v>33316.176941832127</v>
      </c>
      <c r="H100" s="96">
        <v>0.125</v>
      </c>
      <c r="I100" s="84">
        <f t="shared" si="46"/>
        <v>29151.654824103112</v>
      </c>
      <c r="J100" s="219">
        <f>+I100/F100</f>
        <v>2082.261058864508</v>
      </c>
      <c r="K100" s="219">
        <f>+J100*K$99</f>
        <v>437.27482236154668</v>
      </c>
      <c r="L100" s="126">
        <f>+J100+K100</f>
        <v>2519.5358812260547</v>
      </c>
      <c r="M100" s="127">
        <f>+L100*M$99</f>
        <v>755.86076436781639</v>
      </c>
      <c r="N100" s="100">
        <f>+L100+M100</f>
        <v>3275.3966455938712</v>
      </c>
      <c r="O100" s="110">
        <f>+N100*O$99</f>
        <v>1310.1586582375485</v>
      </c>
      <c r="P100" s="111">
        <f>+N100+O100</f>
        <v>4585.5553038314192</v>
      </c>
      <c r="Q100" s="245" t="s">
        <v>169</v>
      </c>
    </row>
    <row r="101" spans="1:17" x14ac:dyDescent="0.35">
      <c r="A101" s="80">
        <v>100522698</v>
      </c>
      <c r="B101" s="124">
        <v>100522698</v>
      </c>
      <c r="C101" s="125" t="s">
        <v>162</v>
      </c>
      <c r="D101" s="126">
        <v>7790360986511</v>
      </c>
      <c r="E101" s="127">
        <v>14</v>
      </c>
      <c r="F101" s="100">
        <v>7</v>
      </c>
      <c r="G101" s="84">
        <v>42720.437457279571</v>
      </c>
      <c r="H101" s="187"/>
      <c r="I101" s="84">
        <f t="shared" ref="I101" si="58">+G101*(1-H101)</f>
        <v>42720.437457279571</v>
      </c>
      <c r="J101" s="219">
        <f>+I101/F101</f>
        <v>6102.9196367542245</v>
      </c>
      <c r="K101" s="219">
        <f>+J101*K$99</f>
        <v>1281.613123718387</v>
      </c>
      <c r="L101" s="126">
        <f>+J101+K101</f>
        <v>7384.5327604726117</v>
      </c>
      <c r="M101" s="127">
        <f>+L101*M$99</f>
        <v>2215.3598281417835</v>
      </c>
      <c r="N101" s="100">
        <f>+L101+M101</f>
        <v>9599.8925886143952</v>
      </c>
      <c r="O101" s="110">
        <f>+N101*O$99</f>
        <v>3839.9570354457583</v>
      </c>
      <c r="P101" s="111">
        <f>+N101+O101</f>
        <v>13439.849624060153</v>
      </c>
      <c r="Q101" s="245" t="s">
        <v>204</v>
      </c>
    </row>
    <row r="102" spans="1:17" ht="15" thickBot="1" x14ac:dyDescent="0.4">
      <c r="B102" s="71"/>
      <c r="C102" s="72"/>
      <c r="D102" s="73"/>
      <c r="E102" s="72"/>
      <c r="F102" s="74"/>
      <c r="G102" s="75" t="e">
        <v>#N/A</v>
      </c>
      <c r="H102" s="74"/>
      <c r="I102" s="75"/>
      <c r="J102" s="91"/>
      <c r="K102" s="92">
        <v>0.21</v>
      </c>
      <c r="L102" s="91"/>
      <c r="M102" s="93">
        <v>0.3</v>
      </c>
      <c r="N102" s="91"/>
      <c r="O102" s="93">
        <v>0.4</v>
      </c>
      <c r="P102" s="94"/>
    </row>
    <row r="103" spans="1:17" ht="15" thickBot="1" x14ac:dyDescent="0.4">
      <c r="B103" s="83">
        <v>100521457</v>
      </c>
      <c r="C103" s="97" t="s">
        <v>102</v>
      </c>
      <c r="D103" s="98">
        <v>7790360982254</v>
      </c>
      <c r="E103" s="127">
        <v>4.8</v>
      </c>
      <c r="F103" s="100">
        <v>16</v>
      </c>
      <c r="G103" s="84">
        <v>36796.265830721008</v>
      </c>
      <c r="H103" s="215"/>
      <c r="I103" s="84">
        <f t="shared" si="46"/>
        <v>36796.265830721008</v>
      </c>
      <c r="J103" s="124">
        <f>+I103/F103</f>
        <v>2299.766614420063</v>
      </c>
      <c r="K103" s="125">
        <f>+J103*K$102</f>
        <v>482.9509890282132</v>
      </c>
      <c r="L103" s="126">
        <f>+J103+K103</f>
        <v>2782.7176034482763</v>
      </c>
      <c r="M103" s="127">
        <f>+L103*M$102</f>
        <v>834.81528103448284</v>
      </c>
      <c r="N103" s="100">
        <f>+L103+M103</f>
        <v>3617.5328844827591</v>
      </c>
      <c r="O103" s="110">
        <f>+N103*O$102</f>
        <v>1447.0131537931038</v>
      </c>
      <c r="P103" s="111">
        <f>+N103+O103</f>
        <v>5064.5460382758629</v>
      </c>
      <c r="Q103" s="245" t="s">
        <v>205</v>
      </c>
    </row>
    <row r="104" spans="1:17" ht="15" thickBot="1" x14ac:dyDescent="0.4">
      <c r="B104" s="83">
        <v>100521455</v>
      </c>
      <c r="C104" s="97" t="s">
        <v>103</v>
      </c>
      <c r="D104" s="98">
        <v>7790360982247</v>
      </c>
      <c r="E104" s="127">
        <v>4.8</v>
      </c>
      <c r="F104" s="100">
        <v>16</v>
      </c>
      <c r="G104" s="84">
        <v>36796.265830721008</v>
      </c>
      <c r="H104" s="215"/>
      <c r="I104" s="84">
        <f t="shared" si="46"/>
        <v>36796.265830721008</v>
      </c>
      <c r="J104" s="124">
        <f>+I104/F104</f>
        <v>2299.766614420063</v>
      </c>
      <c r="K104" s="125">
        <f>+J104*K$102</f>
        <v>482.9509890282132</v>
      </c>
      <c r="L104" s="126">
        <f t="shared" ref="L104:L106" si="59">+J104+K104</f>
        <v>2782.7176034482763</v>
      </c>
      <c r="M104" s="127">
        <f>+L104*M$102</f>
        <v>834.81528103448284</v>
      </c>
      <c r="N104" s="100">
        <f t="shared" ref="N104:N106" si="60">+L104+M104</f>
        <v>3617.5328844827591</v>
      </c>
      <c r="O104" s="110">
        <f>+N104*O$102</f>
        <v>1447.0131537931038</v>
      </c>
      <c r="P104" s="111">
        <f t="shared" ref="P104:P106" si="61">+N104+O104</f>
        <v>5064.5460382758629</v>
      </c>
      <c r="Q104" s="245" t="s">
        <v>205</v>
      </c>
    </row>
    <row r="105" spans="1:17" ht="15" thickBot="1" x14ac:dyDescent="0.4">
      <c r="B105" s="83">
        <v>100521453</v>
      </c>
      <c r="C105" s="97" t="s">
        <v>104</v>
      </c>
      <c r="D105" s="98">
        <v>7790360982223</v>
      </c>
      <c r="E105" s="127">
        <v>5.4</v>
      </c>
      <c r="F105" s="100">
        <v>18</v>
      </c>
      <c r="G105" s="84">
        <v>35531.394192789987</v>
      </c>
      <c r="H105" s="215"/>
      <c r="I105" s="84">
        <f t="shared" si="46"/>
        <v>35531.394192789987</v>
      </c>
      <c r="J105" s="124">
        <f>+I105/F105</f>
        <v>1973.9663440438881</v>
      </c>
      <c r="K105" s="125">
        <f>+J105*K$102</f>
        <v>414.53293224921646</v>
      </c>
      <c r="L105" s="126">
        <f t="shared" si="59"/>
        <v>2388.4992762931047</v>
      </c>
      <c r="M105" s="127">
        <f>+L105*M$102</f>
        <v>716.54978288793143</v>
      </c>
      <c r="N105" s="100">
        <f t="shared" si="60"/>
        <v>3105.0490591810362</v>
      </c>
      <c r="O105" s="110">
        <f>+N105*O$102</f>
        <v>1242.0196236724146</v>
      </c>
      <c r="P105" s="111">
        <f t="shared" si="61"/>
        <v>4347.0686828534508</v>
      </c>
      <c r="Q105" s="245" t="s">
        <v>206</v>
      </c>
    </row>
    <row r="106" spans="1:17" x14ac:dyDescent="0.35">
      <c r="B106" s="83">
        <v>100521454</v>
      </c>
      <c r="C106" s="97" t="s">
        <v>105</v>
      </c>
      <c r="D106" s="98">
        <v>7790360982230</v>
      </c>
      <c r="E106" s="127">
        <v>5.3999999999999995</v>
      </c>
      <c r="F106" s="100">
        <v>18</v>
      </c>
      <c r="G106" s="84">
        <v>35531.394192789987</v>
      </c>
      <c r="H106" s="215"/>
      <c r="I106" s="84">
        <f t="shared" si="46"/>
        <v>35531.394192789987</v>
      </c>
      <c r="J106" s="124">
        <f>+I106/F106</f>
        <v>1973.9663440438881</v>
      </c>
      <c r="K106" s="125">
        <f>+J106*K$102</f>
        <v>414.53293224921646</v>
      </c>
      <c r="L106" s="126">
        <f t="shared" si="59"/>
        <v>2388.4992762931047</v>
      </c>
      <c r="M106" s="127">
        <f>+L106*M$102</f>
        <v>716.54978288793143</v>
      </c>
      <c r="N106" s="100">
        <f t="shared" si="60"/>
        <v>3105.0490591810362</v>
      </c>
      <c r="O106" s="110">
        <f>+N106*O$102</f>
        <v>1242.0196236724146</v>
      </c>
      <c r="P106" s="111">
        <f t="shared" si="61"/>
        <v>4347.0686828534508</v>
      </c>
      <c r="Q106" s="245" t="s">
        <v>206</v>
      </c>
    </row>
    <row r="107" spans="1:17" x14ac:dyDescent="0.35">
      <c r="B107" s="71"/>
      <c r="C107" s="72"/>
      <c r="D107" s="73"/>
      <c r="E107" s="199"/>
      <c r="F107" s="74"/>
      <c r="G107" s="74" t="e">
        <v>#N/A</v>
      </c>
      <c r="H107" s="74"/>
      <c r="I107" s="75"/>
      <c r="J107" s="75"/>
      <c r="K107" s="78">
        <v>0.21</v>
      </c>
      <c r="L107" s="78"/>
      <c r="M107" s="78">
        <v>0.22</v>
      </c>
      <c r="N107" s="78"/>
      <c r="O107" s="78">
        <v>0.35</v>
      </c>
      <c r="P107" s="79"/>
    </row>
    <row r="108" spans="1:17" x14ac:dyDescent="0.35">
      <c r="B108" s="80">
        <v>100522246</v>
      </c>
      <c r="C108" s="42" t="s">
        <v>158</v>
      </c>
      <c r="D108" s="43">
        <v>7790360984234</v>
      </c>
      <c r="E108" s="81">
        <v>8.16</v>
      </c>
      <c r="F108" s="23">
        <v>48</v>
      </c>
      <c r="G108" s="24">
        <v>116812.71733730749</v>
      </c>
      <c r="H108" s="223"/>
      <c r="I108" s="24">
        <f t="shared" ref="I108:I109" si="62">+G108*(1-H108)</f>
        <v>116812.71733730749</v>
      </c>
      <c r="J108" s="24">
        <f t="shared" ref="J108:J109" si="63">+I108/F108</f>
        <v>2433.5982778605726</v>
      </c>
      <c r="K108" s="24">
        <f t="shared" ref="K108:K109" si="64">+J108*K$3</f>
        <v>511.05563835072024</v>
      </c>
      <c r="L108" s="24">
        <f t="shared" ref="L108:L109" si="65">+J108+K108</f>
        <v>2944.6539162112927</v>
      </c>
      <c r="M108" s="24">
        <f t="shared" ref="M108:M109" si="66">+L108*M$39</f>
        <v>588.9307832422586</v>
      </c>
      <c r="N108" s="24">
        <f t="shared" ref="N108:N109" si="67">+L108+M108</f>
        <v>3533.5846994535514</v>
      </c>
      <c r="O108" s="24">
        <f t="shared" ref="O108:O109" si="68">+N108*O$39</f>
        <v>1236.7546448087428</v>
      </c>
      <c r="P108" s="25">
        <f t="shared" ref="P108:P109" si="69">+N108+O108</f>
        <v>4770.3393442622946</v>
      </c>
    </row>
    <row r="109" spans="1:17" x14ac:dyDescent="0.35">
      <c r="B109" s="80">
        <v>100522247</v>
      </c>
      <c r="C109" s="42" t="s">
        <v>159</v>
      </c>
      <c r="D109" s="43">
        <v>7790360984241</v>
      </c>
      <c r="E109" s="81">
        <v>8.16</v>
      </c>
      <c r="F109" s="23">
        <v>48</v>
      </c>
      <c r="G109" s="24">
        <v>116812.71733730749</v>
      </c>
      <c r="H109" s="223"/>
      <c r="I109" s="24">
        <f t="shared" si="62"/>
        <v>116812.71733730749</v>
      </c>
      <c r="J109" s="24">
        <f t="shared" si="63"/>
        <v>2433.5982778605726</v>
      </c>
      <c r="K109" s="24">
        <f t="shared" si="64"/>
        <v>511.05563835072024</v>
      </c>
      <c r="L109" s="24">
        <f t="shared" si="65"/>
        <v>2944.6539162112927</v>
      </c>
      <c r="M109" s="24">
        <f t="shared" si="66"/>
        <v>588.9307832422586</v>
      </c>
      <c r="N109" s="24">
        <f t="shared" si="67"/>
        <v>3533.5846994535514</v>
      </c>
      <c r="O109" s="24">
        <f t="shared" si="68"/>
        <v>1236.7546448087428</v>
      </c>
      <c r="P109" s="25">
        <f t="shared" si="69"/>
        <v>4770.3393442622946</v>
      </c>
    </row>
  </sheetData>
  <conditionalFormatting sqref="A98:F98">
    <cfRule type="cellIs" dxfId="65" priority="5" stopIfTrue="1" operator="equal">
      <formula>0</formula>
    </cfRule>
  </conditionalFormatting>
  <conditionalFormatting sqref="A101:F101">
    <cfRule type="cellIs" dxfId="64" priority="3" stopIfTrue="1" operator="equal">
      <formula>0</formula>
    </cfRule>
  </conditionalFormatting>
  <conditionalFormatting sqref="B20:C20">
    <cfRule type="cellIs" dxfId="63" priority="65" stopIfTrue="1" operator="equal">
      <formula>0</formula>
    </cfRule>
  </conditionalFormatting>
  <conditionalFormatting sqref="B27:C27">
    <cfRule type="cellIs" dxfId="62" priority="56" stopIfTrue="1" operator="equal">
      <formula>0</formula>
    </cfRule>
  </conditionalFormatting>
  <conditionalFormatting sqref="B63:D63">
    <cfRule type="cellIs" dxfId="61" priority="63" stopIfTrue="1" operator="equal">
      <formula>0</formula>
    </cfRule>
  </conditionalFormatting>
  <conditionalFormatting sqref="B16:G19 I16:J19 E20:J20">
    <cfRule type="cellIs" dxfId="60" priority="47" stopIfTrue="1" operator="equal">
      <formula>0</formula>
    </cfRule>
  </conditionalFormatting>
  <conditionalFormatting sqref="B69:P69">
    <cfRule type="cellIs" dxfId="59" priority="10" stopIfTrue="1" operator="equal">
      <formula>0</formula>
    </cfRule>
  </conditionalFormatting>
  <conditionalFormatting sqref="B73:P74">
    <cfRule type="cellIs" dxfId="58" priority="9" stopIfTrue="1" operator="equal">
      <formula>0</formula>
    </cfRule>
  </conditionalFormatting>
  <conditionalFormatting sqref="C28">
    <cfRule type="cellIs" dxfId="57" priority="55" stopIfTrue="1" operator="equal">
      <formula>0</formula>
    </cfRule>
  </conditionalFormatting>
  <conditionalFormatting sqref="D94:F94">
    <cfRule type="cellIs" dxfId="56" priority="22" stopIfTrue="1" operator="equal">
      <formula>0</formula>
    </cfRule>
  </conditionalFormatting>
  <conditionalFormatting sqref="E89:F93">
    <cfRule type="cellIs" dxfId="55" priority="53" stopIfTrue="1" operator="equal">
      <formula>0</formula>
    </cfRule>
  </conditionalFormatting>
  <conditionalFormatting sqref="E96:F97">
    <cfRule type="cellIs" dxfId="54" priority="51" stopIfTrue="1" operator="equal">
      <formula>0</formula>
    </cfRule>
  </conditionalFormatting>
  <conditionalFormatting sqref="E100:F100">
    <cfRule type="cellIs" dxfId="53" priority="49" stopIfTrue="1" operator="equal">
      <formula>0</formula>
    </cfRule>
  </conditionalFormatting>
  <conditionalFormatting sqref="E103:F106">
    <cfRule type="cellIs" dxfId="52" priority="30" stopIfTrue="1" operator="equal">
      <formula>0</formula>
    </cfRule>
  </conditionalFormatting>
  <conditionalFormatting sqref="E58:G61 J59:P61">
    <cfRule type="cellIs" dxfId="51" priority="60" stopIfTrue="1" operator="equal">
      <formula>0</formula>
    </cfRule>
  </conditionalFormatting>
  <conditionalFormatting sqref="H18">
    <cfRule type="cellIs" dxfId="50" priority="2" operator="greaterThan">
      <formula>0</formula>
    </cfRule>
  </conditionalFormatting>
  <conditionalFormatting sqref="H89:H94">
    <cfRule type="cellIs" dxfId="49" priority="8" stopIfTrue="1" operator="equal">
      <formula>0</formula>
    </cfRule>
  </conditionalFormatting>
  <conditionalFormatting sqref="H96:H98">
    <cfRule type="cellIs" dxfId="48" priority="11" stopIfTrue="1" operator="equal">
      <formula>0</formula>
    </cfRule>
  </conditionalFormatting>
  <conditionalFormatting sqref="H100:H101">
    <cfRule type="cellIs" dxfId="47" priority="7" stopIfTrue="1" operator="equal">
      <formula>0</formula>
    </cfRule>
  </conditionalFormatting>
  <conditionalFormatting sqref="H108:I109">
    <cfRule type="cellIs" dxfId="46" priority="6" stopIfTrue="1" operator="equal">
      <formula>0</formula>
    </cfRule>
  </conditionalFormatting>
  <conditionalFormatting sqref="I58:P58">
    <cfRule type="cellIs" dxfId="45" priority="45" stopIfTrue="1" operator="equal">
      <formula>0</formula>
    </cfRule>
  </conditionalFormatting>
  <conditionalFormatting sqref="J96:N98">
    <cfRule type="cellIs" dxfId="44" priority="50" stopIfTrue="1" operator="equal">
      <formula>0</formula>
    </cfRule>
  </conditionalFormatting>
  <conditionalFormatting sqref="J100:N101">
    <cfRule type="cellIs" dxfId="43" priority="48" stopIfTrue="1" operator="equal">
      <formula>0</formula>
    </cfRule>
  </conditionalFormatting>
  <conditionalFormatting sqref="J103:N106">
    <cfRule type="cellIs" dxfId="42" priority="29" stopIfTrue="1" operator="equal">
      <formula>0</formula>
    </cfRule>
  </conditionalFormatting>
  <conditionalFormatting sqref="J90:P94">
    <cfRule type="cellIs" dxfId="41" priority="54" stopIfTrue="1" operator="equal">
      <formula>0</formula>
    </cfRule>
  </conditionalFormatting>
  <conditionalFormatting sqref="M37:M38">
    <cfRule type="cellIs" dxfId="40" priority="58" stopIfTrue="1" operator="equal">
      <formula>0</formula>
    </cfRule>
  </conditionalFormatting>
  <conditionalFormatting sqref="M16:P20">
    <cfRule type="cellIs" dxfId="39" priority="57" stopIfTrue="1" operator="equal">
      <formula>0</formula>
    </cfRule>
  </conditionalFormatting>
  <conditionalFormatting sqref="Q12:Q15">
    <cfRule type="cellIs" dxfId="38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2AD1-0566-4BAE-801B-4DCA53673AEE}">
  <dimension ref="A1:X113"/>
  <sheetViews>
    <sheetView topLeftCell="C1" zoomScale="90" zoomScaleNormal="90" workbookViewId="0">
      <selection activeCell="M43" sqref="M43"/>
    </sheetView>
  </sheetViews>
  <sheetFormatPr baseColWidth="10" defaultColWidth="11.453125" defaultRowHeight="14.5" outlineLevelCol="1" x14ac:dyDescent="0.35"/>
  <cols>
    <col min="1" max="1" width="2.81640625" customWidth="1"/>
    <col min="2" max="2" width="11.81640625" customWidth="1"/>
    <col min="3" max="3" width="46.1796875" bestFit="1" customWidth="1"/>
    <col min="4" max="4" width="12.1796875" hidden="1" customWidth="1"/>
    <col min="5" max="5" width="8" bestFit="1" customWidth="1"/>
    <col min="6" max="6" width="9.453125" bestFit="1" customWidth="1"/>
    <col min="7" max="7" width="9.453125" style="82" bestFit="1" customWidth="1"/>
    <col min="8" max="8" width="9.453125" customWidth="1"/>
    <col min="9" max="9" width="9.453125" style="82" bestFit="1" customWidth="1"/>
    <col min="10" max="15" width="11.453125" customWidth="1" outlineLevel="1"/>
    <col min="16" max="16" width="11.453125" style="77" customWidth="1"/>
    <col min="17" max="22" width="11.453125" hidden="1" customWidth="1"/>
    <col min="23" max="23" width="97.7265625" customWidth="1"/>
    <col min="24" max="24" width="11.453125" customWidth="1"/>
  </cols>
  <sheetData>
    <row r="1" spans="2:23" s="1" customFormat="1" ht="12.5" thickBot="1" x14ac:dyDescent="0.35">
      <c r="G1" s="2"/>
      <c r="I1" s="2"/>
      <c r="P1" s="3"/>
    </row>
    <row r="2" spans="2:23" s="1" customFormat="1" ht="36.5" thickBot="1" x14ac:dyDescent="0.35">
      <c r="B2" s="4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7" t="s">
        <v>88</v>
      </c>
      <c r="H2" s="6" t="s">
        <v>90</v>
      </c>
      <c r="I2" s="7" t="s">
        <v>5</v>
      </c>
      <c r="J2" s="8" t="s">
        <v>6</v>
      </c>
      <c r="K2" s="8" t="s">
        <v>7</v>
      </c>
      <c r="L2" s="8" t="s">
        <v>8</v>
      </c>
      <c r="M2" s="8" t="s">
        <v>9</v>
      </c>
      <c r="N2" s="8" t="s">
        <v>10</v>
      </c>
      <c r="O2" s="8" t="s">
        <v>11</v>
      </c>
      <c r="P2" s="9" t="s">
        <v>12</v>
      </c>
      <c r="R2" s="1" t="s">
        <v>117</v>
      </c>
    </row>
    <row r="3" spans="2:23" s="1" customFormat="1" ht="12" x14ac:dyDescent="0.3">
      <c r="B3" s="12"/>
      <c r="C3" s="13"/>
      <c r="D3" s="14"/>
      <c r="E3" s="13"/>
      <c r="F3" s="13"/>
      <c r="G3" s="15"/>
      <c r="H3" s="13"/>
      <c r="I3" s="15"/>
      <c r="J3" s="16"/>
      <c r="K3" s="17">
        <v>0.21</v>
      </c>
      <c r="L3" s="16"/>
      <c r="M3" s="17">
        <v>0.3</v>
      </c>
      <c r="N3" s="16"/>
      <c r="O3" s="17">
        <v>0.4</v>
      </c>
      <c r="P3" s="18"/>
    </row>
    <row r="4" spans="2:23" x14ac:dyDescent="0.35">
      <c r="B4" s="19">
        <v>100021632</v>
      </c>
      <c r="C4" s="20" t="s">
        <v>14</v>
      </c>
      <c r="D4" s="21">
        <v>7790360026606</v>
      </c>
      <c r="E4" s="22">
        <v>4.8</v>
      </c>
      <c r="F4" s="23">
        <v>30</v>
      </c>
      <c r="G4" s="24">
        <v>42634.910798909856</v>
      </c>
      <c r="H4" s="23"/>
      <c r="I4" s="24">
        <f>+G4*(1-H4)</f>
        <v>42634.910798909856</v>
      </c>
      <c r="J4" s="24">
        <f>+I4/F4</f>
        <v>1421.1636932969952</v>
      </c>
      <c r="K4" s="24">
        <f>+J4*K$3</f>
        <v>298.444375592369</v>
      </c>
      <c r="L4" s="24">
        <f>+J4+K4</f>
        <v>1719.6080688893642</v>
      </c>
      <c r="M4" s="24">
        <f>+L4*M$3</f>
        <v>515.88242066680925</v>
      </c>
      <c r="N4" s="24">
        <f>+L4+M4</f>
        <v>2235.4904895561735</v>
      </c>
      <c r="O4" s="24">
        <f>+N4*O$3</f>
        <v>894.19619582246946</v>
      </c>
      <c r="P4" s="25">
        <f>+N4+O4</f>
        <v>3129.6866853786432</v>
      </c>
      <c r="R4" s="24">
        <v>37948.296216208153</v>
      </c>
      <c r="S4">
        <f>+(I4-R4)/R4</f>
        <v>0.12349999999999989</v>
      </c>
      <c r="U4" s="19">
        <v>100021632</v>
      </c>
      <c r="V4" s="24">
        <v>39845.711027018559</v>
      </c>
    </row>
    <row r="5" spans="2:23" x14ac:dyDescent="0.35">
      <c r="B5" s="26">
        <v>100021652</v>
      </c>
      <c r="C5" s="20" t="s">
        <v>15</v>
      </c>
      <c r="D5" s="21">
        <v>7790360026576</v>
      </c>
      <c r="E5" s="22">
        <v>5.76</v>
      </c>
      <c r="F5" s="23">
        <v>18</v>
      </c>
      <c r="G5" s="24">
        <v>54129.556706339725</v>
      </c>
      <c r="H5" s="23"/>
      <c r="I5" s="24">
        <f t="shared" ref="I5:I77" si="0">+G5*(1-H5)</f>
        <v>54129.556706339725</v>
      </c>
      <c r="J5" s="24">
        <f t="shared" ref="J5:J77" si="1">+I5/F5</f>
        <v>3007.1975947966512</v>
      </c>
      <c r="K5" s="24">
        <f t="shared" ref="K5:K77" si="2">+J5*K$3</f>
        <v>631.51149490729676</v>
      </c>
      <c r="L5" s="24">
        <f t="shared" ref="L5:L77" si="3">+J5+K5</f>
        <v>3638.7090897039479</v>
      </c>
      <c r="M5" s="24">
        <f t="shared" ref="M5:M77" si="4">+L5*M$3</f>
        <v>1091.6127269111844</v>
      </c>
      <c r="N5" s="24">
        <f t="shared" ref="N5:N77" si="5">+L5+M5</f>
        <v>4730.3218166151328</v>
      </c>
      <c r="O5" s="24">
        <f t="shared" ref="O5:O77" si="6">+N5*O$3</f>
        <v>1892.1287266460531</v>
      </c>
      <c r="P5" s="25">
        <f t="shared" ref="P5:P77" si="7">+N5+O5</f>
        <v>6622.4505432611859</v>
      </c>
      <c r="R5" s="24">
        <v>54129.556706339725</v>
      </c>
      <c r="S5">
        <f t="shared" ref="S5:S77" si="8">+(I5-R5)/R5</f>
        <v>0</v>
      </c>
      <c r="U5" s="26">
        <v>100021652</v>
      </c>
      <c r="V5" s="24">
        <v>54129.556706339725</v>
      </c>
    </row>
    <row r="6" spans="2:23" x14ac:dyDescent="0.35">
      <c r="B6" s="26">
        <v>100021631</v>
      </c>
      <c r="C6" s="20" t="s">
        <v>16</v>
      </c>
      <c r="D6" s="21">
        <v>7790360026590</v>
      </c>
      <c r="E6" s="22">
        <v>7.68</v>
      </c>
      <c r="F6" s="23">
        <v>8</v>
      </c>
      <c r="G6" s="24">
        <v>66789.001340526345</v>
      </c>
      <c r="H6" s="23"/>
      <c r="I6" s="24">
        <f t="shared" si="0"/>
        <v>66789.001340526345</v>
      </c>
      <c r="J6" s="24">
        <f t="shared" si="1"/>
        <v>8348.6251675657932</v>
      </c>
      <c r="K6" s="24">
        <f t="shared" si="2"/>
        <v>1753.2112851888164</v>
      </c>
      <c r="L6" s="24">
        <f t="shared" si="3"/>
        <v>10101.836452754609</v>
      </c>
      <c r="M6" s="24">
        <f t="shared" si="4"/>
        <v>3030.5509358263826</v>
      </c>
      <c r="N6" s="24">
        <f t="shared" si="5"/>
        <v>13132.387388580992</v>
      </c>
      <c r="O6" s="24">
        <f t="shared" si="6"/>
        <v>5252.9549554323967</v>
      </c>
      <c r="P6" s="25">
        <f t="shared" si="7"/>
        <v>18385.342344013388</v>
      </c>
      <c r="R6" s="24">
        <v>66789.001340526345</v>
      </c>
      <c r="S6">
        <f t="shared" si="8"/>
        <v>0</v>
      </c>
      <c r="U6" s="26">
        <v>100021631</v>
      </c>
      <c r="V6" s="24">
        <v>66789.001340526345</v>
      </c>
    </row>
    <row r="7" spans="2:23" x14ac:dyDescent="0.35">
      <c r="B7" s="26">
        <v>100021630</v>
      </c>
      <c r="C7" s="20" t="s">
        <v>17</v>
      </c>
      <c r="D7" s="21">
        <v>7790360026583</v>
      </c>
      <c r="E7" s="22">
        <v>9.6</v>
      </c>
      <c r="F7" s="23">
        <v>6</v>
      </c>
      <c r="G7" s="24">
        <v>83486.251675657943</v>
      </c>
      <c r="H7" s="23"/>
      <c r="I7" s="24">
        <f t="shared" si="0"/>
        <v>83486.251675657943</v>
      </c>
      <c r="J7" s="24">
        <f t="shared" si="1"/>
        <v>13914.375279276324</v>
      </c>
      <c r="K7" s="24">
        <f t="shared" si="2"/>
        <v>2922.018808648028</v>
      </c>
      <c r="L7" s="24">
        <f t="shared" si="3"/>
        <v>16836.394087924353</v>
      </c>
      <c r="M7" s="24">
        <f t="shared" si="4"/>
        <v>5050.9182263773055</v>
      </c>
      <c r="N7" s="24">
        <f t="shared" si="5"/>
        <v>21887.312314301656</v>
      </c>
      <c r="O7" s="24">
        <f t="shared" si="6"/>
        <v>8754.9249257206629</v>
      </c>
      <c r="P7" s="25">
        <f t="shared" si="7"/>
        <v>30642.237240022318</v>
      </c>
      <c r="R7" s="24">
        <v>83486.251675657943</v>
      </c>
      <c r="S7">
        <f t="shared" si="8"/>
        <v>0</v>
      </c>
      <c r="U7" s="26">
        <v>100021630</v>
      </c>
      <c r="V7" s="24">
        <v>83486.251675657943</v>
      </c>
    </row>
    <row r="8" spans="2:23" x14ac:dyDescent="0.35">
      <c r="B8" s="27">
        <v>100021653</v>
      </c>
      <c r="C8" s="28" t="s">
        <v>18</v>
      </c>
      <c r="D8" s="21">
        <v>7790360026682</v>
      </c>
      <c r="E8" s="22">
        <v>5.76</v>
      </c>
      <c r="F8" s="23">
        <v>18</v>
      </c>
      <c r="G8" s="24">
        <v>57918.625675783507</v>
      </c>
      <c r="H8" s="23"/>
      <c r="I8" s="24">
        <f t="shared" si="0"/>
        <v>57918.625675783507</v>
      </c>
      <c r="J8" s="24">
        <f t="shared" si="1"/>
        <v>3217.7014264324171</v>
      </c>
      <c r="K8" s="24">
        <f t="shared" si="2"/>
        <v>675.71729955080752</v>
      </c>
      <c r="L8" s="24">
        <f t="shared" si="3"/>
        <v>3893.4187259832247</v>
      </c>
      <c r="M8" s="24">
        <f t="shared" si="4"/>
        <v>1168.0256177949673</v>
      </c>
      <c r="N8" s="24">
        <f t="shared" si="5"/>
        <v>5061.444343778192</v>
      </c>
      <c r="O8" s="24">
        <f t="shared" si="6"/>
        <v>2024.5777375112768</v>
      </c>
      <c r="P8" s="25">
        <f t="shared" si="7"/>
        <v>7086.0220812894686</v>
      </c>
      <c r="R8" s="24">
        <v>54129.556706339725</v>
      </c>
      <c r="S8">
        <f t="shared" si="8"/>
        <v>7.0000000000000034E-2</v>
      </c>
      <c r="U8" s="27">
        <v>100021653</v>
      </c>
      <c r="V8" s="24">
        <v>54129.556706339725</v>
      </c>
    </row>
    <row r="9" spans="2:23" x14ac:dyDescent="0.35">
      <c r="B9" s="27">
        <v>100516169</v>
      </c>
      <c r="C9" s="28" t="s">
        <v>19</v>
      </c>
      <c r="D9" s="21">
        <v>7790360967961</v>
      </c>
      <c r="E9" s="22">
        <v>5.76</v>
      </c>
      <c r="F9" s="23">
        <v>18</v>
      </c>
      <c r="G9" s="24">
        <v>49911.236757112521</v>
      </c>
      <c r="H9" s="23"/>
      <c r="I9" s="24">
        <f t="shared" si="0"/>
        <v>49911.236757112521</v>
      </c>
      <c r="J9" s="24">
        <f t="shared" si="1"/>
        <v>2772.846486506251</v>
      </c>
      <c r="K9" s="24">
        <f t="shared" si="2"/>
        <v>582.29776216631274</v>
      </c>
      <c r="L9" s="24">
        <f t="shared" si="3"/>
        <v>3355.1442486725637</v>
      </c>
      <c r="M9" s="24">
        <f t="shared" si="4"/>
        <v>1006.5432746017691</v>
      </c>
      <c r="N9" s="24">
        <f t="shared" si="5"/>
        <v>4361.6875232743332</v>
      </c>
      <c r="O9" s="24">
        <f t="shared" si="6"/>
        <v>1744.6750093097335</v>
      </c>
      <c r="P9" s="25">
        <f t="shared" si="7"/>
        <v>6106.3625325840667</v>
      </c>
      <c r="R9" s="24">
        <v>49911.236757112521</v>
      </c>
      <c r="S9">
        <f t="shared" si="8"/>
        <v>0</v>
      </c>
      <c r="U9" s="27">
        <v>100516169</v>
      </c>
      <c r="V9" s="24">
        <v>49911.236757112521</v>
      </c>
    </row>
    <row r="10" spans="2:23" x14ac:dyDescent="0.35">
      <c r="B10" s="27">
        <v>100520337</v>
      </c>
      <c r="C10" s="28" t="s">
        <v>20</v>
      </c>
      <c r="D10" s="21">
        <v>7790360977960</v>
      </c>
      <c r="E10" s="22">
        <v>4.8</v>
      </c>
      <c r="F10" s="23">
        <v>30</v>
      </c>
      <c r="G10" s="24">
        <v>33204.759189182128</v>
      </c>
      <c r="H10" s="23"/>
      <c r="I10" s="24">
        <f t="shared" si="0"/>
        <v>33204.759189182128</v>
      </c>
      <c r="J10" s="24">
        <f>+I10/F10</f>
        <v>1106.8253063060708</v>
      </c>
      <c r="K10" s="24">
        <f>+J10*K$3</f>
        <v>232.43331432427487</v>
      </c>
      <c r="L10" s="24">
        <f>+J10+K10</f>
        <v>1339.2586206303458</v>
      </c>
      <c r="M10" s="24">
        <f>+L10*M$3</f>
        <v>401.77758618910372</v>
      </c>
      <c r="N10" s="24">
        <f>+L10+M10</f>
        <v>1741.0362068194495</v>
      </c>
      <c r="O10" s="24">
        <f>+N10*O$3</f>
        <v>696.41448272777984</v>
      </c>
      <c r="P10" s="25">
        <f>+N10+O10</f>
        <v>2437.4506895472296</v>
      </c>
      <c r="R10" s="24">
        <v>29554.747831937802</v>
      </c>
      <c r="S10">
        <f t="shared" si="8"/>
        <v>0.12350000000000025</v>
      </c>
      <c r="U10" s="27">
        <v>100516170</v>
      </c>
      <c r="V10" s="24">
        <v>0</v>
      </c>
    </row>
    <row r="11" spans="2:23" x14ac:dyDescent="0.35">
      <c r="B11" s="83">
        <v>100021503</v>
      </c>
      <c r="C11" s="97" t="s">
        <v>21</v>
      </c>
      <c r="D11" s="98">
        <v>7790360966841</v>
      </c>
      <c r="E11" s="99">
        <v>3.3119999999999998</v>
      </c>
      <c r="F11" s="100">
        <v>12</v>
      </c>
      <c r="G11" s="84">
        <v>23481.515540669869</v>
      </c>
      <c r="H11" s="196">
        <v>9.0909090909090912E-2</v>
      </c>
      <c r="I11" s="84">
        <f t="shared" si="0"/>
        <v>21346.832309699879</v>
      </c>
      <c r="J11" s="84">
        <f t="shared" si="1"/>
        <v>1778.9026924749899</v>
      </c>
      <c r="K11" s="84">
        <f t="shared" si="2"/>
        <v>373.56956541974785</v>
      </c>
      <c r="L11" s="84">
        <f t="shared" si="3"/>
        <v>2152.4722578947376</v>
      </c>
      <c r="M11" s="84">
        <f t="shared" si="4"/>
        <v>645.74167736842128</v>
      </c>
      <c r="N11" s="84">
        <f t="shared" si="5"/>
        <v>2798.2139352631589</v>
      </c>
      <c r="O11" s="84">
        <f t="shared" si="6"/>
        <v>1119.2855741052635</v>
      </c>
      <c r="P11" s="101">
        <f t="shared" si="7"/>
        <v>3917.4995093684224</v>
      </c>
      <c r="Q11">
        <v>0.1666</v>
      </c>
      <c r="R11" s="24">
        <v>18289.247711770342</v>
      </c>
      <c r="S11">
        <f t="shared" si="8"/>
        <v>0.1671793529244934</v>
      </c>
      <c r="U11" s="27">
        <v>100517438</v>
      </c>
      <c r="V11" s="24">
        <v>0</v>
      </c>
      <c r="W11" s="209" t="s">
        <v>167</v>
      </c>
    </row>
    <row r="12" spans="2:23" x14ac:dyDescent="0.35">
      <c r="B12" s="27">
        <v>100516201</v>
      </c>
      <c r="C12" s="28" t="s">
        <v>22</v>
      </c>
      <c r="D12" s="21">
        <v>7790360968548</v>
      </c>
      <c r="E12" s="22">
        <v>6.6239999999999997</v>
      </c>
      <c r="F12" s="23">
        <v>8</v>
      </c>
      <c r="G12" s="24">
        <v>46564.936878440865</v>
      </c>
      <c r="H12" s="195"/>
      <c r="I12" s="24">
        <f t="shared" si="0"/>
        <v>46564.936878440865</v>
      </c>
      <c r="J12" s="24">
        <f t="shared" si="1"/>
        <v>5820.6171098051082</v>
      </c>
      <c r="K12" s="24">
        <f t="shared" si="2"/>
        <v>1222.3295930590727</v>
      </c>
      <c r="L12" s="24">
        <f t="shared" si="3"/>
        <v>7042.9467028641811</v>
      </c>
      <c r="M12" s="24">
        <f t="shared" si="4"/>
        <v>2112.8840108592544</v>
      </c>
      <c r="N12" s="24">
        <f t="shared" si="5"/>
        <v>9155.8307137234351</v>
      </c>
      <c r="O12" s="24">
        <f t="shared" si="6"/>
        <v>3662.332285489374</v>
      </c>
      <c r="P12" s="25">
        <f t="shared" si="7"/>
        <v>12818.162999212809</v>
      </c>
      <c r="R12" s="24">
        <v>41446.316758736866</v>
      </c>
      <c r="S12">
        <f t="shared" si="8"/>
        <v>0.1234999999999999</v>
      </c>
      <c r="U12" s="27">
        <v>100520337</v>
      </c>
      <c r="V12" s="24">
        <v>31032.485223534695</v>
      </c>
      <c r="W12" s="242"/>
    </row>
    <row r="13" spans="2:23" x14ac:dyDescent="0.35">
      <c r="B13" s="27">
        <v>100021643</v>
      </c>
      <c r="C13" s="28" t="s">
        <v>23</v>
      </c>
      <c r="D13" s="21">
        <v>7790360966797</v>
      </c>
      <c r="E13" s="22">
        <v>4.7039999999999997</v>
      </c>
      <c r="F13" s="23">
        <v>42</v>
      </c>
      <c r="G13" s="24">
        <v>32003.623205741635</v>
      </c>
      <c r="H13" s="195"/>
      <c r="I13" s="24">
        <f t="shared" si="0"/>
        <v>32003.623205741635</v>
      </c>
      <c r="J13" s="24">
        <f t="shared" si="1"/>
        <v>761.99102870813419</v>
      </c>
      <c r="K13" s="24">
        <f t="shared" si="2"/>
        <v>160.01811602870816</v>
      </c>
      <c r="L13" s="24">
        <f t="shared" si="3"/>
        <v>922.00914473684236</v>
      </c>
      <c r="M13" s="24">
        <f t="shared" si="4"/>
        <v>276.60274342105271</v>
      </c>
      <c r="N13" s="24">
        <f t="shared" si="5"/>
        <v>1198.611888157895</v>
      </c>
      <c r="O13" s="24">
        <f t="shared" si="6"/>
        <v>479.44475526315802</v>
      </c>
      <c r="P13" s="25">
        <f t="shared" si="7"/>
        <v>1678.056643421053</v>
      </c>
      <c r="R13" s="24">
        <v>29909.928229665078</v>
      </c>
      <c r="S13">
        <f t="shared" si="8"/>
        <v>7.0000000000000034E-2</v>
      </c>
      <c r="U13" s="27">
        <v>100021503</v>
      </c>
      <c r="V13" s="24">
        <v>21945.341626794267</v>
      </c>
      <c r="W13" s="242"/>
    </row>
    <row r="14" spans="2:23" x14ac:dyDescent="0.35">
      <c r="B14" s="27">
        <v>100516325</v>
      </c>
      <c r="C14" s="28" t="s">
        <v>24</v>
      </c>
      <c r="D14" s="21">
        <v>7790360967763</v>
      </c>
      <c r="E14" s="22">
        <v>4.7039999999999997</v>
      </c>
      <c r="F14" s="23">
        <v>21</v>
      </c>
      <c r="G14" s="24">
        <v>31125.551346898021</v>
      </c>
      <c r="H14" s="195"/>
      <c r="I14" s="24">
        <f t="shared" si="0"/>
        <v>31125.551346898021</v>
      </c>
      <c r="J14" s="24">
        <f t="shared" si="1"/>
        <v>1482.1691117570485</v>
      </c>
      <c r="K14" s="24">
        <f t="shared" si="2"/>
        <v>311.25551346898015</v>
      </c>
      <c r="L14" s="24">
        <f t="shared" si="3"/>
        <v>1793.4246252260286</v>
      </c>
      <c r="M14" s="24">
        <f t="shared" si="4"/>
        <v>538.02738756780855</v>
      </c>
      <c r="N14" s="24">
        <f t="shared" si="5"/>
        <v>2331.4520127938372</v>
      </c>
      <c r="O14" s="24">
        <f t="shared" si="6"/>
        <v>932.58080511753496</v>
      </c>
      <c r="P14" s="25">
        <f t="shared" si="7"/>
        <v>3264.0328179113721</v>
      </c>
      <c r="R14" s="24">
        <v>29089.300324203759</v>
      </c>
      <c r="S14">
        <f t="shared" si="8"/>
        <v>6.9999999999999937E-2</v>
      </c>
      <c r="U14" s="27">
        <v>100516201</v>
      </c>
      <c r="V14" s="24">
        <v>43518.632596673706</v>
      </c>
      <c r="W14" s="242"/>
    </row>
    <row r="15" spans="2:23" x14ac:dyDescent="0.35">
      <c r="B15" s="83">
        <v>100021676</v>
      </c>
      <c r="C15" s="97" t="s">
        <v>25</v>
      </c>
      <c r="D15" s="98">
        <v>7790360967411</v>
      </c>
      <c r="E15" s="99">
        <v>7.5</v>
      </c>
      <c r="F15" s="100">
        <v>30</v>
      </c>
      <c r="G15" s="84">
        <v>68745.759869779227</v>
      </c>
      <c r="H15" s="196">
        <v>0.1051</v>
      </c>
      <c r="I15" s="84">
        <f t="shared" si="0"/>
        <v>61520.580507465434</v>
      </c>
      <c r="J15" s="84">
        <f t="shared" si="1"/>
        <v>2050.6860169155143</v>
      </c>
      <c r="K15" s="84">
        <f t="shared" si="2"/>
        <v>430.64406355225799</v>
      </c>
      <c r="L15" s="84">
        <f t="shared" si="3"/>
        <v>2481.3300804677724</v>
      </c>
      <c r="M15" s="84">
        <f t="shared" si="4"/>
        <v>744.39902414033168</v>
      </c>
      <c r="N15" s="84">
        <f t="shared" si="5"/>
        <v>3225.7291046081041</v>
      </c>
      <c r="O15" s="84">
        <f t="shared" si="6"/>
        <v>1290.2916418432417</v>
      </c>
      <c r="P15" s="101">
        <f t="shared" si="7"/>
        <v>4516.020746451346</v>
      </c>
      <c r="R15" s="24">
        <v>64248.37371007404</v>
      </c>
      <c r="S15">
        <f t="shared" si="8"/>
        <v>-4.2456999999999877E-2</v>
      </c>
      <c r="U15" s="27">
        <v>100021643</v>
      </c>
      <c r="V15" s="24">
        <v>29909.928229665078</v>
      </c>
      <c r="W15" s="209" t="s">
        <v>215</v>
      </c>
    </row>
    <row r="16" spans="2:23" x14ac:dyDescent="0.35">
      <c r="B16" s="83">
        <v>100516008</v>
      </c>
      <c r="C16" s="97" t="s">
        <v>26</v>
      </c>
      <c r="D16" s="98">
        <v>7790360967701</v>
      </c>
      <c r="E16" s="99">
        <v>5.76</v>
      </c>
      <c r="F16" s="100">
        <v>24</v>
      </c>
      <c r="G16" s="84">
        <v>63757.01221477463</v>
      </c>
      <c r="H16" s="196">
        <v>9.0899999999999995E-2</v>
      </c>
      <c r="I16" s="84">
        <f t="shared" si="0"/>
        <v>57961.499804451618</v>
      </c>
      <c r="J16" s="84">
        <f t="shared" si="1"/>
        <v>2415.0624918521507</v>
      </c>
      <c r="K16" s="84">
        <f t="shared" si="2"/>
        <v>507.16312328895162</v>
      </c>
      <c r="L16" s="84">
        <f t="shared" si="3"/>
        <v>2922.2256151411025</v>
      </c>
      <c r="M16" s="84">
        <f t="shared" si="4"/>
        <v>876.66768454233068</v>
      </c>
      <c r="N16" s="84">
        <f t="shared" si="5"/>
        <v>3798.8932996834333</v>
      </c>
      <c r="O16" s="84">
        <f t="shared" si="6"/>
        <v>1519.5573198733734</v>
      </c>
      <c r="P16" s="101">
        <f t="shared" si="7"/>
        <v>5318.4506195568065</v>
      </c>
      <c r="Q16">
        <v>9.0899999999999995E-2</v>
      </c>
      <c r="R16" s="24">
        <v>57961.499804451618</v>
      </c>
      <c r="S16">
        <f t="shared" si="8"/>
        <v>0</v>
      </c>
      <c r="U16" s="27">
        <v>100516325</v>
      </c>
      <c r="V16" s="24">
        <v>29089.300324203759</v>
      </c>
      <c r="W16" s="209" t="s">
        <v>156</v>
      </c>
    </row>
    <row r="17" spans="1:23" x14ac:dyDescent="0.35">
      <c r="B17" s="144">
        <v>100520834</v>
      </c>
      <c r="C17" s="145" t="s">
        <v>27</v>
      </c>
      <c r="D17" s="146">
        <v>7790360980618</v>
      </c>
      <c r="E17" s="147">
        <v>6.66</v>
      </c>
      <c r="F17" s="148">
        <v>36</v>
      </c>
      <c r="G17" s="143">
        <v>74484.96472738999</v>
      </c>
      <c r="H17" s="148"/>
      <c r="I17" s="143">
        <f t="shared" si="0"/>
        <v>74484.96472738999</v>
      </c>
      <c r="J17" s="143">
        <f>+I17/F17</f>
        <v>2069.0267979830551</v>
      </c>
      <c r="K17" s="143">
        <f>+J17*K$3</f>
        <v>434.49562757644156</v>
      </c>
      <c r="L17" s="143">
        <f>+J17+K17</f>
        <v>2503.5224255594967</v>
      </c>
      <c r="M17" s="143">
        <f>+L17*M$3</f>
        <v>751.05672766784903</v>
      </c>
      <c r="N17" s="143">
        <f>+L17+M17</f>
        <v>3254.5791532273456</v>
      </c>
      <c r="O17" s="143">
        <f>+N17*O$3</f>
        <v>1301.8316612909384</v>
      </c>
      <c r="P17" s="151">
        <f>+N17+O17</f>
        <v>4556.4108145182836</v>
      </c>
      <c r="R17" s="84">
        <v>74484.96472738999</v>
      </c>
      <c r="S17">
        <f t="shared" si="8"/>
        <v>0</v>
      </c>
      <c r="U17" s="27">
        <v>100021676</v>
      </c>
      <c r="V17" s="24">
        <v>64248.37371007404</v>
      </c>
      <c r="W17" s="123"/>
    </row>
    <row r="18" spans="1:23" x14ac:dyDescent="0.35">
      <c r="B18" s="27">
        <v>100021680</v>
      </c>
      <c r="C18" s="28" t="s">
        <v>28</v>
      </c>
      <c r="D18" s="21">
        <v>7790360967688</v>
      </c>
      <c r="E18" s="22">
        <v>4.32</v>
      </c>
      <c r="F18" s="23">
        <v>18</v>
      </c>
      <c r="G18" s="24" t="e">
        <v>#N/A</v>
      </c>
      <c r="H18" s="23"/>
      <c r="I18" s="24" t="e">
        <f t="shared" si="0"/>
        <v>#N/A</v>
      </c>
      <c r="J18" s="24" t="e">
        <f t="shared" si="1"/>
        <v>#N/A</v>
      </c>
      <c r="K18" s="24" t="e">
        <f t="shared" si="2"/>
        <v>#N/A</v>
      </c>
      <c r="L18" s="24" t="e">
        <f t="shared" si="3"/>
        <v>#N/A</v>
      </c>
      <c r="M18" s="24" t="e">
        <f t="shared" si="4"/>
        <v>#N/A</v>
      </c>
      <c r="N18" s="24" t="e">
        <f t="shared" si="5"/>
        <v>#N/A</v>
      </c>
      <c r="O18" s="24" t="e">
        <f t="shared" si="6"/>
        <v>#N/A</v>
      </c>
      <c r="P18" s="25" t="e">
        <f t="shared" si="7"/>
        <v>#N/A</v>
      </c>
      <c r="R18" s="24">
        <v>56748.577592368114</v>
      </c>
      <c r="S18" t="e">
        <f t="shared" si="8"/>
        <v>#N/A</v>
      </c>
      <c r="U18" s="27">
        <v>100021664</v>
      </c>
      <c r="V18" s="24">
        <v>0</v>
      </c>
      <c r="W18" s="123"/>
    </row>
    <row r="19" spans="1:23" x14ac:dyDescent="0.35">
      <c r="B19" s="27">
        <v>100021644</v>
      </c>
      <c r="C19" s="28" t="s">
        <v>29</v>
      </c>
      <c r="D19" s="21">
        <v>7790360008541</v>
      </c>
      <c r="E19" s="22">
        <v>4.7039999999999997</v>
      </c>
      <c r="F19" s="23">
        <v>42</v>
      </c>
      <c r="G19" s="24">
        <v>24546.099363916852</v>
      </c>
      <c r="H19" s="23"/>
      <c r="I19" s="24">
        <f t="shared" si="0"/>
        <v>24546.099363916852</v>
      </c>
      <c r="J19" s="24">
        <f t="shared" si="1"/>
        <v>584.43093723611548</v>
      </c>
      <c r="K19" s="24">
        <f t="shared" si="2"/>
        <v>122.73049681958425</v>
      </c>
      <c r="L19" s="24">
        <f t="shared" si="3"/>
        <v>707.16143405569971</v>
      </c>
      <c r="M19" s="24">
        <f>+L19*0.33</f>
        <v>233.36327323838091</v>
      </c>
      <c r="N19" s="24">
        <f t="shared" si="5"/>
        <v>940.5247072940806</v>
      </c>
      <c r="O19" s="24">
        <f t="shared" si="6"/>
        <v>376.20988291763229</v>
      </c>
      <c r="P19" s="25">
        <f t="shared" si="7"/>
        <v>1316.7345902117129</v>
      </c>
      <c r="R19" s="24">
        <v>21645.590268004275</v>
      </c>
      <c r="S19">
        <f t="shared" si="8"/>
        <v>0.1340000000000002</v>
      </c>
      <c r="U19" s="27">
        <v>100516008</v>
      </c>
      <c r="V19" s="24">
        <v>63757.01221477463</v>
      </c>
      <c r="W19" s="123"/>
    </row>
    <row r="20" spans="1:23" x14ac:dyDescent="0.35">
      <c r="B20" s="27">
        <v>100021677</v>
      </c>
      <c r="C20" s="28" t="s">
        <v>30</v>
      </c>
      <c r="D20" s="21">
        <v>7790360967404</v>
      </c>
      <c r="E20" s="22">
        <v>3.3119999999999998</v>
      </c>
      <c r="F20" s="23">
        <v>12</v>
      </c>
      <c r="G20" s="24">
        <v>19607.662820454552</v>
      </c>
      <c r="H20" s="23"/>
      <c r="I20" s="24">
        <f t="shared" si="0"/>
        <v>19607.662820454552</v>
      </c>
      <c r="J20" s="24">
        <f t="shared" si="1"/>
        <v>1633.9719017045461</v>
      </c>
      <c r="K20" s="24">
        <f t="shared" si="2"/>
        <v>343.13409935795465</v>
      </c>
      <c r="L20" s="24">
        <f t="shared" si="3"/>
        <v>1977.1060010625008</v>
      </c>
      <c r="M20" s="24">
        <f>+L20*0.33</f>
        <v>652.44498035062531</v>
      </c>
      <c r="N20" s="24">
        <f t="shared" si="5"/>
        <v>2629.550981413126</v>
      </c>
      <c r="O20" s="24">
        <f t="shared" si="6"/>
        <v>1051.8203925652504</v>
      </c>
      <c r="P20" s="25">
        <f t="shared" si="7"/>
        <v>3681.3713739783761</v>
      </c>
      <c r="R20" s="24">
        <v>18497.79511363637</v>
      </c>
      <c r="S20">
        <f t="shared" si="8"/>
        <v>6.0000000000000005E-2</v>
      </c>
      <c r="U20" s="27">
        <v>100520834</v>
      </c>
      <c r="V20" s="24">
        <v>74484.96472738999</v>
      </c>
      <c r="W20" s="123"/>
    </row>
    <row r="21" spans="1:23" x14ac:dyDescent="0.35">
      <c r="B21" s="27">
        <v>100021638</v>
      </c>
      <c r="C21" s="28" t="s">
        <v>31</v>
      </c>
      <c r="D21" s="21">
        <v>7790360026699</v>
      </c>
      <c r="E21" s="22">
        <v>4.8</v>
      </c>
      <c r="F21" s="23">
        <v>60</v>
      </c>
      <c r="G21" s="24">
        <v>56119.832667983072</v>
      </c>
      <c r="H21" s="23"/>
      <c r="I21" s="24">
        <f t="shared" si="0"/>
        <v>56119.832667983072</v>
      </c>
      <c r="J21" s="24">
        <f t="shared" si="1"/>
        <v>935.33054446638448</v>
      </c>
      <c r="K21" s="24">
        <f t="shared" si="2"/>
        <v>196.41941433794074</v>
      </c>
      <c r="L21" s="24">
        <f t="shared" si="3"/>
        <v>1131.7499588043252</v>
      </c>
      <c r="M21" s="24">
        <f t="shared" si="4"/>
        <v>339.52498764129751</v>
      </c>
      <c r="N21" s="24">
        <f t="shared" si="5"/>
        <v>1471.2749464456226</v>
      </c>
      <c r="O21" s="24">
        <f t="shared" si="6"/>
        <v>588.50997857824905</v>
      </c>
      <c r="P21" s="25">
        <f t="shared" si="7"/>
        <v>2059.7849250238714</v>
      </c>
      <c r="R21" s="24">
        <v>52943.23836602176</v>
      </c>
      <c r="S21">
        <f t="shared" si="8"/>
        <v>6.0000000000000109E-2</v>
      </c>
      <c r="U21" s="27">
        <v>100021680</v>
      </c>
      <c r="V21" s="24">
        <v>56748.577592368114</v>
      </c>
      <c r="W21" s="123"/>
    </row>
    <row r="22" spans="1:23" x14ac:dyDescent="0.35">
      <c r="B22" s="27">
        <v>100021575</v>
      </c>
      <c r="C22" s="28" t="s">
        <v>32</v>
      </c>
      <c r="D22" s="21">
        <v>7790360007032</v>
      </c>
      <c r="E22" s="22">
        <v>4.1399999999999997</v>
      </c>
      <c r="F22" s="23">
        <v>60</v>
      </c>
      <c r="G22" s="24">
        <v>47400.827745468057</v>
      </c>
      <c r="H22" s="23"/>
      <c r="I22" s="24">
        <f t="shared" si="0"/>
        <v>47400.827745468057</v>
      </c>
      <c r="J22" s="24">
        <f t="shared" si="1"/>
        <v>790.01379575780095</v>
      </c>
      <c r="K22" s="24">
        <f t="shared" si="2"/>
        <v>165.90289710913819</v>
      </c>
      <c r="L22" s="24">
        <f t="shared" si="3"/>
        <v>955.91669286693912</v>
      </c>
      <c r="M22" s="24">
        <f t="shared" si="4"/>
        <v>286.7750078600817</v>
      </c>
      <c r="N22" s="24">
        <f t="shared" si="5"/>
        <v>1242.6917007270208</v>
      </c>
      <c r="O22" s="24">
        <f t="shared" si="6"/>
        <v>497.07668029080833</v>
      </c>
      <c r="P22" s="25">
        <f t="shared" si="7"/>
        <v>1739.7683810178291</v>
      </c>
      <c r="R22" s="24">
        <v>44717.762024026466</v>
      </c>
      <c r="S22">
        <f t="shared" si="8"/>
        <v>6.0000000000000081E-2</v>
      </c>
      <c r="U22" s="27">
        <v>100021644</v>
      </c>
      <c r="V22" s="24">
        <v>22727.869781404494</v>
      </c>
      <c r="W22" s="123"/>
    </row>
    <row r="23" spans="1:23" x14ac:dyDescent="0.35">
      <c r="B23" s="27">
        <v>100021514</v>
      </c>
      <c r="C23" s="28" t="s">
        <v>33</v>
      </c>
      <c r="D23" s="21">
        <v>7790360006943</v>
      </c>
      <c r="E23" s="22">
        <v>4.1399999999999997</v>
      </c>
      <c r="F23" s="23">
        <v>60</v>
      </c>
      <c r="G23" s="24">
        <v>43559.855044446216</v>
      </c>
      <c r="H23" s="23"/>
      <c r="I23" s="24">
        <f t="shared" si="0"/>
        <v>43559.855044446216</v>
      </c>
      <c r="J23" s="24">
        <f t="shared" si="1"/>
        <v>725.99758407410366</v>
      </c>
      <c r="K23" s="24">
        <f t="shared" si="2"/>
        <v>152.45949265556177</v>
      </c>
      <c r="L23" s="24">
        <f t="shared" si="3"/>
        <v>878.45707672966546</v>
      </c>
      <c r="M23" s="24">
        <f t="shared" si="4"/>
        <v>263.53712301889965</v>
      </c>
      <c r="N23" s="24">
        <f t="shared" si="5"/>
        <v>1141.9941997485651</v>
      </c>
      <c r="O23" s="24">
        <f t="shared" si="6"/>
        <v>456.79767989942604</v>
      </c>
      <c r="P23" s="25">
        <f t="shared" si="7"/>
        <v>1598.7918796479912</v>
      </c>
      <c r="R23" s="24">
        <v>41094.202872119065</v>
      </c>
      <c r="S23">
        <f t="shared" si="8"/>
        <v>6.0000000000000164E-2</v>
      </c>
      <c r="U23" s="27">
        <v>100021677</v>
      </c>
      <c r="V23" s="24">
        <v>18497.79511363637</v>
      </c>
      <c r="W23" s="123"/>
    </row>
    <row r="24" spans="1:23" x14ac:dyDescent="0.35">
      <c r="B24" s="26">
        <v>100516208</v>
      </c>
      <c r="C24" s="30" t="s">
        <v>34</v>
      </c>
      <c r="D24" s="31">
        <v>7790360968203</v>
      </c>
      <c r="E24" s="22">
        <f>60*0.08</f>
        <v>4.8</v>
      </c>
      <c r="F24" s="23">
        <v>60</v>
      </c>
      <c r="G24" s="24">
        <v>49988.857358333371</v>
      </c>
      <c r="H24" s="23"/>
      <c r="I24" s="24">
        <f t="shared" si="0"/>
        <v>49988.857358333371</v>
      </c>
      <c r="J24" s="24">
        <f t="shared" si="1"/>
        <v>833.14762263888952</v>
      </c>
      <c r="K24" s="24">
        <f t="shared" si="2"/>
        <v>174.9610007541668</v>
      </c>
      <c r="L24" s="24">
        <f t="shared" si="3"/>
        <v>1008.1086233930563</v>
      </c>
      <c r="M24" s="24">
        <f t="shared" si="4"/>
        <v>302.43258701791689</v>
      </c>
      <c r="N24" s="24">
        <f t="shared" si="5"/>
        <v>1310.5412104109732</v>
      </c>
      <c r="O24" s="24">
        <f t="shared" si="6"/>
        <v>524.21648416438927</v>
      </c>
      <c r="P24" s="25">
        <f t="shared" si="7"/>
        <v>1834.7576945753626</v>
      </c>
      <c r="R24" s="24">
        <v>47159.299394654117</v>
      </c>
      <c r="S24">
        <f t="shared" si="8"/>
        <v>6.0000000000000137E-2</v>
      </c>
      <c r="U24" s="27">
        <v>100021638</v>
      </c>
      <c r="V24" s="24">
        <v>52943.23836602176</v>
      </c>
      <c r="W24" s="123"/>
    </row>
    <row r="25" spans="1:23" x14ac:dyDescent="0.35">
      <c r="B25" s="27">
        <v>100518346</v>
      </c>
      <c r="C25" s="28" t="s">
        <v>35</v>
      </c>
      <c r="D25" s="21"/>
      <c r="E25" s="22">
        <v>6.54</v>
      </c>
      <c r="F25" s="23">
        <v>60</v>
      </c>
      <c r="G25" s="24">
        <v>72185.141737711892</v>
      </c>
      <c r="H25" s="23"/>
      <c r="I25" s="24">
        <f t="shared" si="0"/>
        <v>72185.141737711892</v>
      </c>
      <c r="J25" s="24">
        <f t="shared" si="1"/>
        <v>1203.0856956285315</v>
      </c>
      <c r="K25" s="24">
        <f t="shared" si="2"/>
        <v>252.64799608199161</v>
      </c>
      <c r="L25" s="24">
        <f t="shared" si="3"/>
        <v>1455.7336917105231</v>
      </c>
      <c r="M25" s="24">
        <f t="shared" si="4"/>
        <v>436.7201075131569</v>
      </c>
      <c r="N25" s="24">
        <f t="shared" si="5"/>
        <v>1892.4537992236801</v>
      </c>
      <c r="O25" s="24">
        <f t="shared" si="6"/>
        <v>756.98151968947207</v>
      </c>
      <c r="P25" s="25">
        <f t="shared" si="7"/>
        <v>2649.4353189131521</v>
      </c>
      <c r="R25" s="24">
        <v>68099.190318596127</v>
      </c>
      <c r="S25">
        <f t="shared" si="8"/>
        <v>5.9999999999999963E-2</v>
      </c>
      <c r="U25" s="27">
        <v>100021575</v>
      </c>
      <c r="V25" s="24">
        <v>44717.762024026466</v>
      </c>
      <c r="W25" s="123"/>
    </row>
    <row r="26" spans="1:23" x14ac:dyDescent="0.35">
      <c r="B26" s="27">
        <v>100516259</v>
      </c>
      <c r="C26" s="28" t="s">
        <v>36</v>
      </c>
      <c r="D26" s="21">
        <v>7790360968340</v>
      </c>
      <c r="E26" s="22">
        <v>18.16</v>
      </c>
      <c r="F26" s="23">
        <v>48</v>
      </c>
      <c r="G26" s="24">
        <v>161901.39345777559</v>
      </c>
      <c r="H26" s="23"/>
      <c r="I26" s="24">
        <f t="shared" si="0"/>
        <v>161901.39345777559</v>
      </c>
      <c r="J26" s="24">
        <f t="shared" si="1"/>
        <v>3372.9456970369915</v>
      </c>
      <c r="K26" s="24">
        <f t="shared" si="2"/>
        <v>708.31859637776824</v>
      </c>
      <c r="L26" s="24">
        <f t="shared" si="3"/>
        <v>4081.2642934147598</v>
      </c>
      <c r="M26" s="24">
        <f t="shared" si="4"/>
        <v>1224.379288024428</v>
      </c>
      <c r="N26" s="24">
        <f t="shared" si="5"/>
        <v>5305.643581439188</v>
      </c>
      <c r="O26" s="24">
        <f t="shared" si="6"/>
        <v>2122.2574325756755</v>
      </c>
      <c r="P26" s="25">
        <f t="shared" si="7"/>
        <v>7427.9010140148639</v>
      </c>
      <c r="R26" s="24">
        <v>152737.16363941095</v>
      </c>
      <c r="S26">
        <f t="shared" si="8"/>
        <v>5.9999999999999852E-2</v>
      </c>
      <c r="U26" s="27">
        <v>100021514</v>
      </c>
      <c r="V26" s="24">
        <v>41094.202872119065</v>
      </c>
      <c r="W26" s="123"/>
    </row>
    <row r="27" spans="1:23" x14ac:dyDescent="0.35">
      <c r="B27" s="85">
        <v>100518095</v>
      </c>
      <c r="C27" s="28" t="s">
        <v>37</v>
      </c>
      <c r="D27" s="21">
        <v>7790360974785</v>
      </c>
      <c r="E27" s="22">
        <v>6.66</v>
      </c>
      <c r="F27" s="23">
        <v>36</v>
      </c>
      <c r="G27" s="24">
        <v>80666.799293888384</v>
      </c>
      <c r="H27" s="23"/>
      <c r="I27" s="24">
        <f t="shared" si="0"/>
        <v>80666.799293888384</v>
      </c>
      <c r="J27" s="24">
        <f t="shared" si="1"/>
        <v>2240.7444248302327</v>
      </c>
      <c r="K27" s="24">
        <f t="shared" si="2"/>
        <v>470.55632921434886</v>
      </c>
      <c r="L27" s="24">
        <f t="shared" si="3"/>
        <v>2711.3007540445815</v>
      </c>
      <c r="M27" s="24">
        <f t="shared" si="4"/>
        <v>813.39022621337438</v>
      </c>
      <c r="N27" s="24">
        <f t="shared" si="5"/>
        <v>3524.6909802579557</v>
      </c>
      <c r="O27" s="24">
        <f t="shared" si="6"/>
        <v>1409.8763921031823</v>
      </c>
      <c r="P27" s="25">
        <f t="shared" si="7"/>
        <v>4934.567372361138</v>
      </c>
      <c r="R27" s="24">
        <v>76100.754050838092</v>
      </c>
      <c r="S27">
        <f t="shared" si="8"/>
        <v>6.0000000000000081E-2</v>
      </c>
      <c r="U27" s="26">
        <v>100516208</v>
      </c>
      <c r="V27" s="24">
        <v>47159.299394654117</v>
      </c>
      <c r="W27" s="123"/>
    </row>
    <row r="28" spans="1:23" x14ac:dyDescent="0.35">
      <c r="B28" s="27">
        <v>100518223</v>
      </c>
      <c r="C28" s="28" t="s">
        <v>38</v>
      </c>
      <c r="D28" s="21">
        <v>7790360975065</v>
      </c>
      <c r="E28" s="22">
        <f>60*0.106</f>
        <v>6.3599999999999994</v>
      </c>
      <c r="F28" s="23">
        <v>30</v>
      </c>
      <c r="G28" s="24">
        <v>62803.586269443593</v>
      </c>
      <c r="H28" s="23"/>
      <c r="I28" s="24">
        <f t="shared" si="0"/>
        <v>62803.586269443593</v>
      </c>
      <c r="J28" s="24">
        <f t="shared" si="1"/>
        <v>2093.45287564812</v>
      </c>
      <c r="K28" s="24">
        <f t="shared" si="2"/>
        <v>439.62510388610519</v>
      </c>
      <c r="L28" s="24">
        <f t="shared" si="3"/>
        <v>2533.0779795342251</v>
      </c>
      <c r="M28" s="24">
        <f t="shared" si="4"/>
        <v>759.92339386026754</v>
      </c>
      <c r="N28" s="24">
        <f t="shared" si="5"/>
        <v>3293.0013733944925</v>
      </c>
      <c r="O28" s="24">
        <f t="shared" si="6"/>
        <v>1317.2005493577972</v>
      </c>
      <c r="P28" s="25">
        <f t="shared" si="7"/>
        <v>4610.2019227522896</v>
      </c>
      <c r="R28" s="24">
        <v>59248.666291927912</v>
      </c>
      <c r="S28">
        <f t="shared" si="8"/>
        <v>6.0000000000000109E-2</v>
      </c>
      <c r="U28" s="27">
        <v>100518346</v>
      </c>
      <c r="V28" s="24">
        <v>68099.190318596127</v>
      </c>
      <c r="W28" s="123"/>
    </row>
    <row r="29" spans="1:23" x14ac:dyDescent="0.35">
      <c r="B29" s="32"/>
      <c r="C29" s="33"/>
      <c r="D29" s="34"/>
      <c r="E29" s="33"/>
      <c r="F29" s="35"/>
      <c r="G29" s="35" t="e">
        <v>#N/A</v>
      </c>
      <c r="H29" s="35"/>
      <c r="I29" s="35" t="e">
        <f t="shared" si="0"/>
        <v>#N/A</v>
      </c>
      <c r="J29" s="37" t="e">
        <f t="shared" si="1"/>
        <v>#N/A</v>
      </c>
      <c r="K29" s="38">
        <v>0.21</v>
      </c>
      <c r="L29" s="37"/>
      <c r="M29" s="17">
        <v>0.3</v>
      </c>
      <c r="N29" s="16"/>
      <c r="O29" s="17">
        <v>0.4</v>
      </c>
      <c r="P29" s="39"/>
      <c r="R29" s="35" t="e">
        <v>#N/A</v>
      </c>
      <c r="S29" t="e">
        <f t="shared" si="8"/>
        <v>#N/A</v>
      </c>
      <c r="U29" s="27">
        <v>100516259</v>
      </c>
      <c r="V29" s="24">
        <v>152737.16363941095</v>
      </c>
      <c r="W29" s="123"/>
    </row>
    <row r="30" spans="1:23" hidden="1" x14ac:dyDescent="0.35">
      <c r="B30" s="83">
        <v>100022085</v>
      </c>
      <c r="C30" s="97" t="s">
        <v>39</v>
      </c>
      <c r="D30" s="98">
        <v>7790360000132</v>
      </c>
      <c r="E30" s="99">
        <v>5.4</v>
      </c>
      <c r="F30" s="100">
        <v>24</v>
      </c>
      <c r="G30" s="84" t="e">
        <v>#N/A</v>
      </c>
      <c r="H30" s="102">
        <v>0.25</v>
      </c>
      <c r="I30" s="84" t="e">
        <f t="shared" si="0"/>
        <v>#N/A</v>
      </c>
      <c r="J30" s="84" t="e">
        <f t="shared" si="1"/>
        <v>#N/A</v>
      </c>
      <c r="K30" s="84" t="e">
        <f t="shared" si="2"/>
        <v>#N/A</v>
      </c>
      <c r="L30" s="84" t="e">
        <f t="shared" si="3"/>
        <v>#N/A</v>
      </c>
      <c r="M30" s="84" t="e">
        <f t="shared" si="4"/>
        <v>#N/A</v>
      </c>
      <c r="N30" s="84" t="e">
        <f t="shared" si="5"/>
        <v>#N/A</v>
      </c>
      <c r="O30" s="84" t="e">
        <f t="shared" si="6"/>
        <v>#N/A</v>
      </c>
      <c r="P30" s="101" t="e">
        <f t="shared" si="7"/>
        <v>#N/A</v>
      </c>
      <c r="Q30">
        <v>0.25</v>
      </c>
      <c r="R30" s="84">
        <v>21970.510692315202</v>
      </c>
      <c r="S30" t="e">
        <f t="shared" si="8"/>
        <v>#N/A</v>
      </c>
      <c r="U30" s="85">
        <v>100518095</v>
      </c>
      <c r="V30" s="24">
        <v>76100.754050838092</v>
      </c>
      <c r="W30" s="243" t="s">
        <v>160</v>
      </c>
    </row>
    <row r="31" spans="1:23" x14ac:dyDescent="0.35">
      <c r="A31" s="27"/>
      <c r="B31" s="83">
        <v>100522204</v>
      </c>
      <c r="C31" s="97" t="s">
        <v>39</v>
      </c>
      <c r="D31" s="98">
        <v>7790360983947</v>
      </c>
      <c r="E31" s="99">
        <v>5.4</v>
      </c>
      <c r="F31" s="100">
        <v>24</v>
      </c>
      <c r="G31" s="84">
        <v>30172.83468411288</v>
      </c>
      <c r="H31" s="102">
        <v>0.25</v>
      </c>
      <c r="I31" s="84">
        <f t="shared" ref="I31" si="9">+G31*(1-H31)</f>
        <v>22629.62601308466</v>
      </c>
      <c r="J31" s="84">
        <f t="shared" ref="J31" si="10">+I31/F31</f>
        <v>942.90108387852752</v>
      </c>
      <c r="K31" s="84">
        <f t="shared" ref="K31" si="11">+J31*K$3</f>
        <v>198.00922761449078</v>
      </c>
      <c r="L31" s="84">
        <f t="shared" ref="L31" si="12">+J31+K31</f>
        <v>1140.9103114930183</v>
      </c>
      <c r="M31" s="84">
        <f t="shared" ref="M31" si="13">+L31*M$3</f>
        <v>342.27309344790547</v>
      </c>
      <c r="N31" s="84">
        <f t="shared" ref="N31" si="14">+L31+M31</f>
        <v>1483.1834049409238</v>
      </c>
      <c r="O31" s="84">
        <f t="shared" ref="O31" si="15">+N31*O$3</f>
        <v>593.27336197636953</v>
      </c>
      <c r="P31" s="101">
        <f t="shared" si="7"/>
        <v>2076.4567669172934</v>
      </c>
      <c r="Q31">
        <v>0.25</v>
      </c>
      <c r="R31" s="84">
        <v>21970.510692315202</v>
      </c>
      <c r="U31" s="27">
        <v>100518223</v>
      </c>
      <c r="V31" s="24">
        <v>59248.666291927912</v>
      </c>
      <c r="W31" s="244" t="s">
        <v>216</v>
      </c>
    </row>
    <row r="32" spans="1:23" hidden="1" x14ac:dyDescent="0.35">
      <c r="B32" s="83">
        <v>100022072</v>
      </c>
      <c r="C32" s="97" t="s">
        <v>40</v>
      </c>
      <c r="D32" s="98">
        <v>7790360024541</v>
      </c>
      <c r="E32" s="99">
        <v>5.4</v>
      </c>
      <c r="F32" s="100">
        <v>12</v>
      </c>
      <c r="G32" s="84" t="e">
        <v>#N/A</v>
      </c>
      <c r="H32" s="102">
        <v>0.21060000000000001</v>
      </c>
      <c r="I32" s="84" t="e">
        <f t="shared" si="0"/>
        <v>#N/A</v>
      </c>
      <c r="J32" s="84" t="e">
        <f t="shared" si="1"/>
        <v>#N/A</v>
      </c>
      <c r="K32" s="84" t="e">
        <f t="shared" si="2"/>
        <v>#N/A</v>
      </c>
      <c r="L32" s="84" t="e">
        <f t="shared" si="3"/>
        <v>#N/A</v>
      </c>
      <c r="M32" s="84" t="e">
        <f t="shared" si="4"/>
        <v>#N/A</v>
      </c>
      <c r="N32" s="84" t="e">
        <f t="shared" si="5"/>
        <v>#N/A</v>
      </c>
      <c r="O32" s="84" t="e">
        <f t="shared" si="6"/>
        <v>#N/A</v>
      </c>
      <c r="P32" s="101" t="e">
        <f t="shared" si="7"/>
        <v>#N/A</v>
      </c>
      <c r="Q32">
        <v>0.25</v>
      </c>
      <c r="R32" s="24">
        <v>20871.985157699448</v>
      </c>
      <c r="S32" t="e">
        <f t="shared" si="8"/>
        <v>#N/A</v>
      </c>
      <c r="U32" s="32"/>
      <c r="V32" s="35" t="e">
        <v>#VALUE!</v>
      </c>
      <c r="W32" s="244" t="s">
        <v>157</v>
      </c>
    </row>
    <row r="33" spans="1:24" x14ac:dyDescent="0.35">
      <c r="A33" s="27"/>
      <c r="B33" s="83">
        <v>100522205</v>
      </c>
      <c r="C33" s="97" t="s">
        <v>40</v>
      </c>
      <c r="D33" s="98">
        <v>7790360983954</v>
      </c>
      <c r="E33" s="99">
        <v>5.4</v>
      </c>
      <c r="F33" s="100">
        <v>12</v>
      </c>
      <c r="G33" s="84">
        <v>28664.192949907239</v>
      </c>
      <c r="H33" s="102">
        <v>0.21060000000000001</v>
      </c>
      <c r="I33" s="84">
        <f t="shared" ref="I33" si="16">+G33*(1-H33)</f>
        <v>22627.513914656774</v>
      </c>
      <c r="J33" s="84">
        <f t="shared" ref="J33" si="17">+I33/F33</f>
        <v>1885.6261595547312</v>
      </c>
      <c r="K33" s="84">
        <f t="shared" ref="K33" si="18">+J33*K$3</f>
        <v>395.98149350649356</v>
      </c>
      <c r="L33" s="84">
        <f t="shared" ref="L33" si="19">+J33+K33</f>
        <v>2281.6076530612249</v>
      </c>
      <c r="M33" s="84">
        <f t="shared" ref="M33" si="20">+L33*M$3</f>
        <v>684.48229591836741</v>
      </c>
      <c r="N33" s="84">
        <f t="shared" ref="N33" si="21">+L33+M33</f>
        <v>2966.0899489795925</v>
      </c>
      <c r="O33" s="84">
        <f t="shared" ref="O33" si="22">+N33*O$3</f>
        <v>1186.4359795918369</v>
      </c>
      <c r="P33" s="101">
        <f t="shared" si="7"/>
        <v>4152.5259285714292</v>
      </c>
      <c r="Q33">
        <v>0.25</v>
      </c>
      <c r="R33" s="24">
        <v>20871.985157699448</v>
      </c>
      <c r="U33" s="27">
        <v>100022085</v>
      </c>
      <c r="V33" s="24">
        <v>29294.014256420269</v>
      </c>
      <c r="W33" s="123"/>
    </row>
    <row r="34" spans="1:24" x14ac:dyDescent="0.35">
      <c r="B34" s="83">
        <v>100516849</v>
      </c>
      <c r="C34" s="97" t="s">
        <v>41</v>
      </c>
      <c r="D34" s="98">
        <v>7790360970053</v>
      </c>
      <c r="E34" s="99">
        <v>4.5599999990400004</v>
      </c>
      <c r="F34" s="100">
        <v>24</v>
      </c>
      <c r="G34" s="84">
        <v>20276.144907723858</v>
      </c>
      <c r="H34" s="102"/>
      <c r="I34" s="84">
        <f t="shared" si="0"/>
        <v>20276.144907723858</v>
      </c>
      <c r="J34" s="84">
        <f t="shared" si="1"/>
        <v>844.83937115516073</v>
      </c>
      <c r="K34" s="84">
        <f t="shared" si="2"/>
        <v>177.41626794258374</v>
      </c>
      <c r="L34" s="84">
        <f t="shared" si="3"/>
        <v>1022.2556390977445</v>
      </c>
      <c r="M34" s="84">
        <f t="shared" si="4"/>
        <v>306.67669172932335</v>
      </c>
      <c r="N34" s="84">
        <f t="shared" si="5"/>
        <v>1328.9323308270677</v>
      </c>
      <c r="O34" s="84">
        <f t="shared" si="6"/>
        <v>531.57293233082714</v>
      </c>
      <c r="P34" s="101">
        <f t="shared" si="7"/>
        <v>1860.5052631578949</v>
      </c>
      <c r="R34" s="84">
        <v>17576.408553852165</v>
      </c>
      <c r="S34">
        <f t="shared" si="8"/>
        <v>0.15360000000000001</v>
      </c>
      <c r="U34" s="27">
        <v>100522204</v>
      </c>
      <c r="V34" s="24">
        <v>29294.014256420269</v>
      </c>
      <c r="W34" s="244" t="s">
        <v>218</v>
      </c>
    </row>
    <row r="35" spans="1:24" hidden="1" x14ac:dyDescent="0.35">
      <c r="B35" s="27">
        <v>100022039</v>
      </c>
      <c r="C35" s="28" t="s">
        <v>42</v>
      </c>
      <c r="D35" s="21">
        <v>7790360007063</v>
      </c>
      <c r="E35" s="22">
        <v>8.6999999999999993</v>
      </c>
      <c r="F35" s="23">
        <v>10</v>
      </c>
      <c r="G35" s="24" t="e">
        <v>#N/A</v>
      </c>
      <c r="H35" s="141"/>
      <c r="I35" s="24" t="e">
        <f t="shared" si="0"/>
        <v>#N/A</v>
      </c>
      <c r="J35" s="24" t="e">
        <f t="shared" si="1"/>
        <v>#N/A</v>
      </c>
      <c r="K35" s="24" t="e">
        <f t="shared" si="2"/>
        <v>#N/A</v>
      </c>
      <c r="L35" s="24" t="e">
        <f t="shared" si="3"/>
        <v>#N/A</v>
      </c>
      <c r="M35" s="24" t="e">
        <f t="shared" si="4"/>
        <v>#N/A</v>
      </c>
      <c r="N35" s="24" t="e">
        <f t="shared" si="5"/>
        <v>#N/A</v>
      </c>
      <c r="O35" s="24" t="e">
        <f t="shared" si="6"/>
        <v>#N/A</v>
      </c>
      <c r="P35" s="25" t="e">
        <f t="shared" si="7"/>
        <v>#N/A</v>
      </c>
      <c r="R35" s="24">
        <v>52385.600303146959</v>
      </c>
      <c r="S35" t="e">
        <f t="shared" si="8"/>
        <v>#N/A</v>
      </c>
      <c r="U35" s="27">
        <v>100022072</v>
      </c>
      <c r="V35" s="24">
        <v>27829.313543599263</v>
      </c>
      <c r="W35" s="123"/>
    </row>
    <row r="36" spans="1:24" x14ac:dyDescent="0.35">
      <c r="A36" s="27"/>
      <c r="B36" s="27">
        <v>100522206</v>
      </c>
      <c r="C36" s="28" t="s">
        <v>42</v>
      </c>
      <c r="D36" s="21">
        <v>7790360983961</v>
      </c>
      <c r="E36" s="22">
        <v>8.6999999999999993</v>
      </c>
      <c r="F36" s="23">
        <v>10</v>
      </c>
      <c r="G36" s="24">
        <v>53957.168312241374</v>
      </c>
      <c r="H36" s="141"/>
      <c r="I36" s="24">
        <f t="shared" ref="I36" si="23">+G36*(1-H36)</f>
        <v>53957.168312241374</v>
      </c>
      <c r="J36" s="24">
        <f t="shared" ref="J36" si="24">+I36/F36</f>
        <v>5395.7168312241374</v>
      </c>
      <c r="K36" s="24">
        <f t="shared" ref="K36" si="25">+J36*K$3</f>
        <v>1133.1005345570688</v>
      </c>
      <c r="L36" s="24">
        <f t="shared" ref="L36" si="26">+J36+K36</f>
        <v>6528.8173657812058</v>
      </c>
      <c r="M36" s="24">
        <f t="shared" ref="M36" si="27">+L36*M$3</f>
        <v>1958.6452097343617</v>
      </c>
      <c r="N36" s="24">
        <f t="shared" ref="N36" si="28">+L36+M36</f>
        <v>8487.4625755155685</v>
      </c>
      <c r="O36" s="24">
        <f t="shared" ref="O36" si="29">+N36*O$3</f>
        <v>3394.9850302062277</v>
      </c>
      <c r="P36" s="25">
        <f t="shared" si="7"/>
        <v>11882.447605721796</v>
      </c>
      <c r="R36" s="24">
        <v>52385.600303146959</v>
      </c>
      <c r="U36" s="27">
        <v>100522205</v>
      </c>
      <c r="V36" s="24">
        <v>27829.313543599263</v>
      </c>
      <c r="W36" s="123"/>
    </row>
    <row r="37" spans="1:24" x14ac:dyDescent="0.35">
      <c r="B37" s="27">
        <v>100022058</v>
      </c>
      <c r="C37" s="28" t="s">
        <v>43</v>
      </c>
      <c r="D37" s="21">
        <v>7790360026002</v>
      </c>
      <c r="E37" s="22">
        <v>4.5599999990400004</v>
      </c>
      <c r="F37" s="23">
        <v>24</v>
      </c>
      <c r="G37" s="24">
        <v>17669.490509490512</v>
      </c>
      <c r="H37" s="142"/>
      <c r="I37" s="24">
        <f t="shared" si="0"/>
        <v>17669.490509490512</v>
      </c>
      <c r="J37" s="24">
        <f t="shared" si="1"/>
        <v>736.22877122877128</v>
      </c>
      <c r="K37" s="24">
        <f t="shared" si="2"/>
        <v>154.60804195804195</v>
      </c>
      <c r="L37" s="24">
        <f t="shared" si="3"/>
        <v>890.83681318681329</v>
      </c>
      <c r="M37" s="24">
        <f>+L37*0.33</f>
        <v>293.97614835164842</v>
      </c>
      <c r="N37" s="24">
        <f t="shared" si="5"/>
        <v>1184.8129615384616</v>
      </c>
      <c r="O37" s="24">
        <f t="shared" si="6"/>
        <v>473.92518461538469</v>
      </c>
      <c r="P37" s="25">
        <f t="shared" si="7"/>
        <v>1658.7381461538464</v>
      </c>
      <c r="R37" s="84">
        <v>16183.816183816185</v>
      </c>
      <c r="S37">
        <f t="shared" si="8"/>
        <v>9.1800000000000048E-2</v>
      </c>
      <c r="U37" s="27">
        <v>100516849</v>
      </c>
      <c r="V37" s="24">
        <v>19685.577580314428</v>
      </c>
      <c r="W37" s="243"/>
      <c r="X37" s="1"/>
    </row>
    <row r="38" spans="1:24" x14ac:dyDescent="0.35">
      <c r="B38" s="27">
        <v>100518151</v>
      </c>
      <c r="C38" s="28" t="s">
        <v>44</v>
      </c>
      <c r="D38" s="21">
        <v>7790360974990</v>
      </c>
      <c r="E38" s="22">
        <v>8.6999999999999993</v>
      </c>
      <c r="F38" s="23">
        <v>10</v>
      </c>
      <c r="G38" s="24">
        <v>65731.71987190409</v>
      </c>
      <c r="H38" s="23"/>
      <c r="I38" s="24">
        <f t="shared" si="0"/>
        <v>65731.71987190409</v>
      </c>
      <c r="J38" s="24">
        <f t="shared" si="1"/>
        <v>6573.1719871904088</v>
      </c>
      <c r="K38" s="24">
        <f t="shared" si="2"/>
        <v>1380.3661173099858</v>
      </c>
      <c r="L38" s="24">
        <f t="shared" si="3"/>
        <v>7953.5381045003942</v>
      </c>
      <c r="M38" s="24">
        <f>+L38*0.33</f>
        <v>2624.66757448513</v>
      </c>
      <c r="N38" s="24">
        <f t="shared" si="5"/>
        <v>10578.205678985523</v>
      </c>
      <c r="O38" s="24">
        <f t="shared" si="6"/>
        <v>4231.2822715942093</v>
      </c>
      <c r="P38" s="25">
        <f t="shared" si="7"/>
        <v>14809.487950579733</v>
      </c>
      <c r="R38" s="24">
        <v>63817.203759130185</v>
      </c>
      <c r="S38">
        <f t="shared" si="8"/>
        <v>2.9999999999999988E-2</v>
      </c>
      <c r="U38" s="27">
        <v>100022039</v>
      </c>
      <c r="V38" s="24">
        <v>52385.600303146959</v>
      </c>
      <c r="W38" s="123"/>
    </row>
    <row r="39" spans="1:24" x14ac:dyDescent="0.35">
      <c r="B39" s="32"/>
      <c r="C39" s="33"/>
      <c r="D39" s="34"/>
      <c r="E39" s="33"/>
      <c r="F39" s="35"/>
      <c r="G39" s="35" t="e">
        <v>#N/A</v>
      </c>
      <c r="H39" s="35"/>
      <c r="I39" s="35" t="e">
        <f t="shared" si="0"/>
        <v>#N/A</v>
      </c>
      <c r="J39" s="37" t="e">
        <f t="shared" si="1"/>
        <v>#N/A</v>
      </c>
      <c r="K39" s="38">
        <v>0.21</v>
      </c>
      <c r="L39" s="37"/>
      <c r="M39" s="38">
        <v>0.2</v>
      </c>
      <c r="N39" s="37"/>
      <c r="O39" s="38">
        <v>0.35</v>
      </c>
      <c r="P39" s="39"/>
      <c r="R39" s="35" t="e">
        <v>#N/A</v>
      </c>
      <c r="S39" t="e">
        <f t="shared" si="8"/>
        <v>#N/A</v>
      </c>
      <c r="U39" s="27">
        <v>100522206</v>
      </c>
      <c r="V39" s="24">
        <v>52385.600303146959</v>
      </c>
    </row>
    <row r="40" spans="1:24" ht="16" x14ac:dyDescent="0.4">
      <c r="B40" s="83">
        <v>100021000</v>
      </c>
      <c r="C40" s="97" t="s">
        <v>45</v>
      </c>
      <c r="D40" s="98">
        <v>7790360720382</v>
      </c>
      <c r="E40" s="99">
        <v>2.16</v>
      </c>
      <c r="F40" s="100">
        <v>24</v>
      </c>
      <c r="G40" s="84">
        <v>14971.426133159293</v>
      </c>
      <c r="H40" s="102"/>
      <c r="I40" s="84">
        <f t="shared" si="0"/>
        <v>14971.426133159293</v>
      </c>
      <c r="J40" s="84">
        <f t="shared" si="1"/>
        <v>623.8094222149706</v>
      </c>
      <c r="K40" s="84">
        <f t="shared" si="2"/>
        <v>130.99997866514383</v>
      </c>
      <c r="L40" s="84">
        <f t="shared" si="3"/>
        <v>754.80940088011448</v>
      </c>
      <c r="M40" s="84">
        <f>+L40*M$39</f>
        <v>150.9618801760229</v>
      </c>
      <c r="N40" s="84">
        <f t="shared" si="5"/>
        <v>905.77128105613735</v>
      </c>
      <c r="O40" s="84">
        <f>+N40*O$39</f>
        <v>317.01994836964803</v>
      </c>
      <c r="P40" s="101">
        <f t="shared" si="7"/>
        <v>1222.7912294257853</v>
      </c>
      <c r="R40" s="84">
        <v>13579.524837332692</v>
      </c>
      <c r="S40">
        <f t="shared" si="8"/>
        <v>0.10250000000000002</v>
      </c>
      <c r="U40" s="27">
        <v>100022058</v>
      </c>
      <c r="V40" s="24">
        <v>17154.845154845156</v>
      </c>
      <c r="W40" s="181"/>
    </row>
    <row r="41" spans="1:24" ht="16" x14ac:dyDescent="0.4">
      <c r="B41" s="83">
        <v>100021001</v>
      </c>
      <c r="C41" s="97" t="s">
        <v>46</v>
      </c>
      <c r="D41" s="98">
        <v>7790360720115</v>
      </c>
      <c r="E41" s="99">
        <v>2.16</v>
      </c>
      <c r="F41" s="100">
        <v>24</v>
      </c>
      <c r="G41" s="84">
        <v>14971.426133159293</v>
      </c>
      <c r="H41" s="102"/>
      <c r="I41" s="84">
        <f t="shared" si="0"/>
        <v>14971.426133159293</v>
      </c>
      <c r="J41" s="84">
        <f t="shared" si="1"/>
        <v>623.8094222149706</v>
      </c>
      <c r="K41" s="84">
        <f t="shared" si="2"/>
        <v>130.99997866514383</v>
      </c>
      <c r="L41" s="84">
        <f t="shared" si="3"/>
        <v>754.80940088011448</v>
      </c>
      <c r="M41" s="84">
        <f t="shared" ref="M41:M56" si="30">+L41*M$39</f>
        <v>150.9618801760229</v>
      </c>
      <c r="N41" s="84">
        <f t="shared" si="5"/>
        <v>905.77128105613735</v>
      </c>
      <c r="O41" s="84">
        <f t="shared" ref="O41:O56" si="31">+N41*O$39</f>
        <v>317.01994836964803</v>
      </c>
      <c r="P41" s="101">
        <f t="shared" si="7"/>
        <v>1222.7912294257853</v>
      </c>
      <c r="R41" s="84">
        <v>13579.524837332692</v>
      </c>
      <c r="S41">
        <f t="shared" si="8"/>
        <v>0.10250000000000002</v>
      </c>
      <c r="U41" s="27">
        <v>100518151</v>
      </c>
      <c r="V41" s="24">
        <v>63817.203759130185</v>
      </c>
      <c r="W41" s="181"/>
    </row>
    <row r="42" spans="1:24" ht="16" x14ac:dyDescent="0.4">
      <c r="B42" s="211">
        <v>100522277</v>
      </c>
      <c r="C42" s="97" t="s">
        <v>146</v>
      </c>
      <c r="D42" s="98"/>
      <c r="E42" s="99">
        <v>2.16</v>
      </c>
      <c r="F42" s="100">
        <v>24</v>
      </c>
      <c r="G42" s="84">
        <v>14971.426133159293</v>
      </c>
      <c r="H42" s="102"/>
      <c r="I42" s="84">
        <f t="shared" ref="I42:I43" si="32">+G42*(1-H42)</f>
        <v>14971.426133159293</v>
      </c>
      <c r="J42" s="84">
        <f t="shared" ref="J42:J43" si="33">+I42/F42</f>
        <v>623.8094222149706</v>
      </c>
      <c r="K42" s="84">
        <f t="shared" ref="K42:K43" si="34">+J42*K$3</f>
        <v>130.99997866514383</v>
      </c>
      <c r="L42" s="84">
        <f t="shared" ref="L42:L43" si="35">+J42+K42</f>
        <v>754.80940088011448</v>
      </c>
      <c r="M42" s="84">
        <f t="shared" ref="M42:M43" si="36">+L42*M$39</f>
        <v>150.9618801760229</v>
      </c>
      <c r="N42" s="84">
        <f t="shared" ref="N42:N43" si="37">+L42+M42</f>
        <v>905.77128105613735</v>
      </c>
      <c r="O42" s="84">
        <f t="shared" ref="O42:O43" si="38">+N42*O$39</f>
        <v>317.01994836964803</v>
      </c>
      <c r="P42" s="101">
        <f t="shared" si="7"/>
        <v>1222.7912294257853</v>
      </c>
      <c r="R42" s="84">
        <v>13579.524837332692</v>
      </c>
      <c r="U42" s="32"/>
      <c r="V42" s="35" t="e">
        <v>#VALUE!</v>
      </c>
      <c r="W42" s="181"/>
    </row>
    <row r="43" spans="1:24" x14ac:dyDescent="0.35">
      <c r="B43" s="211">
        <v>100522333</v>
      </c>
      <c r="C43" s="97" t="s">
        <v>147</v>
      </c>
      <c r="D43" s="98"/>
      <c r="E43" s="99">
        <v>2.16</v>
      </c>
      <c r="F43" s="100">
        <v>24</v>
      </c>
      <c r="G43" s="84">
        <v>14971.426133159293</v>
      </c>
      <c r="H43" s="102"/>
      <c r="I43" s="84">
        <f t="shared" si="32"/>
        <v>14971.426133159293</v>
      </c>
      <c r="J43" s="84">
        <f t="shared" si="33"/>
        <v>623.8094222149706</v>
      </c>
      <c r="K43" s="84">
        <f t="shared" si="34"/>
        <v>130.99997866514383</v>
      </c>
      <c r="L43" s="84">
        <f t="shared" si="35"/>
        <v>754.80940088011448</v>
      </c>
      <c r="M43" s="84">
        <f t="shared" si="36"/>
        <v>150.9618801760229</v>
      </c>
      <c r="N43" s="84">
        <f t="shared" si="37"/>
        <v>905.77128105613735</v>
      </c>
      <c r="O43" s="84">
        <f t="shared" si="38"/>
        <v>317.01994836964803</v>
      </c>
      <c r="P43" s="101">
        <f t="shared" si="7"/>
        <v>1222.7912294257853</v>
      </c>
      <c r="R43" s="84">
        <v>13579.524837332692</v>
      </c>
      <c r="U43" s="27">
        <v>100021000</v>
      </c>
      <c r="V43" s="24">
        <v>14258.501079199326</v>
      </c>
      <c r="W43" s="1"/>
    </row>
    <row r="44" spans="1:24" x14ac:dyDescent="0.35">
      <c r="B44" s="83">
        <v>100021045</v>
      </c>
      <c r="C44" s="97" t="s">
        <v>47</v>
      </c>
      <c r="D44" s="98">
        <v>7790360966582</v>
      </c>
      <c r="E44" s="99">
        <v>2.16</v>
      </c>
      <c r="F44" s="100">
        <v>24</v>
      </c>
      <c r="G44" s="84">
        <v>14971.426133159292</v>
      </c>
      <c r="H44" s="102"/>
      <c r="I44" s="84">
        <f t="shared" si="0"/>
        <v>14971.426133159292</v>
      </c>
      <c r="J44" s="84">
        <f t="shared" si="1"/>
        <v>623.80942221497048</v>
      </c>
      <c r="K44" s="84">
        <f t="shared" si="2"/>
        <v>130.9999786651438</v>
      </c>
      <c r="L44" s="84">
        <f t="shared" si="3"/>
        <v>754.80940088011425</v>
      </c>
      <c r="M44" s="84">
        <f t="shared" si="30"/>
        <v>150.96188017602285</v>
      </c>
      <c r="N44" s="84">
        <f t="shared" si="5"/>
        <v>905.77128105613713</v>
      </c>
      <c r="O44" s="84">
        <f t="shared" si="31"/>
        <v>317.01994836964798</v>
      </c>
      <c r="P44" s="101">
        <f t="shared" si="7"/>
        <v>1222.7912294257851</v>
      </c>
      <c r="R44" s="84">
        <v>13579.52483733269</v>
      </c>
      <c r="S44">
        <f t="shared" si="8"/>
        <v>0.10250000000000004</v>
      </c>
      <c r="U44" s="27">
        <v>100021001</v>
      </c>
      <c r="V44" s="24">
        <v>14258.501079199326</v>
      </c>
      <c r="W44" s="1"/>
    </row>
    <row r="45" spans="1:24" x14ac:dyDescent="0.35">
      <c r="B45" s="83">
        <v>100021004</v>
      </c>
      <c r="C45" s="97" t="s">
        <v>48</v>
      </c>
      <c r="D45" s="98">
        <v>7790360964526</v>
      </c>
      <c r="E45" s="99">
        <v>2.1120000000000001</v>
      </c>
      <c r="F45" s="100">
        <v>24</v>
      </c>
      <c r="G45" s="84">
        <v>14971.426133159292</v>
      </c>
      <c r="H45" s="102"/>
      <c r="I45" s="84">
        <f t="shared" si="0"/>
        <v>14971.426133159292</v>
      </c>
      <c r="J45" s="84">
        <f t="shared" si="1"/>
        <v>623.80942221497048</v>
      </c>
      <c r="K45" s="84">
        <f t="shared" si="2"/>
        <v>130.9999786651438</v>
      </c>
      <c r="L45" s="84">
        <f t="shared" si="3"/>
        <v>754.80940088011425</v>
      </c>
      <c r="M45" s="84">
        <f t="shared" si="30"/>
        <v>150.96188017602285</v>
      </c>
      <c r="N45" s="84">
        <f t="shared" si="5"/>
        <v>905.77128105613713</v>
      </c>
      <c r="O45" s="84">
        <f t="shared" si="31"/>
        <v>317.01994836964798</v>
      </c>
      <c r="P45" s="101">
        <f t="shared" si="7"/>
        <v>1222.7912294257851</v>
      </c>
      <c r="R45" s="84">
        <v>13579.52483733269</v>
      </c>
      <c r="S45">
        <f t="shared" si="8"/>
        <v>0.10250000000000004</v>
      </c>
      <c r="U45" s="85">
        <v>100522277</v>
      </c>
      <c r="V45" s="24">
        <v>14258.501079199326</v>
      </c>
      <c r="W45" s="1"/>
    </row>
    <row r="46" spans="1:24" x14ac:dyDescent="0.35">
      <c r="B46" s="83">
        <v>100021006</v>
      </c>
      <c r="C46" s="97" t="s">
        <v>49</v>
      </c>
      <c r="D46" s="98">
        <v>7790360964557</v>
      </c>
      <c r="E46" s="99">
        <v>2.1120000000000001</v>
      </c>
      <c r="F46" s="100">
        <v>24</v>
      </c>
      <c r="G46" s="84">
        <v>14971.426133159292</v>
      </c>
      <c r="H46" s="102"/>
      <c r="I46" s="84">
        <f t="shared" si="0"/>
        <v>14971.426133159292</v>
      </c>
      <c r="J46" s="84">
        <f t="shared" si="1"/>
        <v>623.80942221497048</v>
      </c>
      <c r="K46" s="84">
        <f t="shared" si="2"/>
        <v>130.9999786651438</v>
      </c>
      <c r="L46" s="84">
        <f t="shared" si="3"/>
        <v>754.80940088011425</v>
      </c>
      <c r="M46" s="84">
        <f t="shared" si="30"/>
        <v>150.96188017602285</v>
      </c>
      <c r="N46" s="84">
        <f t="shared" si="5"/>
        <v>905.77128105613713</v>
      </c>
      <c r="O46" s="84">
        <f t="shared" si="31"/>
        <v>317.01994836964798</v>
      </c>
      <c r="P46" s="101">
        <f t="shared" si="7"/>
        <v>1222.7912294257851</v>
      </c>
      <c r="R46" s="84">
        <v>13579.52483733269</v>
      </c>
      <c r="S46">
        <f t="shared" si="8"/>
        <v>0.10250000000000004</v>
      </c>
      <c r="U46" s="85">
        <v>100522333</v>
      </c>
      <c r="V46" s="24">
        <v>14258.501079199326</v>
      </c>
      <c r="W46" s="1"/>
    </row>
    <row r="47" spans="1:24" x14ac:dyDescent="0.35">
      <c r="B47" s="83">
        <v>100021007</v>
      </c>
      <c r="C47" s="97" t="s">
        <v>50</v>
      </c>
      <c r="D47" s="98">
        <v>7790360964540</v>
      </c>
      <c r="E47" s="99">
        <v>2.04</v>
      </c>
      <c r="F47" s="100">
        <v>24</v>
      </c>
      <c r="G47" s="84">
        <v>17901.639344262298</v>
      </c>
      <c r="H47" s="102"/>
      <c r="I47" s="84">
        <f t="shared" si="0"/>
        <v>17901.639344262298</v>
      </c>
      <c r="J47" s="84">
        <f t="shared" si="1"/>
        <v>745.90163934426243</v>
      </c>
      <c r="K47" s="84">
        <f t="shared" si="2"/>
        <v>156.63934426229511</v>
      </c>
      <c r="L47" s="84">
        <f t="shared" si="3"/>
        <v>902.54098360655757</v>
      </c>
      <c r="M47" s="84">
        <f t="shared" si="30"/>
        <v>180.50819672131152</v>
      </c>
      <c r="N47" s="84">
        <f t="shared" si="5"/>
        <v>1083.0491803278692</v>
      </c>
      <c r="O47" s="84">
        <f t="shared" si="31"/>
        <v>379.06721311475417</v>
      </c>
      <c r="P47" s="101">
        <f t="shared" si="7"/>
        <v>1462.1163934426233</v>
      </c>
      <c r="R47" s="84">
        <v>15501.688125000002</v>
      </c>
      <c r="S47">
        <f t="shared" si="8"/>
        <v>0.15481870102855619</v>
      </c>
      <c r="U47" s="27">
        <v>100021045</v>
      </c>
      <c r="V47" s="24">
        <v>14258.501079199325</v>
      </c>
      <c r="W47" s="1"/>
    </row>
    <row r="48" spans="1:24" x14ac:dyDescent="0.35">
      <c r="B48" s="83">
        <v>100021013</v>
      </c>
      <c r="C48" s="97" t="s">
        <v>51</v>
      </c>
      <c r="D48" s="98">
        <v>7790360965714</v>
      </c>
      <c r="E48" s="99">
        <v>2.04</v>
      </c>
      <c r="F48" s="100">
        <v>24</v>
      </c>
      <c r="G48" s="84">
        <v>17901.639344262298</v>
      </c>
      <c r="H48" s="102"/>
      <c r="I48" s="84">
        <f t="shared" si="0"/>
        <v>17901.639344262298</v>
      </c>
      <c r="J48" s="84">
        <f t="shared" si="1"/>
        <v>745.90163934426243</v>
      </c>
      <c r="K48" s="84">
        <f t="shared" si="2"/>
        <v>156.63934426229511</v>
      </c>
      <c r="L48" s="84">
        <f t="shared" si="3"/>
        <v>902.54098360655757</v>
      </c>
      <c r="M48" s="84">
        <f t="shared" si="30"/>
        <v>180.50819672131152</v>
      </c>
      <c r="N48" s="84">
        <f t="shared" si="5"/>
        <v>1083.0491803278692</v>
      </c>
      <c r="O48" s="84">
        <f t="shared" si="31"/>
        <v>379.06721311475417</v>
      </c>
      <c r="P48" s="101">
        <f t="shared" si="7"/>
        <v>1462.1163934426233</v>
      </c>
      <c r="R48" s="84">
        <v>15501.688125000002</v>
      </c>
      <c r="S48">
        <f t="shared" si="8"/>
        <v>0.15481870102855619</v>
      </c>
      <c r="U48" s="27">
        <v>100021004</v>
      </c>
      <c r="V48" s="24">
        <v>14258.501079199325</v>
      </c>
      <c r="W48" s="1"/>
    </row>
    <row r="49" spans="2:23" x14ac:dyDescent="0.35">
      <c r="B49" s="83">
        <v>100021014</v>
      </c>
      <c r="C49" s="97" t="s">
        <v>52</v>
      </c>
      <c r="D49" s="98">
        <v>7790360965721</v>
      </c>
      <c r="E49" s="99">
        <v>2.04</v>
      </c>
      <c r="F49" s="100">
        <v>24</v>
      </c>
      <c r="G49" s="84">
        <v>17901.639344262298</v>
      </c>
      <c r="H49" s="102"/>
      <c r="I49" s="84">
        <f t="shared" si="0"/>
        <v>17901.639344262298</v>
      </c>
      <c r="J49" s="84">
        <f t="shared" si="1"/>
        <v>745.90163934426243</v>
      </c>
      <c r="K49" s="84">
        <f t="shared" si="2"/>
        <v>156.63934426229511</v>
      </c>
      <c r="L49" s="84">
        <f t="shared" si="3"/>
        <v>902.54098360655757</v>
      </c>
      <c r="M49" s="84">
        <f t="shared" si="30"/>
        <v>180.50819672131152</v>
      </c>
      <c r="N49" s="84">
        <f t="shared" si="5"/>
        <v>1083.0491803278692</v>
      </c>
      <c r="O49" s="84">
        <f t="shared" si="31"/>
        <v>379.06721311475417</v>
      </c>
      <c r="P49" s="101">
        <f t="shared" si="7"/>
        <v>1462.1163934426233</v>
      </c>
      <c r="R49" s="84">
        <v>15501.688125000002</v>
      </c>
      <c r="S49">
        <f t="shared" si="8"/>
        <v>0.15481870102855619</v>
      </c>
      <c r="U49" s="27">
        <v>100021006</v>
      </c>
      <c r="V49" s="24">
        <v>14258.501079199325</v>
      </c>
      <c r="W49" s="1"/>
    </row>
    <row r="50" spans="2:23" x14ac:dyDescent="0.35">
      <c r="B50" s="83">
        <v>100021054</v>
      </c>
      <c r="C50" s="97" t="s">
        <v>53</v>
      </c>
      <c r="D50" s="98">
        <v>7790360965707</v>
      </c>
      <c r="E50" s="99">
        <v>2.04</v>
      </c>
      <c r="F50" s="100">
        <v>24</v>
      </c>
      <c r="G50" s="84">
        <v>17901.639344262298</v>
      </c>
      <c r="H50" s="102"/>
      <c r="I50" s="84">
        <f t="shared" si="0"/>
        <v>17901.639344262298</v>
      </c>
      <c r="J50" s="84">
        <f t="shared" si="1"/>
        <v>745.90163934426243</v>
      </c>
      <c r="K50" s="84">
        <f t="shared" si="2"/>
        <v>156.63934426229511</v>
      </c>
      <c r="L50" s="84">
        <f t="shared" si="3"/>
        <v>902.54098360655757</v>
      </c>
      <c r="M50" s="84">
        <f t="shared" si="30"/>
        <v>180.50819672131152</v>
      </c>
      <c r="N50" s="84">
        <f t="shared" si="5"/>
        <v>1083.0491803278692</v>
      </c>
      <c r="O50" s="84">
        <f t="shared" si="31"/>
        <v>379.06721311475417</v>
      </c>
      <c r="P50" s="101">
        <f t="shared" si="7"/>
        <v>1462.1163934426233</v>
      </c>
      <c r="R50" s="84">
        <v>15501.688125000002</v>
      </c>
      <c r="S50">
        <f t="shared" si="8"/>
        <v>0.15481870102855619</v>
      </c>
      <c r="U50" s="27">
        <v>100021007</v>
      </c>
      <c r="V50" s="24">
        <v>17049.180327868853</v>
      </c>
      <c r="W50" s="1"/>
    </row>
    <row r="51" spans="2:23" x14ac:dyDescent="0.35">
      <c r="B51" s="83">
        <v>100021055</v>
      </c>
      <c r="C51" s="97" t="s">
        <v>54</v>
      </c>
      <c r="D51" s="98">
        <v>7790360965189</v>
      </c>
      <c r="E51" s="99">
        <v>2.04</v>
      </c>
      <c r="F51" s="100">
        <v>24</v>
      </c>
      <c r="G51" s="84">
        <v>17901.639344262298</v>
      </c>
      <c r="H51" s="102"/>
      <c r="I51" s="84">
        <f t="shared" si="0"/>
        <v>17901.639344262298</v>
      </c>
      <c r="J51" s="84">
        <f t="shared" si="1"/>
        <v>745.90163934426243</v>
      </c>
      <c r="K51" s="84">
        <f t="shared" si="2"/>
        <v>156.63934426229511</v>
      </c>
      <c r="L51" s="84">
        <f t="shared" si="3"/>
        <v>902.54098360655757</v>
      </c>
      <c r="M51" s="84">
        <f t="shared" si="30"/>
        <v>180.50819672131152</v>
      </c>
      <c r="N51" s="84">
        <f t="shared" si="5"/>
        <v>1083.0491803278692</v>
      </c>
      <c r="O51" s="84">
        <f t="shared" si="31"/>
        <v>379.06721311475417</v>
      </c>
      <c r="P51" s="101">
        <f t="shared" si="7"/>
        <v>1462.1163934426233</v>
      </c>
      <c r="R51" s="84">
        <v>15501.688125000002</v>
      </c>
      <c r="S51">
        <f t="shared" si="8"/>
        <v>0.15481870102855619</v>
      </c>
      <c r="U51" s="27">
        <v>100021013</v>
      </c>
      <c r="V51" s="24">
        <v>17049.180327868853</v>
      </c>
      <c r="W51" s="1"/>
    </row>
    <row r="52" spans="2:23" x14ac:dyDescent="0.35">
      <c r="B52" s="83">
        <v>100021015</v>
      </c>
      <c r="C52" s="97" t="s">
        <v>55</v>
      </c>
      <c r="D52" s="98">
        <v>7790360965202</v>
      </c>
      <c r="E52" s="99">
        <v>2.04</v>
      </c>
      <c r="F52" s="100">
        <v>24</v>
      </c>
      <c r="G52" s="84">
        <v>17901.639344262298</v>
      </c>
      <c r="H52" s="102"/>
      <c r="I52" s="84">
        <f t="shared" si="0"/>
        <v>17901.639344262298</v>
      </c>
      <c r="J52" s="84">
        <f t="shared" si="1"/>
        <v>745.90163934426243</v>
      </c>
      <c r="K52" s="84">
        <f t="shared" si="2"/>
        <v>156.63934426229511</v>
      </c>
      <c r="L52" s="84">
        <f t="shared" si="3"/>
        <v>902.54098360655757</v>
      </c>
      <c r="M52" s="84">
        <f t="shared" si="30"/>
        <v>180.50819672131152</v>
      </c>
      <c r="N52" s="84">
        <f t="shared" si="5"/>
        <v>1083.0491803278692</v>
      </c>
      <c r="O52" s="84">
        <f t="shared" si="31"/>
        <v>379.06721311475417</v>
      </c>
      <c r="P52" s="101">
        <f t="shared" si="7"/>
        <v>1462.1163934426233</v>
      </c>
      <c r="R52" s="84">
        <v>15501.688125000002</v>
      </c>
      <c r="S52">
        <f t="shared" si="8"/>
        <v>0.15481870102855619</v>
      </c>
      <c r="U52" s="27">
        <v>100021014</v>
      </c>
      <c r="V52" s="24">
        <v>17049.180327868853</v>
      </c>
      <c r="W52" s="1"/>
    </row>
    <row r="53" spans="2:23" x14ac:dyDescent="0.35">
      <c r="B53" s="83">
        <v>100021008</v>
      </c>
      <c r="C53" s="97" t="s">
        <v>56</v>
      </c>
      <c r="D53" s="98">
        <v>7790360720122</v>
      </c>
      <c r="E53" s="99">
        <v>2.16</v>
      </c>
      <c r="F53" s="100">
        <v>24</v>
      </c>
      <c r="G53" s="84">
        <v>12068.107619965038</v>
      </c>
      <c r="H53" s="102"/>
      <c r="I53" s="84">
        <f t="shared" si="0"/>
        <v>12068.107619965038</v>
      </c>
      <c r="J53" s="84">
        <f t="shared" si="1"/>
        <v>502.83781749854325</v>
      </c>
      <c r="K53" s="84">
        <f t="shared" si="2"/>
        <v>105.59594167469407</v>
      </c>
      <c r="L53" s="84">
        <f t="shared" si="3"/>
        <v>608.43375917323738</v>
      </c>
      <c r="M53" s="84">
        <f t="shared" si="30"/>
        <v>121.68675183464748</v>
      </c>
      <c r="N53" s="84">
        <f t="shared" si="5"/>
        <v>730.12051100788483</v>
      </c>
      <c r="O53" s="84">
        <f t="shared" si="31"/>
        <v>255.54217885275966</v>
      </c>
      <c r="P53" s="101">
        <f t="shared" si="7"/>
        <v>985.66268986064449</v>
      </c>
      <c r="R53" s="84">
        <v>11493.435828538131</v>
      </c>
      <c r="S53">
        <f t="shared" si="8"/>
        <v>0.05</v>
      </c>
      <c r="U53" s="27">
        <v>100021054</v>
      </c>
      <c r="V53" s="24">
        <v>17049.180327868853</v>
      </c>
      <c r="W53" s="1"/>
    </row>
    <row r="54" spans="2:23" x14ac:dyDescent="0.35">
      <c r="B54" s="83">
        <v>100021009</v>
      </c>
      <c r="C54" s="97" t="s">
        <v>57</v>
      </c>
      <c r="D54" s="98">
        <v>7790360965127</v>
      </c>
      <c r="E54" s="99">
        <v>2.16</v>
      </c>
      <c r="F54" s="100">
        <v>24</v>
      </c>
      <c r="G54" s="84">
        <v>12068.107619965038</v>
      </c>
      <c r="H54" s="102"/>
      <c r="I54" s="84">
        <f t="shared" si="0"/>
        <v>12068.107619965038</v>
      </c>
      <c r="J54" s="84">
        <f t="shared" si="1"/>
        <v>502.83781749854325</v>
      </c>
      <c r="K54" s="84">
        <f t="shared" si="2"/>
        <v>105.59594167469407</v>
      </c>
      <c r="L54" s="84">
        <f t="shared" si="3"/>
        <v>608.43375917323738</v>
      </c>
      <c r="M54" s="84">
        <f t="shared" si="30"/>
        <v>121.68675183464748</v>
      </c>
      <c r="N54" s="84">
        <f t="shared" si="5"/>
        <v>730.12051100788483</v>
      </c>
      <c r="O54" s="84">
        <f t="shared" si="31"/>
        <v>255.54217885275966</v>
      </c>
      <c r="P54" s="101">
        <f t="shared" si="7"/>
        <v>985.66268986064449</v>
      </c>
      <c r="R54" s="84">
        <v>11493.435828538131</v>
      </c>
      <c r="S54">
        <f t="shared" si="8"/>
        <v>0.05</v>
      </c>
      <c r="U54" s="27">
        <v>100021055</v>
      </c>
      <c r="V54" s="24">
        <v>17049.180327868853</v>
      </c>
      <c r="W54" s="1"/>
    </row>
    <row r="55" spans="2:23" x14ac:dyDescent="0.35">
      <c r="B55" s="27">
        <v>100021010</v>
      </c>
      <c r="C55" s="28" t="s">
        <v>58</v>
      </c>
      <c r="D55" s="21">
        <v>7790920008707</v>
      </c>
      <c r="E55" s="22">
        <v>2.16</v>
      </c>
      <c r="F55" s="23">
        <v>24</v>
      </c>
      <c r="G55" s="24">
        <v>12068.107619965038</v>
      </c>
      <c r="H55" s="23"/>
      <c r="I55" s="24">
        <f t="shared" si="0"/>
        <v>12068.107619965038</v>
      </c>
      <c r="J55" s="24">
        <f t="shared" si="1"/>
        <v>502.83781749854325</v>
      </c>
      <c r="K55" s="24">
        <f t="shared" si="2"/>
        <v>105.59594167469407</v>
      </c>
      <c r="L55" s="24">
        <f t="shared" si="3"/>
        <v>608.43375917323738</v>
      </c>
      <c r="M55" s="24">
        <f t="shared" si="30"/>
        <v>121.68675183464748</v>
      </c>
      <c r="N55" s="24">
        <f t="shared" si="5"/>
        <v>730.12051100788483</v>
      </c>
      <c r="O55" s="24">
        <f t="shared" si="31"/>
        <v>255.54217885275966</v>
      </c>
      <c r="P55" s="25">
        <f t="shared" si="7"/>
        <v>985.66268986064449</v>
      </c>
      <c r="R55" s="24">
        <v>11493.435828538131</v>
      </c>
      <c r="S55">
        <f t="shared" si="8"/>
        <v>0.05</v>
      </c>
      <c r="U55" s="27">
        <v>100021015</v>
      </c>
      <c r="V55" s="24">
        <v>17049.180327868853</v>
      </c>
      <c r="W55" s="1"/>
    </row>
    <row r="56" spans="2:23" x14ac:dyDescent="0.35">
      <c r="B56" s="27">
        <v>100021011</v>
      </c>
      <c r="C56" s="28" t="s">
        <v>59</v>
      </c>
      <c r="D56" s="21">
        <v>7790920008714</v>
      </c>
      <c r="E56" s="22">
        <v>2.16</v>
      </c>
      <c r="F56" s="23">
        <v>24</v>
      </c>
      <c r="G56" s="24">
        <v>12068.107619965038</v>
      </c>
      <c r="H56" s="23"/>
      <c r="I56" s="24">
        <f t="shared" si="0"/>
        <v>12068.107619965038</v>
      </c>
      <c r="J56" s="24">
        <f t="shared" si="1"/>
        <v>502.83781749854325</v>
      </c>
      <c r="K56" s="24">
        <f t="shared" si="2"/>
        <v>105.59594167469407</v>
      </c>
      <c r="L56" s="24">
        <f t="shared" si="3"/>
        <v>608.43375917323738</v>
      </c>
      <c r="M56" s="24">
        <f t="shared" si="30"/>
        <v>121.68675183464748</v>
      </c>
      <c r="N56" s="24">
        <f t="shared" si="5"/>
        <v>730.12051100788483</v>
      </c>
      <c r="O56" s="24">
        <f t="shared" si="31"/>
        <v>255.54217885275966</v>
      </c>
      <c r="P56" s="25">
        <f t="shared" si="7"/>
        <v>985.66268986064449</v>
      </c>
      <c r="R56" s="24">
        <v>11493.435828538131</v>
      </c>
      <c r="S56">
        <f t="shared" si="8"/>
        <v>0.05</v>
      </c>
      <c r="U56" s="27">
        <v>100021008</v>
      </c>
      <c r="V56" s="24">
        <v>12068.107619965038</v>
      </c>
      <c r="W56" s="1"/>
    </row>
    <row r="57" spans="2:23" x14ac:dyDescent="0.35">
      <c r="B57" s="32"/>
      <c r="C57" s="33"/>
      <c r="D57" s="34"/>
      <c r="E57" s="33"/>
      <c r="F57" s="35"/>
      <c r="G57" s="35" t="e">
        <v>#N/A</v>
      </c>
      <c r="H57" s="35"/>
      <c r="I57" s="35" t="e">
        <f t="shared" si="0"/>
        <v>#N/A</v>
      </c>
      <c r="J57" s="37" t="e">
        <f t="shared" si="1"/>
        <v>#N/A</v>
      </c>
      <c r="K57" s="38">
        <v>0.21</v>
      </c>
      <c r="L57" s="37"/>
      <c r="M57" s="38">
        <v>0.3</v>
      </c>
      <c r="N57" s="37"/>
      <c r="O57" s="38">
        <v>0.4</v>
      </c>
      <c r="P57" s="39"/>
      <c r="R57" s="35" t="e">
        <v>#N/A</v>
      </c>
      <c r="S57" t="e">
        <f t="shared" si="8"/>
        <v>#N/A</v>
      </c>
      <c r="U57" s="27">
        <v>100021009</v>
      </c>
      <c r="V57" s="24">
        <v>12068.107619965038</v>
      </c>
      <c r="W57" s="1"/>
    </row>
    <row r="58" spans="2:23" x14ac:dyDescent="0.35">
      <c r="B58" s="83">
        <v>100516217</v>
      </c>
      <c r="C58" s="97" t="s">
        <v>60</v>
      </c>
      <c r="D58" s="98">
        <v>7790360967824</v>
      </c>
      <c r="E58" s="99">
        <v>5.8</v>
      </c>
      <c r="F58" s="100">
        <v>20</v>
      </c>
      <c r="G58" s="84">
        <v>28055.91148082872</v>
      </c>
      <c r="H58" s="96"/>
      <c r="I58" s="84">
        <f t="shared" si="0"/>
        <v>28055.91148082872</v>
      </c>
      <c r="J58" s="84">
        <f t="shared" si="1"/>
        <v>1402.7955740414359</v>
      </c>
      <c r="K58" s="84">
        <f t="shared" si="2"/>
        <v>294.58707054870155</v>
      </c>
      <c r="L58" s="84">
        <f t="shared" si="3"/>
        <v>1697.3826445901375</v>
      </c>
      <c r="M58" s="84">
        <f t="shared" si="4"/>
        <v>509.21479337704125</v>
      </c>
      <c r="N58" s="84">
        <f t="shared" si="5"/>
        <v>2206.5974379671788</v>
      </c>
      <c r="O58" s="84">
        <f t="shared" si="6"/>
        <v>882.63897518687156</v>
      </c>
      <c r="P58" s="101">
        <f t="shared" si="7"/>
        <v>3089.2364131540503</v>
      </c>
      <c r="Q58">
        <v>0.1</v>
      </c>
      <c r="R58" s="24">
        <v>25250.320332745847</v>
      </c>
      <c r="S58">
        <f t="shared" si="8"/>
        <v>0.11111111111111115</v>
      </c>
      <c r="U58" s="27">
        <v>100021010</v>
      </c>
      <c r="V58" s="24">
        <v>12068.107619965038</v>
      </c>
      <c r="W58" s="245" t="s">
        <v>219</v>
      </c>
    </row>
    <row r="59" spans="2:23" x14ac:dyDescent="0.35">
      <c r="B59" s="83">
        <v>100516214</v>
      </c>
      <c r="C59" s="97" t="s">
        <v>61</v>
      </c>
      <c r="D59" s="98">
        <v>7790360967794</v>
      </c>
      <c r="E59" s="99">
        <v>7</v>
      </c>
      <c r="F59" s="100">
        <v>20</v>
      </c>
      <c r="G59" s="84">
        <v>40009.533662841808</v>
      </c>
      <c r="H59" s="96"/>
      <c r="I59" s="84">
        <f t="shared" si="0"/>
        <v>40009.533662841808</v>
      </c>
      <c r="J59" s="84">
        <f t="shared" si="1"/>
        <v>2000.4766831420905</v>
      </c>
      <c r="K59" s="84">
        <f t="shared" si="2"/>
        <v>420.10010345983898</v>
      </c>
      <c r="L59" s="84">
        <f t="shared" si="3"/>
        <v>2420.5767866019296</v>
      </c>
      <c r="M59" s="84">
        <f t="shared" si="4"/>
        <v>726.1730359805789</v>
      </c>
      <c r="N59" s="84">
        <f t="shared" si="5"/>
        <v>3146.7498225825084</v>
      </c>
      <c r="O59" s="84">
        <f t="shared" si="6"/>
        <v>1258.6999290330034</v>
      </c>
      <c r="P59" s="101">
        <f t="shared" si="7"/>
        <v>4405.4497516155116</v>
      </c>
      <c r="Q59">
        <v>0.05</v>
      </c>
      <c r="R59" s="84">
        <v>40045.574680053855</v>
      </c>
      <c r="S59">
        <f t="shared" si="8"/>
        <v>-8.9999999999994902E-4</v>
      </c>
      <c r="U59" s="27">
        <v>100021011</v>
      </c>
      <c r="V59" s="24">
        <v>12068.107619965038</v>
      </c>
      <c r="W59" s="245" t="s">
        <v>220</v>
      </c>
    </row>
    <row r="60" spans="2:23" x14ac:dyDescent="0.35">
      <c r="B60" s="83">
        <v>100516215</v>
      </c>
      <c r="C60" s="97" t="s">
        <v>62</v>
      </c>
      <c r="D60" s="98">
        <v>7790360967800</v>
      </c>
      <c r="E60" s="99">
        <v>7</v>
      </c>
      <c r="F60" s="100">
        <v>20</v>
      </c>
      <c r="G60" s="84">
        <v>40009.533662841808</v>
      </c>
      <c r="H60" s="96"/>
      <c r="I60" s="84">
        <f t="shared" si="0"/>
        <v>40009.533662841808</v>
      </c>
      <c r="J60" s="84">
        <f t="shared" si="1"/>
        <v>2000.4766831420905</v>
      </c>
      <c r="K60" s="84">
        <f t="shared" si="2"/>
        <v>420.10010345983898</v>
      </c>
      <c r="L60" s="84">
        <f t="shared" si="3"/>
        <v>2420.5767866019296</v>
      </c>
      <c r="M60" s="84">
        <f t="shared" si="4"/>
        <v>726.1730359805789</v>
      </c>
      <c r="N60" s="84">
        <f t="shared" si="5"/>
        <v>3146.7498225825084</v>
      </c>
      <c r="O60" s="84">
        <f t="shared" si="6"/>
        <v>1258.6999290330034</v>
      </c>
      <c r="P60" s="101">
        <f t="shared" si="7"/>
        <v>4405.4497516155116</v>
      </c>
      <c r="Q60">
        <v>0.05</v>
      </c>
      <c r="R60" s="84">
        <v>40045.574680053855</v>
      </c>
      <c r="S60">
        <f t="shared" si="8"/>
        <v>-8.9999999999994902E-4</v>
      </c>
      <c r="U60" s="32"/>
      <c r="V60" s="35" t="e">
        <v>#VALUE!</v>
      </c>
      <c r="W60" s="245" t="s">
        <v>220</v>
      </c>
    </row>
    <row r="61" spans="2:23" x14ac:dyDescent="0.35">
      <c r="B61" s="83">
        <v>100516216</v>
      </c>
      <c r="C61" s="97" t="s">
        <v>63</v>
      </c>
      <c r="D61" s="98">
        <v>7790360967817</v>
      </c>
      <c r="E61" s="99">
        <v>7</v>
      </c>
      <c r="F61" s="100">
        <v>20</v>
      </c>
      <c r="G61" s="84">
        <v>40009.533662841808</v>
      </c>
      <c r="H61" s="96"/>
      <c r="I61" s="84">
        <f t="shared" si="0"/>
        <v>40009.533662841808</v>
      </c>
      <c r="J61" s="84">
        <f t="shared" si="1"/>
        <v>2000.4766831420905</v>
      </c>
      <c r="K61" s="84">
        <f t="shared" si="2"/>
        <v>420.10010345983898</v>
      </c>
      <c r="L61" s="84">
        <f t="shared" si="3"/>
        <v>2420.5767866019296</v>
      </c>
      <c r="M61" s="84">
        <f t="shared" si="4"/>
        <v>726.1730359805789</v>
      </c>
      <c r="N61" s="84">
        <f t="shared" si="5"/>
        <v>3146.7498225825084</v>
      </c>
      <c r="O61" s="84">
        <f t="shared" si="6"/>
        <v>1258.6999290330034</v>
      </c>
      <c r="P61" s="101">
        <f t="shared" si="7"/>
        <v>4405.4497516155116</v>
      </c>
      <c r="Q61">
        <v>0.05</v>
      </c>
      <c r="R61" s="84">
        <v>40045.574680053855</v>
      </c>
      <c r="S61">
        <f t="shared" si="8"/>
        <v>-8.9999999999994902E-4</v>
      </c>
      <c r="U61" s="27">
        <v>100516217</v>
      </c>
      <c r="V61" s="24">
        <v>28055.91148082872</v>
      </c>
      <c r="W61" s="245" t="s">
        <v>220</v>
      </c>
    </row>
    <row r="62" spans="2:23" x14ac:dyDescent="0.35">
      <c r="B62" s="32"/>
      <c r="C62" s="33"/>
      <c r="D62" s="34"/>
      <c r="E62" s="33"/>
      <c r="F62" s="35"/>
      <c r="G62" s="35" t="e">
        <v>#N/A</v>
      </c>
      <c r="H62" s="132"/>
      <c r="I62" s="35" t="e">
        <f t="shared" si="0"/>
        <v>#N/A</v>
      </c>
      <c r="J62" s="37" t="e">
        <f t="shared" si="1"/>
        <v>#N/A</v>
      </c>
      <c r="K62" s="38">
        <v>0.21</v>
      </c>
      <c r="L62" s="37"/>
      <c r="M62" s="38">
        <v>0.3</v>
      </c>
      <c r="N62" s="37"/>
      <c r="O62" s="38">
        <v>0.4</v>
      </c>
      <c r="P62" s="39"/>
      <c r="R62" s="35" t="e">
        <v>#N/A</v>
      </c>
      <c r="S62" t="e">
        <f t="shared" si="8"/>
        <v>#N/A</v>
      </c>
      <c r="U62" s="27">
        <v>100516214</v>
      </c>
      <c r="V62" s="24">
        <v>38844.207439652244</v>
      </c>
      <c r="W62" s="1"/>
    </row>
    <row r="63" spans="2:23" x14ac:dyDescent="0.35">
      <c r="B63" s="27">
        <v>100021704</v>
      </c>
      <c r="C63" s="28" t="s">
        <v>64</v>
      </c>
      <c r="D63" s="21">
        <v>7790360023902</v>
      </c>
      <c r="E63" s="22">
        <f>12*0.38</f>
        <v>4.5600000000000005</v>
      </c>
      <c r="F63" s="23">
        <v>12</v>
      </c>
      <c r="G63" s="24">
        <v>41677.055977490483</v>
      </c>
      <c r="H63" s="133"/>
      <c r="I63" s="24">
        <f t="shared" si="0"/>
        <v>41677.055977490483</v>
      </c>
      <c r="J63" s="24">
        <f t="shared" si="1"/>
        <v>3473.0879981242069</v>
      </c>
      <c r="K63" s="24">
        <f t="shared" si="2"/>
        <v>729.3484796060834</v>
      </c>
      <c r="L63" s="24">
        <f t="shared" si="3"/>
        <v>4202.4364777302908</v>
      </c>
      <c r="M63" s="24">
        <f t="shared" si="4"/>
        <v>1260.7309433190871</v>
      </c>
      <c r="N63" s="24">
        <f t="shared" si="5"/>
        <v>5463.1674210493784</v>
      </c>
      <c r="O63" s="24">
        <f t="shared" si="6"/>
        <v>2185.2669684197513</v>
      </c>
      <c r="P63" s="25">
        <f t="shared" si="7"/>
        <v>7648.4343894691301</v>
      </c>
      <c r="R63" s="24">
        <v>39692.434264276642</v>
      </c>
      <c r="S63">
        <f t="shared" si="8"/>
        <v>5.0000000000000218E-2</v>
      </c>
      <c r="U63" s="27">
        <v>100516215</v>
      </c>
      <c r="V63" s="24">
        <v>38844.207439652244</v>
      </c>
      <c r="W63" s="1"/>
    </row>
    <row r="64" spans="2:23" x14ac:dyDescent="0.35">
      <c r="B64" s="27">
        <v>100021705</v>
      </c>
      <c r="C64" s="28" t="s">
        <v>65</v>
      </c>
      <c r="D64" s="21">
        <v>7790360024336</v>
      </c>
      <c r="E64" s="22">
        <f>12*0.38</f>
        <v>4.5600000000000005</v>
      </c>
      <c r="F64" s="23">
        <v>12</v>
      </c>
      <c r="G64" s="24">
        <v>37506.559629558447</v>
      </c>
      <c r="H64" s="133"/>
      <c r="I64" s="24">
        <f t="shared" si="0"/>
        <v>37506.559629558447</v>
      </c>
      <c r="J64" s="24">
        <f t="shared" si="1"/>
        <v>3125.5466357965374</v>
      </c>
      <c r="K64" s="24">
        <f t="shared" si="2"/>
        <v>656.3647935172728</v>
      </c>
      <c r="L64" s="24">
        <f t="shared" si="3"/>
        <v>3781.91142931381</v>
      </c>
      <c r="M64" s="24">
        <f t="shared" si="4"/>
        <v>1134.573428794143</v>
      </c>
      <c r="N64" s="24">
        <f t="shared" si="5"/>
        <v>4916.4848581079532</v>
      </c>
      <c r="O64" s="24">
        <f t="shared" si="6"/>
        <v>1966.5939432431815</v>
      </c>
      <c r="P64" s="25">
        <f t="shared" si="7"/>
        <v>6883.0788013511346</v>
      </c>
      <c r="R64" s="24" t="e">
        <v>#N/A</v>
      </c>
      <c r="S64" t="e">
        <f t="shared" si="8"/>
        <v>#N/A</v>
      </c>
      <c r="U64" s="27">
        <v>100516216</v>
      </c>
      <c r="V64" s="24">
        <v>38844.207439652244</v>
      </c>
      <c r="W64" s="1"/>
    </row>
    <row r="65" spans="2:23" x14ac:dyDescent="0.35">
      <c r="B65" s="27">
        <v>100021709</v>
      </c>
      <c r="C65" s="28" t="s">
        <v>66</v>
      </c>
      <c r="D65" s="21">
        <v>7790360024701</v>
      </c>
      <c r="E65" s="22">
        <v>7.6</v>
      </c>
      <c r="F65" s="23">
        <v>10</v>
      </c>
      <c r="G65" s="24">
        <v>63224.991118784019</v>
      </c>
      <c r="H65" s="134"/>
      <c r="I65" s="24">
        <f t="shared" si="0"/>
        <v>63224.991118784019</v>
      </c>
      <c r="J65" s="24">
        <f t="shared" si="1"/>
        <v>6322.4991118784019</v>
      </c>
      <c r="K65" s="24">
        <f t="shared" si="2"/>
        <v>1327.7248134944643</v>
      </c>
      <c r="L65" s="24">
        <f t="shared" si="3"/>
        <v>7650.2239253728658</v>
      </c>
      <c r="M65" s="24">
        <f t="shared" si="4"/>
        <v>2295.0671776118597</v>
      </c>
      <c r="N65" s="24">
        <f t="shared" si="5"/>
        <v>9945.2911029847255</v>
      </c>
      <c r="O65" s="24">
        <f t="shared" si="6"/>
        <v>3978.1164411938903</v>
      </c>
      <c r="P65" s="25">
        <f t="shared" si="7"/>
        <v>13923.407544178615</v>
      </c>
      <c r="R65" s="84">
        <v>60214.277255984773</v>
      </c>
      <c r="S65">
        <f t="shared" si="8"/>
        <v>5.0000000000000128E-2</v>
      </c>
      <c r="U65" s="32"/>
      <c r="V65" s="35" t="e">
        <v>#VALUE!</v>
      </c>
      <c r="W65" s="1"/>
    </row>
    <row r="66" spans="2:23" x14ac:dyDescent="0.35">
      <c r="B66" s="83">
        <v>100521357</v>
      </c>
      <c r="C66" s="97" t="s">
        <v>120</v>
      </c>
      <c r="D66" s="98"/>
      <c r="E66" s="99">
        <v>4.5599999999999996</v>
      </c>
      <c r="F66" s="100">
        <v>12</v>
      </c>
      <c r="G66" s="84">
        <v>51025.389030000028</v>
      </c>
      <c r="H66" s="116">
        <v>0.4</v>
      </c>
      <c r="I66" s="84">
        <f t="shared" si="0"/>
        <v>30615.233418000014</v>
      </c>
      <c r="J66" s="84">
        <f t="shared" si="1"/>
        <v>2551.2694515000012</v>
      </c>
      <c r="K66" s="84">
        <f t="shared" si="2"/>
        <v>535.76658481500021</v>
      </c>
      <c r="L66" s="84">
        <f t="shared" si="3"/>
        <v>3087.0360363150012</v>
      </c>
      <c r="M66" s="84">
        <f t="shared" si="4"/>
        <v>926.11081089450033</v>
      </c>
      <c r="N66" s="84">
        <f t="shared" si="5"/>
        <v>4013.1468472095016</v>
      </c>
      <c r="O66" s="84">
        <f t="shared" si="6"/>
        <v>1605.2587388838008</v>
      </c>
      <c r="P66" s="101">
        <f t="shared" si="7"/>
        <v>5618.4055860933022</v>
      </c>
      <c r="Q66">
        <v>0.33</v>
      </c>
      <c r="R66" s="46">
        <v>32559.057762000011</v>
      </c>
      <c r="U66" s="27">
        <v>100021704</v>
      </c>
      <c r="V66" s="24">
        <v>39692.434264276642</v>
      </c>
      <c r="W66" s="245" t="s">
        <v>179</v>
      </c>
    </row>
    <row r="67" spans="2:23" x14ac:dyDescent="0.35">
      <c r="B67" s="83">
        <v>100521358</v>
      </c>
      <c r="C67" s="97" t="s">
        <v>127</v>
      </c>
      <c r="D67" s="98">
        <v>7790360982025</v>
      </c>
      <c r="E67" s="99">
        <v>7.6</v>
      </c>
      <c r="F67" s="100">
        <v>10</v>
      </c>
      <c r="G67" s="84" t="e">
        <v>#N/A</v>
      </c>
      <c r="H67" s="116">
        <v>0.4</v>
      </c>
      <c r="I67" s="84" t="e">
        <f t="shared" ref="I67" si="39">+G67*(1-H67)</f>
        <v>#N/A</v>
      </c>
      <c r="J67" s="84" t="e">
        <f t="shared" ref="J67" si="40">+I67/F67</f>
        <v>#N/A</v>
      </c>
      <c r="K67" s="84" t="e">
        <f t="shared" ref="K67" si="41">+J67*K$3</f>
        <v>#N/A</v>
      </c>
      <c r="L67" s="84" t="e">
        <f t="shared" ref="L67" si="42">+J67+K67</f>
        <v>#N/A</v>
      </c>
      <c r="M67" s="84" t="e">
        <f t="shared" ref="M67" si="43">+L67*M$3</f>
        <v>#N/A</v>
      </c>
      <c r="N67" s="84" t="e">
        <f t="shared" ref="N67" si="44">+L67+M67</f>
        <v>#N/A</v>
      </c>
      <c r="O67" s="84" t="e">
        <f t="shared" ref="O67" si="45">+N67*O$3</f>
        <v>#N/A</v>
      </c>
      <c r="P67" s="101" t="e">
        <f t="shared" ref="P67" si="46">+N67+O67</f>
        <v>#N/A</v>
      </c>
      <c r="R67" s="46">
        <v>72893.412900000025</v>
      </c>
      <c r="U67" s="27">
        <v>100021705</v>
      </c>
      <c r="V67" s="24">
        <v>35720.532980531854</v>
      </c>
      <c r="W67" s="245" t="s">
        <v>178</v>
      </c>
    </row>
    <row r="68" spans="2:23" x14ac:dyDescent="0.35">
      <c r="B68" s="27">
        <v>100522130</v>
      </c>
      <c r="C68" s="28" t="s">
        <v>121</v>
      </c>
      <c r="D68" s="21"/>
      <c r="E68" s="22">
        <v>4.8</v>
      </c>
      <c r="F68" s="23">
        <v>12</v>
      </c>
      <c r="G68" s="24">
        <v>42065.200628884144</v>
      </c>
      <c r="H68" s="134">
        <v>0.35</v>
      </c>
      <c r="I68" s="24">
        <f t="shared" si="0"/>
        <v>27342.380408774694</v>
      </c>
      <c r="J68" s="24">
        <f t="shared" si="1"/>
        <v>2278.5317007312246</v>
      </c>
      <c r="K68" s="24">
        <f t="shared" si="2"/>
        <v>478.49165715355718</v>
      </c>
      <c r="L68" s="24">
        <f t="shared" si="3"/>
        <v>2757.0233578847819</v>
      </c>
      <c r="M68" s="24">
        <f t="shared" si="4"/>
        <v>827.10700736543458</v>
      </c>
      <c r="N68" s="24">
        <f t="shared" si="5"/>
        <v>3584.1303652502165</v>
      </c>
      <c r="O68" s="24">
        <f t="shared" si="6"/>
        <v>1433.6521461000866</v>
      </c>
      <c r="P68" s="25">
        <f t="shared" si="7"/>
        <v>5017.7825113503031</v>
      </c>
      <c r="R68" s="24">
        <v>38154.376987650016</v>
      </c>
      <c r="U68" s="27">
        <v>100021707</v>
      </c>
      <c r="V68" s="24">
        <v>0</v>
      </c>
      <c r="W68" s="245" t="s">
        <v>179</v>
      </c>
    </row>
    <row r="69" spans="2:23" x14ac:dyDescent="0.35">
      <c r="B69" s="41">
        <v>100021725</v>
      </c>
      <c r="C69" s="42" t="s">
        <v>67</v>
      </c>
      <c r="D69" s="43">
        <v>7790360027009</v>
      </c>
      <c r="E69" s="44">
        <v>6</v>
      </c>
      <c r="F69" s="45">
        <v>4</v>
      </c>
      <c r="G69" s="46">
        <v>31548.733471114156</v>
      </c>
      <c r="H69" s="135"/>
      <c r="I69" s="46">
        <f t="shared" si="0"/>
        <v>31548.733471114156</v>
      </c>
      <c r="J69" s="46">
        <f t="shared" si="1"/>
        <v>7887.1833677785389</v>
      </c>
      <c r="K69" s="46">
        <f t="shared" si="2"/>
        <v>1656.3085072334932</v>
      </c>
      <c r="L69" s="46">
        <f t="shared" si="3"/>
        <v>9543.4918750120323</v>
      </c>
      <c r="M69" s="46">
        <f t="shared" si="4"/>
        <v>2863.0475625036097</v>
      </c>
      <c r="N69" s="46">
        <f t="shared" si="5"/>
        <v>12406.539437515643</v>
      </c>
      <c r="O69" s="46">
        <f t="shared" si="6"/>
        <v>4962.6157750062575</v>
      </c>
      <c r="P69" s="47">
        <f t="shared" si="7"/>
        <v>17369.155212521902</v>
      </c>
      <c r="R69" s="46">
        <v>30046.412829632529</v>
      </c>
      <c r="S69">
        <f t="shared" si="8"/>
        <v>5.000000000000001E-2</v>
      </c>
      <c r="U69" s="27">
        <v>100021709</v>
      </c>
      <c r="V69" s="24">
        <v>60214.277255984773</v>
      </c>
      <c r="W69" s="248"/>
    </row>
    <row r="70" spans="2:23" x14ac:dyDescent="0.35">
      <c r="B70" s="27">
        <v>100517055</v>
      </c>
      <c r="C70" s="28" t="s">
        <v>68</v>
      </c>
      <c r="D70" s="21">
        <v>7790360971135</v>
      </c>
      <c r="E70" s="22">
        <v>3.12</v>
      </c>
      <c r="F70" s="23">
        <v>12</v>
      </c>
      <c r="G70" s="24">
        <v>31433.775725021584</v>
      </c>
      <c r="H70" s="133"/>
      <c r="I70" s="24">
        <f t="shared" si="0"/>
        <v>31433.775725021584</v>
      </c>
      <c r="J70" s="24">
        <f t="shared" si="1"/>
        <v>2619.4813104184655</v>
      </c>
      <c r="K70" s="24">
        <f t="shared" si="2"/>
        <v>550.09107518787778</v>
      </c>
      <c r="L70" s="24">
        <f t="shared" si="3"/>
        <v>3169.5723856063432</v>
      </c>
      <c r="M70" s="24">
        <f t="shared" si="4"/>
        <v>950.87171568190297</v>
      </c>
      <c r="N70" s="24">
        <f t="shared" si="5"/>
        <v>4120.4441012882462</v>
      </c>
      <c r="O70" s="24">
        <f t="shared" si="6"/>
        <v>1648.1776405152987</v>
      </c>
      <c r="P70" s="25">
        <f t="shared" si="7"/>
        <v>5768.6217418035449</v>
      </c>
      <c r="R70" s="24">
        <v>29936.929261925314</v>
      </c>
      <c r="S70">
        <f t="shared" si="8"/>
        <v>5.0000000000000142E-2</v>
      </c>
      <c r="U70" s="27">
        <v>100521357</v>
      </c>
      <c r="V70" s="24">
        <v>48595.608600000021</v>
      </c>
      <c r="W70" s="248"/>
    </row>
    <row r="71" spans="2:23" x14ac:dyDescent="0.35">
      <c r="B71" s="27">
        <v>100517186</v>
      </c>
      <c r="C71" s="28" t="s">
        <v>69</v>
      </c>
      <c r="D71" s="21">
        <v>7790360971395</v>
      </c>
      <c r="E71" s="22">
        <v>8</v>
      </c>
      <c r="F71" s="23">
        <v>8</v>
      </c>
      <c r="G71" s="24">
        <v>79829.126717255291</v>
      </c>
      <c r="H71" s="133">
        <v>0.35</v>
      </c>
      <c r="I71" s="24">
        <f t="shared" si="0"/>
        <v>51888.932366215944</v>
      </c>
      <c r="J71" s="24">
        <f t="shared" si="1"/>
        <v>6486.116545776993</v>
      </c>
      <c r="K71" s="24">
        <f t="shared" si="2"/>
        <v>1362.0844746131684</v>
      </c>
      <c r="L71" s="24">
        <f t="shared" si="3"/>
        <v>7848.2010203901609</v>
      </c>
      <c r="M71" s="24">
        <f t="shared" si="4"/>
        <v>2354.4603061170483</v>
      </c>
      <c r="N71" s="24">
        <f t="shared" si="5"/>
        <v>10202.661326507208</v>
      </c>
      <c r="O71" s="24">
        <f t="shared" si="6"/>
        <v>4081.0645306028837</v>
      </c>
      <c r="P71" s="25">
        <f t="shared" si="7"/>
        <v>14283.725857110092</v>
      </c>
      <c r="R71" s="24">
        <v>76027.739730719317</v>
      </c>
      <c r="S71">
        <f t="shared" si="8"/>
        <v>-0.31749999999999984</v>
      </c>
      <c r="U71" s="27">
        <v>100521358</v>
      </c>
      <c r="V71" s="24">
        <v>72893.412900000025</v>
      </c>
      <c r="W71" s="245" t="s">
        <v>180</v>
      </c>
    </row>
    <row r="72" spans="2:23" x14ac:dyDescent="0.35">
      <c r="B72" s="124">
        <v>100521663</v>
      </c>
      <c r="C72" s="125" t="s">
        <v>122</v>
      </c>
      <c r="D72" s="98"/>
      <c r="E72" s="99">
        <v>4.8</v>
      </c>
      <c r="F72" s="100">
        <v>12</v>
      </c>
      <c r="G72" s="84">
        <v>46138.072453861932</v>
      </c>
      <c r="H72" s="116">
        <v>0.3</v>
      </c>
      <c r="I72" s="84">
        <f t="shared" si="0"/>
        <v>32296.650717703349</v>
      </c>
      <c r="J72" s="84">
        <f t="shared" si="1"/>
        <v>2691.3875598086124</v>
      </c>
      <c r="K72" s="84">
        <f t="shared" si="2"/>
        <v>565.19138755980862</v>
      </c>
      <c r="L72" s="84">
        <f t="shared" si="3"/>
        <v>3256.5789473684208</v>
      </c>
      <c r="M72" s="84">
        <f t="shared" si="4"/>
        <v>976.97368421052624</v>
      </c>
      <c r="N72" s="84">
        <f t="shared" si="5"/>
        <v>4233.5526315789466</v>
      </c>
      <c r="O72" s="84">
        <f t="shared" si="6"/>
        <v>1693.4210526315787</v>
      </c>
      <c r="P72" s="101">
        <f t="shared" si="7"/>
        <v>5926.9736842105249</v>
      </c>
      <c r="Q72">
        <v>0.33</v>
      </c>
      <c r="R72" s="46">
        <v>29440.484327702372</v>
      </c>
      <c r="U72" s="27">
        <v>100522130</v>
      </c>
      <c r="V72" s="24">
        <v>40062.095837032517</v>
      </c>
      <c r="W72" s="245" t="s">
        <v>179</v>
      </c>
    </row>
    <row r="73" spans="2:23" x14ac:dyDescent="0.35">
      <c r="B73" s="41">
        <v>100021728</v>
      </c>
      <c r="C73" s="42" t="s">
        <v>70</v>
      </c>
      <c r="D73" s="43">
        <v>7790360967558</v>
      </c>
      <c r="E73" s="44">
        <v>3.84</v>
      </c>
      <c r="F73" s="45">
        <v>12</v>
      </c>
      <c r="G73" s="46">
        <v>43713.394208430502</v>
      </c>
      <c r="H73" s="135"/>
      <c r="I73" s="46">
        <f t="shared" si="0"/>
        <v>43713.394208430502</v>
      </c>
      <c r="J73" s="46">
        <f t="shared" si="1"/>
        <v>3642.782850702542</v>
      </c>
      <c r="K73" s="46">
        <f t="shared" si="2"/>
        <v>764.98439864753379</v>
      </c>
      <c r="L73" s="46">
        <f t="shared" si="3"/>
        <v>4407.7672493500759</v>
      </c>
      <c r="M73" s="46">
        <f t="shared" si="4"/>
        <v>1322.3301748050228</v>
      </c>
      <c r="N73" s="46">
        <f t="shared" si="5"/>
        <v>5730.0974241550985</v>
      </c>
      <c r="O73" s="46">
        <f t="shared" si="6"/>
        <v>2292.0389696620396</v>
      </c>
      <c r="P73" s="47">
        <f t="shared" si="7"/>
        <v>8022.136393817138</v>
      </c>
      <c r="R73" s="46">
        <v>41631.804008029045</v>
      </c>
      <c r="S73">
        <f t="shared" si="8"/>
        <v>5.0000000000000114E-2</v>
      </c>
      <c r="U73" s="41">
        <v>100021725</v>
      </c>
      <c r="V73" s="46">
        <v>30046.412829632529</v>
      </c>
      <c r="W73" s="1"/>
    </row>
    <row r="74" spans="2:23" x14ac:dyDescent="0.35">
      <c r="B74" s="41">
        <v>100517679</v>
      </c>
      <c r="C74" s="42" t="s">
        <v>71</v>
      </c>
      <c r="D74" s="43"/>
      <c r="E74" s="44">
        <v>7.68</v>
      </c>
      <c r="F74" s="45">
        <v>8</v>
      </c>
      <c r="G74" s="46">
        <v>41384.271914335841</v>
      </c>
      <c r="H74" s="135"/>
      <c r="I74" s="46">
        <f t="shared" si="0"/>
        <v>41384.271914335841</v>
      </c>
      <c r="J74" s="46">
        <f t="shared" si="1"/>
        <v>5173.0339892919801</v>
      </c>
      <c r="K74" s="46">
        <f t="shared" si="2"/>
        <v>1086.3371377513158</v>
      </c>
      <c r="L74" s="46">
        <f t="shared" si="3"/>
        <v>6259.3711270432959</v>
      </c>
      <c r="M74" s="46">
        <f t="shared" si="4"/>
        <v>1877.8113381129888</v>
      </c>
      <c r="N74" s="46">
        <f t="shared" si="5"/>
        <v>8137.1824651562847</v>
      </c>
      <c r="O74" s="46">
        <f t="shared" si="6"/>
        <v>3254.872986062514</v>
      </c>
      <c r="P74" s="47">
        <f t="shared" si="7"/>
        <v>11392.055451218799</v>
      </c>
      <c r="R74" s="46">
        <v>39413.592299367461</v>
      </c>
      <c r="S74">
        <f t="shared" si="8"/>
        <v>5.0000000000000169E-2</v>
      </c>
      <c r="U74" s="27">
        <v>100517055</v>
      </c>
      <c r="V74" s="24">
        <v>29936.929261925314</v>
      </c>
      <c r="W74" s="1"/>
    </row>
    <row r="75" spans="2:23" ht="15" thickBot="1" x14ac:dyDescent="0.4">
      <c r="B75" s="32"/>
      <c r="C75" s="33"/>
      <c r="D75" s="34"/>
      <c r="E75" s="33"/>
      <c r="F75" s="35"/>
      <c r="G75" s="36" t="e">
        <v>#N/A</v>
      </c>
      <c r="H75" s="132"/>
      <c r="I75" s="36" t="e">
        <f t="shared" si="0"/>
        <v>#N/A</v>
      </c>
      <c r="J75" s="37" t="e">
        <f t="shared" si="1"/>
        <v>#N/A</v>
      </c>
      <c r="K75" s="38">
        <v>0.21</v>
      </c>
      <c r="L75" s="37"/>
      <c r="M75" s="38">
        <v>0.3</v>
      </c>
      <c r="N75" s="37"/>
      <c r="O75" s="38">
        <v>0.4</v>
      </c>
      <c r="P75" s="39"/>
      <c r="R75" s="36" t="e">
        <v>#N/A</v>
      </c>
      <c r="S75" t="e">
        <f t="shared" si="8"/>
        <v>#N/A</v>
      </c>
      <c r="U75" s="27">
        <v>100517186</v>
      </c>
      <c r="V75" s="24">
        <v>76027.739730719317</v>
      </c>
      <c r="W75" s="1"/>
    </row>
    <row r="76" spans="2:23" ht="15" hidden="1" thickBot="1" x14ac:dyDescent="0.4">
      <c r="B76" s="27">
        <v>100516219</v>
      </c>
      <c r="C76" s="28" t="s">
        <v>72</v>
      </c>
      <c r="D76" s="48">
        <v>7790360967770</v>
      </c>
      <c r="E76" s="22">
        <v>10</v>
      </c>
      <c r="F76" s="23">
        <v>25</v>
      </c>
      <c r="G76" s="24">
        <v>18259.399891781304</v>
      </c>
      <c r="H76" s="133"/>
      <c r="I76" s="24">
        <f t="shared" si="0"/>
        <v>18259.399891781304</v>
      </c>
      <c r="J76" s="24">
        <f t="shared" si="1"/>
        <v>730.37599567125221</v>
      </c>
      <c r="K76" s="24">
        <f t="shared" si="2"/>
        <v>153.37895909096295</v>
      </c>
      <c r="L76" s="24">
        <f t="shared" si="3"/>
        <v>883.75495476221522</v>
      </c>
      <c r="M76" s="24">
        <f t="shared" si="4"/>
        <v>265.12648642866458</v>
      </c>
      <c r="N76" s="24">
        <f t="shared" si="5"/>
        <v>1148.8814411908797</v>
      </c>
      <c r="O76" s="24">
        <f t="shared" si="6"/>
        <v>459.55257647635193</v>
      </c>
      <c r="P76" s="25">
        <f t="shared" si="7"/>
        <v>1608.4340176672317</v>
      </c>
      <c r="R76" s="24">
        <v>18259.399891781304</v>
      </c>
      <c r="S76">
        <f t="shared" si="8"/>
        <v>0</v>
      </c>
      <c r="U76" s="27">
        <v>100521663</v>
      </c>
      <c r="V76" s="24">
        <v>43941.02138463041</v>
      </c>
      <c r="W76" s="1"/>
    </row>
    <row r="77" spans="2:23" ht="15" hidden="1" thickBot="1" x14ac:dyDescent="0.4">
      <c r="B77" s="27">
        <v>100516220</v>
      </c>
      <c r="C77" s="28" t="s">
        <v>73</v>
      </c>
      <c r="D77" s="48">
        <v>7790360967787</v>
      </c>
      <c r="E77" s="22">
        <v>12</v>
      </c>
      <c r="F77" s="23">
        <v>6</v>
      </c>
      <c r="G77" s="24">
        <v>19613.921820029205</v>
      </c>
      <c r="H77" s="133"/>
      <c r="I77" s="24">
        <f t="shared" si="0"/>
        <v>19613.921820029205</v>
      </c>
      <c r="J77" s="24">
        <f t="shared" si="1"/>
        <v>3268.9869700048675</v>
      </c>
      <c r="K77" s="24">
        <f t="shared" si="2"/>
        <v>686.48726370102213</v>
      </c>
      <c r="L77" s="24">
        <f t="shared" si="3"/>
        <v>3955.4742337058897</v>
      </c>
      <c r="M77" s="24">
        <f t="shared" si="4"/>
        <v>1186.6422701117669</v>
      </c>
      <c r="N77" s="24">
        <f t="shared" si="5"/>
        <v>5142.1165038176568</v>
      </c>
      <c r="O77" s="24">
        <f t="shared" si="6"/>
        <v>2056.8466015270628</v>
      </c>
      <c r="P77" s="25">
        <f t="shared" si="7"/>
        <v>7198.9631053447192</v>
      </c>
      <c r="R77" s="24">
        <v>19613.921820029205</v>
      </c>
      <c r="S77">
        <f t="shared" si="8"/>
        <v>0</v>
      </c>
      <c r="U77" s="41">
        <v>100021728</v>
      </c>
      <c r="V77" s="46">
        <v>41631.804008029045</v>
      </c>
      <c r="W77" s="1"/>
    </row>
    <row r="78" spans="2:23" ht="15" hidden="1" thickBot="1" x14ac:dyDescent="0.4">
      <c r="B78" s="86"/>
      <c r="C78" s="87"/>
      <c r="D78" s="88"/>
      <c r="E78" s="87"/>
      <c r="F78" s="89"/>
      <c r="G78" s="90" t="e">
        <v>#N/A</v>
      </c>
      <c r="H78" s="136"/>
      <c r="I78" s="90" t="e">
        <f t="shared" ref="I78:I106" si="47">+G78*(1-H78)</f>
        <v>#N/A</v>
      </c>
      <c r="J78" s="37" t="e">
        <f t="shared" ref="J78:J84" si="48">+I78/F78</f>
        <v>#N/A</v>
      </c>
      <c r="K78" s="38"/>
      <c r="L78" s="37"/>
      <c r="M78" s="38"/>
      <c r="N78" s="37"/>
      <c r="O78" s="38"/>
      <c r="P78" s="39"/>
      <c r="R78" s="90" t="e">
        <v>#N/A</v>
      </c>
      <c r="S78" t="e">
        <f t="shared" ref="S78:S106" si="49">+(I78-R78)/R78</f>
        <v>#N/A</v>
      </c>
      <c r="U78" s="41">
        <v>100517679</v>
      </c>
      <c r="V78" s="46">
        <v>39413.592299367461</v>
      </c>
      <c r="W78" s="1"/>
    </row>
    <row r="79" spans="2:23" x14ac:dyDescent="0.35">
      <c r="B79" s="85">
        <v>100518158</v>
      </c>
      <c r="C79" s="28" t="s">
        <v>74</v>
      </c>
      <c r="D79" s="63">
        <v>7790360974280</v>
      </c>
      <c r="E79" s="22">
        <v>12</v>
      </c>
      <c r="F79" s="23">
        <v>24</v>
      </c>
      <c r="G79" s="24">
        <v>79203.691045796324</v>
      </c>
      <c r="H79" s="137"/>
      <c r="I79" s="24">
        <f t="shared" si="47"/>
        <v>79203.691045796324</v>
      </c>
      <c r="J79" s="24">
        <f t="shared" si="48"/>
        <v>3300.153793574847</v>
      </c>
      <c r="K79" s="24">
        <f>+J79*K$3</f>
        <v>693.03229665071785</v>
      </c>
      <c r="L79" s="24">
        <f>+J79+K79</f>
        <v>3993.1860902255648</v>
      </c>
      <c r="M79" s="24">
        <f>+L79*M$3</f>
        <v>1197.9558270676694</v>
      </c>
      <c r="N79" s="24">
        <f>+L79+M79</f>
        <v>5191.1419172932347</v>
      </c>
      <c r="O79" s="24">
        <f>+N79*O$3</f>
        <v>2076.4567669172939</v>
      </c>
      <c r="P79" s="25">
        <f>+N79+O79</f>
        <v>7267.5986842105285</v>
      </c>
      <c r="R79" s="24">
        <v>79203.691045796324</v>
      </c>
      <c r="S79">
        <f t="shared" si="49"/>
        <v>0</v>
      </c>
      <c r="U79" s="32"/>
      <c r="V79" s="36" t="e">
        <v>#VALUE!</v>
      </c>
      <c r="W79" s="1"/>
    </row>
    <row r="80" spans="2:23" x14ac:dyDescent="0.35">
      <c r="B80" s="85">
        <v>100518160</v>
      </c>
      <c r="C80" s="28" t="s">
        <v>75</v>
      </c>
      <c r="D80" s="63">
        <v>7790360974686</v>
      </c>
      <c r="E80" s="22">
        <v>12</v>
      </c>
      <c r="F80" s="23">
        <v>12</v>
      </c>
      <c r="G80" s="24">
        <v>79203.691045796324</v>
      </c>
      <c r="H80" s="133"/>
      <c r="I80" s="24">
        <f t="shared" si="47"/>
        <v>79203.691045796324</v>
      </c>
      <c r="J80" s="24">
        <f t="shared" si="48"/>
        <v>6600.307587149694</v>
      </c>
      <c r="K80" s="24">
        <f>+J80*K$3</f>
        <v>1386.0645933014357</v>
      </c>
      <c r="L80" s="24">
        <f>+J80+K80</f>
        <v>7986.3721804511297</v>
      </c>
      <c r="M80" s="24">
        <f>+L80*M$3</f>
        <v>2395.9116541353387</v>
      </c>
      <c r="N80" s="24">
        <f>+L80+M80</f>
        <v>10382.283834586469</v>
      </c>
      <c r="O80" s="24">
        <f>+N80*O$3</f>
        <v>4152.9135338345877</v>
      </c>
      <c r="P80" s="25">
        <f>+N80+O80</f>
        <v>14535.197368421057</v>
      </c>
      <c r="R80" s="24">
        <v>79203.691045796324</v>
      </c>
      <c r="S80">
        <f t="shared" si="49"/>
        <v>0</v>
      </c>
      <c r="U80" s="27">
        <v>100516219</v>
      </c>
      <c r="V80" s="24">
        <v>18259.399891781304</v>
      </c>
      <c r="W80" s="1"/>
    </row>
    <row r="81" spans="2:23" ht="15" thickBot="1" x14ac:dyDescent="0.4">
      <c r="B81" s="85">
        <v>100518463</v>
      </c>
      <c r="C81" s="28" t="s">
        <v>89</v>
      </c>
      <c r="D81" s="63"/>
      <c r="E81" s="22">
        <v>5</v>
      </c>
      <c r="F81" s="23">
        <v>1</v>
      </c>
      <c r="G81" s="24">
        <v>36693.267187500001</v>
      </c>
      <c r="H81" s="138"/>
      <c r="I81" s="24">
        <f t="shared" si="47"/>
        <v>36693.267187500001</v>
      </c>
      <c r="J81" s="24">
        <f t="shared" si="48"/>
        <v>36693.267187500001</v>
      </c>
      <c r="K81" s="24">
        <f>+J81*K$3</f>
        <v>7705.586109375</v>
      </c>
      <c r="L81" s="24">
        <f>+J81+K81</f>
        <v>44398.853296875001</v>
      </c>
      <c r="M81" s="24">
        <f>+L81*M$3</f>
        <v>13319.655989062499</v>
      </c>
      <c r="N81" s="24">
        <f>+L81+M81</f>
        <v>57718.5092859375</v>
      </c>
      <c r="O81" s="24">
        <f>+N81*O$3</f>
        <v>23087.403714375003</v>
      </c>
      <c r="P81" s="25">
        <f>+N81+O81</f>
        <v>80805.913000312503</v>
      </c>
      <c r="R81" s="24">
        <v>36693.267187500001</v>
      </c>
      <c r="S81">
        <f t="shared" si="49"/>
        <v>0</v>
      </c>
      <c r="U81" s="27">
        <v>100516220</v>
      </c>
      <c r="V81" s="24">
        <v>19613.921820029205</v>
      </c>
      <c r="W81" s="1"/>
    </row>
    <row r="82" spans="2:23" ht="15" thickBot="1" x14ac:dyDescent="0.4">
      <c r="B82" s="71"/>
      <c r="C82" s="72"/>
      <c r="D82" s="73"/>
      <c r="E82" s="72"/>
      <c r="F82" s="74"/>
      <c r="G82" s="75" t="e">
        <v>#N/A</v>
      </c>
      <c r="H82" s="139"/>
      <c r="I82" s="75" t="e">
        <f t="shared" si="47"/>
        <v>#N/A</v>
      </c>
      <c r="J82" s="37" t="e">
        <f t="shared" si="48"/>
        <v>#N/A</v>
      </c>
      <c r="K82" s="38"/>
      <c r="L82" s="37"/>
      <c r="M82" s="38"/>
      <c r="N82" s="37"/>
      <c r="O82" s="38"/>
      <c r="P82" s="39"/>
      <c r="R82" s="75" t="e">
        <v>#N/A</v>
      </c>
      <c r="S82" t="e">
        <f t="shared" si="49"/>
        <v>#N/A</v>
      </c>
      <c r="U82" s="86"/>
      <c r="V82" s="90" t="e">
        <v>#VALUE!</v>
      </c>
      <c r="W82" s="1"/>
    </row>
    <row r="83" spans="2:23" x14ac:dyDescent="0.35">
      <c r="B83" s="112">
        <v>100518291</v>
      </c>
      <c r="C83" s="113" t="s">
        <v>77</v>
      </c>
      <c r="D83" s="109">
        <v>7790360975195</v>
      </c>
      <c r="E83" s="114">
        <v>5</v>
      </c>
      <c r="F83" s="114">
        <v>10</v>
      </c>
      <c r="G83" s="110">
        <v>15813.970523418118</v>
      </c>
      <c r="H83" s="116"/>
      <c r="I83" s="84">
        <f t="shared" si="47"/>
        <v>15813.970523418118</v>
      </c>
      <c r="J83" s="110">
        <f t="shared" si="48"/>
        <v>1581.3970523418118</v>
      </c>
      <c r="K83" s="110">
        <f>+J83*K$3</f>
        <v>332.09338099178046</v>
      </c>
      <c r="L83" s="110">
        <f>+J83+K83</f>
        <v>1913.4904333335921</v>
      </c>
      <c r="M83" s="110">
        <f>+L83*M$39</f>
        <v>382.69808666671844</v>
      </c>
      <c r="N83" s="110">
        <f>+L83+M83</f>
        <v>2296.1885200003107</v>
      </c>
      <c r="O83" s="110">
        <f>+N83*O$39</f>
        <v>803.66598200010867</v>
      </c>
      <c r="P83" s="111">
        <f>+N83+O83</f>
        <v>3099.8545020004194</v>
      </c>
      <c r="Q83">
        <v>0.15</v>
      </c>
      <c r="R83" s="110">
        <v>14906.183922535694</v>
      </c>
      <c r="S83">
        <f t="shared" si="49"/>
        <v>6.090000000000001E-2</v>
      </c>
      <c r="U83" s="85">
        <v>100518158</v>
      </c>
      <c r="V83" s="24">
        <v>79203.691045796324</v>
      </c>
      <c r="W83" s="245" t="s">
        <v>213</v>
      </c>
    </row>
    <row r="84" spans="2:23" ht="15" thickBot="1" x14ac:dyDescent="0.4">
      <c r="B84" s="103">
        <v>100518292</v>
      </c>
      <c r="C84" s="104" t="s">
        <v>78</v>
      </c>
      <c r="D84" s="105">
        <v>7790360975201</v>
      </c>
      <c r="E84" s="106">
        <v>12</v>
      </c>
      <c r="F84" s="106">
        <v>12</v>
      </c>
      <c r="G84" s="107">
        <v>37315.327608959356</v>
      </c>
      <c r="H84" s="116"/>
      <c r="I84" s="84">
        <f t="shared" si="47"/>
        <v>37315.327608959356</v>
      </c>
      <c r="J84" s="107">
        <f t="shared" si="48"/>
        <v>3109.6106340799465</v>
      </c>
      <c r="K84" s="107">
        <f>+J84*K$3</f>
        <v>653.01823315678871</v>
      </c>
      <c r="L84" s="107">
        <f>+J84+K84</f>
        <v>3762.6288672367355</v>
      </c>
      <c r="M84" s="107">
        <f>+L84*M$39</f>
        <v>752.52577344734709</v>
      </c>
      <c r="N84" s="107">
        <f>+L84+M84</f>
        <v>4515.1546406840826</v>
      </c>
      <c r="O84" s="107">
        <f>+N84*O$39</f>
        <v>1580.3041242394288</v>
      </c>
      <c r="P84" s="108">
        <f>+N84+O84</f>
        <v>6095.4587649235109</v>
      </c>
      <c r="Q84">
        <v>0.15</v>
      </c>
      <c r="R84" s="107">
        <v>35173.27515219093</v>
      </c>
      <c r="S84">
        <f t="shared" si="49"/>
        <v>6.0899999999999954E-2</v>
      </c>
      <c r="U84" s="85">
        <v>100518160</v>
      </c>
      <c r="V84" s="24">
        <v>79203.691045796324</v>
      </c>
      <c r="W84" s="245" t="s">
        <v>214</v>
      </c>
    </row>
    <row r="85" spans="2:23" ht="15" thickBot="1" x14ac:dyDescent="0.4">
      <c r="B85" s="71"/>
      <c r="C85" s="72"/>
      <c r="D85" s="73"/>
      <c r="E85" s="72"/>
      <c r="F85" s="74"/>
      <c r="G85" s="75" t="e">
        <v>#N/A</v>
      </c>
      <c r="H85" s="139"/>
      <c r="I85" s="75" t="e">
        <f t="shared" si="47"/>
        <v>#N/A</v>
      </c>
      <c r="J85" s="37" t="e">
        <f>+I85/F85</f>
        <v>#N/A</v>
      </c>
      <c r="K85" s="38">
        <v>0.105</v>
      </c>
      <c r="L85" s="37"/>
      <c r="M85" s="38">
        <v>0.3</v>
      </c>
      <c r="N85" s="37"/>
      <c r="O85" s="38">
        <v>0.4</v>
      </c>
      <c r="P85" s="39"/>
      <c r="R85" s="75" t="e">
        <v>#N/A</v>
      </c>
      <c r="S85" t="e">
        <f t="shared" si="49"/>
        <v>#N/A</v>
      </c>
      <c r="U85" s="85">
        <v>100518463</v>
      </c>
      <c r="V85" s="24">
        <v>36693.267187500001</v>
      </c>
      <c r="W85" s="1"/>
    </row>
    <row r="86" spans="2:23" ht="15" thickBot="1" x14ac:dyDescent="0.4">
      <c r="B86" s="112">
        <v>100517915</v>
      </c>
      <c r="C86" s="113" t="s">
        <v>79</v>
      </c>
      <c r="D86" s="109">
        <v>7790360974020</v>
      </c>
      <c r="E86" s="114">
        <v>18</v>
      </c>
      <c r="F86" s="114">
        <v>36</v>
      </c>
      <c r="G86" s="110">
        <v>173352.97330326217</v>
      </c>
      <c r="H86" s="96"/>
      <c r="I86" s="84">
        <f t="shared" si="47"/>
        <v>173352.97330326217</v>
      </c>
      <c r="J86" s="110">
        <f>+I86/F86</f>
        <v>4815.3603695350603</v>
      </c>
      <c r="K86" s="110">
        <f>+J86*K$85</f>
        <v>505.61283880118128</v>
      </c>
      <c r="L86" s="110">
        <f>+J86+K86</f>
        <v>5320.9732083362414</v>
      </c>
      <c r="M86" s="110">
        <f>+L86*M$85</f>
        <v>1596.2919625008724</v>
      </c>
      <c r="N86" s="110">
        <f>+L86+M86</f>
        <v>6917.2651708371141</v>
      </c>
      <c r="O86" s="110">
        <f>+N86*O$85</f>
        <v>2766.9060683348457</v>
      </c>
      <c r="P86" s="111">
        <f>+N86+O86</f>
        <v>9684.1712391719593</v>
      </c>
      <c r="R86" s="110">
        <v>160512.01231783535</v>
      </c>
      <c r="S86">
        <f t="shared" si="49"/>
        <v>7.9999999999999946E-2</v>
      </c>
      <c r="U86" s="71"/>
      <c r="V86" s="75" t="e">
        <v>#VALUE!</v>
      </c>
      <c r="W86" s="1"/>
    </row>
    <row r="87" spans="2:23" ht="15" thickBot="1" x14ac:dyDescent="0.4">
      <c r="B87" s="103">
        <v>100517914</v>
      </c>
      <c r="C87" s="104" t="s">
        <v>80</v>
      </c>
      <c r="D87" s="105">
        <v>7790360974037</v>
      </c>
      <c r="E87" s="106">
        <v>20</v>
      </c>
      <c r="F87" s="106">
        <v>20</v>
      </c>
      <c r="G87" s="107">
        <v>185663.53126131868</v>
      </c>
      <c r="H87" s="96"/>
      <c r="I87" s="84">
        <f t="shared" si="47"/>
        <v>185663.53126131868</v>
      </c>
      <c r="J87" s="107">
        <f>+I87/F87</f>
        <v>9283.1765630659338</v>
      </c>
      <c r="K87" s="107">
        <f>+J87*K$85</f>
        <v>974.73353912192306</v>
      </c>
      <c r="L87" s="107">
        <f>+J87+K87</f>
        <v>10257.910102187856</v>
      </c>
      <c r="M87" s="107">
        <f>+L87*M$85</f>
        <v>3077.3730306563566</v>
      </c>
      <c r="N87" s="107">
        <f>+L87+M87</f>
        <v>13335.283132844212</v>
      </c>
      <c r="O87" s="107">
        <f>+N87*O$85</f>
        <v>5334.1132531376852</v>
      </c>
      <c r="P87" s="108">
        <f>+N87+O87</f>
        <v>18669.396385981898</v>
      </c>
      <c r="R87" s="107">
        <v>175154.27477482893</v>
      </c>
      <c r="S87">
        <f t="shared" si="49"/>
        <v>6.000000000000013E-2</v>
      </c>
      <c r="U87" s="197">
        <v>100518291</v>
      </c>
      <c r="V87" s="61">
        <v>15353.369440211765</v>
      </c>
      <c r="W87" s="1"/>
    </row>
    <row r="88" spans="2:23" ht="15" thickBot="1" x14ac:dyDescent="0.4">
      <c r="B88" s="71"/>
      <c r="C88" s="72"/>
      <c r="D88" s="73"/>
      <c r="E88" s="72"/>
      <c r="F88" s="74"/>
      <c r="G88" s="75" t="e">
        <v>#N/A</v>
      </c>
      <c r="H88" s="139"/>
      <c r="I88" s="75" t="e">
        <f t="shared" si="47"/>
        <v>#N/A</v>
      </c>
      <c r="J88" s="91"/>
      <c r="K88" s="92">
        <v>0.105</v>
      </c>
      <c r="L88" s="91"/>
      <c r="M88" s="38">
        <v>0.3</v>
      </c>
      <c r="N88" s="37"/>
      <c r="O88" s="38">
        <v>0.4</v>
      </c>
      <c r="P88" s="94"/>
      <c r="R88" s="75" t="e">
        <v>#N/A</v>
      </c>
      <c r="S88" t="e">
        <f t="shared" si="49"/>
        <v>#N/A</v>
      </c>
      <c r="U88" s="198">
        <v>100518292</v>
      </c>
      <c r="V88" s="69">
        <v>36228.473406756661</v>
      </c>
      <c r="W88" s="1"/>
    </row>
    <row r="89" spans="2:23" ht="15" thickBot="1" x14ac:dyDescent="0.4">
      <c r="B89" s="27">
        <v>100010689</v>
      </c>
      <c r="C89" s="28" t="s">
        <v>81</v>
      </c>
      <c r="D89" s="21"/>
      <c r="E89" s="81">
        <v>22</v>
      </c>
      <c r="F89" s="23">
        <v>1</v>
      </c>
      <c r="G89" s="24">
        <v>16500</v>
      </c>
      <c r="H89" s="133"/>
      <c r="I89" s="24">
        <f t="shared" si="47"/>
        <v>16500</v>
      </c>
      <c r="J89" s="61">
        <f t="shared" ref="J89:J94" si="50">+I89/F89</f>
        <v>16500</v>
      </c>
      <c r="K89" s="61">
        <f t="shared" ref="K89:K94" si="51">+J89*K$88</f>
        <v>1732.5</v>
      </c>
      <c r="L89" s="61">
        <f t="shared" ref="L89:L94" si="52">+J89+K89</f>
        <v>18232.5</v>
      </c>
      <c r="M89" s="61">
        <f t="shared" ref="M89:M94" si="53">+L89*M$88</f>
        <v>5469.75</v>
      </c>
      <c r="N89" s="61">
        <f t="shared" ref="N89:N94" si="54">+L89+M89</f>
        <v>23702.25</v>
      </c>
      <c r="O89" s="61">
        <f t="shared" ref="O89:O94" si="55">+N89*O$88</f>
        <v>9480.9</v>
      </c>
      <c r="P89" s="62">
        <f t="shared" ref="P89:P94" si="56">+N89+O89</f>
        <v>33183.15</v>
      </c>
      <c r="R89" s="24">
        <v>15714.285714285716</v>
      </c>
      <c r="S89">
        <f t="shared" si="49"/>
        <v>4.9999999999999913E-2</v>
      </c>
      <c r="U89" s="71"/>
      <c r="V89" s="75" t="e">
        <v>#VALUE!</v>
      </c>
      <c r="W89" s="1"/>
    </row>
    <row r="90" spans="2:23" x14ac:dyDescent="0.35">
      <c r="B90" s="27">
        <v>100518335</v>
      </c>
      <c r="C90" s="28" t="s">
        <v>82</v>
      </c>
      <c r="D90" s="21"/>
      <c r="E90" s="81">
        <v>22.5</v>
      </c>
      <c r="F90" s="23">
        <v>1</v>
      </c>
      <c r="G90" s="24">
        <v>11785.714285714286</v>
      </c>
      <c r="H90" s="133"/>
      <c r="I90" s="24">
        <f t="shared" si="47"/>
        <v>11785.714285714286</v>
      </c>
      <c r="J90" s="24">
        <f t="shared" si="50"/>
        <v>11785.714285714286</v>
      </c>
      <c r="K90" s="24">
        <f t="shared" si="51"/>
        <v>1237.5</v>
      </c>
      <c r="L90" s="24">
        <f t="shared" si="52"/>
        <v>13023.214285714286</v>
      </c>
      <c r="M90" s="24">
        <f t="shared" si="53"/>
        <v>3906.9642857142858</v>
      </c>
      <c r="N90" s="24">
        <f t="shared" si="54"/>
        <v>16930.178571428572</v>
      </c>
      <c r="O90" s="24">
        <f t="shared" si="55"/>
        <v>6772.0714285714294</v>
      </c>
      <c r="P90" s="25">
        <f t="shared" si="56"/>
        <v>23702.25</v>
      </c>
      <c r="R90" s="24">
        <v>11224.489795918369</v>
      </c>
      <c r="S90">
        <f t="shared" si="49"/>
        <v>4.9999999999999885E-2</v>
      </c>
      <c r="U90" s="197">
        <v>100517915</v>
      </c>
      <c r="V90" s="61">
        <v>160512.01231783535</v>
      </c>
      <c r="W90" s="1"/>
    </row>
    <row r="91" spans="2:23" ht="15" thickBot="1" x14ac:dyDescent="0.4">
      <c r="B91" s="27">
        <v>100518332</v>
      </c>
      <c r="C91" s="28" t="s">
        <v>83</v>
      </c>
      <c r="D91" s="21"/>
      <c r="E91" s="81">
        <v>21.5</v>
      </c>
      <c r="F91" s="23">
        <v>1</v>
      </c>
      <c r="G91" s="24">
        <v>13553.571428571431</v>
      </c>
      <c r="H91" s="133"/>
      <c r="I91" s="24">
        <f t="shared" si="47"/>
        <v>13553.571428571431</v>
      </c>
      <c r="J91" s="24">
        <f t="shared" si="50"/>
        <v>13553.571428571431</v>
      </c>
      <c r="K91" s="24">
        <f t="shared" si="51"/>
        <v>1423.1250000000002</v>
      </c>
      <c r="L91" s="24">
        <f t="shared" si="52"/>
        <v>14976.696428571431</v>
      </c>
      <c r="M91" s="24">
        <f t="shared" si="53"/>
        <v>4493.0089285714294</v>
      </c>
      <c r="N91" s="24">
        <f t="shared" si="54"/>
        <v>19469.705357142862</v>
      </c>
      <c r="O91" s="24">
        <f t="shared" si="55"/>
        <v>7787.8821428571455</v>
      </c>
      <c r="P91" s="25">
        <f t="shared" si="56"/>
        <v>27257.587500000009</v>
      </c>
      <c r="R91" s="24">
        <v>12908.163265306122</v>
      </c>
      <c r="S91">
        <f t="shared" si="49"/>
        <v>5.0000000000000204E-2</v>
      </c>
      <c r="U91" s="198">
        <v>100517914</v>
      </c>
      <c r="V91" s="69">
        <v>175154.27477482893</v>
      </c>
      <c r="W91" s="1"/>
    </row>
    <row r="92" spans="2:23" x14ac:dyDescent="0.35">
      <c r="B92" s="27">
        <v>100518334</v>
      </c>
      <c r="C92" s="28" t="s">
        <v>84</v>
      </c>
      <c r="D92" s="21"/>
      <c r="E92" s="81">
        <v>22.5</v>
      </c>
      <c r="F92" s="23">
        <v>1</v>
      </c>
      <c r="G92" s="24">
        <v>12021.428571428572</v>
      </c>
      <c r="H92" s="133"/>
      <c r="I92" s="24">
        <f t="shared" si="47"/>
        <v>12021.428571428572</v>
      </c>
      <c r="J92" s="24">
        <f t="shared" si="50"/>
        <v>12021.428571428572</v>
      </c>
      <c r="K92" s="24">
        <f t="shared" si="51"/>
        <v>1262.25</v>
      </c>
      <c r="L92" s="24">
        <f t="shared" si="52"/>
        <v>13283.678571428572</v>
      </c>
      <c r="M92" s="24">
        <f t="shared" si="53"/>
        <v>3985.1035714285717</v>
      </c>
      <c r="N92" s="24">
        <f t="shared" si="54"/>
        <v>17268.782142857144</v>
      </c>
      <c r="O92" s="24">
        <f t="shared" si="55"/>
        <v>6907.5128571428577</v>
      </c>
      <c r="P92" s="25">
        <f t="shared" si="56"/>
        <v>24176.295000000002</v>
      </c>
      <c r="R92" s="24">
        <v>11448.979591836736</v>
      </c>
      <c r="S92">
        <f t="shared" si="49"/>
        <v>4.9999999999999947E-2</v>
      </c>
      <c r="U92" s="71"/>
      <c r="V92" s="75"/>
      <c r="W92" s="1"/>
    </row>
    <row r="93" spans="2:23" x14ac:dyDescent="0.35">
      <c r="B93" s="27">
        <v>100518227</v>
      </c>
      <c r="C93" s="28" t="s">
        <v>85</v>
      </c>
      <c r="D93" s="21"/>
      <c r="E93" s="81">
        <v>22.5</v>
      </c>
      <c r="F93" s="23">
        <v>1</v>
      </c>
      <c r="G93" s="24">
        <v>14185.285714285716</v>
      </c>
      <c r="H93" s="133"/>
      <c r="I93" s="24">
        <f t="shared" si="47"/>
        <v>14185.285714285716</v>
      </c>
      <c r="J93" s="24">
        <f t="shared" si="50"/>
        <v>14185.285714285716</v>
      </c>
      <c r="K93" s="24">
        <f t="shared" si="51"/>
        <v>1489.4550000000002</v>
      </c>
      <c r="L93" s="24">
        <f t="shared" si="52"/>
        <v>15674.740714285716</v>
      </c>
      <c r="M93" s="24">
        <f t="shared" si="53"/>
        <v>4702.4222142857143</v>
      </c>
      <c r="N93" s="24">
        <f t="shared" si="54"/>
        <v>20377.16292857143</v>
      </c>
      <c r="O93" s="24">
        <f t="shared" si="55"/>
        <v>8150.8651714285725</v>
      </c>
      <c r="P93" s="25">
        <f t="shared" si="56"/>
        <v>28528.028100000003</v>
      </c>
      <c r="R93" s="24">
        <v>13244.897959183672</v>
      </c>
      <c r="S93">
        <f t="shared" si="49"/>
        <v>7.1000000000000188E-2</v>
      </c>
      <c r="U93" s="27">
        <v>100010689</v>
      </c>
      <c r="V93" s="24">
        <v>16500</v>
      </c>
      <c r="W93" s="1"/>
    </row>
    <row r="94" spans="2:23" x14ac:dyDescent="0.35">
      <c r="B94" s="175">
        <v>100027726</v>
      </c>
      <c r="C94" s="176" t="s">
        <v>148</v>
      </c>
      <c r="D94" s="177"/>
      <c r="E94" s="81">
        <v>22.5</v>
      </c>
      <c r="F94" s="23">
        <v>1</v>
      </c>
      <c r="G94" s="24" t="e">
        <v>#N/A</v>
      </c>
      <c r="H94" s="133"/>
      <c r="I94" s="24" t="e">
        <f t="shared" ref="I94" si="57">+G94*(1-H94)</f>
        <v>#N/A</v>
      </c>
      <c r="J94" s="24" t="e">
        <f t="shared" si="50"/>
        <v>#N/A</v>
      </c>
      <c r="K94" s="24" t="e">
        <f t="shared" si="51"/>
        <v>#N/A</v>
      </c>
      <c r="L94" s="24" t="e">
        <f t="shared" si="52"/>
        <v>#N/A</v>
      </c>
      <c r="M94" s="24" t="e">
        <f t="shared" si="53"/>
        <v>#N/A</v>
      </c>
      <c r="N94" s="24" t="e">
        <f t="shared" si="54"/>
        <v>#N/A</v>
      </c>
      <c r="O94" s="24" t="e">
        <f t="shared" si="55"/>
        <v>#N/A</v>
      </c>
      <c r="P94" s="25" t="e">
        <f t="shared" si="56"/>
        <v>#N/A</v>
      </c>
      <c r="R94" s="178">
        <v>6814.5000000000009</v>
      </c>
      <c r="U94" s="27">
        <v>100518335</v>
      </c>
      <c r="V94" s="24">
        <v>11785.714285714286</v>
      </c>
      <c r="W94" s="1"/>
    </row>
    <row r="95" spans="2:23" ht="15" thickBot="1" x14ac:dyDescent="0.4">
      <c r="B95" s="71"/>
      <c r="C95" s="72"/>
      <c r="D95" s="73"/>
      <c r="E95" s="72"/>
      <c r="F95" s="74"/>
      <c r="G95" s="75" t="e">
        <v>#N/A</v>
      </c>
      <c r="H95" s="139"/>
      <c r="I95" s="75" t="e">
        <f t="shared" si="47"/>
        <v>#N/A</v>
      </c>
      <c r="J95" s="91"/>
      <c r="K95" s="92">
        <v>0.21</v>
      </c>
      <c r="L95" s="91"/>
      <c r="M95" s="38">
        <v>0.3</v>
      </c>
      <c r="N95" s="37"/>
      <c r="O95" s="38">
        <v>0.4</v>
      </c>
      <c r="P95" s="94"/>
      <c r="R95" s="75" t="e">
        <v>#N/A</v>
      </c>
      <c r="S95" t="e">
        <f t="shared" si="49"/>
        <v>#N/A</v>
      </c>
      <c r="U95" s="27">
        <v>100518332</v>
      </c>
      <c r="V95" s="24">
        <v>13553.571428571431</v>
      </c>
      <c r="W95" s="1"/>
    </row>
    <row r="96" spans="2:23" ht="15" thickBot="1" x14ac:dyDescent="0.4">
      <c r="B96" s="27">
        <v>100520837</v>
      </c>
      <c r="C96" s="28" t="s">
        <v>86</v>
      </c>
      <c r="D96" s="21">
        <v>7790360980625</v>
      </c>
      <c r="E96" s="81">
        <v>4.8</v>
      </c>
      <c r="F96" s="23">
        <v>12</v>
      </c>
      <c r="G96" s="24">
        <v>38673.879473354231</v>
      </c>
      <c r="H96" s="133"/>
      <c r="I96" s="24">
        <f t="shared" si="47"/>
        <v>38673.879473354231</v>
      </c>
      <c r="J96" s="218">
        <f>+I96/F96</f>
        <v>3222.8232894461858</v>
      </c>
      <c r="K96" s="218">
        <f>+J96*K$95</f>
        <v>676.79289078369902</v>
      </c>
      <c r="L96" s="43">
        <f>+J96+K96</f>
        <v>3899.6161802298848</v>
      </c>
      <c r="M96" s="81">
        <f>+L96*M$95</f>
        <v>1169.8848540689653</v>
      </c>
      <c r="N96" s="23">
        <f>+L96+M96</f>
        <v>5069.5010342988498</v>
      </c>
      <c r="O96" s="61">
        <f>+N96*O$95</f>
        <v>2027.8004137195401</v>
      </c>
      <c r="P96" s="62">
        <f>+N96+O96</f>
        <v>7097.3014480183901</v>
      </c>
      <c r="R96" s="24">
        <v>35756.175548589337</v>
      </c>
      <c r="S96">
        <f t="shared" si="49"/>
        <v>8.1600000000000103E-2</v>
      </c>
      <c r="U96" s="27">
        <v>100518334</v>
      </c>
      <c r="V96" s="24">
        <v>12021.428571428572</v>
      </c>
      <c r="W96" s="185"/>
    </row>
    <row r="97" spans="1:23" ht="15" thickBot="1" x14ac:dyDescent="0.4">
      <c r="A97" s="80"/>
      <c r="B97" s="80">
        <v>100522395</v>
      </c>
      <c r="C97" s="42" t="s">
        <v>154</v>
      </c>
      <c r="D97" s="43">
        <v>7790360980625</v>
      </c>
      <c r="E97" s="81">
        <v>4.8</v>
      </c>
      <c r="F97" s="23">
        <v>12</v>
      </c>
      <c r="G97" s="24">
        <v>39447.349427200017</v>
      </c>
      <c r="H97" s="133"/>
      <c r="I97" s="24">
        <f t="shared" ref="I97" si="58">+G97*(1-H97)</f>
        <v>39447.349427200017</v>
      </c>
      <c r="J97" s="218">
        <f>+I97/F97</f>
        <v>3287.2791189333348</v>
      </c>
      <c r="K97" s="218">
        <f>+J97*K$95</f>
        <v>690.32861497600027</v>
      </c>
      <c r="L97" s="43">
        <f>+J97+K97</f>
        <v>3977.6077339093349</v>
      </c>
      <c r="M97" s="81">
        <f>+L97*M$95</f>
        <v>1193.2823201728004</v>
      </c>
      <c r="N97" s="23">
        <f>+L97+M97</f>
        <v>5170.8900540821351</v>
      </c>
      <c r="O97" s="61">
        <f>+N97*O$95</f>
        <v>2068.3560216328542</v>
      </c>
      <c r="P97" s="62">
        <f>+N97+O97</f>
        <v>7239.2460757149893</v>
      </c>
      <c r="R97" s="178">
        <v>36471.292000000001</v>
      </c>
      <c r="U97" s="27">
        <v>100518227</v>
      </c>
      <c r="V97" s="24">
        <v>14185.285714285716</v>
      </c>
      <c r="W97" s="253"/>
    </row>
    <row r="98" spans="1:23" x14ac:dyDescent="0.35">
      <c r="A98" s="80"/>
      <c r="B98" s="80">
        <v>100522561</v>
      </c>
      <c r="C98" s="42" t="s">
        <v>161</v>
      </c>
      <c r="D98" s="43"/>
      <c r="E98" s="81">
        <v>16</v>
      </c>
      <c r="F98" s="23">
        <v>8</v>
      </c>
      <c r="G98" s="24">
        <v>7807.2879074666689</v>
      </c>
      <c r="H98" s="133"/>
      <c r="I98" s="24">
        <f t="shared" ref="I98" si="59">+G98*(1-H98)</f>
        <v>7807.2879074666689</v>
      </c>
      <c r="J98" s="218">
        <f>+I98*2</f>
        <v>15614.575814933338</v>
      </c>
      <c r="K98" s="218">
        <f>+J98*K$95</f>
        <v>3279.0609211360006</v>
      </c>
      <c r="L98" s="43">
        <f>+J98+K98</f>
        <v>18893.63673606934</v>
      </c>
      <c r="M98" s="81">
        <f>+L98*M$95</f>
        <v>5668.0910208208015</v>
      </c>
      <c r="N98" s="23">
        <f>+L98+M98</f>
        <v>24561.727756890141</v>
      </c>
      <c r="O98" s="61">
        <f>+N98*O$95</f>
        <v>9824.6911027560564</v>
      </c>
      <c r="P98" s="62">
        <f>+N98+O98</f>
        <v>34386.418859646197</v>
      </c>
      <c r="R98" s="178" t="e">
        <v>#N/A</v>
      </c>
      <c r="U98" s="175">
        <v>100027726</v>
      </c>
      <c r="V98" s="24">
        <v>7155.2250000000004</v>
      </c>
      <c r="W98" s="1"/>
    </row>
    <row r="99" spans="1:23" ht="15" thickBot="1" x14ac:dyDescent="0.4">
      <c r="B99" s="71"/>
      <c r="C99" s="72"/>
      <c r="D99" s="73"/>
      <c r="E99" s="72"/>
      <c r="F99" s="74"/>
      <c r="G99" s="75" t="e">
        <v>#N/A</v>
      </c>
      <c r="H99" s="139"/>
      <c r="I99" s="75" t="e">
        <f t="shared" si="47"/>
        <v>#N/A</v>
      </c>
      <c r="J99" s="91"/>
      <c r="K99" s="92">
        <v>0.21</v>
      </c>
      <c r="L99" s="91"/>
      <c r="M99" s="38">
        <v>0.3</v>
      </c>
      <c r="N99" s="37"/>
      <c r="O99" s="38">
        <v>0.4</v>
      </c>
      <c r="P99" s="94"/>
      <c r="R99" s="75" t="e">
        <v>#N/A</v>
      </c>
      <c r="S99" t="e">
        <f t="shared" si="49"/>
        <v>#N/A</v>
      </c>
      <c r="U99" s="71"/>
      <c r="V99" s="75"/>
    </row>
    <row r="100" spans="1:23" ht="15" thickBot="1" x14ac:dyDescent="0.4">
      <c r="B100" s="124">
        <v>100520902</v>
      </c>
      <c r="C100" s="125" t="s">
        <v>87</v>
      </c>
      <c r="D100" s="126">
        <v>7790360981042</v>
      </c>
      <c r="E100" s="127">
        <v>9.8000000000000007</v>
      </c>
      <c r="F100" s="100">
        <v>14</v>
      </c>
      <c r="G100" s="84">
        <v>33316.176941832127</v>
      </c>
      <c r="H100" s="116">
        <v>0.125</v>
      </c>
      <c r="I100" s="84">
        <f t="shared" si="47"/>
        <v>29151.654824103112</v>
      </c>
      <c r="J100" s="219">
        <f>+I100/F100</f>
        <v>2082.261058864508</v>
      </c>
      <c r="K100" s="220">
        <f>+J100*K$99</f>
        <v>437.27482236154668</v>
      </c>
      <c r="L100" s="126">
        <f>+J100+K100</f>
        <v>2519.5358812260547</v>
      </c>
      <c r="M100" s="127">
        <f>+L100*M$99</f>
        <v>755.86076436781639</v>
      </c>
      <c r="N100" s="100">
        <f>+L100+M100</f>
        <v>3275.3966455938712</v>
      </c>
      <c r="O100" s="110">
        <f>+N100*O$99</f>
        <v>1310.1586582375485</v>
      </c>
      <c r="P100" s="111">
        <f>+N100+O100</f>
        <v>4585.5553038314192</v>
      </c>
      <c r="Q100">
        <v>0.125</v>
      </c>
      <c r="R100" s="84">
        <v>28302.577499129231</v>
      </c>
      <c r="S100">
        <f t="shared" si="49"/>
        <v>3.0000000000000155E-2</v>
      </c>
      <c r="U100" s="27">
        <v>100520837</v>
      </c>
      <c r="V100" s="24">
        <v>37186.422570532915</v>
      </c>
      <c r="W100" s="245" t="s">
        <v>169</v>
      </c>
    </row>
    <row r="101" spans="1:23" x14ac:dyDescent="0.35">
      <c r="A101" s="80"/>
      <c r="B101" s="124">
        <v>100522698</v>
      </c>
      <c r="C101" s="125" t="s">
        <v>162</v>
      </c>
      <c r="D101" s="126">
        <v>7790360986511</v>
      </c>
      <c r="E101" s="127">
        <v>14</v>
      </c>
      <c r="F101" s="100">
        <v>7</v>
      </c>
      <c r="G101" s="84">
        <v>42720.437457279571</v>
      </c>
      <c r="H101" s="187"/>
      <c r="I101" s="84">
        <f t="shared" ref="I101" si="60">+G101*(1-H101)</f>
        <v>42720.437457279571</v>
      </c>
      <c r="J101" s="219">
        <f>+I101/F101</f>
        <v>6102.9196367542245</v>
      </c>
      <c r="K101" s="220">
        <f>+J101*K$99</f>
        <v>1281.613123718387</v>
      </c>
      <c r="L101" s="126">
        <f>+J101+K101</f>
        <v>7384.5327604726117</v>
      </c>
      <c r="M101" s="127">
        <f>+L101*M$99</f>
        <v>2215.3598281417835</v>
      </c>
      <c r="N101" s="100">
        <f>+L101+M101</f>
        <v>9599.8925886143952</v>
      </c>
      <c r="O101" s="110">
        <f>+N101*O$99</f>
        <v>3839.9570354457583</v>
      </c>
      <c r="P101" s="111">
        <f>+N101+O101</f>
        <v>13439.849624060153</v>
      </c>
      <c r="Q101">
        <v>0.125</v>
      </c>
      <c r="R101" s="201" t="e">
        <v>#N/A</v>
      </c>
      <c r="U101" s="80">
        <v>100522395</v>
      </c>
      <c r="V101" s="24">
        <v>37930.143680000008</v>
      </c>
      <c r="W101" s="245" t="s">
        <v>221</v>
      </c>
    </row>
    <row r="102" spans="1:23" ht="15" thickBot="1" x14ac:dyDescent="0.4">
      <c r="B102" s="71"/>
      <c r="C102" s="72"/>
      <c r="D102" s="73"/>
      <c r="E102" s="72"/>
      <c r="F102" s="74"/>
      <c r="G102" s="75" t="e">
        <v>#N/A</v>
      </c>
      <c r="H102" s="74"/>
      <c r="I102" s="75"/>
      <c r="J102" s="91"/>
      <c r="K102" s="92">
        <v>0.21</v>
      </c>
      <c r="L102" s="91"/>
      <c r="M102" s="93">
        <v>0.3</v>
      </c>
      <c r="N102" s="91"/>
      <c r="O102" s="93">
        <v>0.4</v>
      </c>
      <c r="P102" s="94"/>
      <c r="R102" s="75"/>
      <c r="U102" s="80">
        <v>100522561</v>
      </c>
      <c r="V102" s="24">
        <v>7507.0076033333353</v>
      </c>
    </row>
    <row r="103" spans="1:23" ht="15" thickBot="1" x14ac:dyDescent="0.4">
      <c r="B103" s="124">
        <v>100521457</v>
      </c>
      <c r="C103" s="125" t="s">
        <v>102</v>
      </c>
      <c r="D103" s="126">
        <v>7790360982254</v>
      </c>
      <c r="E103" s="127">
        <v>4.8</v>
      </c>
      <c r="F103" s="100">
        <v>16</v>
      </c>
      <c r="G103" s="84">
        <v>36796.265830721008</v>
      </c>
      <c r="H103" s="215"/>
      <c r="I103" s="84">
        <f t="shared" si="47"/>
        <v>36796.265830721008</v>
      </c>
      <c r="J103" s="219">
        <f>+G103/F103</f>
        <v>2299.766614420063</v>
      </c>
      <c r="K103" s="220">
        <f>+J103*K$102</f>
        <v>482.9509890282132</v>
      </c>
      <c r="L103" s="126">
        <f>+J103+K103</f>
        <v>2782.7176034482763</v>
      </c>
      <c r="M103" s="127">
        <f>+L103*M$102</f>
        <v>834.81528103448284</v>
      </c>
      <c r="N103" s="100">
        <f>+L103+M103</f>
        <v>3617.5328844827591</v>
      </c>
      <c r="O103" s="110">
        <f>+N103*O$102</f>
        <v>1447.0131537931038</v>
      </c>
      <c r="P103" s="111">
        <f>+N103+O103</f>
        <v>5064.5460382758629</v>
      </c>
      <c r="Q103">
        <v>7.4999999999999997E-2</v>
      </c>
      <c r="R103" s="84">
        <v>33418.307210031351</v>
      </c>
      <c r="S103">
        <f t="shared" si="49"/>
        <v>0.10108108108108112</v>
      </c>
      <c r="U103" s="71"/>
      <c r="V103" s="75"/>
      <c r="W103" s="245" t="s">
        <v>205</v>
      </c>
    </row>
    <row r="104" spans="1:23" ht="15" thickBot="1" x14ac:dyDescent="0.4">
      <c r="B104" s="124">
        <v>100521455</v>
      </c>
      <c r="C104" s="125" t="s">
        <v>103</v>
      </c>
      <c r="D104" s="126">
        <v>7790360982247</v>
      </c>
      <c r="E104" s="127">
        <v>4.8</v>
      </c>
      <c r="F104" s="100">
        <v>16</v>
      </c>
      <c r="G104" s="84">
        <v>36796.265830721008</v>
      </c>
      <c r="H104" s="215"/>
      <c r="I104" s="84">
        <f t="shared" si="47"/>
        <v>36796.265830721008</v>
      </c>
      <c r="J104" s="152">
        <f>+G104/F104</f>
        <v>2299.766614420063</v>
      </c>
      <c r="K104" s="217">
        <f>+J104*K$102</f>
        <v>482.9509890282132</v>
      </c>
      <c r="L104" s="126">
        <f t="shared" ref="L104:L106" si="61">+J104+K104</f>
        <v>2782.7176034482763</v>
      </c>
      <c r="M104" s="127">
        <f>+L104*M$102</f>
        <v>834.81528103448284</v>
      </c>
      <c r="N104" s="100">
        <f t="shared" ref="N104:N106" si="62">+L104+M104</f>
        <v>3617.5328844827591</v>
      </c>
      <c r="O104" s="110">
        <f>+N104*O$102</f>
        <v>1447.0131537931038</v>
      </c>
      <c r="P104" s="111">
        <f t="shared" ref="P104:P106" si="63">+N104+O104</f>
        <v>5064.5460382758629</v>
      </c>
      <c r="Q104">
        <v>7.4999999999999997E-2</v>
      </c>
      <c r="R104" s="84">
        <v>33418.307210031351</v>
      </c>
      <c r="S104">
        <f t="shared" si="49"/>
        <v>0.10108108108108112</v>
      </c>
      <c r="U104" s="80">
        <v>100520902</v>
      </c>
      <c r="V104" s="24">
        <v>33316.176941832127</v>
      </c>
      <c r="W104" s="245" t="s">
        <v>205</v>
      </c>
    </row>
    <row r="105" spans="1:23" ht="15" thickBot="1" x14ac:dyDescent="0.4">
      <c r="B105" s="124">
        <v>100521453</v>
      </c>
      <c r="C105" s="125" t="s">
        <v>104</v>
      </c>
      <c r="D105" s="126">
        <v>7790360982223</v>
      </c>
      <c r="E105" s="127">
        <v>5.4</v>
      </c>
      <c r="F105" s="100">
        <v>18</v>
      </c>
      <c r="G105" s="84">
        <v>35531.394192789987</v>
      </c>
      <c r="H105" s="215"/>
      <c r="I105" s="84">
        <f t="shared" si="47"/>
        <v>35531.394192789987</v>
      </c>
      <c r="J105" s="152">
        <f>+G105/F105</f>
        <v>1973.9663440438881</v>
      </c>
      <c r="K105" s="217">
        <f>+J105*K$102</f>
        <v>414.53293224921646</v>
      </c>
      <c r="L105" s="126">
        <f t="shared" si="61"/>
        <v>2388.4992762931047</v>
      </c>
      <c r="M105" s="127">
        <f>+L105*M$102</f>
        <v>716.54978288793143</v>
      </c>
      <c r="N105" s="100">
        <f t="shared" si="62"/>
        <v>3105.0490591810362</v>
      </c>
      <c r="O105" s="110">
        <f>+N105*O$102</f>
        <v>1242.0196236724146</v>
      </c>
      <c r="P105" s="111">
        <f t="shared" si="63"/>
        <v>4347.0686828534508</v>
      </c>
      <c r="Q105">
        <v>7.4999999999999997E-2</v>
      </c>
      <c r="R105" s="84">
        <v>32896.146159874617</v>
      </c>
      <c r="S105">
        <f t="shared" si="49"/>
        <v>8.0108108108108367E-2</v>
      </c>
      <c r="U105" s="80">
        <v>100522698</v>
      </c>
      <c r="V105" s="24">
        <v>42720.437457279571</v>
      </c>
      <c r="W105" s="245" t="s">
        <v>206</v>
      </c>
    </row>
    <row r="106" spans="1:23" x14ac:dyDescent="0.35">
      <c r="B106" s="124">
        <v>100521454</v>
      </c>
      <c r="C106" s="125" t="s">
        <v>105</v>
      </c>
      <c r="D106" s="126">
        <v>7790360982230</v>
      </c>
      <c r="E106" s="127">
        <v>5.3999999999999995</v>
      </c>
      <c r="F106" s="100">
        <v>18</v>
      </c>
      <c r="G106" s="84">
        <v>35531.394192789987</v>
      </c>
      <c r="H106" s="215"/>
      <c r="I106" s="84">
        <f t="shared" si="47"/>
        <v>35531.394192789987</v>
      </c>
      <c r="J106" s="152">
        <f>+G106/F106</f>
        <v>1973.9663440438881</v>
      </c>
      <c r="K106" s="217">
        <f>+J106*K$102</f>
        <v>414.53293224921646</v>
      </c>
      <c r="L106" s="126">
        <f t="shared" si="61"/>
        <v>2388.4992762931047</v>
      </c>
      <c r="M106" s="127">
        <f>+L106*M$102</f>
        <v>716.54978288793143</v>
      </c>
      <c r="N106" s="100">
        <f t="shared" si="62"/>
        <v>3105.0490591810362</v>
      </c>
      <c r="O106" s="110">
        <f>+N106*O$102</f>
        <v>1242.0196236724146</v>
      </c>
      <c r="P106" s="111">
        <f t="shared" si="63"/>
        <v>4347.0686828534508</v>
      </c>
      <c r="Q106">
        <v>7.4999999999999997E-2</v>
      </c>
      <c r="R106" s="84">
        <v>32896.146159874617</v>
      </c>
      <c r="S106">
        <f t="shared" si="49"/>
        <v>8.0108108108108367E-2</v>
      </c>
      <c r="U106" s="71"/>
      <c r="V106" s="75"/>
      <c r="W106" s="245" t="s">
        <v>206</v>
      </c>
    </row>
    <row r="107" spans="1:23" x14ac:dyDescent="0.35">
      <c r="B107" s="71"/>
      <c r="C107" s="72"/>
      <c r="D107" s="73"/>
      <c r="E107" s="199"/>
      <c r="F107" s="74"/>
      <c r="G107" s="74" t="e">
        <v>#N/A</v>
      </c>
      <c r="H107" s="74"/>
      <c r="I107" s="75"/>
      <c r="J107" s="75"/>
      <c r="K107" s="78">
        <v>0.21</v>
      </c>
      <c r="L107" s="78"/>
      <c r="M107" s="78">
        <v>0.22</v>
      </c>
      <c r="N107" s="78"/>
      <c r="O107" s="78">
        <v>0.35</v>
      </c>
      <c r="P107" s="79"/>
      <c r="U107" s="80">
        <v>100521457</v>
      </c>
      <c r="V107" s="24">
        <v>37934.294670846401</v>
      </c>
      <c r="W107" s="1"/>
    </row>
    <row r="108" spans="1:23" x14ac:dyDescent="0.35">
      <c r="B108" s="80">
        <v>100522246</v>
      </c>
      <c r="C108" s="42" t="s">
        <v>158</v>
      </c>
      <c r="D108" s="43">
        <v>7790360984234</v>
      </c>
      <c r="E108" s="81">
        <v>8.16</v>
      </c>
      <c r="F108" s="23">
        <v>48</v>
      </c>
      <c r="G108" s="24">
        <v>116812.71733730749</v>
      </c>
      <c r="H108" s="223"/>
      <c r="I108" s="24">
        <f t="shared" ref="I108:I109" si="64">+G108*(1-H108)</f>
        <v>116812.71733730749</v>
      </c>
      <c r="J108" s="24">
        <f t="shared" ref="J108:J109" si="65">+I108/F108</f>
        <v>2433.5982778605726</v>
      </c>
      <c r="K108" s="24">
        <f t="shared" ref="K108:K109" si="66">+J108*K$3</f>
        <v>511.05563835072024</v>
      </c>
      <c r="L108" s="24">
        <f t="shared" ref="L108:L109" si="67">+J108+K108</f>
        <v>2944.6539162112927</v>
      </c>
      <c r="M108" s="24">
        <f t="shared" ref="M108:M109" si="68">+L108*M$39</f>
        <v>588.9307832422586</v>
      </c>
      <c r="N108" s="24">
        <f t="shared" ref="N108:N109" si="69">+L108+M108</f>
        <v>3533.5846994535514</v>
      </c>
      <c r="O108" s="24">
        <f t="shared" ref="O108:O109" si="70">+N108*O$39</f>
        <v>1236.7546448087428</v>
      </c>
      <c r="P108" s="25">
        <f t="shared" ref="P108:P109" si="71">+N108+O108</f>
        <v>4770.3393442622946</v>
      </c>
      <c r="Q108">
        <v>0.20833333333333301</v>
      </c>
      <c r="R108">
        <v>92476.734558701792</v>
      </c>
      <c r="U108" s="80">
        <v>100521455</v>
      </c>
      <c r="V108" s="24">
        <v>37934.294670846401</v>
      </c>
      <c r="W108" s="1"/>
    </row>
    <row r="109" spans="1:23" x14ac:dyDescent="0.35">
      <c r="B109" s="80">
        <v>100522247</v>
      </c>
      <c r="C109" s="42" t="s">
        <v>159</v>
      </c>
      <c r="D109" s="43">
        <v>7790360984241</v>
      </c>
      <c r="E109" s="81">
        <v>8.16</v>
      </c>
      <c r="F109" s="23">
        <v>48</v>
      </c>
      <c r="G109" s="24">
        <v>116812.71733730749</v>
      </c>
      <c r="H109" s="223"/>
      <c r="I109" s="24">
        <f t="shared" si="64"/>
        <v>116812.71733730749</v>
      </c>
      <c r="J109" s="24">
        <f t="shared" si="65"/>
        <v>2433.5982778605726</v>
      </c>
      <c r="K109" s="24">
        <f t="shared" si="66"/>
        <v>511.05563835072024</v>
      </c>
      <c r="L109" s="24">
        <f t="shared" si="67"/>
        <v>2944.6539162112927</v>
      </c>
      <c r="M109" s="24">
        <f t="shared" si="68"/>
        <v>588.9307832422586</v>
      </c>
      <c r="N109" s="24">
        <f t="shared" si="69"/>
        <v>3533.5846994535514</v>
      </c>
      <c r="O109" s="24">
        <f t="shared" si="70"/>
        <v>1236.7546448087428</v>
      </c>
      <c r="P109" s="25">
        <f t="shared" si="71"/>
        <v>4770.3393442622946</v>
      </c>
      <c r="Q109">
        <v>0.20833333333333301</v>
      </c>
      <c r="R109">
        <v>92476.734558701792</v>
      </c>
      <c r="U109" s="80">
        <v>100521453</v>
      </c>
      <c r="V109" s="24">
        <v>36630.303291536067</v>
      </c>
      <c r="W109" s="1"/>
    </row>
    <row r="110" spans="1:23" x14ac:dyDescent="0.35">
      <c r="U110" s="80">
        <v>100521454</v>
      </c>
      <c r="V110" s="24">
        <v>36630.303291536067</v>
      </c>
    </row>
    <row r="111" spans="1:23" x14ac:dyDescent="0.35">
      <c r="U111" s="71"/>
      <c r="V111" s="75"/>
    </row>
    <row r="112" spans="1:23" x14ac:dyDescent="0.35">
      <c r="U112" s="80">
        <v>100522246</v>
      </c>
      <c r="V112" s="24">
        <v>116812.71733730749</v>
      </c>
    </row>
    <row r="113" spans="21:22" x14ac:dyDescent="0.35">
      <c r="U113" s="80">
        <v>100522247</v>
      </c>
      <c r="V113" s="24">
        <v>116812.71733730749</v>
      </c>
    </row>
  </sheetData>
  <conditionalFormatting sqref="A98:F98">
    <cfRule type="cellIs" dxfId="37" priority="4" stopIfTrue="1" operator="equal">
      <formula>0</formula>
    </cfRule>
  </conditionalFormatting>
  <conditionalFormatting sqref="A101:F101">
    <cfRule type="cellIs" dxfId="36" priority="2" stopIfTrue="1" operator="equal">
      <formula>0</formula>
    </cfRule>
  </conditionalFormatting>
  <conditionalFormatting sqref="B20:C20">
    <cfRule type="cellIs" dxfId="35" priority="67" stopIfTrue="1" operator="equal">
      <formula>0</formula>
    </cfRule>
  </conditionalFormatting>
  <conditionalFormatting sqref="B27:C27">
    <cfRule type="cellIs" dxfId="34" priority="58" stopIfTrue="1" operator="equal">
      <formula>0</formula>
    </cfRule>
  </conditionalFormatting>
  <conditionalFormatting sqref="B63:D63">
    <cfRule type="cellIs" dxfId="33" priority="65" stopIfTrue="1" operator="equal">
      <formula>0</formula>
    </cfRule>
  </conditionalFormatting>
  <conditionalFormatting sqref="B16:F19">
    <cfRule type="cellIs" dxfId="32" priority="54" stopIfTrue="1" operator="equal">
      <formula>0</formula>
    </cfRule>
  </conditionalFormatting>
  <conditionalFormatting sqref="B100:F100">
    <cfRule type="cellIs" dxfId="31" priority="51" stopIfTrue="1" operator="equal">
      <formula>0</formula>
    </cfRule>
  </conditionalFormatting>
  <conditionalFormatting sqref="B103:F106">
    <cfRule type="cellIs" dxfId="30" priority="37" stopIfTrue="1" operator="equal">
      <formula>0</formula>
    </cfRule>
  </conditionalFormatting>
  <conditionalFormatting sqref="B69:P69">
    <cfRule type="cellIs" dxfId="29" priority="9" stopIfTrue="1" operator="equal">
      <formula>0</formula>
    </cfRule>
  </conditionalFormatting>
  <conditionalFormatting sqref="B73:P74">
    <cfRule type="cellIs" dxfId="28" priority="8" stopIfTrue="1" operator="equal">
      <formula>0</formula>
    </cfRule>
  </conditionalFormatting>
  <conditionalFormatting sqref="C28">
    <cfRule type="cellIs" dxfId="27" priority="57" stopIfTrue="1" operator="equal">
      <formula>0</formula>
    </cfRule>
  </conditionalFormatting>
  <conditionalFormatting sqref="D94:F94">
    <cfRule type="cellIs" dxfId="26" priority="27" stopIfTrue="1" operator="equal">
      <formula>0</formula>
    </cfRule>
  </conditionalFormatting>
  <conditionalFormatting sqref="E20:F20">
    <cfRule type="cellIs" dxfId="25" priority="66" stopIfTrue="1" operator="equal">
      <formula>0</formula>
    </cfRule>
  </conditionalFormatting>
  <conditionalFormatting sqref="E89:F93">
    <cfRule type="cellIs" dxfId="24" priority="55" stopIfTrue="1" operator="equal">
      <formula>0</formula>
    </cfRule>
  </conditionalFormatting>
  <conditionalFormatting sqref="E96:F97">
    <cfRule type="cellIs" dxfId="23" priority="53" stopIfTrue="1" operator="equal">
      <formula>0</formula>
    </cfRule>
  </conditionalFormatting>
  <conditionalFormatting sqref="E58:G61 J59:P61">
    <cfRule type="cellIs" dxfId="22" priority="62" stopIfTrue="1" operator="equal">
      <formula>0</formula>
    </cfRule>
  </conditionalFormatting>
  <conditionalFormatting sqref="G16 I16:J16 G17:J20">
    <cfRule type="cellIs" dxfId="21" priority="49" stopIfTrue="1" operator="equal">
      <formula>0</formula>
    </cfRule>
  </conditionalFormatting>
  <conditionalFormatting sqref="H89:H94">
    <cfRule type="cellIs" dxfId="20" priority="7" stopIfTrue="1" operator="equal">
      <formula>0</formula>
    </cfRule>
  </conditionalFormatting>
  <conditionalFormatting sqref="H96:H98">
    <cfRule type="cellIs" dxfId="19" priority="10" stopIfTrue="1" operator="equal">
      <formula>0</formula>
    </cfRule>
  </conditionalFormatting>
  <conditionalFormatting sqref="H100:H101">
    <cfRule type="cellIs" dxfId="18" priority="6" stopIfTrue="1" operator="equal">
      <formula>0</formula>
    </cfRule>
  </conditionalFormatting>
  <conditionalFormatting sqref="H108:I109">
    <cfRule type="cellIs" dxfId="17" priority="5" stopIfTrue="1" operator="equal">
      <formula>0</formula>
    </cfRule>
  </conditionalFormatting>
  <conditionalFormatting sqref="I58:P58">
    <cfRule type="cellIs" dxfId="16" priority="48" stopIfTrue="1" operator="equal">
      <formula>0</formula>
    </cfRule>
  </conditionalFormatting>
  <conditionalFormatting sqref="J96:N98">
    <cfRule type="cellIs" dxfId="15" priority="52" stopIfTrue="1" operator="equal">
      <formula>0</formula>
    </cfRule>
  </conditionalFormatting>
  <conditionalFormatting sqref="J100:N101">
    <cfRule type="cellIs" dxfId="14" priority="50" stopIfTrue="1" operator="equal">
      <formula>0</formula>
    </cfRule>
  </conditionalFormatting>
  <conditionalFormatting sqref="J103:N106">
    <cfRule type="cellIs" dxfId="13" priority="36" stopIfTrue="1" operator="equal">
      <formula>0</formula>
    </cfRule>
  </conditionalFormatting>
  <conditionalFormatting sqref="J90:P94">
    <cfRule type="cellIs" dxfId="12" priority="56" stopIfTrue="1" operator="equal">
      <formula>0</formula>
    </cfRule>
  </conditionalFormatting>
  <conditionalFormatting sqref="M37:M38">
    <cfRule type="cellIs" dxfId="11" priority="60" stopIfTrue="1" operator="equal">
      <formula>0</formula>
    </cfRule>
  </conditionalFormatting>
  <conditionalFormatting sqref="M16:P18 N19:P20">
    <cfRule type="cellIs" dxfId="10" priority="59" stopIfTrue="1" operator="equal">
      <formula>0</formula>
    </cfRule>
  </conditionalFormatting>
  <conditionalFormatting sqref="U27">
    <cfRule type="cellIs" dxfId="9" priority="25" stopIfTrue="1" operator="equal">
      <formula>0</formula>
    </cfRule>
  </conditionalFormatting>
  <conditionalFormatting sqref="U66">
    <cfRule type="cellIs" dxfId="8" priority="26" stopIfTrue="1" operator="equal">
      <formula>0</formula>
    </cfRule>
  </conditionalFormatting>
  <conditionalFormatting sqref="U104">
    <cfRule type="cellIs" dxfId="7" priority="23" stopIfTrue="1" operator="equal">
      <formula>0</formula>
    </cfRule>
  </conditionalFormatting>
  <conditionalFormatting sqref="U106:U109">
    <cfRule type="cellIs" dxfId="6" priority="22" stopIfTrue="1" operator="equal">
      <formula>0</formula>
    </cfRule>
  </conditionalFormatting>
  <conditionalFormatting sqref="U16:V18">
    <cfRule type="cellIs" dxfId="5" priority="18" stopIfTrue="1" operator="equal">
      <formula>0</formula>
    </cfRule>
  </conditionalFormatting>
  <conditionalFormatting sqref="U72:V72">
    <cfRule type="cellIs" dxfId="4" priority="17" stopIfTrue="1" operator="equal">
      <formula>0</formula>
    </cfRule>
  </conditionalFormatting>
  <conditionalFormatting sqref="U76:V77">
    <cfRule type="cellIs" dxfId="3" priority="16" stopIfTrue="1" operator="equal">
      <formula>0</formula>
    </cfRule>
  </conditionalFormatting>
  <conditionalFormatting sqref="V61:V64">
    <cfRule type="cellIs" dxfId="2" priority="19" stopIfTrue="1" operator="equal">
      <formula>0</formula>
    </cfRule>
  </conditionalFormatting>
  <conditionalFormatting sqref="W12:W14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Litoral</vt:lpstr>
      <vt:lpstr>NEA</vt:lpstr>
      <vt:lpstr>NOA</vt:lpstr>
      <vt:lpstr>Sub Litoral</vt:lpstr>
      <vt:lpstr>Sub NEA</vt:lpstr>
      <vt:lpstr>Sub NOA</vt:lpstr>
    </vt:vector>
  </TitlesOfParts>
  <Company>Swift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 Pizarro</dc:creator>
  <cp:lastModifiedBy>Adrian Dalla Verde</cp:lastModifiedBy>
  <dcterms:created xsi:type="dcterms:W3CDTF">2025-03-05T13:00:54Z</dcterms:created>
  <dcterms:modified xsi:type="dcterms:W3CDTF">2026-03-05T00:35:16Z</dcterms:modified>
</cp:coreProperties>
</file>