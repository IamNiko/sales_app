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PricesList/2026-Mar/"/>
    </mc:Choice>
  </mc:AlternateContent>
  <xr:revisionPtr revIDLastSave="15" documentId="8_{9689B191-1B37-4C42-A01F-DD214C73F0CD}" xr6:coauthVersionLast="47" xr6:coauthVersionMax="47" xr10:uidLastSave="{DD92F2C5-157B-44EE-BB34-87C35F6D537E}"/>
  <bookViews>
    <workbookView xWindow="-120" yWindow="-120" windowWidth="20730" windowHeight="11040" xr2:uid="{0222ACF9-068E-4B9B-87F6-A185C33F0E5E}"/>
  </bookViews>
  <sheets>
    <sheet name="Litoral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7" i="1" l="1"/>
  <c r="H36" i="1" l="1"/>
  <c r="I36" i="1" s="1"/>
  <c r="J36" i="1" l="1"/>
  <c r="K36" i="1" s="1"/>
  <c r="L36" i="1" s="1"/>
  <c r="M36" i="1" l="1"/>
  <c r="N36" i="1" l="1"/>
  <c r="O36" i="1" s="1"/>
  <c r="R37" i="1" l="1"/>
  <c r="P36" i="1" l="1"/>
  <c r="H101" i="1" l="1"/>
  <c r="G30" i="1" l="1"/>
  <c r="I101" i="1"/>
  <c r="H98" i="1"/>
  <c r="I98" i="1" s="1"/>
  <c r="P98" i="1" l="1"/>
  <c r="J101" i="1"/>
  <c r="K101" i="1" s="1"/>
  <c r="J98" i="1"/>
  <c r="K98" i="1" s="1"/>
  <c r="H72" i="1"/>
  <c r="I72" i="1" s="1"/>
  <c r="P109" i="1" l="1"/>
  <c r="P108" i="1"/>
  <c r="L101" i="1"/>
  <c r="M101" i="1" s="1"/>
  <c r="L98" i="1"/>
  <c r="M98" i="1" s="1"/>
  <c r="J72" i="1"/>
  <c r="K72" i="1" s="1"/>
  <c r="L72" i="1" s="1"/>
  <c r="N101" i="1" l="1"/>
  <c r="O101" i="1" s="1"/>
  <c r="N98" i="1"/>
  <c r="O98" i="1" s="1"/>
  <c r="M72" i="1"/>
  <c r="N72" i="1" l="1"/>
  <c r="O72" i="1" s="1"/>
  <c r="H33" i="1" l="1"/>
  <c r="P33" i="1" s="1"/>
  <c r="I33" i="1" l="1"/>
  <c r="J33" i="1" s="1"/>
  <c r="K33" i="1" s="1"/>
  <c r="L33" i="1" s="1"/>
  <c r="H31" i="1"/>
  <c r="P31" i="1" s="1"/>
  <c r="I31" i="1" l="1"/>
  <c r="J31" i="1" s="1"/>
  <c r="K31" i="1" s="1"/>
  <c r="L31" i="1" s="1"/>
  <c r="M31" i="1" s="1"/>
  <c r="N31" i="1" s="1"/>
  <c r="M33" i="1"/>
  <c r="N33" i="1" s="1"/>
  <c r="O31" i="1" l="1"/>
  <c r="O33" i="1"/>
  <c r="H97" i="1" l="1"/>
  <c r="I97" i="1" l="1"/>
  <c r="J97" i="1" s="1"/>
  <c r="K97" i="1" s="1"/>
  <c r="P97" i="1"/>
  <c r="L97" i="1" l="1"/>
  <c r="M97" i="1" s="1"/>
  <c r="N97" i="1" l="1"/>
  <c r="O97" i="1" s="1"/>
  <c r="P102" i="1" l="1"/>
  <c r="H42" i="1" l="1"/>
  <c r="H43" i="1"/>
  <c r="H94" i="1"/>
  <c r="I43" i="1" l="1"/>
  <c r="J43" i="1" s="1"/>
  <c r="K43" i="1" s="1"/>
  <c r="L43" i="1" s="1"/>
  <c r="M43" i="1" s="1"/>
  <c r="P43" i="1"/>
  <c r="I42" i="1"/>
  <c r="J42" i="1" s="1"/>
  <c r="K42" i="1" s="1"/>
  <c r="L42" i="1" s="1"/>
  <c r="M42" i="1" s="1"/>
  <c r="P42" i="1"/>
  <c r="I94" i="1"/>
  <c r="J94" i="1" s="1"/>
  <c r="K94" i="1" s="1"/>
  <c r="L94" i="1" s="1"/>
  <c r="P94" i="1"/>
  <c r="H37" i="1"/>
  <c r="M94" i="1" l="1"/>
  <c r="N94" i="1" s="1"/>
  <c r="O94" i="1" s="1"/>
  <c r="H68" i="1"/>
  <c r="H66" i="1"/>
  <c r="H103" i="1"/>
  <c r="H104" i="1"/>
  <c r="H105" i="1"/>
  <c r="H106" i="1"/>
  <c r="N43" i="1"/>
  <c r="O43" i="1" s="1"/>
  <c r="N42" i="1"/>
  <c r="O42" i="1" s="1"/>
  <c r="P103" i="1" l="1"/>
  <c r="P72" i="1"/>
  <c r="P67" i="1"/>
  <c r="P106" i="1"/>
  <c r="P104" i="1"/>
  <c r="P105" i="1"/>
  <c r="P68" i="1"/>
  <c r="P66" i="1"/>
  <c r="P37" i="1"/>
  <c r="I67" i="1"/>
  <c r="J67" i="1" s="1"/>
  <c r="K67" i="1" s="1"/>
  <c r="L67" i="1" s="1"/>
  <c r="M67" i="1" s="1"/>
  <c r="I66" i="1"/>
  <c r="J66" i="1" s="1"/>
  <c r="K66" i="1" s="1"/>
  <c r="L66" i="1" s="1"/>
  <c r="M66" i="1" s="1"/>
  <c r="I68" i="1"/>
  <c r="J68" i="1" s="1"/>
  <c r="K68" i="1" s="1"/>
  <c r="L68" i="1" s="1"/>
  <c r="M68" i="1" s="1"/>
  <c r="N68" i="1" s="1"/>
  <c r="O68" i="1" s="1"/>
  <c r="N67" i="1" l="1"/>
  <c r="O67" i="1" s="1"/>
  <c r="N66" i="1"/>
  <c r="O66" i="1" s="1"/>
  <c r="I106" i="1" l="1"/>
  <c r="I105" i="1"/>
  <c r="J105" i="1" s="1"/>
  <c r="K105" i="1" s="1"/>
  <c r="L105" i="1" s="1"/>
  <c r="I104" i="1"/>
  <c r="I103" i="1"/>
  <c r="J103" i="1" s="1"/>
  <c r="K103" i="1" s="1"/>
  <c r="L103" i="1" l="1"/>
  <c r="M103" i="1" s="1"/>
  <c r="N103" i="1" s="1"/>
  <c r="M105" i="1"/>
  <c r="N105" i="1" s="1"/>
  <c r="J106" i="1"/>
  <c r="K106" i="1" s="1"/>
  <c r="L106" i="1" s="1"/>
  <c r="J104" i="1"/>
  <c r="K104" i="1" s="1"/>
  <c r="H99" i="1"/>
  <c r="H95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1" i="1"/>
  <c r="H70" i="1"/>
  <c r="H69" i="1"/>
  <c r="H65" i="1"/>
  <c r="H64" i="1"/>
  <c r="H63" i="1"/>
  <c r="H62" i="1"/>
  <c r="H61" i="1"/>
  <c r="H60" i="1"/>
  <c r="H59" i="1"/>
  <c r="H57" i="1"/>
  <c r="H56" i="1"/>
  <c r="H55" i="1"/>
  <c r="H52" i="1"/>
  <c r="H51" i="1"/>
  <c r="H50" i="1"/>
  <c r="H49" i="1"/>
  <c r="H48" i="1"/>
  <c r="H47" i="1"/>
  <c r="H46" i="1"/>
  <c r="H45" i="1"/>
  <c r="H44" i="1"/>
  <c r="H41" i="1"/>
  <c r="H40" i="1"/>
  <c r="H39" i="1"/>
  <c r="H38" i="1"/>
  <c r="H35" i="1"/>
  <c r="H34" i="1"/>
  <c r="H32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P63" i="1" l="1"/>
  <c r="P80" i="1"/>
  <c r="P20" i="1"/>
  <c r="P21" i="1"/>
  <c r="P51" i="1"/>
  <c r="P83" i="1"/>
  <c r="P39" i="1"/>
  <c r="P40" i="1"/>
  <c r="P25" i="1"/>
  <c r="P74" i="1"/>
  <c r="P14" i="1"/>
  <c r="P26" i="1"/>
  <c r="P44" i="1"/>
  <c r="P59" i="1"/>
  <c r="P75" i="1"/>
  <c r="P87" i="1"/>
  <c r="P6" i="1"/>
  <c r="P79" i="1"/>
  <c r="P7" i="1"/>
  <c r="P64" i="1"/>
  <c r="P50" i="1"/>
  <c r="P82" i="1"/>
  <c r="P38" i="1"/>
  <c r="P70" i="1"/>
  <c r="P23" i="1"/>
  <c r="P71" i="1"/>
  <c r="P12" i="1"/>
  <c r="P85" i="1"/>
  <c r="P41" i="1"/>
  <c r="P86" i="1"/>
  <c r="P15" i="1"/>
  <c r="P27" i="1"/>
  <c r="P45" i="1"/>
  <c r="P60" i="1"/>
  <c r="P76" i="1"/>
  <c r="P88" i="1"/>
  <c r="P18" i="1"/>
  <c r="P48" i="1"/>
  <c r="P49" i="1"/>
  <c r="P8" i="1"/>
  <c r="P81" i="1"/>
  <c r="P9" i="1"/>
  <c r="P95" i="1"/>
  <c r="P10" i="1"/>
  <c r="P52" i="1"/>
  <c r="P84" i="1"/>
  <c r="P73" i="1"/>
  <c r="P57" i="1"/>
  <c r="P16" i="1"/>
  <c r="P28" i="1"/>
  <c r="P46" i="1"/>
  <c r="P61" i="1"/>
  <c r="P77" i="1"/>
  <c r="P89" i="1"/>
  <c r="P91" i="1"/>
  <c r="P92" i="1"/>
  <c r="P93" i="1"/>
  <c r="P35" i="1"/>
  <c r="P69" i="1"/>
  <c r="P22" i="1"/>
  <c r="P99" i="1"/>
  <c r="P55" i="1"/>
  <c r="P24" i="1"/>
  <c r="P56" i="1"/>
  <c r="P13" i="1"/>
  <c r="P17" i="1"/>
  <c r="P29" i="1"/>
  <c r="P47" i="1"/>
  <c r="P62" i="1"/>
  <c r="P78" i="1"/>
  <c r="P90" i="1"/>
  <c r="P5" i="1"/>
  <c r="P19" i="1"/>
  <c r="P11" i="1"/>
  <c r="P4" i="1"/>
  <c r="P65" i="1"/>
  <c r="P34" i="1"/>
  <c r="P32" i="1"/>
  <c r="P30" i="1"/>
  <c r="H58" i="1"/>
  <c r="H96" i="1"/>
  <c r="L104" i="1"/>
  <c r="M104" i="1" s="1"/>
  <c r="N104" i="1" s="1"/>
  <c r="M106" i="1"/>
  <c r="N106" i="1" s="1"/>
  <c r="O105" i="1"/>
  <c r="O103" i="1"/>
  <c r="P96" i="1" l="1"/>
  <c r="P58" i="1"/>
  <c r="O106" i="1"/>
  <c r="O104" i="1"/>
  <c r="I49" i="1" l="1"/>
  <c r="I96" i="1"/>
  <c r="J96" i="1" s="1"/>
  <c r="I93" i="1"/>
  <c r="J93" i="1" s="1"/>
  <c r="I92" i="1"/>
  <c r="J92" i="1" s="1"/>
  <c r="I91" i="1"/>
  <c r="I90" i="1"/>
  <c r="J90" i="1" s="1"/>
  <c r="K90" i="1" s="1"/>
  <c r="I89" i="1"/>
  <c r="J89" i="1" s="1"/>
  <c r="I87" i="1"/>
  <c r="J87" i="1" s="1"/>
  <c r="K87" i="1" s="1"/>
  <c r="I86" i="1"/>
  <c r="I85" i="1"/>
  <c r="I82" i="1"/>
  <c r="I81" i="1"/>
  <c r="J81" i="1" s="1"/>
  <c r="I80" i="1"/>
  <c r="J80" i="1" s="1"/>
  <c r="K80" i="1" s="1"/>
  <c r="I79" i="1"/>
  <c r="J79" i="1" s="1"/>
  <c r="K79" i="1" s="1"/>
  <c r="I78" i="1"/>
  <c r="I77" i="1"/>
  <c r="I76" i="1"/>
  <c r="I75" i="1"/>
  <c r="I74" i="1"/>
  <c r="I73" i="1"/>
  <c r="I71" i="1"/>
  <c r="I70" i="1"/>
  <c r="J70" i="1" s="1"/>
  <c r="K70" i="1" s="1"/>
  <c r="I69" i="1"/>
  <c r="I64" i="1"/>
  <c r="J64" i="1" s="1"/>
  <c r="D64" i="1"/>
  <c r="I63" i="1"/>
  <c r="J63" i="1" s="1"/>
  <c r="D63" i="1"/>
  <c r="I62" i="1"/>
  <c r="I58" i="1"/>
  <c r="I57" i="1"/>
  <c r="I56" i="1"/>
  <c r="I55" i="1"/>
  <c r="I52" i="1"/>
  <c r="I51" i="1"/>
  <c r="J51" i="1" s="1"/>
  <c r="I50" i="1"/>
  <c r="J50" i="1" s="1"/>
  <c r="I40" i="1"/>
  <c r="J40" i="1" s="1"/>
  <c r="I39" i="1"/>
  <c r="I38" i="1"/>
  <c r="J38" i="1" s="1"/>
  <c r="I37" i="1"/>
  <c r="J37" i="1" s="1"/>
  <c r="I35" i="1"/>
  <c r="I34" i="1"/>
  <c r="I32" i="1"/>
  <c r="I30" i="1"/>
  <c r="J30" i="1" s="1"/>
  <c r="K30" i="1" s="1"/>
  <c r="I29" i="1"/>
  <c r="I28" i="1"/>
  <c r="J28" i="1" s="1"/>
  <c r="K28" i="1" s="1"/>
  <c r="D28" i="1"/>
  <c r="I27" i="1"/>
  <c r="J27" i="1" s="1"/>
  <c r="K27" i="1" s="1"/>
  <c r="I26" i="1"/>
  <c r="J26" i="1" s="1"/>
  <c r="K26" i="1" s="1"/>
  <c r="I25" i="1"/>
  <c r="J25" i="1" s="1"/>
  <c r="K25" i="1" s="1"/>
  <c r="L25" i="1" s="1"/>
  <c r="M25" i="1" s="1"/>
  <c r="N25" i="1" s="1"/>
  <c r="O25" i="1" s="1"/>
  <c r="D25" i="1"/>
  <c r="I24" i="1"/>
  <c r="D24" i="1"/>
  <c r="I23" i="1"/>
  <c r="J23" i="1" s="1"/>
  <c r="I22" i="1"/>
  <c r="J22" i="1" s="1"/>
  <c r="I21" i="1"/>
  <c r="I20" i="1"/>
  <c r="J20" i="1" s="1"/>
  <c r="I19" i="1"/>
  <c r="J19" i="1" s="1"/>
  <c r="I18" i="1"/>
  <c r="I17" i="1"/>
  <c r="J17" i="1" s="1"/>
  <c r="K17" i="1" s="1"/>
  <c r="I16" i="1"/>
  <c r="J16" i="1" s="1"/>
  <c r="K16" i="1" s="1"/>
  <c r="I15" i="1"/>
  <c r="I14" i="1"/>
  <c r="J14" i="1" s="1"/>
  <c r="I13" i="1"/>
  <c r="I12" i="1"/>
  <c r="J12" i="1" s="1"/>
  <c r="K12" i="1" s="1"/>
  <c r="I11" i="1"/>
  <c r="J11" i="1" s="1"/>
  <c r="I10" i="1"/>
  <c r="I9" i="1"/>
  <c r="J9" i="1" s="1"/>
  <c r="K9" i="1" s="1"/>
  <c r="I8" i="1"/>
  <c r="J8" i="1" s="1"/>
  <c r="K8" i="1" s="1"/>
  <c r="I7" i="1"/>
  <c r="I6" i="1"/>
  <c r="J6" i="1" s="1"/>
  <c r="I5" i="1"/>
  <c r="I4" i="1"/>
  <c r="J74" i="1" l="1"/>
  <c r="K74" i="1" s="1"/>
  <c r="L74" i="1" s="1"/>
  <c r="M74" i="1" s="1"/>
  <c r="I45" i="1"/>
  <c r="J45" i="1" s="1"/>
  <c r="K45" i="1" s="1"/>
  <c r="I47" i="1"/>
  <c r="J47" i="1" s="1"/>
  <c r="I59" i="1"/>
  <c r="J59" i="1" s="1"/>
  <c r="K59" i="1" s="1"/>
  <c r="I83" i="1"/>
  <c r="J83" i="1" s="1"/>
  <c r="K83" i="1" s="1"/>
  <c r="L83" i="1" s="1"/>
  <c r="M83" i="1" s="1"/>
  <c r="I60" i="1"/>
  <c r="J60" i="1" s="1"/>
  <c r="I84" i="1"/>
  <c r="J84" i="1" s="1"/>
  <c r="K84" i="1" s="1"/>
  <c r="I41" i="1"/>
  <c r="J41" i="1" s="1"/>
  <c r="K41" i="1" s="1"/>
  <c r="I44" i="1"/>
  <c r="J44" i="1" s="1"/>
  <c r="K44" i="1" s="1"/>
  <c r="I46" i="1"/>
  <c r="J46" i="1" s="1"/>
  <c r="K46" i="1" s="1"/>
  <c r="I65" i="1"/>
  <c r="J65" i="1" s="1"/>
  <c r="K65" i="1" s="1"/>
  <c r="I48" i="1"/>
  <c r="J48" i="1" s="1"/>
  <c r="K48" i="1" s="1"/>
  <c r="L48" i="1" s="1"/>
  <c r="M48" i="1" s="1"/>
  <c r="I61" i="1"/>
  <c r="J61" i="1" s="1"/>
  <c r="K61" i="1" s="1"/>
  <c r="L61" i="1" s="1"/>
  <c r="M61" i="1" s="1"/>
  <c r="K37" i="1"/>
  <c r="L37" i="1" s="1"/>
  <c r="J5" i="1"/>
  <c r="K5" i="1" s="1"/>
  <c r="L5" i="1" s="1"/>
  <c r="M5" i="1" s="1"/>
  <c r="J58" i="1"/>
  <c r="K58" i="1" s="1"/>
  <c r="L79" i="1"/>
  <c r="M79" i="1" s="1"/>
  <c r="J76" i="1"/>
  <c r="K76" i="1" s="1"/>
  <c r="L76" i="1" s="1"/>
  <c r="M76" i="1" s="1"/>
  <c r="J13" i="1"/>
  <c r="K13" i="1" s="1"/>
  <c r="J91" i="1"/>
  <c r="K91" i="1" s="1"/>
  <c r="L91" i="1" s="1"/>
  <c r="M91" i="1" s="1"/>
  <c r="N91" i="1" s="1"/>
  <c r="O91" i="1" s="1"/>
  <c r="K20" i="1"/>
  <c r="L20" i="1" s="1"/>
  <c r="M20" i="1" s="1"/>
  <c r="J35" i="1"/>
  <c r="K35" i="1" s="1"/>
  <c r="K19" i="1"/>
  <c r="L19" i="1" s="1"/>
  <c r="M19" i="1" s="1"/>
  <c r="J77" i="1"/>
  <c r="K77" i="1" s="1"/>
  <c r="J49" i="1"/>
  <c r="K49" i="1" s="1"/>
  <c r="J34" i="1"/>
  <c r="K34" i="1" s="1"/>
  <c r="L34" i="1" s="1"/>
  <c r="J56" i="1"/>
  <c r="K56" i="1" s="1"/>
  <c r="L56" i="1" s="1"/>
  <c r="M56" i="1" s="1"/>
  <c r="J21" i="1"/>
  <c r="K21" i="1" s="1"/>
  <c r="J73" i="1"/>
  <c r="K73" i="1" s="1"/>
  <c r="L73" i="1" s="1"/>
  <c r="M73" i="1" s="1"/>
  <c r="J4" i="1"/>
  <c r="K4" i="1" s="1"/>
  <c r="L4" i="1" s="1"/>
  <c r="M4" i="1" s="1"/>
  <c r="J15" i="1"/>
  <c r="K15" i="1" s="1"/>
  <c r="K11" i="1"/>
  <c r="L11" i="1" s="1"/>
  <c r="M11" i="1" s="1"/>
  <c r="K51" i="1"/>
  <c r="L51" i="1" s="1"/>
  <c r="M51" i="1" s="1"/>
  <c r="J24" i="1"/>
  <c r="K24" i="1" s="1"/>
  <c r="J7" i="1"/>
  <c r="K7" i="1" s="1"/>
  <c r="L7" i="1" s="1"/>
  <c r="M7" i="1" s="1"/>
  <c r="J55" i="1"/>
  <c r="K55" i="1" s="1"/>
  <c r="L55" i="1" s="1"/>
  <c r="M55" i="1" s="1"/>
  <c r="K81" i="1"/>
  <c r="K23" i="1"/>
  <c r="L23" i="1" s="1"/>
  <c r="M23" i="1" s="1"/>
  <c r="K89" i="1"/>
  <c r="L89" i="1" s="1"/>
  <c r="M89" i="1" s="1"/>
  <c r="L90" i="1"/>
  <c r="M90" i="1" s="1"/>
  <c r="L28" i="1"/>
  <c r="M28" i="1" s="1"/>
  <c r="L26" i="1"/>
  <c r="M26" i="1" s="1"/>
  <c r="L30" i="1"/>
  <c r="M30" i="1" s="1"/>
  <c r="N30" i="1" s="1"/>
  <c r="L80" i="1"/>
  <c r="M80" i="1" s="1"/>
  <c r="L70" i="1"/>
  <c r="M70" i="1" s="1"/>
  <c r="L8" i="1"/>
  <c r="M8" i="1" s="1"/>
  <c r="L16" i="1"/>
  <c r="M16" i="1" s="1"/>
  <c r="N16" i="1" s="1"/>
  <c r="L27" i="1"/>
  <c r="M27" i="1" s="1"/>
  <c r="L45" i="1"/>
  <c r="M45" i="1" s="1"/>
  <c r="L87" i="1"/>
  <c r="M87" i="1" s="1"/>
  <c r="L9" i="1"/>
  <c r="M9" i="1" s="1"/>
  <c r="L17" i="1"/>
  <c r="M17" i="1" s="1"/>
  <c r="K6" i="1"/>
  <c r="K14" i="1"/>
  <c r="K22" i="1"/>
  <c r="K38" i="1"/>
  <c r="L38" i="1" s="1"/>
  <c r="K40" i="1"/>
  <c r="K50" i="1"/>
  <c r="K63" i="1"/>
  <c r="K64" i="1"/>
  <c r="K93" i="1"/>
  <c r="J10" i="1"/>
  <c r="K10" i="1" s="1"/>
  <c r="L12" i="1"/>
  <c r="M12" i="1" s="1"/>
  <c r="J18" i="1"/>
  <c r="K18" i="1" s="1"/>
  <c r="J32" i="1"/>
  <c r="K32" i="1" s="1"/>
  <c r="L32" i="1" s="1"/>
  <c r="J71" i="1"/>
  <c r="K71" i="1" s="1"/>
  <c r="K92" i="1"/>
  <c r="J52" i="1"/>
  <c r="K52" i="1" s="1"/>
  <c r="J69" i="1"/>
  <c r="K69" i="1" s="1"/>
  <c r="J86" i="1"/>
  <c r="K86" i="1" s="1"/>
  <c r="K96" i="1"/>
  <c r="L35" i="1" l="1"/>
  <c r="M35" i="1" s="1"/>
  <c r="M37" i="1"/>
  <c r="N37" i="1" s="1"/>
  <c r="O37" i="1" s="1"/>
  <c r="M34" i="1"/>
  <c r="N34" i="1" s="1"/>
  <c r="K60" i="1"/>
  <c r="L60" i="1" s="1"/>
  <c r="M60" i="1" s="1"/>
  <c r="K47" i="1"/>
  <c r="L47" i="1" s="1"/>
  <c r="M47" i="1" s="1"/>
  <c r="N47" i="1" s="1"/>
  <c r="O47" i="1" s="1"/>
  <c r="L58" i="1"/>
  <c r="L24" i="1"/>
  <c r="M24" i="1" s="1"/>
  <c r="N24" i="1" s="1"/>
  <c r="O24" i="1" s="1"/>
  <c r="L49" i="1"/>
  <c r="M49" i="1" s="1"/>
  <c r="N49" i="1" s="1"/>
  <c r="O49" i="1" s="1"/>
  <c r="L15" i="1"/>
  <c r="M15" i="1" s="1"/>
  <c r="N79" i="1"/>
  <c r="O79" i="1" s="1"/>
  <c r="L21" i="1"/>
  <c r="M21" i="1" s="1"/>
  <c r="N5" i="1"/>
  <c r="O5" i="1" s="1"/>
  <c r="L41" i="1"/>
  <c r="M41" i="1" s="1"/>
  <c r="N41" i="1" s="1"/>
  <c r="O41" i="1" s="1"/>
  <c r="L65" i="1"/>
  <c r="M65" i="1" s="1"/>
  <c r="N65" i="1" s="1"/>
  <c r="O65" i="1" s="1"/>
  <c r="L13" i="1"/>
  <c r="M13" i="1" s="1"/>
  <c r="N13" i="1" s="1"/>
  <c r="O13" i="1" s="1"/>
  <c r="L77" i="1"/>
  <c r="M77" i="1" s="1"/>
  <c r="N77" i="1" s="1"/>
  <c r="O77" i="1" s="1"/>
  <c r="L59" i="1"/>
  <c r="M59" i="1" s="1"/>
  <c r="N59" i="1" s="1"/>
  <c r="O59" i="1" s="1"/>
  <c r="L81" i="1"/>
  <c r="M81" i="1" s="1"/>
  <c r="N81" i="1" s="1"/>
  <c r="O81" i="1" s="1"/>
  <c r="L52" i="1"/>
  <c r="M52" i="1" s="1"/>
  <c r="L18" i="1"/>
  <c r="M18" i="1" s="1"/>
  <c r="N27" i="1"/>
  <c r="O27" i="1" s="1"/>
  <c r="N26" i="1"/>
  <c r="O26" i="1" s="1"/>
  <c r="N73" i="1"/>
  <c r="O73" i="1" s="1"/>
  <c r="L84" i="1"/>
  <c r="M84" i="1" s="1"/>
  <c r="N17" i="1"/>
  <c r="O17" i="1" s="1"/>
  <c r="O30" i="1"/>
  <c r="L44" i="1"/>
  <c r="M44" i="1" s="1"/>
  <c r="N56" i="1"/>
  <c r="O56" i="1" s="1"/>
  <c r="N89" i="1"/>
  <c r="O89" i="1" s="1"/>
  <c r="O16" i="1"/>
  <c r="N74" i="1"/>
  <c r="O74" i="1" s="1"/>
  <c r="L10" i="1"/>
  <c r="M10" i="1" s="1"/>
  <c r="N28" i="1"/>
  <c r="O28" i="1" s="1"/>
  <c r="L71" i="1"/>
  <c r="M71" i="1" s="1"/>
  <c r="N48" i="1"/>
  <c r="O48" i="1" s="1"/>
  <c r="N4" i="1"/>
  <c r="O4" i="1" s="1"/>
  <c r="N55" i="1"/>
  <c r="O55" i="1" s="1"/>
  <c r="N61" i="1"/>
  <c r="O61" i="1" s="1"/>
  <c r="N80" i="1"/>
  <c r="O80" i="1" s="1"/>
  <c r="N19" i="1"/>
  <c r="O19" i="1" s="1"/>
  <c r="L46" i="1"/>
  <c r="M46" i="1" s="1"/>
  <c r="N11" i="1"/>
  <c r="O11" i="1" s="1"/>
  <c r="M32" i="1"/>
  <c r="N32" i="1" s="1"/>
  <c r="L69" i="1"/>
  <c r="M69" i="1" s="1"/>
  <c r="N20" i="1"/>
  <c r="O20" i="1" s="1"/>
  <c r="L86" i="1"/>
  <c r="M86" i="1" s="1"/>
  <c r="N76" i="1"/>
  <c r="O76" i="1" s="1"/>
  <c r="N7" i="1"/>
  <c r="O7" i="1" s="1"/>
  <c r="N83" i="1"/>
  <c r="O83" i="1" s="1"/>
  <c r="L64" i="1"/>
  <c r="M64" i="1" s="1"/>
  <c r="L63" i="1"/>
  <c r="M63" i="1" s="1"/>
  <c r="N23" i="1"/>
  <c r="O23" i="1" s="1"/>
  <c r="L92" i="1"/>
  <c r="M92" i="1" s="1"/>
  <c r="L96" i="1"/>
  <c r="M96" i="1" s="1"/>
  <c r="L50" i="1"/>
  <c r="M50" i="1" s="1"/>
  <c r="N9" i="1"/>
  <c r="O9" i="1" s="1"/>
  <c r="N12" i="1"/>
  <c r="O12" i="1" s="1"/>
  <c r="N90" i="1"/>
  <c r="O90" i="1" s="1"/>
  <c r="L40" i="1"/>
  <c r="M40" i="1" s="1"/>
  <c r="N8" i="1"/>
  <c r="O8" i="1" s="1"/>
  <c r="N45" i="1"/>
  <c r="O45" i="1" s="1"/>
  <c r="M38" i="1"/>
  <c r="N38" i="1" s="1"/>
  <c r="L22" i="1"/>
  <c r="M22" i="1" s="1"/>
  <c r="L93" i="1"/>
  <c r="M93" i="1" s="1"/>
  <c r="L14" i="1"/>
  <c r="M14" i="1" s="1"/>
  <c r="N87" i="1"/>
  <c r="O87" i="1" s="1"/>
  <c r="N51" i="1"/>
  <c r="O51" i="1" s="1"/>
  <c r="L6" i="1"/>
  <c r="M6" i="1" s="1"/>
  <c r="N70" i="1"/>
  <c r="O70" i="1" s="1"/>
  <c r="N35" i="1" l="1"/>
  <c r="O35" i="1"/>
  <c r="M58" i="1"/>
  <c r="N58" i="1" s="1"/>
  <c r="O34" i="1"/>
  <c r="N21" i="1"/>
  <c r="O21" i="1" s="1"/>
  <c r="N15" i="1"/>
  <c r="O15" i="1" s="1"/>
  <c r="N63" i="1"/>
  <c r="O63" i="1" s="1"/>
  <c r="N60" i="1"/>
  <c r="O60" i="1" s="1"/>
  <c r="O32" i="1"/>
  <c r="N71" i="1"/>
  <c r="O71" i="1" s="1"/>
  <c r="N14" i="1"/>
  <c r="O14" i="1" s="1"/>
  <c r="N69" i="1"/>
  <c r="O69" i="1" s="1"/>
  <c r="N22" i="1"/>
  <c r="O22" i="1" s="1"/>
  <c r="N6" i="1"/>
  <c r="O6" i="1" s="1"/>
  <c r="N18" i="1"/>
  <c r="O18" i="1" s="1"/>
  <c r="N93" i="1"/>
  <c r="O93" i="1" s="1"/>
  <c r="N40" i="1"/>
  <c r="O40" i="1" s="1"/>
  <c r="N84" i="1"/>
  <c r="O84" i="1" s="1"/>
  <c r="N64" i="1"/>
  <c r="O64" i="1" s="1"/>
  <c r="N96" i="1"/>
  <c r="O96" i="1" s="1"/>
  <c r="N86" i="1"/>
  <c r="O86" i="1" s="1"/>
  <c r="O38" i="1"/>
  <c r="N50" i="1"/>
  <c r="O50" i="1" s="1"/>
  <c r="N44" i="1"/>
  <c r="O44" i="1" s="1"/>
  <c r="N52" i="1"/>
  <c r="O52" i="1" s="1"/>
  <c r="N92" i="1"/>
  <c r="O92" i="1" s="1"/>
  <c r="N46" i="1"/>
  <c r="O46" i="1" s="1"/>
  <c r="N10" i="1"/>
  <c r="O10" i="1" s="1"/>
  <c r="O58" i="1" l="1"/>
  <c r="H53" i="1" l="1"/>
  <c r="I53" i="1" l="1"/>
  <c r="J53" i="1" s="1"/>
  <c r="K53" i="1" s="1"/>
  <c r="P53" i="1"/>
  <c r="L53" i="1" l="1"/>
  <c r="M53" i="1" s="1"/>
  <c r="N53" i="1" l="1"/>
  <c r="O53" i="1" s="1"/>
  <c r="H54" i="1"/>
  <c r="P54" i="1" l="1"/>
  <c r="I54" i="1"/>
  <c r="J54" i="1" l="1"/>
  <c r="K54" i="1" s="1"/>
  <c r="L54" i="1" l="1"/>
  <c r="M54" i="1" s="1"/>
  <c r="N54" i="1" l="1"/>
  <c r="O54" i="1" s="1"/>
  <c r="H100" i="1" l="1"/>
  <c r="P100" i="1" l="1"/>
  <c r="I100" i="1"/>
  <c r="J100" i="1" l="1"/>
  <c r="K100" i="1" s="1"/>
  <c r="L100" i="1" l="1"/>
  <c r="M100" i="1" s="1"/>
  <c r="N100" i="1" l="1"/>
  <c r="O100" i="1" s="1"/>
</calcChain>
</file>

<file path=xl/sharedStrings.xml><?xml version="1.0" encoding="utf-8"?>
<sst xmlns="http://schemas.openxmlformats.org/spreadsheetml/2006/main" count="130" uniqueCount="123">
  <si>
    <t>Código</t>
  </si>
  <si>
    <t>Descripción</t>
  </si>
  <si>
    <t>EAN</t>
  </si>
  <si>
    <t>Kg. x Caja</t>
  </si>
  <si>
    <t>Cant. X Caja</t>
  </si>
  <si>
    <t>Precio Neto estuche en factura</t>
  </si>
  <si>
    <t>IVA</t>
  </si>
  <si>
    <t>Px Unitario IVA Inc</t>
  </si>
  <si>
    <t>M-up Dx</t>
  </si>
  <si>
    <t>Px Unitario Minorista</t>
  </si>
  <si>
    <t>M-up Minorista</t>
  </si>
  <si>
    <t xml:space="preserve">Px Unitario Público </t>
  </si>
  <si>
    <t>HAMBURGUESAS 30x160g CLASICA x2 SWIFT</t>
  </si>
  <si>
    <t>HAMBURGUESA 18X4X80G CLASICA SWIFT</t>
  </si>
  <si>
    <t>HAMBURGUESA 8X12X80G CLASICA SWIFT</t>
  </si>
  <si>
    <t xml:space="preserve">HAMBURGUESA 6X20X80G CLASICA SWIFT </t>
  </si>
  <si>
    <t>MEDALLON 18X4X80G PARRILLERO SWIFT</t>
  </si>
  <si>
    <t>MEDALLONES 18X4X80G SWIFT RECETA ESPECIAL</t>
  </si>
  <si>
    <t>MEDALLON BURGER SWIFT MEGA 30 x 160 g</t>
  </si>
  <si>
    <t>Medallón CAJITA 12x4 69 grs</t>
  </si>
  <si>
    <t>HAMBURGUESA 8X12X69G BURGER SWIFT</t>
  </si>
  <si>
    <t>MEDALLON 42X112G DOBLE BURGER SWIFT</t>
  </si>
  <si>
    <t>MEDALLON DOBLE BURGER 2X2</t>
  </si>
  <si>
    <t xml:space="preserve">HAMBURGUESA 30X250g CLASICA "XL" SWIFT </t>
  </si>
  <si>
    <r>
      <t xml:space="preserve">HAMBURGUESA 24X2X120g </t>
    </r>
    <r>
      <rPr>
        <b/>
        <sz val="9"/>
        <rFont val="Aptos Narrow"/>
        <family val="2"/>
        <scheme val="minor"/>
      </rPr>
      <t>CASERA</t>
    </r>
    <r>
      <rPr>
        <sz val="9"/>
        <rFont val="Aptos Narrow"/>
        <family val="2"/>
        <scheme val="minor"/>
      </rPr>
      <t xml:space="preserve"> SWIFT</t>
    </r>
  </si>
  <si>
    <t>HAMBURGUESA X-TREMA 36 x 185 grs</t>
  </si>
  <si>
    <t xml:space="preserve">HAMBURGUESAS 18X2X120g CLL BRA/ARG </t>
  </si>
  <si>
    <t>MEDALLON 42X112G LA BLANCA</t>
  </si>
  <si>
    <t>MEDALLON 12x4X69G LA BLANCA</t>
  </si>
  <si>
    <t>MEDALLONES 60X80g "SWIFT BURGER" PARRILLERAS FAMILY</t>
  </si>
  <si>
    <t>MEDALLONES 60X69g "SWIFT BURGER"PARRILLERAS  FAMILY</t>
  </si>
  <si>
    <t>MEDALLON 60X69G CARNE VACUNA</t>
  </si>
  <si>
    <t>MEDALLON 60x80g PARRILLERO MC SWIFT</t>
  </si>
  <si>
    <t>MEDALLON 60X109G CARNE VACUNA PARRILLERO SWIFT</t>
  </si>
  <si>
    <t xml:space="preserve">MEDALLON GIGANTE 48x113.5g </t>
  </si>
  <si>
    <t>HAMBURGUESA 36 X 185 GRS</t>
  </si>
  <si>
    <t>HAMBURGUESA 30x2x106 GRS</t>
  </si>
  <si>
    <t>SALCHICHAS 24X6 SWIFT</t>
  </si>
  <si>
    <t>SALCHICHAS 12X12 SWIFT</t>
  </si>
  <si>
    <t>SALCHICHAS SIN PIEL 24X6 "SWIFT KIDS" X 190 g</t>
  </si>
  <si>
    <t>SALCHICHAS  LARGAS  10 x 12  SWIFT  INSTITUCIONAL</t>
  </si>
  <si>
    <t>SALCHICHAS SIN PIEL "LA BLANCA"  24X6X190 Grs;</t>
  </si>
  <si>
    <t xml:space="preserve">SALCHICHAS LARGAS 10 x 12 x 870g  </t>
  </si>
  <si>
    <t>PATE DE FOIE 24X90G SWIFT</t>
  </si>
  <si>
    <t xml:space="preserve">PICADILLO DE CARNE 24X90G SWIFT </t>
  </si>
  <si>
    <t>PICADILLO DE CARNE PICANTE 24X90G SWIFT</t>
  </si>
  <si>
    <t>PATE DE FOIE A LA CREMA 24X88G SWIFT</t>
  </si>
  <si>
    <t>JAMON DEL DIABLO 24X88G SWIFT</t>
  </si>
  <si>
    <t>PATE DE FOIE DE POLLO 24X85G SWIFT</t>
  </si>
  <si>
    <t>PATE DE FOIE TIPO PROVENZAL 24X85G SWIFT GOURMET</t>
  </si>
  <si>
    <t>PATE DE FOIE C/PIMIENTA VERDE 24X85G SWIFT GOURMET</t>
  </si>
  <si>
    <t xml:space="preserve">PATE JAMON AHUMADO 24X85G </t>
  </si>
  <si>
    <t>PATE HONGOS 24X85G</t>
  </si>
  <si>
    <t>PATE DE SALMON 24X85G SWIFT GOURMET</t>
  </si>
  <si>
    <t>PICADILLO DE CARNE 24X90G LA BLANCA</t>
  </si>
  <si>
    <t>PATE DE FOIE 24X90G LA BLANCA</t>
  </si>
  <si>
    <t>PICADILLO DE CARNE 24X90G SAFRA</t>
  </si>
  <si>
    <t>PATE DE FOIE 24X90G SAFRA</t>
  </si>
  <si>
    <t>MILANESAS DE  SOJA CLASICAS PREFRITA</t>
  </si>
  <si>
    <t>MILANESAS DE  SOJA RELLENAS CON JAMON Y QUESO</t>
  </si>
  <si>
    <t>MILANESAS DE  SOJA RELLENAS CON ESPINACA Y QUESO</t>
  </si>
  <si>
    <t>MILANESAS DE  SOJA RELLENAS CON TOMATE Y QUESO</t>
  </si>
  <si>
    <t>BOCADITOS DE CARNE "SWIFT" - 12x380g</t>
  </si>
  <si>
    <t>BOCADITOS DE POLLO "SWIFT" - 12x380g</t>
  </si>
  <si>
    <t>BOCADITOS DE POLLO "SWIFT" - 10x760g</t>
  </si>
  <si>
    <t>BOCADITOS DE POLLO GASTRONOMICOS "LA BLANCA" - x6kg</t>
  </si>
  <si>
    <t>PALITO DE POLLO "SWIFT"  12 X 260 Grs.</t>
  </si>
  <si>
    <t>PALITO DE POLLO "SWIFT"  8 X 1 Kg..</t>
  </si>
  <si>
    <t>MEDALLONES DE POLLO "SWIFT" - 12x4x80g</t>
  </si>
  <si>
    <t>MEDALLONES DE POLLO GASTRONÓMICO  8x12x80 Grs.</t>
  </si>
  <si>
    <t>PAPAS PREFRITAS SUPERCONGELADAS 25x400gr</t>
  </si>
  <si>
    <t>PAPAS PREFRITAS SUPERCONGELADAS 6x2000gr</t>
  </si>
  <si>
    <t>MILANESA DE CARNE VACUNA CONGELADA 24un x 500grs</t>
  </si>
  <si>
    <t>MILANESA DE CARNE VACUNA CONGELADA 12un x 1000grs</t>
  </si>
  <si>
    <t xml:space="preserve">MILANESAS DE CARNE VACUNA CONG GRANEL 5 kg </t>
  </si>
  <si>
    <t>GRASA VACUNA REFINADA SWIFT 10 X 500</t>
  </si>
  <si>
    <t>GRASA VACUNA REFINADA SWIFT 12x1Kg</t>
  </si>
  <si>
    <t>CARNE PICADA CONGELADA 36 UN X 500 g SWIFT</t>
  </si>
  <si>
    <t>CARNE PICADA CONGELADA 20 UN X 1 kg SWIFT</t>
  </si>
  <si>
    <t>ENTRAÑA FINA ENF SWIFT</t>
  </si>
  <si>
    <t>ROAST BEEF EN PORCIONES ENF SWIFT (L)</t>
  </si>
  <si>
    <t>CARNAZA CUADRADA EN PORCIONES ENF SWIFT (L)</t>
  </si>
  <si>
    <t>TAPA DE ASADO EN PORCIONES ENF SWIFT (L)</t>
  </si>
  <si>
    <t>VACIO EN PORCIONES NOV ENFRIADO PARA VENTA LOCAL (L)</t>
  </si>
  <si>
    <t>CHORIZOS FRESCOS DE CERDO LIBRE DE GLUTEN</t>
  </si>
  <si>
    <t>PAPAS PRE COCIDAS SUPERCONGELADAS LIBRES DE GLUTEN 700G</t>
  </si>
  <si>
    <t>Precio de Lista</t>
  </si>
  <si>
    <t>Dcto</t>
  </si>
  <si>
    <t>NUGGETS DE ESPINACA 300GR</t>
  </si>
  <si>
    <t>NUGGETS DE BRÓCOLI 300GR</t>
  </si>
  <si>
    <t>MEDALLÓN DE CALABAZA Y CHOCLO 300GR</t>
  </si>
  <si>
    <t>MEDALLÓN DE ESPINACA 300GR</t>
  </si>
  <si>
    <t>CRUNCHIES DE POLLO "SWIFT" - 12x380g</t>
  </si>
  <si>
    <t>BOCADITOS DE POLLO "SWIFT KIDS" - 12x400g</t>
  </si>
  <si>
    <t>MILANESITAS DE CARNE "SWIFT" - 12x400g</t>
  </si>
  <si>
    <t>CRUNCHIES DE POLLO "SWIFT" - 10x760g</t>
  </si>
  <si>
    <t>Picadillo de Carne Picante Chile Chipotle 24x90 g</t>
  </si>
  <si>
    <t>Pate de Foie Jalapeño 24x90 Swift</t>
  </si>
  <si>
    <t>BONDIOLA DE CERDO CONGELADA</t>
  </si>
  <si>
    <t>CHORIZOS FRESCOS DE CERDO CONGELADOS LIBRE DE GLUTEN 12u x 400g</t>
  </si>
  <si>
    <t>NOV</t>
  </si>
  <si>
    <t>LOMO DE ATUN AL NATURAL SWIFT 170g</t>
  </si>
  <si>
    <t>LOMO DE ATUN EN ACEITE SWIFT 170g</t>
  </si>
  <si>
    <t>Papas Prefritas Supercongeladas libres de gluten 7u x 2 kg</t>
  </si>
  <si>
    <t>Compra 11 estuches + 1 de regalo ----&gt; OFERTA $2.100 público</t>
  </si>
  <si>
    <t>Conveniencia vs 22085: Oferta $3.990</t>
  </si>
  <si>
    <t>Oferta incluida en lista: $1.700</t>
  </si>
  <si>
    <t>CHORIZOS CONGELADOS DE CERDO LIBRE DE GLUTEN SWIFT GRANEL: 8 paq x 20 u (2kg por paq)</t>
  </si>
  <si>
    <t>OFERTAS Y ACCIONES</t>
  </si>
  <si>
    <t>Precio oferta</t>
  </si>
  <si>
    <t>Conveniencia vs 22085: Oferta $4150</t>
  </si>
  <si>
    <t>Oferta neteada en lista $3057</t>
  </si>
  <si>
    <t>Oferta neteada en lista $4066</t>
  </si>
  <si>
    <t>OFERTA INCORPORACION.</t>
  </si>
  <si>
    <t>Oferta a px en factura neteada en lista, para $2.920 público</t>
  </si>
  <si>
    <t>Oferta a px en factura neteada en lista, para $5.743 público</t>
  </si>
  <si>
    <t>OFERTA $2.200 público</t>
  </si>
  <si>
    <t>Oferta a px en factura para $4.950 público</t>
  </si>
  <si>
    <t>Oferta a px en factura para $4.250 público</t>
  </si>
  <si>
    <t>EJ DE ACCION PDV: COMPRA 20 ESTUCHES + 1 DE REGALO</t>
  </si>
  <si>
    <t>EJ DE ACCION PDV: Oferta 10+1</t>
  </si>
  <si>
    <t>EJ DE ACCION PDV: OFERTA compra 7 bolsas , recibe 8.</t>
  </si>
  <si>
    <t>EJ DE ACCION PDV: 1 paq. Gratis x caja ---&gt; OFERTA $13.000.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</si>
</sst>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,##0.00_ ;[Red]\-#,##0.00\ "/>
    <numFmt numFmtId="165" formatCode="#,##0_ ;[Red]\-#,##0\ "/>
    <numFmt numFmtId="166" formatCode="#,##0.0_ ;[Red]\-#,##0.0\ "/>
    <numFmt numFmtId="167" formatCode="0.0%"/>
    <numFmt numFmtId="171" formatCode="_-&quot;$&quot;\ * #,##0_-;\-&quot;$&quot;\ * #,##0_-;_-&quot;$&quot;\ * &quot;-&quot;??_-;_-@_-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name val="Arial"/>
      <family val="2"/>
    </font>
    <font>
      <b/>
      <sz val="9"/>
      <color indexed="9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"/>
      <family val="2"/>
    </font>
  </fonts>
  <fills count="39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medium">
        <color indexed="64"/>
      </top>
      <bottom style="thin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64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9" fontId="3" fillId="0" borderId="0" applyFill="0" applyBorder="0" applyAlignment="0" applyProtection="0"/>
    <xf numFmtId="9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25" applyNumberFormat="0" applyFill="0" applyAlignment="0" applyProtection="0"/>
    <xf numFmtId="0" fontId="16" fillId="0" borderId="26" applyNumberFormat="0" applyFill="0" applyAlignment="0" applyProtection="0"/>
    <xf numFmtId="0" fontId="17" fillId="0" borderId="27" applyNumberFormat="0" applyFill="0" applyAlignment="0" applyProtection="0"/>
    <xf numFmtId="0" fontId="17" fillId="0" borderId="0" applyNumberFormat="0" applyFill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1" fillId="11" borderId="28" applyNumberFormat="0" applyAlignment="0" applyProtection="0"/>
    <xf numFmtId="0" fontId="22" fillId="12" borderId="29" applyNumberFormat="0" applyAlignment="0" applyProtection="0"/>
    <xf numFmtId="0" fontId="23" fillId="12" borderId="28" applyNumberFormat="0" applyAlignment="0" applyProtection="0"/>
    <xf numFmtId="0" fontId="24" fillId="0" borderId="30" applyNumberFormat="0" applyFill="0" applyAlignment="0" applyProtection="0"/>
    <xf numFmtId="0" fontId="25" fillId="13" borderId="31" applyNumberFormat="0" applyAlignment="0" applyProtection="0"/>
    <xf numFmtId="0" fontId="26" fillId="0" borderId="0" applyNumberFormat="0" applyFill="0" applyBorder="0" applyAlignment="0" applyProtection="0"/>
    <xf numFmtId="0" fontId="1" fillId="14" borderId="32" applyNumberFormat="0" applyFont="0" applyAlignment="0" applyProtection="0"/>
    <xf numFmtId="0" fontId="27" fillId="0" borderId="0" applyNumberFormat="0" applyFill="0" applyBorder="0" applyAlignment="0" applyProtection="0"/>
    <xf numFmtId="0" fontId="12" fillId="0" borderId="33" applyNumberFormat="0" applyFill="0" applyAlignment="0" applyProtection="0"/>
    <xf numFmtId="0" fontId="2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8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4">
    <xf numFmtId="0" fontId="0" fillId="0" borderId="0" xfId="0"/>
    <xf numFmtId="0" fontId="2" fillId="0" borderId="0" xfId="0" applyFont="1"/>
    <xf numFmtId="2" fontId="2" fillId="0" borderId="0" xfId="0" applyNumberFormat="1" applyFont="1"/>
    <xf numFmtId="1" fontId="2" fillId="0" borderId="0" xfId="0" applyNumberFormat="1" applyFont="1"/>
    <xf numFmtId="0" fontId="4" fillId="2" borderId="1" xfId="2" applyFont="1" applyFill="1" applyBorder="1" applyAlignment="1">
      <alignment horizontal="center" vertical="distributed"/>
    </xf>
    <xf numFmtId="0" fontId="4" fillId="2" borderId="2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distributed"/>
    </xf>
    <xf numFmtId="2" fontId="4" fillId="2" borderId="2" xfId="2" applyNumberFormat="1" applyFont="1" applyFill="1" applyBorder="1" applyAlignment="1">
      <alignment horizontal="center" vertical="distributed"/>
    </xf>
    <xf numFmtId="0" fontId="4" fillId="2" borderId="2" xfId="2" applyFont="1" applyFill="1" applyBorder="1" applyAlignment="1">
      <alignment horizontal="center" vertical="center" wrapText="1"/>
    </xf>
    <xf numFmtId="1" fontId="4" fillId="2" borderId="3" xfId="2" applyNumberFormat="1" applyFont="1" applyFill="1" applyBorder="1" applyAlignment="1">
      <alignment horizontal="center" vertical="center" wrapText="1"/>
    </xf>
    <xf numFmtId="1" fontId="4" fillId="0" borderId="0" xfId="2" applyNumberFormat="1" applyFont="1" applyAlignment="1">
      <alignment horizontal="center" vertical="center" wrapText="1"/>
    </xf>
    <xf numFmtId="14" fontId="4" fillId="3" borderId="3" xfId="2" applyNumberFormat="1" applyFont="1" applyFill="1" applyBorder="1" applyAlignment="1">
      <alignment horizontal="center" vertical="center" wrapText="1"/>
    </xf>
    <xf numFmtId="0" fontId="5" fillId="4" borderId="4" xfId="2" applyFont="1" applyFill="1" applyBorder="1" applyAlignment="1" applyProtection="1">
      <alignment horizontal="center" vertical="center"/>
      <protection hidden="1"/>
    </xf>
    <xf numFmtId="0" fontId="5" fillId="4" borderId="5" xfId="2" applyFont="1" applyFill="1" applyBorder="1" applyAlignment="1" applyProtection="1">
      <alignment vertical="center"/>
      <protection hidden="1"/>
    </xf>
    <xf numFmtId="0" fontId="5" fillId="4" borderId="5" xfId="2" applyFont="1" applyFill="1" applyBorder="1" applyAlignment="1" applyProtection="1">
      <alignment horizontal="center" vertical="center"/>
      <protection hidden="1"/>
    </xf>
    <xf numFmtId="2" fontId="5" fillId="4" borderId="5" xfId="2" applyNumberFormat="1" applyFont="1" applyFill="1" applyBorder="1" applyAlignment="1" applyProtection="1">
      <alignment vertical="center"/>
      <protection hidden="1"/>
    </xf>
    <xf numFmtId="0" fontId="2" fillId="5" borderId="5" xfId="0" applyFont="1" applyFill="1" applyBorder="1"/>
    <xf numFmtId="9" fontId="2" fillId="5" borderId="5" xfId="0" applyNumberFormat="1" applyFont="1" applyFill="1" applyBorder="1"/>
    <xf numFmtId="1" fontId="2" fillId="5" borderId="6" xfId="0" applyNumberFormat="1" applyFont="1" applyFill="1" applyBorder="1"/>
    <xf numFmtId="0" fontId="6" fillId="0" borderId="8" xfId="3" applyFont="1" applyBorder="1"/>
    <xf numFmtId="1" fontId="6" fillId="0" borderId="8" xfId="2" applyNumberFormat="1" applyFont="1" applyBorder="1" applyAlignment="1">
      <alignment horizontal="center"/>
    </xf>
    <xf numFmtId="164" fontId="5" fillId="0" borderId="8" xfId="2" applyNumberFormat="1" applyFont="1" applyBorder="1" applyAlignment="1">
      <alignment horizontal="center"/>
    </xf>
    <xf numFmtId="165" fontId="5" fillId="0" borderId="8" xfId="2" applyNumberFormat="1" applyFont="1" applyBorder="1" applyAlignment="1">
      <alignment horizontal="center"/>
    </xf>
    <xf numFmtId="2" fontId="6" fillId="0" borderId="8" xfId="2" applyNumberFormat="1" applyFont="1" applyBorder="1" applyAlignment="1">
      <alignment horizontal="center"/>
    </xf>
    <xf numFmtId="1" fontId="6" fillId="0" borderId="9" xfId="2" applyNumberFormat="1" applyFont="1" applyBorder="1" applyAlignment="1">
      <alignment horizontal="center"/>
    </xf>
    <xf numFmtId="0" fontId="6" fillId="0" borderId="7" xfId="3" applyFont="1" applyFill="1" applyBorder="1" applyAlignment="1">
      <alignment horizontal="center"/>
    </xf>
    <xf numFmtId="0" fontId="6" fillId="0" borderId="7" xfId="2" applyFont="1" applyBorder="1" applyAlignment="1">
      <alignment horizontal="center"/>
    </xf>
    <xf numFmtId="0" fontId="6" fillId="0" borderId="8" xfId="2" applyFont="1" applyBorder="1" applyAlignment="1">
      <alignment horizontal="left"/>
    </xf>
    <xf numFmtId="2" fontId="6" fillId="6" borderId="8" xfId="2" applyNumberFormat="1" applyFont="1" applyFill="1" applyBorder="1" applyAlignment="1">
      <alignment horizontal="center"/>
    </xf>
    <xf numFmtId="0" fontId="6" fillId="0" borderId="8" xfId="3" applyFont="1" applyFill="1" applyBorder="1"/>
    <xf numFmtId="1" fontId="6" fillId="0" borderId="8" xfId="3" applyNumberFormat="1" applyFont="1" applyFill="1" applyBorder="1" applyAlignment="1">
      <alignment horizontal="center"/>
    </xf>
    <xf numFmtId="0" fontId="5" fillId="4" borderId="7" xfId="2" applyFont="1" applyFill="1" applyBorder="1" applyAlignment="1" applyProtection="1">
      <alignment horizontal="center" vertical="center"/>
      <protection hidden="1"/>
    </xf>
    <xf numFmtId="0" fontId="5" fillId="4" borderId="8" xfId="2" applyFont="1" applyFill="1" applyBorder="1" applyAlignment="1" applyProtection="1">
      <alignment vertical="center"/>
      <protection hidden="1"/>
    </xf>
    <xf numFmtId="0" fontId="5" fillId="4" borderId="8" xfId="2" applyFont="1" applyFill="1" applyBorder="1" applyAlignment="1" applyProtection="1">
      <alignment horizontal="center" vertical="center"/>
      <protection hidden="1"/>
    </xf>
    <xf numFmtId="165" fontId="5" fillId="4" borderId="8" xfId="2" applyNumberFormat="1" applyFont="1" applyFill="1" applyBorder="1" applyAlignment="1" applyProtection="1">
      <alignment vertical="center"/>
      <protection hidden="1"/>
    </xf>
    <xf numFmtId="2" fontId="6" fillId="4" borderId="8" xfId="2" applyNumberFormat="1" applyFont="1" applyFill="1" applyBorder="1" applyAlignment="1" applyProtection="1">
      <alignment vertical="center"/>
      <protection hidden="1"/>
    </xf>
    <xf numFmtId="0" fontId="2" fillId="5" borderId="8" xfId="0" applyFont="1" applyFill="1" applyBorder="1"/>
    <xf numFmtId="9" fontId="2" fillId="5" borderId="8" xfId="0" applyNumberFormat="1" applyFont="1" applyFill="1" applyBorder="1"/>
    <xf numFmtId="1" fontId="2" fillId="5" borderId="9" xfId="0" applyNumberFormat="1" applyFont="1" applyFill="1" applyBorder="1"/>
    <xf numFmtId="2" fontId="2" fillId="0" borderId="8" xfId="2" applyNumberFormat="1" applyFont="1" applyBorder="1" applyAlignment="1">
      <alignment horizontal="center"/>
    </xf>
    <xf numFmtId="0" fontId="8" fillId="0" borderId="7" xfId="2" applyFont="1" applyBorder="1" applyAlignment="1">
      <alignment horizontal="center"/>
    </xf>
    <xf numFmtId="0" fontId="8" fillId="0" borderId="8" xfId="2" applyFont="1" applyBorder="1" applyAlignment="1">
      <alignment horizontal="left"/>
    </xf>
    <xf numFmtId="1" fontId="8" fillId="0" borderId="8" xfId="2" applyNumberFormat="1" applyFont="1" applyBorder="1" applyAlignment="1">
      <alignment horizontal="center"/>
    </xf>
    <xf numFmtId="164" fontId="9" fillId="0" borderId="8" xfId="2" applyNumberFormat="1" applyFont="1" applyBorder="1" applyAlignment="1">
      <alignment horizontal="center"/>
    </xf>
    <xf numFmtId="165" fontId="9" fillId="0" borderId="8" xfId="2" applyNumberFormat="1" applyFont="1" applyBorder="1" applyAlignment="1">
      <alignment horizontal="center"/>
    </xf>
    <xf numFmtId="2" fontId="8" fillId="0" borderId="8" xfId="2" applyNumberFormat="1" applyFont="1" applyBorder="1" applyAlignment="1">
      <alignment horizontal="center"/>
    </xf>
    <xf numFmtId="1" fontId="8" fillId="0" borderId="9" xfId="2" applyNumberFormat="1" applyFont="1" applyBorder="1" applyAlignment="1">
      <alignment horizontal="center"/>
    </xf>
    <xf numFmtId="1" fontId="8" fillId="0" borderId="8" xfId="2" applyNumberFormat="1" applyFont="1" applyBorder="1" applyAlignment="1">
      <alignment horizontal="left"/>
    </xf>
    <xf numFmtId="0" fontId="5" fillId="4" borderId="10" xfId="2" applyFont="1" applyFill="1" applyBorder="1" applyAlignment="1" applyProtection="1">
      <alignment horizontal="center" vertical="center"/>
      <protection hidden="1"/>
    </xf>
    <xf numFmtId="0" fontId="5" fillId="4" borderId="11" xfId="2" applyFont="1" applyFill="1" applyBorder="1" applyAlignment="1" applyProtection="1">
      <alignment vertical="center"/>
      <protection hidden="1"/>
    </xf>
    <xf numFmtId="0" fontId="5" fillId="4" borderId="11" xfId="2" applyFont="1" applyFill="1" applyBorder="1" applyAlignment="1" applyProtection="1">
      <alignment horizontal="center" vertical="center"/>
      <protection hidden="1"/>
    </xf>
    <xf numFmtId="165" fontId="5" fillId="4" borderId="11" xfId="2" applyNumberFormat="1" applyFont="1" applyFill="1" applyBorder="1" applyAlignment="1" applyProtection="1">
      <alignment vertical="center"/>
      <protection hidden="1"/>
    </xf>
    <xf numFmtId="2" fontId="6" fillId="4" borderId="11" xfId="2" applyNumberFormat="1" applyFont="1" applyFill="1" applyBorder="1" applyAlignment="1" applyProtection="1">
      <alignment vertical="center"/>
      <protection hidden="1"/>
    </xf>
    <xf numFmtId="1" fontId="6" fillId="4" borderId="12" xfId="2" applyNumberFormat="1" applyFont="1" applyFill="1" applyBorder="1" applyAlignment="1" applyProtection="1">
      <alignment vertical="center"/>
      <protection hidden="1"/>
    </xf>
    <xf numFmtId="0" fontId="6" fillId="0" borderId="14" xfId="2" applyFont="1" applyBorder="1" applyAlignment="1">
      <alignment horizontal="center"/>
    </xf>
    <xf numFmtId="0" fontId="6" fillId="0" borderId="15" xfId="2" applyFont="1" applyBorder="1" applyAlignment="1">
      <alignment horizontal="left"/>
    </xf>
    <xf numFmtId="1" fontId="8" fillId="0" borderId="16" xfId="2" applyNumberFormat="1" applyFont="1" applyBorder="1" applyAlignment="1">
      <alignment horizontal="left"/>
    </xf>
    <xf numFmtId="164" fontId="5" fillId="0" borderId="15" xfId="2" applyNumberFormat="1" applyFont="1" applyBorder="1" applyAlignment="1">
      <alignment horizontal="center"/>
    </xf>
    <xf numFmtId="165" fontId="5" fillId="0" borderId="15" xfId="2" applyNumberFormat="1" applyFont="1" applyBorder="1" applyAlignment="1">
      <alignment horizontal="center"/>
    </xf>
    <xf numFmtId="2" fontId="6" fillId="0" borderId="15" xfId="2" applyNumberFormat="1" applyFont="1" applyBorder="1" applyAlignment="1">
      <alignment horizontal="center"/>
    </xf>
    <xf numFmtId="1" fontId="6" fillId="0" borderId="17" xfId="2" applyNumberFormat="1" applyFont="1" applyBorder="1" applyAlignment="1">
      <alignment horizontal="center"/>
    </xf>
    <xf numFmtId="1" fontId="8" fillId="0" borderId="18" xfId="2" applyNumberFormat="1" applyFont="1" applyBorder="1" applyAlignment="1">
      <alignment horizontal="left"/>
    </xf>
    <xf numFmtId="0" fontId="6" fillId="0" borderId="19" xfId="2" applyFont="1" applyBorder="1" applyAlignment="1">
      <alignment horizontal="center"/>
    </xf>
    <xf numFmtId="0" fontId="6" fillId="0" borderId="20" xfId="2" applyFont="1" applyBorder="1" applyAlignment="1">
      <alignment horizontal="left"/>
    </xf>
    <xf numFmtId="1" fontId="8" fillId="0" borderId="21" xfId="2" applyNumberFormat="1" applyFont="1" applyBorder="1" applyAlignment="1">
      <alignment horizontal="left"/>
    </xf>
    <xf numFmtId="164" fontId="5" fillId="0" borderId="20" xfId="2" applyNumberFormat="1" applyFont="1" applyBorder="1" applyAlignment="1">
      <alignment horizontal="center"/>
    </xf>
    <xf numFmtId="165" fontId="5" fillId="0" borderId="20" xfId="2" applyNumberFormat="1" applyFont="1" applyBorder="1" applyAlignment="1">
      <alignment horizontal="center"/>
    </xf>
    <xf numFmtId="2" fontId="6" fillId="0" borderId="20" xfId="2" applyNumberFormat="1" applyFont="1" applyBorder="1" applyAlignment="1">
      <alignment horizontal="center"/>
    </xf>
    <xf numFmtId="1" fontId="6" fillId="0" borderId="13" xfId="2" applyNumberFormat="1" applyFont="1" applyBorder="1" applyAlignment="1">
      <alignment horizontal="center"/>
    </xf>
    <xf numFmtId="0" fontId="5" fillId="4" borderId="22" xfId="2" applyFont="1" applyFill="1" applyBorder="1" applyAlignment="1" applyProtection="1">
      <alignment horizontal="center" vertical="center"/>
      <protection hidden="1"/>
    </xf>
    <xf numFmtId="0" fontId="5" fillId="4" borderId="23" xfId="2" applyFont="1" applyFill="1" applyBorder="1" applyAlignment="1" applyProtection="1">
      <alignment vertical="center"/>
      <protection hidden="1"/>
    </xf>
    <xf numFmtId="0" fontId="5" fillId="4" borderId="23" xfId="2" applyFont="1" applyFill="1" applyBorder="1" applyAlignment="1" applyProtection="1">
      <alignment horizontal="center" vertical="center"/>
      <protection hidden="1"/>
    </xf>
    <xf numFmtId="165" fontId="5" fillId="4" borderId="23" xfId="2" applyNumberFormat="1" applyFont="1" applyFill="1" applyBorder="1" applyAlignment="1" applyProtection="1">
      <alignment vertical="center"/>
      <protection hidden="1"/>
    </xf>
    <xf numFmtId="2" fontId="6" fillId="4" borderId="23" xfId="2" applyNumberFormat="1" applyFont="1" applyFill="1" applyBorder="1" applyAlignment="1" applyProtection="1">
      <alignment vertical="center"/>
      <protection hidden="1"/>
    </xf>
    <xf numFmtId="1" fontId="6" fillId="4" borderId="24" xfId="2" applyNumberFormat="1" applyFont="1" applyFill="1" applyBorder="1" applyAlignment="1" applyProtection="1">
      <alignment vertical="center"/>
      <protection hidden="1"/>
    </xf>
    <xf numFmtId="1" fontId="0" fillId="0" borderId="0" xfId="0" applyNumberFormat="1"/>
    <xf numFmtId="10" fontId="6" fillId="4" borderId="23" xfId="1" applyNumberFormat="1" applyFont="1" applyFill="1" applyBorder="1" applyAlignment="1" applyProtection="1">
      <alignment vertical="center"/>
      <protection hidden="1"/>
    </xf>
    <xf numFmtId="10" fontId="6" fillId="4" borderId="24" xfId="1" applyNumberFormat="1" applyFont="1" applyFill="1" applyBorder="1" applyAlignment="1" applyProtection="1">
      <alignment vertical="center"/>
      <protection hidden="1"/>
    </xf>
    <xf numFmtId="0" fontId="8" fillId="0" borderId="8" xfId="2" applyFont="1" applyBorder="1" applyAlignment="1">
      <alignment horizontal="center"/>
    </xf>
    <xf numFmtId="166" fontId="5" fillId="0" borderId="8" xfId="2" applyNumberFormat="1" applyFont="1" applyBorder="1" applyAlignment="1">
      <alignment horizontal="center"/>
    </xf>
    <xf numFmtId="2" fontId="0" fillId="0" borderId="0" xfId="0" applyNumberFormat="1"/>
    <xf numFmtId="0" fontId="6" fillId="7" borderId="7" xfId="2" applyFont="1" applyFill="1" applyBorder="1" applyAlignment="1">
      <alignment horizontal="center"/>
    </xf>
    <xf numFmtId="2" fontId="6" fillId="7" borderId="8" xfId="2" applyNumberFormat="1" applyFont="1" applyFill="1" applyBorder="1" applyAlignment="1">
      <alignment horizontal="center"/>
    </xf>
    <xf numFmtId="0" fontId="6" fillId="0" borderId="8" xfId="2" applyFont="1" applyBorder="1" applyAlignment="1">
      <alignment horizontal="center"/>
    </xf>
    <xf numFmtId="167" fontId="5" fillId="7" borderId="8" xfId="1" applyNumberFormat="1" applyFont="1" applyFill="1" applyBorder="1" applyAlignment="1">
      <alignment horizontal="center"/>
    </xf>
    <xf numFmtId="0" fontId="6" fillId="7" borderId="8" xfId="2" applyFont="1" applyFill="1" applyBorder="1" applyAlignment="1">
      <alignment horizontal="left"/>
    </xf>
    <xf numFmtId="1" fontId="6" fillId="7" borderId="8" xfId="2" applyNumberFormat="1" applyFont="1" applyFill="1" applyBorder="1" applyAlignment="1">
      <alignment horizontal="center"/>
    </xf>
    <xf numFmtId="164" fontId="5" fillId="7" borderId="8" xfId="2" applyNumberFormat="1" applyFont="1" applyFill="1" applyBorder="1" applyAlignment="1">
      <alignment horizontal="center"/>
    </xf>
    <xf numFmtId="165" fontId="5" fillId="7" borderId="8" xfId="2" applyNumberFormat="1" applyFont="1" applyFill="1" applyBorder="1" applyAlignment="1">
      <alignment horizontal="center"/>
    </xf>
    <xf numFmtId="1" fontId="6" fillId="7" borderId="9" xfId="2" applyNumberFormat="1" applyFont="1" applyFill="1" applyBorder="1" applyAlignment="1">
      <alignment horizontal="center"/>
    </xf>
    <xf numFmtId="9" fontId="5" fillId="7" borderId="8" xfId="1" applyFont="1" applyFill="1" applyBorder="1" applyAlignment="1">
      <alignment horizontal="center"/>
    </xf>
    <xf numFmtId="0" fontId="10" fillId="7" borderId="19" xfId="4" applyFont="1" applyFill="1" applyBorder="1" applyAlignment="1">
      <alignment horizontal="center"/>
    </xf>
    <xf numFmtId="0" fontId="10" fillId="7" borderId="20" xfId="4" applyFont="1" applyFill="1" applyBorder="1"/>
    <xf numFmtId="1" fontId="8" fillId="7" borderId="21" xfId="2" applyNumberFormat="1" applyFont="1" applyFill="1" applyBorder="1" applyAlignment="1">
      <alignment horizontal="left"/>
    </xf>
    <xf numFmtId="0" fontId="11" fillId="7" borderId="20" xfId="4" applyFont="1" applyFill="1" applyBorder="1"/>
    <xf numFmtId="2" fontId="6" fillId="7" borderId="20" xfId="2" applyNumberFormat="1" applyFont="1" applyFill="1" applyBorder="1" applyAlignment="1">
      <alignment horizontal="center"/>
    </xf>
    <xf numFmtId="1" fontId="6" fillId="7" borderId="13" xfId="2" applyNumberFormat="1" applyFont="1" applyFill="1" applyBorder="1" applyAlignment="1">
      <alignment horizontal="center"/>
    </xf>
    <xf numFmtId="1" fontId="8" fillId="7" borderId="16" xfId="2" applyNumberFormat="1" applyFont="1" applyFill="1" applyBorder="1" applyAlignment="1">
      <alignment horizontal="left"/>
    </xf>
    <xf numFmtId="2" fontId="6" fillId="7" borderId="15" xfId="2" applyNumberFormat="1" applyFont="1" applyFill="1" applyBorder="1" applyAlignment="1">
      <alignment horizontal="center"/>
    </xf>
    <xf numFmtId="1" fontId="6" fillId="7" borderId="17" xfId="2" applyNumberFormat="1" applyFont="1" applyFill="1" applyBorder="1" applyAlignment="1">
      <alignment horizontal="center"/>
    </xf>
    <xf numFmtId="0" fontId="10" fillId="7" borderId="14" xfId="4" applyFont="1" applyFill="1" applyBorder="1" applyAlignment="1">
      <alignment horizontal="center"/>
    </xf>
    <xf numFmtId="0" fontId="10" fillId="7" borderId="15" xfId="4" applyFont="1" applyFill="1" applyBorder="1"/>
    <xf numFmtId="0" fontId="11" fillId="7" borderId="15" xfId="4" applyFont="1" applyFill="1" applyBorder="1"/>
    <xf numFmtId="2" fontId="6" fillId="7" borderId="9" xfId="2" applyNumberFormat="1" applyFont="1" applyFill="1" applyBorder="1" applyAlignment="1">
      <alignment horizontal="center"/>
    </xf>
    <xf numFmtId="10" fontId="5" fillId="7" borderId="8" xfId="1" applyNumberFormat="1" applyFont="1" applyFill="1" applyBorder="1" applyAlignment="1">
      <alignment horizontal="center"/>
    </xf>
    <xf numFmtId="0" fontId="8" fillId="7" borderId="8" xfId="2" applyFont="1" applyFill="1" applyBorder="1" applyAlignment="1">
      <alignment horizontal="center"/>
    </xf>
    <xf numFmtId="0" fontId="8" fillId="7" borderId="8" xfId="2" applyFont="1" applyFill="1" applyBorder="1" applyAlignment="1">
      <alignment horizontal="left"/>
    </xf>
    <xf numFmtId="1" fontId="8" fillId="7" borderId="8" xfId="2" applyNumberFormat="1" applyFont="1" applyFill="1" applyBorder="1" applyAlignment="1">
      <alignment horizontal="center"/>
    </xf>
    <xf numFmtId="166" fontId="5" fillId="7" borderId="8" xfId="2" applyNumberFormat="1" applyFont="1" applyFill="1" applyBorder="1" applyAlignment="1">
      <alignment horizontal="center"/>
    </xf>
    <xf numFmtId="10" fontId="0" fillId="0" borderId="0" xfId="1" applyNumberFormat="1" applyFont="1"/>
    <xf numFmtId="10" fontId="5" fillId="4" borderId="8" xfId="2" applyNumberFormat="1" applyFont="1" applyFill="1" applyBorder="1" applyAlignment="1" applyProtection="1">
      <alignment vertical="center"/>
      <protection hidden="1"/>
    </xf>
    <xf numFmtId="10" fontId="5" fillId="0" borderId="8" xfId="2" applyNumberFormat="1" applyFont="1" applyBorder="1" applyAlignment="1">
      <alignment horizontal="center"/>
    </xf>
    <xf numFmtId="10" fontId="5" fillId="0" borderId="8" xfId="1" applyNumberFormat="1" applyFont="1" applyFill="1" applyBorder="1" applyAlignment="1">
      <alignment horizontal="center"/>
    </xf>
    <xf numFmtId="10" fontId="9" fillId="0" borderId="8" xfId="2" applyNumberFormat="1" applyFont="1" applyBorder="1" applyAlignment="1">
      <alignment horizontal="center"/>
    </xf>
    <xf numFmtId="10" fontId="5" fillId="4" borderId="11" xfId="2" applyNumberFormat="1" applyFont="1" applyFill="1" applyBorder="1" applyAlignment="1" applyProtection="1">
      <alignment vertical="center"/>
      <protection hidden="1"/>
    </xf>
    <xf numFmtId="10" fontId="5" fillId="0" borderId="15" xfId="2" applyNumberFormat="1" applyFont="1" applyBorder="1" applyAlignment="1">
      <alignment horizontal="center"/>
    </xf>
    <xf numFmtId="10" fontId="5" fillId="0" borderId="20" xfId="2" applyNumberFormat="1" applyFont="1" applyBorder="1" applyAlignment="1">
      <alignment horizontal="center"/>
    </xf>
    <xf numFmtId="10" fontId="5" fillId="4" borderId="23" xfId="2" applyNumberFormat="1" applyFont="1" applyFill="1" applyBorder="1" applyAlignment="1" applyProtection="1">
      <alignment vertical="center"/>
      <protection hidden="1"/>
    </xf>
    <xf numFmtId="10" fontId="5" fillId="7" borderId="8" xfId="2" applyNumberFormat="1" applyFont="1" applyFill="1" applyBorder="1" applyAlignment="1">
      <alignment horizontal="center"/>
    </xf>
    <xf numFmtId="9" fontId="5" fillId="0" borderId="8" xfId="1" applyFont="1" applyFill="1" applyBorder="1" applyAlignment="1">
      <alignment horizontal="center"/>
    </xf>
    <xf numFmtId="44" fontId="0" fillId="0" borderId="0" xfId="32" applyFont="1" applyBorder="1"/>
    <xf numFmtId="0" fontId="6" fillId="0" borderId="22" xfId="2" applyFont="1" applyBorder="1" applyAlignment="1">
      <alignment horizontal="center"/>
    </xf>
    <xf numFmtId="0" fontId="6" fillId="0" borderId="23" xfId="2" applyFont="1" applyBorder="1" applyAlignment="1">
      <alignment horizontal="left"/>
    </xf>
    <xf numFmtId="1" fontId="6" fillId="0" borderId="23" xfId="2" applyNumberFormat="1" applyFont="1" applyBorder="1" applyAlignment="1">
      <alignment horizontal="center"/>
    </xf>
    <xf numFmtId="9" fontId="7" fillId="0" borderId="0" xfId="1" applyFont="1" applyAlignment="1">
      <alignment horizontal="center"/>
    </xf>
    <xf numFmtId="9" fontId="0" fillId="0" borderId="0" xfId="1" applyFont="1" applyBorder="1" applyAlignment="1">
      <alignment horizontal="center"/>
    </xf>
    <xf numFmtId="171" fontId="0" fillId="0" borderId="0" xfId="32" applyNumberFormat="1" applyFont="1" applyBorder="1"/>
    <xf numFmtId="9" fontId="13" fillId="0" borderId="8" xfId="1" applyFont="1" applyFill="1" applyBorder="1" applyAlignment="1">
      <alignment horizontal="center"/>
    </xf>
    <xf numFmtId="9" fontId="5" fillId="4" borderId="23" xfId="2" applyNumberFormat="1" applyFont="1" applyFill="1" applyBorder="1" applyAlignment="1" applyProtection="1">
      <alignment vertical="center"/>
      <protection hidden="1"/>
    </xf>
    <xf numFmtId="10" fontId="6" fillId="7" borderId="8" xfId="2" applyNumberFormat="1" applyFont="1" applyFill="1" applyBorder="1" applyAlignment="1">
      <alignment horizontal="center"/>
    </xf>
    <xf numFmtId="10" fontId="12" fillId="7" borderId="0" xfId="0" applyNumberFormat="1" applyFont="1" applyFill="1" applyAlignment="1">
      <alignment horizontal="center"/>
    </xf>
    <xf numFmtId="0" fontId="6" fillId="7" borderId="8" xfId="3" applyFont="1" applyFill="1" applyBorder="1"/>
    <xf numFmtId="9" fontId="13" fillId="0" borderId="8" xfId="1" applyFont="1" applyBorder="1" applyAlignment="1">
      <alignment horizontal="center"/>
    </xf>
    <xf numFmtId="0" fontId="6" fillId="7" borderId="7" xfId="3" applyFont="1" applyFill="1" applyBorder="1" applyAlignment="1">
      <alignment horizontal="center"/>
    </xf>
    <xf numFmtId="167" fontId="12" fillId="7" borderId="8" xfId="1" applyNumberFormat="1" applyFont="1" applyFill="1" applyBorder="1" applyAlignment="1">
      <alignment horizontal="center"/>
    </xf>
    <xf numFmtId="10" fontId="13" fillId="7" borderId="8" xfId="1" applyNumberFormat="1" applyFont="1" applyFill="1" applyBorder="1" applyAlignment="1">
      <alignment horizontal="center"/>
    </xf>
    <xf numFmtId="0" fontId="29" fillId="7" borderId="0" xfId="0" applyFont="1" applyFill="1"/>
    <xf numFmtId="0" fontId="29" fillId="0" borderId="0" xfId="0" applyFont="1"/>
    <xf numFmtId="2" fontId="5" fillId="0" borderId="0" xfId="2" applyNumberFormat="1" applyFont="1" applyAlignment="1">
      <alignment horizontal="left"/>
    </xf>
    <xf numFmtId="0" fontId="5" fillId="0" borderId="0" xfId="0" applyFont="1"/>
    <xf numFmtId="9" fontId="5" fillId="0" borderId="0" xfId="1" applyFont="1"/>
    <xf numFmtId="0" fontId="30" fillId="0" borderId="0" xfId="0" applyFont="1"/>
    <xf numFmtId="9" fontId="29" fillId="0" borderId="0" xfId="1" applyFont="1" applyBorder="1" applyAlignment="1">
      <alignment horizontal="center"/>
    </xf>
    <xf numFmtId="0" fontId="29" fillId="7" borderId="0" xfId="0" applyFont="1" applyFill="1" applyAlignment="1">
      <alignment horizontal="left"/>
    </xf>
  </cellXfs>
  <cellStyles count="164">
    <cellStyle name="20% - Énfasis1" xfId="79" builtinId="30" customBuiltin="1"/>
    <cellStyle name="20% - Énfasis2" xfId="83" builtinId="34" customBuiltin="1"/>
    <cellStyle name="20% - Énfasis3" xfId="87" builtinId="38" customBuiltin="1"/>
    <cellStyle name="20% - Énfasis4" xfId="91" builtinId="42" customBuiltin="1"/>
    <cellStyle name="20% - Énfasis5" xfId="95" builtinId="46" customBuiltin="1"/>
    <cellStyle name="20% - Énfasis6" xfId="99" builtinId="50" customBuiltin="1"/>
    <cellStyle name="40% - Énfasis1" xfId="80" builtinId="31" customBuiltin="1"/>
    <cellStyle name="40% - Énfasis2" xfId="84" builtinId="35" customBuiltin="1"/>
    <cellStyle name="40% - Énfasis3" xfId="88" builtinId="39" customBuiltin="1"/>
    <cellStyle name="40% - Énfasis4" xfId="92" builtinId="43" customBuiltin="1"/>
    <cellStyle name="40% - Énfasis5" xfId="96" builtinId="47" customBuiltin="1"/>
    <cellStyle name="40% - Énfasis6" xfId="100" builtinId="51" customBuiltin="1"/>
    <cellStyle name="60% - Énfasis1" xfId="81" builtinId="32" customBuiltin="1"/>
    <cellStyle name="60% - Énfasis2" xfId="85" builtinId="36" customBuiltin="1"/>
    <cellStyle name="60% - Énfasis3" xfId="89" builtinId="40" customBuiltin="1"/>
    <cellStyle name="60% - Énfasis4" xfId="93" builtinId="44" customBuiltin="1"/>
    <cellStyle name="60% - Énfasis5" xfId="97" builtinId="48" customBuiltin="1"/>
    <cellStyle name="60% - Énfasis6" xfId="101" builtinId="52" customBuiltin="1"/>
    <cellStyle name="Bueno" xfId="66" builtinId="26" customBuiltin="1"/>
    <cellStyle name="Cálculo" xfId="71" builtinId="22" customBuiltin="1"/>
    <cellStyle name="Celda de comprobación" xfId="73" builtinId="23" customBuiltin="1"/>
    <cellStyle name="Celda vinculada" xfId="72" builtinId="24" customBuiltin="1"/>
    <cellStyle name="Encabezado 1" xfId="62" builtinId="16" customBuiltin="1"/>
    <cellStyle name="Encabezado 4" xfId="65" builtinId="19" customBuiltin="1"/>
    <cellStyle name="Énfasis1" xfId="78" builtinId="29" customBuiltin="1"/>
    <cellStyle name="Énfasis2" xfId="82" builtinId="33" customBuiltin="1"/>
    <cellStyle name="Énfasis3" xfId="86" builtinId="37" customBuiltin="1"/>
    <cellStyle name="Énfasis4" xfId="90" builtinId="41" customBuiltin="1"/>
    <cellStyle name="Énfasis5" xfId="94" builtinId="45" customBuiltin="1"/>
    <cellStyle name="Énfasis6" xfId="98" builtinId="49" customBuiltin="1"/>
    <cellStyle name="Entrada" xfId="69" builtinId="20" customBuiltin="1"/>
    <cellStyle name="Incorrecto" xfId="67" builtinId="27" customBuiltin="1"/>
    <cellStyle name="Millares 2" xfId="34" xr:uid="{29FB26D7-D76A-42C5-8244-D8DBAAB3F98E}"/>
    <cellStyle name="Millares 2 2" xfId="110" xr:uid="{D2CD46DD-D280-49A5-9B25-F11DB7D954A2}"/>
    <cellStyle name="Millares 3" xfId="157" xr:uid="{D5AF361B-12B7-483B-AA6A-A25C715A7919}"/>
    <cellStyle name="Millares 4" xfId="159" xr:uid="{55537979-78CE-49DC-90F5-71FF024EFBC2}"/>
    <cellStyle name="Millares 5" xfId="163" xr:uid="{8729B9CD-AA2C-4BFB-96F3-1765896C09B3}"/>
    <cellStyle name="Moneda" xfId="32" builtinId="4"/>
    <cellStyle name="Moneda 10" xfId="118" xr:uid="{14900CE8-1537-465B-968D-D9E5AA178B74}"/>
    <cellStyle name="Moneda 11" xfId="102" xr:uid="{A0B2EE46-5609-4687-837D-0BA48BAB3686}"/>
    <cellStyle name="Moneda 12" xfId="156" xr:uid="{C06C348E-7E27-4A0B-ADE7-24F34A6BFD31}"/>
    <cellStyle name="Moneda 13" xfId="158" xr:uid="{D38BFAF7-8CC5-4DF6-921E-43ECF148D411}"/>
    <cellStyle name="Moneda 14" xfId="160" xr:uid="{32492404-BDFC-47D4-8A1B-9497670D1CB2}"/>
    <cellStyle name="Moneda 15" xfId="161" xr:uid="{588191E2-F103-4920-BCDA-09A935EE47E3}"/>
    <cellStyle name="Moneda 16" xfId="162" xr:uid="{B51BBDE1-4F21-4720-B1B9-7ADD8B4F6625}"/>
    <cellStyle name="Moneda 2" xfId="8" xr:uid="{A67CDCCC-5616-4DA1-816B-43BAAD207ABB}"/>
    <cellStyle name="Moneda 2 2" xfId="13" xr:uid="{7E6828FC-9C8F-4831-9EE3-22A495EAB50E}"/>
    <cellStyle name="Moneda 2 2 2" xfId="24" xr:uid="{66602B43-3E3A-4844-921C-E14205994D4C}"/>
    <cellStyle name="Moneda 2 2 2 2" xfId="52" xr:uid="{55D40DCA-7326-4AD7-8D9A-56D5FEEFAFB8}"/>
    <cellStyle name="Moneda 2 2 2 2 2" xfId="147" xr:uid="{3B24C31A-20DD-4ABA-8A23-157AC30951A1}"/>
    <cellStyle name="Moneda 2 2 2 3" xfId="125" xr:uid="{F94B2C6C-EC29-4051-A518-CD3940B47BD9}"/>
    <cellStyle name="Moneda 2 2 3" xfId="41" xr:uid="{AFC52BBA-9E90-4690-AF42-D17465E9EF71}"/>
    <cellStyle name="Moneda 2 2 3 2" xfId="136" xr:uid="{D9D1D0CD-D42B-4348-BB58-BD1048F79E07}"/>
    <cellStyle name="Moneda 2 2 4" xfId="107" xr:uid="{67DBF92C-B285-438F-A03F-86B7679506C2}"/>
    <cellStyle name="Moneda 2 3" xfId="17" xr:uid="{DD395E67-B92E-46F7-80E1-C014996B2592}"/>
    <cellStyle name="Moneda 2 3 2" xfId="28" xr:uid="{7F0DF8CA-9B3E-401A-8141-E4E8FF6ED7E3}"/>
    <cellStyle name="Moneda 2 3 2 2" xfId="56" xr:uid="{5B94D618-0B3C-4A42-91F3-2E6E1295B663}"/>
    <cellStyle name="Moneda 2 3 2 2 2" xfId="151" xr:uid="{6B654391-58A2-4F2A-A1AD-32C5B971859F}"/>
    <cellStyle name="Moneda 2 3 2 3" xfId="111" xr:uid="{18DDCE53-9B63-464C-8A52-B2832BCFA9F5}"/>
    <cellStyle name="Moneda 2 3 3" xfId="45" xr:uid="{D7C87B8A-96D2-4174-AEF3-53C931A3C25B}"/>
    <cellStyle name="Moneda 2 3 3 2" xfId="140" xr:uid="{B2DFDD56-2154-4522-A2FB-3399E99469E6}"/>
    <cellStyle name="Moneda 2 3 4" xfId="129" xr:uid="{CA818A90-746A-4181-B217-18AE1D8188C9}"/>
    <cellStyle name="Moneda 2 4" xfId="9" xr:uid="{FEC1AA6B-6EDE-4C1E-88C4-1835BBC866DA}"/>
    <cellStyle name="Moneda 2 4 2" xfId="37" xr:uid="{481A13C2-6CB9-443B-AB5F-F7C58D82E808}"/>
    <cellStyle name="Moneda 2 4 2 2" xfId="132" xr:uid="{94C3DE59-E59A-4556-BAA6-E211E55DE45C}"/>
    <cellStyle name="Moneda 2 4 3" xfId="113" xr:uid="{FCDCC74F-11F8-4B27-BE3E-C2249DE0571A}"/>
    <cellStyle name="Moneda 2 5" xfId="20" xr:uid="{26FBDE1B-5F39-480C-94B8-0BB08EF2FF2F}"/>
    <cellStyle name="Moneda 2 5 2" xfId="48" xr:uid="{70C0A4B3-9C15-4D42-964F-62AD908D7CEA}"/>
    <cellStyle name="Moneda 2 5 2 2" xfId="143" xr:uid="{4F8A83E9-1E66-4190-9195-2C3B9A43FFBB}"/>
    <cellStyle name="Moneda 2 5 3" xfId="120" xr:uid="{F8E4C78B-E9E8-4BD6-A728-169A438563E9}"/>
    <cellStyle name="Moneda 2 6" xfId="36" xr:uid="{A9644D3F-7C97-4615-BEA1-7F98F76CC208}"/>
    <cellStyle name="Moneda 2 6 2" xfId="131" xr:uid="{341A6F85-212B-4A1F-916C-DEAA8052C879}"/>
    <cellStyle name="Moneda 2 7" xfId="117" xr:uid="{8BA4CACE-6EFE-492F-9656-E11F28BB3E11}"/>
    <cellStyle name="Moneda 3" xfId="10" xr:uid="{546173A2-D58B-4527-94EC-9BE304921061}"/>
    <cellStyle name="Moneda 3 2" xfId="14" xr:uid="{C6C1589C-FE8B-4106-A624-9A0F5267D169}"/>
    <cellStyle name="Moneda 3 2 2" xfId="25" xr:uid="{0E8AE5A7-010F-42D5-8792-E3AE70F69E8D}"/>
    <cellStyle name="Moneda 3 2 2 2" xfId="53" xr:uid="{AA7F046E-CEDB-472A-84C6-DF7C1B593DF2}"/>
    <cellStyle name="Moneda 3 2 2 2 2" xfId="148" xr:uid="{6495175D-7689-4B97-9DFB-BA9A06349993}"/>
    <cellStyle name="Moneda 3 2 2 3" xfId="122" xr:uid="{3B85BEE8-AA49-4DFC-B1AE-B405DF34CF50}"/>
    <cellStyle name="Moneda 3 2 3" xfId="42" xr:uid="{C3133EDE-93AC-4BEF-B276-A23E5DFEBD9F}"/>
    <cellStyle name="Moneda 3 2 3 2" xfId="137" xr:uid="{99FF4999-696F-46CD-8FBF-F0C7711CE07A}"/>
    <cellStyle name="Moneda 3 2 4" xfId="108" xr:uid="{EC8980E2-5549-4CD7-9EA1-8EE337063304}"/>
    <cellStyle name="Moneda 3 3" xfId="18" xr:uid="{82438289-3D5C-4428-863C-2B71063FED80}"/>
    <cellStyle name="Moneda 3 3 2" xfId="29" xr:uid="{4574627F-4AF7-4435-B0C2-DC8FC5969454}"/>
    <cellStyle name="Moneda 3 3 2 2" xfId="57" xr:uid="{EAA2A0D6-AFB8-433C-92D3-8D8EEBAE949A}"/>
    <cellStyle name="Moneda 3 3 2 2 2" xfId="152" xr:uid="{37E70E50-FE80-43BB-BA9D-96E742532F30}"/>
    <cellStyle name="Moneda 3 3 2 3" xfId="127" xr:uid="{28CF6426-259F-4328-B36E-7FC7C4E7CEA8}"/>
    <cellStyle name="Moneda 3 3 3" xfId="46" xr:uid="{8C7E75FC-59CF-4D46-A8C1-805DEF295831}"/>
    <cellStyle name="Moneda 3 3 3 2" xfId="141" xr:uid="{AB1118F3-FE28-4965-BFFC-26036AA8C621}"/>
    <cellStyle name="Moneda 3 3 4" xfId="126" xr:uid="{7E2FEEDA-331E-4BFE-8CF8-371B2605A969}"/>
    <cellStyle name="Moneda 3 4" xfId="21" xr:uid="{C6A0D681-AB4A-4A8C-B381-AC10DE7E918D}"/>
    <cellStyle name="Moneda 3 4 2" xfId="49" xr:uid="{4EB9BFA7-F673-4812-AF29-FEDC6365E667}"/>
    <cellStyle name="Moneda 3 4 2 2" xfId="144" xr:uid="{5C9FA252-43DF-4207-B446-275E4995825D}"/>
    <cellStyle name="Moneda 3 4 3" xfId="116" xr:uid="{63714987-784E-48C5-A41F-234BAB81114C}"/>
    <cellStyle name="Moneda 3 5" xfId="38" xr:uid="{1E021BAB-1A45-4A14-8582-3397379A60A1}"/>
    <cellStyle name="Moneda 3 5 2" xfId="133" xr:uid="{B987FC2F-05A9-4FA3-A3FA-9DCFE3FD8BCA}"/>
    <cellStyle name="Moneda 3 6" xfId="109" xr:uid="{55F268E0-A6E2-45E3-A8AD-0FB275B61501}"/>
    <cellStyle name="Moneda 4" xfId="11" xr:uid="{275AB8A0-01D1-4C2E-A2D8-E03E3C1BF73F}"/>
    <cellStyle name="Moneda 4 2" xfId="19" xr:uid="{5185B0A7-A31E-4F9D-80CA-179D2101E33A}"/>
    <cellStyle name="Moneda 4 2 2" xfId="30" xr:uid="{3F841A54-6CFE-488F-8102-8C079DDEB100}"/>
    <cellStyle name="Moneda 4 2 2 2" xfId="58" xr:uid="{D3FBF03C-086E-4277-9423-9FE328981EFD}"/>
    <cellStyle name="Moneda 4 2 2 2 2" xfId="153" xr:uid="{48547832-5468-483A-9EC9-C6D2FA78CD97}"/>
    <cellStyle name="Moneda 4 2 2 3" xfId="124" xr:uid="{9B90E050-B43D-4AA3-B0EE-6BD980E831FB}"/>
    <cellStyle name="Moneda 4 2 3" xfId="47" xr:uid="{0CC96D79-FFC1-449E-AE9A-4778972DE16D}"/>
    <cellStyle name="Moneda 4 2 3 2" xfId="142" xr:uid="{41B5A3FA-831A-4D03-A6C5-6ED286B00888}"/>
    <cellStyle name="Moneda 4 2 4" xfId="123" xr:uid="{35AD57E6-ACDD-4491-A479-2AB29EC9813A}"/>
    <cellStyle name="Moneda 4 3" xfId="22" xr:uid="{4BD919E8-7286-47B5-B20F-CAD8594E1D8F}"/>
    <cellStyle name="Moneda 4 3 2" xfId="50" xr:uid="{6EAD3018-F2D9-48E2-B56F-94C6828FD51C}"/>
    <cellStyle name="Moneda 4 3 2 2" xfId="145" xr:uid="{2D530C55-0CCB-415E-83DD-47E2AB8EC89A}"/>
    <cellStyle name="Moneda 4 3 3" xfId="112" xr:uid="{FD2A642B-B22B-4FD9-BBE4-3AF9759A1C15}"/>
    <cellStyle name="Moneda 4 4" xfId="39" xr:uid="{3BDE76EF-F7E5-42DF-8291-DC0B9282456A}"/>
    <cellStyle name="Moneda 4 4 2" xfId="134" xr:uid="{16AAC9A7-14E8-4505-BC26-C66F40E08068}"/>
    <cellStyle name="Moneda 4 5" xfId="104" xr:uid="{C32A5F4F-FE69-4695-8F7D-38B7F57E6D5F}"/>
    <cellStyle name="Moneda 5" xfId="12" xr:uid="{F5DB0D7C-ADC1-4643-9570-6F9CAB66875F}"/>
    <cellStyle name="Moneda 5 2" xfId="16" xr:uid="{72DD87A7-A135-4BE1-B41D-9FFC0A8BD58F}"/>
    <cellStyle name="Moneda 5 2 2" xfId="27" xr:uid="{3F83F38F-50B3-4BDE-A61C-73429232793F}"/>
    <cellStyle name="Moneda 5 2 2 2" xfId="55" xr:uid="{7E741CB5-80F0-4ACD-990E-B523C3D279BC}"/>
    <cellStyle name="Moneda 5 2 2 2 2" xfId="150" xr:uid="{A3CFA0EB-D88B-4C5D-B580-C202BF755850}"/>
    <cellStyle name="Moneda 5 2 2 3" xfId="115" xr:uid="{F29D983E-BF66-4BA4-8BD6-0C4AD0FB5D52}"/>
    <cellStyle name="Moneda 5 2 3" xfId="44" xr:uid="{1E972E4C-1D67-4E2C-AB1A-F35F071A3CDD}"/>
    <cellStyle name="Moneda 5 2 3 2" xfId="139" xr:uid="{B83494EB-B04D-44FF-8E51-3635A8DEACFE}"/>
    <cellStyle name="Moneda 5 2 4" xfId="105" xr:uid="{F4AA0E69-D871-4A3C-BD14-B6820521C19B}"/>
    <cellStyle name="Moneda 5 3" xfId="23" xr:uid="{9AD40182-55CE-40C6-80A1-4E4D0FF24323}"/>
    <cellStyle name="Moneda 5 3 2" xfId="51" xr:uid="{84C9B33E-2EC5-4053-8161-DB2360F5ED6F}"/>
    <cellStyle name="Moneda 5 3 2 2" xfId="146" xr:uid="{DABCDD00-4BF4-43CB-946A-C1C9F64F3EDC}"/>
    <cellStyle name="Moneda 5 3 3" xfId="128" xr:uid="{E6818C49-B009-47CE-8BE7-AE4F7E7CD3F6}"/>
    <cellStyle name="Moneda 5 4" xfId="40" xr:uid="{8CB2D1AA-7904-4893-8C6F-8D56D2E8DFDF}"/>
    <cellStyle name="Moneda 5 4 2" xfId="135" xr:uid="{91EBC11C-B47A-4A96-859B-E47744D3BD89}"/>
    <cellStyle name="Moneda 5 5" xfId="103" xr:uid="{3C04B6F3-1EB8-42F2-87FA-CFCECE1F0881}"/>
    <cellStyle name="Moneda 6" xfId="15" xr:uid="{D5AE2924-FC88-4A74-98B1-F1DD187D4229}"/>
    <cellStyle name="Moneda 6 2" xfId="26" xr:uid="{78DC1817-0A75-43E5-926C-190F5DB09619}"/>
    <cellStyle name="Moneda 6 2 2" xfId="54" xr:uid="{D3EFF5FB-CE8A-4C00-9DF7-BB9AF7515F3D}"/>
    <cellStyle name="Moneda 6 2 2 2" xfId="149" xr:uid="{B3A5FA31-4204-4BB6-831E-15CFD7CE8E83}"/>
    <cellStyle name="Moneda 6 2 3" xfId="119" xr:uid="{4FA6CFB0-D64D-44ED-BCEC-8A03959609EC}"/>
    <cellStyle name="Moneda 6 3" xfId="43" xr:uid="{11804A18-5D29-48A9-816A-582136BA998C}"/>
    <cellStyle name="Moneda 6 3 2" xfId="138" xr:uid="{47362EA3-244D-4F90-8957-E2D12FAA96F2}"/>
    <cellStyle name="Moneda 6 4" xfId="106" xr:uid="{4BFFD461-35E5-4F56-B93F-73EC86FDEE7B}"/>
    <cellStyle name="Moneda 7" xfId="31" xr:uid="{B5858E36-3681-4BDE-834F-66D575C33C9C}"/>
    <cellStyle name="Moneda 7 2" xfId="59" xr:uid="{D6D4755E-C9CE-4821-8266-B648AB24B869}"/>
    <cellStyle name="Moneda 7 2 2" xfId="154" xr:uid="{749DB460-DBF7-46BA-A6C8-38043AE4EF5B}"/>
    <cellStyle name="Moneda 7 3" xfId="121" xr:uid="{335905D4-720A-41F0-8281-6C1E12A0DD7A}"/>
    <cellStyle name="Moneda 8" xfId="33" xr:uid="{97F7F235-5542-4303-A51D-B67DB136003E}"/>
    <cellStyle name="Moneda 8 2" xfId="60" xr:uid="{19FA0ECF-8298-481E-980C-19FD6808B880}"/>
    <cellStyle name="Moneda 8 2 2" xfId="155" xr:uid="{9EB91662-221B-4425-A415-4487409067CF}"/>
    <cellStyle name="Moneda 8 3" xfId="114" xr:uid="{DFD47348-26C2-4A71-BB41-869F7D30AB6F}"/>
    <cellStyle name="Moneda 9" xfId="35" xr:uid="{FE290F6D-42BF-4D74-8890-E726CD4F081B}"/>
    <cellStyle name="Moneda 9 2" xfId="130" xr:uid="{38FBBCD5-823C-4969-8B42-4835DF9F15B3}"/>
    <cellStyle name="Neutral" xfId="68" builtinId="28" customBuiltin="1"/>
    <cellStyle name="Normal" xfId="0" builtinId="0"/>
    <cellStyle name="Normal 2 2" xfId="5" xr:uid="{7133E2F9-2C5D-48F5-99B6-69D7054D688E}"/>
    <cellStyle name="Normal 3" xfId="3" xr:uid="{2EB3D19B-D8CE-44C2-B506-8DBDB62568D6}"/>
    <cellStyle name="Normal_ARQUITECTURA DE PRECIOS 1 0" xfId="2" xr:uid="{BAEA6EC7-A56C-4C02-BF1A-A8CCDB903C15}"/>
    <cellStyle name="Normal_Precio públicos al 01-03" xfId="4" xr:uid="{EE6BA769-AE04-4E7B-89F2-37C4808A43AF}"/>
    <cellStyle name="Notas" xfId="75" builtinId="10" customBuiltin="1"/>
    <cellStyle name="Porcentaje" xfId="1" builtinId="5"/>
    <cellStyle name="Porcentaje 2" xfId="7" xr:uid="{66E51866-3ECF-42E8-9503-69727C81520D}"/>
    <cellStyle name="Porcentaje 3" xfId="6" xr:uid="{5643A4AB-FFE8-4810-B375-2CC30B310AE9}"/>
    <cellStyle name="Salida" xfId="70" builtinId="21" customBuiltin="1"/>
    <cellStyle name="Texto de advertencia" xfId="74" builtinId="11" customBuiltin="1"/>
    <cellStyle name="Texto explicativo" xfId="76" builtinId="53" customBuiltin="1"/>
    <cellStyle name="Título" xfId="61" builtinId="15" customBuiltin="1"/>
    <cellStyle name="Título 2" xfId="63" builtinId="17" customBuiltin="1"/>
    <cellStyle name="Título 3" xfId="64" builtinId="18" customBuiltin="1"/>
    <cellStyle name="Total" xfId="77" builtinId="25" customBuiltin="1"/>
  </cellStyles>
  <dxfs count="18">
    <dxf>
      <font>
        <b/>
        <i val="0"/>
        <color rgb="FFFF0066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adrian_dallaverde_minervafoods_com/Documents/Documentos/Listas%20de%20precios/LISTA%20DX%20y%20SubDX%20LITORAL-%20NOA-NEA/Lista%20y%20Acciones%20Dx%20y%20Sub%20ENE%2025-%20Litoral%20Nea%20y%20NOA%20v2.xlsx" TargetMode="External"/><Relationship Id="rId2" Type="http://schemas.openxmlformats.org/officeDocument/2006/relationships/externalLinkPath" Target="https://minervafoods-my.sharepoint.com/personal/adrian_dallaverde_minervafoods_com/Documents/Documentos/Listas%20de%20precios/LISTA%20DX%20y%20SubDX%20LITORAL-%20NOA-NEA/Lista%20y%20Acciones%20Dx%20y%20Sub%20ENE%2025-%20Litoral%20Nea%20y%20NOA%20v2.xlsx" TargetMode="External"/><Relationship Id="rId1" Type="http://schemas.openxmlformats.org/officeDocument/2006/relationships/externalLinkPath" Target="/personal/adrian_dallaverde_minervafoods_com/Documents/Documentos/Listas%20de%20precios/LISTA%20DX%20y%20SubDX%20LITORAL-%20NOA-NEA/Lista%20y%20Acciones%20Dx%20y%20Sub%20ENE%2025-%20Litoral%20Nea%20y%20NOA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toral"/>
      <sheetName val="NEA"/>
      <sheetName val="NOA"/>
      <sheetName val="Sub Litoral"/>
      <sheetName val="Sub NEA"/>
      <sheetName val="Sub NOA"/>
    </sheetNames>
    <sheetDataSet>
      <sheetData sheetId="0"/>
      <sheetData sheetId="1"/>
      <sheetData sheetId="2">
        <row r="37">
          <cell r="H37">
            <v>14712.560167105621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8940C-8631-47D3-83A2-691024AA7E5B}">
  <dimension ref="A1:EZ110"/>
  <sheetViews>
    <sheetView tabSelected="1" zoomScaleNormal="90" workbookViewId="0">
      <pane xSplit="5" ySplit="3" topLeftCell="R103" activePane="bottomRight" state="frozen"/>
      <selection pane="topRight" activeCell="F1" sqref="F1"/>
      <selection pane="bottomLeft" activeCell="A4" sqref="A4"/>
      <selection pane="bottomRight" activeCell="R102" sqref="R102"/>
    </sheetView>
  </sheetViews>
  <sheetFormatPr baseColWidth="10" defaultColWidth="11.42578125" defaultRowHeight="15" outlineLevelCol="1" x14ac:dyDescent="0.25"/>
  <cols>
    <col min="1" max="1" width="11" customWidth="1" collapsed="1"/>
    <col min="2" max="2" width="36.140625" customWidth="1"/>
    <col min="3" max="3" width="14.140625" customWidth="1"/>
    <col min="4" max="4" width="7.85546875" bestFit="1" customWidth="1"/>
    <col min="5" max="5" width="6" customWidth="1"/>
    <col min="6" max="6" width="9.42578125" style="80" customWidth="1"/>
    <col min="7" max="7" width="8.5703125" customWidth="1"/>
    <col min="8" max="8" width="9.42578125" style="80" customWidth="1"/>
    <col min="9" max="9" width="10.140625" customWidth="1"/>
    <col min="10" max="14" width="9.140625" customWidth="1"/>
    <col min="15" max="15" width="10.140625" style="75" customWidth="1"/>
    <col min="16" max="16" width="8" style="75" hidden="1" customWidth="1"/>
    <col min="17" max="17" width="10" style="1" hidden="1" customWidth="1"/>
    <col min="18" max="18" width="120.85546875" customWidth="1"/>
    <col min="19" max="19" width="11.5703125" bestFit="1" customWidth="1"/>
    <col min="20" max="21" width="10.5703125" bestFit="1" customWidth="1"/>
    <col min="22" max="22" width="10.140625" customWidth="1"/>
    <col min="23" max="23" width="11.42578125" customWidth="1"/>
    <col min="24" max="24" width="10.140625" customWidth="1"/>
    <col min="25" max="25" width="11.42578125" customWidth="1"/>
    <col min="26" max="26" width="10.140625" customWidth="1"/>
    <col min="27" max="27" width="11.42578125" customWidth="1"/>
    <col min="28" max="28" width="10.140625" customWidth="1"/>
    <col min="29" max="29" width="11.42578125" customWidth="1"/>
    <col min="30" max="30" width="9.140625" customWidth="1"/>
    <col min="31" max="37" width="11.42578125" customWidth="1"/>
    <col min="38" max="38" width="9.140625" customWidth="1"/>
    <col min="39" max="39" width="11.42578125" customWidth="1"/>
    <col min="40" max="40" width="9.140625" customWidth="1"/>
    <col min="41" max="41" width="11.42578125" customWidth="1"/>
    <col min="42" max="42" width="9.140625" customWidth="1"/>
    <col min="43" max="43" width="11.42578125" customWidth="1"/>
    <col min="44" max="44" width="9.140625" customWidth="1"/>
    <col min="45" max="45" width="11.42578125" customWidth="1"/>
    <col min="46" max="46" width="9.140625" customWidth="1"/>
    <col min="47" max="47" width="11.42578125" customWidth="1"/>
    <col min="48" max="48" width="10" customWidth="1"/>
    <col min="49" max="49" width="11.42578125" customWidth="1"/>
    <col min="50" max="50" width="10" customWidth="1"/>
    <col min="51" max="51" width="11.42578125" customWidth="1"/>
    <col min="52" max="52" width="10" customWidth="1"/>
    <col min="53" max="53" width="11.42578125" customWidth="1"/>
    <col min="54" max="54" width="10" customWidth="1"/>
    <col min="55" max="55" width="11.42578125" customWidth="1"/>
    <col min="56" max="56" width="9.140625" customWidth="1"/>
    <col min="57" max="57" width="11.42578125" customWidth="1"/>
    <col min="58" max="58" width="11.5703125" customWidth="1"/>
    <col min="59" max="59" width="3.42578125" customWidth="1"/>
    <col min="60" max="60" width="11.5703125" customWidth="1"/>
    <col min="61" max="61" width="2.85546875" customWidth="1"/>
    <col min="62" max="62" width="11.5703125" customWidth="1"/>
    <col min="63" max="63" width="3.42578125" customWidth="1"/>
    <col min="64" max="64" width="11.5703125" customWidth="1"/>
    <col min="65" max="65" width="3.42578125" customWidth="1"/>
    <col min="66" max="66" width="11.5703125" customWidth="1"/>
    <col min="67" max="67" width="3.42578125" customWidth="1"/>
    <col min="68" max="68" width="11.5703125" customWidth="1"/>
    <col min="69" max="69" width="3.42578125" customWidth="1"/>
    <col min="70" max="70" width="11.5703125" customWidth="1"/>
    <col min="71" max="71" width="3.42578125" customWidth="1"/>
    <col min="72" max="72" width="11.5703125" customWidth="1"/>
    <col min="73" max="73" width="3.42578125" customWidth="1"/>
    <col min="74" max="74" width="11.5703125" customWidth="1"/>
    <col min="75" max="75" width="3.42578125" customWidth="1"/>
    <col min="76" max="76" width="11.5703125" customWidth="1"/>
    <col min="77" max="77" width="3" customWidth="1"/>
    <col min="78" max="78" width="11.5703125" customWidth="1"/>
    <col min="79" max="79" width="4.85546875" customWidth="1"/>
    <col min="80" max="80" width="11.5703125" customWidth="1"/>
    <col min="81" max="81" width="4.85546875" customWidth="1"/>
    <col min="82" max="82" width="11.42578125" customWidth="1"/>
    <col min="83" max="83" width="4.85546875" customWidth="1"/>
    <col min="84" max="84" width="11.42578125" customWidth="1"/>
    <col min="85" max="85" width="4.85546875" customWidth="1"/>
    <col min="86" max="140" width="11.42578125" customWidth="1"/>
    <col min="141" max="141" width="11.42578125" customWidth="1" outlineLevel="1"/>
    <col min="142" max="143" width="11.42578125" customWidth="1"/>
    <col min="145" max="151" width="11.42578125" outlineLevel="1"/>
    <col min="154" max="156" width="11.42578125" outlineLevel="1"/>
  </cols>
  <sheetData>
    <row r="1" spans="1:19" ht="15.75" thickBot="1" x14ac:dyDescent="0.3">
      <c r="A1" s="1"/>
      <c r="B1" s="1"/>
      <c r="C1" s="1"/>
      <c r="D1" s="1"/>
      <c r="E1" s="1"/>
      <c r="F1" s="2"/>
      <c r="G1" s="1"/>
      <c r="H1" s="2"/>
      <c r="I1" s="1"/>
      <c r="J1" s="1"/>
      <c r="K1" s="1"/>
      <c r="L1" s="1"/>
      <c r="M1" s="1"/>
      <c r="N1" s="1"/>
      <c r="O1" s="3"/>
      <c r="P1" s="3"/>
    </row>
    <row r="2" spans="1:19" ht="36.75" thickBot="1" x14ac:dyDescent="0.3">
      <c r="A2" s="4" t="s">
        <v>0</v>
      </c>
      <c r="B2" s="5" t="s">
        <v>1</v>
      </c>
      <c r="C2" s="6" t="s">
        <v>2</v>
      </c>
      <c r="D2" s="6" t="s">
        <v>3</v>
      </c>
      <c r="E2" s="6" t="s">
        <v>4</v>
      </c>
      <c r="F2" s="7" t="s">
        <v>86</v>
      </c>
      <c r="G2" s="6" t="s">
        <v>87</v>
      </c>
      <c r="H2" s="7" t="s">
        <v>109</v>
      </c>
      <c r="I2" s="8" t="s">
        <v>5</v>
      </c>
      <c r="J2" s="8" t="s">
        <v>6</v>
      </c>
      <c r="K2" s="8" t="s">
        <v>7</v>
      </c>
      <c r="L2" s="8" t="s">
        <v>8</v>
      </c>
      <c r="M2" s="8" t="s">
        <v>9</v>
      </c>
      <c r="N2" s="8" t="s">
        <v>10</v>
      </c>
      <c r="O2" s="9" t="s">
        <v>11</v>
      </c>
      <c r="P2" s="10"/>
      <c r="Q2" s="11" t="s">
        <v>100</v>
      </c>
      <c r="R2" s="9" t="s">
        <v>108</v>
      </c>
    </row>
    <row r="3" spans="1:19" x14ac:dyDescent="0.25">
      <c r="A3" s="12"/>
      <c r="B3" s="13"/>
      <c r="C3" s="14"/>
      <c r="D3" s="13"/>
      <c r="E3" s="13"/>
      <c r="F3" s="15"/>
      <c r="G3" s="13"/>
      <c r="H3" s="15"/>
      <c r="I3" s="16"/>
      <c r="J3" s="17">
        <v>0.21</v>
      </c>
      <c r="K3" s="16"/>
      <c r="L3" s="17">
        <v>0.35</v>
      </c>
      <c r="M3" s="16"/>
      <c r="N3" s="17">
        <v>0.45</v>
      </c>
      <c r="O3" s="18"/>
      <c r="P3" s="3"/>
      <c r="Q3" s="18"/>
    </row>
    <row r="4" spans="1:19" x14ac:dyDescent="0.25">
      <c r="A4" s="133">
        <v>100021632</v>
      </c>
      <c r="B4" s="131" t="s">
        <v>12</v>
      </c>
      <c r="C4" s="86">
        <v>7790360026606</v>
      </c>
      <c r="D4" s="87">
        <v>4.8</v>
      </c>
      <c r="E4" s="88">
        <v>30</v>
      </c>
      <c r="F4" s="82">
        <v>44287.960151426363</v>
      </c>
      <c r="G4" s="104"/>
      <c r="H4" s="82">
        <f>+F4*(1-G4)</f>
        <v>44287.960151426363</v>
      </c>
      <c r="I4" s="82">
        <f>+H4/E4</f>
        <v>1476.2653383808788</v>
      </c>
      <c r="J4" s="82">
        <f>+I4*J$3</f>
        <v>310.01572105998451</v>
      </c>
      <c r="K4" s="82">
        <f>+I4+J4</f>
        <v>1786.2810594408634</v>
      </c>
      <c r="L4" s="82">
        <f>+K4*L$3</f>
        <v>625.19837080430216</v>
      </c>
      <c r="M4" s="82">
        <f>+K4+L4</f>
        <v>2411.4794302451655</v>
      </c>
      <c r="N4" s="82">
        <f>+M4*N$3</f>
        <v>1085.1657436103246</v>
      </c>
      <c r="O4" s="89">
        <f>+M4+N4</f>
        <v>3496.6451738554902</v>
      </c>
      <c r="P4" s="124">
        <f t="shared" ref="P4:P39" si="0">H4/Q4-1</f>
        <v>0.15500000000000003</v>
      </c>
      <c r="Q4" s="24">
        <v>38344.554243659186</v>
      </c>
      <c r="R4" s="136"/>
    </row>
    <row r="5" spans="1:19" x14ac:dyDescent="0.25">
      <c r="A5" s="25">
        <v>100021652</v>
      </c>
      <c r="B5" s="19" t="s">
        <v>13</v>
      </c>
      <c r="C5" s="20">
        <v>7790360026576</v>
      </c>
      <c r="D5" s="21">
        <v>5.76</v>
      </c>
      <c r="E5" s="22">
        <v>18</v>
      </c>
      <c r="F5" s="23">
        <v>55853.42950551727</v>
      </c>
      <c r="G5" s="22"/>
      <c r="H5" s="23">
        <f t="shared" ref="H5:H77" si="1">+F5*(1-G5)</f>
        <v>55853.42950551727</v>
      </c>
      <c r="I5" s="23">
        <f t="shared" ref="I5:I77" si="2">+H5/E5</f>
        <v>3102.9683058620703</v>
      </c>
      <c r="J5" s="23">
        <f t="shared" ref="J5:J77" si="3">+I5*J$3</f>
        <v>651.62334423103471</v>
      </c>
      <c r="K5" s="23">
        <f t="shared" ref="K5:K77" si="4">+I5+J5</f>
        <v>3754.5916500931053</v>
      </c>
      <c r="L5" s="23">
        <f t="shared" ref="L5:L77" si="5">+K5*L$3</f>
        <v>1314.1070775325868</v>
      </c>
      <c r="M5" s="23">
        <f t="shared" ref="M5:M77" si="6">+K5+L5</f>
        <v>5068.6987276256923</v>
      </c>
      <c r="N5" s="23">
        <f t="shared" ref="N5:N77" si="7">+M5*N$3</f>
        <v>2280.9144274315618</v>
      </c>
      <c r="O5" s="24">
        <f t="shared" ref="O5:O77" si="8">+M5+N5</f>
        <v>7349.6131550572536</v>
      </c>
      <c r="P5" s="124">
        <f t="shared" si="0"/>
        <v>0.21000000000000019</v>
      </c>
      <c r="Q5" s="24">
        <v>46159.859095468812</v>
      </c>
      <c r="R5" s="137"/>
    </row>
    <row r="6" spans="1:19" x14ac:dyDescent="0.25">
      <c r="A6" s="25">
        <v>100021631</v>
      </c>
      <c r="B6" s="19" t="s">
        <v>14</v>
      </c>
      <c r="C6" s="20">
        <v>7790360026590</v>
      </c>
      <c r="D6" s="21">
        <v>7.68</v>
      </c>
      <c r="E6" s="22">
        <v>8</v>
      </c>
      <c r="F6" s="23">
        <v>70798.248820551773</v>
      </c>
      <c r="G6" s="22"/>
      <c r="H6" s="23">
        <f t="shared" si="1"/>
        <v>70798.248820551773</v>
      </c>
      <c r="I6" s="23">
        <f t="shared" si="2"/>
        <v>8849.7811025689716</v>
      </c>
      <c r="J6" s="23">
        <f t="shared" si="3"/>
        <v>1858.454031539484</v>
      </c>
      <c r="K6" s="23">
        <f t="shared" si="4"/>
        <v>10708.235134108456</v>
      </c>
      <c r="L6" s="23">
        <f t="shared" si="5"/>
        <v>3747.8822969379594</v>
      </c>
      <c r="M6" s="23">
        <f t="shared" si="6"/>
        <v>14456.117431046416</v>
      </c>
      <c r="N6" s="23">
        <f t="shared" si="7"/>
        <v>6505.2528439708876</v>
      </c>
      <c r="O6" s="24">
        <f t="shared" si="8"/>
        <v>20961.370275017303</v>
      </c>
      <c r="P6" s="124">
        <f t="shared" si="0"/>
        <v>0.21000000000000019</v>
      </c>
      <c r="Q6" s="24">
        <v>58510.949438472533</v>
      </c>
      <c r="R6" s="137"/>
    </row>
    <row r="7" spans="1:19" x14ac:dyDescent="0.25">
      <c r="A7" s="25">
        <v>100021630</v>
      </c>
      <c r="B7" s="19" t="s">
        <v>15</v>
      </c>
      <c r="C7" s="20">
        <v>7790360026583</v>
      </c>
      <c r="D7" s="21">
        <v>9.6</v>
      </c>
      <c r="E7" s="22">
        <v>6</v>
      </c>
      <c r="F7" s="23">
        <v>86779.406928103519</v>
      </c>
      <c r="G7" s="22"/>
      <c r="H7" s="23">
        <f t="shared" si="1"/>
        <v>86779.406928103519</v>
      </c>
      <c r="I7" s="23">
        <f t="shared" si="2"/>
        <v>14463.234488017253</v>
      </c>
      <c r="J7" s="23">
        <f t="shared" si="3"/>
        <v>3037.279242483623</v>
      </c>
      <c r="K7" s="23">
        <f t="shared" si="4"/>
        <v>17500.513730500876</v>
      </c>
      <c r="L7" s="23">
        <f t="shared" si="5"/>
        <v>6125.1798056753059</v>
      </c>
      <c r="M7" s="23">
        <f t="shared" si="6"/>
        <v>23625.693536176183</v>
      </c>
      <c r="N7" s="23">
        <f t="shared" si="7"/>
        <v>10631.562091279282</v>
      </c>
      <c r="O7" s="24">
        <f t="shared" si="8"/>
        <v>34257.255627455466</v>
      </c>
      <c r="P7" s="124">
        <f t="shared" si="0"/>
        <v>0.21000000000000019</v>
      </c>
      <c r="Q7" s="24">
        <v>71718.51812239959</v>
      </c>
      <c r="R7" s="137"/>
    </row>
    <row r="8" spans="1:19" x14ac:dyDescent="0.25">
      <c r="A8" s="26">
        <v>100021653</v>
      </c>
      <c r="B8" s="27" t="s">
        <v>16</v>
      </c>
      <c r="C8" s="20">
        <v>7790360026682</v>
      </c>
      <c r="D8" s="21">
        <v>5.76</v>
      </c>
      <c r="E8" s="22">
        <v>18</v>
      </c>
      <c r="F8" s="23">
        <v>55676.292761793149</v>
      </c>
      <c r="G8" s="22"/>
      <c r="H8" s="23">
        <f t="shared" si="1"/>
        <v>55676.292761793149</v>
      </c>
      <c r="I8" s="23">
        <f t="shared" si="2"/>
        <v>3093.127375655175</v>
      </c>
      <c r="J8" s="23">
        <f t="shared" si="3"/>
        <v>649.55674888758676</v>
      </c>
      <c r="K8" s="23">
        <f t="shared" si="4"/>
        <v>3742.6841245427618</v>
      </c>
      <c r="L8" s="23">
        <f t="shared" si="5"/>
        <v>1309.9394435899665</v>
      </c>
      <c r="M8" s="23">
        <f t="shared" si="6"/>
        <v>5052.623568132728</v>
      </c>
      <c r="N8" s="23">
        <f t="shared" si="7"/>
        <v>2273.6806056597275</v>
      </c>
      <c r="O8" s="24">
        <f t="shared" si="8"/>
        <v>7326.3041737924559</v>
      </c>
      <c r="P8" s="124">
        <f t="shared" si="0"/>
        <v>0.10000000000000009</v>
      </c>
      <c r="Q8" s="24">
        <v>50614.811601630128</v>
      </c>
      <c r="R8" s="137"/>
    </row>
    <row r="9" spans="1:19" x14ac:dyDescent="0.25">
      <c r="A9" s="26">
        <v>100516169</v>
      </c>
      <c r="B9" s="27" t="s">
        <v>17</v>
      </c>
      <c r="C9" s="20">
        <v>7790360967961</v>
      </c>
      <c r="D9" s="21">
        <v>5.76</v>
      </c>
      <c r="E9" s="22">
        <v>18</v>
      </c>
      <c r="F9" s="23">
        <v>46670.247357300017</v>
      </c>
      <c r="G9" s="22"/>
      <c r="H9" s="23">
        <f t="shared" si="1"/>
        <v>46670.247357300017</v>
      </c>
      <c r="I9" s="23">
        <f t="shared" si="2"/>
        <v>2592.7915198500009</v>
      </c>
      <c r="J9" s="23">
        <f t="shared" si="3"/>
        <v>544.48621916850016</v>
      </c>
      <c r="K9" s="23">
        <f t="shared" si="4"/>
        <v>3137.2777390185011</v>
      </c>
      <c r="L9" s="23">
        <f t="shared" si="5"/>
        <v>1098.0472086564753</v>
      </c>
      <c r="M9" s="23">
        <f t="shared" si="6"/>
        <v>4235.3249476749761</v>
      </c>
      <c r="N9" s="23">
        <f t="shared" si="7"/>
        <v>1905.8962264537392</v>
      </c>
      <c r="O9" s="24">
        <f t="shared" si="8"/>
        <v>6141.2211741287156</v>
      </c>
      <c r="P9" s="124">
        <f t="shared" si="0"/>
        <v>0</v>
      </c>
      <c r="Q9" s="24">
        <v>46670.247357300017</v>
      </c>
      <c r="R9" s="137"/>
    </row>
    <row r="10" spans="1:19" x14ac:dyDescent="0.25">
      <c r="A10" s="26">
        <v>100520337</v>
      </c>
      <c r="B10" s="27" t="s">
        <v>18</v>
      </c>
      <c r="C10" s="20">
        <v>7790360977960</v>
      </c>
      <c r="D10" s="21">
        <v>4.8</v>
      </c>
      <c r="E10" s="22">
        <v>30</v>
      </c>
      <c r="F10" s="23">
        <v>31314.663479623836</v>
      </c>
      <c r="G10" s="22"/>
      <c r="H10" s="23">
        <f t="shared" si="1"/>
        <v>31314.663479623836</v>
      </c>
      <c r="I10" s="23">
        <f>+H10/E10</f>
        <v>1043.8221159874613</v>
      </c>
      <c r="J10" s="23">
        <f>+I10*J$3</f>
        <v>219.20264435736686</v>
      </c>
      <c r="K10" s="23">
        <f>+I10+J10</f>
        <v>1263.0247603448281</v>
      </c>
      <c r="L10" s="23">
        <f>+K10*L$3</f>
        <v>442.05866612068979</v>
      </c>
      <c r="M10" s="23">
        <f>+K10+L10</f>
        <v>1705.083426465518</v>
      </c>
      <c r="N10" s="23">
        <f>+M10*N$3</f>
        <v>767.28754190948314</v>
      </c>
      <c r="O10" s="24">
        <f>+M10+N10</f>
        <v>2472.3709683750012</v>
      </c>
      <c r="P10" s="124">
        <f t="shared" si="0"/>
        <v>0.15500000000000025</v>
      </c>
      <c r="Q10" s="24">
        <v>27112.262752921066</v>
      </c>
      <c r="R10" s="137"/>
    </row>
    <row r="11" spans="1:19" x14ac:dyDescent="0.25">
      <c r="A11" s="26">
        <v>100021503</v>
      </c>
      <c r="B11" s="27" t="s">
        <v>19</v>
      </c>
      <c r="C11" s="20">
        <v>7790360966841</v>
      </c>
      <c r="D11" s="21">
        <v>3.3119999999999998</v>
      </c>
      <c r="E11" s="22">
        <v>12</v>
      </c>
      <c r="F11" s="23">
        <v>23909.554608150476</v>
      </c>
      <c r="G11" s="127"/>
      <c r="H11" s="23">
        <f t="shared" si="1"/>
        <v>23909.554608150476</v>
      </c>
      <c r="I11" s="23">
        <f t="shared" si="2"/>
        <v>1992.4628840125397</v>
      </c>
      <c r="J11" s="23">
        <f t="shared" si="3"/>
        <v>418.41720564263329</v>
      </c>
      <c r="K11" s="23">
        <f t="shared" si="4"/>
        <v>2410.8800896551729</v>
      </c>
      <c r="L11" s="23">
        <f t="shared" si="5"/>
        <v>843.80803137931048</v>
      </c>
      <c r="M11" s="23">
        <f t="shared" si="6"/>
        <v>3254.6881210344836</v>
      </c>
      <c r="N11" s="23">
        <f t="shared" si="7"/>
        <v>1464.6096544655177</v>
      </c>
      <c r="O11" s="24">
        <f t="shared" si="8"/>
        <v>4719.2977755000011</v>
      </c>
      <c r="P11" s="124">
        <f t="shared" si="0"/>
        <v>0.25995418348423716</v>
      </c>
      <c r="Q11" s="24">
        <v>18976.527021031634</v>
      </c>
      <c r="R11" s="137"/>
    </row>
    <row r="12" spans="1:19" x14ac:dyDescent="0.25">
      <c r="A12" s="26">
        <v>100516201</v>
      </c>
      <c r="B12" s="27" t="s">
        <v>20</v>
      </c>
      <c r="C12" s="20">
        <v>7790360968548</v>
      </c>
      <c r="D12" s="21">
        <v>6.6239999999999997</v>
      </c>
      <c r="E12" s="22">
        <v>8</v>
      </c>
      <c r="F12" s="23">
        <v>52240.111638521164</v>
      </c>
      <c r="G12" s="132"/>
      <c r="H12" s="23">
        <f t="shared" si="1"/>
        <v>52240.111638521164</v>
      </c>
      <c r="I12" s="23">
        <f t="shared" si="2"/>
        <v>6530.0139548151456</v>
      </c>
      <c r="J12" s="23">
        <f t="shared" si="3"/>
        <v>1371.3029305111804</v>
      </c>
      <c r="K12" s="23">
        <f t="shared" si="4"/>
        <v>7901.316885326326</v>
      </c>
      <c r="L12" s="23">
        <f t="shared" si="5"/>
        <v>2765.460909864214</v>
      </c>
      <c r="M12" s="23">
        <f t="shared" si="6"/>
        <v>10666.777795190541</v>
      </c>
      <c r="N12" s="23">
        <f t="shared" si="7"/>
        <v>4800.0500078357436</v>
      </c>
      <c r="O12" s="24">
        <f t="shared" si="8"/>
        <v>15466.827803026285</v>
      </c>
      <c r="P12" s="124">
        <f t="shared" si="0"/>
        <v>0.15500000000000025</v>
      </c>
      <c r="Q12" s="24">
        <v>45229.533886165504</v>
      </c>
      <c r="R12" s="138"/>
    </row>
    <row r="13" spans="1:19" x14ac:dyDescent="0.25">
      <c r="A13" s="81">
        <v>100021643</v>
      </c>
      <c r="B13" s="85" t="s">
        <v>21</v>
      </c>
      <c r="C13" s="86">
        <v>7790360966797</v>
      </c>
      <c r="D13" s="87">
        <v>4.7039999999999997</v>
      </c>
      <c r="E13" s="88">
        <v>42</v>
      </c>
      <c r="F13" s="82">
        <v>30581.035985403261</v>
      </c>
      <c r="G13" s="135">
        <v>4.7619047619047616E-2</v>
      </c>
      <c r="H13" s="82">
        <f t="shared" si="1"/>
        <v>29124.796176574531</v>
      </c>
      <c r="I13" s="82">
        <f t="shared" si="2"/>
        <v>693.44752801367929</v>
      </c>
      <c r="J13" s="82">
        <f t="shared" si="3"/>
        <v>145.62398088287264</v>
      </c>
      <c r="K13" s="82">
        <f t="shared" si="4"/>
        <v>839.0715088965519</v>
      </c>
      <c r="L13" s="82">
        <f t="shared" si="5"/>
        <v>293.67502811379313</v>
      </c>
      <c r="M13" s="82">
        <f t="shared" si="6"/>
        <v>1132.746537010345</v>
      </c>
      <c r="N13" s="82">
        <f t="shared" si="7"/>
        <v>509.73594165465528</v>
      </c>
      <c r="O13" s="89">
        <f t="shared" si="8"/>
        <v>1642.4824786650004</v>
      </c>
      <c r="P13" s="124">
        <f t="shared" si="0"/>
        <v>4.9999999999999822E-2</v>
      </c>
      <c r="Q13" s="24">
        <v>27737.901120547176</v>
      </c>
      <c r="R13" s="136" t="s">
        <v>119</v>
      </c>
      <c r="S13" s="109"/>
    </row>
    <row r="14" spans="1:19" x14ac:dyDescent="0.25">
      <c r="A14" s="26">
        <v>100516325</v>
      </c>
      <c r="B14" s="27" t="s">
        <v>22</v>
      </c>
      <c r="C14" s="20">
        <v>7790360967763</v>
      </c>
      <c r="D14" s="21">
        <v>4.7039999999999997</v>
      </c>
      <c r="E14" s="22">
        <v>21</v>
      </c>
      <c r="F14" s="23">
        <v>34392.851499356402</v>
      </c>
      <c r="G14" s="132"/>
      <c r="H14" s="23">
        <f t="shared" si="1"/>
        <v>34392.851499356402</v>
      </c>
      <c r="I14" s="23">
        <f t="shared" si="2"/>
        <v>1637.7548333026857</v>
      </c>
      <c r="J14" s="23">
        <f t="shared" si="3"/>
        <v>343.92851499356397</v>
      </c>
      <c r="K14" s="23">
        <f t="shared" si="4"/>
        <v>1981.6833482962497</v>
      </c>
      <c r="L14" s="23">
        <f t="shared" si="5"/>
        <v>693.58917190368732</v>
      </c>
      <c r="M14" s="23">
        <f t="shared" si="6"/>
        <v>2675.2725201999369</v>
      </c>
      <c r="N14" s="23">
        <f t="shared" si="7"/>
        <v>1203.8726340899716</v>
      </c>
      <c r="O14" s="24">
        <f t="shared" si="8"/>
        <v>3879.1451542899085</v>
      </c>
      <c r="P14" s="124">
        <f t="shared" si="0"/>
        <v>0.10250000000000004</v>
      </c>
      <c r="Q14" s="24">
        <v>31195.330158146397</v>
      </c>
      <c r="R14" s="138"/>
    </row>
    <row r="15" spans="1:19" x14ac:dyDescent="0.25">
      <c r="A15" s="26">
        <v>100021676</v>
      </c>
      <c r="B15" s="27" t="s">
        <v>23</v>
      </c>
      <c r="C15" s="20">
        <v>7790360967411</v>
      </c>
      <c r="D15" s="21">
        <v>7.5</v>
      </c>
      <c r="E15" s="22">
        <v>30</v>
      </c>
      <c r="F15" s="23">
        <v>66855.304156739832</v>
      </c>
      <c r="G15" s="127"/>
      <c r="H15" s="23">
        <f t="shared" si="1"/>
        <v>66855.304156739832</v>
      </c>
      <c r="I15" s="23">
        <f t="shared" si="2"/>
        <v>2228.5101385579942</v>
      </c>
      <c r="J15" s="23">
        <f t="shared" si="3"/>
        <v>467.98712909717875</v>
      </c>
      <c r="K15" s="23">
        <f t="shared" si="4"/>
        <v>2696.4972676551729</v>
      </c>
      <c r="L15" s="23">
        <f t="shared" si="5"/>
        <v>943.77404367931047</v>
      </c>
      <c r="M15" s="23">
        <f t="shared" si="6"/>
        <v>3640.2713113344835</v>
      </c>
      <c r="N15" s="23">
        <f t="shared" si="7"/>
        <v>1638.1220901005177</v>
      </c>
      <c r="O15" s="24">
        <f t="shared" si="8"/>
        <v>5278.3934014350016</v>
      </c>
      <c r="P15" s="124">
        <f t="shared" si="0"/>
        <v>0.17861352191149682</v>
      </c>
      <c r="Q15" s="24">
        <v>56723.686699532082</v>
      </c>
      <c r="R15" s="137"/>
    </row>
    <row r="16" spans="1:19" x14ac:dyDescent="0.25">
      <c r="A16" s="81">
        <v>100516008</v>
      </c>
      <c r="B16" s="85" t="s">
        <v>24</v>
      </c>
      <c r="C16" s="86">
        <v>7790360967701</v>
      </c>
      <c r="D16" s="87">
        <v>5.76</v>
      </c>
      <c r="E16" s="88">
        <v>24</v>
      </c>
      <c r="F16" s="82">
        <v>56052.79545638174</v>
      </c>
      <c r="G16" s="135">
        <v>9.0909090909090912E-2</v>
      </c>
      <c r="H16" s="82">
        <f t="shared" si="1"/>
        <v>50957.08677852885</v>
      </c>
      <c r="I16" s="82">
        <f t="shared" si="2"/>
        <v>2123.2119491053686</v>
      </c>
      <c r="J16" s="82">
        <f t="shared" si="3"/>
        <v>445.87450931212737</v>
      </c>
      <c r="K16" s="82">
        <f t="shared" si="4"/>
        <v>2569.086458417496</v>
      </c>
      <c r="L16" s="82">
        <f t="shared" si="5"/>
        <v>899.1802604461235</v>
      </c>
      <c r="M16" s="82">
        <f t="shared" si="6"/>
        <v>3468.2667188636196</v>
      </c>
      <c r="N16" s="82">
        <f>+M16*0.4265</f>
        <v>1479.2157555953338</v>
      </c>
      <c r="O16" s="89">
        <f t="shared" si="8"/>
        <v>4947.4824744589532</v>
      </c>
      <c r="P16" s="124">
        <f t="shared" si="0"/>
        <v>9.9989000109999004E-2</v>
      </c>
      <c r="Q16" s="24">
        <v>46325.087590360577</v>
      </c>
      <c r="R16" s="136" t="s">
        <v>120</v>
      </c>
    </row>
    <row r="17" spans="1:21" x14ac:dyDescent="0.25">
      <c r="A17" s="26">
        <v>100520834</v>
      </c>
      <c r="B17" s="27" t="s">
        <v>25</v>
      </c>
      <c r="C17" s="20">
        <v>7790360980618</v>
      </c>
      <c r="D17" s="21">
        <v>6.66</v>
      </c>
      <c r="E17" s="22">
        <v>36</v>
      </c>
      <c r="F17" s="23">
        <v>63095.588372348466</v>
      </c>
      <c r="G17" s="22"/>
      <c r="H17" s="23">
        <f t="shared" si="1"/>
        <v>63095.588372348466</v>
      </c>
      <c r="I17" s="23">
        <f t="shared" si="2"/>
        <v>1752.6552325652351</v>
      </c>
      <c r="J17" s="23">
        <f t="shared" si="3"/>
        <v>368.05759883869933</v>
      </c>
      <c r="K17" s="23">
        <f t="shared" si="4"/>
        <v>2120.7128314039346</v>
      </c>
      <c r="L17" s="23">
        <f t="shared" si="5"/>
        <v>742.24949099137712</v>
      </c>
      <c r="M17" s="23">
        <f t="shared" si="6"/>
        <v>2862.9623223953117</v>
      </c>
      <c r="N17" s="23">
        <f t="shared" si="7"/>
        <v>1288.3330450778903</v>
      </c>
      <c r="O17" s="24">
        <f t="shared" si="8"/>
        <v>4151.2953674732016</v>
      </c>
      <c r="P17" s="124">
        <f t="shared" si="0"/>
        <v>0</v>
      </c>
      <c r="Q17" s="24">
        <v>63095.588372348466</v>
      </c>
      <c r="R17" s="137"/>
    </row>
    <row r="18" spans="1:21" hidden="1" x14ac:dyDescent="0.25">
      <c r="A18" s="26">
        <v>100021680</v>
      </c>
      <c r="B18" s="27" t="s">
        <v>26</v>
      </c>
      <c r="C18" s="20">
        <v>7790360967688</v>
      </c>
      <c r="D18" s="21">
        <v>4.32</v>
      </c>
      <c r="E18" s="22">
        <v>18</v>
      </c>
      <c r="F18" s="23" t="e">
        <v>#N/A</v>
      </c>
      <c r="G18" s="22"/>
      <c r="H18" s="23" t="e">
        <f t="shared" si="1"/>
        <v>#N/A</v>
      </c>
      <c r="I18" s="23" t="e">
        <f t="shared" si="2"/>
        <v>#N/A</v>
      </c>
      <c r="J18" s="23" t="e">
        <f t="shared" si="3"/>
        <v>#N/A</v>
      </c>
      <c r="K18" s="23" t="e">
        <f t="shared" si="4"/>
        <v>#N/A</v>
      </c>
      <c r="L18" s="23" t="e">
        <f t="shared" si="5"/>
        <v>#N/A</v>
      </c>
      <c r="M18" s="23" t="e">
        <f t="shared" si="6"/>
        <v>#N/A</v>
      </c>
      <c r="N18" s="23" t="e">
        <f t="shared" si="7"/>
        <v>#N/A</v>
      </c>
      <c r="O18" s="24" t="e">
        <f t="shared" si="8"/>
        <v>#N/A</v>
      </c>
      <c r="P18" s="124" t="e">
        <f t="shared" si="0"/>
        <v>#N/A</v>
      </c>
      <c r="Q18" s="24">
        <v>50536.766687081057</v>
      </c>
      <c r="R18" s="137"/>
    </row>
    <row r="19" spans="1:21" x14ac:dyDescent="0.25">
      <c r="A19" s="26">
        <v>100021644</v>
      </c>
      <c r="B19" s="27" t="s">
        <v>27</v>
      </c>
      <c r="C19" s="20">
        <v>7790360008541</v>
      </c>
      <c r="D19" s="21">
        <v>4.7039999999999997</v>
      </c>
      <c r="E19" s="22">
        <v>42</v>
      </c>
      <c r="F19" s="23">
        <v>23198.823423740061</v>
      </c>
      <c r="G19" s="22"/>
      <c r="H19" s="23">
        <f t="shared" si="1"/>
        <v>23198.823423740061</v>
      </c>
      <c r="I19" s="23">
        <f t="shared" si="2"/>
        <v>552.35293866047766</v>
      </c>
      <c r="J19" s="23">
        <f t="shared" si="3"/>
        <v>115.9941171187003</v>
      </c>
      <c r="K19" s="23">
        <f t="shared" si="4"/>
        <v>668.34705577917794</v>
      </c>
      <c r="L19" s="28">
        <f>+K19*0.3</f>
        <v>200.50411673375336</v>
      </c>
      <c r="M19" s="23">
        <f t="shared" si="6"/>
        <v>868.85117251293127</v>
      </c>
      <c r="N19" s="23">
        <f t="shared" si="7"/>
        <v>390.98302763081909</v>
      </c>
      <c r="O19" s="24">
        <f t="shared" si="8"/>
        <v>1259.8342001437504</v>
      </c>
      <c r="P19" s="124">
        <f t="shared" si="0"/>
        <v>0.21000000000000019</v>
      </c>
      <c r="Q19" s="24">
        <v>19172.581341933932</v>
      </c>
      <c r="R19" s="137"/>
    </row>
    <row r="20" spans="1:21" x14ac:dyDescent="0.25">
      <c r="A20" s="26">
        <v>100021677</v>
      </c>
      <c r="B20" s="27" t="s">
        <v>28</v>
      </c>
      <c r="C20" s="20">
        <v>7790360967404</v>
      </c>
      <c r="D20" s="21">
        <v>3.3119999999999998</v>
      </c>
      <c r="E20" s="22">
        <v>12</v>
      </c>
      <c r="F20" s="23">
        <v>18410.953977453592</v>
      </c>
      <c r="G20" s="22"/>
      <c r="H20" s="23">
        <f t="shared" si="1"/>
        <v>18410.953977453592</v>
      </c>
      <c r="I20" s="23">
        <f t="shared" si="2"/>
        <v>1534.2461647877992</v>
      </c>
      <c r="J20" s="23">
        <f t="shared" si="3"/>
        <v>322.19169460543782</v>
      </c>
      <c r="K20" s="23">
        <f t="shared" si="4"/>
        <v>1856.437859393237</v>
      </c>
      <c r="L20" s="28">
        <f>+K20*0.3</f>
        <v>556.93135781797105</v>
      </c>
      <c r="M20" s="23">
        <f t="shared" si="6"/>
        <v>2413.3692172112078</v>
      </c>
      <c r="N20" s="23">
        <f t="shared" si="7"/>
        <v>1086.0161477450436</v>
      </c>
      <c r="O20" s="24">
        <f t="shared" si="8"/>
        <v>3499.3853649562516</v>
      </c>
      <c r="P20" s="124">
        <f t="shared" si="0"/>
        <v>0.21000000000000041</v>
      </c>
      <c r="Q20" s="24">
        <v>15215.664444176517</v>
      </c>
      <c r="R20" s="137"/>
    </row>
    <row r="21" spans="1:21" x14ac:dyDescent="0.25">
      <c r="A21" s="26">
        <v>100021638</v>
      </c>
      <c r="B21" s="27" t="s">
        <v>29</v>
      </c>
      <c r="C21" s="20">
        <v>7790360026699</v>
      </c>
      <c r="D21" s="21">
        <v>4.8</v>
      </c>
      <c r="E21" s="22">
        <v>60</v>
      </c>
      <c r="F21" s="23">
        <v>52286.133616622552</v>
      </c>
      <c r="G21" s="22"/>
      <c r="H21" s="23">
        <f t="shared" si="1"/>
        <v>52286.133616622552</v>
      </c>
      <c r="I21" s="23">
        <f t="shared" si="2"/>
        <v>871.43556027704255</v>
      </c>
      <c r="J21" s="23">
        <f t="shared" si="3"/>
        <v>183.00146765817894</v>
      </c>
      <c r="K21" s="23">
        <f t="shared" si="4"/>
        <v>1054.4370279352215</v>
      </c>
      <c r="L21" s="23">
        <f t="shared" si="5"/>
        <v>369.05295977732749</v>
      </c>
      <c r="M21" s="23">
        <f t="shared" si="6"/>
        <v>1423.489987712549</v>
      </c>
      <c r="N21" s="23">
        <f t="shared" si="7"/>
        <v>640.57049447064708</v>
      </c>
      <c r="O21" s="24">
        <f t="shared" si="8"/>
        <v>2064.0604821831962</v>
      </c>
      <c r="P21" s="124">
        <f t="shared" si="0"/>
        <v>0.10000000000000009</v>
      </c>
      <c r="Q21" s="24">
        <v>47532.848742384136</v>
      </c>
      <c r="R21" s="137"/>
    </row>
    <row r="22" spans="1:21" x14ac:dyDescent="0.25">
      <c r="A22" s="26">
        <v>100021575</v>
      </c>
      <c r="B22" s="27" t="s">
        <v>30</v>
      </c>
      <c r="C22" s="20">
        <v>7790360007032</v>
      </c>
      <c r="D22" s="21">
        <v>4.1399999999999997</v>
      </c>
      <c r="E22" s="22">
        <v>60</v>
      </c>
      <c r="F22" s="23">
        <v>42882.940853975058</v>
      </c>
      <c r="G22" s="22"/>
      <c r="H22" s="23">
        <f t="shared" si="1"/>
        <v>42882.940853975058</v>
      </c>
      <c r="I22" s="23">
        <f t="shared" si="2"/>
        <v>714.7156808995843</v>
      </c>
      <c r="J22" s="23">
        <f t="shared" si="3"/>
        <v>150.09029298891269</v>
      </c>
      <c r="K22" s="23">
        <f t="shared" si="4"/>
        <v>864.80597388849696</v>
      </c>
      <c r="L22" s="23">
        <f t="shared" si="5"/>
        <v>302.68209086097391</v>
      </c>
      <c r="M22" s="23">
        <f t="shared" si="6"/>
        <v>1167.4880647494708</v>
      </c>
      <c r="N22" s="23">
        <f t="shared" si="7"/>
        <v>525.36962913726188</v>
      </c>
      <c r="O22" s="24">
        <f t="shared" si="8"/>
        <v>1692.8576938867327</v>
      </c>
      <c r="P22" s="124">
        <f t="shared" si="0"/>
        <v>0.10000000000000009</v>
      </c>
      <c r="Q22" s="24">
        <v>38984.491685431865</v>
      </c>
      <c r="R22" s="137"/>
    </row>
    <row r="23" spans="1:21" x14ac:dyDescent="0.25">
      <c r="A23" s="26">
        <v>100021514</v>
      </c>
      <c r="B23" s="27" t="s">
        <v>31</v>
      </c>
      <c r="C23" s="20">
        <v>7790360006943</v>
      </c>
      <c r="D23" s="21">
        <v>4.1399999999999997</v>
      </c>
      <c r="E23" s="22">
        <v>60</v>
      </c>
      <c r="F23" s="23">
        <v>39023.233048076399</v>
      </c>
      <c r="G23" s="22"/>
      <c r="H23" s="23">
        <f t="shared" si="1"/>
        <v>39023.233048076399</v>
      </c>
      <c r="I23" s="23">
        <f t="shared" si="2"/>
        <v>650.38721746793999</v>
      </c>
      <c r="J23" s="23">
        <f t="shared" si="3"/>
        <v>136.58131566826739</v>
      </c>
      <c r="K23" s="23">
        <f t="shared" si="4"/>
        <v>786.96853313620738</v>
      </c>
      <c r="L23" s="23">
        <f t="shared" si="5"/>
        <v>275.43898659767257</v>
      </c>
      <c r="M23" s="23">
        <f t="shared" si="6"/>
        <v>1062.40751973388</v>
      </c>
      <c r="N23" s="23">
        <f t="shared" si="7"/>
        <v>478.083383880246</v>
      </c>
      <c r="O23" s="24">
        <f t="shared" si="8"/>
        <v>1540.490903614126</v>
      </c>
      <c r="P23" s="124">
        <f t="shared" si="0"/>
        <v>0.10000000000000009</v>
      </c>
      <c r="Q23" s="24">
        <v>35475.666407342178</v>
      </c>
      <c r="R23" s="137"/>
    </row>
    <row r="24" spans="1:21" x14ac:dyDescent="0.25">
      <c r="A24" s="25">
        <v>100516208</v>
      </c>
      <c r="B24" s="29" t="s">
        <v>32</v>
      </c>
      <c r="C24" s="30">
        <v>7790360968203</v>
      </c>
      <c r="D24" s="21">
        <f>60*0.08</f>
        <v>4.8</v>
      </c>
      <c r="E24" s="22">
        <v>60</v>
      </c>
      <c r="F24" s="23">
        <v>45244.35203863302</v>
      </c>
      <c r="G24" s="22"/>
      <c r="H24" s="23">
        <f t="shared" si="1"/>
        <v>45244.35203863302</v>
      </c>
      <c r="I24" s="23">
        <f t="shared" si="2"/>
        <v>754.07253397721695</v>
      </c>
      <c r="J24" s="23">
        <f t="shared" si="3"/>
        <v>158.35523213521554</v>
      </c>
      <c r="K24" s="23">
        <f t="shared" si="4"/>
        <v>912.42776611243244</v>
      </c>
      <c r="L24" s="23">
        <f t="shared" si="5"/>
        <v>319.34971813935135</v>
      </c>
      <c r="M24" s="23">
        <f t="shared" si="6"/>
        <v>1231.7774842517838</v>
      </c>
      <c r="N24" s="23">
        <f t="shared" si="7"/>
        <v>554.29986791330271</v>
      </c>
      <c r="O24" s="24">
        <f t="shared" si="8"/>
        <v>1786.0773521650865</v>
      </c>
      <c r="P24" s="124">
        <f t="shared" si="0"/>
        <v>0.10000000000000009</v>
      </c>
      <c r="Q24" s="24">
        <v>41131.229126030012</v>
      </c>
      <c r="R24" s="137"/>
    </row>
    <row r="25" spans="1:21" x14ac:dyDescent="0.25">
      <c r="A25" s="26">
        <v>100518346</v>
      </c>
      <c r="B25" s="27" t="s">
        <v>33</v>
      </c>
      <c r="C25" s="20">
        <v>7790360975478</v>
      </c>
      <c r="D25" s="21">
        <f>60*0.109</f>
        <v>6.54</v>
      </c>
      <c r="E25" s="22">
        <v>60</v>
      </c>
      <c r="F25" s="23">
        <v>64667.28610012462</v>
      </c>
      <c r="G25" s="22"/>
      <c r="H25" s="23">
        <f t="shared" si="1"/>
        <v>64667.28610012462</v>
      </c>
      <c r="I25" s="23">
        <f t="shared" si="2"/>
        <v>1077.7881016687436</v>
      </c>
      <c r="J25" s="23">
        <f>I25*J3</f>
        <v>226.33550135043615</v>
      </c>
      <c r="K25" s="23">
        <f>J25+I25</f>
        <v>1304.1236030191797</v>
      </c>
      <c r="L25" s="23">
        <f>K25*L3</f>
        <v>456.44326105671286</v>
      </c>
      <c r="M25" s="23">
        <f>L25+K25</f>
        <v>1760.5668640758925</v>
      </c>
      <c r="N25" s="23">
        <f>M25*N3</f>
        <v>792.25508883415159</v>
      </c>
      <c r="O25" s="24">
        <f>N25+M25</f>
        <v>2552.8219529100443</v>
      </c>
      <c r="P25" s="124">
        <f t="shared" si="0"/>
        <v>0.10000000000000009</v>
      </c>
      <c r="Q25" s="24">
        <v>58788.441909204194</v>
      </c>
      <c r="R25" s="137"/>
    </row>
    <row r="26" spans="1:21" x14ac:dyDescent="0.25">
      <c r="A26" s="26">
        <v>100516259</v>
      </c>
      <c r="B26" s="27" t="s">
        <v>34</v>
      </c>
      <c r="C26" s="20">
        <v>7790360968340</v>
      </c>
      <c r="D26" s="21">
        <v>18.16</v>
      </c>
      <c r="E26" s="22">
        <v>48</v>
      </c>
      <c r="F26" s="23">
        <v>149620.03162527084</v>
      </c>
      <c r="G26" s="22"/>
      <c r="H26" s="23">
        <f t="shared" si="1"/>
        <v>149620.03162527084</v>
      </c>
      <c r="I26" s="23">
        <f t="shared" si="2"/>
        <v>3117.0839921931424</v>
      </c>
      <c r="J26" s="23">
        <f t="shared" si="3"/>
        <v>654.58763836055994</v>
      </c>
      <c r="K26" s="23">
        <f t="shared" si="4"/>
        <v>3771.6716305537025</v>
      </c>
      <c r="L26" s="23">
        <f t="shared" si="5"/>
        <v>1320.0850706937958</v>
      </c>
      <c r="M26" s="23">
        <f t="shared" si="6"/>
        <v>5091.7567012474983</v>
      </c>
      <c r="N26" s="23">
        <f t="shared" si="7"/>
        <v>2291.2905155613744</v>
      </c>
      <c r="O26" s="24">
        <f t="shared" si="8"/>
        <v>7383.0472168088727</v>
      </c>
      <c r="P26" s="124">
        <f t="shared" si="0"/>
        <v>0.10000000000000009</v>
      </c>
      <c r="Q26" s="24">
        <v>136018.21056842804</v>
      </c>
      <c r="R26" s="137"/>
    </row>
    <row r="27" spans="1:21" x14ac:dyDescent="0.25">
      <c r="A27" s="26">
        <v>100518095</v>
      </c>
      <c r="B27" s="27" t="s">
        <v>35</v>
      </c>
      <c r="C27" s="20">
        <v>7790360974785</v>
      </c>
      <c r="D27" s="21">
        <v>6.66</v>
      </c>
      <c r="E27" s="22">
        <v>36</v>
      </c>
      <c r="F27" s="23">
        <v>74547.677437555685</v>
      </c>
      <c r="G27" s="22"/>
      <c r="H27" s="23">
        <f t="shared" si="1"/>
        <v>74547.677437555685</v>
      </c>
      <c r="I27" s="23">
        <f t="shared" si="2"/>
        <v>2070.7688177098803</v>
      </c>
      <c r="J27" s="23">
        <f>+I27*J$3</f>
        <v>434.86145171907486</v>
      </c>
      <c r="K27" s="23">
        <f>+I27+J27</f>
        <v>2505.6302694289552</v>
      </c>
      <c r="L27" s="23">
        <f>+K27*L$3</f>
        <v>876.97059430013428</v>
      </c>
      <c r="M27" s="23">
        <f>+K27+L27</f>
        <v>3382.6008637290897</v>
      </c>
      <c r="N27" s="23">
        <f>+M27*N$3</f>
        <v>1522.1703886780904</v>
      </c>
      <c r="O27" s="24">
        <f>+M27+N27</f>
        <v>4904.7712524071803</v>
      </c>
      <c r="P27" s="124">
        <f t="shared" si="0"/>
        <v>0.10000000000000009</v>
      </c>
      <c r="Q27" s="24">
        <v>67770.615852323346</v>
      </c>
      <c r="R27" s="137"/>
    </row>
    <row r="28" spans="1:21" x14ac:dyDescent="0.25">
      <c r="A28" s="26">
        <v>100518223</v>
      </c>
      <c r="B28" s="27" t="s">
        <v>36</v>
      </c>
      <c r="C28" s="20">
        <v>7790360975065</v>
      </c>
      <c r="D28" s="21">
        <f>60*0.106</f>
        <v>6.3599999999999994</v>
      </c>
      <c r="E28" s="22">
        <v>30</v>
      </c>
      <c r="F28" s="23">
        <v>58039.509836990605</v>
      </c>
      <c r="G28" s="22"/>
      <c r="H28" s="23">
        <f t="shared" si="1"/>
        <v>58039.509836990605</v>
      </c>
      <c r="I28" s="23">
        <f t="shared" si="2"/>
        <v>1934.6503278996868</v>
      </c>
      <c r="J28" s="23">
        <f>+I28*J$3</f>
        <v>406.27656885893418</v>
      </c>
      <c r="K28" s="23">
        <f>+I28+J28</f>
        <v>2340.9268967586208</v>
      </c>
      <c r="L28" s="23">
        <f>+K28*L$3</f>
        <v>819.32441386551727</v>
      </c>
      <c r="M28" s="23">
        <f>+K28+L28</f>
        <v>3160.2513106241381</v>
      </c>
      <c r="N28" s="23">
        <f>+M28*N$3</f>
        <v>1422.1130897808621</v>
      </c>
      <c r="O28" s="24">
        <f>+M28+N28</f>
        <v>4582.3644004050002</v>
      </c>
      <c r="P28" s="124">
        <f t="shared" si="0"/>
        <v>0.10000000000000009</v>
      </c>
      <c r="Q28" s="24">
        <v>52763.190760900543</v>
      </c>
      <c r="R28" s="137"/>
    </row>
    <row r="29" spans="1:21" x14ac:dyDescent="0.25">
      <c r="A29" s="31"/>
      <c r="B29" s="32"/>
      <c r="C29" s="33"/>
      <c r="D29" s="32"/>
      <c r="E29" s="34"/>
      <c r="F29" s="35" t="e">
        <v>#N/A</v>
      </c>
      <c r="G29" s="34"/>
      <c r="H29" s="35" t="e">
        <f t="shared" si="1"/>
        <v>#N/A</v>
      </c>
      <c r="I29" s="36" t="e">
        <f t="shared" si="2"/>
        <v>#N/A</v>
      </c>
      <c r="J29" s="37"/>
      <c r="K29" s="36"/>
      <c r="L29" s="37"/>
      <c r="M29" s="36"/>
      <c r="N29" s="37"/>
      <c r="O29" s="38"/>
      <c r="P29" s="124" t="e">
        <f t="shared" si="0"/>
        <v>#N/A</v>
      </c>
      <c r="Q29" s="24" t="e">
        <v>#N/A</v>
      </c>
      <c r="R29" s="137"/>
    </row>
    <row r="30" spans="1:21" hidden="1" x14ac:dyDescent="0.25">
      <c r="A30" s="81">
        <v>100022085</v>
      </c>
      <c r="B30" s="85" t="s">
        <v>37</v>
      </c>
      <c r="C30" s="86">
        <v>7790360000132</v>
      </c>
      <c r="D30" s="87">
        <v>5.4</v>
      </c>
      <c r="E30" s="88">
        <v>24</v>
      </c>
      <c r="F30" s="82" t="e">
        <v>#N/A</v>
      </c>
      <c r="G30" s="90">
        <f>0.0833333333333333*100%</f>
        <v>8.3333333333333301E-2</v>
      </c>
      <c r="H30" s="82" t="e">
        <f t="shared" si="1"/>
        <v>#N/A</v>
      </c>
      <c r="I30" s="82" t="e">
        <f t="shared" si="2"/>
        <v>#N/A</v>
      </c>
      <c r="J30" s="82" t="e">
        <f t="shared" si="3"/>
        <v>#N/A</v>
      </c>
      <c r="K30" s="82" t="e">
        <f t="shared" si="4"/>
        <v>#N/A</v>
      </c>
      <c r="L30" s="82" t="e">
        <f t="shared" si="5"/>
        <v>#N/A</v>
      </c>
      <c r="M30" s="82" t="e">
        <f t="shared" si="6"/>
        <v>#N/A</v>
      </c>
      <c r="N30" s="82" t="e">
        <f>+M30*0.438</f>
        <v>#N/A</v>
      </c>
      <c r="O30" s="89" t="e">
        <f t="shared" si="8"/>
        <v>#N/A</v>
      </c>
      <c r="P30" s="124" t="e">
        <f t="shared" si="0"/>
        <v>#N/A</v>
      </c>
      <c r="Q30" s="24">
        <v>20434.227330779057</v>
      </c>
      <c r="R30" s="139" t="s">
        <v>104</v>
      </c>
    </row>
    <row r="31" spans="1:21" x14ac:dyDescent="0.25">
      <c r="A31" s="81">
        <v>100522204</v>
      </c>
      <c r="B31" s="85" t="s">
        <v>37</v>
      </c>
      <c r="C31" s="86">
        <v>7790360983947</v>
      </c>
      <c r="D31" s="87">
        <v>5.4</v>
      </c>
      <c r="E31" s="88">
        <v>24</v>
      </c>
      <c r="F31" s="82">
        <v>25513.061650992688</v>
      </c>
      <c r="G31" s="90">
        <v>0.12609999999999999</v>
      </c>
      <c r="H31" s="82">
        <f t="shared" ref="H31" si="9">+F31*(1-G31)</f>
        <v>22295.864576802509</v>
      </c>
      <c r="I31" s="82">
        <f t="shared" ref="I31" si="10">+H31/E31</f>
        <v>928.99435736677117</v>
      </c>
      <c r="J31" s="82">
        <f t="shared" ref="J31" si="11">+I31*J$3</f>
        <v>195.08881504702194</v>
      </c>
      <c r="K31" s="82">
        <f t="shared" ref="K31" si="12">+I31+J31</f>
        <v>1124.0831724137931</v>
      </c>
      <c r="L31" s="82">
        <f t="shared" ref="L31:L38" si="13">+K31*L$3</f>
        <v>393.42911034482756</v>
      </c>
      <c r="M31" s="82">
        <f t="shared" ref="M31" si="14">+K31+L31</f>
        <v>1517.5122827586206</v>
      </c>
      <c r="N31" s="82">
        <f t="shared" ref="N31:N38" si="15">+M31*N$3</f>
        <v>682.88052724137924</v>
      </c>
      <c r="O31" s="89">
        <f t="shared" ref="O31" si="16">+M31+N31</f>
        <v>2200.3928099999998</v>
      </c>
      <c r="P31" s="124">
        <f t="shared" si="0"/>
        <v>9.1103872727272606E-2</v>
      </c>
      <c r="Q31" s="24">
        <v>20434.227330779057</v>
      </c>
      <c r="R31" s="136" t="s">
        <v>116</v>
      </c>
      <c r="S31" s="120"/>
      <c r="T31" s="120"/>
      <c r="U31" s="126"/>
    </row>
    <row r="32" spans="1:21" hidden="1" x14ac:dyDescent="0.25">
      <c r="A32" s="81">
        <v>100022072</v>
      </c>
      <c r="B32" s="85" t="s">
        <v>38</v>
      </c>
      <c r="C32" s="86">
        <v>7790360024541</v>
      </c>
      <c r="D32" s="87">
        <v>5.4</v>
      </c>
      <c r="E32" s="88">
        <v>12</v>
      </c>
      <c r="F32" s="82" t="e">
        <v>#N/A</v>
      </c>
      <c r="G32" s="90">
        <v>0.12609999999999999</v>
      </c>
      <c r="H32" s="82" t="e">
        <f t="shared" si="1"/>
        <v>#N/A</v>
      </c>
      <c r="I32" s="82" t="e">
        <f t="shared" si="2"/>
        <v>#N/A</v>
      </c>
      <c r="J32" s="82" t="e">
        <f t="shared" si="3"/>
        <v>#N/A</v>
      </c>
      <c r="K32" s="82" t="e">
        <f t="shared" si="4"/>
        <v>#N/A</v>
      </c>
      <c r="L32" s="82" t="e">
        <f>+K32*0.3388</f>
        <v>#N/A</v>
      </c>
      <c r="M32" s="82" t="e">
        <f t="shared" si="6"/>
        <v>#N/A</v>
      </c>
      <c r="N32" s="82" t="e">
        <f t="shared" si="15"/>
        <v>#N/A</v>
      </c>
      <c r="O32" s="89" t="e">
        <f t="shared" si="8"/>
        <v>#N/A</v>
      </c>
      <c r="P32" s="124" t="e">
        <f t="shared" si="0"/>
        <v>#N/A</v>
      </c>
      <c r="Q32" s="24">
        <v>19412.515964240105</v>
      </c>
      <c r="R32" s="136" t="s">
        <v>105</v>
      </c>
    </row>
    <row r="33" spans="1:21" x14ac:dyDescent="0.25">
      <c r="A33" s="81">
        <v>100522205</v>
      </c>
      <c r="B33" s="85" t="s">
        <v>38</v>
      </c>
      <c r="C33" s="86">
        <v>7790360983954</v>
      </c>
      <c r="D33" s="87">
        <v>5.4</v>
      </c>
      <c r="E33" s="88">
        <v>12</v>
      </c>
      <c r="F33" s="82">
        <v>24237.408568443054</v>
      </c>
      <c r="G33" s="90">
        <v>0.12609999999999999</v>
      </c>
      <c r="H33" s="82">
        <f t="shared" ref="H33" si="17">+F33*(1-G33)</f>
        <v>21181.071347962385</v>
      </c>
      <c r="I33" s="82">
        <f t="shared" ref="I33" si="18">+H33/E33</f>
        <v>1765.0892789968655</v>
      </c>
      <c r="J33" s="82">
        <f t="shared" ref="J33" si="19">+I33*J$3</f>
        <v>370.66874858934176</v>
      </c>
      <c r="K33" s="82">
        <f t="shared" ref="K33" si="20">+I33+J33</f>
        <v>2135.7580275862074</v>
      </c>
      <c r="L33" s="82">
        <f t="shared" si="13"/>
        <v>747.51530965517259</v>
      </c>
      <c r="M33" s="82">
        <f t="shared" ref="M33" si="21">+K33+L33</f>
        <v>2883.27333724138</v>
      </c>
      <c r="N33" s="82">
        <f t="shared" si="15"/>
        <v>1297.473001758621</v>
      </c>
      <c r="O33" s="89">
        <f t="shared" ref="O33" si="22">+M33+N33</f>
        <v>4180.7463390000012</v>
      </c>
      <c r="P33" s="124">
        <f t="shared" si="0"/>
        <v>9.1103872727272606E-2</v>
      </c>
      <c r="Q33" s="24">
        <v>19412.515964240105</v>
      </c>
      <c r="R33" s="136" t="s">
        <v>110</v>
      </c>
    </row>
    <row r="34" spans="1:21" x14ac:dyDescent="0.25">
      <c r="A34" s="81">
        <v>100516849</v>
      </c>
      <c r="B34" s="85" t="s">
        <v>39</v>
      </c>
      <c r="C34" s="86">
        <v>7790360970053</v>
      </c>
      <c r="D34" s="87">
        <v>4.5599999990400004</v>
      </c>
      <c r="E34" s="88">
        <v>24</v>
      </c>
      <c r="F34" s="82">
        <v>19645.771836990596</v>
      </c>
      <c r="G34" s="90"/>
      <c r="H34" s="82">
        <f t="shared" si="1"/>
        <v>19645.771836990596</v>
      </c>
      <c r="I34" s="82">
        <f t="shared" si="2"/>
        <v>818.5738265412748</v>
      </c>
      <c r="J34" s="82">
        <f t="shared" si="3"/>
        <v>171.90050357366769</v>
      </c>
      <c r="K34" s="82">
        <f t="shared" si="4"/>
        <v>990.47433011494252</v>
      </c>
      <c r="L34" s="82">
        <f t="shared" si="13"/>
        <v>346.66601554022986</v>
      </c>
      <c r="M34" s="82">
        <f t="shared" si="6"/>
        <v>1337.1403456551725</v>
      </c>
      <c r="N34" s="82">
        <f t="shared" si="15"/>
        <v>601.7131555448276</v>
      </c>
      <c r="O34" s="89">
        <f t="shared" si="8"/>
        <v>1938.8535012000002</v>
      </c>
      <c r="P34" s="124">
        <f t="shared" si="0"/>
        <v>0.14450000000000029</v>
      </c>
      <c r="Q34" s="24">
        <v>17165.375130616507</v>
      </c>
      <c r="R34" s="136" t="s">
        <v>106</v>
      </c>
    </row>
    <row r="35" spans="1:21" hidden="1" x14ac:dyDescent="0.25">
      <c r="A35" s="26">
        <v>100022039</v>
      </c>
      <c r="B35" s="27" t="s">
        <v>40</v>
      </c>
      <c r="C35" s="20">
        <v>7790360007063</v>
      </c>
      <c r="D35" s="21">
        <v>8.6999999999999993</v>
      </c>
      <c r="E35" s="22">
        <v>10</v>
      </c>
      <c r="F35" s="23" t="e">
        <v>#N/A</v>
      </c>
      <c r="G35" s="119"/>
      <c r="H35" s="23" t="e">
        <f t="shared" si="1"/>
        <v>#N/A</v>
      </c>
      <c r="I35" s="23" t="e">
        <f t="shared" si="2"/>
        <v>#N/A</v>
      </c>
      <c r="J35" s="23" t="e">
        <f t="shared" si="3"/>
        <v>#N/A</v>
      </c>
      <c r="K35" s="23" t="e">
        <f t="shared" si="4"/>
        <v>#N/A</v>
      </c>
      <c r="L35" s="23" t="e">
        <f t="shared" si="13"/>
        <v>#N/A</v>
      </c>
      <c r="M35" s="23" t="e">
        <f t="shared" si="6"/>
        <v>#N/A</v>
      </c>
      <c r="N35" s="23" t="e">
        <f t="shared" si="15"/>
        <v>#N/A</v>
      </c>
      <c r="O35" s="24" t="e">
        <f t="shared" si="8"/>
        <v>#N/A</v>
      </c>
      <c r="P35" s="124" t="e">
        <f t="shared" si="0"/>
        <v>#N/A</v>
      </c>
      <c r="Q35" s="24">
        <v>56041.789445698298</v>
      </c>
      <c r="R35" s="137"/>
    </row>
    <row r="36" spans="1:21" x14ac:dyDescent="0.25">
      <c r="A36" s="26">
        <v>100522206</v>
      </c>
      <c r="B36" s="27" t="s">
        <v>40</v>
      </c>
      <c r="C36" s="20">
        <v>7790360983961</v>
      </c>
      <c r="D36" s="21">
        <v>8.6999999999999993</v>
      </c>
      <c r="E36" s="22">
        <v>10</v>
      </c>
      <c r="F36" s="23">
        <v>64139.828020601708</v>
      </c>
      <c r="G36" s="119"/>
      <c r="H36" s="23">
        <f t="shared" ref="H36" si="23">+F36*(1-G36)</f>
        <v>64139.828020601708</v>
      </c>
      <c r="I36" s="23">
        <f t="shared" ref="I36" si="24">+H36/E36</f>
        <v>6413.9828020601708</v>
      </c>
      <c r="J36" s="23">
        <f t="shared" ref="J36:J37" si="25">+I36*J$3</f>
        <v>1346.9363884326358</v>
      </c>
      <c r="K36" s="23">
        <f t="shared" ref="K36" si="26">+I36+J36</f>
        <v>7760.9191904928066</v>
      </c>
      <c r="L36" s="23">
        <f t="shared" si="13"/>
        <v>2716.3217166724821</v>
      </c>
      <c r="M36" s="23">
        <f t="shared" ref="M36" si="27">+K36+L36</f>
        <v>10477.240907165289</v>
      </c>
      <c r="N36" s="23">
        <f t="shared" si="15"/>
        <v>4714.7584082243802</v>
      </c>
      <c r="O36" s="24">
        <f t="shared" ref="O36" si="28">+M36+N36</f>
        <v>15191.999315389668</v>
      </c>
      <c r="P36" s="124">
        <f t="shared" si="0"/>
        <v>0.14450000000000007</v>
      </c>
      <c r="Q36" s="24">
        <v>56041.789445698298</v>
      </c>
      <c r="R36" s="137"/>
    </row>
    <row r="37" spans="1:21" x14ac:dyDescent="0.25">
      <c r="A37" s="26">
        <v>100022058</v>
      </c>
      <c r="B37" s="27" t="s">
        <v>41</v>
      </c>
      <c r="C37" s="20">
        <v>7790360026002</v>
      </c>
      <c r="D37" s="21">
        <v>4.5599999990400004</v>
      </c>
      <c r="E37" s="22">
        <v>24</v>
      </c>
      <c r="F37" s="39">
        <v>16572.768923866108</v>
      </c>
      <c r="G37" s="119"/>
      <c r="H37" s="39">
        <f t="shared" si="1"/>
        <v>16572.768923866108</v>
      </c>
      <c r="I37" s="23">
        <f t="shared" si="2"/>
        <v>690.53203849442116</v>
      </c>
      <c r="J37" s="23">
        <f t="shared" si="25"/>
        <v>145.01172808382844</v>
      </c>
      <c r="K37" s="23">
        <f t="shared" si="4"/>
        <v>835.54376657824957</v>
      </c>
      <c r="L37" s="23">
        <f>+K37*0.3</f>
        <v>250.66312997347487</v>
      </c>
      <c r="M37" s="23">
        <f t="shared" si="6"/>
        <v>1086.2068965517244</v>
      </c>
      <c r="N37" s="23">
        <f t="shared" si="15"/>
        <v>488.79310344827599</v>
      </c>
      <c r="O37" s="24">
        <f t="shared" si="8"/>
        <v>1575.0000000000005</v>
      </c>
      <c r="P37" s="124">
        <f t="shared" si="0"/>
        <v>5.0000000000000044E-2</v>
      </c>
      <c r="Q37" s="24">
        <v>15783.589451301053</v>
      </c>
      <c r="R37" s="140">
        <f>1-[1]NOA!$H$37/F37</f>
        <v>0.11224489795918402</v>
      </c>
      <c r="S37" s="80"/>
    </row>
    <row r="38" spans="1:21" x14ac:dyDescent="0.25">
      <c r="A38" s="26">
        <v>100518151</v>
      </c>
      <c r="B38" s="27" t="s">
        <v>42</v>
      </c>
      <c r="C38" s="20">
        <v>7790360974990</v>
      </c>
      <c r="D38" s="21">
        <v>8.6999999999999993</v>
      </c>
      <c r="E38" s="22">
        <v>10</v>
      </c>
      <c r="F38" s="39">
        <v>73071.448931881707</v>
      </c>
      <c r="G38" s="22"/>
      <c r="H38" s="39">
        <f t="shared" si="1"/>
        <v>73071.448931881707</v>
      </c>
      <c r="I38" s="23">
        <f t="shared" si="2"/>
        <v>7307.1448931881705</v>
      </c>
      <c r="J38" s="23">
        <f>+I38*J$3</f>
        <v>1534.5004275695158</v>
      </c>
      <c r="K38" s="23">
        <f>+I38+J38</f>
        <v>8841.6453207576869</v>
      </c>
      <c r="L38" s="23">
        <f t="shared" si="13"/>
        <v>3094.5758622651902</v>
      </c>
      <c r="M38" s="23">
        <f>+K38+L38</f>
        <v>11936.221183022877</v>
      </c>
      <c r="N38" s="23">
        <f t="shared" si="15"/>
        <v>5371.2995323602945</v>
      </c>
      <c r="O38" s="24">
        <f>+M38+N38</f>
        <v>17307.520715383173</v>
      </c>
      <c r="P38" s="124">
        <f t="shared" si="0"/>
        <v>0.14450000000000007</v>
      </c>
      <c r="Q38" s="24">
        <v>63845.739564772135</v>
      </c>
      <c r="R38" s="137"/>
    </row>
    <row r="39" spans="1:21" x14ac:dyDescent="0.25">
      <c r="A39" s="31"/>
      <c r="B39" s="32"/>
      <c r="C39" s="33"/>
      <c r="D39" s="32"/>
      <c r="E39" s="34"/>
      <c r="F39" s="35" t="e">
        <v>#N/A</v>
      </c>
      <c r="G39" s="34"/>
      <c r="H39" s="35" t="e">
        <f t="shared" si="1"/>
        <v>#N/A</v>
      </c>
      <c r="I39" s="36" t="e">
        <f t="shared" si="2"/>
        <v>#N/A</v>
      </c>
      <c r="J39" s="37">
        <v>0.21</v>
      </c>
      <c r="K39" s="36"/>
      <c r="L39" s="17">
        <v>0.22</v>
      </c>
      <c r="M39" s="16"/>
      <c r="N39" s="17">
        <v>0.35</v>
      </c>
      <c r="O39" s="38"/>
      <c r="P39" s="124" t="e">
        <f t="shared" si="0"/>
        <v>#N/A</v>
      </c>
      <c r="Q39" s="24" t="e">
        <v>#N/A</v>
      </c>
      <c r="R39" s="137"/>
    </row>
    <row r="40" spans="1:21" ht="15.75" x14ac:dyDescent="0.25">
      <c r="A40" s="26">
        <v>100021000</v>
      </c>
      <c r="B40" s="27" t="s">
        <v>43</v>
      </c>
      <c r="C40" s="20">
        <v>7790360720382</v>
      </c>
      <c r="D40" s="21">
        <v>2.16</v>
      </c>
      <c r="E40" s="22">
        <v>24</v>
      </c>
      <c r="F40" s="23">
        <v>13610.387393781175</v>
      </c>
      <c r="G40" s="119"/>
      <c r="H40" s="23">
        <f t="shared" si="1"/>
        <v>13610.387393781175</v>
      </c>
      <c r="I40" s="23">
        <f t="shared" si="2"/>
        <v>567.09947474088233</v>
      </c>
      <c r="J40" s="23">
        <f t="shared" si="3"/>
        <v>119.09088969558529</v>
      </c>
      <c r="K40" s="23">
        <f t="shared" si="4"/>
        <v>686.19036443646758</v>
      </c>
      <c r="L40" s="23">
        <f>+K40*L$39</f>
        <v>150.96188017602287</v>
      </c>
      <c r="M40" s="23">
        <f t="shared" si="6"/>
        <v>837.15224461249045</v>
      </c>
      <c r="N40" s="23">
        <f>+M40*N$39</f>
        <v>293.00328561437163</v>
      </c>
      <c r="O40" s="24">
        <f t="shared" si="8"/>
        <v>1130.1555302268621</v>
      </c>
      <c r="P40" s="124">
        <f>H40/Q40-1</f>
        <v>0.10250000000000004</v>
      </c>
      <c r="Q40" s="24">
        <v>12345.022579393355</v>
      </c>
      <c r="R40" s="141"/>
      <c r="S40" s="1"/>
      <c r="T40" s="1"/>
      <c r="U40" s="1"/>
    </row>
    <row r="41" spans="1:21" ht="15.75" x14ac:dyDescent="0.25">
      <c r="A41" s="26">
        <v>100021001</v>
      </c>
      <c r="B41" s="27" t="s">
        <v>44</v>
      </c>
      <c r="C41" s="20">
        <v>7790360720115</v>
      </c>
      <c r="D41" s="21">
        <v>2.16</v>
      </c>
      <c r="E41" s="22">
        <v>24</v>
      </c>
      <c r="F41" s="23">
        <v>13610.387393781175</v>
      </c>
      <c r="G41" s="119"/>
      <c r="H41" s="23">
        <f t="shared" si="1"/>
        <v>13610.387393781175</v>
      </c>
      <c r="I41" s="23">
        <f t="shared" si="2"/>
        <v>567.09947474088233</v>
      </c>
      <c r="J41" s="23">
        <f t="shared" si="3"/>
        <v>119.09088969558529</v>
      </c>
      <c r="K41" s="23">
        <f t="shared" si="4"/>
        <v>686.19036443646758</v>
      </c>
      <c r="L41" s="23">
        <f t="shared" ref="L41:L56" si="29">+K41*L$39</f>
        <v>150.96188017602287</v>
      </c>
      <c r="M41" s="23">
        <f t="shared" si="6"/>
        <v>837.15224461249045</v>
      </c>
      <c r="N41" s="23">
        <f t="shared" ref="N41:N56" si="30">+M41*N$39</f>
        <v>293.00328561437163</v>
      </c>
      <c r="O41" s="24">
        <f t="shared" si="8"/>
        <v>1130.1555302268621</v>
      </c>
      <c r="P41" s="124">
        <f t="shared" ref="P41:P109" si="31">H41/Q41-1</f>
        <v>0.10250000000000004</v>
      </c>
      <c r="Q41" s="24">
        <v>12345.022579393355</v>
      </c>
      <c r="R41" s="141"/>
      <c r="S41" s="1"/>
      <c r="T41" s="1"/>
      <c r="U41" s="1"/>
    </row>
    <row r="42" spans="1:21" ht="15.75" x14ac:dyDescent="0.25">
      <c r="A42" s="83">
        <v>100522277</v>
      </c>
      <c r="B42" s="27" t="s">
        <v>96</v>
      </c>
      <c r="C42" s="20"/>
      <c r="D42" s="21">
        <v>2.16</v>
      </c>
      <c r="E42" s="22">
        <v>24</v>
      </c>
      <c r="F42" s="23">
        <v>13610.387393781175</v>
      </c>
      <c r="G42" s="119"/>
      <c r="H42" s="23">
        <f t="shared" ref="H42:H43" si="32">+F42*(1-G42)</f>
        <v>13610.387393781175</v>
      </c>
      <c r="I42" s="23">
        <f t="shared" ref="I42:I43" si="33">+H42/E42</f>
        <v>567.09947474088233</v>
      </c>
      <c r="J42" s="23">
        <f t="shared" ref="J42:J43" si="34">+I42*J$3</f>
        <v>119.09088969558529</v>
      </c>
      <c r="K42" s="23">
        <f t="shared" ref="K42:K43" si="35">+I42+J42</f>
        <v>686.19036443646758</v>
      </c>
      <c r="L42" s="23">
        <f t="shared" ref="L42:L43" si="36">+K42*L$39</f>
        <v>150.96188017602287</v>
      </c>
      <c r="M42" s="23">
        <f t="shared" ref="M42:M43" si="37">+K42+L42</f>
        <v>837.15224461249045</v>
      </c>
      <c r="N42" s="23">
        <f t="shared" ref="N42:N43" si="38">+M42*N$39</f>
        <v>293.00328561437163</v>
      </c>
      <c r="O42" s="24">
        <f t="shared" ref="O42:O43" si="39">+M42+N42</f>
        <v>1130.1555302268621</v>
      </c>
      <c r="P42" s="124">
        <f t="shared" si="31"/>
        <v>0.10250000000000004</v>
      </c>
      <c r="Q42" s="24">
        <v>12345.022579393355</v>
      </c>
      <c r="R42" s="141"/>
      <c r="S42" s="1"/>
      <c r="T42" s="1"/>
      <c r="U42" s="1"/>
    </row>
    <row r="43" spans="1:21" x14ac:dyDescent="0.25">
      <c r="A43" s="83">
        <v>100522333</v>
      </c>
      <c r="B43" s="27" t="s">
        <v>97</v>
      </c>
      <c r="C43" s="20"/>
      <c r="D43" s="21">
        <v>2.16</v>
      </c>
      <c r="E43" s="22">
        <v>24</v>
      </c>
      <c r="F43" s="23">
        <v>13610.387393781175</v>
      </c>
      <c r="G43" s="119"/>
      <c r="H43" s="23">
        <f t="shared" si="32"/>
        <v>13610.387393781175</v>
      </c>
      <c r="I43" s="23">
        <f t="shared" si="33"/>
        <v>567.09947474088233</v>
      </c>
      <c r="J43" s="23">
        <f t="shared" si="34"/>
        <v>119.09088969558529</v>
      </c>
      <c r="K43" s="23">
        <f t="shared" si="35"/>
        <v>686.19036443646758</v>
      </c>
      <c r="L43" s="23">
        <f t="shared" si="36"/>
        <v>150.96188017602287</v>
      </c>
      <c r="M43" s="23">
        <f t="shared" si="37"/>
        <v>837.15224461249045</v>
      </c>
      <c r="N43" s="23">
        <f t="shared" si="38"/>
        <v>293.00328561437163</v>
      </c>
      <c r="O43" s="24">
        <f t="shared" si="39"/>
        <v>1130.1555302268621</v>
      </c>
      <c r="P43" s="124">
        <f t="shared" si="31"/>
        <v>0.10250000000000004</v>
      </c>
      <c r="Q43" s="24">
        <v>12345.022579393355</v>
      </c>
      <c r="R43" s="139"/>
      <c r="S43" s="1"/>
      <c r="T43" s="1"/>
      <c r="U43" s="1"/>
    </row>
    <row r="44" spans="1:21" x14ac:dyDescent="0.25">
      <c r="A44" s="26">
        <v>100021045</v>
      </c>
      <c r="B44" s="27" t="s">
        <v>45</v>
      </c>
      <c r="C44" s="20">
        <v>7790360966582</v>
      </c>
      <c r="D44" s="21">
        <v>2.16</v>
      </c>
      <c r="E44" s="22">
        <v>24</v>
      </c>
      <c r="F44" s="23">
        <v>13610.387393781173</v>
      </c>
      <c r="G44" s="119"/>
      <c r="H44" s="23">
        <f t="shared" si="1"/>
        <v>13610.387393781173</v>
      </c>
      <c r="I44" s="23">
        <f t="shared" si="2"/>
        <v>567.09947474088221</v>
      </c>
      <c r="J44" s="23">
        <f t="shared" si="3"/>
        <v>119.09088969558526</v>
      </c>
      <c r="K44" s="23">
        <f t="shared" si="4"/>
        <v>686.19036443646746</v>
      </c>
      <c r="L44" s="23">
        <f t="shared" si="29"/>
        <v>150.96188017602285</v>
      </c>
      <c r="M44" s="23">
        <f t="shared" si="6"/>
        <v>837.15224461249034</v>
      </c>
      <c r="N44" s="23">
        <f t="shared" si="30"/>
        <v>293.00328561437158</v>
      </c>
      <c r="O44" s="24">
        <f t="shared" si="8"/>
        <v>1130.1555302268619</v>
      </c>
      <c r="P44" s="124">
        <f t="shared" si="31"/>
        <v>0.10250000000000004</v>
      </c>
      <c r="Q44" s="24">
        <v>12345.022579393353</v>
      </c>
      <c r="R44" s="139"/>
      <c r="S44" s="1"/>
      <c r="T44" s="1"/>
      <c r="U44" s="1"/>
    </row>
    <row r="45" spans="1:21" x14ac:dyDescent="0.25">
      <c r="A45" s="26">
        <v>100021004</v>
      </c>
      <c r="B45" s="27" t="s">
        <v>46</v>
      </c>
      <c r="C45" s="20">
        <v>7790360964526</v>
      </c>
      <c r="D45" s="21">
        <v>2.1120000000000001</v>
      </c>
      <c r="E45" s="22">
        <v>24</v>
      </c>
      <c r="F45" s="23">
        <v>13610.387393781173</v>
      </c>
      <c r="G45" s="119"/>
      <c r="H45" s="23">
        <f t="shared" si="1"/>
        <v>13610.387393781173</v>
      </c>
      <c r="I45" s="23">
        <f t="shared" si="2"/>
        <v>567.09947474088221</v>
      </c>
      <c r="J45" s="23">
        <f t="shared" si="3"/>
        <v>119.09088969558526</v>
      </c>
      <c r="K45" s="23">
        <f t="shared" si="4"/>
        <v>686.19036443646746</v>
      </c>
      <c r="L45" s="23">
        <f t="shared" si="29"/>
        <v>150.96188017602285</v>
      </c>
      <c r="M45" s="23">
        <f t="shared" si="6"/>
        <v>837.15224461249034</v>
      </c>
      <c r="N45" s="23">
        <f t="shared" si="30"/>
        <v>293.00328561437158</v>
      </c>
      <c r="O45" s="24">
        <f t="shared" si="8"/>
        <v>1130.1555302268619</v>
      </c>
      <c r="P45" s="124">
        <f t="shared" si="31"/>
        <v>0.10250000000000004</v>
      </c>
      <c r="Q45" s="24">
        <v>12345.022579393353</v>
      </c>
      <c r="R45" s="139"/>
      <c r="S45" s="1"/>
      <c r="T45" s="1"/>
      <c r="U45" s="1"/>
    </row>
    <row r="46" spans="1:21" x14ac:dyDescent="0.25">
      <c r="A46" s="26">
        <v>100021006</v>
      </c>
      <c r="B46" s="27" t="s">
        <v>47</v>
      </c>
      <c r="C46" s="20">
        <v>7790360964557</v>
      </c>
      <c r="D46" s="21">
        <v>2.1120000000000001</v>
      </c>
      <c r="E46" s="22">
        <v>24</v>
      </c>
      <c r="F46" s="23">
        <v>13610.387393781173</v>
      </c>
      <c r="G46" s="119"/>
      <c r="H46" s="23">
        <f t="shared" si="1"/>
        <v>13610.387393781173</v>
      </c>
      <c r="I46" s="23">
        <f t="shared" si="2"/>
        <v>567.09947474088221</v>
      </c>
      <c r="J46" s="23">
        <f t="shared" si="3"/>
        <v>119.09088969558526</v>
      </c>
      <c r="K46" s="23">
        <f t="shared" si="4"/>
        <v>686.19036443646746</v>
      </c>
      <c r="L46" s="23">
        <f t="shared" si="29"/>
        <v>150.96188017602285</v>
      </c>
      <c r="M46" s="23">
        <f t="shared" si="6"/>
        <v>837.15224461249034</v>
      </c>
      <c r="N46" s="23">
        <f t="shared" si="30"/>
        <v>293.00328561437158</v>
      </c>
      <c r="O46" s="24">
        <f t="shared" si="8"/>
        <v>1130.1555302268619</v>
      </c>
      <c r="P46" s="124">
        <f t="shared" si="31"/>
        <v>0.10250000000000004</v>
      </c>
      <c r="Q46" s="24">
        <v>12345.022579393353</v>
      </c>
      <c r="R46" s="139"/>
      <c r="S46" s="1"/>
      <c r="T46" s="1"/>
      <c r="U46" s="1"/>
    </row>
    <row r="47" spans="1:21" x14ac:dyDescent="0.25">
      <c r="A47" s="26">
        <v>100021007</v>
      </c>
      <c r="B47" s="27" t="s">
        <v>48</v>
      </c>
      <c r="C47" s="20">
        <v>7790360964540</v>
      </c>
      <c r="D47" s="21">
        <v>2.04</v>
      </c>
      <c r="E47" s="22">
        <v>24</v>
      </c>
      <c r="F47" s="23">
        <v>16274.217585692995</v>
      </c>
      <c r="G47" s="119"/>
      <c r="H47" s="23">
        <f t="shared" si="1"/>
        <v>16274.217585692995</v>
      </c>
      <c r="I47" s="23">
        <f t="shared" si="2"/>
        <v>678.09239940387477</v>
      </c>
      <c r="J47" s="23">
        <f t="shared" si="3"/>
        <v>142.39940387481369</v>
      </c>
      <c r="K47" s="23">
        <f t="shared" si="4"/>
        <v>820.49180327868839</v>
      </c>
      <c r="L47" s="23">
        <f t="shared" si="29"/>
        <v>180.50819672131144</v>
      </c>
      <c r="M47" s="23">
        <f t="shared" si="6"/>
        <v>1000.9999999999998</v>
      </c>
      <c r="N47" s="23">
        <f t="shared" si="30"/>
        <v>350.34999999999991</v>
      </c>
      <c r="O47" s="24">
        <f t="shared" si="8"/>
        <v>1351.3499999999997</v>
      </c>
      <c r="P47" s="124">
        <f t="shared" si="31"/>
        <v>0.15481870102855622</v>
      </c>
      <c r="Q47" s="24">
        <v>14092.44375</v>
      </c>
      <c r="R47" s="139"/>
      <c r="S47" s="1"/>
      <c r="T47" s="1"/>
      <c r="U47" s="1"/>
    </row>
    <row r="48" spans="1:21" x14ac:dyDescent="0.25">
      <c r="A48" s="26">
        <v>100021013</v>
      </c>
      <c r="B48" s="27" t="s">
        <v>49</v>
      </c>
      <c r="C48" s="20">
        <v>7790360965714</v>
      </c>
      <c r="D48" s="21">
        <v>2.04</v>
      </c>
      <c r="E48" s="22">
        <v>24</v>
      </c>
      <c r="F48" s="23">
        <v>16274.217585692995</v>
      </c>
      <c r="G48" s="119"/>
      <c r="H48" s="23">
        <f t="shared" si="1"/>
        <v>16274.217585692995</v>
      </c>
      <c r="I48" s="23">
        <f t="shared" si="2"/>
        <v>678.09239940387477</v>
      </c>
      <c r="J48" s="23">
        <f t="shared" si="3"/>
        <v>142.39940387481369</v>
      </c>
      <c r="K48" s="23">
        <f t="shared" si="4"/>
        <v>820.49180327868839</v>
      </c>
      <c r="L48" s="23">
        <f t="shared" si="29"/>
        <v>180.50819672131144</v>
      </c>
      <c r="M48" s="23">
        <f t="shared" si="6"/>
        <v>1000.9999999999998</v>
      </c>
      <c r="N48" s="23">
        <f t="shared" si="30"/>
        <v>350.34999999999991</v>
      </c>
      <c r="O48" s="24">
        <f t="shared" si="8"/>
        <v>1351.3499999999997</v>
      </c>
      <c r="P48" s="124">
        <f t="shared" si="31"/>
        <v>0.15481870102855622</v>
      </c>
      <c r="Q48" s="24">
        <v>14092.44375</v>
      </c>
      <c r="R48" s="139"/>
      <c r="S48" s="1"/>
      <c r="T48" s="1"/>
      <c r="U48" s="1"/>
    </row>
    <row r="49" spans="1:21" x14ac:dyDescent="0.25">
      <c r="A49" s="26">
        <v>100021014</v>
      </c>
      <c r="B49" s="27" t="s">
        <v>50</v>
      </c>
      <c r="C49" s="20">
        <v>7790360965721</v>
      </c>
      <c r="D49" s="21">
        <v>2.04</v>
      </c>
      <c r="E49" s="22">
        <v>24</v>
      </c>
      <c r="F49" s="23">
        <v>16274.217585692995</v>
      </c>
      <c r="G49" s="119"/>
      <c r="H49" s="23">
        <f t="shared" si="1"/>
        <v>16274.217585692995</v>
      </c>
      <c r="I49" s="23">
        <f t="shared" si="2"/>
        <v>678.09239940387477</v>
      </c>
      <c r="J49" s="23">
        <f t="shared" si="3"/>
        <v>142.39940387481369</v>
      </c>
      <c r="K49" s="23">
        <f t="shared" si="4"/>
        <v>820.49180327868839</v>
      </c>
      <c r="L49" s="23">
        <f t="shared" si="29"/>
        <v>180.50819672131144</v>
      </c>
      <c r="M49" s="23">
        <f t="shared" si="6"/>
        <v>1000.9999999999998</v>
      </c>
      <c r="N49" s="23">
        <f t="shared" si="30"/>
        <v>350.34999999999991</v>
      </c>
      <c r="O49" s="24">
        <f t="shared" si="8"/>
        <v>1351.3499999999997</v>
      </c>
      <c r="P49" s="124">
        <f t="shared" si="31"/>
        <v>0.15481870102855622</v>
      </c>
      <c r="Q49" s="24">
        <v>14092.44375</v>
      </c>
      <c r="R49" s="139"/>
      <c r="S49" s="1"/>
      <c r="T49" s="1"/>
      <c r="U49" s="1"/>
    </row>
    <row r="50" spans="1:21" x14ac:dyDescent="0.25">
      <c r="A50" s="26">
        <v>100021054</v>
      </c>
      <c r="B50" s="27" t="s">
        <v>51</v>
      </c>
      <c r="C50" s="20">
        <v>7790360965707</v>
      </c>
      <c r="D50" s="21">
        <v>2.04</v>
      </c>
      <c r="E50" s="22">
        <v>24</v>
      </c>
      <c r="F50" s="23">
        <v>16274.217585692995</v>
      </c>
      <c r="G50" s="119"/>
      <c r="H50" s="23">
        <f t="shared" si="1"/>
        <v>16274.217585692995</v>
      </c>
      <c r="I50" s="23">
        <f t="shared" si="2"/>
        <v>678.09239940387477</v>
      </c>
      <c r="J50" s="23">
        <f t="shared" si="3"/>
        <v>142.39940387481369</v>
      </c>
      <c r="K50" s="23">
        <f t="shared" si="4"/>
        <v>820.49180327868839</v>
      </c>
      <c r="L50" s="23">
        <f t="shared" si="29"/>
        <v>180.50819672131144</v>
      </c>
      <c r="M50" s="23">
        <f t="shared" si="6"/>
        <v>1000.9999999999998</v>
      </c>
      <c r="N50" s="23">
        <f t="shared" si="30"/>
        <v>350.34999999999991</v>
      </c>
      <c r="O50" s="24">
        <f t="shared" si="8"/>
        <v>1351.3499999999997</v>
      </c>
      <c r="P50" s="124">
        <f t="shared" si="31"/>
        <v>0.15481870102855622</v>
      </c>
      <c r="Q50" s="24">
        <v>14092.44375</v>
      </c>
      <c r="R50" s="139"/>
      <c r="S50" s="1"/>
      <c r="T50" s="1"/>
      <c r="U50" s="1"/>
    </row>
    <row r="51" spans="1:21" x14ac:dyDescent="0.25">
      <c r="A51" s="26">
        <v>100021055</v>
      </c>
      <c r="B51" s="27" t="s">
        <v>52</v>
      </c>
      <c r="C51" s="20">
        <v>7790360965189</v>
      </c>
      <c r="D51" s="21">
        <v>2.04</v>
      </c>
      <c r="E51" s="22">
        <v>24</v>
      </c>
      <c r="F51" s="23">
        <v>16274.217585692995</v>
      </c>
      <c r="G51" s="119"/>
      <c r="H51" s="23">
        <f t="shared" si="1"/>
        <v>16274.217585692995</v>
      </c>
      <c r="I51" s="23">
        <f t="shared" si="2"/>
        <v>678.09239940387477</v>
      </c>
      <c r="J51" s="23">
        <f t="shared" si="3"/>
        <v>142.39940387481369</v>
      </c>
      <c r="K51" s="23">
        <f t="shared" si="4"/>
        <v>820.49180327868839</v>
      </c>
      <c r="L51" s="23">
        <f t="shared" si="29"/>
        <v>180.50819672131144</v>
      </c>
      <c r="M51" s="23">
        <f t="shared" si="6"/>
        <v>1000.9999999999998</v>
      </c>
      <c r="N51" s="23">
        <f t="shared" si="30"/>
        <v>350.34999999999991</v>
      </c>
      <c r="O51" s="24">
        <f t="shared" si="8"/>
        <v>1351.3499999999997</v>
      </c>
      <c r="P51" s="124">
        <f t="shared" si="31"/>
        <v>0.15481870102855622</v>
      </c>
      <c r="Q51" s="24">
        <v>14092.44375</v>
      </c>
      <c r="R51" s="139"/>
      <c r="S51" s="1"/>
      <c r="T51" s="1"/>
      <c r="U51" s="1"/>
    </row>
    <row r="52" spans="1:21" x14ac:dyDescent="0.25">
      <c r="A52" s="26">
        <v>100021015</v>
      </c>
      <c r="B52" s="27" t="s">
        <v>53</v>
      </c>
      <c r="C52" s="20">
        <v>7790360965202</v>
      </c>
      <c r="D52" s="21">
        <v>2.04</v>
      </c>
      <c r="E52" s="22">
        <v>24</v>
      </c>
      <c r="F52" s="23">
        <v>16274.217585692995</v>
      </c>
      <c r="G52" s="119"/>
      <c r="H52" s="23">
        <f t="shared" si="1"/>
        <v>16274.217585692995</v>
      </c>
      <c r="I52" s="23">
        <f t="shared" si="2"/>
        <v>678.09239940387477</v>
      </c>
      <c r="J52" s="23">
        <f t="shared" si="3"/>
        <v>142.39940387481369</v>
      </c>
      <c r="K52" s="23">
        <f t="shared" si="4"/>
        <v>820.49180327868839</v>
      </c>
      <c r="L52" s="23">
        <f t="shared" si="29"/>
        <v>180.50819672131144</v>
      </c>
      <c r="M52" s="23">
        <f t="shared" si="6"/>
        <v>1000.9999999999998</v>
      </c>
      <c r="N52" s="23">
        <f t="shared" si="30"/>
        <v>350.34999999999991</v>
      </c>
      <c r="O52" s="24">
        <f t="shared" si="8"/>
        <v>1351.3499999999997</v>
      </c>
      <c r="P52" s="124">
        <f t="shared" si="31"/>
        <v>0.15481870102855622</v>
      </c>
      <c r="Q52" s="24">
        <v>14092.44375</v>
      </c>
      <c r="R52" s="139"/>
      <c r="S52" s="1"/>
      <c r="T52" s="1"/>
      <c r="U52" s="1"/>
    </row>
    <row r="53" spans="1:21" x14ac:dyDescent="0.25">
      <c r="A53" s="26">
        <v>100021008</v>
      </c>
      <c r="B53" s="27" t="s">
        <v>54</v>
      </c>
      <c r="C53" s="20">
        <v>7790360720122</v>
      </c>
      <c r="D53" s="21">
        <v>2.16</v>
      </c>
      <c r="E53" s="22">
        <v>24</v>
      </c>
      <c r="F53" s="23">
        <v>10971.006927240942</v>
      </c>
      <c r="G53" s="112"/>
      <c r="H53" s="23">
        <f>+F53*(1-G53)</f>
        <v>10971.006927240942</v>
      </c>
      <c r="I53" s="23">
        <f t="shared" si="2"/>
        <v>457.12528863503923</v>
      </c>
      <c r="J53" s="23">
        <f t="shared" si="3"/>
        <v>95.996310613358233</v>
      </c>
      <c r="K53" s="23">
        <f t="shared" si="4"/>
        <v>553.1215992483975</v>
      </c>
      <c r="L53" s="23">
        <f t="shared" si="29"/>
        <v>121.68675183464745</v>
      </c>
      <c r="M53" s="23">
        <f t="shared" si="6"/>
        <v>674.80835108304495</v>
      </c>
      <c r="N53" s="23">
        <f t="shared" si="30"/>
        <v>236.18292287906573</v>
      </c>
      <c r="O53" s="24">
        <f t="shared" si="8"/>
        <v>910.99127396211065</v>
      </c>
      <c r="P53" s="124">
        <f t="shared" si="31"/>
        <v>5.0000000000000044E-2</v>
      </c>
      <c r="Q53" s="24">
        <v>10448.578025943754</v>
      </c>
      <c r="R53" s="139"/>
      <c r="S53" s="1"/>
      <c r="T53" s="1"/>
      <c r="U53" s="1"/>
    </row>
    <row r="54" spans="1:21" x14ac:dyDescent="0.25">
      <c r="A54" s="26">
        <v>100021009</v>
      </c>
      <c r="B54" s="27" t="s">
        <v>55</v>
      </c>
      <c r="C54" s="20">
        <v>7790360965127</v>
      </c>
      <c r="D54" s="21">
        <v>2.16</v>
      </c>
      <c r="E54" s="22">
        <v>24</v>
      </c>
      <c r="F54" s="23">
        <v>10971.006927240942</v>
      </c>
      <c r="G54" s="119"/>
      <c r="H54" s="23">
        <f t="shared" si="1"/>
        <v>10971.006927240942</v>
      </c>
      <c r="I54" s="23">
        <f t="shared" si="2"/>
        <v>457.12528863503923</v>
      </c>
      <c r="J54" s="23">
        <f t="shared" si="3"/>
        <v>95.996310613358233</v>
      </c>
      <c r="K54" s="23">
        <f t="shared" si="4"/>
        <v>553.1215992483975</v>
      </c>
      <c r="L54" s="23">
        <f t="shared" si="29"/>
        <v>121.68675183464745</v>
      </c>
      <c r="M54" s="23">
        <f t="shared" si="6"/>
        <v>674.80835108304495</v>
      </c>
      <c r="N54" s="23">
        <f t="shared" si="30"/>
        <v>236.18292287906573</v>
      </c>
      <c r="O54" s="24">
        <f t="shared" si="8"/>
        <v>910.99127396211065</v>
      </c>
      <c r="P54" s="124">
        <f t="shared" si="31"/>
        <v>5.0000000000000044E-2</v>
      </c>
      <c r="Q54" s="24">
        <v>10448.578025943754</v>
      </c>
      <c r="R54" s="139"/>
      <c r="S54" s="1"/>
      <c r="T54" s="1"/>
      <c r="U54" s="1"/>
    </row>
    <row r="55" spans="1:21" x14ac:dyDescent="0.25">
      <c r="A55" s="26">
        <v>100021010</v>
      </c>
      <c r="B55" s="27" t="s">
        <v>56</v>
      </c>
      <c r="C55" s="20">
        <v>7790920008707</v>
      </c>
      <c r="D55" s="21">
        <v>2.16</v>
      </c>
      <c r="E55" s="22">
        <v>24</v>
      </c>
      <c r="F55" s="23">
        <v>10971.006927240942</v>
      </c>
      <c r="G55" s="22"/>
      <c r="H55" s="23">
        <f t="shared" si="1"/>
        <v>10971.006927240942</v>
      </c>
      <c r="I55" s="23">
        <f t="shared" si="2"/>
        <v>457.12528863503923</v>
      </c>
      <c r="J55" s="23">
        <f t="shared" si="3"/>
        <v>95.996310613358233</v>
      </c>
      <c r="K55" s="23">
        <f t="shared" si="4"/>
        <v>553.1215992483975</v>
      </c>
      <c r="L55" s="23">
        <f t="shared" si="29"/>
        <v>121.68675183464745</v>
      </c>
      <c r="M55" s="23">
        <f t="shared" si="6"/>
        <v>674.80835108304495</v>
      </c>
      <c r="N55" s="23">
        <f t="shared" si="30"/>
        <v>236.18292287906573</v>
      </c>
      <c r="O55" s="24">
        <f t="shared" si="8"/>
        <v>910.99127396211065</v>
      </c>
      <c r="P55" s="124">
        <f t="shared" si="31"/>
        <v>5.0000000000000044E-2</v>
      </c>
      <c r="Q55" s="24">
        <v>10448.578025943754</v>
      </c>
      <c r="R55" s="139"/>
      <c r="S55" s="1"/>
      <c r="T55" s="1"/>
      <c r="U55" s="1"/>
    </row>
    <row r="56" spans="1:21" x14ac:dyDescent="0.25">
      <c r="A56" s="26">
        <v>100021011</v>
      </c>
      <c r="B56" s="27" t="s">
        <v>57</v>
      </c>
      <c r="C56" s="20">
        <v>7790920008714</v>
      </c>
      <c r="D56" s="21">
        <v>2.16</v>
      </c>
      <c r="E56" s="22">
        <v>24</v>
      </c>
      <c r="F56" s="23">
        <v>10971.006927240942</v>
      </c>
      <c r="G56" s="22"/>
      <c r="H56" s="23">
        <f t="shared" si="1"/>
        <v>10971.006927240942</v>
      </c>
      <c r="I56" s="23">
        <f t="shared" si="2"/>
        <v>457.12528863503923</v>
      </c>
      <c r="J56" s="23">
        <f t="shared" si="3"/>
        <v>95.996310613358233</v>
      </c>
      <c r="K56" s="23">
        <f t="shared" si="4"/>
        <v>553.1215992483975</v>
      </c>
      <c r="L56" s="23">
        <f t="shared" si="29"/>
        <v>121.68675183464745</v>
      </c>
      <c r="M56" s="23">
        <f t="shared" si="6"/>
        <v>674.80835108304495</v>
      </c>
      <c r="N56" s="23">
        <f t="shared" si="30"/>
        <v>236.18292287906573</v>
      </c>
      <c r="O56" s="24">
        <f t="shared" si="8"/>
        <v>910.99127396211065</v>
      </c>
      <c r="P56" s="124">
        <f t="shared" si="31"/>
        <v>5.0000000000000044E-2</v>
      </c>
      <c r="Q56" s="24">
        <v>10448.578025943754</v>
      </c>
      <c r="R56" s="139"/>
      <c r="S56" s="1"/>
      <c r="T56" s="1"/>
      <c r="U56" s="1"/>
    </row>
    <row r="57" spans="1:21" x14ac:dyDescent="0.25">
      <c r="A57" s="31"/>
      <c r="B57" s="32"/>
      <c r="C57" s="33"/>
      <c r="D57" s="32"/>
      <c r="E57" s="34"/>
      <c r="F57" s="35" t="e">
        <v>#N/A</v>
      </c>
      <c r="G57" s="34"/>
      <c r="H57" s="35" t="e">
        <f t="shared" si="1"/>
        <v>#N/A</v>
      </c>
      <c r="I57" s="36" t="e">
        <f t="shared" si="2"/>
        <v>#N/A</v>
      </c>
      <c r="J57" s="37"/>
      <c r="K57" s="36"/>
      <c r="L57" s="37"/>
      <c r="M57" s="36"/>
      <c r="N57" s="37"/>
      <c r="O57" s="38"/>
      <c r="P57" s="124" t="e">
        <f t="shared" si="31"/>
        <v>#N/A</v>
      </c>
      <c r="Q57" s="24" t="e">
        <v>#N/A</v>
      </c>
      <c r="R57" s="139"/>
      <c r="S57" s="1"/>
      <c r="T57" s="1"/>
      <c r="U57" s="1"/>
    </row>
    <row r="58" spans="1:21" x14ac:dyDescent="0.25">
      <c r="A58" s="81">
        <v>100516217</v>
      </c>
      <c r="B58" s="85" t="s">
        <v>58</v>
      </c>
      <c r="C58" s="86">
        <v>7790360967824</v>
      </c>
      <c r="D58" s="87">
        <v>5.8</v>
      </c>
      <c r="E58" s="88">
        <v>20</v>
      </c>
      <c r="F58" s="82">
        <v>25816.614898936674</v>
      </c>
      <c r="G58" s="84"/>
      <c r="H58" s="82">
        <f t="shared" si="1"/>
        <v>25816.614898936674</v>
      </c>
      <c r="I58" s="82">
        <f t="shared" si="2"/>
        <v>1290.8307449468336</v>
      </c>
      <c r="J58" s="82">
        <f t="shared" si="3"/>
        <v>271.07445643883506</v>
      </c>
      <c r="K58" s="82">
        <f t="shared" si="4"/>
        <v>1561.9052013856688</v>
      </c>
      <c r="L58" s="82">
        <f t="shared" si="5"/>
        <v>546.66682048498399</v>
      </c>
      <c r="M58" s="82">
        <f t="shared" si="6"/>
        <v>2108.5720218706529</v>
      </c>
      <c r="N58" s="82">
        <f t="shared" si="7"/>
        <v>948.85740984179381</v>
      </c>
      <c r="O58" s="89">
        <f t="shared" si="8"/>
        <v>3057.4294317124468</v>
      </c>
      <c r="P58" s="124">
        <f t="shared" si="31"/>
        <v>3.0000000000000027E-2</v>
      </c>
      <c r="Q58" s="24">
        <v>25064.674659161818</v>
      </c>
      <c r="R58" s="136" t="s">
        <v>111</v>
      </c>
      <c r="S58" s="1"/>
      <c r="T58" s="1"/>
      <c r="U58" s="1"/>
    </row>
    <row r="59" spans="1:21" x14ac:dyDescent="0.25">
      <c r="A59" s="81">
        <v>100516214</v>
      </c>
      <c r="B59" s="85" t="s">
        <v>59</v>
      </c>
      <c r="C59" s="86">
        <v>7790360967794</v>
      </c>
      <c r="D59" s="87">
        <v>7</v>
      </c>
      <c r="E59" s="88">
        <v>20</v>
      </c>
      <c r="F59" s="82">
        <v>34331.866269999999</v>
      </c>
      <c r="G59" s="84"/>
      <c r="H59" s="82">
        <f t="shared" si="1"/>
        <v>34331.866269999999</v>
      </c>
      <c r="I59" s="82">
        <f t="shared" si="2"/>
        <v>1716.5933135</v>
      </c>
      <c r="J59" s="82">
        <f t="shared" si="3"/>
        <v>360.48459583499999</v>
      </c>
      <c r="K59" s="82">
        <f t="shared" si="4"/>
        <v>2077.0779093350002</v>
      </c>
      <c r="L59" s="82">
        <f t="shared" si="5"/>
        <v>726.97726826725</v>
      </c>
      <c r="M59" s="82">
        <f t="shared" si="6"/>
        <v>2804.0551776022503</v>
      </c>
      <c r="N59" s="82">
        <f t="shared" si="7"/>
        <v>1261.8248299210127</v>
      </c>
      <c r="O59" s="89">
        <f t="shared" si="8"/>
        <v>4065.880007523263</v>
      </c>
      <c r="P59" s="124">
        <f t="shared" si="31"/>
        <v>2.9999882289041935E-2</v>
      </c>
      <c r="Q59" s="24">
        <v>33331.912809253779</v>
      </c>
      <c r="R59" s="136" t="s">
        <v>112</v>
      </c>
      <c r="S59" s="1"/>
      <c r="T59" s="1"/>
      <c r="U59" s="1"/>
    </row>
    <row r="60" spans="1:21" x14ac:dyDescent="0.25">
      <c r="A60" s="81">
        <v>100516215</v>
      </c>
      <c r="B60" s="85" t="s">
        <v>60</v>
      </c>
      <c r="C60" s="86">
        <v>7790360967800</v>
      </c>
      <c r="D60" s="87">
        <v>7</v>
      </c>
      <c r="E60" s="88">
        <v>20</v>
      </c>
      <c r="F60" s="82">
        <v>34331.866269999999</v>
      </c>
      <c r="G60" s="84"/>
      <c r="H60" s="82">
        <f t="shared" si="1"/>
        <v>34331.866269999999</v>
      </c>
      <c r="I60" s="82">
        <f t="shared" si="2"/>
        <v>1716.5933135</v>
      </c>
      <c r="J60" s="82">
        <f t="shared" si="3"/>
        <v>360.48459583499999</v>
      </c>
      <c r="K60" s="82">
        <f t="shared" si="4"/>
        <v>2077.0779093350002</v>
      </c>
      <c r="L60" s="82">
        <f t="shared" si="5"/>
        <v>726.97726826725</v>
      </c>
      <c r="M60" s="82">
        <f t="shared" si="6"/>
        <v>2804.0551776022503</v>
      </c>
      <c r="N60" s="82">
        <f t="shared" si="7"/>
        <v>1261.8248299210127</v>
      </c>
      <c r="O60" s="89">
        <f t="shared" si="8"/>
        <v>4065.880007523263</v>
      </c>
      <c r="P60" s="124">
        <f t="shared" si="31"/>
        <v>2.9999882289041935E-2</v>
      </c>
      <c r="Q60" s="24">
        <v>33331.912809253779</v>
      </c>
      <c r="R60" s="136" t="s">
        <v>112</v>
      </c>
      <c r="S60" s="1"/>
      <c r="T60" s="1"/>
      <c r="U60" s="1"/>
    </row>
    <row r="61" spans="1:21" x14ac:dyDescent="0.25">
      <c r="A61" s="81">
        <v>100516216</v>
      </c>
      <c r="B61" s="85" t="s">
        <v>61</v>
      </c>
      <c r="C61" s="86">
        <v>7790360967817</v>
      </c>
      <c r="D61" s="87">
        <v>7</v>
      </c>
      <c r="E61" s="88">
        <v>20</v>
      </c>
      <c r="F61" s="82">
        <v>34331.866269999999</v>
      </c>
      <c r="G61" s="84"/>
      <c r="H61" s="82">
        <f t="shared" si="1"/>
        <v>34331.866269999999</v>
      </c>
      <c r="I61" s="82">
        <f t="shared" si="2"/>
        <v>1716.5933135</v>
      </c>
      <c r="J61" s="82">
        <f t="shared" si="3"/>
        <v>360.48459583499999</v>
      </c>
      <c r="K61" s="82">
        <f t="shared" si="4"/>
        <v>2077.0779093350002</v>
      </c>
      <c r="L61" s="82">
        <f t="shared" si="5"/>
        <v>726.97726826725</v>
      </c>
      <c r="M61" s="82">
        <f t="shared" si="6"/>
        <v>2804.0551776022503</v>
      </c>
      <c r="N61" s="82">
        <f t="shared" si="7"/>
        <v>1261.8248299210127</v>
      </c>
      <c r="O61" s="89">
        <f t="shared" si="8"/>
        <v>4065.880007523263</v>
      </c>
      <c r="P61" s="124">
        <f t="shared" si="31"/>
        <v>2.9999882289041935E-2</v>
      </c>
      <c r="Q61" s="24">
        <v>33331.912809253779</v>
      </c>
      <c r="R61" s="136" t="s">
        <v>112</v>
      </c>
      <c r="S61" s="1"/>
      <c r="T61" s="1"/>
      <c r="U61" s="1"/>
    </row>
    <row r="62" spans="1:21" x14ac:dyDescent="0.25">
      <c r="A62" s="31"/>
      <c r="B62" s="32"/>
      <c r="C62" s="33"/>
      <c r="D62" s="32"/>
      <c r="E62" s="34"/>
      <c r="F62" s="35" t="e">
        <v>#N/A</v>
      </c>
      <c r="G62" s="110"/>
      <c r="H62" s="35" t="e">
        <f t="shared" si="1"/>
        <v>#N/A</v>
      </c>
      <c r="I62" s="36" t="e">
        <f t="shared" si="2"/>
        <v>#N/A</v>
      </c>
      <c r="J62" s="37"/>
      <c r="K62" s="36"/>
      <c r="L62" s="37"/>
      <c r="M62" s="36"/>
      <c r="N62" s="37"/>
      <c r="O62" s="38"/>
      <c r="P62" s="124" t="e">
        <f t="shared" si="31"/>
        <v>#N/A</v>
      </c>
      <c r="Q62" s="24" t="e">
        <v>#N/A</v>
      </c>
      <c r="R62" s="139"/>
      <c r="S62" s="1"/>
      <c r="T62" s="1"/>
      <c r="U62" s="1"/>
    </row>
    <row r="63" spans="1:21" x14ac:dyDescent="0.25">
      <c r="A63" s="26">
        <v>100021704</v>
      </c>
      <c r="B63" s="27" t="s">
        <v>62</v>
      </c>
      <c r="C63" s="20">
        <v>7790360023902</v>
      </c>
      <c r="D63" s="21">
        <f>12*0.38</f>
        <v>4.5600000000000005</v>
      </c>
      <c r="E63" s="22">
        <v>12</v>
      </c>
      <c r="F63" s="23">
        <v>39570.967582999729</v>
      </c>
      <c r="G63" s="111"/>
      <c r="H63" s="23">
        <f t="shared" si="1"/>
        <v>39570.967582999729</v>
      </c>
      <c r="I63" s="23">
        <f t="shared" si="2"/>
        <v>3297.5806319166441</v>
      </c>
      <c r="J63" s="23">
        <f t="shared" si="3"/>
        <v>692.49193270249521</v>
      </c>
      <c r="K63" s="23">
        <f t="shared" si="4"/>
        <v>3990.0725646191395</v>
      </c>
      <c r="L63" s="23">
        <f t="shared" si="5"/>
        <v>1396.5253976166987</v>
      </c>
      <c r="M63" s="23">
        <f t="shared" si="6"/>
        <v>5386.5979622358382</v>
      </c>
      <c r="N63" s="23">
        <f t="shared" si="7"/>
        <v>2423.9690830061272</v>
      </c>
      <c r="O63" s="24">
        <f t="shared" si="8"/>
        <v>7810.5670452419654</v>
      </c>
      <c r="P63" s="124">
        <f t="shared" si="31"/>
        <v>5.0000000000000044E-2</v>
      </c>
      <c r="Q63" s="24">
        <v>37686.635793333073</v>
      </c>
      <c r="R63" s="139"/>
      <c r="S63" s="1"/>
      <c r="T63" s="1"/>
      <c r="U63" s="1"/>
    </row>
    <row r="64" spans="1:21" x14ac:dyDescent="0.25">
      <c r="A64" s="26">
        <v>100021705</v>
      </c>
      <c r="B64" s="27" t="s">
        <v>63</v>
      </c>
      <c r="C64" s="20">
        <v>7790360024336</v>
      </c>
      <c r="D64" s="21">
        <f>12*0.38</f>
        <v>4.5600000000000005</v>
      </c>
      <c r="E64" s="22">
        <v>12</v>
      </c>
      <c r="F64" s="23">
        <v>35970.930405000523</v>
      </c>
      <c r="G64" s="111"/>
      <c r="H64" s="23">
        <f t="shared" si="1"/>
        <v>35970.930405000523</v>
      </c>
      <c r="I64" s="23">
        <f t="shared" si="2"/>
        <v>2997.5775337500436</v>
      </c>
      <c r="J64" s="23">
        <f t="shared" si="3"/>
        <v>629.49128208750915</v>
      </c>
      <c r="K64" s="23">
        <f t="shared" si="4"/>
        <v>3627.0688158375528</v>
      </c>
      <c r="L64" s="23">
        <f t="shared" si="5"/>
        <v>1269.4740855431435</v>
      </c>
      <c r="M64" s="23">
        <f t="shared" si="6"/>
        <v>4896.5429013806961</v>
      </c>
      <c r="N64" s="23">
        <f t="shared" si="7"/>
        <v>2203.4443056213131</v>
      </c>
      <c r="O64" s="24">
        <f t="shared" si="8"/>
        <v>7099.9872070020092</v>
      </c>
      <c r="P64" s="124">
        <f t="shared" si="31"/>
        <v>5.0000000000000044E-2</v>
      </c>
      <c r="Q64" s="24">
        <v>34258.028957143353</v>
      </c>
      <c r="R64" s="139"/>
      <c r="S64" s="1"/>
      <c r="T64" s="1"/>
      <c r="U64" s="1"/>
    </row>
    <row r="65" spans="1:21" x14ac:dyDescent="0.25">
      <c r="A65" s="26">
        <v>100021709</v>
      </c>
      <c r="B65" s="27" t="s">
        <v>64</v>
      </c>
      <c r="C65" s="20">
        <v>7790360024701</v>
      </c>
      <c r="D65" s="21">
        <v>7.6</v>
      </c>
      <c r="E65" s="22">
        <v>10</v>
      </c>
      <c r="F65" s="23">
        <v>57720.778056186457</v>
      </c>
      <c r="G65" s="112"/>
      <c r="H65" s="23">
        <f t="shared" si="1"/>
        <v>57720.778056186457</v>
      </c>
      <c r="I65" s="23">
        <f t="shared" si="2"/>
        <v>5772.0778056186455</v>
      </c>
      <c r="J65" s="23">
        <f t="shared" si="3"/>
        <v>1212.1363391799155</v>
      </c>
      <c r="K65" s="23">
        <f t="shared" si="4"/>
        <v>6984.2141447985614</v>
      </c>
      <c r="L65" s="23">
        <f t="shared" si="5"/>
        <v>2444.4749506794965</v>
      </c>
      <c r="M65" s="23">
        <f t="shared" si="6"/>
        <v>9428.6890954780574</v>
      </c>
      <c r="N65" s="23">
        <f t="shared" si="7"/>
        <v>4242.9100929651258</v>
      </c>
      <c r="O65" s="24">
        <f t="shared" si="8"/>
        <v>13671.599188443182</v>
      </c>
      <c r="P65" s="124">
        <f t="shared" si="31"/>
        <v>5.0000000000000044E-2</v>
      </c>
      <c r="Q65" s="24">
        <v>54972.169577320434</v>
      </c>
      <c r="R65" s="139"/>
      <c r="S65" s="1"/>
      <c r="T65" s="1"/>
      <c r="U65" s="1"/>
    </row>
    <row r="66" spans="1:21" x14ac:dyDescent="0.25">
      <c r="A66" s="81">
        <v>100521357</v>
      </c>
      <c r="B66" s="85" t="s">
        <v>92</v>
      </c>
      <c r="C66" s="86">
        <v>7790360982018</v>
      </c>
      <c r="D66" s="87">
        <v>4.5599999999999996</v>
      </c>
      <c r="E66" s="88">
        <v>12</v>
      </c>
      <c r="F66" s="82">
        <v>46386.717300000018</v>
      </c>
      <c r="G66" s="104">
        <v>0.4</v>
      </c>
      <c r="H66" s="82">
        <f t="shared" si="1"/>
        <v>27832.030380000011</v>
      </c>
      <c r="I66" s="82">
        <f t="shared" ref="I66:I68" si="40">+H66/E66</f>
        <v>2319.3358650000009</v>
      </c>
      <c r="J66" s="82">
        <f t="shared" ref="J66:J68" si="41">+I66*J$3</f>
        <v>487.0605316500002</v>
      </c>
      <c r="K66" s="82">
        <f t="shared" ref="K66:K68" si="42">+I66+J66</f>
        <v>2806.396396650001</v>
      </c>
      <c r="L66" s="82">
        <f t="shared" ref="L66:L68" si="43">+K66*L$3</f>
        <v>982.23873882750024</v>
      </c>
      <c r="M66" s="82">
        <f t="shared" ref="M66:M68" si="44">+K66+L66</f>
        <v>3788.6351354775011</v>
      </c>
      <c r="N66" s="82">
        <f t="shared" ref="N66:N68" si="45">+M66*N$3</f>
        <v>1704.8858109648754</v>
      </c>
      <c r="O66" s="89">
        <f t="shared" ref="O66:O68" si="46">+M66+N66</f>
        <v>5493.520946442377</v>
      </c>
      <c r="P66" s="124">
        <f t="shared" si="31"/>
        <v>-5.9701492537313272E-2</v>
      </c>
      <c r="Q66" s="24">
        <v>29599.143420000008</v>
      </c>
      <c r="R66" s="136"/>
      <c r="S66" s="1"/>
      <c r="T66" s="1"/>
      <c r="U66" s="1"/>
    </row>
    <row r="67" spans="1:21" x14ac:dyDescent="0.25">
      <c r="A67" s="81">
        <v>100521358</v>
      </c>
      <c r="B67" s="85" t="s">
        <v>95</v>
      </c>
      <c r="C67" s="86">
        <v>7790360982025</v>
      </c>
      <c r="D67" s="87">
        <v>7.6</v>
      </c>
      <c r="E67" s="88">
        <v>10</v>
      </c>
      <c r="F67" s="82">
        <v>69580.08</v>
      </c>
      <c r="G67" s="104">
        <v>0.4</v>
      </c>
      <c r="H67" s="82">
        <f t="shared" ref="H67" si="47">+F67*(1-G67)</f>
        <v>41748.048000000003</v>
      </c>
      <c r="I67" s="82">
        <f t="shared" si="40"/>
        <v>4174.8047999999999</v>
      </c>
      <c r="J67" s="82">
        <f t="shared" si="41"/>
        <v>876.70900799999993</v>
      </c>
      <c r="K67" s="82">
        <f t="shared" si="42"/>
        <v>5051.5138079999997</v>
      </c>
      <c r="L67" s="82">
        <f t="shared" si="43"/>
        <v>1768.0298327999999</v>
      </c>
      <c r="M67" s="82">
        <f t="shared" si="44"/>
        <v>6819.5436407999996</v>
      </c>
      <c r="N67" s="82">
        <f t="shared" si="45"/>
        <v>3068.7946383599997</v>
      </c>
      <c r="O67" s="89">
        <f t="shared" si="46"/>
        <v>9888.3382791599997</v>
      </c>
      <c r="P67" s="124">
        <f t="shared" si="31"/>
        <v>-0.36999996333002005</v>
      </c>
      <c r="Q67" s="24">
        <v>66266.739000000016</v>
      </c>
      <c r="R67" s="136" t="s">
        <v>113</v>
      </c>
      <c r="S67" s="1"/>
      <c r="T67" s="1"/>
      <c r="U67" s="1"/>
    </row>
    <row r="68" spans="1:21" x14ac:dyDescent="0.25">
      <c r="A68" s="81">
        <v>100522130</v>
      </c>
      <c r="B68" s="85" t="s">
        <v>93</v>
      </c>
      <c r="C68" s="86">
        <v>7790360982445</v>
      </c>
      <c r="D68" s="87">
        <v>4.8</v>
      </c>
      <c r="E68" s="88">
        <v>12</v>
      </c>
      <c r="F68" s="82">
        <v>38241.091480803763</v>
      </c>
      <c r="G68" s="104">
        <v>0.35</v>
      </c>
      <c r="H68" s="82">
        <f t="shared" si="1"/>
        <v>24856.709462522445</v>
      </c>
      <c r="I68" s="82">
        <f t="shared" si="40"/>
        <v>2071.3924552102039</v>
      </c>
      <c r="J68" s="82">
        <f t="shared" si="41"/>
        <v>434.99241559414281</v>
      </c>
      <c r="K68" s="82">
        <f t="shared" si="42"/>
        <v>2506.384870804347</v>
      </c>
      <c r="L68" s="82">
        <f t="shared" si="43"/>
        <v>877.23470478152137</v>
      </c>
      <c r="M68" s="82">
        <f t="shared" si="44"/>
        <v>3383.6195755858685</v>
      </c>
      <c r="N68" s="82">
        <f t="shared" si="45"/>
        <v>1522.6288090136409</v>
      </c>
      <c r="O68" s="103">
        <f t="shared" si="46"/>
        <v>4906.2483845995093</v>
      </c>
      <c r="P68" s="124">
        <f t="shared" si="31"/>
        <v>-0.28337500000000004</v>
      </c>
      <c r="Q68" s="24">
        <v>34685.797261500011</v>
      </c>
      <c r="R68" s="136"/>
      <c r="S68" s="1"/>
      <c r="T68" s="1"/>
      <c r="U68" s="1"/>
    </row>
    <row r="69" spans="1:21" x14ac:dyDescent="0.25">
      <c r="A69" s="40">
        <v>100021725</v>
      </c>
      <c r="B69" s="41" t="s">
        <v>65</v>
      </c>
      <c r="C69" s="42">
        <v>7790360027009</v>
      </c>
      <c r="D69" s="43">
        <v>6</v>
      </c>
      <c r="E69" s="44">
        <v>4</v>
      </c>
      <c r="F69" s="45">
        <v>29834.862190533844</v>
      </c>
      <c r="G69" s="113"/>
      <c r="H69" s="45">
        <f t="shared" si="1"/>
        <v>29834.862190533844</v>
      </c>
      <c r="I69" s="45">
        <f t="shared" si="2"/>
        <v>7458.715547633461</v>
      </c>
      <c r="J69" s="45">
        <f t="shared" si="3"/>
        <v>1566.3302650030269</v>
      </c>
      <c r="K69" s="45">
        <f t="shared" si="4"/>
        <v>9025.0458126364883</v>
      </c>
      <c r="L69" s="45">
        <f t="shared" si="5"/>
        <v>3158.7660344227706</v>
      </c>
      <c r="M69" s="45">
        <f t="shared" si="6"/>
        <v>12183.81184705926</v>
      </c>
      <c r="N69" s="45">
        <f t="shared" si="7"/>
        <v>5482.715331176667</v>
      </c>
      <c r="O69" s="46">
        <f t="shared" si="8"/>
        <v>17666.527178235927</v>
      </c>
      <c r="P69" s="124">
        <f t="shared" si="31"/>
        <v>5.0000000000000044E-2</v>
      </c>
      <c r="Q69" s="24">
        <v>28414.154467175089</v>
      </c>
      <c r="R69" s="139"/>
      <c r="S69" s="1"/>
      <c r="T69" s="1"/>
      <c r="U69" s="1"/>
    </row>
    <row r="70" spans="1:21" x14ac:dyDescent="0.25">
      <c r="A70" s="26">
        <v>100517055</v>
      </c>
      <c r="B70" s="27" t="s">
        <v>66</v>
      </c>
      <c r="C70" s="20">
        <v>7790360971135</v>
      </c>
      <c r="D70" s="21">
        <v>3.12</v>
      </c>
      <c r="E70" s="22">
        <v>12</v>
      </c>
      <c r="F70" s="23">
        <v>29794.808591807279</v>
      </c>
      <c r="G70" s="111"/>
      <c r="H70" s="23">
        <f t="shared" si="1"/>
        <v>29794.808591807279</v>
      </c>
      <c r="I70" s="23">
        <f t="shared" si="2"/>
        <v>2482.9007159839398</v>
      </c>
      <c r="J70" s="23">
        <f t="shared" si="3"/>
        <v>521.40915035662738</v>
      </c>
      <c r="K70" s="23">
        <f t="shared" si="4"/>
        <v>3004.3098663405672</v>
      </c>
      <c r="L70" s="23">
        <f t="shared" si="5"/>
        <v>1051.5084532191984</v>
      </c>
      <c r="M70" s="23">
        <f t="shared" si="6"/>
        <v>4055.8183195597658</v>
      </c>
      <c r="N70" s="23">
        <f t="shared" si="7"/>
        <v>1825.1182438018946</v>
      </c>
      <c r="O70" s="24">
        <f t="shared" si="8"/>
        <v>5880.9365633616599</v>
      </c>
      <c r="P70" s="124">
        <f t="shared" si="31"/>
        <v>5.0000000000000044E-2</v>
      </c>
      <c r="Q70" s="24">
        <v>28376.008182673599</v>
      </c>
      <c r="R70" s="139"/>
      <c r="S70" s="1"/>
      <c r="T70" s="1"/>
      <c r="U70" s="1"/>
    </row>
    <row r="71" spans="1:21" x14ac:dyDescent="0.25">
      <c r="A71" s="81">
        <v>100517186</v>
      </c>
      <c r="B71" s="85" t="s">
        <v>67</v>
      </c>
      <c r="C71" s="86">
        <v>7790360971395</v>
      </c>
      <c r="D71" s="87">
        <v>8</v>
      </c>
      <c r="E71" s="88">
        <v>8</v>
      </c>
      <c r="F71" s="82">
        <v>75286.395133885089</v>
      </c>
      <c r="G71" s="118">
        <v>0.35</v>
      </c>
      <c r="H71" s="82">
        <f t="shared" si="1"/>
        <v>48936.156837025308</v>
      </c>
      <c r="I71" s="82">
        <f t="shared" si="2"/>
        <v>6117.0196046281635</v>
      </c>
      <c r="J71" s="82">
        <f t="shared" si="3"/>
        <v>1284.5741169719142</v>
      </c>
      <c r="K71" s="82">
        <f t="shared" si="4"/>
        <v>7401.5937216000775</v>
      </c>
      <c r="L71" s="82">
        <f t="shared" si="5"/>
        <v>2590.5578025600271</v>
      </c>
      <c r="M71" s="82">
        <f t="shared" si="6"/>
        <v>9992.1515241601046</v>
      </c>
      <c r="N71" s="82">
        <f t="shared" si="7"/>
        <v>4496.4681858720469</v>
      </c>
      <c r="O71" s="89">
        <f t="shared" si="8"/>
        <v>14488.619710032151</v>
      </c>
      <c r="P71" s="124">
        <f t="shared" si="31"/>
        <v>-0.31749999999999989</v>
      </c>
      <c r="Q71" s="24">
        <v>71701.328698938174</v>
      </c>
      <c r="R71" s="136"/>
      <c r="S71" s="1"/>
      <c r="T71" s="1"/>
      <c r="U71" s="1"/>
    </row>
    <row r="72" spans="1:21" x14ac:dyDescent="0.25">
      <c r="A72" s="105">
        <v>100521663</v>
      </c>
      <c r="B72" s="106" t="s">
        <v>94</v>
      </c>
      <c r="C72" s="86">
        <v>7790360982537</v>
      </c>
      <c r="D72" s="87">
        <v>4.8</v>
      </c>
      <c r="E72" s="88">
        <v>12</v>
      </c>
      <c r="F72" s="82">
        <v>39897.406668566538</v>
      </c>
      <c r="G72" s="104">
        <v>0.3</v>
      </c>
      <c r="H72" s="82">
        <f t="shared" ref="H72" si="48">+F72*(1-G72)</f>
        <v>27928.184667996575</v>
      </c>
      <c r="I72" s="82">
        <f t="shared" si="2"/>
        <v>2327.348722333048</v>
      </c>
      <c r="J72" s="82">
        <f t="shared" si="3"/>
        <v>488.74323168994005</v>
      </c>
      <c r="K72" s="82">
        <f t="shared" si="4"/>
        <v>2816.0919540229879</v>
      </c>
      <c r="L72" s="82">
        <f t="shared" si="5"/>
        <v>985.6321839080457</v>
      </c>
      <c r="M72" s="82">
        <f t="shared" si="6"/>
        <v>3801.7241379310335</v>
      </c>
      <c r="N72" s="82">
        <f t="shared" si="7"/>
        <v>1710.7758620689651</v>
      </c>
      <c r="O72" s="89">
        <f t="shared" si="8"/>
        <v>5512.4999999999982</v>
      </c>
      <c r="P72" s="124">
        <f t="shared" si="31"/>
        <v>9.7014930008022304E-2</v>
      </c>
      <c r="Q72" s="24">
        <v>25458.345099999995</v>
      </c>
      <c r="R72" s="136"/>
      <c r="S72" s="1"/>
      <c r="T72" s="1"/>
      <c r="U72" s="1"/>
    </row>
    <row r="73" spans="1:21" x14ac:dyDescent="0.25">
      <c r="A73" s="40">
        <v>100021728</v>
      </c>
      <c r="B73" s="41" t="s">
        <v>68</v>
      </c>
      <c r="C73" s="42">
        <v>7790360967558</v>
      </c>
      <c r="D73" s="43">
        <v>3.84</v>
      </c>
      <c r="E73" s="44">
        <v>12</v>
      </c>
      <c r="F73" s="45">
        <v>37453.357907012469</v>
      </c>
      <c r="G73" s="113"/>
      <c r="H73" s="45">
        <f t="shared" si="1"/>
        <v>37453.357907012469</v>
      </c>
      <c r="I73" s="45">
        <f t="shared" si="2"/>
        <v>3121.1131589177057</v>
      </c>
      <c r="J73" s="45">
        <f t="shared" si="3"/>
        <v>655.4337633727182</v>
      </c>
      <c r="K73" s="45">
        <f t="shared" si="4"/>
        <v>3776.5469222904239</v>
      </c>
      <c r="L73" s="45">
        <f t="shared" si="5"/>
        <v>1321.7914228016482</v>
      </c>
      <c r="M73" s="45">
        <f t="shared" si="6"/>
        <v>5098.3383450920719</v>
      </c>
      <c r="N73" s="45">
        <f t="shared" si="7"/>
        <v>2294.2522552914324</v>
      </c>
      <c r="O73" s="46">
        <f t="shared" si="8"/>
        <v>7392.5906003835044</v>
      </c>
      <c r="P73" s="124">
        <f t="shared" si="31"/>
        <v>5.0000000000000044E-2</v>
      </c>
      <c r="Q73" s="24">
        <v>35669.864673345204</v>
      </c>
      <c r="R73" s="139"/>
      <c r="S73" s="1"/>
      <c r="T73" s="1"/>
      <c r="U73" s="1"/>
    </row>
    <row r="74" spans="1:21" x14ac:dyDescent="0.25">
      <c r="A74" s="40">
        <v>100517679</v>
      </c>
      <c r="B74" s="41" t="s">
        <v>69</v>
      </c>
      <c r="C74" s="42">
        <v>7790360973498</v>
      </c>
      <c r="D74" s="43">
        <v>7.68</v>
      </c>
      <c r="E74" s="44">
        <v>8</v>
      </c>
      <c r="F74" s="45">
        <v>37622.065376668943</v>
      </c>
      <c r="G74" s="113"/>
      <c r="H74" s="45">
        <f t="shared" si="1"/>
        <v>37622.065376668943</v>
      </c>
      <c r="I74" s="45">
        <f t="shared" si="2"/>
        <v>4702.7581720836179</v>
      </c>
      <c r="J74" s="45">
        <f t="shared" si="3"/>
        <v>987.57921613755968</v>
      </c>
      <c r="K74" s="45">
        <f t="shared" si="4"/>
        <v>5690.3373882211772</v>
      </c>
      <c r="L74" s="45">
        <f t="shared" si="5"/>
        <v>1991.6180858774119</v>
      </c>
      <c r="M74" s="45">
        <f t="shared" si="6"/>
        <v>7681.9554740985895</v>
      </c>
      <c r="N74" s="45">
        <f t="shared" si="7"/>
        <v>3456.8799633443655</v>
      </c>
      <c r="O74" s="46">
        <f>+M74+N74</f>
        <v>11138.835437442955</v>
      </c>
      <c r="P74" s="124">
        <f t="shared" si="31"/>
        <v>5.0000000000000044E-2</v>
      </c>
      <c r="Q74" s="24">
        <v>35830.538453970417</v>
      </c>
      <c r="R74" s="139"/>
      <c r="S74" s="1"/>
      <c r="T74" s="1"/>
      <c r="U74" s="1"/>
    </row>
    <row r="75" spans="1:21" ht="15.75" thickBot="1" x14ac:dyDescent="0.3">
      <c r="A75" s="31"/>
      <c r="B75" s="32"/>
      <c r="C75" s="33"/>
      <c r="D75" s="32"/>
      <c r="E75" s="34"/>
      <c r="F75" s="35" t="e">
        <v>#N/A</v>
      </c>
      <c r="G75" s="110"/>
      <c r="H75" s="35" t="e">
        <f t="shared" si="1"/>
        <v>#N/A</v>
      </c>
      <c r="I75" s="36" t="e">
        <f t="shared" si="2"/>
        <v>#N/A</v>
      </c>
      <c r="J75" s="37"/>
      <c r="K75" s="36"/>
      <c r="L75" s="37"/>
      <c r="M75" s="36"/>
      <c r="N75" s="37"/>
      <c r="O75" s="38"/>
      <c r="P75" s="124" t="e">
        <f t="shared" si="31"/>
        <v>#N/A</v>
      </c>
      <c r="Q75" s="24" t="e">
        <v>#N/A</v>
      </c>
      <c r="R75" s="139"/>
      <c r="S75" s="1"/>
      <c r="T75" s="1"/>
      <c r="U75" s="1"/>
    </row>
    <row r="76" spans="1:21" ht="15" hidden="1" customHeight="1" x14ac:dyDescent="0.25">
      <c r="A76" s="26">
        <v>100516219</v>
      </c>
      <c r="B76" s="27" t="s">
        <v>70</v>
      </c>
      <c r="C76" s="47">
        <v>7790360967770</v>
      </c>
      <c r="D76" s="21">
        <v>10</v>
      </c>
      <c r="E76" s="22">
        <v>25</v>
      </c>
      <c r="F76" s="23">
        <v>16599.454447073913</v>
      </c>
      <c r="G76" s="111"/>
      <c r="H76" s="23">
        <f t="shared" si="1"/>
        <v>16599.454447073913</v>
      </c>
      <c r="I76" s="23">
        <f t="shared" si="2"/>
        <v>663.97817788295652</v>
      </c>
      <c r="J76" s="23">
        <f t="shared" si="3"/>
        <v>139.43541735542087</v>
      </c>
      <c r="K76" s="23">
        <f t="shared" si="4"/>
        <v>803.41359523837741</v>
      </c>
      <c r="L76" s="23">
        <f t="shared" si="5"/>
        <v>281.19475833343205</v>
      </c>
      <c r="M76" s="23">
        <f t="shared" si="6"/>
        <v>1084.6083535718094</v>
      </c>
      <c r="N76" s="23">
        <f t="shared" si="7"/>
        <v>488.07375910731423</v>
      </c>
      <c r="O76" s="24">
        <f t="shared" si="8"/>
        <v>1572.6821126791237</v>
      </c>
      <c r="P76" s="124">
        <f t="shared" si="31"/>
        <v>0</v>
      </c>
      <c r="Q76" s="24">
        <v>16599.454447073913</v>
      </c>
      <c r="R76" s="139"/>
      <c r="S76" s="1"/>
      <c r="T76" s="1"/>
      <c r="U76" s="1"/>
    </row>
    <row r="77" spans="1:21" ht="15" hidden="1" customHeight="1" x14ac:dyDescent="0.25">
      <c r="A77" s="26">
        <v>100516220</v>
      </c>
      <c r="B77" s="27" t="s">
        <v>71</v>
      </c>
      <c r="C77" s="47">
        <v>7790360967787</v>
      </c>
      <c r="D77" s="21">
        <v>12</v>
      </c>
      <c r="E77" s="22">
        <v>6</v>
      </c>
      <c r="F77" s="23">
        <v>17830.838018208367</v>
      </c>
      <c r="G77" s="111"/>
      <c r="H77" s="23">
        <f t="shared" si="1"/>
        <v>17830.838018208367</v>
      </c>
      <c r="I77" s="23">
        <f t="shared" si="2"/>
        <v>2971.8063363680612</v>
      </c>
      <c r="J77" s="23">
        <f t="shared" si="3"/>
        <v>624.07933063729286</v>
      </c>
      <c r="K77" s="23">
        <f t="shared" si="4"/>
        <v>3595.8856670053542</v>
      </c>
      <c r="L77" s="23">
        <f t="shared" si="5"/>
        <v>1258.5599834518739</v>
      </c>
      <c r="M77" s="23">
        <f t="shared" si="6"/>
        <v>4854.4456504572281</v>
      </c>
      <c r="N77" s="23">
        <f t="shared" si="7"/>
        <v>2184.5005427057527</v>
      </c>
      <c r="O77" s="24">
        <f t="shared" si="8"/>
        <v>7038.9461931629812</v>
      </c>
      <c r="P77" s="124">
        <f t="shared" si="31"/>
        <v>0</v>
      </c>
      <c r="Q77" s="24">
        <v>17830.838018208367</v>
      </c>
      <c r="R77" s="139"/>
      <c r="S77" s="1"/>
      <c r="T77" s="1"/>
      <c r="U77" s="1"/>
    </row>
    <row r="78" spans="1:21" ht="15" hidden="1" customHeight="1" thickBot="1" x14ac:dyDescent="0.3">
      <c r="A78" s="48"/>
      <c r="B78" s="49"/>
      <c r="C78" s="50"/>
      <c r="D78" s="49"/>
      <c r="E78" s="51"/>
      <c r="F78" s="52" t="e">
        <v>#N/A</v>
      </c>
      <c r="G78" s="114"/>
      <c r="H78" s="52" t="e">
        <f t="shared" ref="H78:H106" si="49">+F78*(1-G78)</f>
        <v>#N/A</v>
      </c>
      <c r="I78" s="52" t="e">
        <f t="shared" ref="I78:I84" si="50">+H78/E78</f>
        <v>#N/A</v>
      </c>
      <c r="J78" s="52"/>
      <c r="K78" s="52"/>
      <c r="L78" s="52"/>
      <c r="M78" s="52"/>
      <c r="N78" s="52"/>
      <c r="O78" s="53"/>
      <c r="P78" s="124" t="e">
        <f t="shared" si="31"/>
        <v>#N/A</v>
      </c>
      <c r="Q78" s="24" t="e">
        <v>#N/A</v>
      </c>
      <c r="R78" s="139"/>
      <c r="S78" s="1"/>
      <c r="T78" s="1"/>
      <c r="U78" s="1"/>
    </row>
    <row r="79" spans="1:21" ht="15.75" hidden="1" thickBot="1" x14ac:dyDescent="0.3">
      <c r="A79" s="54">
        <v>100518158</v>
      </c>
      <c r="B79" s="55" t="s">
        <v>72</v>
      </c>
      <c r="C79" s="56">
        <v>7790360974280</v>
      </c>
      <c r="D79" s="57">
        <v>12</v>
      </c>
      <c r="E79" s="58">
        <v>24</v>
      </c>
      <c r="F79" s="59">
        <v>68490.548114372563</v>
      </c>
      <c r="G79" s="115"/>
      <c r="H79" s="59">
        <f t="shared" si="49"/>
        <v>68490.548114372563</v>
      </c>
      <c r="I79" s="59">
        <f t="shared" si="50"/>
        <v>2853.7728380988569</v>
      </c>
      <c r="J79" s="59">
        <f>+I79*J$3</f>
        <v>599.29229600075996</v>
      </c>
      <c r="K79" s="59">
        <f>+I79+J79</f>
        <v>3453.0651340996169</v>
      </c>
      <c r="L79" s="59">
        <f>+K79*L$3</f>
        <v>1208.5727969348659</v>
      </c>
      <c r="M79" s="59">
        <f>+K79+L79</f>
        <v>4661.6379310344828</v>
      </c>
      <c r="N79" s="59">
        <f>+M79*N$3</f>
        <v>2097.7370689655172</v>
      </c>
      <c r="O79" s="60">
        <f>+M79+N79</f>
        <v>6759.375</v>
      </c>
      <c r="P79" s="124">
        <f t="shared" si="31"/>
        <v>0</v>
      </c>
      <c r="Q79" s="24">
        <v>68490.548114372563</v>
      </c>
      <c r="R79" s="139"/>
      <c r="S79" s="1"/>
      <c r="T79" s="1"/>
      <c r="U79" s="1"/>
    </row>
    <row r="80" spans="1:21" ht="15.75" hidden="1" thickBot="1" x14ac:dyDescent="0.3">
      <c r="A80" s="26">
        <v>100518160</v>
      </c>
      <c r="B80" s="27" t="s">
        <v>73</v>
      </c>
      <c r="C80" s="61">
        <v>7790360974686</v>
      </c>
      <c r="D80" s="21">
        <v>12</v>
      </c>
      <c r="E80" s="22">
        <v>12</v>
      </c>
      <c r="F80" s="23">
        <v>68490.548114372563</v>
      </c>
      <c r="G80" s="111"/>
      <c r="H80" s="23">
        <f t="shared" si="49"/>
        <v>68490.548114372563</v>
      </c>
      <c r="I80" s="23">
        <f t="shared" si="50"/>
        <v>5707.5456761977139</v>
      </c>
      <c r="J80" s="23">
        <f>+I80*J$3</f>
        <v>1198.5845920015199</v>
      </c>
      <c r="K80" s="23">
        <f>+I80+J80</f>
        <v>6906.1302681992338</v>
      </c>
      <c r="L80" s="23">
        <f>+K80*L$3</f>
        <v>2417.1455938697318</v>
      </c>
      <c r="M80" s="23">
        <f>+K80+L80</f>
        <v>9323.2758620689656</v>
      </c>
      <c r="N80" s="23">
        <f>+M80*N$3</f>
        <v>4195.4741379310344</v>
      </c>
      <c r="O80" s="24">
        <f>+M80+N80</f>
        <v>13518.75</v>
      </c>
      <c r="P80" s="124">
        <f t="shared" si="31"/>
        <v>0</v>
      </c>
      <c r="Q80" s="24">
        <v>68490.548114372563</v>
      </c>
      <c r="R80" s="139"/>
      <c r="S80" s="1"/>
      <c r="T80" s="1"/>
      <c r="U80" s="1"/>
    </row>
    <row r="81" spans="1:21" ht="15.75" hidden="1" thickBot="1" x14ac:dyDescent="0.3">
      <c r="A81" s="62">
        <v>100518463</v>
      </c>
      <c r="B81" s="63" t="s">
        <v>74</v>
      </c>
      <c r="C81" s="64">
        <v>7790360975188</v>
      </c>
      <c r="D81" s="65">
        <v>5</v>
      </c>
      <c r="E81" s="66">
        <v>1</v>
      </c>
      <c r="F81" s="67">
        <v>33357.515625</v>
      </c>
      <c r="G81" s="116"/>
      <c r="H81" s="67">
        <f t="shared" si="49"/>
        <v>33357.515625</v>
      </c>
      <c r="I81" s="67">
        <f t="shared" si="50"/>
        <v>33357.515625</v>
      </c>
      <c r="J81" s="67">
        <f>+I81*J$3</f>
        <v>7005.0782812500001</v>
      </c>
      <c r="K81" s="67">
        <f>+I81+J81</f>
        <v>40362.593906249997</v>
      </c>
      <c r="L81" s="67">
        <f>+K81*L$3</f>
        <v>14126.907867187498</v>
      </c>
      <c r="M81" s="67">
        <f>+K81+L81</f>
        <v>54489.501773437492</v>
      </c>
      <c r="N81" s="67">
        <f>+M81*N$3</f>
        <v>24520.27579804687</v>
      </c>
      <c r="O81" s="68">
        <f>+M81+N81</f>
        <v>79009.777571484359</v>
      </c>
      <c r="P81" s="124">
        <f t="shared" si="31"/>
        <v>0</v>
      </c>
      <c r="Q81" s="24">
        <v>33357.515625</v>
      </c>
      <c r="R81" s="139"/>
      <c r="S81" s="1"/>
      <c r="T81" s="1"/>
      <c r="U81" s="1"/>
    </row>
    <row r="82" spans="1:21" ht="15.75" hidden="1" thickBot="1" x14ac:dyDescent="0.3">
      <c r="A82" s="69"/>
      <c r="B82" s="70"/>
      <c r="C82" s="71"/>
      <c r="D82" s="70"/>
      <c r="E82" s="72"/>
      <c r="F82" s="73" t="e">
        <v>#N/A</v>
      </c>
      <c r="G82" s="117"/>
      <c r="H82" s="73" t="e">
        <f t="shared" si="49"/>
        <v>#N/A</v>
      </c>
      <c r="I82" s="73" t="e">
        <f t="shared" si="50"/>
        <v>#N/A</v>
      </c>
      <c r="J82" s="73"/>
      <c r="K82" s="73"/>
      <c r="L82" s="73"/>
      <c r="M82" s="73"/>
      <c r="N82" s="73"/>
      <c r="O82" s="74"/>
      <c r="P82" s="124" t="e">
        <f t="shared" si="31"/>
        <v>#N/A</v>
      </c>
      <c r="Q82" s="24" t="e">
        <v>#N/A</v>
      </c>
      <c r="R82" s="139"/>
      <c r="S82" s="1"/>
      <c r="T82" s="1"/>
      <c r="U82" s="1"/>
    </row>
    <row r="83" spans="1:21" x14ac:dyDescent="0.25">
      <c r="A83" s="100">
        <v>100518291</v>
      </c>
      <c r="B83" s="101" t="s">
        <v>75</v>
      </c>
      <c r="C83" s="97">
        <v>7790360975195</v>
      </c>
      <c r="D83" s="102">
        <v>5</v>
      </c>
      <c r="E83" s="102">
        <v>10</v>
      </c>
      <c r="F83" s="98">
        <v>14655.489011111231</v>
      </c>
      <c r="G83" s="104"/>
      <c r="H83" s="82">
        <f t="shared" si="49"/>
        <v>14655.489011111231</v>
      </c>
      <c r="I83" s="98">
        <f t="shared" si="50"/>
        <v>1465.5489011111231</v>
      </c>
      <c r="J83" s="98">
        <f>+I83*J$3</f>
        <v>307.76526923333586</v>
      </c>
      <c r="K83" s="98">
        <f>+I83+J83</f>
        <v>1773.3141703444589</v>
      </c>
      <c r="L83" s="98">
        <f>+K83*L$39</f>
        <v>390.12911747578096</v>
      </c>
      <c r="M83" s="98">
        <f>+K83+L83</f>
        <v>2163.4432878202397</v>
      </c>
      <c r="N83" s="98">
        <f>+M83*N$39</f>
        <v>757.20515073708384</v>
      </c>
      <c r="O83" s="99">
        <f>+M83+N83</f>
        <v>2920.6484385573235</v>
      </c>
      <c r="P83" s="124">
        <f t="shared" si="31"/>
        <v>8.1500000000000128E-2</v>
      </c>
      <c r="Q83" s="24">
        <v>13551.076293214266</v>
      </c>
      <c r="R83" s="136" t="s">
        <v>114</v>
      </c>
      <c r="S83" s="1"/>
      <c r="T83" s="1"/>
      <c r="U83" s="1"/>
    </row>
    <row r="84" spans="1:21" ht="15.75" thickBot="1" x14ac:dyDescent="0.3">
      <c r="A84" s="91">
        <v>100518292</v>
      </c>
      <c r="B84" s="92" t="s">
        <v>76</v>
      </c>
      <c r="C84" s="93">
        <v>7790360975201</v>
      </c>
      <c r="D84" s="94">
        <v>12</v>
      </c>
      <c r="E84" s="94">
        <v>12</v>
      </c>
      <c r="F84" s="82">
        <v>34581.724615540443</v>
      </c>
      <c r="G84" s="104"/>
      <c r="H84" s="82">
        <f t="shared" si="49"/>
        <v>34581.724615540443</v>
      </c>
      <c r="I84" s="95">
        <f t="shared" si="50"/>
        <v>2881.8103846283702</v>
      </c>
      <c r="J84" s="95">
        <f>+I84*J$3</f>
        <v>605.18018077195768</v>
      </c>
      <c r="K84" s="95">
        <f>+I84+J84</f>
        <v>3486.9905654003278</v>
      </c>
      <c r="L84" s="95">
        <f>+K84*L$39</f>
        <v>767.13792438807207</v>
      </c>
      <c r="M84" s="95">
        <f>+K84+L84</f>
        <v>4254.1284897883997</v>
      </c>
      <c r="N84" s="95">
        <f>+M84*N$39</f>
        <v>1488.9449714259399</v>
      </c>
      <c r="O84" s="96">
        <f>+M84+N84</f>
        <v>5743.0734612143397</v>
      </c>
      <c r="P84" s="124">
        <f t="shared" si="31"/>
        <v>8.1499999999999906E-2</v>
      </c>
      <c r="Q84" s="24">
        <v>31975.704683809934</v>
      </c>
      <c r="R84" s="136" t="s">
        <v>115</v>
      </c>
      <c r="S84" s="1"/>
      <c r="T84" s="1"/>
      <c r="U84" s="1"/>
    </row>
    <row r="85" spans="1:21" ht="15.75" thickBot="1" x14ac:dyDescent="0.3">
      <c r="A85" s="69"/>
      <c r="B85" s="70"/>
      <c r="C85" s="71"/>
      <c r="D85" s="70"/>
      <c r="E85" s="72"/>
      <c r="F85" s="73" t="e">
        <v>#N/A</v>
      </c>
      <c r="G85" s="117"/>
      <c r="H85" s="73" t="e">
        <f t="shared" si="49"/>
        <v>#N/A</v>
      </c>
      <c r="I85" s="73" t="e">
        <f>+H85/E85</f>
        <v>#N/A</v>
      </c>
      <c r="J85" s="73">
        <v>0.105</v>
      </c>
      <c r="K85" s="73"/>
      <c r="L85" s="73">
        <v>0.3</v>
      </c>
      <c r="M85" s="73"/>
      <c r="N85" s="73">
        <v>0.4</v>
      </c>
      <c r="O85" s="74"/>
      <c r="P85" s="124" t="e">
        <f t="shared" si="31"/>
        <v>#N/A</v>
      </c>
      <c r="Q85" s="24" t="e">
        <v>#N/A</v>
      </c>
      <c r="R85" s="139"/>
      <c r="S85" s="1"/>
      <c r="T85" s="1"/>
      <c r="U85" s="1"/>
    </row>
    <row r="86" spans="1:21" x14ac:dyDescent="0.25">
      <c r="A86" s="100">
        <v>100517915</v>
      </c>
      <c r="B86" s="101" t="s">
        <v>77</v>
      </c>
      <c r="C86" s="97">
        <v>7790360974020</v>
      </c>
      <c r="D86" s="102">
        <v>18</v>
      </c>
      <c r="E86" s="102">
        <v>36</v>
      </c>
      <c r="F86" s="98">
        <v>157593.61209387469</v>
      </c>
      <c r="G86" s="84"/>
      <c r="H86" s="82">
        <f t="shared" si="49"/>
        <v>157593.61209387469</v>
      </c>
      <c r="I86" s="98">
        <f>+H86/E86</f>
        <v>4377.6003359409633</v>
      </c>
      <c r="J86" s="98">
        <f>+I86*J$85</f>
        <v>459.64803527380116</v>
      </c>
      <c r="K86" s="98">
        <f>+I86+J86</f>
        <v>4837.2483712147641</v>
      </c>
      <c r="L86" s="98">
        <f>+K86*L$85</f>
        <v>1451.1745113644292</v>
      </c>
      <c r="M86" s="98">
        <f>+K86+L86</f>
        <v>6288.4228825791934</v>
      </c>
      <c r="N86" s="98">
        <f>+M86*N$85</f>
        <v>2515.3691530316773</v>
      </c>
      <c r="O86" s="99">
        <f>+M86+N86</f>
        <v>8803.7920356108698</v>
      </c>
      <c r="P86" s="124">
        <f t="shared" si="31"/>
        <v>8.0000000000000071E-2</v>
      </c>
      <c r="Q86" s="24">
        <v>145920.01119803212</v>
      </c>
      <c r="R86" s="139"/>
      <c r="S86" s="1"/>
      <c r="T86" s="1"/>
      <c r="U86" s="1"/>
    </row>
    <row r="87" spans="1:21" ht="15.75" thickBot="1" x14ac:dyDescent="0.3">
      <c r="A87" s="91">
        <v>100517914</v>
      </c>
      <c r="B87" s="92" t="s">
        <v>78</v>
      </c>
      <c r="C87" s="93">
        <v>7790360974037</v>
      </c>
      <c r="D87" s="94">
        <v>20</v>
      </c>
      <c r="E87" s="94">
        <v>20</v>
      </c>
      <c r="F87" s="82">
        <v>168785.0284193806</v>
      </c>
      <c r="G87" s="84"/>
      <c r="H87" s="82">
        <f t="shared" si="49"/>
        <v>168785.0284193806</v>
      </c>
      <c r="I87" s="95">
        <f>+H87/E87</f>
        <v>8439.2514209690307</v>
      </c>
      <c r="J87" s="95">
        <f>+I87*J$85</f>
        <v>886.1213992017482</v>
      </c>
      <c r="K87" s="95">
        <f>+I87+J87</f>
        <v>9325.3728201707781</v>
      </c>
      <c r="L87" s="95">
        <f>+K87*L$85</f>
        <v>2797.6118460512334</v>
      </c>
      <c r="M87" s="95">
        <f>+K87+L87</f>
        <v>12122.984666222012</v>
      </c>
      <c r="N87" s="95">
        <f>+M87*N$85</f>
        <v>4849.1938664888048</v>
      </c>
      <c r="O87" s="96">
        <f>+M87+N87</f>
        <v>16972.178532710815</v>
      </c>
      <c r="P87" s="124">
        <f t="shared" si="31"/>
        <v>6.0000000000000053E-2</v>
      </c>
      <c r="Q87" s="24">
        <v>159231.15888620811</v>
      </c>
      <c r="R87" s="139"/>
      <c r="S87" s="1"/>
      <c r="T87" s="1"/>
      <c r="U87" s="1"/>
    </row>
    <row r="88" spans="1:21" x14ac:dyDescent="0.25">
      <c r="A88" s="69"/>
      <c r="B88" s="70"/>
      <c r="C88" s="71"/>
      <c r="D88" s="70"/>
      <c r="E88" s="72"/>
      <c r="F88" s="73" t="e">
        <v>#N/A</v>
      </c>
      <c r="G88" s="117"/>
      <c r="H88" s="73" t="e">
        <f t="shared" si="49"/>
        <v>#N/A</v>
      </c>
      <c r="I88" s="73"/>
      <c r="J88" s="76">
        <v>0.105</v>
      </c>
      <c r="K88" s="76"/>
      <c r="L88" s="76">
        <v>0.3</v>
      </c>
      <c r="M88" s="76"/>
      <c r="N88" s="76">
        <v>0.4</v>
      </c>
      <c r="O88" s="77"/>
      <c r="P88" s="124" t="e">
        <f t="shared" si="31"/>
        <v>#N/A</v>
      </c>
      <c r="Q88" s="24" t="e">
        <v>#N/A</v>
      </c>
      <c r="R88" s="139"/>
      <c r="S88" s="1"/>
      <c r="T88" s="1"/>
      <c r="U88" s="1"/>
    </row>
    <row r="89" spans="1:21" x14ac:dyDescent="0.25">
      <c r="A89" s="26">
        <v>100010689</v>
      </c>
      <c r="B89" s="27" t="s">
        <v>79</v>
      </c>
      <c r="C89" s="20"/>
      <c r="D89" s="21">
        <v>22</v>
      </c>
      <c r="E89" s="22">
        <v>1</v>
      </c>
      <c r="F89" s="23">
        <v>15000</v>
      </c>
      <c r="G89" s="111"/>
      <c r="H89" s="23">
        <f t="shared" si="49"/>
        <v>15000</v>
      </c>
      <c r="I89" s="23">
        <f t="shared" ref="I89:I94" si="51">+H89/E89</f>
        <v>15000</v>
      </c>
      <c r="J89" s="23">
        <f t="shared" ref="J89:J94" si="52">+I89*J$88</f>
        <v>1575</v>
      </c>
      <c r="K89" s="23">
        <f t="shared" ref="K89:K94" si="53">+I89+J89</f>
        <v>16575</v>
      </c>
      <c r="L89" s="23">
        <f t="shared" ref="L89:L94" si="54">+K89*L$88</f>
        <v>4972.5</v>
      </c>
      <c r="M89" s="23">
        <f t="shared" ref="M89:M94" si="55">+K89+L89</f>
        <v>21547.5</v>
      </c>
      <c r="N89" s="23">
        <f t="shared" ref="N89:N94" si="56">+M89*N$88</f>
        <v>8619</v>
      </c>
      <c r="O89" s="24">
        <f t="shared" ref="O89:O94" si="57">+M89+N89</f>
        <v>30166.5</v>
      </c>
      <c r="P89" s="124">
        <f t="shared" si="31"/>
        <v>5.0000000000000044E-2</v>
      </c>
      <c r="Q89" s="24">
        <v>14285.714285714286</v>
      </c>
      <c r="R89" s="139"/>
      <c r="S89" s="1"/>
      <c r="T89" s="1"/>
      <c r="U89" s="1"/>
    </row>
    <row r="90" spans="1:21" x14ac:dyDescent="0.25">
      <c r="A90" s="26">
        <v>100518335</v>
      </c>
      <c r="B90" s="27" t="s">
        <v>80</v>
      </c>
      <c r="C90" s="20"/>
      <c r="D90" s="21">
        <v>22.5</v>
      </c>
      <c r="E90" s="22">
        <v>1</v>
      </c>
      <c r="F90" s="23">
        <v>10714.285714285714</v>
      </c>
      <c r="G90" s="111"/>
      <c r="H90" s="23">
        <f t="shared" si="49"/>
        <v>10714.285714285714</v>
      </c>
      <c r="I90" s="23">
        <f t="shared" si="51"/>
        <v>10714.285714285714</v>
      </c>
      <c r="J90" s="23">
        <f t="shared" si="52"/>
        <v>1125</v>
      </c>
      <c r="K90" s="23">
        <f t="shared" si="53"/>
        <v>11839.285714285714</v>
      </c>
      <c r="L90" s="23">
        <f t="shared" si="54"/>
        <v>3551.7857142857142</v>
      </c>
      <c r="M90" s="23">
        <f t="shared" si="55"/>
        <v>15391.071428571428</v>
      </c>
      <c r="N90" s="23">
        <f t="shared" si="56"/>
        <v>6156.4285714285716</v>
      </c>
      <c r="O90" s="24">
        <f t="shared" si="57"/>
        <v>21547.5</v>
      </c>
      <c r="P90" s="124">
        <f t="shared" si="31"/>
        <v>4.9999999999999822E-2</v>
      </c>
      <c r="Q90" s="24">
        <v>10204.081632653062</v>
      </c>
      <c r="R90" s="139"/>
      <c r="S90" s="1"/>
      <c r="T90" s="1"/>
      <c r="U90" s="1"/>
    </row>
    <row r="91" spans="1:21" x14ac:dyDescent="0.25">
      <c r="A91" s="26">
        <v>100518332</v>
      </c>
      <c r="B91" s="27" t="s">
        <v>81</v>
      </c>
      <c r="C91" s="20"/>
      <c r="D91" s="21">
        <v>21.5</v>
      </c>
      <c r="E91" s="22">
        <v>1</v>
      </c>
      <c r="F91" s="23">
        <v>12321.428571428572</v>
      </c>
      <c r="G91" s="111"/>
      <c r="H91" s="23">
        <f t="shared" si="49"/>
        <v>12321.428571428572</v>
      </c>
      <c r="I91" s="23">
        <f t="shared" si="51"/>
        <v>12321.428571428572</v>
      </c>
      <c r="J91" s="23">
        <f t="shared" si="52"/>
        <v>1293.75</v>
      </c>
      <c r="K91" s="23">
        <f t="shared" si="53"/>
        <v>13615.178571428572</v>
      </c>
      <c r="L91" s="23">
        <f t="shared" si="54"/>
        <v>4084.5535714285716</v>
      </c>
      <c r="M91" s="23">
        <f t="shared" si="55"/>
        <v>17699.732142857145</v>
      </c>
      <c r="N91" s="23">
        <f t="shared" si="56"/>
        <v>7079.8928571428587</v>
      </c>
      <c r="O91" s="24">
        <f t="shared" si="57"/>
        <v>24779.625000000004</v>
      </c>
      <c r="P91" s="124">
        <f t="shared" si="31"/>
        <v>5.0000000000000266E-2</v>
      </c>
      <c r="Q91" s="24">
        <v>11734.693877551019</v>
      </c>
      <c r="R91" s="139"/>
      <c r="S91" s="1"/>
      <c r="T91" s="1"/>
      <c r="U91" s="1"/>
    </row>
    <row r="92" spans="1:21" x14ac:dyDescent="0.25">
      <c r="A92" s="26">
        <v>100518334</v>
      </c>
      <c r="B92" s="27" t="s">
        <v>82</v>
      </c>
      <c r="C92" s="20"/>
      <c r="D92" s="21">
        <v>22.5</v>
      </c>
      <c r="E92" s="22">
        <v>1</v>
      </c>
      <c r="F92" s="23">
        <v>10928.571428571429</v>
      </c>
      <c r="G92" s="111"/>
      <c r="H92" s="23">
        <f t="shared" si="49"/>
        <v>10928.571428571429</v>
      </c>
      <c r="I92" s="23">
        <f t="shared" si="51"/>
        <v>10928.571428571429</v>
      </c>
      <c r="J92" s="23">
        <f t="shared" si="52"/>
        <v>1147.5</v>
      </c>
      <c r="K92" s="23">
        <f t="shared" si="53"/>
        <v>12076.071428571429</v>
      </c>
      <c r="L92" s="23">
        <f t="shared" si="54"/>
        <v>3622.8214285714289</v>
      </c>
      <c r="M92" s="23">
        <f t="shared" si="55"/>
        <v>15698.892857142859</v>
      </c>
      <c r="N92" s="23">
        <f t="shared" si="56"/>
        <v>6279.5571428571438</v>
      </c>
      <c r="O92" s="24">
        <f t="shared" si="57"/>
        <v>21978.450000000004</v>
      </c>
      <c r="P92" s="124">
        <f t="shared" si="31"/>
        <v>5.0000000000000044E-2</v>
      </c>
      <c r="Q92" s="24">
        <v>10408.163265306122</v>
      </c>
      <c r="R92" s="139"/>
      <c r="S92" s="1"/>
      <c r="T92" s="1"/>
      <c r="U92" s="1"/>
    </row>
    <row r="93" spans="1:21" x14ac:dyDescent="0.25">
      <c r="A93" s="26">
        <v>100518227</v>
      </c>
      <c r="B93" s="27" t="s">
        <v>83</v>
      </c>
      <c r="C93" s="20"/>
      <c r="D93" s="21">
        <v>22.5</v>
      </c>
      <c r="E93" s="22">
        <v>1</v>
      </c>
      <c r="F93" s="23">
        <v>12895.714285714286</v>
      </c>
      <c r="G93" s="111"/>
      <c r="H93" s="23">
        <f t="shared" si="49"/>
        <v>12895.714285714286</v>
      </c>
      <c r="I93" s="23">
        <f t="shared" si="51"/>
        <v>12895.714285714286</v>
      </c>
      <c r="J93" s="23">
        <f t="shared" si="52"/>
        <v>1354.05</v>
      </c>
      <c r="K93" s="23">
        <f t="shared" si="53"/>
        <v>14249.764285714286</v>
      </c>
      <c r="L93" s="23">
        <f t="shared" si="54"/>
        <v>4274.9292857142855</v>
      </c>
      <c r="M93" s="23">
        <f t="shared" si="55"/>
        <v>18524.693571428572</v>
      </c>
      <c r="N93" s="23">
        <f t="shared" si="56"/>
        <v>7409.8774285714289</v>
      </c>
      <c r="O93" s="24">
        <f t="shared" si="57"/>
        <v>25934.571</v>
      </c>
      <c r="P93" s="124">
        <f t="shared" si="31"/>
        <v>7.1000000000000174E-2</v>
      </c>
      <c r="Q93" s="24">
        <v>12040.81632653061</v>
      </c>
      <c r="R93" s="139"/>
      <c r="S93" s="1"/>
      <c r="T93" s="1"/>
      <c r="U93" s="1"/>
    </row>
    <row r="94" spans="1:21" hidden="1" x14ac:dyDescent="0.25">
      <c r="A94" s="121">
        <v>100027726</v>
      </c>
      <c r="B94" s="122" t="s">
        <v>98</v>
      </c>
      <c r="C94" s="123"/>
      <c r="D94" s="79">
        <v>22.5</v>
      </c>
      <c r="E94" s="22">
        <v>1</v>
      </c>
      <c r="F94" s="23" t="e">
        <v>#N/A</v>
      </c>
      <c r="G94" s="111"/>
      <c r="H94" s="23" t="e">
        <f t="shared" ref="H94" si="58">+F94*(1-G94)</f>
        <v>#N/A</v>
      </c>
      <c r="I94" s="23" t="e">
        <f t="shared" si="51"/>
        <v>#N/A</v>
      </c>
      <c r="J94" s="23" t="e">
        <f t="shared" si="52"/>
        <v>#N/A</v>
      </c>
      <c r="K94" s="23" t="e">
        <f t="shared" si="53"/>
        <v>#N/A</v>
      </c>
      <c r="L94" s="23" t="e">
        <f t="shared" si="54"/>
        <v>#N/A</v>
      </c>
      <c r="M94" s="23" t="e">
        <f t="shared" si="55"/>
        <v>#N/A</v>
      </c>
      <c r="N94" s="23" t="e">
        <f t="shared" si="56"/>
        <v>#N/A</v>
      </c>
      <c r="O94" s="24" t="e">
        <f t="shared" si="57"/>
        <v>#N/A</v>
      </c>
      <c r="P94" s="124" t="e">
        <f t="shared" si="31"/>
        <v>#N/A</v>
      </c>
      <c r="Q94" s="24">
        <v>6195</v>
      </c>
      <c r="R94" s="139"/>
      <c r="S94" s="1"/>
      <c r="T94" s="1"/>
      <c r="U94" s="1"/>
    </row>
    <row r="95" spans="1:21" x14ac:dyDescent="0.25">
      <c r="A95" s="69"/>
      <c r="B95" s="70"/>
      <c r="C95" s="71"/>
      <c r="D95" s="70"/>
      <c r="E95" s="72"/>
      <c r="F95" s="73" t="e">
        <v>#N/A</v>
      </c>
      <c r="G95" s="117"/>
      <c r="H95" s="73" t="e">
        <f t="shared" si="49"/>
        <v>#N/A</v>
      </c>
      <c r="I95" s="73"/>
      <c r="J95" s="76">
        <v>0.21</v>
      </c>
      <c r="K95" s="76"/>
      <c r="L95" s="76">
        <v>0.3</v>
      </c>
      <c r="M95" s="76"/>
      <c r="N95" s="76">
        <v>0.4</v>
      </c>
      <c r="O95" s="77"/>
      <c r="P95" s="124" t="e">
        <f t="shared" si="31"/>
        <v>#N/A</v>
      </c>
      <c r="Q95" s="24" t="e">
        <v>#N/A</v>
      </c>
      <c r="R95" s="139"/>
      <c r="S95" s="1"/>
      <c r="T95" s="1"/>
      <c r="U95" s="1"/>
    </row>
    <row r="96" spans="1:21" x14ac:dyDescent="0.25">
      <c r="A96" s="78">
        <v>100520837</v>
      </c>
      <c r="B96" s="41" t="s">
        <v>84</v>
      </c>
      <c r="C96" s="42">
        <v>7790360980625</v>
      </c>
      <c r="D96" s="79">
        <v>4.8</v>
      </c>
      <c r="E96" s="22">
        <v>12</v>
      </c>
      <c r="F96" s="23">
        <v>35158.072248503842</v>
      </c>
      <c r="G96" s="111"/>
      <c r="H96" s="23">
        <f t="shared" si="49"/>
        <v>35158.072248503842</v>
      </c>
      <c r="I96" s="23">
        <f>+H96/E96</f>
        <v>2929.839354041987</v>
      </c>
      <c r="J96" s="23">
        <f>+I96*J$95</f>
        <v>615.26626434881723</v>
      </c>
      <c r="K96" s="23">
        <f>+I96+J96</f>
        <v>3545.105618390804</v>
      </c>
      <c r="L96" s="23">
        <f>+K96*L$95</f>
        <v>1063.5316855172412</v>
      </c>
      <c r="M96" s="23">
        <f>+K96+L96</f>
        <v>4608.6373039080454</v>
      </c>
      <c r="N96" s="23">
        <f>+M96*N$95</f>
        <v>1843.4549215632182</v>
      </c>
      <c r="O96" s="24">
        <f>+M96+N96</f>
        <v>6452.0922254712641</v>
      </c>
      <c r="P96" s="124">
        <f t="shared" si="31"/>
        <v>8.1600000000000117E-2</v>
      </c>
      <c r="Q96" s="24">
        <v>32505.614135081214</v>
      </c>
      <c r="R96" s="142"/>
      <c r="S96" s="125"/>
      <c r="T96" s="125"/>
      <c r="U96" s="125"/>
    </row>
    <row r="97" spans="1:21" x14ac:dyDescent="0.25">
      <c r="A97" s="105">
        <v>100522395</v>
      </c>
      <c r="B97" s="106" t="s">
        <v>99</v>
      </c>
      <c r="C97" s="107">
        <v>7790360980625</v>
      </c>
      <c r="D97" s="108">
        <v>4.8</v>
      </c>
      <c r="E97" s="88">
        <v>12</v>
      </c>
      <c r="F97" s="82">
        <v>35861.22675200001</v>
      </c>
      <c r="G97" s="118"/>
      <c r="H97" s="82">
        <f t="shared" ref="H97" si="59">+F97*(1-G97)</f>
        <v>35861.22675200001</v>
      </c>
      <c r="I97" s="82">
        <f>+H97/E97</f>
        <v>2988.4355626666675</v>
      </c>
      <c r="J97" s="82">
        <f>+I97*J$95</f>
        <v>627.57146816000011</v>
      </c>
      <c r="K97" s="82">
        <f>+I97+J97</f>
        <v>3616.0070308266677</v>
      </c>
      <c r="L97" s="82">
        <f>+K97*L$95</f>
        <v>1084.8021092480003</v>
      </c>
      <c r="M97" s="82">
        <f>+K97+L97</f>
        <v>4700.809140074668</v>
      </c>
      <c r="N97" s="82">
        <f>+M97*N$95</f>
        <v>1880.3236560298674</v>
      </c>
      <c r="O97" s="89">
        <f>+M97+N97</f>
        <v>6581.1327961045354</v>
      </c>
      <c r="P97" s="124">
        <f t="shared" si="31"/>
        <v>8.1600000000000339E-2</v>
      </c>
      <c r="Q97" s="24">
        <v>33155.72</v>
      </c>
      <c r="R97" s="143"/>
      <c r="S97" s="125"/>
      <c r="T97" s="125"/>
      <c r="U97" s="125"/>
    </row>
    <row r="98" spans="1:21" x14ac:dyDescent="0.25">
      <c r="A98" s="105">
        <v>100522561</v>
      </c>
      <c r="B98" s="106" t="s">
        <v>107</v>
      </c>
      <c r="C98" s="107"/>
      <c r="D98" s="108">
        <v>16</v>
      </c>
      <c r="E98" s="88">
        <v>8</v>
      </c>
      <c r="F98" s="82">
        <v>7097.5344613333345</v>
      </c>
      <c r="G98" s="118"/>
      <c r="H98" s="82">
        <f t="shared" ref="H98" si="60">+F98*(1-G98)</f>
        <v>7097.5344613333345</v>
      </c>
      <c r="I98" s="82">
        <f>+H98*2</f>
        <v>14195.068922666669</v>
      </c>
      <c r="J98" s="82">
        <f>+I98*J$95</f>
        <v>2980.9644737600006</v>
      </c>
      <c r="K98" s="82">
        <f>+I98+J98</f>
        <v>17176.033396426668</v>
      </c>
      <c r="L98" s="82">
        <f>+K98*L$95</f>
        <v>5152.8100189280003</v>
      </c>
      <c r="M98" s="82">
        <f>+K98+L98</f>
        <v>22328.84341535467</v>
      </c>
      <c r="N98" s="82">
        <f>+M98*N$95</f>
        <v>8931.5373661418689</v>
      </c>
      <c r="O98" s="89">
        <f>+M98+N98</f>
        <v>31260.38078149654</v>
      </c>
      <c r="P98" s="124" t="e">
        <f t="shared" si="31"/>
        <v>#N/A</v>
      </c>
      <c r="Q98" s="24" t="e">
        <v>#N/A</v>
      </c>
      <c r="R98" s="139"/>
      <c r="S98" s="125"/>
      <c r="T98" s="125"/>
      <c r="U98" s="125"/>
    </row>
    <row r="99" spans="1:21" x14ac:dyDescent="0.25">
      <c r="A99" s="69"/>
      <c r="B99" s="70"/>
      <c r="C99" s="71"/>
      <c r="D99" s="70"/>
      <c r="E99" s="72"/>
      <c r="F99" s="73" t="e">
        <v>#N/A</v>
      </c>
      <c r="G99" s="117"/>
      <c r="H99" s="73" t="e">
        <f t="shared" si="49"/>
        <v>#N/A</v>
      </c>
      <c r="I99" s="73"/>
      <c r="J99" s="76">
        <v>0.21</v>
      </c>
      <c r="K99" s="76"/>
      <c r="L99" s="76">
        <v>0.35</v>
      </c>
      <c r="M99" s="76"/>
      <c r="N99" s="76">
        <v>0.45</v>
      </c>
      <c r="O99" s="77"/>
      <c r="P99" s="124" t="e">
        <f t="shared" si="31"/>
        <v>#N/A</v>
      </c>
      <c r="Q99" s="24" t="e">
        <v>#N/A</v>
      </c>
      <c r="R99" s="137"/>
    </row>
    <row r="100" spans="1:21" x14ac:dyDescent="0.25">
      <c r="A100" s="105">
        <v>100520902</v>
      </c>
      <c r="B100" s="106" t="s">
        <v>85</v>
      </c>
      <c r="C100" s="107">
        <v>7790360981042</v>
      </c>
      <c r="D100" s="108">
        <v>9.8000000000000007</v>
      </c>
      <c r="E100" s="88">
        <v>14</v>
      </c>
      <c r="F100" s="82">
        <v>30287.433583483747</v>
      </c>
      <c r="G100" s="104">
        <v>0.125</v>
      </c>
      <c r="H100" s="82">
        <f t="shared" si="49"/>
        <v>26501.50438554828</v>
      </c>
      <c r="I100" s="82">
        <f>+H100/E100</f>
        <v>1892.9645989677342</v>
      </c>
      <c r="J100" s="82">
        <f>+I100*J$99</f>
        <v>397.5225657832242</v>
      </c>
      <c r="K100" s="82">
        <f>+I100+J100</f>
        <v>2290.4871647509585</v>
      </c>
      <c r="L100" s="82">
        <f>+K100*L$99</f>
        <v>801.67050766283546</v>
      </c>
      <c r="M100" s="82">
        <f>+K100+L100</f>
        <v>3092.157672413794</v>
      </c>
      <c r="N100" s="82">
        <f>+M100*N$99</f>
        <v>1391.4709525862074</v>
      </c>
      <c r="O100" s="89">
        <f>+M100+N100</f>
        <v>4483.6286250000012</v>
      </c>
      <c r="P100" s="124">
        <f t="shared" si="31"/>
        <v>3.0000000000000027E-2</v>
      </c>
      <c r="Q100" s="24">
        <v>25729.6159082993</v>
      </c>
      <c r="R100" s="136" t="s">
        <v>121</v>
      </c>
    </row>
    <row r="101" spans="1:21" x14ac:dyDescent="0.25">
      <c r="A101" s="105">
        <v>100522698</v>
      </c>
      <c r="B101" s="106" t="s">
        <v>103</v>
      </c>
      <c r="C101" s="107">
        <v>7790360986511</v>
      </c>
      <c r="D101" s="108">
        <v>14</v>
      </c>
      <c r="E101" s="88">
        <v>7</v>
      </c>
      <c r="F101" s="82">
        <v>38419.724940101121</v>
      </c>
      <c r="G101" s="130"/>
      <c r="H101" s="82">
        <f t="shared" si="49"/>
        <v>38419.724940101121</v>
      </c>
      <c r="I101" s="82">
        <f>+H101/E101</f>
        <v>5488.5321343001606</v>
      </c>
      <c r="J101" s="82">
        <f>+I101*J$99</f>
        <v>1152.5917482030336</v>
      </c>
      <c r="K101" s="82">
        <f>+I101+J101</f>
        <v>6641.1238825031942</v>
      </c>
      <c r="L101" s="82">
        <f>+K101*L$99</f>
        <v>2324.3933588761179</v>
      </c>
      <c r="M101" s="82">
        <f>+K101+L101</f>
        <v>8965.5172413793116</v>
      </c>
      <c r="N101" s="82">
        <f>+M101*N$99</f>
        <v>4034.4827586206902</v>
      </c>
      <c r="O101" s="89">
        <f>+M101+N101</f>
        <v>13000.000000000002</v>
      </c>
      <c r="P101" s="124"/>
      <c r="Q101" s="24" t="e">
        <v>#N/A</v>
      </c>
      <c r="R101" s="136" t="s">
        <v>122</v>
      </c>
    </row>
    <row r="102" spans="1:21" x14ac:dyDescent="0.25">
      <c r="A102" s="69"/>
      <c r="B102" s="70"/>
      <c r="C102" s="71"/>
      <c r="D102" s="70"/>
      <c r="E102" s="72"/>
      <c r="F102" s="73" t="e">
        <v>#N/A</v>
      </c>
      <c r="G102" s="72"/>
      <c r="H102" s="73"/>
      <c r="I102" s="73"/>
      <c r="J102" s="76">
        <v>0.21</v>
      </c>
      <c r="K102" s="76"/>
      <c r="L102" s="76">
        <v>0.35</v>
      </c>
      <c r="M102" s="76"/>
      <c r="N102" s="76">
        <v>0.45</v>
      </c>
      <c r="O102" s="77"/>
      <c r="P102" s="124" t="e">
        <f t="shared" si="31"/>
        <v>#DIV/0!</v>
      </c>
      <c r="Q102" s="24"/>
      <c r="R102" s="137"/>
    </row>
    <row r="103" spans="1:21" x14ac:dyDescent="0.25">
      <c r="A103" s="105">
        <v>100521457</v>
      </c>
      <c r="B103" s="106" t="s">
        <v>88</v>
      </c>
      <c r="C103" s="107">
        <v>7790360982254</v>
      </c>
      <c r="D103" s="108">
        <v>4.8</v>
      </c>
      <c r="E103" s="88">
        <v>16</v>
      </c>
      <c r="F103" s="82">
        <v>33451.150755200913</v>
      </c>
      <c r="G103" s="134"/>
      <c r="H103" s="82">
        <f t="shared" si="49"/>
        <v>33451.150755200913</v>
      </c>
      <c r="I103" s="82">
        <f>+H103/E103</f>
        <v>2090.6969222000571</v>
      </c>
      <c r="J103" s="82">
        <f>+I103*J$102</f>
        <v>439.046353662012</v>
      </c>
      <c r="K103" s="82">
        <f t="shared" ref="K103:K106" si="61">+I103+J103</f>
        <v>2529.7432758620689</v>
      </c>
      <c r="L103" s="82">
        <f>+K103*L$102</f>
        <v>885.4101465517241</v>
      </c>
      <c r="M103" s="82">
        <f t="shared" ref="M103:M106" si="62">+K103+L103</f>
        <v>3415.1534224137931</v>
      </c>
      <c r="N103" s="82">
        <f>+M103*$N$102</f>
        <v>1536.819040086207</v>
      </c>
      <c r="O103" s="89">
        <f t="shared" ref="O103:O106" si="63">+M103+N103</f>
        <v>4951.9724624999999</v>
      </c>
      <c r="P103" s="124">
        <f t="shared" si="31"/>
        <v>0.10108108108108116</v>
      </c>
      <c r="Q103" s="24">
        <v>30380.279281846681</v>
      </c>
      <c r="R103" s="136" t="s">
        <v>117</v>
      </c>
    </row>
    <row r="104" spans="1:21" x14ac:dyDescent="0.25">
      <c r="A104" s="105">
        <v>100521455</v>
      </c>
      <c r="B104" s="106" t="s">
        <v>89</v>
      </c>
      <c r="C104" s="107">
        <v>7790360982247</v>
      </c>
      <c r="D104" s="108">
        <v>4.8</v>
      </c>
      <c r="E104" s="88">
        <v>16</v>
      </c>
      <c r="F104" s="82">
        <v>33451.150755200913</v>
      </c>
      <c r="G104" s="134"/>
      <c r="H104" s="82">
        <f t="shared" si="49"/>
        <v>33451.150755200913</v>
      </c>
      <c r="I104" s="82">
        <f>+H104/E104</f>
        <v>2090.6969222000571</v>
      </c>
      <c r="J104" s="82">
        <f>+I104*J$102</f>
        <v>439.046353662012</v>
      </c>
      <c r="K104" s="82">
        <f t="shared" si="61"/>
        <v>2529.7432758620689</v>
      </c>
      <c r="L104" s="82">
        <f>+K104*L$102</f>
        <v>885.4101465517241</v>
      </c>
      <c r="M104" s="82">
        <f t="shared" si="62"/>
        <v>3415.1534224137931</v>
      </c>
      <c r="N104" s="82">
        <f t="shared" ref="N104:N106" si="64">+M104*$N$102</f>
        <v>1536.819040086207</v>
      </c>
      <c r="O104" s="89">
        <f t="shared" si="63"/>
        <v>4951.9724624999999</v>
      </c>
      <c r="P104" s="124">
        <f t="shared" si="31"/>
        <v>0.10108108108108116</v>
      </c>
      <c r="Q104" s="24">
        <v>30380.279281846681</v>
      </c>
      <c r="R104" s="136" t="s">
        <v>117</v>
      </c>
    </row>
    <row r="105" spans="1:21" x14ac:dyDescent="0.25">
      <c r="A105" s="105">
        <v>100521453</v>
      </c>
      <c r="B105" s="106" t="s">
        <v>90</v>
      </c>
      <c r="C105" s="107">
        <v>7790360982223</v>
      </c>
      <c r="D105" s="108">
        <v>5.4</v>
      </c>
      <c r="E105" s="88">
        <v>18</v>
      </c>
      <c r="F105" s="82">
        <v>32301.267447990893</v>
      </c>
      <c r="G105" s="134"/>
      <c r="H105" s="82">
        <f t="shared" si="49"/>
        <v>32301.267447990893</v>
      </c>
      <c r="I105" s="82">
        <f>+H105/E105</f>
        <v>1794.5148582217162</v>
      </c>
      <c r="J105" s="82">
        <f>+I105*J$102</f>
        <v>376.84812022656035</v>
      </c>
      <c r="K105" s="82">
        <f t="shared" si="61"/>
        <v>2171.3629784482764</v>
      </c>
      <c r="L105" s="82">
        <f>+K105*L$102</f>
        <v>759.9770424568967</v>
      </c>
      <c r="M105" s="82">
        <f t="shared" si="62"/>
        <v>2931.3400209051733</v>
      </c>
      <c r="N105" s="82">
        <f t="shared" si="64"/>
        <v>1319.103009407328</v>
      </c>
      <c r="O105" s="89">
        <f t="shared" si="63"/>
        <v>4250.4430303125009</v>
      </c>
      <c r="P105" s="124">
        <f t="shared" si="31"/>
        <v>8.0108108108108311E-2</v>
      </c>
      <c r="Q105" s="24">
        <v>29905.587418067833</v>
      </c>
      <c r="R105" s="136" t="s">
        <v>118</v>
      </c>
    </row>
    <row r="106" spans="1:21" x14ac:dyDescent="0.25">
      <c r="A106" s="105">
        <v>100521454</v>
      </c>
      <c r="B106" s="106" t="s">
        <v>91</v>
      </c>
      <c r="C106" s="107">
        <v>7790360982230</v>
      </c>
      <c r="D106" s="108">
        <v>5.3999999999999995</v>
      </c>
      <c r="E106" s="88">
        <v>18</v>
      </c>
      <c r="F106" s="82">
        <v>32301.267447990893</v>
      </c>
      <c r="G106" s="134"/>
      <c r="H106" s="82">
        <f t="shared" si="49"/>
        <v>32301.267447990893</v>
      </c>
      <c r="I106" s="82">
        <f>+H106/E106</f>
        <v>1794.5148582217162</v>
      </c>
      <c r="J106" s="82">
        <f>+I106*J$102</f>
        <v>376.84812022656035</v>
      </c>
      <c r="K106" s="82">
        <f t="shared" si="61"/>
        <v>2171.3629784482764</v>
      </c>
      <c r="L106" s="82">
        <f>+K106*L$102</f>
        <v>759.9770424568967</v>
      </c>
      <c r="M106" s="82">
        <f t="shared" si="62"/>
        <v>2931.3400209051733</v>
      </c>
      <c r="N106" s="82">
        <f t="shared" si="64"/>
        <v>1319.103009407328</v>
      </c>
      <c r="O106" s="89">
        <f t="shared" si="63"/>
        <v>4250.4430303125009</v>
      </c>
      <c r="P106" s="124">
        <f t="shared" si="31"/>
        <v>8.0108108108108311E-2</v>
      </c>
      <c r="Q106" s="24">
        <v>29905.587418067833</v>
      </c>
      <c r="R106" s="136" t="s">
        <v>118</v>
      </c>
    </row>
    <row r="107" spans="1:21" x14ac:dyDescent="0.25">
      <c r="A107" s="69"/>
      <c r="B107" s="70"/>
      <c r="C107" s="71"/>
      <c r="D107" s="128"/>
      <c r="E107" s="72"/>
      <c r="F107" s="72"/>
      <c r="G107" s="72"/>
      <c r="H107" s="73"/>
      <c r="I107" s="73"/>
      <c r="J107" s="76">
        <v>0.21</v>
      </c>
      <c r="K107" s="76"/>
      <c r="L107" s="76">
        <v>0.22</v>
      </c>
      <c r="M107" s="76"/>
      <c r="N107" s="76">
        <v>0.35</v>
      </c>
      <c r="O107" s="77"/>
      <c r="Q107" s="3"/>
      <c r="R107" s="139"/>
    </row>
    <row r="108" spans="1:21" x14ac:dyDescent="0.25">
      <c r="A108" s="105">
        <v>100522246</v>
      </c>
      <c r="B108" s="106" t="s">
        <v>101</v>
      </c>
      <c r="C108" s="107">
        <v>7790360984234</v>
      </c>
      <c r="D108" s="108">
        <v>8.16</v>
      </c>
      <c r="E108" s="88">
        <v>48</v>
      </c>
      <c r="F108" s="82">
        <v>106193.37939755226</v>
      </c>
      <c r="G108" s="129"/>
      <c r="H108" s="82">
        <v>106193.37939755226</v>
      </c>
      <c r="I108" s="82">
        <v>2212.3620707823388</v>
      </c>
      <c r="J108" s="82">
        <v>464.59603486429114</v>
      </c>
      <c r="K108" s="82">
        <v>2676.95810564663</v>
      </c>
      <c r="L108" s="82">
        <v>588.9307832422586</v>
      </c>
      <c r="M108" s="82">
        <v>3265.8888888888887</v>
      </c>
      <c r="N108" s="82">
        <v>1143.0611111111109</v>
      </c>
      <c r="O108" s="89">
        <v>4408.95</v>
      </c>
      <c r="P108" s="124">
        <f t="shared" si="31"/>
        <v>0.26315789473684159</v>
      </c>
      <c r="Q108" s="1">
        <v>84069.7586897289</v>
      </c>
      <c r="R108" s="139"/>
    </row>
    <row r="109" spans="1:21" x14ac:dyDescent="0.25">
      <c r="A109" s="105">
        <v>100522247</v>
      </c>
      <c r="B109" s="106" t="s">
        <v>102</v>
      </c>
      <c r="C109" s="107">
        <v>7790360984241</v>
      </c>
      <c r="D109" s="108">
        <v>8.16</v>
      </c>
      <c r="E109" s="88">
        <v>48</v>
      </c>
      <c r="F109" s="82">
        <v>106193.37939755226</v>
      </c>
      <c r="G109" s="129"/>
      <c r="H109" s="82">
        <v>106193.37939755226</v>
      </c>
      <c r="I109" s="82">
        <v>2212.3620707823388</v>
      </c>
      <c r="J109" s="82">
        <v>464.59603486429114</v>
      </c>
      <c r="K109" s="82">
        <v>2676.95810564663</v>
      </c>
      <c r="L109" s="82">
        <v>588.9307832422586</v>
      </c>
      <c r="M109" s="82">
        <v>3265.8888888888887</v>
      </c>
      <c r="N109" s="82">
        <v>1143.0611111111109</v>
      </c>
      <c r="O109" s="89">
        <v>4408.95</v>
      </c>
      <c r="P109" s="124">
        <f t="shared" si="31"/>
        <v>0.26315789473684159</v>
      </c>
      <c r="Q109" s="1">
        <v>84069.7586897289</v>
      </c>
      <c r="R109" s="139"/>
    </row>
    <row r="110" spans="1:21" x14ac:dyDescent="0.25">
      <c r="F110"/>
      <c r="H110"/>
    </row>
  </sheetData>
  <conditionalFormatting sqref="A20:B20">
    <cfRule type="cellIs" dxfId="17" priority="138" stopIfTrue="1" operator="equal">
      <formula>0</formula>
    </cfRule>
  </conditionalFormatting>
  <conditionalFormatting sqref="A63:C63">
    <cfRule type="cellIs" dxfId="16" priority="135" stopIfTrue="1" operator="equal">
      <formula>0</formula>
    </cfRule>
  </conditionalFormatting>
  <conditionalFormatting sqref="A16:E19">
    <cfRule type="cellIs" dxfId="15" priority="136" stopIfTrue="1" operator="equal">
      <formula>0</formula>
    </cfRule>
  </conditionalFormatting>
  <conditionalFormatting sqref="A101:F101 H101:O101">
    <cfRule type="cellIs" dxfId="14" priority="2" stopIfTrue="1" operator="equal">
      <formula>0</formula>
    </cfRule>
  </conditionalFormatting>
  <conditionalFormatting sqref="A103:F106">
    <cfRule type="cellIs" dxfId="13" priority="88" stopIfTrue="1" operator="equal">
      <formula>0</formula>
    </cfRule>
  </conditionalFormatting>
  <conditionalFormatting sqref="A69:O69">
    <cfRule type="cellIs" dxfId="12" priority="72" stopIfTrue="1" operator="equal">
      <formula>0</formula>
    </cfRule>
  </conditionalFormatting>
  <conditionalFormatting sqref="A73:O74">
    <cfRule type="cellIs" dxfId="11" priority="71" stopIfTrue="1" operator="equal">
      <formula>0</formula>
    </cfRule>
  </conditionalFormatting>
  <conditionalFormatting sqref="A96:O98">
    <cfRule type="cellIs" dxfId="10" priority="13" stopIfTrue="1" operator="equal">
      <formula>0</formula>
    </cfRule>
  </conditionalFormatting>
  <conditionalFormatting sqref="A100:O100">
    <cfRule type="cellIs" dxfId="9" priority="73" stopIfTrue="1" operator="equal">
      <formula>0</formula>
    </cfRule>
  </conditionalFormatting>
  <conditionalFormatting sqref="B28">
    <cfRule type="cellIs" dxfId="8" priority="130" stopIfTrue="1" operator="equal">
      <formula>0</formula>
    </cfRule>
  </conditionalFormatting>
  <conditionalFormatting sqref="D20:E20">
    <cfRule type="cellIs" dxfId="7" priority="137" stopIfTrue="1" operator="equal">
      <formula>0</formula>
    </cfRule>
  </conditionalFormatting>
  <conditionalFormatting sqref="D58:F61 I58:O61">
    <cfRule type="cellIs" dxfId="6" priority="133" stopIfTrue="1" operator="equal">
      <formula>0</formula>
    </cfRule>
  </conditionalFormatting>
  <conditionalFormatting sqref="D89:O94">
    <cfRule type="cellIs" dxfId="5" priority="70" stopIfTrue="1" operator="equal">
      <formula>0</formula>
    </cfRule>
  </conditionalFormatting>
  <conditionalFormatting sqref="F16 H16:O16 F17:O20">
    <cfRule type="cellIs" dxfId="4" priority="118" stopIfTrue="1" operator="equal">
      <formula>0</formula>
    </cfRule>
  </conditionalFormatting>
  <conditionalFormatting sqref="F108:H109">
    <cfRule type="cellIs" dxfId="3" priority="1" stopIfTrue="1" operator="equal">
      <formula>0</formula>
    </cfRule>
  </conditionalFormatting>
  <conditionalFormatting sqref="H103:O106">
    <cfRule type="cellIs" dxfId="2" priority="3" stopIfTrue="1" operator="equal">
      <formula>0</formula>
    </cfRule>
  </conditionalFormatting>
  <conditionalFormatting sqref="L37">
    <cfRule type="cellIs" dxfId="1" priority="131" stopIfTrue="1" operator="equal">
      <formula>0</formula>
    </cfRule>
  </conditionalFormatting>
  <conditionalFormatting sqref="R12 R14">
    <cfRule type="cellIs" dxfId="0" priority="53" operator="greater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Litoral</vt:lpstr>
    </vt:vector>
  </TitlesOfParts>
  <Company>Swift Argentina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Rocio Pizarro</dc:creator>
  <cp:lastModifiedBy>Nicolas Gentile</cp:lastModifiedBy>
  <dcterms:created xsi:type="dcterms:W3CDTF">2025-03-05T13:00:54Z</dcterms:created>
  <dcterms:modified xsi:type="dcterms:W3CDTF">2026-03-05T17:53:25Z</dcterms:modified>
</cp:coreProperties>
</file>