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.dallaverde\Downloads\"/>
    </mc:Choice>
  </mc:AlternateContent>
  <xr:revisionPtr revIDLastSave="0" documentId="8_{42914D2B-A74E-43E2-BD27-621CAE36D0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talle" sheetId="1" r:id="rId1"/>
    <sheet name="Hoja3" sheetId="3" r:id="rId2"/>
  </sheets>
  <externalReferences>
    <externalReference r:id="rId3"/>
    <externalReference r:id="rId4"/>
  </externalReferences>
  <definedNames>
    <definedName name="CANAL">#REF!</definedName>
    <definedName name="LIS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16" i="1"/>
  <c r="D18" i="1"/>
  <c r="D19" i="1"/>
  <c r="D20" i="1"/>
  <c r="D21" i="1"/>
  <c r="D22" i="1"/>
  <c r="D23" i="1"/>
  <c r="C13" i="1"/>
</calcChain>
</file>

<file path=xl/sharedStrings.xml><?xml version="1.0" encoding="utf-8"?>
<sst xmlns="http://schemas.openxmlformats.org/spreadsheetml/2006/main" count="64" uniqueCount="34">
  <si>
    <t>SKU</t>
  </si>
  <si>
    <t>DESCUENTO A PRECIO</t>
  </si>
  <si>
    <t>DESCUENTO EN NC</t>
  </si>
  <si>
    <t>PRECIO PÚBLICO APUNTADO</t>
  </si>
  <si>
    <t>PRECIO COMPETENCIA (LÍDER)</t>
  </si>
  <si>
    <t>GAP</t>
  </si>
  <si>
    <t>OBSERVACIONES</t>
  </si>
  <si>
    <t>EL CLIENTE MARGINA CON:</t>
  </si>
  <si>
    <t>CANAL:</t>
  </si>
  <si>
    <t>CLIENTES QUE APLICA:</t>
  </si>
  <si>
    <t xml:space="preserve">MONTO FIJO: </t>
  </si>
  <si>
    <t>PRODUCTO</t>
  </si>
  <si>
    <t>MOTIVO DEL DESCUENTO</t>
  </si>
  <si>
    <t>mayorista</t>
  </si>
  <si>
    <t>PATE DE FOIE 24X90G SWIFT</t>
  </si>
  <si>
    <t xml:space="preserve">PICADILLO DE CARNE 24X90G SWIFT </t>
  </si>
  <si>
    <t>PICADILLO DE CARNE PICANTE 24X90G SWIFT</t>
  </si>
  <si>
    <t>PATE DE FOIE A LA CREMA 24X88G SWIFT</t>
  </si>
  <si>
    <t>JAMON DEL DIABLO 24X88G SWIFT</t>
  </si>
  <si>
    <t>HAMBURGUESAS 30x160g CLASICA x2</t>
  </si>
  <si>
    <t>HAMBURGUESA 18X4X80G CLASICA SWIFT</t>
  </si>
  <si>
    <t>SALCHICHAS 24X6 SWIFT</t>
  </si>
  <si>
    <t>SALCHICHAS SIN PIEL "LA BLANCA"  24X6X190 Grs;</t>
  </si>
  <si>
    <t>PICADILLO DE CARNE 24X90G LA BLANCA</t>
  </si>
  <si>
    <t>PATE DE FOIE 24X90G LA BLANCA</t>
  </si>
  <si>
    <t>posicionamiento precio DX Litoral</t>
  </si>
  <si>
    <t>MUY BARATO</t>
  </si>
  <si>
    <t xml:space="preserve">Referencia Changuito en zona </t>
  </si>
  <si>
    <t>posicionamiento precio subDx litoral con 30% mup Mayorista - 40% minorista. Px salon a consumidor final 45% Mup</t>
  </si>
  <si>
    <t>precios definidos para OCT</t>
  </si>
  <si>
    <t>gourmet</t>
  </si>
  <si>
    <t>Accion BI</t>
  </si>
  <si>
    <t>Px salon</t>
  </si>
  <si>
    <t>25% untables/30%cong/refrig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</si>
</sst>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#,##0.00_ ;\-#,##0.00\ "/>
    <numFmt numFmtId="167" formatCode="_ &quot;$ &quot;* #,##0.00_ ;_ &quot;$ &quot;* \-#,##0.00_ ;_ &quot;$ &quot;* \-??_ ;_ @_ "/>
    <numFmt numFmtId="168" formatCode="_ [$€-2]\ * #,##0.00_ ;_ [$€-2]\ * \-#,##0.00_ ;_ [$€-2]\ * &quot;-&quot;??_ "/>
    <numFmt numFmtId="169" formatCode="#,##0.0"/>
    <numFmt numFmtId="170" formatCode="&quot;$&quot;#,##0\ ;\(&quot;$&quot;#,##0\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Helv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Times New Roman"/>
      <family val="1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36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0"/>
      <name val="Calibri"/>
      <family val="2"/>
    </font>
    <font>
      <i/>
      <sz val="10"/>
      <name val="Arial"/>
      <family val="2"/>
    </font>
    <font>
      <b/>
      <sz val="11"/>
      <color indexed="63"/>
      <name val="Calibri"/>
      <family val="2"/>
    </font>
    <font>
      <sz val="10"/>
      <name val="Univers Condensed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9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1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7" fillId="0" borderId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20" borderId="18" applyNumberFormat="0" applyAlignment="0" applyProtection="0"/>
    <xf numFmtId="0" fontId="11" fillId="20" borderId="18" applyNumberFormat="0" applyAlignment="0" applyProtection="0"/>
    <xf numFmtId="0" fontId="12" fillId="21" borderId="19" applyNumberFormat="0" applyAlignment="0" applyProtection="0"/>
    <xf numFmtId="0" fontId="13" fillId="0" borderId="20" applyNumberFormat="0" applyFill="0" applyAlignment="0" applyProtection="0"/>
    <xf numFmtId="0" fontId="12" fillId="21" borderId="19" applyNumberFormat="0" applyAlignment="0" applyProtection="0"/>
    <xf numFmtId="43" fontId="4" fillId="0" borderId="0" applyFont="0" applyFill="0" applyBorder="0" applyAlignment="0" applyProtection="0"/>
    <xf numFmtId="167" fontId="6" fillId="0" borderId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7" fillId="7" borderId="18" applyNumberFormat="0" applyAlignment="0" applyProtection="0"/>
    <xf numFmtId="0" fontId="18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10" fillId="4" borderId="0" applyNumberFormat="0" applyBorder="0" applyAlignment="0" applyProtection="0"/>
    <xf numFmtId="0" fontId="23" fillId="0" borderId="21" applyNumberFormat="0" applyFill="0" applyAlignment="0" applyProtection="0"/>
    <xf numFmtId="0" fontId="24" fillId="0" borderId="22" applyNumberFormat="0" applyFill="0" applyAlignment="0" applyProtection="0"/>
    <xf numFmtId="0" fontId="16" fillId="0" borderId="23" applyNumberFormat="0" applyFill="0" applyAlignment="0" applyProtection="0"/>
    <xf numFmtId="0" fontId="16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9" fillId="3" borderId="0" applyNumberFormat="0" applyBorder="0" applyAlignment="0" applyProtection="0"/>
    <xf numFmtId="0" fontId="17" fillId="7" borderId="18" applyNumberFormat="0" applyAlignment="0" applyProtection="0"/>
    <xf numFmtId="0" fontId="13" fillId="0" borderId="20" applyNumberFormat="0" applyFill="0" applyAlignment="0" applyProtection="0"/>
    <xf numFmtId="170" fontId="5" fillId="0" borderId="0" applyFont="0" applyFill="0" applyBorder="0" applyAlignment="0" applyProtection="0"/>
    <xf numFmtId="0" fontId="26" fillId="2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23" borderId="24" applyNumberFormat="0" applyFont="0" applyAlignment="0" applyProtection="0"/>
    <xf numFmtId="0" fontId="5" fillId="23" borderId="24" applyNumberFormat="0" applyFont="0" applyAlignment="0" applyProtection="0"/>
    <xf numFmtId="0" fontId="28" fillId="20" borderId="25" applyNumberFormat="0" applyAlignment="0" applyProtection="0"/>
    <xf numFmtId="9" fontId="6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ill="0" applyBorder="0" applyAlignment="0" applyProtection="0"/>
    <xf numFmtId="169" fontId="27" fillId="0" borderId="0" applyFill="0" applyBorder="0" applyAlignment="0" applyProtection="0"/>
    <xf numFmtId="3" fontId="5" fillId="0" borderId="0" applyFont="0" applyFill="0" applyBorder="0" applyAlignment="0" applyProtection="0"/>
    <xf numFmtId="0" fontId="28" fillId="20" borderId="25" applyNumberFormat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3" fillId="0" borderId="21" applyNumberFormat="0" applyFill="0" applyAlignment="0" applyProtection="0"/>
    <xf numFmtId="0" fontId="24" fillId="0" borderId="22" applyNumberFormat="0" applyFill="0" applyAlignment="0" applyProtection="0"/>
    <xf numFmtId="0" fontId="16" fillId="0" borderId="23" applyNumberFormat="0" applyFill="0" applyAlignment="0" applyProtection="0"/>
    <xf numFmtId="0" fontId="32" fillId="0" borderId="26" applyNumberFormat="0" applyFill="0" applyAlignment="0" applyProtection="0"/>
    <xf numFmtId="44" fontId="5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165" fontId="2" fillId="0" borderId="8" xfId="1" applyNumberFormat="1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" xfId="0" applyFont="1" applyBorder="1"/>
    <xf numFmtId="10" fontId="2" fillId="0" borderId="1" xfId="2" applyNumberFormat="1" applyFont="1" applyBorder="1"/>
    <xf numFmtId="164" fontId="2" fillId="0" borderId="1" xfId="1" applyFont="1" applyBorder="1"/>
    <xf numFmtId="0" fontId="2" fillId="0" borderId="14" xfId="0" applyFont="1" applyBorder="1"/>
    <xf numFmtId="0" fontId="2" fillId="0" borderId="16" xfId="0" applyFont="1" applyBorder="1"/>
    <xf numFmtId="166" fontId="2" fillId="0" borderId="1" xfId="1" applyNumberFormat="1" applyFont="1" applyFill="1" applyBorder="1"/>
    <xf numFmtId="9" fontId="2" fillId="0" borderId="17" xfId="2" applyFont="1" applyBorder="1"/>
    <xf numFmtId="9" fontId="2" fillId="0" borderId="0" xfId="2" applyFont="1"/>
    <xf numFmtId="0" fontId="33" fillId="0" borderId="1" xfId="117" applyFont="1" applyBorder="1" applyAlignment="1">
      <alignment horizontal="center"/>
    </xf>
    <xf numFmtId="0" fontId="33" fillId="0" borderId="1" xfId="118" applyFont="1" applyBorder="1" applyAlignment="1">
      <alignment horizontal="center"/>
    </xf>
    <xf numFmtId="0" fontId="3" fillId="0" borderId="16" xfId="0" applyFont="1" applyBorder="1"/>
    <xf numFmtId="1" fontId="1" fillId="0" borderId="1" xfId="119" applyNumberFormat="1" applyFill="1" applyBorder="1" applyAlignment="1" applyProtection="1">
      <protection locked="0"/>
    </xf>
    <xf numFmtId="0" fontId="34" fillId="0" borderId="1" xfId="120" applyNumberFormat="1" applyFont="1" applyFill="1" applyBorder="1" applyAlignment="1" applyProtection="1">
      <protection locked="0"/>
    </xf>
    <xf numFmtId="0" fontId="33" fillId="0" borderId="1" xfId="0" applyFont="1" applyBorder="1" applyAlignment="1">
      <alignment horizontal="center"/>
    </xf>
    <xf numFmtId="0" fontId="35" fillId="0" borderId="1" xfId="0" applyFont="1" applyBorder="1"/>
    <xf numFmtId="4" fontId="35" fillId="0" borderId="1" xfId="0" applyNumberFormat="1" applyFont="1" applyBorder="1"/>
    <xf numFmtId="0" fontId="35" fillId="0" borderId="17" xfId="0" applyFont="1" applyBorder="1"/>
    <xf numFmtId="0" fontId="35" fillId="0" borderId="14" xfId="0" applyFont="1" applyBorder="1"/>
    <xf numFmtId="0" fontId="36" fillId="0" borderId="1" xfId="0" applyFont="1" applyBorder="1"/>
    <xf numFmtId="0" fontId="34" fillId="0" borderId="1" xfId="0" applyFont="1" applyBorder="1"/>
    <xf numFmtId="0" fontId="37" fillId="0" borderId="16" xfId="0" applyFont="1" applyBorder="1"/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121">
    <cellStyle name="          _x000a__x000a_386grabber=VGA.3GR_x000a__x000a_" xfId="4" xr:uid="{00000000-0005-0000-0000-000000000000}"/>
    <cellStyle name="20% - Accent1" xfId="5" xr:uid="{00000000-0005-0000-0000-000001000000}"/>
    <cellStyle name="20% - Accent2" xfId="6" xr:uid="{00000000-0005-0000-0000-000002000000}"/>
    <cellStyle name="20% - Accent3" xfId="7" xr:uid="{00000000-0005-0000-0000-000003000000}"/>
    <cellStyle name="20% - Accent4" xfId="8" xr:uid="{00000000-0005-0000-0000-000004000000}"/>
    <cellStyle name="20% - Accent5" xfId="9" xr:uid="{00000000-0005-0000-0000-000005000000}"/>
    <cellStyle name="20% - Accent6" xfId="10" xr:uid="{00000000-0005-0000-0000-000006000000}"/>
    <cellStyle name="20% - Énfasis1 2" xfId="11" xr:uid="{00000000-0005-0000-0000-000007000000}"/>
    <cellStyle name="20% - Énfasis2 2" xfId="12" xr:uid="{00000000-0005-0000-0000-000008000000}"/>
    <cellStyle name="20% - Énfasis3 2" xfId="13" xr:uid="{00000000-0005-0000-0000-000009000000}"/>
    <cellStyle name="20% - Énfasis4 2" xfId="14" xr:uid="{00000000-0005-0000-0000-00000A000000}"/>
    <cellStyle name="20% - Énfasis5 2" xfId="15" xr:uid="{00000000-0005-0000-0000-00000B000000}"/>
    <cellStyle name="20% - Énfasis6 2" xfId="16" xr:uid="{00000000-0005-0000-0000-00000C000000}"/>
    <cellStyle name="3 - Modelo3" xfId="17" xr:uid="{00000000-0005-0000-0000-00000D000000}"/>
    <cellStyle name="40% - Accent1" xfId="18" xr:uid="{00000000-0005-0000-0000-00000E000000}"/>
    <cellStyle name="40% - Accent2" xfId="19" xr:uid="{00000000-0005-0000-0000-00000F000000}"/>
    <cellStyle name="40% - Accent3" xfId="20" xr:uid="{00000000-0005-0000-0000-000010000000}"/>
    <cellStyle name="40% - Accent4" xfId="21" xr:uid="{00000000-0005-0000-0000-000011000000}"/>
    <cellStyle name="40% - Accent5" xfId="22" xr:uid="{00000000-0005-0000-0000-000012000000}"/>
    <cellStyle name="40% - Accent6" xfId="23" xr:uid="{00000000-0005-0000-0000-000013000000}"/>
    <cellStyle name="40% - Énfasis1 2" xfId="24" xr:uid="{00000000-0005-0000-0000-000014000000}"/>
    <cellStyle name="40% - Énfasis2 2" xfId="25" xr:uid="{00000000-0005-0000-0000-000015000000}"/>
    <cellStyle name="40% - Énfasis3 2" xfId="26" xr:uid="{00000000-0005-0000-0000-000016000000}"/>
    <cellStyle name="40% - Énfasis4 2" xfId="27" xr:uid="{00000000-0005-0000-0000-000017000000}"/>
    <cellStyle name="40% - Énfasis5 2" xfId="28" xr:uid="{00000000-0005-0000-0000-000018000000}"/>
    <cellStyle name="40% - Énfasis6 2" xfId="29" xr:uid="{00000000-0005-0000-0000-000019000000}"/>
    <cellStyle name="60% - Accent1" xfId="30" xr:uid="{00000000-0005-0000-0000-00001A000000}"/>
    <cellStyle name="60% - Accent2" xfId="31" xr:uid="{00000000-0005-0000-0000-00001B000000}"/>
    <cellStyle name="60% - Accent3" xfId="32" xr:uid="{00000000-0005-0000-0000-00001C000000}"/>
    <cellStyle name="60% - Accent4" xfId="33" xr:uid="{00000000-0005-0000-0000-00001D000000}"/>
    <cellStyle name="60% - Accent5" xfId="34" xr:uid="{00000000-0005-0000-0000-00001E000000}"/>
    <cellStyle name="60% - Accent6" xfId="35" xr:uid="{00000000-0005-0000-0000-00001F000000}"/>
    <cellStyle name="60% - Énfasis1 2" xfId="36" xr:uid="{00000000-0005-0000-0000-000020000000}"/>
    <cellStyle name="60% - Énfasis2 2" xfId="37" xr:uid="{00000000-0005-0000-0000-000021000000}"/>
    <cellStyle name="60% - Énfasis3 2" xfId="38" xr:uid="{00000000-0005-0000-0000-000022000000}"/>
    <cellStyle name="60% - Énfasis4 2" xfId="39" xr:uid="{00000000-0005-0000-0000-000023000000}"/>
    <cellStyle name="60% - Énfasis5 2" xfId="40" xr:uid="{00000000-0005-0000-0000-000024000000}"/>
    <cellStyle name="60% - Énfasis6 2" xfId="41" xr:uid="{00000000-0005-0000-0000-000025000000}"/>
    <cellStyle name="Accent1" xfId="42" xr:uid="{00000000-0005-0000-0000-000026000000}"/>
    <cellStyle name="Accent2" xfId="43" xr:uid="{00000000-0005-0000-0000-000027000000}"/>
    <cellStyle name="Accent3" xfId="44" xr:uid="{00000000-0005-0000-0000-000028000000}"/>
    <cellStyle name="Accent4" xfId="45" xr:uid="{00000000-0005-0000-0000-000029000000}"/>
    <cellStyle name="Accent5" xfId="46" xr:uid="{00000000-0005-0000-0000-00002A000000}"/>
    <cellStyle name="Accent6" xfId="47" xr:uid="{00000000-0005-0000-0000-00002B000000}"/>
    <cellStyle name="Bad" xfId="48" xr:uid="{00000000-0005-0000-0000-00002C000000}"/>
    <cellStyle name="Buena 2" xfId="49" xr:uid="{00000000-0005-0000-0000-00002D000000}"/>
    <cellStyle name="Calculation" xfId="50" xr:uid="{00000000-0005-0000-0000-00002E000000}"/>
    <cellStyle name="Cálculo 2" xfId="51" xr:uid="{00000000-0005-0000-0000-00002F000000}"/>
    <cellStyle name="Celda de comprobación 2" xfId="52" xr:uid="{00000000-0005-0000-0000-000030000000}"/>
    <cellStyle name="Celda vinculada 2" xfId="53" xr:uid="{00000000-0005-0000-0000-000031000000}"/>
    <cellStyle name="Check Cell" xfId="54" xr:uid="{00000000-0005-0000-0000-000032000000}"/>
    <cellStyle name="Comma 2" xfId="55" xr:uid="{00000000-0005-0000-0000-000033000000}"/>
    <cellStyle name="Currency 2" xfId="56" xr:uid="{00000000-0005-0000-0000-000034000000}"/>
    <cellStyle name="Encabezado 1 2" xfId="57" xr:uid="{00000000-0005-0000-0000-000035000000}"/>
    <cellStyle name="Encabezado 2" xfId="58" xr:uid="{00000000-0005-0000-0000-000036000000}"/>
    <cellStyle name="Encabezado 4 2" xfId="59" xr:uid="{00000000-0005-0000-0000-000037000000}"/>
    <cellStyle name="Énfasis1 2" xfId="60" xr:uid="{00000000-0005-0000-0000-000038000000}"/>
    <cellStyle name="Énfasis2 2" xfId="61" xr:uid="{00000000-0005-0000-0000-000039000000}"/>
    <cellStyle name="Énfasis3 2" xfId="62" xr:uid="{00000000-0005-0000-0000-00003A000000}"/>
    <cellStyle name="Énfasis4 2" xfId="63" xr:uid="{00000000-0005-0000-0000-00003B000000}"/>
    <cellStyle name="Énfasis5 2" xfId="64" xr:uid="{00000000-0005-0000-0000-00003C000000}"/>
    <cellStyle name="Énfasis6 2" xfId="65" xr:uid="{00000000-0005-0000-0000-00003D000000}"/>
    <cellStyle name="Entrada 2" xfId="66" xr:uid="{00000000-0005-0000-0000-00003E000000}"/>
    <cellStyle name="Estilo 1" xfId="67" xr:uid="{00000000-0005-0000-0000-00003F000000}"/>
    <cellStyle name="Euro" xfId="68" xr:uid="{00000000-0005-0000-0000-000040000000}"/>
    <cellStyle name="Explanatory Text" xfId="69" xr:uid="{00000000-0005-0000-0000-000041000000}"/>
    <cellStyle name="F2" xfId="70" xr:uid="{00000000-0005-0000-0000-000042000000}"/>
    <cellStyle name="F3" xfId="71" xr:uid="{00000000-0005-0000-0000-000043000000}"/>
    <cellStyle name="F4" xfId="72" xr:uid="{00000000-0005-0000-0000-000044000000}"/>
    <cellStyle name="F5" xfId="73" xr:uid="{00000000-0005-0000-0000-000045000000}"/>
    <cellStyle name="F6" xfId="74" xr:uid="{00000000-0005-0000-0000-000046000000}"/>
    <cellStyle name="F7" xfId="75" xr:uid="{00000000-0005-0000-0000-000047000000}"/>
    <cellStyle name="F8" xfId="76" xr:uid="{00000000-0005-0000-0000-000048000000}"/>
    <cellStyle name="Fecha" xfId="77" xr:uid="{00000000-0005-0000-0000-000049000000}"/>
    <cellStyle name="Fijo" xfId="78" xr:uid="{00000000-0005-0000-0000-00004A000000}"/>
    <cellStyle name="Followed Hyperlink" xfId="79" xr:uid="{00000000-0005-0000-0000-00004B000000}"/>
    <cellStyle name="Good" xfId="80" xr:uid="{00000000-0005-0000-0000-00004C000000}"/>
    <cellStyle name="Heading 1" xfId="81" xr:uid="{00000000-0005-0000-0000-00004D000000}"/>
    <cellStyle name="Heading 2" xfId="82" xr:uid="{00000000-0005-0000-0000-00004E000000}"/>
    <cellStyle name="Heading 3" xfId="83" xr:uid="{00000000-0005-0000-0000-00004F000000}"/>
    <cellStyle name="Heading 4" xfId="84" xr:uid="{00000000-0005-0000-0000-000050000000}"/>
    <cellStyle name="Hiperligação_Reporting Package - SWIFT v41" xfId="85" xr:uid="{00000000-0005-0000-0000-000051000000}"/>
    <cellStyle name="Hyperlink" xfId="86" xr:uid="{00000000-0005-0000-0000-000052000000}"/>
    <cellStyle name="Incorrecto 2" xfId="87" xr:uid="{00000000-0005-0000-0000-000053000000}"/>
    <cellStyle name="Input" xfId="88" xr:uid="{00000000-0005-0000-0000-000054000000}"/>
    <cellStyle name="Linked Cell" xfId="89" xr:uid="{00000000-0005-0000-0000-000055000000}"/>
    <cellStyle name="Millares" xfId="119" builtinId="3"/>
    <cellStyle name="Moneda" xfId="1" builtinId="4"/>
    <cellStyle name="Monetario0" xfId="90" xr:uid="{00000000-0005-0000-0000-000058000000}"/>
    <cellStyle name="Neutral 2" xfId="91" xr:uid="{00000000-0005-0000-0000-000059000000}"/>
    <cellStyle name="Normal" xfId="0" builtinId="0"/>
    <cellStyle name="Normal 2" xfId="92" xr:uid="{00000000-0005-0000-0000-00005B000000}"/>
    <cellStyle name="Normal 3" xfId="3" xr:uid="{00000000-0005-0000-0000-00005C000000}"/>
    <cellStyle name="Normal_ARQUITECTURA DE PRECIOS 1 0" xfId="117" xr:uid="{00000000-0005-0000-0000-00005D000000}"/>
    <cellStyle name="Normal_ARQUITECTURA DE PRECIOS 1 0 2" xfId="118" xr:uid="{00000000-0005-0000-0000-00005E000000}"/>
    <cellStyle name="Normal_Grilla ofertas confirmadas SETIEMBRE" xfId="120" xr:uid="{00000000-0005-0000-0000-00005F000000}"/>
    <cellStyle name="Notas 2" xfId="93" xr:uid="{00000000-0005-0000-0000-000060000000}"/>
    <cellStyle name="Note" xfId="94" xr:uid="{00000000-0005-0000-0000-000061000000}"/>
    <cellStyle name="Output" xfId="95" xr:uid="{00000000-0005-0000-0000-000062000000}"/>
    <cellStyle name="Percent 2" xfId="96" xr:uid="{00000000-0005-0000-0000-000063000000}"/>
    <cellStyle name="Percent_~0014188" xfId="97" xr:uid="{00000000-0005-0000-0000-000064000000}"/>
    <cellStyle name="Porcentaje" xfId="2" builtinId="5"/>
    <cellStyle name="Porcentaje 2" xfId="99" xr:uid="{00000000-0005-0000-0000-000066000000}"/>
    <cellStyle name="Porcentaje 3" xfId="98" xr:uid="{00000000-0005-0000-0000-000067000000}"/>
    <cellStyle name="Punto" xfId="100" xr:uid="{00000000-0005-0000-0000-000068000000}"/>
    <cellStyle name="Punto0" xfId="101" xr:uid="{00000000-0005-0000-0000-000069000000}"/>
    <cellStyle name="Salida 2" xfId="102" xr:uid="{00000000-0005-0000-0000-00006A000000}"/>
    <cellStyle name="Separador de milhares_Painel - Swift Argentina v2" xfId="103" xr:uid="{00000000-0005-0000-0000-00006B000000}"/>
    <cellStyle name="Separador de milꚌares_8905-3" xfId="104" xr:uid="{00000000-0005-0000-0000-00006C000000}"/>
    <cellStyle name="Texto de advertencia 2" xfId="105" xr:uid="{00000000-0005-0000-0000-00006D000000}"/>
    <cellStyle name="Texto explicativo 2" xfId="106" xr:uid="{00000000-0005-0000-0000-00006E000000}"/>
    <cellStyle name="Title" xfId="107" xr:uid="{00000000-0005-0000-0000-00006F000000}"/>
    <cellStyle name="Título 1" xfId="109" xr:uid="{00000000-0005-0000-0000-000070000000}"/>
    <cellStyle name="Título 2 2" xfId="110" xr:uid="{00000000-0005-0000-0000-000071000000}"/>
    <cellStyle name="Título 3 2" xfId="111" xr:uid="{00000000-0005-0000-0000-000072000000}"/>
    <cellStyle name="Título 4" xfId="108" xr:uid="{00000000-0005-0000-0000-000073000000}"/>
    <cellStyle name="Total 2" xfId="112" xr:uid="{00000000-0005-0000-0000-000074000000}"/>
    <cellStyle name="Währung" xfId="113" xr:uid="{00000000-0005-0000-0000-000075000000}"/>
    <cellStyle name="Warning Text" xfId="114" xr:uid="{00000000-0005-0000-0000-000076000000}"/>
    <cellStyle name="Обычный_АПРЕЛЬ" xfId="115" xr:uid="{00000000-0005-0000-0000-000077000000}"/>
    <cellStyle name="Финансовый_Лист1" xfId="116" xr:uid="{00000000-0005-0000-0000-000078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bessone-ros\AppData\Local\Microsoft\Windows\INetCache\Content.Outlook\OM8MQ4ZH\Verba%20Muy%20Barato%20OCT%2025.xlsx" TargetMode="External"/><Relationship Id="rId1" Type="http://schemas.openxmlformats.org/officeDocument/2006/relationships/externalLinkPath" Target="/Users/juanbessone-ros/AppData/Local/Microsoft/Windows/INetCache/Content.Outlook/OM8MQ4ZH/Verba%20Muy%20Barato%20OCT%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JBS/Cadenas/L.%20A.%20R/Lista%20de%20precios/2022/Lista%20de%20precios%20Marzo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álisis Acciones Comerciales"/>
      <sheetName val="Resumen B. Even "/>
      <sheetName val="BE actualizar cada mes"/>
      <sheetName val="Listas DUX"/>
      <sheetName val="Contratos"/>
      <sheetName val="Informe De Clientes"/>
      <sheetName val="Hoja1"/>
      <sheetName val="INfo de ventas ultimos 3 meses"/>
      <sheetName val="Hoja3"/>
      <sheetName val="MILLAN2"/>
    </sheetNames>
    <sheetDataSet>
      <sheetData sheetId="0">
        <row r="14">
          <cell r="A14">
            <v>100021632</v>
          </cell>
          <cell r="B14" t="str">
            <v>HAMBURGUESAS 30x160g CLASICA x2</v>
          </cell>
          <cell r="C14">
            <v>60.000000000000014</v>
          </cell>
          <cell r="D14">
            <v>288.00000000000006</v>
          </cell>
          <cell r="E14">
            <v>47376.883575000007</v>
          </cell>
          <cell r="F14">
            <v>0.24199999999999994</v>
          </cell>
        </row>
        <row r="15">
          <cell r="A15">
            <v>100021652</v>
          </cell>
          <cell r="B15" t="str">
            <v>HAMBURGUESA 18X4X80G CLASICA SWIFT</v>
          </cell>
          <cell r="C15">
            <v>23.333333333333336</v>
          </cell>
          <cell r="D15">
            <v>134.4</v>
          </cell>
          <cell r="E15">
            <v>63113.130675000008</v>
          </cell>
          <cell r="F15">
            <v>0.26769999999999999</v>
          </cell>
        </row>
        <row r="16">
          <cell r="A16">
            <v>100021631</v>
          </cell>
          <cell r="B16" t="str">
            <v>HAMBURGUESA 8X12X80G CLASICA SWIFT</v>
          </cell>
          <cell r="C16">
            <v>0</v>
          </cell>
          <cell r="D16" t="str">
            <v/>
          </cell>
          <cell r="E16">
            <v>81339.429149999996</v>
          </cell>
          <cell r="F16">
            <v>0</v>
          </cell>
        </row>
        <row r="17">
          <cell r="A17">
            <v>100021630</v>
          </cell>
          <cell r="B17" t="str">
            <v xml:space="preserve">HAMBURGUESA 6X20X80G CLASICA SWIFT </v>
          </cell>
          <cell r="C17">
            <v>0</v>
          </cell>
          <cell r="D17" t="str">
            <v/>
          </cell>
          <cell r="E17">
            <v>101674.26990000001</v>
          </cell>
          <cell r="F17">
            <v>-1.4312288883587892E-16</v>
          </cell>
        </row>
        <row r="18">
          <cell r="A18">
            <v>100021676</v>
          </cell>
          <cell r="B18" t="str">
            <v xml:space="preserve">HAMBURGUESA 30X250g CLASICA "XL" SWIFT </v>
          </cell>
          <cell r="C18">
            <v>0</v>
          </cell>
          <cell r="D18" t="str">
            <v/>
          </cell>
          <cell r="E18">
            <v>77221.051425000012</v>
          </cell>
          <cell r="F18">
            <v>0</v>
          </cell>
        </row>
        <row r="19">
          <cell r="A19">
            <v>100516008</v>
          </cell>
          <cell r="B19" t="str">
            <v>HAMBURGUESAS 24X240G SWIFT TIPO CASERA</v>
          </cell>
          <cell r="C19">
            <v>0</v>
          </cell>
          <cell r="D19" t="str">
            <v/>
          </cell>
          <cell r="E19">
            <v>64356.464025000008</v>
          </cell>
          <cell r="F19">
            <v>-1.1305713768483297E-16</v>
          </cell>
        </row>
        <row r="20">
          <cell r="A20">
            <v>100520834</v>
          </cell>
          <cell r="B20" t="str">
            <v xml:space="preserve">HAMBURGUESA X-TREMA 36 x 185g </v>
          </cell>
          <cell r="C20">
            <v>0</v>
          </cell>
          <cell r="D20" t="str">
            <v/>
          </cell>
          <cell r="E20">
            <v>62060.452650000007</v>
          </cell>
          <cell r="F20">
            <v>1.172398412112359E-16</v>
          </cell>
        </row>
        <row r="21">
          <cell r="A21">
            <v>100021653</v>
          </cell>
          <cell r="B21" t="str">
            <v>MEDALLON 18X4X80G PARRILLERO SWIFT</v>
          </cell>
          <cell r="C21">
            <v>0</v>
          </cell>
          <cell r="D21" t="str">
            <v/>
          </cell>
          <cell r="E21">
            <v>62588.627325000009</v>
          </cell>
          <cell r="F21">
            <v>0</v>
          </cell>
        </row>
        <row r="22">
          <cell r="A22">
            <v>100021638</v>
          </cell>
          <cell r="B22" t="str">
            <v>MEDALLONES 60X80g "SWIFT BURGER" PARRILLERAS FAMILY</v>
          </cell>
          <cell r="C22">
            <v>2.6666666666666665</v>
          </cell>
          <cell r="D22">
            <v>12.799999999999999</v>
          </cell>
          <cell r="E22">
            <v>52158.337875000005</v>
          </cell>
          <cell r="F22">
            <v>0</v>
          </cell>
        </row>
        <row r="23">
          <cell r="A23">
            <v>100516169</v>
          </cell>
          <cell r="B23" t="str">
            <v>MEDALLONES 18X4X80G SWIFT RECETA ESPECIAL (MEDALLON- ARG)</v>
          </cell>
          <cell r="C23">
            <v>0</v>
          </cell>
          <cell r="D23" t="str">
            <v/>
          </cell>
          <cell r="E23">
            <v>54904.103100000008</v>
          </cell>
          <cell r="F23">
            <v>-1.3252119975316425E-16</v>
          </cell>
        </row>
        <row r="24">
          <cell r="A24">
            <v>100516170</v>
          </cell>
          <cell r="B24" t="str">
            <v>MEDALLONES 30X160 Grs. RECETA ESPECIAL</v>
          </cell>
          <cell r="C24" t="e">
            <v>#N/A</v>
          </cell>
          <cell r="D24" t="e">
            <v>#N/A</v>
          </cell>
          <cell r="E24" t="e">
            <v>#N/A</v>
          </cell>
          <cell r="F24" t="e">
            <v>#N/A</v>
          </cell>
        </row>
        <row r="25">
          <cell r="A25">
            <v>100021503</v>
          </cell>
          <cell r="B25" t="str">
            <v>Medallón CAJITA 12x4 69 grs</v>
          </cell>
          <cell r="C25">
            <v>0</v>
          </cell>
          <cell r="D25" t="str">
            <v/>
          </cell>
          <cell r="E25">
            <v>27967.558500000006</v>
          </cell>
          <cell r="F25">
            <v>0</v>
          </cell>
        </row>
        <row r="26">
          <cell r="A26">
            <v>100516201</v>
          </cell>
          <cell r="B26" t="str">
            <v>MEDALLONES BURGER 8x12un x 69gr</v>
          </cell>
          <cell r="C26">
            <v>0</v>
          </cell>
          <cell r="D26" t="str">
            <v/>
          </cell>
          <cell r="E26">
            <v>48672.883350000004</v>
          </cell>
          <cell r="F26">
            <v>0</v>
          </cell>
        </row>
        <row r="27">
          <cell r="A27">
            <v>100021643</v>
          </cell>
          <cell r="B27" t="str">
            <v>MEDALLON 42X112G DOBLE BURGER SWIFT</v>
          </cell>
          <cell r="C27">
            <v>0</v>
          </cell>
          <cell r="D27" t="str">
            <v/>
          </cell>
          <cell r="E27">
            <v>41954.821650000005</v>
          </cell>
          <cell r="F27">
            <v>0</v>
          </cell>
        </row>
        <row r="28">
          <cell r="A28">
            <v>100516325</v>
          </cell>
          <cell r="B28" t="str">
            <v>MED.DOBLE BURGER x 4 - 21x224g</v>
          </cell>
          <cell r="C28">
            <v>60.999999999999993</v>
          </cell>
          <cell r="D28">
            <v>286.94399999999996</v>
          </cell>
          <cell r="E28">
            <v>34230.993300000002</v>
          </cell>
          <cell r="F28">
            <v>0</v>
          </cell>
        </row>
        <row r="29">
          <cell r="A29">
            <v>100520337</v>
          </cell>
          <cell r="B29" t="str">
            <v>MEDALLON 30x160g MEGA BURGER SWIFT</v>
          </cell>
          <cell r="C29">
            <v>0</v>
          </cell>
          <cell r="D29" t="str">
            <v/>
          </cell>
          <cell r="E29">
            <v>31328.595900000004</v>
          </cell>
          <cell r="F29">
            <v>-1.1612326382912401E-16</v>
          </cell>
        </row>
        <row r="30">
          <cell r="A30">
            <v>100021644</v>
          </cell>
          <cell r="B30" t="str">
            <v>MEDALLON 42X112G LA BLANCA</v>
          </cell>
          <cell r="C30">
            <v>0</v>
          </cell>
          <cell r="D30" t="str">
            <v/>
          </cell>
          <cell r="E30">
            <v>24339.826350000003</v>
          </cell>
          <cell r="F30">
            <v>0</v>
          </cell>
        </row>
        <row r="31">
          <cell r="A31">
            <v>100021677</v>
          </cell>
          <cell r="B31" t="str">
            <v>MEDALLON 12x4X69G LA BLANCA</v>
          </cell>
          <cell r="C31">
            <v>0</v>
          </cell>
          <cell r="D31" t="str">
            <v/>
          </cell>
          <cell r="E31">
            <v>20757.969225000001</v>
          </cell>
          <cell r="F31">
            <v>0</v>
          </cell>
        </row>
        <row r="32">
          <cell r="A32">
            <v>100021575</v>
          </cell>
          <cell r="B32" t="str">
            <v>MEDALLONES 60 X 69 GRS SWIFT BURGUER PARRILLERAS FAMILY</v>
          </cell>
          <cell r="C32">
            <v>0</v>
          </cell>
          <cell r="D32" t="str">
            <v/>
          </cell>
          <cell r="E32">
            <v>42778.12455</v>
          </cell>
          <cell r="F32">
            <v>0</v>
          </cell>
        </row>
        <row r="33">
          <cell r="A33">
            <v>100021514</v>
          </cell>
          <cell r="B33" t="str">
            <v>Medallon   60X69G Carne Vacuna</v>
          </cell>
          <cell r="C33">
            <v>0</v>
          </cell>
          <cell r="D33" t="str">
            <v/>
          </cell>
          <cell r="E33">
            <v>38927.852774999999</v>
          </cell>
          <cell r="F33">
            <v>0</v>
          </cell>
        </row>
        <row r="34">
          <cell r="A34">
            <v>100516208</v>
          </cell>
          <cell r="B34" t="str">
            <v>Medallón Parrilero MC Swift  x60 80 grs</v>
          </cell>
          <cell r="C34">
            <v>0</v>
          </cell>
          <cell r="D34" t="str">
            <v/>
          </cell>
          <cell r="E34">
            <v>45133.748100000004</v>
          </cell>
          <cell r="F34">
            <v>0</v>
          </cell>
        </row>
        <row r="35">
          <cell r="A35">
            <v>100516191</v>
          </cell>
          <cell r="B35" t="str">
            <v xml:space="preserve">MEDALLON 60x80g PROMOFIESTA </v>
          </cell>
          <cell r="C35" t="e">
            <v>#N/A</v>
          </cell>
          <cell r="D35" t="e">
            <v>#N/A</v>
          </cell>
          <cell r="E35" t="e">
            <v>#N/A</v>
          </cell>
          <cell r="F35" t="e">
            <v>#N/A</v>
          </cell>
        </row>
        <row r="36">
          <cell r="A36">
            <v>100021530</v>
          </cell>
          <cell r="B36" t="str">
            <v>MEDALLON 40X109G CARNE VACUNA PARRILLERO SWIFT</v>
          </cell>
          <cell r="C36" t="e">
            <v>#N/A</v>
          </cell>
          <cell r="D36" t="e">
            <v>#N/A</v>
          </cell>
          <cell r="E36" t="e">
            <v>#N/A</v>
          </cell>
          <cell r="F36" t="e">
            <v>#N/A</v>
          </cell>
        </row>
        <row r="37">
          <cell r="A37">
            <v>100518346</v>
          </cell>
          <cell r="B37" t="str">
            <v>MEDALLON 60X109G CARNE VACUNA PARRILLERO SWIFT</v>
          </cell>
          <cell r="C37">
            <v>0</v>
          </cell>
          <cell r="D37" t="str">
            <v/>
          </cell>
          <cell r="E37">
            <v>64509.215400000008</v>
          </cell>
          <cell r="F37">
            <v>0</v>
          </cell>
        </row>
        <row r="38">
          <cell r="A38">
            <v>100516259</v>
          </cell>
          <cell r="B38" t="str">
            <v>MEDALLON GIGANTE 113,5 g</v>
          </cell>
          <cell r="C38">
            <v>0</v>
          </cell>
          <cell r="D38" t="str">
            <v/>
          </cell>
          <cell r="E38">
            <v>149254.33319999999</v>
          </cell>
          <cell r="F38">
            <v>0</v>
          </cell>
        </row>
        <row r="39">
          <cell r="A39">
            <v>100021669</v>
          </cell>
          <cell r="B39" t="str">
            <v>Hamburguesa Dia 18 X 4</v>
          </cell>
          <cell r="C39" t="e">
            <v>#VALUE!</v>
          </cell>
          <cell r="D39" t="e">
            <v>#VALUE!</v>
          </cell>
          <cell r="E39" t="e">
            <v>#VALUE!</v>
          </cell>
          <cell r="F39" t="e">
            <v>#VALUE!</v>
          </cell>
        </row>
        <row r="40">
          <cell r="A40">
            <v>100021670</v>
          </cell>
          <cell r="B40" t="str">
            <v>Hamburguesa Dia 12 X 12</v>
          </cell>
          <cell r="C40" t="e">
            <v>#VALUE!</v>
          </cell>
          <cell r="D40" t="e">
            <v>#VALUE!</v>
          </cell>
          <cell r="E40" t="e">
            <v>#VALUE!</v>
          </cell>
          <cell r="F40" t="e">
            <v>#VALUE!</v>
          </cell>
        </row>
        <row r="41">
          <cell r="A41">
            <v>100021671</v>
          </cell>
          <cell r="B41" t="str">
            <v>Hamburguesa Dia 6 X 20</v>
          </cell>
          <cell r="C41" t="e">
            <v>#VALUE!</v>
          </cell>
          <cell r="D41" t="e">
            <v>#VALUE!</v>
          </cell>
          <cell r="E41" t="e">
            <v>#VALUE!</v>
          </cell>
          <cell r="F41" t="e">
            <v>#VALUE!</v>
          </cell>
        </row>
        <row r="42">
          <cell r="A42">
            <v>100021647</v>
          </cell>
          <cell r="B42" t="str">
            <v>Hamburguesa La Anonima X 4</v>
          </cell>
          <cell r="C42" t="e">
            <v>#VALUE!</v>
          </cell>
          <cell r="D42" t="e">
            <v>#VALUE!</v>
          </cell>
          <cell r="E42" t="e">
            <v>#VALUE!</v>
          </cell>
          <cell r="F42" t="e">
            <v>#VALUE!</v>
          </cell>
        </row>
        <row r="43">
          <cell r="A43">
            <v>100021648</v>
          </cell>
          <cell r="B43" t="str">
            <v>Hamburguesa La Anonima X 12</v>
          </cell>
          <cell r="C43" t="e">
            <v>#VALUE!</v>
          </cell>
          <cell r="D43" t="e">
            <v>#VALUE!</v>
          </cell>
          <cell r="E43" t="e">
            <v>#VALUE!</v>
          </cell>
          <cell r="F43" t="e">
            <v>#VALUE!</v>
          </cell>
        </row>
        <row r="44">
          <cell r="A44">
            <v>100021649</v>
          </cell>
          <cell r="B44" t="str">
            <v>Hamburguesa La Anonima X 20</v>
          </cell>
          <cell r="C44" t="e">
            <v>#VALUE!</v>
          </cell>
          <cell r="D44" t="e">
            <v>#VALUE!</v>
          </cell>
          <cell r="E44" t="e">
            <v>#VALUE!</v>
          </cell>
          <cell r="F44" t="e">
            <v>#VALUE!</v>
          </cell>
        </row>
        <row r="45">
          <cell r="A45">
            <v>100518095</v>
          </cell>
          <cell r="B45" t="str">
            <v>HAMBURGUESA 36 X 185 GR</v>
          </cell>
          <cell r="C45">
            <v>0</v>
          </cell>
          <cell r="D45" t="str">
            <v/>
          </cell>
          <cell r="E45">
            <v>74365.466175000009</v>
          </cell>
          <cell r="F45">
            <v>0</v>
          </cell>
        </row>
        <row r="46">
          <cell r="A46">
            <v>100518223</v>
          </cell>
          <cell r="B46" t="str">
            <v>HAMBURGUESA 30x 106 GR</v>
          </cell>
          <cell r="C46">
            <v>0</v>
          </cell>
          <cell r="D46" t="str">
            <v/>
          </cell>
          <cell r="E46">
            <v>57897.644175000009</v>
          </cell>
          <cell r="F46">
            <v>1.2566932071003258E-16</v>
          </cell>
        </row>
        <row r="47">
          <cell r="A47" t="str">
            <v>Total categoría Salchichas</v>
          </cell>
          <cell r="C47" t="e">
            <v>#N/A</v>
          </cell>
          <cell r="D47" t="e">
            <v>#N/A</v>
          </cell>
          <cell r="F47" t="e">
            <v>#N/A</v>
          </cell>
        </row>
        <row r="48">
          <cell r="A48">
            <v>100022085</v>
          </cell>
          <cell r="B48" t="str">
            <v>SALCHICHAS 24X6 SWIFT</v>
          </cell>
          <cell r="C48">
            <v>92.333333333333343</v>
          </cell>
          <cell r="D48">
            <v>498.6</v>
          </cell>
          <cell r="E48">
            <v>36385.149667011923</v>
          </cell>
          <cell r="F48">
            <v>0.27941992737763222</v>
          </cell>
        </row>
        <row r="49">
          <cell r="A49">
            <v>100022072</v>
          </cell>
          <cell r="B49" t="str">
            <v>SALCHICHAS 12X12 SWIFT</v>
          </cell>
          <cell r="C49">
            <v>0</v>
          </cell>
          <cell r="D49" t="str">
            <v/>
          </cell>
          <cell r="E49">
            <v>32173.685959309743</v>
          </cell>
          <cell r="F49">
            <v>1.4113053836506528E-7</v>
          </cell>
        </row>
        <row r="50">
          <cell r="A50">
            <v>100022039</v>
          </cell>
          <cell r="B50" t="str">
            <v>SALCHICHAS  LARGAS  10 x 12  SWIFT  INSTITUCIONAL</v>
          </cell>
          <cell r="C50">
            <v>0</v>
          </cell>
          <cell r="D50" t="str">
            <v/>
          </cell>
          <cell r="E50">
            <v>59180.585383998739</v>
          </cell>
          <cell r="F50">
            <v>2.912617448207638E-2</v>
          </cell>
        </row>
        <row r="51">
          <cell r="A51">
            <v>100022058</v>
          </cell>
          <cell r="B51" t="str">
            <v>SALCHICHAS SIN PIEL "LA BLANCA"  24X6X190 Grs;</v>
          </cell>
          <cell r="C51">
            <v>173.33333336982454</v>
          </cell>
          <cell r="D51">
            <v>790.4</v>
          </cell>
          <cell r="E51">
            <v>19797.162832046135</v>
          </cell>
          <cell r="F51">
            <v>0.29139013128892904</v>
          </cell>
        </row>
        <row r="52">
          <cell r="A52">
            <v>100518151</v>
          </cell>
          <cell r="B52" t="str">
            <v xml:space="preserve">SALCHICHAS LARGAS 10 x 12 x 870g  </v>
          </cell>
          <cell r="C52" t="e">
            <v>#N/A</v>
          </cell>
          <cell r="D52" t="e">
            <v>#N/A</v>
          </cell>
          <cell r="E52" t="e">
            <v>#N/A</v>
          </cell>
          <cell r="F52" t="e">
            <v>#N/A</v>
          </cell>
        </row>
        <row r="53">
          <cell r="A53">
            <v>100516849</v>
          </cell>
          <cell r="B53" t="str">
            <v>SALCHICHAS SIN PIEL 24X6 "SWIFT KIDS" X 190 g</v>
          </cell>
          <cell r="C53">
            <v>0</v>
          </cell>
          <cell r="D53" t="str">
            <v/>
          </cell>
          <cell r="E53">
            <v>30398.13280308462</v>
          </cell>
          <cell r="F53">
            <v>0</v>
          </cell>
        </row>
        <row r="54">
          <cell r="A54" t="str">
            <v>Total categoría Untables</v>
          </cell>
          <cell r="C54" t="e">
            <v>#N/A</v>
          </cell>
          <cell r="D54" t="e">
            <v>#N/A</v>
          </cell>
          <cell r="F54" t="e">
            <v>#N/A</v>
          </cell>
        </row>
        <row r="55">
          <cell r="A55">
            <v>100021000</v>
          </cell>
          <cell r="B55" t="str">
            <v>PATE DE FOIE 24X90G SWIFT</v>
          </cell>
          <cell r="C55">
            <v>239.99999999999997</v>
          </cell>
          <cell r="D55">
            <v>518.4</v>
          </cell>
          <cell r="E55">
            <v>16897.593339215964</v>
          </cell>
          <cell r="F55">
            <v>0.3437001794705124</v>
          </cell>
        </row>
        <row r="56">
          <cell r="A56">
            <v>100021001</v>
          </cell>
          <cell r="B56" t="str">
            <v xml:space="preserve">PICADILLO DE CARNE 24X90G SWIFT </v>
          </cell>
          <cell r="C56">
            <v>840.00000000000011</v>
          </cell>
          <cell r="D56">
            <v>1814.4000000000003</v>
          </cell>
          <cell r="E56">
            <v>16897.593339215964</v>
          </cell>
          <cell r="F56">
            <v>0.3437001794705124</v>
          </cell>
        </row>
        <row r="57">
          <cell r="A57">
            <v>100021045</v>
          </cell>
          <cell r="B57" t="str">
            <v>PICADILLO DE CARNE PICANTE 24X90G SWIFT</v>
          </cell>
          <cell r="C57">
            <v>20</v>
          </cell>
          <cell r="D57">
            <v>43.2</v>
          </cell>
          <cell r="E57">
            <v>15553.8319398</v>
          </cell>
          <cell r="F57">
            <v>4.779977105073336E-2</v>
          </cell>
        </row>
        <row r="58">
          <cell r="A58">
            <v>100021004</v>
          </cell>
          <cell r="B58" t="str">
            <v>PATE DE FOIE A LA CREMA 24X88G SWIFT</v>
          </cell>
          <cell r="C58">
            <v>20</v>
          </cell>
          <cell r="D58">
            <v>42.24</v>
          </cell>
          <cell r="E58">
            <v>16365.176903185009</v>
          </cell>
          <cell r="F58">
            <v>9.504385962007092E-2</v>
          </cell>
        </row>
        <row r="59">
          <cell r="A59">
            <v>100021006</v>
          </cell>
          <cell r="B59" t="str">
            <v>JAMON DEL DIABLO 24X88G SWIFT</v>
          </cell>
          <cell r="C59">
            <v>20</v>
          </cell>
          <cell r="D59">
            <v>42.24</v>
          </cell>
          <cell r="E59">
            <v>16365.176903185009</v>
          </cell>
          <cell r="F59">
            <v>9.504385962007092E-2</v>
          </cell>
        </row>
        <row r="60">
          <cell r="A60">
            <v>100021007</v>
          </cell>
          <cell r="B60" t="str">
            <v>PATE DE FOIE DE POLLO 24X85G SWIFT</v>
          </cell>
          <cell r="C60">
            <v>20</v>
          </cell>
          <cell r="D60">
            <v>40.799999999999997</v>
          </cell>
          <cell r="E60">
            <v>21933.389595064637</v>
          </cell>
          <cell r="F60">
            <v>0.22419988168260405</v>
          </cell>
        </row>
        <row r="61">
          <cell r="A61">
            <v>100021013</v>
          </cell>
          <cell r="B61" t="str">
            <v>PATE DE FOIE TIPO PROVENZAL 24X85G SWIFT GOURMET</v>
          </cell>
          <cell r="C61">
            <v>20</v>
          </cell>
          <cell r="D61">
            <v>40.799999999999997</v>
          </cell>
          <cell r="E61">
            <v>21933.389595064637</v>
          </cell>
          <cell r="F61">
            <v>0.22419988168260405</v>
          </cell>
        </row>
        <row r="62">
          <cell r="A62">
            <v>100021014</v>
          </cell>
          <cell r="B62" t="str">
            <v>PATE DE FOIE C/PIMIENTA VERDE 24X85G SWIFT GOURMET</v>
          </cell>
          <cell r="C62">
            <v>20</v>
          </cell>
          <cell r="D62">
            <v>40.799999999999997</v>
          </cell>
          <cell r="E62">
            <v>21933.389595064637</v>
          </cell>
          <cell r="F62">
            <v>0.22419988168260405</v>
          </cell>
        </row>
        <row r="63">
          <cell r="A63">
            <v>100021015</v>
          </cell>
          <cell r="B63" t="str">
            <v>PATE DE SALMON 24X85G SWIFT GOURMET</v>
          </cell>
          <cell r="C63">
            <v>20</v>
          </cell>
          <cell r="D63">
            <v>40.799999999999997</v>
          </cell>
          <cell r="E63">
            <v>23500.060280426398</v>
          </cell>
          <cell r="F63">
            <v>0.27594996054934445</v>
          </cell>
        </row>
        <row r="64">
          <cell r="A64">
            <v>100021054</v>
          </cell>
          <cell r="B64" t="str">
            <v xml:space="preserve">PATE JAMON AHUMADO 24X85G </v>
          </cell>
          <cell r="C64">
            <v>20</v>
          </cell>
          <cell r="D64">
            <v>40.799999999999997</v>
          </cell>
          <cell r="E64">
            <v>21933.389595064637</v>
          </cell>
          <cell r="F64">
            <v>0.22419988168260405</v>
          </cell>
        </row>
        <row r="65">
          <cell r="A65">
            <v>100021055</v>
          </cell>
          <cell r="B65" t="str">
            <v>PATE HONGOS 24X85G</v>
          </cell>
          <cell r="C65">
            <v>20</v>
          </cell>
          <cell r="D65">
            <v>40.799999999999997</v>
          </cell>
          <cell r="E65">
            <v>21933.389595064637</v>
          </cell>
          <cell r="F65">
            <v>0.22419988168260405</v>
          </cell>
        </row>
        <row r="66">
          <cell r="A66">
            <v>100517846</v>
          </cell>
          <cell r="B66" t="str">
            <v xml:space="preserve">SURTIDO GOURMET 24X85G SWIFT GOURMET </v>
          </cell>
          <cell r="C66" t="e">
            <v>#N/A</v>
          </cell>
          <cell r="D66" t="e">
            <v>#N/A</v>
          </cell>
          <cell r="E66" t="e">
            <v>#N/A</v>
          </cell>
          <cell r="F66" t="e">
            <v>#N/A</v>
          </cell>
        </row>
        <row r="67">
          <cell r="A67">
            <v>100021008</v>
          </cell>
          <cell r="B67" t="str">
            <v>PICADILLO DE CARNE 24X90G LA BLANCA</v>
          </cell>
          <cell r="C67">
            <v>479.99999999999994</v>
          </cell>
          <cell r="D67">
            <v>1036.8</v>
          </cell>
          <cell r="E67">
            <v>13310.481312968157</v>
          </cell>
          <cell r="F67">
            <v>0.26180006583284315</v>
          </cell>
        </row>
        <row r="68">
          <cell r="A68">
            <v>100021009</v>
          </cell>
          <cell r="B68" t="str">
            <v>PATE DE FOIE 24X90G LA BLANCA</v>
          </cell>
          <cell r="C68">
            <v>239.99999999999997</v>
          </cell>
          <cell r="D68">
            <v>518.4</v>
          </cell>
          <cell r="E68">
            <v>13310.481312968157</v>
          </cell>
          <cell r="F68">
            <v>0.26180006583284315</v>
          </cell>
        </row>
        <row r="69">
          <cell r="A69">
            <v>100021010</v>
          </cell>
          <cell r="B69" t="str">
            <v>PICADILLO DE CARNE 24X90G SAFRA</v>
          </cell>
          <cell r="C69">
            <v>20</v>
          </cell>
          <cell r="D69">
            <v>43.2</v>
          </cell>
          <cell r="E69">
            <v>13310.481312968157</v>
          </cell>
          <cell r="F69">
            <v>4.7619047619047589E-2</v>
          </cell>
        </row>
        <row r="70">
          <cell r="A70">
            <v>100021011</v>
          </cell>
          <cell r="B70" t="str">
            <v>PATE DE FOIE 24X90G SAFRA</v>
          </cell>
          <cell r="C70">
            <v>20</v>
          </cell>
          <cell r="D70">
            <v>43.2</v>
          </cell>
          <cell r="E70">
            <v>13310.481312968157</v>
          </cell>
          <cell r="F70">
            <v>4.7619047619047589E-2</v>
          </cell>
        </row>
        <row r="71">
          <cell r="A71">
            <v>100021133</v>
          </cell>
          <cell r="B71" t="str">
            <v xml:space="preserve">PICADILLO DE CARNE DIA 24X90G </v>
          </cell>
          <cell r="C71">
            <v>0</v>
          </cell>
          <cell r="D71" t="str">
            <v/>
          </cell>
          <cell r="E71" t="str">
            <v/>
          </cell>
        </row>
        <row r="72">
          <cell r="A72">
            <v>100021134</v>
          </cell>
          <cell r="B72" t="str">
            <v xml:space="preserve">PATE  DIA 24X90G </v>
          </cell>
          <cell r="C72">
            <v>0</v>
          </cell>
          <cell r="D72" t="str">
            <v/>
          </cell>
          <cell r="E72" t="str">
            <v/>
          </cell>
        </row>
        <row r="73">
          <cell r="A73">
            <v>100021027</v>
          </cell>
          <cell r="B73" t="str">
            <v>PATE DE FOI  PRIMER PRECIO  -  24 X 90  Grs.</v>
          </cell>
          <cell r="C73">
            <v>0</v>
          </cell>
          <cell r="D73" t="str">
            <v/>
          </cell>
          <cell r="E73" t="str">
            <v/>
          </cell>
        </row>
        <row r="74">
          <cell r="A74">
            <v>100021028</v>
          </cell>
          <cell r="B74" t="str">
            <v>PICADILLO DE CARNE PRIMER PRECIO  -  24 X 90 Grs.</v>
          </cell>
          <cell r="C74">
            <v>0</v>
          </cell>
          <cell r="D74" t="str">
            <v/>
          </cell>
          <cell r="E74" t="str">
            <v/>
          </cell>
        </row>
        <row r="75">
          <cell r="A75" t="str">
            <v>Total categoría Milanesas de Soja</v>
          </cell>
          <cell r="C75">
            <v>0</v>
          </cell>
          <cell r="D75">
            <v>0</v>
          </cell>
          <cell r="F75">
            <v>0</v>
          </cell>
        </row>
        <row r="76">
          <cell r="A76">
            <v>100516214</v>
          </cell>
          <cell r="B76" t="str">
            <v>MILANESAS DE SOJA RELLENAS CON JAMON Y QUESO</v>
          </cell>
          <cell r="C76">
            <v>0</v>
          </cell>
          <cell r="D76" t="str">
            <v/>
          </cell>
          <cell r="E76">
            <v>41984.242829855561</v>
          </cell>
          <cell r="F76">
            <v>0</v>
          </cell>
        </row>
        <row r="77">
          <cell r="A77">
            <v>100516215</v>
          </cell>
          <cell r="B77" t="str">
            <v>MILANESAS DE SOJA RELLENAS CON ESPINACA Y QUESO</v>
          </cell>
          <cell r="C77">
            <v>0</v>
          </cell>
          <cell r="D77" t="str">
            <v/>
          </cell>
          <cell r="E77">
            <v>41984.242829855561</v>
          </cell>
          <cell r="F77">
            <v>0</v>
          </cell>
        </row>
        <row r="78">
          <cell r="A78">
            <v>100516216</v>
          </cell>
          <cell r="B78" t="str">
            <v>MILANESAS DE SOJA RELLENAS CON TOMATE Y QUESO</v>
          </cell>
          <cell r="C78">
            <v>0</v>
          </cell>
          <cell r="D78" t="str">
            <v/>
          </cell>
          <cell r="E78">
            <v>41984.242829855561</v>
          </cell>
          <cell r="F78">
            <v>0</v>
          </cell>
        </row>
        <row r="79">
          <cell r="A79">
            <v>100516217</v>
          </cell>
          <cell r="B79" t="str">
            <v>MILANESAS DE SOJA CLASICAS PREFRITAS</v>
          </cell>
          <cell r="C79">
            <v>0</v>
          </cell>
          <cell r="D79" t="str">
            <v/>
          </cell>
          <cell r="E79">
            <v>29118.866765212355</v>
          </cell>
          <cell r="F79">
            <v>0</v>
          </cell>
        </row>
        <row r="80">
          <cell r="A80">
            <v>100521453</v>
          </cell>
          <cell r="B80" t="str">
            <v>MEDALLÓN A BASE DE CALABAZA Y CHOCLO PREFRITO SUPERCONGELADO</v>
          </cell>
          <cell r="C80">
            <v>0</v>
          </cell>
          <cell r="D80" t="str">
            <v/>
          </cell>
          <cell r="E80">
            <v>37962.972474173563</v>
          </cell>
          <cell r="F80">
            <v>0</v>
          </cell>
        </row>
        <row r="81">
          <cell r="A81">
            <v>100521454</v>
          </cell>
          <cell r="B81" t="str">
            <v>MEDALLÓN A BASE DE ESPINACA CON SOJA PREFRITO SUPERCONGELADO 18x300g</v>
          </cell>
          <cell r="C81">
            <v>0</v>
          </cell>
          <cell r="D81" t="str">
            <v/>
          </cell>
          <cell r="E81">
            <v>37962.972474173563</v>
          </cell>
          <cell r="F81">
            <v>0</v>
          </cell>
        </row>
        <row r="82">
          <cell r="A82">
            <v>100521455</v>
          </cell>
          <cell r="B82" t="str">
            <v>CROQUETA A BASE DE BRÓCOLI Y SOJA PREFRITO SUPERCONGELADO 300g</v>
          </cell>
          <cell r="C82">
            <v>0</v>
          </cell>
          <cell r="D82" t="str">
            <v/>
          </cell>
          <cell r="E82">
            <v>38565.559338842977</v>
          </cell>
          <cell r="F82">
            <v>0</v>
          </cell>
        </row>
        <row r="83">
          <cell r="A83">
            <v>100521457</v>
          </cell>
          <cell r="B83" t="str">
            <v>CROQUETA A BASE DE ESPINACA Y SOJA REBOZADA SUPERCONGELADA 300g</v>
          </cell>
          <cell r="C83">
            <v>0</v>
          </cell>
          <cell r="D83" t="str">
            <v/>
          </cell>
          <cell r="E83">
            <v>38565.559338842977</v>
          </cell>
          <cell r="F83">
            <v>0</v>
          </cell>
        </row>
        <row r="84">
          <cell r="A84" t="str">
            <v>Total categoría Rebozados de Carne</v>
          </cell>
          <cell r="C84" t="e">
            <v>#N/A</v>
          </cell>
          <cell r="D84" t="e">
            <v>#N/A</v>
          </cell>
          <cell r="F84" t="e">
            <v>#N/A</v>
          </cell>
        </row>
        <row r="85">
          <cell r="A85">
            <v>100021704</v>
          </cell>
          <cell r="B85" t="str">
            <v>BOCADITOS DE CARNE "SWIFT" - 12x380g</v>
          </cell>
          <cell r="C85">
            <v>0</v>
          </cell>
          <cell r="D85" t="str">
            <v/>
          </cell>
          <cell r="E85">
            <v>44236.925813211878</v>
          </cell>
          <cell r="F85">
            <v>0</v>
          </cell>
        </row>
        <row r="86">
          <cell r="A86">
            <v>100021705</v>
          </cell>
          <cell r="B86" t="str">
            <v>BOCADITOS DE POLLO "SWIFT" - 12x380g</v>
          </cell>
          <cell r="C86">
            <v>0</v>
          </cell>
          <cell r="D86" t="str">
            <v/>
          </cell>
          <cell r="E86">
            <v>40212.403432870815</v>
          </cell>
          <cell r="F86">
            <v>0</v>
          </cell>
        </row>
        <row r="87">
          <cell r="A87">
            <v>100021707</v>
          </cell>
          <cell r="B87" t="str">
            <v>BOCADITOS DE CARNE "SWIFT" - 10x760g</v>
          </cell>
          <cell r="C87" t="e">
            <v>#N/A</v>
          </cell>
          <cell r="D87" t="e">
            <v>#N/A</v>
          </cell>
          <cell r="E87" t="e">
            <v>#N/A</v>
          </cell>
          <cell r="F87" t="e">
            <v>#N/A</v>
          </cell>
        </row>
        <row r="88">
          <cell r="A88">
            <v>100021709</v>
          </cell>
          <cell r="B88" t="str">
            <v>BOCADITOS DE POLLO "SWIFT" - 10x760g</v>
          </cell>
          <cell r="C88">
            <v>0</v>
          </cell>
          <cell r="D88" t="str">
            <v/>
          </cell>
          <cell r="E88">
            <v>64526.857891656087</v>
          </cell>
          <cell r="F88">
            <v>0</v>
          </cell>
        </row>
        <row r="89">
          <cell r="A89">
            <v>100521357</v>
          </cell>
          <cell r="B89" t="str">
            <v>CRUNCHIES DE POLLO "SWIFT" - 12x380g</v>
          </cell>
          <cell r="C89">
            <v>0</v>
          </cell>
          <cell r="D89" t="str">
            <v/>
          </cell>
          <cell r="E89">
            <v>45186.082415999997</v>
          </cell>
          <cell r="F89">
            <v>0</v>
          </cell>
        </row>
        <row r="90">
          <cell r="A90">
            <v>100521358</v>
          </cell>
          <cell r="B90" t="str">
            <v>CRUNCHIES DE POLLO "SWIFT" - 10x760g</v>
          </cell>
          <cell r="C90">
            <v>0</v>
          </cell>
          <cell r="D90" t="str">
            <v/>
          </cell>
          <cell r="E90">
            <v>67779.123624</v>
          </cell>
          <cell r="F90">
            <v>1</v>
          </cell>
        </row>
        <row r="91">
          <cell r="A91">
            <v>100522130</v>
          </cell>
          <cell r="B91" t="str">
            <v>BOCADITOS DE POLLO "SWIFT KIDS" - 12x400g</v>
          </cell>
          <cell r="C91">
            <v>0</v>
          </cell>
          <cell r="D91" t="str">
            <v/>
          </cell>
          <cell r="E91">
            <v>32548.198572000001</v>
          </cell>
          <cell r="F91">
            <v>1.1177204781530767E-16</v>
          </cell>
        </row>
        <row r="92">
          <cell r="A92">
            <v>100517055</v>
          </cell>
          <cell r="B92" t="str">
            <v>PALITO DE POLLO "SWIFT"  12 X 260 Grs.</v>
          </cell>
          <cell r="C92">
            <v>0</v>
          </cell>
          <cell r="D92" t="str">
            <v/>
          </cell>
          <cell r="E92">
            <v>33308.036483528449</v>
          </cell>
          <cell r="F92">
            <v>0</v>
          </cell>
        </row>
        <row r="93">
          <cell r="A93">
            <v>100517186</v>
          </cell>
          <cell r="B93" t="str">
            <v>PALITO DE POLLO "SWIFT"  8 X 1 Kg..</v>
          </cell>
          <cell r="C93">
            <v>0</v>
          </cell>
          <cell r="D93" t="str">
            <v/>
          </cell>
          <cell r="E93">
            <v>84163.698903366123</v>
          </cell>
          <cell r="F93">
            <v>0</v>
          </cell>
        </row>
        <row r="94">
          <cell r="A94">
            <v>100521663</v>
          </cell>
          <cell r="B94" t="str">
            <v>MILANESITAS DE CARNE "SWIFT" - 12x400g</v>
          </cell>
          <cell r="C94">
            <v>0</v>
          </cell>
          <cell r="D94" t="str">
            <v/>
          </cell>
          <cell r="E94">
            <v>45907.716937500008</v>
          </cell>
          <cell r="F94">
            <v>0</v>
          </cell>
        </row>
        <row r="95">
          <cell r="A95">
            <v>100021728</v>
          </cell>
          <cell r="B95" t="str">
            <v>MEDALLONES DE POLLO "SWIFT" - 12x4x80g</v>
          </cell>
          <cell r="C95">
            <v>0</v>
          </cell>
          <cell r="D95" t="str">
            <v/>
          </cell>
          <cell r="E95">
            <v>41869.627936751727</v>
          </cell>
          <cell r="F95">
            <v>0</v>
          </cell>
        </row>
        <row r="96">
          <cell r="A96">
            <v>100517679</v>
          </cell>
          <cell r="B96" t="str">
            <v>MEDALLONES DE POLLO GASTRONOMICOS - 8x12x80g</v>
          </cell>
          <cell r="C96">
            <v>0</v>
          </cell>
          <cell r="D96" t="str">
            <v/>
          </cell>
          <cell r="E96">
            <v>42058.234794831267</v>
          </cell>
          <cell r="F96">
            <v>0</v>
          </cell>
        </row>
        <row r="97">
          <cell r="A97">
            <v>100021725</v>
          </cell>
          <cell r="B97" t="str">
            <v>BOCADITOS DE POLLO GASTRONOMICOS "LA BLANCA" - x6kg</v>
          </cell>
          <cell r="C97">
            <v>0</v>
          </cell>
          <cell r="D97" t="str">
            <v/>
          </cell>
          <cell r="E97">
            <v>33352.798960023727</v>
          </cell>
          <cell r="F97">
            <v>0</v>
          </cell>
        </row>
        <row r="98">
          <cell r="A98" t="str">
            <v>Total categoría Milanesas</v>
          </cell>
          <cell r="C98">
            <v>0</v>
          </cell>
          <cell r="D98">
            <v>0</v>
          </cell>
          <cell r="F98">
            <v>0</v>
          </cell>
        </row>
        <row r="99">
          <cell r="A99">
            <v>100518158</v>
          </cell>
          <cell r="B99" t="str">
            <v>Milanesa de Carne Vacuna  Cong. 24x500Grs.</v>
          </cell>
          <cell r="C99">
            <v>0</v>
          </cell>
          <cell r="D99" t="str">
            <v/>
          </cell>
          <cell r="E99">
            <v>84414.600550964198</v>
          </cell>
          <cell r="F99">
            <v>1.7238623571500912E-16</v>
          </cell>
        </row>
        <row r="100">
          <cell r="A100">
            <v>100518160</v>
          </cell>
          <cell r="B100" t="str">
            <v>Milanesa de Carne Vacuna  Cong. 12x1 Kg.</v>
          </cell>
          <cell r="C100">
            <v>0</v>
          </cell>
          <cell r="D100" t="str">
            <v/>
          </cell>
          <cell r="E100">
            <v>84414.600550964198</v>
          </cell>
          <cell r="F100">
            <v>1.7238623571500912E-16</v>
          </cell>
        </row>
        <row r="101">
          <cell r="A101">
            <v>100518463</v>
          </cell>
          <cell r="B101" t="str">
            <v>Milanesa de Carne Vacuna  Cong. X 5 Kg.</v>
          </cell>
          <cell r="C101">
            <v>0</v>
          </cell>
          <cell r="D101" t="str">
            <v/>
          </cell>
          <cell r="E101">
            <v>41113.1380078125</v>
          </cell>
          <cell r="F101">
            <v>0</v>
          </cell>
        </row>
        <row r="102">
          <cell r="A102" t="str">
            <v>Total categoría Grasa</v>
          </cell>
          <cell r="C102">
            <v>0</v>
          </cell>
          <cell r="D102">
            <v>0</v>
          </cell>
          <cell r="F102">
            <v>0</v>
          </cell>
        </row>
        <row r="103">
          <cell r="A103">
            <v>100518291</v>
          </cell>
          <cell r="B103" t="str">
            <v>GRASA VACUNA REFINADA SWIFT 10 X 500</v>
          </cell>
          <cell r="C103">
            <v>0</v>
          </cell>
          <cell r="D103" t="str">
            <v/>
          </cell>
          <cell r="E103">
            <v>16938.845366517839</v>
          </cell>
          <cell r="F103">
            <v>0</v>
          </cell>
        </row>
        <row r="104">
          <cell r="A104">
            <v>100518292</v>
          </cell>
          <cell r="B104" t="str">
            <v>GRASA VACUNA REFINADA SWIFT 12x1Kg</v>
          </cell>
          <cell r="C104">
            <v>0</v>
          </cell>
          <cell r="D104" t="str">
            <v/>
          </cell>
          <cell r="E104">
            <v>39969.635297996261</v>
          </cell>
          <cell r="F104">
            <v>0</v>
          </cell>
        </row>
        <row r="105">
          <cell r="A105" t="str">
            <v>Total categoría Carne Picada</v>
          </cell>
          <cell r="C105">
            <v>0</v>
          </cell>
          <cell r="D105">
            <v>0</v>
          </cell>
          <cell r="F105">
            <v>0</v>
          </cell>
        </row>
        <row r="106">
          <cell r="A106">
            <v>100517914</v>
          </cell>
          <cell r="B106" t="str">
            <v>CARNE PICADA CONGELADA 20 X 1 Kg. SW</v>
          </cell>
          <cell r="C106">
            <v>0</v>
          </cell>
          <cell r="D106" t="str">
            <v/>
          </cell>
          <cell r="E106">
            <v>157541.42750325002</v>
          </cell>
          <cell r="F106">
            <v>0</v>
          </cell>
        </row>
        <row r="107">
          <cell r="A107">
            <v>100517915</v>
          </cell>
          <cell r="B107" t="str">
            <v>CARNE PICADA CONGELADA 36 UN x 500 g SWIFT</v>
          </cell>
          <cell r="C107">
            <v>0</v>
          </cell>
          <cell r="D107" t="str">
            <v/>
          </cell>
          <cell r="E107">
            <v>144371.54535300002</v>
          </cell>
          <cell r="F107">
            <v>-2.0158979655978955E-16</v>
          </cell>
        </row>
        <row r="108">
          <cell r="A108" t="str">
            <v>Total categoría Chorizos</v>
          </cell>
          <cell r="C108">
            <v>0</v>
          </cell>
          <cell r="D108">
            <v>0</v>
          </cell>
          <cell r="F108">
            <v>0</v>
          </cell>
        </row>
        <row r="109">
          <cell r="A109">
            <v>100520837</v>
          </cell>
          <cell r="B109" t="str">
            <v>CHORIZOS FRESCOS DE CERDO LIBRE DE GLUTEN</v>
          </cell>
          <cell r="C109">
            <v>0</v>
          </cell>
          <cell r="D109" t="str">
            <v/>
          </cell>
          <cell r="E109">
            <v>41005.832231404966</v>
          </cell>
          <cell r="F109">
            <v>0</v>
          </cell>
        </row>
        <row r="110">
          <cell r="A110" t="str">
            <v>Total categoría Papas</v>
          </cell>
          <cell r="C110">
            <v>0</v>
          </cell>
          <cell r="D110">
            <v>0</v>
          </cell>
          <cell r="F110">
            <v>0</v>
          </cell>
        </row>
        <row r="111">
          <cell r="A111">
            <v>100520902</v>
          </cell>
          <cell r="B111" t="str">
            <v>PAPAS PRE COCIDAS SUPERCONGELADAS LIBRES DE GLUTEN 700g</v>
          </cell>
          <cell r="C111">
            <v>0</v>
          </cell>
          <cell r="D111" t="str">
            <v/>
          </cell>
          <cell r="E111">
            <v>35224.455000000002</v>
          </cell>
          <cell r="F11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TABLES"/>
      <sheetName val="FRESCOS y CONGELADOS"/>
    </sheetNames>
    <sheetDataSet>
      <sheetData sheetId="0" refreshError="1"/>
      <sheetData sheetId="1" refreshError="1">
        <row r="5">
          <cell r="C5">
            <v>100021632</v>
          </cell>
          <cell r="D5">
            <v>30</v>
          </cell>
          <cell r="E5">
            <v>12</v>
          </cell>
          <cell r="F5">
            <v>8</v>
          </cell>
          <cell r="G5">
            <v>96</v>
          </cell>
          <cell r="H5">
            <v>4.8</v>
          </cell>
          <cell r="I5" t="str">
            <v>HAMBURGUESAS 30x160g CLASICA SWIFT</v>
          </cell>
        </row>
        <row r="6">
          <cell r="C6">
            <v>100021652</v>
          </cell>
          <cell r="D6">
            <v>18</v>
          </cell>
          <cell r="E6">
            <v>16</v>
          </cell>
          <cell r="F6">
            <v>9</v>
          </cell>
          <cell r="G6">
            <v>144</v>
          </cell>
          <cell r="H6">
            <v>5.76</v>
          </cell>
          <cell r="I6" t="str">
            <v>HAMBURGUESA 18X4X80G CLASICA SWIFT</v>
          </cell>
        </row>
        <row r="7">
          <cell r="C7">
            <v>100021631</v>
          </cell>
          <cell r="D7">
            <v>8</v>
          </cell>
          <cell r="E7">
            <v>10</v>
          </cell>
          <cell r="F7">
            <v>6</v>
          </cell>
          <cell r="G7">
            <v>60</v>
          </cell>
          <cell r="H7">
            <v>7.68</v>
          </cell>
          <cell r="I7" t="str">
            <v>HAMBURGUESA 8X12X80G CLASICA SWIFT</v>
          </cell>
        </row>
        <row r="8">
          <cell r="C8">
            <v>100021630</v>
          </cell>
          <cell r="D8">
            <v>6</v>
          </cell>
          <cell r="E8">
            <v>10</v>
          </cell>
          <cell r="F8">
            <v>4</v>
          </cell>
          <cell r="G8">
            <v>40</v>
          </cell>
          <cell r="H8">
            <v>9.6</v>
          </cell>
          <cell r="I8" t="str">
            <v xml:space="preserve">HAMBURGUESA 6X20X80G CLASICA SWIFT </v>
          </cell>
        </row>
        <row r="9">
          <cell r="C9">
            <v>100021676</v>
          </cell>
          <cell r="D9">
            <v>30</v>
          </cell>
          <cell r="E9">
            <v>11</v>
          </cell>
          <cell r="F9">
            <v>10</v>
          </cell>
          <cell r="G9">
            <v>110</v>
          </cell>
          <cell r="H9">
            <v>7.5</v>
          </cell>
          <cell r="I9" t="str">
            <v xml:space="preserve">HAMBURGUESA 30X250g CLASICA "XL" SWIFT </v>
          </cell>
        </row>
        <row r="10">
          <cell r="C10">
            <v>100021653</v>
          </cell>
          <cell r="D10">
            <v>18</v>
          </cell>
          <cell r="E10">
            <v>16</v>
          </cell>
          <cell r="F10">
            <v>9</v>
          </cell>
          <cell r="G10">
            <v>144</v>
          </cell>
          <cell r="H10">
            <v>5.76</v>
          </cell>
          <cell r="I10" t="str">
            <v>MEDALLON 18X4X80G PARRILLERO SWIFT</v>
          </cell>
        </row>
        <row r="11">
          <cell r="C11">
            <v>100516169</v>
          </cell>
          <cell r="D11">
            <v>18</v>
          </cell>
          <cell r="E11">
            <v>16</v>
          </cell>
          <cell r="F11">
            <v>9</v>
          </cell>
          <cell r="G11">
            <v>144</v>
          </cell>
          <cell r="H11">
            <v>5.76</v>
          </cell>
          <cell r="I11" t="str">
            <v>MEDALLONES 12X4X80G SWIFT RECETA ESPECIAL</v>
          </cell>
        </row>
        <row r="12">
          <cell r="C12">
            <v>100516170</v>
          </cell>
          <cell r="D12">
            <v>30</v>
          </cell>
          <cell r="E12">
            <v>12</v>
          </cell>
          <cell r="F12">
            <v>8</v>
          </cell>
          <cell r="G12">
            <v>96</v>
          </cell>
          <cell r="H12">
            <v>4.9800000000000004</v>
          </cell>
          <cell r="I12" t="str">
            <v>MEDALLONES 30x160g SWIFT RECETA ESPECIAL</v>
          </cell>
        </row>
        <row r="13">
          <cell r="C13">
            <v>100516008</v>
          </cell>
          <cell r="D13">
            <v>24</v>
          </cell>
          <cell r="E13">
            <v>11</v>
          </cell>
          <cell r="F13">
            <v>10</v>
          </cell>
          <cell r="G13">
            <v>110</v>
          </cell>
          <cell r="H13">
            <v>5.76</v>
          </cell>
          <cell r="I13" t="str">
            <v>HAMBURGUESA 24X2X120g CASERA SWIFT</v>
          </cell>
        </row>
        <row r="14">
          <cell r="C14">
            <v>100021680</v>
          </cell>
          <cell r="D14">
            <v>18</v>
          </cell>
          <cell r="E14">
            <v>14</v>
          </cell>
          <cell r="F14">
            <v>9</v>
          </cell>
          <cell r="G14">
            <v>126</v>
          </cell>
          <cell r="H14">
            <v>2.6880000000000002</v>
          </cell>
          <cell r="I14" t="str">
            <v>HAMBURGUESAS 18X2X120g CABAÑA LAS LILAS</v>
          </cell>
        </row>
        <row r="15">
          <cell r="C15">
            <v>100021503</v>
          </cell>
          <cell r="D15">
            <v>12</v>
          </cell>
          <cell r="E15">
            <v>17</v>
          </cell>
          <cell r="F15">
            <v>7</v>
          </cell>
          <cell r="G15">
            <v>119</v>
          </cell>
          <cell r="H15">
            <v>3.3119999999999998</v>
          </cell>
          <cell r="I15" t="str">
            <v>Hamburguesas CAJITA 12x4 69 grs</v>
          </cell>
        </row>
        <row r="16">
          <cell r="C16">
            <v>100021643</v>
          </cell>
          <cell r="D16">
            <v>42</v>
          </cell>
          <cell r="E16">
            <v>16</v>
          </cell>
          <cell r="F16">
            <v>8</v>
          </cell>
          <cell r="G16">
            <v>128</v>
          </cell>
          <cell r="H16">
            <v>4.7039999999999997</v>
          </cell>
          <cell r="I16" t="str">
            <v>MEDALLON 42X112G DOBLE BURGER SWIFT</v>
          </cell>
        </row>
        <row r="17">
          <cell r="C17">
            <v>100516325</v>
          </cell>
          <cell r="D17">
            <v>21</v>
          </cell>
          <cell r="E17">
            <v>16</v>
          </cell>
          <cell r="F17">
            <v>9</v>
          </cell>
          <cell r="G17">
            <v>144</v>
          </cell>
          <cell r="H17">
            <v>4.7039999999999997</v>
          </cell>
          <cell r="I17" t="str">
            <v>MEDALLON DOBLE BURGER 2X2</v>
          </cell>
        </row>
        <row r="18">
          <cell r="C18">
            <v>100021644</v>
          </cell>
          <cell r="D18">
            <v>42</v>
          </cell>
          <cell r="E18">
            <v>16</v>
          </cell>
          <cell r="F18">
            <v>8</v>
          </cell>
          <cell r="G18">
            <v>128</v>
          </cell>
          <cell r="H18">
            <v>4.7039999999999997</v>
          </cell>
          <cell r="I18" t="str">
            <v>MEDALLON 42X112G LA BLANCA</v>
          </cell>
        </row>
        <row r="19">
          <cell r="C19">
            <v>21575</v>
          </cell>
          <cell r="D19">
            <v>30</v>
          </cell>
          <cell r="E19">
            <v>16</v>
          </cell>
          <cell r="F19">
            <v>8</v>
          </cell>
          <cell r="G19">
            <v>128</v>
          </cell>
          <cell r="H19">
            <v>4.1399999999999997</v>
          </cell>
          <cell r="I19" t="str">
            <v>MEDALLONES 60 X 69 GRS SWIFT BURGUER PARRILLERAS FAMILY</v>
          </cell>
        </row>
        <row r="20">
          <cell r="C20">
            <v>21638</v>
          </cell>
          <cell r="D20">
            <v>30</v>
          </cell>
          <cell r="E20">
            <v>12</v>
          </cell>
          <cell r="F20">
            <v>8</v>
          </cell>
          <cell r="G20">
            <v>96</v>
          </cell>
          <cell r="H20">
            <v>4.9800000000000004</v>
          </cell>
          <cell r="I20" t="str">
            <v>MEDALLONES 60X80g "SWIFT BURGER" PARRILLERAS FAMILY</v>
          </cell>
        </row>
        <row r="21">
          <cell r="C21">
            <v>21514</v>
          </cell>
          <cell r="D21">
            <v>30</v>
          </cell>
          <cell r="E21">
            <v>16</v>
          </cell>
          <cell r="F21">
            <v>8</v>
          </cell>
          <cell r="G21">
            <v>128</v>
          </cell>
          <cell r="H21">
            <v>4.1399999999999997</v>
          </cell>
          <cell r="I21" t="str">
            <v>Medallon   60X69G Carne Vacuna</v>
          </cell>
        </row>
        <row r="22">
          <cell r="C22">
            <v>21504</v>
          </cell>
          <cell r="D22">
            <v>30</v>
          </cell>
          <cell r="E22">
            <v>12</v>
          </cell>
          <cell r="F22">
            <v>8</v>
          </cell>
          <cell r="G22">
            <v>96</v>
          </cell>
          <cell r="H22">
            <v>4.9800000000000004</v>
          </cell>
          <cell r="I22" t="str">
            <v>Medallón Parrilero MC Swift  x60 83 grs</v>
          </cell>
        </row>
        <row r="23">
          <cell r="C23">
            <v>21530</v>
          </cell>
          <cell r="D23">
            <v>20</v>
          </cell>
          <cell r="E23">
            <v>15</v>
          </cell>
          <cell r="F23">
            <v>7</v>
          </cell>
          <cell r="G23">
            <v>105</v>
          </cell>
          <cell r="H23">
            <v>4.3600000000000003</v>
          </cell>
          <cell r="I23" t="str">
            <v>MEDALLON 40X109G CARNE VACUNA PARRILLERO SWIFT</v>
          </cell>
        </row>
        <row r="24">
          <cell r="C24">
            <v>100021677</v>
          </cell>
          <cell r="D24">
            <v>12</v>
          </cell>
          <cell r="E24">
            <v>17</v>
          </cell>
          <cell r="F24">
            <v>7</v>
          </cell>
          <cell r="G24">
            <v>119</v>
          </cell>
          <cell r="H24">
            <v>4.7039999999999997</v>
          </cell>
          <cell r="I24" t="str">
            <v>MEDALLON 12x4X69G LA BLANCA</v>
          </cell>
        </row>
        <row r="26">
          <cell r="C26">
            <v>100022085</v>
          </cell>
          <cell r="D26">
            <v>24</v>
          </cell>
          <cell r="E26">
            <v>6</v>
          </cell>
          <cell r="F26">
            <v>25</v>
          </cell>
          <cell r="G26">
            <v>150</v>
          </cell>
          <cell r="H26">
            <v>5.4</v>
          </cell>
          <cell r="I26" t="str">
            <v>SALCHICHAS 24 x 6 SWIFT</v>
          </cell>
        </row>
        <row r="27">
          <cell r="C27">
            <v>100022072</v>
          </cell>
          <cell r="D27">
            <v>12</v>
          </cell>
          <cell r="E27">
            <v>6</v>
          </cell>
          <cell r="F27">
            <v>25</v>
          </cell>
          <cell r="G27">
            <v>150</v>
          </cell>
          <cell r="H27">
            <v>5.4</v>
          </cell>
          <cell r="I27" t="str">
            <v>SALCHICHAS 12 X 12 SWIFT</v>
          </cell>
        </row>
        <row r="28">
          <cell r="C28">
            <v>100516849</v>
          </cell>
          <cell r="D28">
            <v>24</v>
          </cell>
          <cell r="E28">
            <v>6</v>
          </cell>
          <cell r="F28">
            <v>25</v>
          </cell>
          <cell r="G28">
            <v>150</v>
          </cell>
          <cell r="H28">
            <v>5.4</v>
          </cell>
          <cell r="I28" t="str">
            <v>SALCHICHAS SIN PIEL 24X6 "SWIFT KIDS" X 190 g</v>
          </cell>
        </row>
        <row r="29">
          <cell r="C29">
            <v>100022039</v>
          </cell>
          <cell r="D29">
            <v>10</v>
          </cell>
          <cell r="E29">
            <v>4</v>
          </cell>
          <cell r="F29">
            <v>16</v>
          </cell>
          <cell r="G29">
            <v>64</v>
          </cell>
          <cell r="H29">
            <v>7.1999999999999993</v>
          </cell>
          <cell r="I29" t="str">
            <v>SALCHICHAS LARGAS 10 x 12 SWIFT INSTITUCIONAL</v>
          </cell>
        </row>
        <row r="30">
          <cell r="C30">
            <v>100516849</v>
          </cell>
          <cell r="D30">
            <v>10</v>
          </cell>
          <cell r="E30">
            <v>4</v>
          </cell>
          <cell r="F30">
            <v>16</v>
          </cell>
          <cell r="G30">
            <v>64</v>
          </cell>
          <cell r="H30">
            <v>7.1999999999999993</v>
          </cell>
          <cell r="I30" t="str">
            <v>SALCHICHAS 24X6 SWIFT KIDS x 190 gr.</v>
          </cell>
        </row>
        <row r="31">
          <cell r="C31">
            <v>100022058</v>
          </cell>
          <cell r="D31">
            <v>24</v>
          </cell>
          <cell r="E31">
            <v>6</v>
          </cell>
          <cell r="F31">
            <v>25</v>
          </cell>
          <cell r="G31">
            <v>150</v>
          </cell>
          <cell r="H31">
            <v>4.5599999990400004</v>
          </cell>
          <cell r="I31" t="str">
            <v>SALCHICHAS SIN PIEL "LA BLANCA"  24X6X190 Grs;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C33">
            <v>100516217</v>
          </cell>
          <cell r="D33">
            <v>20</v>
          </cell>
          <cell r="E33">
            <v>5</v>
          </cell>
          <cell r="F33">
            <v>12</v>
          </cell>
          <cell r="G33">
            <v>60</v>
          </cell>
          <cell r="H33">
            <v>6.6</v>
          </cell>
          <cell r="I33" t="str">
            <v>MILANESAS DE  SOJA CLASICAS PREFRITA</v>
          </cell>
        </row>
        <row r="34">
          <cell r="C34">
            <v>100516214</v>
          </cell>
          <cell r="D34">
            <v>20</v>
          </cell>
          <cell r="E34">
            <v>5</v>
          </cell>
          <cell r="F34">
            <v>12</v>
          </cell>
          <cell r="G34">
            <v>60</v>
          </cell>
          <cell r="H34">
            <v>6.6</v>
          </cell>
          <cell r="I34" t="str">
            <v>MILANESAS DE  SOJA RELLENAS CON JAMON Y QUESO</v>
          </cell>
        </row>
        <row r="35">
          <cell r="C35">
            <v>100516215</v>
          </cell>
          <cell r="D35">
            <v>20</v>
          </cell>
          <cell r="E35">
            <v>5</v>
          </cell>
          <cell r="F35">
            <v>12</v>
          </cell>
          <cell r="G35">
            <v>60</v>
          </cell>
          <cell r="H35">
            <v>7.6</v>
          </cell>
          <cell r="I35" t="str">
            <v>MILANESAS DE  SOJA RELLENAS CON ESPINACA Y QUESO</v>
          </cell>
        </row>
        <row r="36">
          <cell r="C36">
            <v>100516216</v>
          </cell>
          <cell r="D36">
            <v>20</v>
          </cell>
          <cell r="E36">
            <v>5</v>
          </cell>
          <cell r="F36">
            <v>12</v>
          </cell>
          <cell r="G36">
            <v>60</v>
          </cell>
          <cell r="H36">
            <v>7.6</v>
          </cell>
          <cell r="I36" t="str">
            <v>MILANESAS DE  SOJA RELLENAS CON TOMATE Y QUESO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C38">
            <v>100021704</v>
          </cell>
          <cell r="D38">
            <v>12</v>
          </cell>
          <cell r="E38">
            <v>9</v>
          </cell>
          <cell r="F38">
            <v>12</v>
          </cell>
          <cell r="G38">
            <v>108</v>
          </cell>
          <cell r="H38">
            <v>4.5599999999999996</v>
          </cell>
          <cell r="I38" t="str">
            <v>BOCADITOS DE CARNE "SWIFT" - 12x380g</v>
          </cell>
        </row>
        <row r="39">
          <cell r="C39">
            <v>100021705</v>
          </cell>
          <cell r="D39">
            <v>12</v>
          </cell>
          <cell r="E39">
            <v>9</v>
          </cell>
          <cell r="F39">
            <v>12</v>
          </cell>
          <cell r="G39">
            <v>108</v>
          </cell>
          <cell r="H39">
            <v>4.5599999999999996</v>
          </cell>
          <cell r="I39" t="str">
            <v>BOCADITOS DE POLLO "SWIFT" - 12x380g</v>
          </cell>
        </row>
        <row r="40">
          <cell r="C40">
            <v>100021709</v>
          </cell>
          <cell r="D40">
            <v>10</v>
          </cell>
          <cell r="E40">
            <v>5</v>
          </cell>
          <cell r="F40">
            <v>12</v>
          </cell>
          <cell r="G40">
            <v>60</v>
          </cell>
          <cell r="H40">
            <v>7.6</v>
          </cell>
          <cell r="I40" t="str">
            <v>BOCADITOS DE POLLO "SWIFT" - 10x760g</v>
          </cell>
        </row>
        <row r="41">
          <cell r="C41">
            <v>100021707</v>
          </cell>
          <cell r="D41">
            <v>10</v>
          </cell>
          <cell r="E41">
            <v>5</v>
          </cell>
          <cell r="F41">
            <v>12</v>
          </cell>
          <cell r="G41">
            <v>60</v>
          </cell>
          <cell r="H41">
            <v>7.6</v>
          </cell>
          <cell r="I41" t="str">
            <v>BOCADITOS DE CARNE "SWIFT" - 10x760g</v>
          </cell>
        </row>
        <row r="42">
          <cell r="C42">
            <v>100021725</v>
          </cell>
          <cell r="D42">
            <v>6</v>
          </cell>
          <cell r="H42">
            <v>6</v>
          </cell>
          <cell r="I42" t="str">
            <v>BOCADITOS DE POLLO GASTRONOMICOS "LA BLANCA" - x6kg</v>
          </cell>
        </row>
        <row r="43">
          <cell r="C43">
            <v>100517055</v>
          </cell>
          <cell r="D43">
            <v>12</v>
          </cell>
          <cell r="H43">
            <v>3.12</v>
          </cell>
          <cell r="I43" t="str">
            <v>PALITO DE POLLO "SWIFT"  12 X 260 Grs.</v>
          </cell>
        </row>
        <row r="44">
          <cell r="C44">
            <v>100517186</v>
          </cell>
          <cell r="D44">
            <v>8</v>
          </cell>
          <cell r="E44">
            <v>0</v>
          </cell>
          <cell r="F44">
            <v>0</v>
          </cell>
          <cell r="G44">
            <v>0</v>
          </cell>
          <cell r="H44">
            <v>8</v>
          </cell>
          <cell r="I44" t="str">
            <v>PALITO DE POLLO "SWIFT"  8 X 1 Kg..</v>
          </cell>
        </row>
        <row r="45">
          <cell r="C45">
            <v>100021728</v>
          </cell>
          <cell r="D45">
            <v>12</v>
          </cell>
          <cell r="E45">
            <v>10</v>
          </cell>
          <cell r="F45">
            <v>11</v>
          </cell>
          <cell r="G45">
            <v>110</v>
          </cell>
          <cell r="H45">
            <v>3.84</v>
          </cell>
          <cell r="I45" t="str">
            <v>MEDALLONES DE POLLO "SWIFT" - 12x4x80g</v>
          </cell>
        </row>
        <row r="46">
          <cell r="C46">
            <v>100517679</v>
          </cell>
          <cell r="D46">
            <v>8</v>
          </cell>
          <cell r="E46">
            <v>5</v>
          </cell>
          <cell r="F46">
            <v>12</v>
          </cell>
          <cell r="G46">
            <v>60</v>
          </cell>
          <cell r="H46">
            <v>7.68</v>
          </cell>
          <cell r="I46" t="str">
            <v>MEDALLONES DE POLLO GASTRONÓMICOS 8X12X80GRS</v>
          </cell>
        </row>
        <row r="47">
          <cell r="I47" t="str">
            <v>Milanesas de carne congeladas</v>
          </cell>
        </row>
        <row r="48">
          <cell r="C48">
            <v>100518158</v>
          </cell>
          <cell r="D48">
            <v>24</v>
          </cell>
          <cell r="H48">
            <v>12</v>
          </cell>
          <cell r="I48" t="str">
            <v>MILANESA DE CARNE VACUNA CONGELADA 24un x 500grs</v>
          </cell>
        </row>
        <row r="49">
          <cell r="C49">
            <v>100518160</v>
          </cell>
          <cell r="D49">
            <v>12</v>
          </cell>
          <cell r="H49">
            <v>12</v>
          </cell>
          <cell r="I49" t="str">
            <v>MILANESA DE CARNE VACUNA CONGELADA 12un x 1000grs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9"/>
  <sheetViews>
    <sheetView showGridLines="0" tabSelected="1" workbookViewId="0">
      <selection activeCell="F15" sqref="F15"/>
    </sheetView>
  </sheetViews>
  <sheetFormatPr baseColWidth="10" defaultColWidth="11.453125" defaultRowHeight="13" x14ac:dyDescent="0.3"/>
  <cols>
    <col min="1" max="1" width="3.54296875" style="1" customWidth="1"/>
    <col min="2" max="2" width="10" style="1" bestFit="1" customWidth="1"/>
    <col min="3" max="3" width="37.7265625" style="1" customWidth="1"/>
    <col min="4" max="4" width="10" style="1" customWidth="1"/>
    <col min="5" max="5" width="10.453125" style="1" customWidth="1"/>
    <col min="6" max="6" width="13.54296875" style="1" customWidth="1"/>
    <col min="7" max="7" width="12.26953125" style="1" customWidth="1"/>
    <col min="8" max="8" width="5.26953125" style="1" bestFit="1" customWidth="1"/>
    <col min="9" max="9" width="50.26953125" style="1" customWidth="1"/>
    <col min="10" max="10" width="5.54296875" style="1" customWidth="1"/>
    <col min="11" max="11" width="62" style="1" bestFit="1" customWidth="1"/>
    <col min="12" max="16384" width="11.453125" style="1"/>
  </cols>
  <sheetData>
    <row r="1" spans="2:11" ht="12.75" customHeight="1" thickBot="1" x14ac:dyDescent="0.35"/>
    <row r="2" spans="2:11" x14ac:dyDescent="0.3">
      <c r="B2" s="37" t="s">
        <v>8</v>
      </c>
      <c r="C2" s="38"/>
      <c r="D2" s="2" t="s">
        <v>13</v>
      </c>
      <c r="E2" s="2"/>
      <c r="F2" s="2"/>
      <c r="G2" s="2"/>
      <c r="H2" s="2"/>
      <c r="I2" s="2"/>
      <c r="J2" s="2"/>
      <c r="K2" s="3"/>
    </row>
    <row r="3" spans="2:11" x14ac:dyDescent="0.3">
      <c r="B3" s="35" t="s">
        <v>9</v>
      </c>
      <c r="C3" s="36"/>
      <c r="D3" s="1" t="s">
        <v>26</v>
      </c>
      <c r="K3" s="4"/>
    </row>
    <row r="4" spans="2:11" x14ac:dyDescent="0.3">
      <c r="B4" s="35" t="s">
        <v>7</v>
      </c>
      <c r="C4" s="36"/>
      <c r="D4" s="1" t="s">
        <v>33</v>
      </c>
      <c r="K4" s="4"/>
    </row>
    <row r="5" spans="2:11" ht="13.5" thickBot="1" x14ac:dyDescent="0.35">
      <c r="B5" s="39" t="s">
        <v>10</v>
      </c>
      <c r="C5" s="40"/>
      <c r="D5" s="5"/>
      <c r="E5" s="6"/>
      <c r="F5" s="6"/>
      <c r="G5" s="6"/>
      <c r="H5" s="6"/>
      <c r="I5" s="6"/>
      <c r="J5" s="6"/>
      <c r="K5" s="7"/>
    </row>
    <row r="6" spans="2:11" ht="11.25" customHeight="1" thickBot="1" x14ac:dyDescent="0.35"/>
    <row r="7" spans="2:11" ht="39.5" thickBot="1" x14ac:dyDescent="0.35">
      <c r="B7" s="8" t="s">
        <v>0</v>
      </c>
      <c r="C7" s="9" t="s">
        <v>11</v>
      </c>
      <c r="D7" s="10" t="s">
        <v>1</v>
      </c>
      <c r="E7" s="10" t="s">
        <v>2</v>
      </c>
      <c r="F7" s="10" t="s">
        <v>3</v>
      </c>
      <c r="G7" s="10" t="s">
        <v>4</v>
      </c>
      <c r="H7" s="9" t="s">
        <v>5</v>
      </c>
      <c r="I7" s="11" t="s">
        <v>6</v>
      </c>
      <c r="K7" s="12" t="s">
        <v>12</v>
      </c>
    </row>
    <row r="8" spans="2:11" x14ac:dyDescent="0.3">
      <c r="B8" s="13">
        <v>100021000</v>
      </c>
      <c r="C8" s="14" t="s">
        <v>14</v>
      </c>
      <c r="D8" s="15">
        <v>0.34185397723771899</v>
      </c>
      <c r="E8" s="14"/>
      <c r="F8" s="19">
        <v>809</v>
      </c>
      <c r="G8" s="16"/>
      <c r="H8" s="20"/>
      <c r="I8" s="17" t="s">
        <v>31</v>
      </c>
      <c r="K8" s="18" t="s">
        <v>29</v>
      </c>
    </row>
    <row r="9" spans="2:11" x14ac:dyDescent="0.3">
      <c r="B9" s="13">
        <v>100021001</v>
      </c>
      <c r="C9" s="14" t="s">
        <v>15</v>
      </c>
      <c r="D9" s="15">
        <v>0.34185397723771899</v>
      </c>
      <c r="E9" s="14"/>
      <c r="F9" s="19">
        <v>809</v>
      </c>
      <c r="G9" s="16"/>
      <c r="H9" s="20"/>
      <c r="I9" s="17" t="s">
        <v>31</v>
      </c>
      <c r="K9" s="18" t="s">
        <v>29</v>
      </c>
    </row>
    <row r="10" spans="2:11" x14ac:dyDescent="0.3">
      <c r="B10" s="13">
        <v>100021045</v>
      </c>
      <c r="C10" s="14" t="s">
        <v>16</v>
      </c>
      <c r="D10" s="15">
        <f>VLOOKUP(B10,'[1]Análisis Acciones Comerciales'!$A$14:$F$111,6,0)</f>
        <v>4.779977105073336E-2</v>
      </c>
      <c r="E10" s="14"/>
      <c r="F10" s="19">
        <v>904</v>
      </c>
      <c r="G10" s="16"/>
      <c r="H10" s="20"/>
      <c r="I10" s="17" t="s">
        <v>31</v>
      </c>
      <c r="K10" s="18" t="s">
        <v>29</v>
      </c>
    </row>
    <row r="11" spans="2:11" x14ac:dyDescent="0.3">
      <c r="B11" s="13">
        <v>100021004</v>
      </c>
      <c r="C11" s="14" t="s">
        <v>17</v>
      </c>
      <c r="D11" s="15">
        <f>VLOOKUP(B11,'[1]Análisis Acciones Comerciales'!$A$14:$F$111,6,0)</f>
        <v>9.504385962007092E-2</v>
      </c>
      <c r="E11" s="14"/>
      <c r="F11" s="19">
        <v>904</v>
      </c>
      <c r="G11" s="16"/>
      <c r="H11" s="20"/>
      <c r="I11" s="17" t="s">
        <v>31</v>
      </c>
      <c r="K11" s="18" t="s">
        <v>29</v>
      </c>
    </row>
    <row r="12" spans="2:11" x14ac:dyDescent="0.3">
      <c r="B12" s="13">
        <v>100021006</v>
      </c>
      <c r="C12" s="14" t="s">
        <v>18</v>
      </c>
      <c r="D12" s="15">
        <f>VLOOKUP(B12,'[1]Análisis Acciones Comerciales'!$A$14:$F$111,6,0)</f>
        <v>9.504385962007092E-2</v>
      </c>
      <c r="E12" s="14"/>
      <c r="F12" s="19">
        <v>904</v>
      </c>
      <c r="G12" s="16"/>
      <c r="H12" s="20"/>
      <c r="I12" s="17" t="s">
        <v>31</v>
      </c>
      <c r="K12" s="18" t="s">
        <v>29</v>
      </c>
    </row>
    <row r="13" spans="2:11" hidden="1" x14ac:dyDescent="0.3">
      <c r="B13" s="13">
        <v>100022085</v>
      </c>
      <c r="C13" s="14" t="str">
        <f>+VLOOKUP(B13,'[2]FRESCOS y CONGELADOS'!$C$5:$I$49,7,FALSE)</f>
        <v>SALCHICHAS 24 x 6 SWIFT</v>
      </c>
      <c r="D13" s="15">
        <f>VLOOKUP(B13,'[1]Análisis Acciones Comerciales'!$A$14:$F$111,6,0)</f>
        <v>0.27941992737763222</v>
      </c>
      <c r="E13" s="14"/>
      <c r="F13" s="19" t="e">
        <v>#N/A</v>
      </c>
      <c r="G13" s="16">
        <v>1290</v>
      </c>
      <c r="H13" s="20"/>
      <c r="I13" s="17" t="s">
        <v>31</v>
      </c>
      <c r="K13" s="18" t="s">
        <v>29</v>
      </c>
    </row>
    <row r="14" spans="2:11" x14ac:dyDescent="0.3">
      <c r="B14" s="22">
        <v>100021013</v>
      </c>
      <c r="C14" s="14" t="s">
        <v>30</v>
      </c>
      <c r="D14" s="15">
        <f>VLOOKUP(B14,'[1]Análisis Acciones Comerciales'!$A$14:$F$111,6,0)</f>
        <v>0.22419988168260405</v>
      </c>
      <c r="E14" s="14"/>
      <c r="F14" s="19">
        <v>1097</v>
      </c>
      <c r="G14" s="16"/>
      <c r="H14" s="20"/>
      <c r="I14" s="17" t="s">
        <v>31</v>
      </c>
      <c r="K14" s="18" t="s">
        <v>29</v>
      </c>
    </row>
    <row r="15" spans="2:11" ht="14.5" x14ac:dyDescent="0.35">
      <c r="B15" s="25">
        <v>100021008</v>
      </c>
      <c r="C15" s="26" t="s">
        <v>23</v>
      </c>
      <c r="D15" s="15">
        <f>VLOOKUP(B15,'[1]Análisis Acciones Comerciales'!$A$14:$F$111,6,0)</f>
        <v>0.26180006583284315</v>
      </c>
      <c r="E15" s="14"/>
      <c r="F15" s="19">
        <v>697</v>
      </c>
      <c r="G15" s="16">
        <v>700</v>
      </c>
      <c r="H15" s="20"/>
      <c r="I15" s="17" t="s">
        <v>27</v>
      </c>
      <c r="K15" s="18"/>
    </row>
    <row r="16" spans="2:11" ht="14.5" x14ac:dyDescent="0.35">
      <c r="B16" s="25">
        <v>100021009</v>
      </c>
      <c r="C16" s="26" t="s">
        <v>24</v>
      </c>
      <c r="D16" s="15">
        <f>VLOOKUP(B16,'[1]Análisis Acciones Comerciales'!$A$14:$F$111,6,0)</f>
        <v>0.26180006583284315</v>
      </c>
      <c r="E16" s="14"/>
      <c r="F16" s="19">
        <v>697</v>
      </c>
      <c r="G16" s="16">
        <v>700</v>
      </c>
      <c r="H16" s="20"/>
      <c r="I16" s="17" t="s">
        <v>27</v>
      </c>
      <c r="K16" s="18"/>
    </row>
    <row r="17" spans="2:11" x14ac:dyDescent="0.3">
      <c r="B17" s="27">
        <v>100021632</v>
      </c>
      <c r="C17" s="28" t="s">
        <v>19</v>
      </c>
      <c r="D17" s="15">
        <v>0.2</v>
      </c>
      <c r="E17" s="28"/>
      <c r="F17" s="29">
        <v>2400</v>
      </c>
      <c r="G17" s="28"/>
      <c r="H17" s="30"/>
      <c r="I17" s="31" t="s">
        <v>32</v>
      </c>
      <c r="K17" s="34" t="s">
        <v>28</v>
      </c>
    </row>
    <row r="18" spans="2:11" x14ac:dyDescent="0.3">
      <c r="B18" s="27">
        <v>100021652</v>
      </c>
      <c r="C18" s="28" t="s">
        <v>20</v>
      </c>
      <c r="D18" s="15">
        <f>VLOOKUP(B18,'[1]Análisis Acciones Comerciales'!$A$14:$F$111,6,0)</f>
        <v>0.26769999999999999</v>
      </c>
      <c r="E18" s="28"/>
      <c r="F18" s="29">
        <v>5100</v>
      </c>
      <c r="G18" s="28"/>
      <c r="H18" s="30"/>
      <c r="I18" s="31" t="s">
        <v>32</v>
      </c>
      <c r="K18" s="34" t="s">
        <v>28</v>
      </c>
    </row>
    <row r="19" spans="2:11" ht="12.75" hidden="1" customHeight="1" x14ac:dyDescent="0.35">
      <c r="B19" s="32">
        <v>100022085</v>
      </c>
      <c r="C19" s="33" t="s">
        <v>21</v>
      </c>
      <c r="D19" s="15">
        <f>VLOOKUP(B19,'[1]Análisis Acciones Comerciales'!$A$14:$F$111,6,0)</f>
        <v>0.27941992737763222</v>
      </c>
      <c r="E19" s="28"/>
      <c r="F19" s="29">
        <v>1650</v>
      </c>
      <c r="G19" s="28"/>
      <c r="H19" s="30"/>
      <c r="I19" s="31" t="s">
        <v>32</v>
      </c>
      <c r="K19" s="34" t="s">
        <v>25</v>
      </c>
    </row>
    <row r="20" spans="2:11" ht="12.75" hidden="1" customHeight="1" x14ac:dyDescent="0.35">
      <c r="B20" s="32">
        <v>100022058</v>
      </c>
      <c r="C20" s="33" t="s">
        <v>22</v>
      </c>
      <c r="D20" s="15">
        <f>VLOOKUP(B20,'[1]Análisis Acciones Comerciales'!$A$14:$F$111,6,0)</f>
        <v>0.29139013128892904</v>
      </c>
      <c r="E20" s="28"/>
      <c r="F20" s="28">
        <v>900</v>
      </c>
      <c r="G20" s="28"/>
      <c r="H20" s="30"/>
      <c r="I20" s="31" t="s">
        <v>32</v>
      </c>
      <c r="K20" s="34" t="s">
        <v>25</v>
      </c>
    </row>
    <row r="21" spans="2:11" ht="15.75" hidden="1" customHeight="1" x14ac:dyDescent="0.3">
      <c r="B21" s="27"/>
      <c r="C21" s="28"/>
      <c r="D21" s="15" t="e">
        <f>VLOOKUP(B21,'[1]Análisis Acciones Comerciales'!$A$14:$F$111,6,0)</f>
        <v>#N/A</v>
      </c>
      <c r="E21" s="28"/>
      <c r="F21" s="28"/>
      <c r="G21" s="28"/>
      <c r="H21" s="30"/>
      <c r="I21" s="31" t="s">
        <v>32</v>
      </c>
      <c r="K21" s="34" t="s">
        <v>25</v>
      </c>
    </row>
    <row r="22" spans="2:11" hidden="1" x14ac:dyDescent="0.3">
      <c r="B22" s="13"/>
      <c r="C22" s="14"/>
      <c r="D22" s="15" t="e">
        <f>VLOOKUP(B22,'[1]Análisis Acciones Comerciales'!$A$14:$F$111,6,0)</f>
        <v>#N/A</v>
      </c>
      <c r="E22" s="14"/>
      <c r="F22" s="19"/>
      <c r="G22" s="16"/>
      <c r="H22" s="20"/>
      <c r="I22" s="31" t="s">
        <v>32</v>
      </c>
      <c r="K22" s="34" t="s">
        <v>25</v>
      </c>
    </row>
    <row r="23" spans="2:11" hidden="1" x14ac:dyDescent="0.3">
      <c r="B23" s="13"/>
      <c r="C23" s="14"/>
      <c r="D23" s="15" t="e">
        <f>VLOOKUP(B23,'[1]Análisis Acciones Comerciales'!$A$14:$F$111,6,0)</f>
        <v>#N/A</v>
      </c>
      <c r="E23" s="14"/>
      <c r="F23" s="19"/>
      <c r="G23" s="16"/>
      <c r="H23" s="20"/>
      <c r="I23" s="31" t="s">
        <v>32</v>
      </c>
      <c r="K23" s="34" t="s">
        <v>25</v>
      </c>
    </row>
    <row r="24" spans="2:11" ht="14.5" x14ac:dyDescent="0.35">
      <c r="B24" s="25">
        <v>100022085</v>
      </c>
      <c r="C24" s="26" t="s">
        <v>21</v>
      </c>
      <c r="D24" s="15">
        <v>0.4</v>
      </c>
      <c r="E24" s="14"/>
      <c r="F24" s="19">
        <v>1789</v>
      </c>
      <c r="G24" s="16"/>
      <c r="H24" s="20"/>
      <c r="I24" s="31" t="s">
        <v>32</v>
      </c>
      <c r="K24" s="34" t="s">
        <v>28</v>
      </c>
    </row>
    <row r="25" spans="2:11" ht="14.5" x14ac:dyDescent="0.35">
      <c r="B25" s="25">
        <v>100022058</v>
      </c>
      <c r="C25" s="26" t="s">
        <v>22</v>
      </c>
      <c r="D25" s="15">
        <v>0.2</v>
      </c>
      <c r="E25" s="14"/>
      <c r="F25" s="19">
        <v>1262</v>
      </c>
      <c r="G25" s="16"/>
      <c r="H25" s="20"/>
      <c r="I25" s="31" t="s">
        <v>32</v>
      </c>
      <c r="K25" s="34" t="s">
        <v>28</v>
      </c>
    </row>
    <row r="26" spans="2:11" x14ac:dyDescent="0.3">
      <c r="B26" s="23"/>
      <c r="C26" s="14"/>
      <c r="D26" s="15"/>
      <c r="E26" s="14"/>
      <c r="F26" s="19"/>
      <c r="G26" s="16"/>
      <c r="H26" s="20"/>
      <c r="I26" s="17"/>
      <c r="K26" s="24"/>
    </row>
    <row r="27" spans="2:11" x14ac:dyDescent="0.3">
      <c r="B27" s="22"/>
      <c r="C27" s="14"/>
      <c r="D27" s="15"/>
      <c r="E27" s="14"/>
      <c r="F27" s="19"/>
      <c r="G27" s="16"/>
      <c r="H27" s="20"/>
      <c r="I27" s="17"/>
      <c r="K27" s="18"/>
    </row>
    <row r="29" spans="2:11" x14ac:dyDescent="0.3">
      <c r="F29" s="21"/>
    </row>
  </sheetData>
  <mergeCells count="4">
    <mergeCell ref="B3:C3"/>
    <mergeCell ref="B2:C2"/>
    <mergeCell ref="B4:C4"/>
    <mergeCell ref="B5:C5"/>
  </mergeCells>
  <dataValidations count="1">
    <dataValidation type="list" allowBlank="1" showInputMessage="1" showErrorMessage="1" sqref="D2" xr:uid="{00000000-0002-0000-0000-000000000000}">
      <formula1>CANAL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Hoja3</vt:lpstr>
    </vt:vector>
  </TitlesOfParts>
  <Company>JBS Argentina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JBS Argentina SA</dc:creator>
  <cp:lastModifiedBy>Adrian Dalla Verde</cp:lastModifiedBy>
  <cp:lastPrinted>2023-12-01T14:06:45Z</cp:lastPrinted>
  <dcterms:created xsi:type="dcterms:W3CDTF">2017-08-16T12:33:02Z</dcterms:created>
  <dcterms:modified xsi:type="dcterms:W3CDTF">2026-02-09T22:56:49Z</dcterms:modified>
</cp:coreProperties>
</file>