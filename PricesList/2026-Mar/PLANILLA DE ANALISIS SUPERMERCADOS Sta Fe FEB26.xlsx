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.dallaverde\Downloads\"/>
    </mc:Choice>
  </mc:AlternateContent>
  <xr:revisionPtr revIDLastSave="0" documentId="8_{89E9302C-30E0-4A5E-868B-D6286715E4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externalReferences>
    <externalReference r:id="rId2"/>
    <externalReference r:id="rId3"/>
  </externalReferences>
  <definedNames>
    <definedName name="CANAL">#REF!</definedName>
    <definedName name="LIS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G38" i="1"/>
  <c r="G25" i="1"/>
  <c r="C28" i="1"/>
  <c r="C27" i="1"/>
  <c r="C23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6" i="1"/>
  <c r="C29" i="1"/>
  <c r="C7" i="1"/>
  <c r="G37" i="1" l="1"/>
  <c r="G28" i="1"/>
  <c r="G21" i="1"/>
  <c r="G13" i="1"/>
  <c r="G15" i="1"/>
  <c r="G14" i="1"/>
  <c r="G27" i="1"/>
  <c r="G10" i="1"/>
  <c r="G18" i="1" l="1"/>
  <c r="G12" i="1"/>
  <c r="G29" i="1"/>
  <c r="G24" i="1"/>
  <c r="G23" i="1"/>
  <c r="G26" i="1"/>
  <c r="G22" i="1"/>
  <c r="G16" i="1"/>
  <c r="G31" i="1"/>
  <c r="G19" i="1"/>
  <c r="G11" i="1"/>
  <c r="G32" i="1"/>
  <c r="G8" i="1"/>
  <c r="G30" i="1"/>
  <c r="G20" i="1"/>
  <c r="G7" i="1"/>
  <c r="G33" i="1"/>
  <c r="G17" i="1"/>
  <c r="G9" i="1"/>
  <c r="G39" i="1" l="1"/>
  <c r="G36" i="1"/>
  <c r="G35" i="1"/>
  <c r="G34" i="1"/>
</calcChain>
</file>

<file path=xl/sharedStrings.xml><?xml version="1.0" encoding="utf-8"?>
<sst xmlns="http://schemas.openxmlformats.org/spreadsheetml/2006/main" count="81" uniqueCount="52">
  <si>
    <t>SKU</t>
  </si>
  <si>
    <t>PRECIO PÚBLICO APUNTADO</t>
  </si>
  <si>
    <t>GAP</t>
  </si>
  <si>
    <t>EL CLIENTE MARGINA CON:</t>
  </si>
  <si>
    <t>CANAL:</t>
  </si>
  <si>
    <t>CLIENTES QUE APLICA:</t>
  </si>
  <si>
    <t>PRODUCTO</t>
  </si>
  <si>
    <t>PRECIO PÚBLICO COMPETENCIA (LÍDER)</t>
  </si>
  <si>
    <t>NOMBRE DE LA MARCA COMPETENCIA</t>
  </si>
  <si>
    <t>OBSERVACIONES DE OTRAS MARCAS QUE CONTRIBUYAN A EXPLICAR EL  POSICIONAMIENTO BUSCADO</t>
  </si>
  <si>
    <t>IMPORTE RTDO NETO (COLUMNA R) SIN ACCIONAR SKU</t>
  </si>
  <si>
    <t>CANTIDADES QUE REQUIERO CON SKU ACCIONADO PARA IGUALAR IMPORTE COLUMNA ANTERIOR</t>
  </si>
  <si>
    <t>CANTIDADES CON LA ACCIÓN</t>
  </si>
  <si>
    <t>CANTIDADES SIN ACCIÓN - precio de lista</t>
  </si>
  <si>
    <t>PATY</t>
  </si>
  <si>
    <t>FRIAR</t>
  </si>
  <si>
    <t>LARIO</t>
  </si>
  <si>
    <t>PaPi SWIFT</t>
  </si>
  <si>
    <t>ESPECIALES</t>
  </si>
  <si>
    <t>GOURMET</t>
  </si>
  <si>
    <t>PaPi LB/SAFRA</t>
  </si>
  <si>
    <t>CHANGUITO</t>
  </si>
  <si>
    <t>GRASA VACUNA REFINADA SWIFT 10 X 500</t>
  </si>
  <si>
    <t>INSUGA</t>
  </si>
  <si>
    <t>FATY</t>
  </si>
  <si>
    <t>GRASA VACUNA REFINADA SWIFT 12 X 1Kg</t>
  </si>
  <si>
    <t>FUN</t>
  </si>
  <si>
    <t>GDS</t>
  </si>
  <si>
    <t>Lucchetti</t>
  </si>
  <si>
    <t>Barfy</t>
  </si>
  <si>
    <t>Paty Grande</t>
  </si>
  <si>
    <t>Oferta en la Cat.</t>
  </si>
  <si>
    <t>igualra Px lider de la zona</t>
  </si>
  <si>
    <t>Oferta en la categoría igualar PX lider segmento de precio en la zona</t>
  </si>
  <si>
    <t>simplot</t>
  </si>
  <si>
    <t>Tres Arroyos</t>
  </si>
  <si>
    <t>Oferta en la Cat./igualar Px x Kg empaque 1,8Kg</t>
  </si>
  <si>
    <t>Oferta en la categoría +posicionamiento PX Vs lider de la zona</t>
  </si>
  <si>
    <t>PATY EXPRESS</t>
  </si>
  <si>
    <t>Oferta en la categoría +Igualar PX competencia</t>
  </si>
  <si>
    <t>Oferta en la categoría + Acción informada x BI</t>
  </si>
  <si>
    <t>Igualar Px MD Friar x 138Gs</t>
  </si>
  <si>
    <t>Carcaraña</t>
  </si>
  <si>
    <t>NUGGETS DE ESPINACA 300GR</t>
  </si>
  <si>
    <t>MEDALLÓN DE CALABAZA Y CHOCLO 300GR</t>
  </si>
  <si>
    <t>Igualar Px MD Friar x 110Gs</t>
  </si>
  <si>
    <t>Calisa</t>
  </si>
  <si>
    <t>SUEPERMERCADO</t>
  </si>
  <si>
    <t>Oferta en la categoría, posicionamiento +5% Vs mes pasadoLider</t>
  </si>
  <si>
    <t>Oferta en la categoría, posicionamiento +10% Vs mes pasadoLider</t>
  </si>
  <si>
    <t xml:space="preserve">Oferta en la categoría, posicionamiento </t>
  </si>
  <si>
    <t>Oferta en conveniencia vs 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</si>
</sst>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&quot;$ &quot;#,##0"/>
    <numFmt numFmtId="166" formatCode="_ &quot;$&quot;\ * #,##0_ ;_ &quot;$&quot;\ * \-#,##0_ ;_ &quot;$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3" xfId="0" applyFill="1" applyBorder="1"/>
    <xf numFmtId="0" fontId="3" fillId="0" borderId="1" xfId="0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2" fillId="0" borderId="11" xfId="0" applyFont="1" applyBorder="1" applyAlignment="1">
      <alignment horizontal="center" vertical="center" wrapText="1"/>
    </xf>
    <xf numFmtId="9" fontId="0" fillId="0" borderId="9" xfId="2" applyFont="1" applyFill="1" applyBorder="1" applyAlignment="1">
      <alignment horizontal="center"/>
    </xf>
    <xf numFmtId="0" fontId="0" fillId="0" borderId="9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right" vertical="center" wrapText="1"/>
    </xf>
    <xf numFmtId="165" fontId="4" fillId="0" borderId="15" xfId="1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9" fontId="0" fillId="2" borderId="16" xfId="0" applyNumberFormat="1" applyFill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9" fontId="0" fillId="0" borderId="17" xfId="2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6" fontId="0" fillId="2" borderId="9" xfId="1" applyNumberFormat="1" applyFont="1" applyFill="1" applyBorder="1"/>
    <xf numFmtId="0" fontId="2" fillId="0" borderId="9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9" fontId="0" fillId="0" borderId="12" xfId="2" applyFont="1" applyFill="1" applyBorder="1" applyAlignment="1">
      <alignment horizontal="center"/>
    </xf>
  </cellXfs>
  <cellStyles count="4">
    <cellStyle name="Moneda" xfId="1" builtinId="4"/>
    <cellStyle name="Normal" xfId="0" builtinId="0"/>
    <cellStyle name="Normal 3" xfId="3" xr:uid="{00000000-0005-0000-0000-000002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loperotti-ros\Documents\MARCELO\Listas%20de%20precios\2025\Super\Lista%20de%20precios%20Julio%2025.xls" TargetMode="External"/><Relationship Id="rId1" Type="http://schemas.openxmlformats.org/officeDocument/2006/relationships/externalLinkPath" Target="/Users/marceloperotti-ros/Documents/MARCELO/Listas%20de%20precios/2025/Super/Lista%20de%20precios%20Julio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loperotti-ros\Documents\MARCELO\Listas%20de%20precios\2025\Super\Lista%20de%20precios%20NOV%2025.xls" TargetMode="External"/><Relationship Id="rId1" Type="http://schemas.openxmlformats.org/officeDocument/2006/relationships/externalLinkPath" Target="/Users/marceloperotti-ros/Documents/MARCELO/Listas%20de%20precios/2025/Super/Lista%20de%20precios%20NOV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SCOS y CONGELADOS"/>
      <sheetName val="UNTABLES Y SUBPRODUCTOS"/>
    </sheetNames>
    <sheetDataSet>
      <sheetData sheetId="0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100520834</v>
          </cell>
          <cell r="D12">
            <v>36</v>
          </cell>
          <cell r="E12">
            <v>12</v>
          </cell>
          <cell r="F12">
            <v>8</v>
          </cell>
          <cell r="G12">
            <v>96</v>
          </cell>
          <cell r="H12">
            <v>6.66</v>
          </cell>
          <cell r="I12" t="str">
            <v>HAMBURGUESA X-TREMA 36 x 185 grs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100516201</v>
          </cell>
          <cell r="D14">
            <v>8</v>
          </cell>
          <cell r="E14">
            <v>10</v>
          </cell>
          <cell r="F14">
            <v>7</v>
          </cell>
          <cell r="G14">
            <v>70</v>
          </cell>
          <cell r="H14">
            <v>6.6239999999999997</v>
          </cell>
          <cell r="I14" t="str">
            <v>HAMBURGUESA 8X12X69G BURGER SWIFT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3.3119999999999998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4.7039999999999997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4.7039999999999997</v>
          </cell>
          <cell r="I17" t="str">
            <v>MEDALLON DOBLE BURGER 2X2</v>
          </cell>
        </row>
        <row r="18">
          <cell r="C18">
            <v>100520337</v>
          </cell>
          <cell r="D18">
            <v>30</v>
          </cell>
          <cell r="E18">
            <v>12</v>
          </cell>
          <cell r="F18">
            <v>8</v>
          </cell>
          <cell r="G18">
            <v>96</v>
          </cell>
          <cell r="H18">
            <v>4.8</v>
          </cell>
          <cell r="I18" t="str">
            <v>MEDALLON BURGER SWIFT MEGA 30 x 160 g</v>
          </cell>
        </row>
        <row r="19">
          <cell r="C19">
            <v>100021644</v>
          </cell>
          <cell r="D19">
            <v>42</v>
          </cell>
          <cell r="E19">
            <v>16</v>
          </cell>
          <cell r="F19">
            <v>8</v>
          </cell>
          <cell r="G19">
            <v>128</v>
          </cell>
          <cell r="H19">
            <v>4.7039999999999997</v>
          </cell>
          <cell r="I19" t="str">
            <v>MEDALLON 42X112G LA BLANCA</v>
          </cell>
        </row>
        <row r="20">
          <cell r="C20">
            <v>21575</v>
          </cell>
          <cell r="D20">
            <v>30</v>
          </cell>
          <cell r="E20">
            <v>16</v>
          </cell>
          <cell r="F20">
            <v>8</v>
          </cell>
          <cell r="G20">
            <v>128</v>
          </cell>
          <cell r="H20">
            <v>4.1399999999999997</v>
          </cell>
          <cell r="I20" t="str">
            <v>MEDALLONES 60 X 69 GRS SWIFT BURGUER PARRILLERAS FAMILY</v>
          </cell>
        </row>
        <row r="21">
          <cell r="C21">
            <v>21638</v>
          </cell>
          <cell r="D21">
            <v>30</v>
          </cell>
          <cell r="E21">
            <v>12</v>
          </cell>
          <cell r="F21">
            <v>8</v>
          </cell>
          <cell r="G21">
            <v>96</v>
          </cell>
          <cell r="H21">
            <v>4.9800000000000004</v>
          </cell>
          <cell r="I21" t="str">
            <v>MEDALLONES 60X80g "SWIFT BURGER" PARRILLERAS FAMILY</v>
          </cell>
        </row>
        <row r="22">
          <cell r="C22">
            <v>21514</v>
          </cell>
          <cell r="D22">
            <v>30</v>
          </cell>
          <cell r="E22">
            <v>16</v>
          </cell>
          <cell r="F22">
            <v>8</v>
          </cell>
          <cell r="G22">
            <v>128</v>
          </cell>
          <cell r="H22">
            <v>4.1399999999999997</v>
          </cell>
          <cell r="I22" t="str">
            <v>Medallon   60X69G Carne Vacuna</v>
          </cell>
        </row>
        <row r="23">
          <cell r="C23">
            <v>21504</v>
          </cell>
          <cell r="D23">
            <v>30</v>
          </cell>
          <cell r="E23">
            <v>12</v>
          </cell>
          <cell r="F23">
            <v>8</v>
          </cell>
          <cell r="G23">
            <v>96</v>
          </cell>
          <cell r="H23">
            <v>4.9800000000000004</v>
          </cell>
          <cell r="I23" t="str">
            <v>Medallón Parrilero MC Swift  x60 83 grs</v>
          </cell>
        </row>
        <row r="24">
          <cell r="C24">
            <v>21530</v>
          </cell>
          <cell r="D24">
            <v>20</v>
          </cell>
          <cell r="E24">
            <v>15</v>
          </cell>
          <cell r="F24">
            <v>7</v>
          </cell>
          <cell r="G24">
            <v>105</v>
          </cell>
          <cell r="H24">
            <v>4.3600000000000003</v>
          </cell>
          <cell r="I24" t="str">
            <v>MEDALLON 40X109G CARNE VACUNA PARRILLERO SWIFT</v>
          </cell>
        </row>
        <row r="25">
          <cell r="C25">
            <v>100021677</v>
          </cell>
          <cell r="D25">
            <v>12</v>
          </cell>
          <cell r="E25">
            <v>17</v>
          </cell>
          <cell r="F25">
            <v>7</v>
          </cell>
          <cell r="G25">
            <v>119</v>
          </cell>
          <cell r="H25">
            <v>4.7039999999999997</v>
          </cell>
          <cell r="I25" t="str">
            <v>MEDALLON 12x4X69G LA BLANCA</v>
          </cell>
        </row>
        <row r="27">
          <cell r="C27">
            <v>100022085</v>
          </cell>
          <cell r="D27">
            <v>24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24 x 6 SWIFT</v>
          </cell>
        </row>
        <row r="28">
          <cell r="C28">
            <v>100022072</v>
          </cell>
          <cell r="D28">
            <v>12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12 X 12 SWIFT</v>
          </cell>
        </row>
        <row r="29">
          <cell r="C29">
            <v>100022073</v>
          </cell>
          <cell r="D29">
            <v>6</v>
          </cell>
          <cell r="E29">
            <v>6</v>
          </cell>
          <cell r="F29">
            <v>25</v>
          </cell>
          <cell r="G29">
            <v>150</v>
          </cell>
          <cell r="H29">
            <v>5.4</v>
          </cell>
          <cell r="I29" t="str">
            <v>SALCHICHAS 6 X 24 SWIFT</v>
          </cell>
        </row>
        <row r="30">
          <cell r="C30">
            <v>100516849</v>
          </cell>
          <cell r="D30">
            <v>24</v>
          </cell>
          <cell r="E30">
            <v>6</v>
          </cell>
          <cell r="F30">
            <v>25</v>
          </cell>
          <cell r="G30">
            <v>150</v>
          </cell>
          <cell r="H30">
            <v>5.4</v>
          </cell>
          <cell r="I30" t="str">
            <v>SALCHICHAS SIN PIEL 24X6 "SWIFT KIDS" X 190 g</v>
          </cell>
        </row>
        <row r="31">
          <cell r="C31">
            <v>100022039</v>
          </cell>
          <cell r="D31">
            <v>10</v>
          </cell>
          <cell r="E31">
            <v>4</v>
          </cell>
          <cell r="F31">
            <v>16</v>
          </cell>
          <cell r="G31">
            <v>64</v>
          </cell>
          <cell r="H31">
            <v>8.6999999999999993</v>
          </cell>
          <cell r="I31" t="str">
            <v>SALCHICHAS LARGAS 10 x 12 SWIFT INSTITUCIONAL</v>
          </cell>
        </row>
        <row r="32">
          <cell r="C32">
            <v>100518151</v>
          </cell>
          <cell r="D32">
            <v>10</v>
          </cell>
          <cell r="E32">
            <v>4</v>
          </cell>
          <cell r="F32">
            <v>16</v>
          </cell>
          <cell r="G32">
            <v>64</v>
          </cell>
          <cell r="H32">
            <v>8.6999999999999993</v>
          </cell>
          <cell r="I32" t="str">
            <v>SALCHICHAS LARGAS 10 x 12 x 870g</v>
          </cell>
        </row>
        <row r="33">
          <cell r="C33">
            <v>100022058</v>
          </cell>
          <cell r="D33">
            <v>24</v>
          </cell>
          <cell r="E33">
            <v>6</v>
          </cell>
          <cell r="F33">
            <v>25</v>
          </cell>
          <cell r="G33">
            <v>150</v>
          </cell>
          <cell r="H33">
            <v>4.5599999990400004</v>
          </cell>
          <cell r="I33" t="str">
            <v>SALCHICHAS SIN PIEL "LA BLANCA"  24X6X190 Grs;</v>
          </cell>
        </row>
        <row r="35">
          <cell r="C35">
            <v>100520837</v>
          </cell>
          <cell r="D35">
            <v>12</v>
          </cell>
          <cell r="E35">
            <v>5</v>
          </cell>
          <cell r="F35">
            <v>12</v>
          </cell>
          <cell r="G35">
            <v>60</v>
          </cell>
          <cell r="H35">
            <v>4.8</v>
          </cell>
          <cell r="I35" t="str">
            <v>CHORIZOS FRESCOS DE CERDO LIBRE DE GLUTEN</v>
          </cell>
        </row>
        <row r="37">
          <cell r="C37">
            <v>100516217</v>
          </cell>
          <cell r="D37">
            <v>20</v>
          </cell>
          <cell r="E37">
            <v>5</v>
          </cell>
          <cell r="F37">
            <v>12</v>
          </cell>
          <cell r="G37">
            <v>60</v>
          </cell>
          <cell r="H37">
            <v>6.6</v>
          </cell>
          <cell r="I37" t="str">
            <v>MILANESAS DE  SOJA CLASICAS PREFRITA</v>
          </cell>
        </row>
        <row r="38">
          <cell r="C38">
            <v>100516214</v>
          </cell>
          <cell r="D38">
            <v>20</v>
          </cell>
          <cell r="E38">
            <v>5</v>
          </cell>
          <cell r="F38">
            <v>12</v>
          </cell>
          <cell r="G38">
            <v>60</v>
          </cell>
          <cell r="H38">
            <v>6.6</v>
          </cell>
          <cell r="I38" t="str">
            <v>MILANESAS DE  SOJA RELLENAS CON JAMON Y QUESO</v>
          </cell>
        </row>
        <row r="39">
          <cell r="C39">
            <v>100516215</v>
          </cell>
          <cell r="D39">
            <v>20</v>
          </cell>
          <cell r="E39">
            <v>5</v>
          </cell>
          <cell r="F39">
            <v>12</v>
          </cell>
          <cell r="G39">
            <v>60</v>
          </cell>
          <cell r="H39">
            <v>7.6</v>
          </cell>
          <cell r="I39" t="str">
            <v>MILANESAS DE  SOJA RELLENAS CON ESPINACA Y QUESO</v>
          </cell>
        </row>
        <row r="40">
          <cell r="C40">
            <v>100516216</v>
          </cell>
          <cell r="D40">
            <v>20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MILANESAS DE  SOJA RELLENAS CON TOMATE Y QUESO</v>
          </cell>
        </row>
        <row r="42">
          <cell r="C42">
            <v>100521457</v>
          </cell>
          <cell r="D42">
            <v>16</v>
          </cell>
          <cell r="E42">
            <v>5</v>
          </cell>
          <cell r="F42">
            <v>12</v>
          </cell>
          <cell r="G42">
            <v>60</v>
          </cell>
          <cell r="H42">
            <v>4.8</v>
          </cell>
          <cell r="I42" t="str">
            <v>NUGGETS DE ESPINACA 300GR</v>
          </cell>
        </row>
        <row r="43">
          <cell r="C43">
            <v>100521455</v>
          </cell>
          <cell r="D43">
            <v>16</v>
          </cell>
          <cell r="E43">
            <v>5</v>
          </cell>
          <cell r="F43">
            <v>12</v>
          </cell>
          <cell r="G43">
            <v>60</v>
          </cell>
          <cell r="H43">
            <v>4.8</v>
          </cell>
          <cell r="I43" t="str">
            <v>NUGGETS DE BRÓCOLI 300GR</v>
          </cell>
        </row>
        <row r="44">
          <cell r="C44">
            <v>100521453</v>
          </cell>
          <cell r="D44">
            <v>18</v>
          </cell>
          <cell r="E44">
            <v>5</v>
          </cell>
          <cell r="F44">
            <v>12</v>
          </cell>
          <cell r="G44">
            <v>60</v>
          </cell>
          <cell r="H44">
            <v>5.4</v>
          </cell>
          <cell r="I44" t="str">
            <v>MEDALLÓN DE CALABAZA Y CHOCLO 300GR</v>
          </cell>
        </row>
        <row r="45">
          <cell r="C45">
            <v>100521454</v>
          </cell>
          <cell r="D45">
            <v>18</v>
          </cell>
          <cell r="E45">
            <v>5</v>
          </cell>
          <cell r="F45">
            <v>12</v>
          </cell>
          <cell r="G45">
            <v>60</v>
          </cell>
          <cell r="H45">
            <v>5.4</v>
          </cell>
          <cell r="I45" t="str">
            <v>MEDALLÓN DE ESPINACA 300GR</v>
          </cell>
        </row>
        <row r="47">
          <cell r="C47">
            <v>100021704</v>
          </cell>
          <cell r="D47">
            <v>12</v>
          </cell>
          <cell r="E47">
            <v>9</v>
          </cell>
          <cell r="F47">
            <v>12</v>
          </cell>
          <cell r="G47">
            <v>108</v>
          </cell>
          <cell r="H47">
            <v>4.5599999999999996</v>
          </cell>
          <cell r="I47" t="str">
            <v>BOCADITOS DE CARNE "SWIFT" - 12x380g</v>
          </cell>
        </row>
        <row r="48">
          <cell r="C48">
            <v>100021705</v>
          </cell>
          <cell r="D48">
            <v>12</v>
          </cell>
          <cell r="E48">
            <v>9</v>
          </cell>
          <cell r="F48">
            <v>12</v>
          </cell>
          <cell r="G48">
            <v>108</v>
          </cell>
          <cell r="H48">
            <v>4.5599999999999996</v>
          </cell>
          <cell r="I48" t="str">
            <v>BOCADITOS DE POLLO "SWIFT" - 12x380g</v>
          </cell>
        </row>
        <row r="49">
          <cell r="C49">
            <v>100021709</v>
          </cell>
          <cell r="D49">
            <v>10</v>
          </cell>
          <cell r="E49">
            <v>5</v>
          </cell>
          <cell r="F49">
            <v>12</v>
          </cell>
          <cell r="G49">
            <v>60</v>
          </cell>
          <cell r="H49">
            <v>7.6</v>
          </cell>
          <cell r="I49" t="str">
            <v>BOCADITOS DE POLLO "SWIFT" - 10x760g</v>
          </cell>
        </row>
        <row r="50">
          <cell r="C50">
            <v>100021707</v>
          </cell>
          <cell r="D50">
            <v>10</v>
          </cell>
          <cell r="E50">
            <v>5</v>
          </cell>
          <cell r="F50">
            <v>12</v>
          </cell>
          <cell r="G50">
            <v>60</v>
          </cell>
          <cell r="H50">
            <v>7.6</v>
          </cell>
          <cell r="I50" t="str">
            <v>BOCADITOS DE CARNE "SWIFT" - 10x760g</v>
          </cell>
        </row>
        <row r="51">
          <cell r="C51">
            <v>100021725</v>
          </cell>
          <cell r="D51">
            <v>6</v>
          </cell>
          <cell r="H51">
            <v>6</v>
          </cell>
          <cell r="I51" t="str">
            <v>BOCADITOS DE POLLO GASTRONOMICOS "LA BLANCA" - x6kg</v>
          </cell>
        </row>
        <row r="52">
          <cell r="C52">
            <v>100517055</v>
          </cell>
          <cell r="D52">
            <v>12</v>
          </cell>
          <cell r="H52">
            <v>3.12</v>
          </cell>
          <cell r="I52" t="str">
            <v>PALITO DE POLLO "SWIFT"  12 X 260 Grs.</v>
          </cell>
        </row>
        <row r="53">
          <cell r="C53">
            <v>100517186</v>
          </cell>
          <cell r="D53">
            <v>8</v>
          </cell>
          <cell r="H53">
            <v>8</v>
          </cell>
          <cell r="I53" t="str">
            <v>PALITO DE POLLO "SWIFT"  8 X 1 Kg..</v>
          </cell>
        </row>
        <row r="54">
          <cell r="C54">
            <v>100517679</v>
          </cell>
          <cell r="D54">
            <v>8</v>
          </cell>
          <cell r="I54" t="str">
            <v>MEDALLONES DE POLLO GASTRONÓMICO  8x12x80 Grs.</v>
          </cell>
        </row>
        <row r="55">
          <cell r="C55">
            <v>100021728</v>
          </cell>
          <cell r="D55">
            <v>12</v>
          </cell>
          <cell r="E55">
            <v>10</v>
          </cell>
          <cell r="F55">
            <v>11</v>
          </cell>
          <cell r="G55">
            <v>110</v>
          </cell>
          <cell r="H55">
            <v>3.84</v>
          </cell>
          <cell r="I55" t="str">
            <v>MEDALLONES DE POLLO "SWIFT" - 12x4x80g</v>
          </cell>
        </row>
        <row r="57">
          <cell r="C57">
            <v>100520902</v>
          </cell>
          <cell r="D57">
            <v>14</v>
          </cell>
          <cell r="E57">
            <v>9</v>
          </cell>
          <cell r="F57">
            <v>12</v>
          </cell>
          <cell r="G57">
            <v>108</v>
          </cell>
          <cell r="H57">
            <v>4.5599999999999996</v>
          </cell>
          <cell r="I57" t="str">
            <v>PAPAS PRE COCIDAS SUPERCONGELADAS LIBRES DE GLUTEN 700G</v>
          </cell>
        </row>
        <row r="59">
          <cell r="C59">
            <v>100518158</v>
          </cell>
          <cell r="D59">
            <v>10</v>
          </cell>
          <cell r="H59">
            <v>12</v>
          </cell>
          <cell r="I59" t="str">
            <v>MILANESA DE CARNE VACUNA CONGELADA 24un x 500grs</v>
          </cell>
        </row>
        <row r="60">
          <cell r="C60">
            <v>100518160</v>
          </cell>
          <cell r="D60">
            <v>10</v>
          </cell>
          <cell r="H60">
            <v>12</v>
          </cell>
          <cell r="I60" t="str">
            <v>MILANESA DE CARNE VACUNA CONGELADA 12un x 1000grs</v>
          </cell>
        </row>
        <row r="61">
          <cell r="C61">
            <v>100518463</v>
          </cell>
          <cell r="D61">
            <v>10</v>
          </cell>
          <cell r="H61">
            <v>5</v>
          </cell>
          <cell r="I61" t="str">
            <v>MILANESAS DE CARNE VACUNA CONGELADA GRANEL 5kg</v>
          </cell>
        </row>
        <row r="63">
          <cell r="C63">
            <v>100517915</v>
          </cell>
          <cell r="D63">
            <v>10</v>
          </cell>
          <cell r="H63">
            <v>12</v>
          </cell>
          <cell r="I63" t="str">
            <v>CARNE PICADA CONGELADA 36 UN X 500 g SWIFT</v>
          </cell>
        </row>
        <row r="64">
          <cell r="C64">
            <v>100517914</v>
          </cell>
          <cell r="D64">
            <v>10</v>
          </cell>
          <cell r="H64">
            <v>12</v>
          </cell>
          <cell r="I64" t="str">
            <v>CARNE PICADA CONGELADA 20 UN X 1 kg SWIFT</v>
          </cell>
        </row>
      </sheetData>
      <sheetData sheetId="1">
        <row r="6">
          <cell r="C6">
            <v>100021000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SCOS y CONGELADOS"/>
      <sheetName val="UNTABLES Y SUBPRODUCTOS"/>
    </sheetNames>
    <sheetDataSet>
      <sheetData sheetId="0">
        <row r="5">
          <cell r="C5">
            <v>100021632</v>
          </cell>
          <cell r="D5">
            <v>30</v>
          </cell>
          <cell r="E5">
            <v>12</v>
          </cell>
          <cell r="F5">
            <v>8</v>
          </cell>
          <cell r="G5">
            <v>96</v>
          </cell>
          <cell r="H5">
            <v>4.8</v>
          </cell>
          <cell r="I5" t="str">
            <v>HAMBURGUESAS 30x160g CLASICA SWIFT</v>
          </cell>
        </row>
        <row r="6">
          <cell r="C6">
            <v>100021652</v>
          </cell>
          <cell r="D6">
            <v>18</v>
          </cell>
          <cell r="E6">
            <v>16</v>
          </cell>
          <cell r="F6">
            <v>9</v>
          </cell>
          <cell r="G6">
            <v>144</v>
          </cell>
          <cell r="H6">
            <v>5.76</v>
          </cell>
          <cell r="I6" t="str">
            <v>HAMBURGUESA 18X4X80G CLASICA SWIFT</v>
          </cell>
        </row>
        <row r="7">
          <cell r="C7">
            <v>100021631</v>
          </cell>
          <cell r="D7">
            <v>8</v>
          </cell>
          <cell r="E7">
            <v>10</v>
          </cell>
          <cell r="F7">
            <v>6</v>
          </cell>
          <cell r="G7">
            <v>60</v>
          </cell>
          <cell r="H7">
            <v>7.68</v>
          </cell>
          <cell r="I7" t="str">
            <v>HAMBURGUESA 8X12X80G CLASICA SWIFT</v>
          </cell>
        </row>
        <row r="8">
          <cell r="C8">
            <v>100021630</v>
          </cell>
          <cell r="D8">
            <v>6</v>
          </cell>
          <cell r="E8">
            <v>10</v>
          </cell>
          <cell r="F8">
            <v>4</v>
          </cell>
          <cell r="G8">
            <v>40</v>
          </cell>
          <cell r="H8">
            <v>9.6</v>
          </cell>
          <cell r="I8" t="str">
            <v xml:space="preserve">HAMBURGUESA 6X20X80G CLASICA SWIFT </v>
          </cell>
        </row>
        <row r="9">
          <cell r="C9">
            <v>100021676</v>
          </cell>
          <cell r="D9">
            <v>30</v>
          </cell>
          <cell r="E9">
            <v>11</v>
          </cell>
          <cell r="F9">
            <v>10</v>
          </cell>
          <cell r="G9">
            <v>110</v>
          </cell>
          <cell r="H9">
            <v>7.5</v>
          </cell>
          <cell r="I9" t="str">
            <v xml:space="preserve">HAMBURGUESA 30X250g CLASICA "XL" SWIFT </v>
          </cell>
        </row>
        <row r="10">
          <cell r="C10">
            <v>100021653</v>
          </cell>
          <cell r="D10">
            <v>18</v>
          </cell>
          <cell r="E10">
            <v>16</v>
          </cell>
          <cell r="F10">
            <v>9</v>
          </cell>
          <cell r="G10">
            <v>144</v>
          </cell>
          <cell r="H10">
            <v>5.76</v>
          </cell>
          <cell r="I10" t="str">
            <v>MEDALLON 18X4X80G PARRILLERO SWIFT</v>
          </cell>
        </row>
        <row r="11">
          <cell r="C11">
            <v>100516169</v>
          </cell>
          <cell r="D11">
            <v>18</v>
          </cell>
          <cell r="E11">
            <v>16</v>
          </cell>
          <cell r="F11">
            <v>9</v>
          </cell>
          <cell r="G11">
            <v>144</v>
          </cell>
          <cell r="H11">
            <v>5.76</v>
          </cell>
          <cell r="I11" t="str">
            <v>MEDALLONES 12X4X80G SWIFT RECETA ESPECIAL</v>
          </cell>
        </row>
        <row r="12">
          <cell r="C12">
            <v>100520834</v>
          </cell>
          <cell r="D12">
            <v>36</v>
          </cell>
          <cell r="E12">
            <v>12</v>
          </cell>
          <cell r="F12">
            <v>8</v>
          </cell>
          <cell r="G12">
            <v>96</v>
          </cell>
          <cell r="H12">
            <v>6.66</v>
          </cell>
          <cell r="I12" t="str">
            <v>HAMBURGUESA X-TREMA 36 x 185 grs</v>
          </cell>
        </row>
        <row r="13">
          <cell r="C13">
            <v>100516008</v>
          </cell>
          <cell r="D13">
            <v>24</v>
          </cell>
          <cell r="E13">
            <v>11</v>
          </cell>
          <cell r="F13">
            <v>10</v>
          </cell>
          <cell r="G13">
            <v>110</v>
          </cell>
          <cell r="H13">
            <v>5.76</v>
          </cell>
          <cell r="I13" t="str">
            <v>HAMBURGUESA 24X2X120g CASERA SWIFT</v>
          </cell>
        </row>
        <row r="14">
          <cell r="C14">
            <v>100516201</v>
          </cell>
          <cell r="D14">
            <v>8</v>
          </cell>
          <cell r="E14">
            <v>10</v>
          </cell>
          <cell r="F14">
            <v>7</v>
          </cell>
          <cell r="G14">
            <v>70</v>
          </cell>
          <cell r="H14">
            <v>6.6239999999999997</v>
          </cell>
          <cell r="I14" t="str">
            <v>HAMBURGUESA 8X12X69G BURGER SWIFT</v>
          </cell>
        </row>
        <row r="15">
          <cell r="C15">
            <v>100021503</v>
          </cell>
          <cell r="D15">
            <v>12</v>
          </cell>
          <cell r="E15">
            <v>17</v>
          </cell>
          <cell r="F15">
            <v>7</v>
          </cell>
          <cell r="G15">
            <v>119</v>
          </cell>
          <cell r="H15">
            <v>3.3119999999999998</v>
          </cell>
          <cell r="I15" t="str">
            <v>Hamburguesas CAJITA 12x4 69 grs</v>
          </cell>
        </row>
        <row r="16">
          <cell r="C16">
            <v>100021643</v>
          </cell>
          <cell r="D16">
            <v>42</v>
          </cell>
          <cell r="E16">
            <v>16</v>
          </cell>
          <cell r="F16">
            <v>8</v>
          </cell>
          <cell r="G16">
            <v>128</v>
          </cell>
          <cell r="H16">
            <v>4.7039999999999997</v>
          </cell>
          <cell r="I16" t="str">
            <v>MEDALLON 42X112G DOBLE BURGER SWIFT</v>
          </cell>
        </row>
        <row r="17">
          <cell r="C17">
            <v>100516325</v>
          </cell>
          <cell r="D17">
            <v>21</v>
          </cell>
          <cell r="E17">
            <v>16</v>
          </cell>
          <cell r="F17">
            <v>9</v>
          </cell>
          <cell r="G17">
            <v>144</v>
          </cell>
          <cell r="H17">
            <v>4.7039999999999997</v>
          </cell>
          <cell r="I17" t="str">
            <v>MEDALLON DOBLE BURGER 2X2</v>
          </cell>
        </row>
        <row r="18">
          <cell r="C18">
            <v>100520337</v>
          </cell>
          <cell r="D18">
            <v>30</v>
          </cell>
          <cell r="E18">
            <v>12</v>
          </cell>
          <cell r="F18">
            <v>8</v>
          </cell>
          <cell r="G18">
            <v>96</v>
          </cell>
          <cell r="H18">
            <v>4.8</v>
          </cell>
          <cell r="I18" t="str">
            <v>MEDALLON BURGER SWIFT MEGA 30 x 160 g</v>
          </cell>
        </row>
        <row r="19">
          <cell r="C19">
            <v>100021644</v>
          </cell>
          <cell r="D19">
            <v>42</v>
          </cell>
          <cell r="E19">
            <v>16</v>
          </cell>
          <cell r="F19">
            <v>8</v>
          </cell>
          <cell r="G19">
            <v>128</v>
          </cell>
          <cell r="H19">
            <v>4.7039999999999997</v>
          </cell>
          <cell r="I19" t="str">
            <v>MEDALLON 42X112G LA BLANCA</v>
          </cell>
        </row>
        <row r="20">
          <cell r="C20">
            <v>21575</v>
          </cell>
          <cell r="D20">
            <v>30</v>
          </cell>
          <cell r="E20">
            <v>16</v>
          </cell>
          <cell r="F20">
            <v>8</v>
          </cell>
          <cell r="G20">
            <v>128</v>
          </cell>
          <cell r="H20">
            <v>4.1399999999999997</v>
          </cell>
          <cell r="I20" t="str">
            <v>MEDALLONES 60 X 69 GRS SWIFT BURGUER PARRILLERAS FAMILY</v>
          </cell>
        </row>
        <row r="21">
          <cell r="C21">
            <v>21638</v>
          </cell>
          <cell r="D21">
            <v>30</v>
          </cell>
          <cell r="E21">
            <v>12</v>
          </cell>
          <cell r="F21">
            <v>8</v>
          </cell>
          <cell r="G21">
            <v>96</v>
          </cell>
          <cell r="H21">
            <v>4.9800000000000004</v>
          </cell>
          <cell r="I21" t="str">
            <v>MEDALLONES 60X80g "SWIFT BURGER" PARRILLERAS FAMILY</v>
          </cell>
        </row>
        <row r="22">
          <cell r="C22">
            <v>21514</v>
          </cell>
          <cell r="D22">
            <v>30</v>
          </cell>
          <cell r="E22">
            <v>16</v>
          </cell>
          <cell r="F22">
            <v>8</v>
          </cell>
          <cell r="G22">
            <v>128</v>
          </cell>
          <cell r="H22">
            <v>4.1399999999999997</v>
          </cell>
          <cell r="I22" t="str">
            <v>Medallon   60X69G Carne Vacuna</v>
          </cell>
        </row>
        <row r="23">
          <cell r="C23">
            <v>21504</v>
          </cell>
          <cell r="D23">
            <v>30</v>
          </cell>
          <cell r="E23">
            <v>12</v>
          </cell>
          <cell r="F23">
            <v>8</v>
          </cell>
          <cell r="G23">
            <v>96</v>
          </cell>
          <cell r="H23">
            <v>4.9800000000000004</v>
          </cell>
          <cell r="I23" t="str">
            <v>Medallón Parrilero MC Swift  x60 83 grs</v>
          </cell>
        </row>
        <row r="24">
          <cell r="C24">
            <v>21530</v>
          </cell>
          <cell r="D24">
            <v>20</v>
          </cell>
          <cell r="E24">
            <v>15</v>
          </cell>
          <cell r="F24">
            <v>7</v>
          </cell>
          <cell r="G24">
            <v>105</v>
          </cell>
          <cell r="H24">
            <v>4.3600000000000003</v>
          </cell>
          <cell r="I24" t="str">
            <v>MEDALLON 40X109G CARNE VACUNA PARRILLERO SWIFT</v>
          </cell>
        </row>
        <row r="25">
          <cell r="C25">
            <v>100021677</v>
          </cell>
          <cell r="D25">
            <v>12</v>
          </cell>
          <cell r="E25">
            <v>17</v>
          </cell>
          <cell r="F25">
            <v>7</v>
          </cell>
          <cell r="G25">
            <v>119</v>
          </cell>
          <cell r="H25">
            <v>4.7039999999999997</v>
          </cell>
          <cell r="I25" t="str">
            <v>MEDALLON 12x4X69G LA BLANCA</v>
          </cell>
        </row>
        <row r="27">
          <cell r="C27">
            <v>100022085</v>
          </cell>
          <cell r="D27">
            <v>24</v>
          </cell>
          <cell r="E27">
            <v>6</v>
          </cell>
          <cell r="F27">
            <v>25</v>
          </cell>
          <cell r="G27">
            <v>150</v>
          </cell>
          <cell r="H27">
            <v>5.4</v>
          </cell>
          <cell r="I27" t="str">
            <v>SALCHICHAS 24 x 6 SWIFT</v>
          </cell>
        </row>
        <row r="28">
          <cell r="C28">
            <v>100022072</v>
          </cell>
          <cell r="D28">
            <v>12</v>
          </cell>
          <cell r="E28">
            <v>6</v>
          </cell>
          <cell r="F28">
            <v>25</v>
          </cell>
          <cell r="G28">
            <v>150</v>
          </cell>
          <cell r="H28">
            <v>5.4</v>
          </cell>
          <cell r="I28" t="str">
            <v>SALCHICHAS 12 X 12 SWIFT</v>
          </cell>
        </row>
        <row r="29">
          <cell r="C29">
            <v>100022073</v>
          </cell>
          <cell r="D29">
            <v>6</v>
          </cell>
          <cell r="E29">
            <v>6</v>
          </cell>
          <cell r="F29">
            <v>25</v>
          </cell>
          <cell r="G29">
            <v>150</v>
          </cell>
          <cell r="H29">
            <v>5.4</v>
          </cell>
          <cell r="I29" t="str">
            <v>SALCHICHAS 6 X 24 SWIFT</v>
          </cell>
        </row>
        <row r="30">
          <cell r="C30">
            <v>100516849</v>
          </cell>
          <cell r="D30">
            <v>24</v>
          </cell>
          <cell r="E30">
            <v>6</v>
          </cell>
          <cell r="F30">
            <v>25</v>
          </cell>
          <cell r="G30">
            <v>150</v>
          </cell>
          <cell r="H30">
            <v>5.4</v>
          </cell>
          <cell r="I30" t="str">
            <v>SALCHICHAS SIN PIEL 24X6 "SWIFT KIDS" X 190 g</v>
          </cell>
        </row>
        <row r="31">
          <cell r="C31">
            <v>100022039</v>
          </cell>
          <cell r="D31">
            <v>10</v>
          </cell>
          <cell r="E31">
            <v>4</v>
          </cell>
          <cell r="F31">
            <v>16</v>
          </cell>
          <cell r="G31">
            <v>64</v>
          </cell>
          <cell r="H31">
            <v>8.6999999999999993</v>
          </cell>
          <cell r="I31" t="str">
            <v>SALCHICHAS LARGAS 10 x 12 SWIFT INSTITUCIONAL</v>
          </cell>
        </row>
        <row r="32">
          <cell r="C32">
            <v>100518151</v>
          </cell>
          <cell r="D32">
            <v>10</v>
          </cell>
          <cell r="E32">
            <v>4</v>
          </cell>
          <cell r="F32">
            <v>16</v>
          </cell>
          <cell r="G32">
            <v>64</v>
          </cell>
          <cell r="H32">
            <v>8.6999999999999993</v>
          </cell>
          <cell r="I32" t="str">
            <v>SALCHICHAS LARGAS 10 x 12 x 870g</v>
          </cell>
        </row>
        <row r="33">
          <cell r="C33">
            <v>100022058</v>
          </cell>
          <cell r="D33">
            <v>24</v>
          </cell>
          <cell r="E33">
            <v>6</v>
          </cell>
          <cell r="F33">
            <v>25</v>
          </cell>
          <cell r="G33">
            <v>150</v>
          </cell>
          <cell r="H33">
            <v>4.5599999990400004</v>
          </cell>
          <cell r="I33" t="str">
            <v>SALCHICHAS SIN PIEL "LA BLANCA"  24X6X190 Grs;</v>
          </cell>
        </row>
        <row r="35">
          <cell r="C35">
            <v>100520837</v>
          </cell>
          <cell r="D35">
            <v>12</v>
          </cell>
          <cell r="E35">
            <v>5</v>
          </cell>
          <cell r="F35">
            <v>12</v>
          </cell>
          <cell r="G35">
            <v>60</v>
          </cell>
          <cell r="H35">
            <v>4.8</v>
          </cell>
          <cell r="I35" t="str">
            <v>CHORIZOS FRESCOS DE CERDO LIBRE DE GLUTEN</v>
          </cell>
        </row>
        <row r="37">
          <cell r="C37">
            <v>100516217</v>
          </cell>
          <cell r="D37">
            <v>20</v>
          </cell>
          <cell r="E37">
            <v>5</v>
          </cell>
          <cell r="F37">
            <v>12</v>
          </cell>
          <cell r="G37">
            <v>60</v>
          </cell>
          <cell r="H37">
            <v>6.6</v>
          </cell>
          <cell r="I37" t="str">
            <v>MILANESAS DE  SOJA CLASICAS PREFRITA</v>
          </cell>
        </row>
        <row r="38">
          <cell r="C38">
            <v>100516214</v>
          </cell>
          <cell r="D38">
            <v>20</v>
          </cell>
          <cell r="E38">
            <v>5</v>
          </cell>
          <cell r="F38">
            <v>12</v>
          </cell>
          <cell r="G38">
            <v>60</v>
          </cell>
          <cell r="H38">
            <v>6.6</v>
          </cell>
          <cell r="I38" t="str">
            <v>MILANESAS DE  SOJA RELLENAS CON JAMON Y QUESO</v>
          </cell>
        </row>
        <row r="39">
          <cell r="C39">
            <v>100516215</v>
          </cell>
          <cell r="D39">
            <v>20</v>
          </cell>
          <cell r="E39">
            <v>5</v>
          </cell>
          <cell r="F39">
            <v>12</v>
          </cell>
          <cell r="G39">
            <v>60</v>
          </cell>
          <cell r="H39">
            <v>7.6</v>
          </cell>
          <cell r="I39" t="str">
            <v>MILANESAS DE  SOJA RELLENAS CON ESPINACA Y QUESO</v>
          </cell>
        </row>
        <row r="40">
          <cell r="C40">
            <v>100516216</v>
          </cell>
          <cell r="D40">
            <v>20</v>
          </cell>
          <cell r="E40">
            <v>5</v>
          </cell>
          <cell r="F40">
            <v>12</v>
          </cell>
          <cell r="G40">
            <v>60</v>
          </cell>
          <cell r="H40">
            <v>7.6</v>
          </cell>
          <cell r="I40" t="str">
            <v>MILANESAS DE  SOJA RELLENAS CON TOMATE Y QUESO</v>
          </cell>
        </row>
        <row r="42">
          <cell r="C42">
            <v>100521457</v>
          </cell>
          <cell r="D42">
            <v>16</v>
          </cell>
          <cell r="E42">
            <v>5</v>
          </cell>
          <cell r="F42">
            <v>12</v>
          </cell>
          <cell r="G42">
            <v>60</v>
          </cell>
          <cell r="H42">
            <v>4.8</v>
          </cell>
          <cell r="I42" t="str">
            <v>NUGGETS DE ESPINACA 300GR</v>
          </cell>
        </row>
        <row r="43">
          <cell r="C43">
            <v>100521455</v>
          </cell>
          <cell r="D43">
            <v>16</v>
          </cell>
          <cell r="E43">
            <v>5</v>
          </cell>
          <cell r="F43">
            <v>12</v>
          </cell>
          <cell r="G43">
            <v>60</v>
          </cell>
          <cell r="H43">
            <v>4.8</v>
          </cell>
          <cell r="I43" t="str">
            <v>NUGGETS DE BRÓCOLI 300GR</v>
          </cell>
        </row>
        <row r="44">
          <cell r="C44">
            <v>100521453</v>
          </cell>
          <cell r="D44">
            <v>18</v>
          </cell>
          <cell r="E44">
            <v>5</v>
          </cell>
          <cell r="F44">
            <v>12</v>
          </cell>
          <cell r="G44">
            <v>60</v>
          </cell>
          <cell r="H44">
            <v>5.4</v>
          </cell>
          <cell r="I44" t="str">
            <v>MEDALLÓN DE CALABAZA Y CHOCLO 300GR</v>
          </cell>
        </row>
        <row r="45">
          <cell r="C45">
            <v>100521454</v>
          </cell>
          <cell r="D45">
            <v>18</v>
          </cell>
          <cell r="E45">
            <v>5</v>
          </cell>
          <cell r="F45">
            <v>12</v>
          </cell>
          <cell r="G45">
            <v>60</v>
          </cell>
          <cell r="H45">
            <v>5.4</v>
          </cell>
          <cell r="I45" t="str">
            <v>MEDALLÓN DE ESPINACA 300GR</v>
          </cell>
        </row>
        <row r="47">
          <cell r="C47">
            <v>100021704</v>
          </cell>
          <cell r="D47">
            <v>12</v>
          </cell>
          <cell r="E47">
            <v>9</v>
          </cell>
          <cell r="F47">
            <v>12</v>
          </cell>
          <cell r="G47">
            <v>108</v>
          </cell>
          <cell r="H47">
            <v>4.5599999999999996</v>
          </cell>
          <cell r="I47" t="str">
            <v>BOCADITOS DE CARNE "SWIFT" - 12x380g</v>
          </cell>
        </row>
        <row r="48">
          <cell r="C48">
            <v>100521663</v>
          </cell>
          <cell r="D48">
            <v>12</v>
          </cell>
          <cell r="E48">
            <v>9</v>
          </cell>
          <cell r="F48">
            <v>12</v>
          </cell>
          <cell r="G48">
            <v>108</v>
          </cell>
          <cell r="H48">
            <v>4.5599999999999996</v>
          </cell>
          <cell r="I48" t="str">
            <v>MILANESITAS DE CARNE "SWIFT" - 12x400g</v>
          </cell>
        </row>
        <row r="49">
          <cell r="C49">
            <v>100021705</v>
          </cell>
          <cell r="D49">
            <v>12</v>
          </cell>
          <cell r="E49">
            <v>9</v>
          </cell>
          <cell r="F49">
            <v>12</v>
          </cell>
          <cell r="G49">
            <v>108</v>
          </cell>
          <cell r="H49">
            <v>4.5599999999999996</v>
          </cell>
          <cell r="I49" t="str">
            <v>BOCADITOS DE POLLO "SWIFT" - 12x380g</v>
          </cell>
        </row>
        <row r="50">
          <cell r="C50">
            <v>100521357</v>
          </cell>
          <cell r="D50">
            <v>12</v>
          </cell>
          <cell r="E50">
            <v>9</v>
          </cell>
          <cell r="F50">
            <v>12</v>
          </cell>
          <cell r="G50">
            <v>108</v>
          </cell>
          <cell r="H50">
            <v>4.5599999999999996</v>
          </cell>
          <cell r="I50" t="str">
            <v>CRUNCHIES DE POLLO "SWIFT" - 12x380g</v>
          </cell>
        </row>
        <row r="51">
          <cell r="C51">
            <v>100522130</v>
          </cell>
          <cell r="D51">
            <v>12</v>
          </cell>
          <cell r="E51">
            <v>9</v>
          </cell>
          <cell r="F51">
            <v>12</v>
          </cell>
          <cell r="G51">
            <v>108</v>
          </cell>
          <cell r="H51">
            <v>4.5599999999999996</v>
          </cell>
          <cell r="I51" t="str">
            <v>BOCADITOS DE POLLO "SWIFT KIDS" - 12x400g</v>
          </cell>
        </row>
        <row r="52">
          <cell r="C52">
            <v>100021709</v>
          </cell>
          <cell r="D52">
            <v>10</v>
          </cell>
          <cell r="E52">
            <v>5</v>
          </cell>
          <cell r="F52">
            <v>12</v>
          </cell>
          <cell r="G52">
            <v>60</v>
          </cell>
          <cell r="H52">
            <v>7.6</v>
          </cell>
          <cell r="I52" t="str">
            <v>BOCADITOS DE POLLO "SWIFT" - 10x760g</v>
          </cell>
        </row>
        <row r="53">
          <cell r="C53">
            <v>100021725</v>
          </cell>
          <cell r="D53">
            <v>6</v>
          </cell>
          <cell r="H53">
            <v>6</v>
          </cell>
          <cell r="I53" t="str">
            <v>BOCADITOS DE POLLO GASTRONOMICOS "LA BLANCA" - x6kg</v>
          </cell>
        </row>
        <row r="54">
          <cell r="C54">
            <v>100517055</v>
          </cell>
          <cell r="D54">
            <v>12</v>
          </cell>
          <cell r="H54">
            <v>3.12</v>
          </cell>
          <cell r="I54" t="str">
            <v>PALITO DE POLLO "SWIFT"  12 X 260 Grs.</v>
          </cell>
        </row>
        <row r="55">
          <cell r="C55">
            <v>100517186</v>
          </cell>
          <cell r="D55">
            <v>8</v>
          </cell>
          <cell r="H55">
            <v>8</v>
          </cell>
          <cell r="I55" t="str">
            <v>PALITO DE POLLO "SWIFT"  8 X 1 Kg..</v>
          </cell>
        </row>
        <row r="56">
          <cell r="C56">
            <v>100517679</v>
          </cell>
          <cell r="D56">
            <v>8</v>
          </cell>
          <cell r="I56" t="str">
            <v>MEDALLONES DE POLLO GASTRONÓMICO  8x12x80 Grs.</v>
          </cell>
        </row>
        <row r="57">
          <cell r="C57">
            <v>100021728</v>
          </cell>
          <cell r="D57">
            <v>12</v>
          </cell>
          <cell r="E57">
            <v>10</v>
          </cell>
          <cell r="F57">
            <v>11</v>
          </cell>
          <cell r="G57">
            <v>110</v>
          </cell>
          <cell r="H57">
            <v>3.84</v>
          </cell>
          <cell r="I57" t="str">
            <v>MEDALLONES DE POLLO "SWIFT" - 12x4x80g</v>
          </cell>
        </row>
        <row r="59">
          <cell r="C59">
            <v>100520902</v>
          </cell>
          <cell r="D59">
            <v>14</v>
          </cell>
          <cell r="E59">
            <v>9</v>
          </cell>
          <cell r="F59">
            <v>12</v>
          </cell>
          <cell r="G59">
            <v>108</v>
          </cell>
          <cell r="H59">
            <v>4.5599999999999996</v>
          </cell>
          <cell r="I59" t="str">
            <v>PAPAS PRE COCIDAS SUPERCONGELADAS LIBRES DE GLUTEN 700G</v>
          </cell>
        </row>
        <row r="61">
          <cell r="C61">
            <v>100518158</v>
          </cell>
          <cell r="D61">
            <v>10</v>
          </cell>
          <cell r="H61">
            <v>12</v>
          </cell>
          <cell r="I61" t="str">
            <v>MILANESA DE CARNE VACUNA CONGELADA 24un x 500grs</v>
          </cell>
        </row>
        <row r="62">
          <cell r="C62">
            <v>100518160</v>
          </cell>
          <cell r="D62">
            <v>10</v>
          </cell>
          <cell r="H62">
            <v>12</v>
          </cell>
          <cell r="I62" t="str">
            <v>MILANESA DE CARNE VACUNA CONGELADA 12un x 1000grs</v>
          </cell>
        </row>
        <row r="63">
          <cell r="C63">
            <v>100518463</v>
          </cell>
          <cell r="D63">
            <v>10</v>
          </cell>
          <cell r="H63">
            <v>5</v>
          </cell>
          <cell r="I63" t="str">
            <v>MILANESAS DE CARNE VACUNA CONGELADA GRANEL 5kg</v>
          </cell>
        </row>
      </sheetData>
      <sheetData sheetId="1">
        <row r="6">
          <cell r="C6">
            <v>100021000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39"/>
  <sheetViews>
    <sheetView showGridLines="0" tabSelected="1" zoomScale="70" zoomScaleNormal="70" workbookViewId="0">
      <selection activeCell="E40" sqref="E40"/>
    </sheetView>
  </sheetViews>
  <sheetFormatPr baseColWidth="10" defaultRowHeight="14.5" x14ac:dyDescent="0.35"/>
  <cols>
    <col min="1" max="1" width="3.54296875" customWidth="1"/>
    <col min="2" max="2" width="26.26953125" customWidth="1"/>
    <col min="3" max="3" width="45" bestFit="1" customWidth="1"/>
    <col min="4" max="4" width="17.81640625" customWidth="1"/>
    <col min="5" max="5" width="21.1796875" customWidth="1"/>
    <col min="6" max="6" width="21.453125" bestFit="1" customWidth="1"/>
    <col min="8" max="8" width="57.54296875" customWidth="1"/>
    <col min="9" max="11" width="28.7265625" customWidth="1"/>
    <col min="12" max="12" width="47.1796875" bestFit="1" customWidth="1"/>
  </cols>
  <sheetData>
    <row r="1" spans="2:23" ht="12.75" customHeight="1" thickBot="1" x14ac:dyDescent="0.4"/>
    <row r="2" spans="2:23" ht="15" thickBot="1" x14ac:dyDescent="0.4">
      <c r="B2" s="9" t="s">
        <v>4</v>
      </c>
      <c r="C2" s="12" t="s">
        <v>47</v>
      </c>
      <c r="D2" s="13"/>
      <c r="E2" s="1"/>
      <c r="F2" s="1"/>
      <c r="G2" s="1"/>
      <c r="H2" s="2"/>
      <c r="I2" s="2"/>
      <c r="J2" s="2"/>
      <c r="K2" s="2"/>
      <c r="L2" s="2"/>
    </row>
    <row r="3" spans="2:23" ht="15" thickBot="1" x14ac:dyDescent="0.4">
      <c r="B3" s="10" t="s">
        <v>5</v>
      </c>
      <c r="C3" s="12"/>
      <c r="D3" s="14"/>
      <c r="H3" s="3"/>
      <c r="I3" s="3"/>
      <c r="J3" s="3"/>
      <c r="K3" s="3"/>
      <c r="L3" s="3"/>
    </row>
    <row r="4" spans="2:23" ht="15" thickBot="1" x14ac:dyDescent="0.4">
      <c r="B4" s="11" t="s">
        <v>3</v>
      </c>
      <c r="C4" s="29">
        <v>0.55000000000000004</v>
      </c>
      <c r="D4" s="15"/>
      <c r="E4" s="4"/>
      <c r="F4" s="4"/>
      <c r="G4" s="4"/>
      <c r="H4" s="5"/>
      <c r="I4" s="5"/>
      <c r="J4" s="5"/>
      <c r="K4" s="5"/>
      <c r="L4" s="5"/>
    </row>
    <row r="5" spans="2:23" ht="11.25" customHeight="1" thickBot="1" x14ac:dyDescent="0.4"/>
    <row r="6" spans="2:23" ht="51" customHeight="1" x14ac:dyDescent="0.35">
      <c r="B6" s="19" t="s">
        <v>0</v>
      </c>
      <c r="C6" s="7" t="s">
        <v>6</v>
      </c>
      <c r="D6" s="26" t="s">
        <v>1</v>
      </c>
      <c r="E6" s="16" t="s">
        <v>7</v>
      </c>
      <c r="F6" s="16" t="s">
        <v>8</v>
      </c>
      <c r="G6" s="7" t="s">
        <v>2</v>
      </c>
      <c r="H6" s="20" t="s">
        <v>9</v>
      </c>
      <c r="I6" s="21" t="s">
        <v>13</v>
      </c>
      <c r="J6" s="21" t="s">
        <v>12</v>
      </c>
      <c r="K6" s="21" t="s">
        <v>10</v>
      </c>
      <c r="L6" s="22" t="s">
        <v>11</v>
      </c>
    </row>
    <row r="7" spans="2:23" ht="15" customHeight="1" x14ac:dyDescent="0.35">
      <c r="B7" s="34">
        <v>100021503</v>
      </c>
      <c r="C7" s="38" t="str">
        <f>VLOOKUP(B7,'[1]FRESCOS y CONGELADOS'!$C$5:$I$64,7,0)</f>
        <v>Hamburguesas CAJITA 12x4 69 grs</v>
      </c>
      <c r="D7" s="36">
        <v>3512.3774383078244</v>
      </c>
      <c r="E7" s="23">
        <v>3850</v>
      </c>
      <c r="F7" s="35" t="s">
        <v>38</v>
      </c>
      <c r="G7" s="17">
        <f t="shared" ref="G7:G39" si="0">+(E7-D7)/E7</f>
        <v>8.7694171868097567E-2</v>
      </c>
      <c r="H7" s="6" t="s">
        <v>48</v>
      </c>
      <c r="I7" s="6"/>
      <c r="J7" s="6"/>
      <c r="K7" s="24"/>
      <c r="L7" s="6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2:23" ht="15" customHeight="1" x14ac:dyDescent="0.35">
      <c r="B8" s="27">
        <v>100021631</v>
      </c>
      <c r="C8" s="38" t="str">
        <f>VLOOKUP(B8,'[1]FRESCOS y CONGELADOS'!$C$5:$I$64,7,0)</f>
        <v>HAMBURGUESA 8X12X80G CLASICA SWIFT</v>
      </c>
      <c r="D8" s="36">
        <v>18229.701929986248</v>
      </c>
      <c r="E8" s="23">
        <v>16583</v>
      </c>
      <c r="F8" s="18" t="s">
        <v>14</v>
      </c>
      <c r="G8" s="17">
        <f t="shared" si="0"/>
        <v>-9.9300604835448822E-2</v>
      </c>
      <c r="H8" s="6" t="s">
        <v>49</v>
      </c>
      <c r="I8" s="6"/>
      <c r="J8" s="6"/>
      <c r="K8" s="24"/>
      <c r="L8" s="6"/>
    </row>
    <row r="9" spans="2:23" ht="15" customHeight="1" x14ac:dyDescent="0.35">
      <c r="B9" s="27">
        <v>100021632</v>
      </c>
      <c r="C9" s="38" t="str">
        <f>VLOOKUP(B9,'[1]FRESCOS y CONGELADOS'!$C$5:$I$64,7,0)</f>
        <v>HAMBURGUESAS 30x160g CLASICA SWIFT</v>
      </c>
      <c r="D9" s="36">
        <v>2907.4800458041022</v>
      </c>
      <c r="E9" s="23">
        <v>2904.6</v>
      </c>
      <c r="F9" s="18" t="s">
        <v>14</v>
      </c>
      <c r="G9" s="17">
        <f t="shared" si="0"/>
        <v>-9.9154644498462364E-4</v>
      </c>
      <c r="H9" s="6" t="s">
        <v>48</v>
      </c>
      <c r="I9" s="6"/>
      <c r="J9" s="6"/>
      <c r="K9" s="24"/>
      <c r="L9" s="6"/>
    </row>
    <row r="10" spans="2:23" ht="15" customHeight="1" x14ac:dyDescent="0.35">
      <c r="B10" s="27">
        <v>100021676</v>
      </c>
      <c r="C10" s="38" t="str">
        <f>VLOOKUP(B10,'[1]FRESCOS y CONGELADOS'!$C$5:$I$64,7,0)</f>
        <v xml:space="preserve">HAMBURGUESA 30X250g CLASICA "XL" SWIFT </v>
      </c>
      <c r="D10" s="36">
        <v>4283.3285936957327</v>
      </c>
      <c r="E10" s="23">
        <v>4120</v>
      </c>
      <c r="F10" s="18" t="s">
        <v>30</v>
      </c>
      <c r="G10" s="17">
        <f t="shared" si="0"/>
        <v>-3.9642862547507936E-2</v>
      </c>
      <c r="H10" s="6" t="s">
        <v>50</v>
      </c>
      <c r="I10" s="6"/>
      <c r="J10" s="6"/>
      <c r="K10" s="24"/>
      <c r="L10" s="6"/>
    </row>
    <row r="11" spans="2:23" ht="15" customHeight="1" x14ac:dyDescent="0.35">
      <c r="B11" s="27">
        <v>100516008</v>
      </c>
      <c r="C11" s="38" t="str">
        <f>VLOOKUP(B11,'[1]FRESCOS y CONGELADOS'!$C$5:$I$64,7,0)</f>
        <v>HAMBURGUESA 24X2X120g CASERA SWIFT</v>
      </c>
      <c r="D11" s="36">
        <v>5083.9387243716601</v>
      </c>
      <c r="E11" s="23">
        <v>0</v>
      </c>
      <c r="F11" s="18"/>
      <c r="G11" s="17" t="e">
        <f t="shared" si="0"/>
        <v>#DIV/0!</v>
      </c>
      <c r="H11" s="6" t="s">
        <v>50</v>
      </c>
      <c r="I11" s="6"/>
      <c r="J11" s="6"/>
      <c r="K11" s="24"/>
      <c r="L11" s="6"/>
    </row>
    <row r="12" spans="2:23" ht="15" customHeight="1" x14ac:dyDescent="0.35">
      <c r="B12" s="28">
        <v>100516201</v>
      </c>
      <c r="C12" s="38" t="str">
        <f>VLOOKUP(B12,'[1]FRESCOS y CONGELADOS'!$C$5:$I$64,7,0)</f>
        <v>HAMBURGUESA 8X12X69G BURGER SWIFT</v>
      </c>
      <c r="D12" s="36">
        <v>11577.523179242553</v>
      </c>
      <c r="E12" s="23">
        <v>0</v>
      </c>
      <c r="F12" s="18"/>
      <c r="G12" s="17" t="e">
        <f t="shared" si="0"/>
        <v>#DIV/0!</v>
      </c>
      <c r="H12" s="6" t="s">
        <v>48</v>
      </c>
      <c r="I12" s="6"/>
      <c r="J12" s="6"/>
      <c r="K12" s="24"/>
      <c r="L12" s="6"/>
    </row>
    <row r="13" spans="2:23" ht="15" customHeight="1" x14ac:dyDescent="0.35">
      <c r="B13" s="28">
        <v>100021643</v>
      </c>
      <c r="C13" s="38" t="str">
        <f>VLOOKUP(B13,'[1]FRESCOS y CONGELADOS'!$C$5:$I$64,7,0)</f>
        <v>MEDALLON 42X112G DOBLE BURGER SWIFT</v>
      </c>
      <c r="D13" s="36">
        <v>1402.4009938688525</v>
      </c>
      <c r="E13" s="23">
        <v>1400</v>
      </c>
      <c r="F13" s="18" t="s">
        <v>15</v>
      </c>
      <c r="G13" s="17">
        <f t="shared" si="0"/>
        <v>-1.7149956206089557E-3</v>
      </c>
      <c r="H13" s="6" t="s">
        <v>41</v>
      </c>
      <c r="I13" s="6"/>
      <c r="J13" s="6"/>
      <c r="K13" s="24"/>
      <c r="L13" s="6"/>
    </row>
    <row r="14" spans="2:23" ht="15" customHeight="1" x14ac:dyDescent="0.35">
      <c r="B14" s="28">
        <v>100516325</v>
      </c>
      <c r="C14" s="38" t="str">
        <f>VLOOKUP(B14,'[1]FRESCOS y CONGELADOS'!$C$5:$I$64,7,0)</f>
        <v>MEDALLON DOBLE BURGER 2X2</v>
      </c>
      <c r="D14" s="36">
        <v>3103.2882993781941</v>
      </c>
      <c r="E14" s="23">
        <v>1854</v>
      </c>
      <c r="F14" s="18" t="s">
        <v>29</v>
      </c>
      <c r="G14" s="17">
        <f t="shared" si="0"/>
        <v>-0.67383403418457066</v>
      </c>
      <c r="H14" s="6" t="s">
        <v>48</v>
      </c>
      <c r="I14" s="6"/>
      <c r="J14" s="6"/>
      <c r="K14" s="6"/>
      <c r="L14" s="6"/>
    </row>
    <row r="15" spans="2:23" x14ac:dyDescent="0.35">
      <c r="B15" s="28">
        <v>100021644</v>
      </c>
      <c r="C15" s="38" t="str">
        <f>VLOOKUP(B15,'[1]FRESCOS y CONGELADOS'!$C$5:$I$64,7,0)</f>
        <v>MEDALLON 42X112G LA BLANCA</v>
      </c>
      <c r="D15" s="36">
        <v>1001.714761171788</v>
      </c>
      <c r="E15" s="23">
        <v>999</v>
      </c>
      <c r="F15" s="18" t="s">
        <v>15</v>
      </c>
      <c r="G15" s="17">
        <f t="shared" si="0"/>
        <v>-2.7174786504384793E-3</v>
      </c>
      <c r="H15" s="6" t="s">
        <v>45</v>
      </c>
      <c r="I15" s="6">
        <v>0</v>
      </c>
      <c r="J15" s="6">
        <v>40</v>
      </c>
      <c r="K15" s="6"/>
      <c r="L15" s="6"/>
    </row>
    <row r="16" spans="2:23" x14ac:dyDescent="0.35">
      <c r="B16" s="28">
        <v>100022085</v>
      </c>
      <c r="C16" s="38" t="str">
        <f>VLOOKUP(B16,'[1]FRESCOS y CONGELADOS'!$C$5:$I$64,7,0)</f>
        <v>SALCHICHAS 24 x 6 SWIFT</v>
      </c>
      <c r="D16" s="36">
        <v>2231.0133042384832</v>
      </c>
      <c r="E16" s="23">
        <v>1800</v>
      </c>
      <c r="F16" s="18" t="s">
        <v>16</v>
      </c>
      <c r="G16" s="17">
        <f t="shared" si="0"/>
        <v>-0.23945183568804623</v>
      </c>
      <c r="H16" s="6" t="s">
        <v>37</v>
      </c>
      <c r="I16" s="6"/>
      <c r="J16" s="6"/>
      <c r="K16" s="6"/>
      <c r="L16" s="6"/>
    </row>
    <row r="17" spans="2:12" x14ac:dyDescent="0.35">
      <c r="B17" s="28">
        <v>100022072</v>
      </c>
      <c r="C17" s="38" t="str">
        <f>VLOOKUP(B17,'[1]FRESCOS y CONGELADOS'!$C$5:$I$64,7,0)</f>
        <v>SALCHICHAS 12 X 12 SWIFT</v>
      </c>
      <c r="D17" s="36">
        <v>3990.0188306783148</v>
      </c>
      <c r="E17" s="23">
        <v>3600</v>
      </c>
      <c r="F17" s="18" t="s">
        <v>16</v>
      </c>
      <c r="G17" s="17">
        <f t="shared" si="0"/>
        <v>-0.10833856407730966</v>
      </c>
      <c r="H17" s="6" t="s">
        <v>51</v>
      </c>
      <c r="I17" s="6"/>
      <c r="J17" s="6"/>
      <c r="K17" s="6"/>
      <c r="L17" s="6"/>
    </row>
    <row r="18" spans="2:12" x14ac:dyDescent="0.35">
      <c r="B18" s="28">
        <v>100022039</v>
      </c>
      <c r="C18" s="38" t="str">
        <f>VLOOKUP(B18,'[1]FRESCOS y CONGELADOS'!$C$5:$I$64,7,0)</f>
        <v>SALCHICHAS LARGAS 10 x 12 SWIFT INSTITUCIONAL</v>
      </c>
      <c r="D18" s="36">
        <v>10500.007912901248</v>
      </c>
      <c r="E18" s="23">
        <v>9500</v>
      </c>
      <c r="F18" s="18" t="s">
        <v>15</v>
      </c>
      <c r="G18" s="17">
        <f t="shared" si="0"/>
        <v>-0.10526399083171036</v>
      </c>
      <c r="H18" s="6" t="s">
        <v>37</v>
      </c>
      <c r="I18" s="6"/>
      <c r="J18" s="6"/>
      <c r="K18" s="6"/>
      <c r="L18" s="6"/>
    </row>
    <row r="19" spans="2:12" x14ac:dyDescent="0.35">
      <c r="B19" s="28">
        <v>100516849</v>
      </c>
      <c r="C19" s="38" t="str">
        <f>VLOOKUP(B19,'[1]FRESCOS y CONGELADOS'!$C$5:$I$64,7,0)</f>
        <v>SALCHICHAS SIN PIEL 24X6 "SWIFT KIDS" X 190 g</v>
      </c>
      <c r="D19" s="36">
        <v>1725.4829080163279</v>
      </c>
      <c r="E19" s="23">
        <v>1850</v>
      </c>
      <c r="F19" s="18" t="s">
        <v>26</v>
      </c>
      <c r="G19" s="17">
        <f t="shared" si="0"/>
        <v>6.7306536207390327E-2</v>
      </c>
      <c r="H19" s="6" t="s">
        <v>39</v>
      </c>
      <c r="I19" s="6">
        <v>0</v>
      </c>
      <c r="J19" s="6">
        <v>25</v>
      </c>
      <c r="K19" s="6"/>
      <c r="L19" s="6"/>
    </row>
    <row r="20" spans="2:12" x14ac:dyDescent="0.35">
      <c r="B20" s="28">
        <v>100022058</v>
      </c>
      <c r="C20" s="38" t="str">
        <f>VLOOKUP(B20,'[1]FRESCOS y CONGELADOS'!$C$5:$I$64,7,0)</f>
        <v>SALCHICHAS SIN PIEL "LA BLANCA"  24X6X190 Grs;</v>
      </c>
      <c r="D20" s="36">
        <v>1166.7184274028575</v>
      </c>
      <c r="E20" s="23">
        <v>1016.5000000000001</v>
      </c>
      <c r="F20" s="18" t="s">
        <v>42</v>
      </c>
      <c r="G20" s="17">
        <f t="shared" si="0"/>
        <v>-0.1477800564710845</v>
      </c>
      <c r="H20" s="6" t="s">
        <v>32</v>
      </c>
      <c r="I20" s="6"/>
      <c r="J20" s="6"/>
      <c r="K20" s="6"/>
      <c r="L20" s="6"/>
    </row>
    <row r="21" spans="2:12" x14ac:dyDescent="0.35">
      <c r="B21" s="28">
        <v>100516214</v>
      </c>
      <c r="C21" s="38" t="str">
        <f>VLOOKUP(B21,'[1]FRESCOS y CONGELADOS'!$C$5:$I$64,7,0)</f>
        <v>MILANESAS DE  SOJA RELLENAS CON JAMON Y QUESO</v>
      </c>
      <c r="D21" s="36">
        <v>3459.2191343875002</v>
      </c>
      <c r="E21" s="23">
        <v>3750</v>
      </c>
      <c r="F21" s="18" t="s">
        <v>27</v>
      </c>
      <c r="G21" s="17">
        <f t="shared" si="0"/>
        <v>7.7541564163333285E-2</v>
      </c>
      <c r="H21" s="6" t="s">
        <v>40</v>
      </c>
      <c r="I21" s="6"/>
      <c r="J21" s="6"/>
      <c r="K21" s="6"/>
      <c r="L21" s="6"/>
    </row>
    <row r="22" spans="2:12" x14ac:dyDescent="0.35">
      <c r="B22" s="28">
        <v>100516217</v>
      </c>
      <c r="C22" s="38" t="str">
        <f>VLOOKUP(B22,'[1]FRESCOS y CONGELADOS'!$C$5:$I$64,7,0)</f>
        <v>MILANESAS DE  SOJA CLASICAS PREFRITA</v>
      </c>
      <c r="D22" s="36">
        <v>2545.30934164375</v>
      </c>
      <c r="E22" s="23">
        <v>2200</v>
      </c>
      <c r="F22" s="18" t="s">
        <v>28</v>
      </c>
      <c r="G22" s="17">
        <f t="shared" si="0"/>
        <v>-0.15695879165625001</v>
      </c>
      <c r="H22" s="6" t="s">
        <v>40</v>
      </c>
      <c r="I22" s="6"/>
      <c r="J22" s="6"/>
      <c r="K22" s="6"/>
      <c r="L22" s="6"/>
    </row>
    <row r="23" spans="2:12" x14ac:dyDescent="0.35">
      <c r="B23" s="28">
        <v>100021704</v>
      </c>
      <c r="C23" s="38" t="str">
        <f>VLOOKUP(B23,'[1]FRESCOS y CONGELADOS'!$C$5:$I$64,7,0)</f>
        <v>BOCADITOS DE CARNE "SWIFT" - 12x380g</v>
      </c>
      <c r="D23" s="36">
        <v>6694.7707337499996</v>
      </c>
      <c r="E23" s="23"/>
      <c r="F23" s="18"/>
      <c r="G23" s="17" t="e">
        <f t="shared" si="0"/>
        <v>#DIV/0!</v>
      </c>
      <c r="H23" s="6" t="s">
        <v>31</v>
      </c>
      <c r="I23" s="6"/>
      <c r="J23" s="6"/>
      <c r="K23" s="6"/>
      <c r="L23" s="6"/>
    </row>
    <row r="24" spans="2:12" x14ac:dyDescent="0.35">
      <c r="B24" s="28">
        <v>100522130</v>
      </c>
      <c r="C24" s="38" t="str">
        <f>VLOOKUP(B24,'[2]FRESCOS y CONGELADOS'!$C$5:$I$64,7,0)</f>
        <v>BOCADITOS DE POLLO "SWIFT KIDS" - 12x400g</v>
      </c>
      <c r="D24" s="36">
        <v>5416.5934086000016</v>
      </c>
      <c r="E24" s="23">
        <v>4900</v>
      </c>
      <c r="F24" s="18" t="s">
        <v>46</v>
      </c>
      <c r="G24" s="17">
        <f t="shared" si="0"/>
        <v>-0.10542722624489828</v>
      </c>
      <c r="H24" s="6" t="s">
        <v>31</v>
      </c>
      <c r="I24" s="6"/>
      <c r="J24" s="6"/>
      <c r="K24" s="6"/>
      <c r="L24" s="6"/>
    </row>
    <row r="25" spans="2:12" x14ac:dyDescent="0.35">
      <c r="B25" s="28">
        <v>100521357</v>
      </c>
      <c r="C25" s="38" t="str">
        <f>VLOOKUP(B25,'[2]FRESCOS y CONGELADOS'!$C$5:$I$64,7,0)</f>
        <v>CRUNCHIES DE POLLO "SWIFT" - 12x380g</v>
      </c>
      <c r="D25" s="36">
        <v>6635.0824773750001</v>
      </c>
      <c r="E25" s="23">
        <v>7550</v>
      </c>
      <c r="F25" s="18" t="s">
        <v>27</v>
      </c>
      <c r="G25" s="17">
        <f t="shared" si="0"/>
        <v>0.1211811288245033</v>
      </c>
      <c r="H25" s="6" t="s">
        <v>31</v>
      </c>
      <c r="I25" s="6"/>
      <c r="J25" s="6"/>
      <c r="K25" s="6"/>
      <c r="L25" s="6"/>
    </row>
    <row r="26" spans="2:12" x14ac:dyDescent="0.35">
      <c r="B26" s="28">
        <v>100520902</v>
      </c>
      <c r="C26" s="38" t="str">
        <f>VLOOKUP(B26,'[1]FRESCOS y CONGELADOS'!$C$5:$I$64,7,0)</f>
        <v>PAPAS PRE COCIDAS SUPERCONGELADAS LIBRES DE GLUTEN 700G</v>
      </c>
      <c r="D26" s="36">
        <v>4035.2203031249996</v>
      </c>
      <c r="E26" s="23">
        <v>4350</v>
      </c>
      <c r="F26" s="18" t="s">
        <v>34</v>
      </c>
      <c r="G26" s="17">
        <f t="shared" si="0"/>
        <v>7.2363148706896627E-2</v>
      </c>
      <c r="H26" s="6" t="s">
        <v>40</v>
      </c>
      <c r="I26" s="6"/>
      <c r="J26" s="6"/>
      <c r="K26" s="6"/>
      <c r="L26" s="6"/>
    </row>
    <row r="27" spans="2:12" x14ac:dyDescent="0.35">
      <c r="B27" s="28">
        <v>100517679</v>
      </c>
      <c r="C27" s="38" t="str">
        <f>VLOOKUP(B27,'[1]FRESCOS y CONGELADOS'!$C$5:$I$64,7,0)</f>
        <v>MEDALLONES DE POLLO GASTRONÓMICO  8x12x80 Grs.</v>
      </c>
      <c r="D27" s="36">
        <v>8266.2924045901455</v>
      </c>
      <c r="E27" s="23"/>
      <c r="F27" s="18"/>
      <c r="G27" s="17" t="e">
        <f t="shared" si="0"/>
        <v>#DIV/0!</v>
      </c>
      <c r="H27" s="6" t="s">
        <v>31</v>
      </c>
      <c r="I27" s="6"/>
      <c r="J27" s="6"/>
      <c r="K27" s="6"/>
      <c r="L27" s="6"/>
    </row>
    <row r="28" spans="2:12" x14ac:dyDescent="0.35">
      <c r="B28" s="28">
        <v>100517186</v>
      </c>
      <c r="C28" s="38" t="str">
        <f>VLOOKUP(B28,'[1]FRESCOS y CONGELADOS'!$C$5:$I$64,7,0)</f>
        <v>PALITO DE POLLO "SWIFT"  8 X 1 Kg..</v>
      </c>
      <c r="D28" s="36">
        <v>16541.876189456336</v>
      </c>
      <c r="E28" s="23"/>
      <c r="F28" s="18"/>
      <c r="G28" s="17" t="e">
        <f t="shared" si="0"/>
        <v>#DIV/0!</v>
      </c>
      <c r="H28" s="6" t="s">
        <v>31</v>
      </c>
      <c r="I28" s="6"/>
      <c r="J28" s="6"/>
      <c r="K28" s="6"/>
      <c r="L28" s="6"/>
    </row>
    <row r="29" spans="2:12" x14ac:dyDescent="0.35">
      <c r="B29" s="28">
        <v>100021725</v>
      </c>
      <c r="C29" s="38" t="str">
        <f>VLOOKUP(B29,'[1]FRESCOS y CONGELADOS'!$C$5:$I$64,7,0)</f>
        <v>BOCADITOS DE POLLO GASTRONOMICOS "LA BLANCA" - x6kg</v>
      </c>
      <c r="D29" s="36">
        <v>13110.587457792766</v>
      </c>
      <c r="E29" s="23">
        <v>11400</v>
      </c>
      <c r="F29" s="18" t="s">
        <v>35</v>
      </c>
      <c r="G29" s="17">
        <f t="shared" si="0"/>
        <v>-0.15005153138533037</v>
      </c>
      <c r="H29" s="6" t="s">
        <v>36</v>
      </c>
      <c r="I29" s="6"/>
      <c r="J29" s="6"/>
      <c r="K29" s="6"/>
      <c r="L29" s="6"/>
    </row>
    <row r="30" spans="2:12" x14ac:dyDescent="0.35">
      <c r="B30" s="28">
        <v>100021000</v>
      </c>
      <c r="C30" s="38" t="s">
        <v>17</v>
      </c>
      <c r="D30" s="36">
        <v>1037.1104403711911</v>
      </c>
      <c r="E30" s="23"/>
      <c r="F30" s="18"/>
      <c r="G30" s="17" t="e">
        <f t="shared" si="0"/>
        <v>#DIV/0!</v>
      </c>
      <c r="H30" s="6" t="s">
        <v>40</v>
      </c>
      <c r="I30" s="6"/>
      <c r="J30" s="6"/>
      <c r="K30" s="6"/>
      <c r="L30" s="6"/>
    </row>
    <row r="31" spans="2:12" x14ac:dyDescent="0.35">
      <c r="B31" s="30">
        <v>100021006</v>
      </c>
      <c r="C31" s="39" t="s">
        <v>18</v>
      </c>
      <c r="D31" s="36">
        <v>1037.1104403711918</v>
      </c>
      <c r="E31" s="31"/>
      <c r="F31" s="32"/>
      <c r="G31" s="33" t="e">
        <f t="shared" si="0"/>
        <v>#DIV/0!</v>
      </c>
      <c r="H31" s="6" t="s">
        <v>40</v>
      </c>
      <c r="I31" s="37"/>
      <c r="J31" s="37"/>
      <c r="K31" s="37"/>
      <c r="L31" s="37"/>
    </row>
    <row r="32" spans="2:12" x14ac:dyDescent="0.35">
      <c r="B32" s="30">
        <v>100021054</v>
      </c>
      <c r="C32" s="39" t="s">
        <v>19</v>
      </c>
      <c r="D32" s="36">
        <v>1290.2142604515584</v>
      </c>
      <c r="E32" s="31"/>
      <c r="F32" s="32"/>
      <c r="G32" s="33" t="e">
        <f t="shared" si="0"/>
        <v>#DIV/0!</v>
      </c>
      <c r="H32" s="6" t="s">
        <v>40</v>
      </c>
      <c r="I32" s="37"/>
      <c r="J32" s="37"/>
      <c r="K32" s="37"/>
      <c r="L32" s="37"/>
    </row>
    <row r="33" spans="2:12" x14ac:dyDescent="0.35">
      <c r="B33" s="30">
        <v>100021008</v>
      </c>
      <c r="C33" s="39" t="s">
        <v>20</v>
      </c>
      <c r="D33" s="36">
        <v>700.36339720942101</v>
      </c>
      <c r="E33" s="31">
        <v>580</v>
      </c>
      <c r="F33" s="32" t="s">
        <v>21</v>
      </c>
      <c r="G33" s="33">
        <f t="shared" si="0"/>
        <v>-0.20752309863693277</v>
      </c>
      <c r="H33" s="6" t="s">
        <v>33</v>
      </c>
      <c r="I33" s="37"/>
      <c r="J33" s="37"/>
      <c r="K33" s="37"/>
      <c r="L33" s="37"/>
    </row>
    <row r="34" spans="2:12" x14ac:dyDescent="0.35">
      <c r="B34" s="28">
        <v>100518291</v>
      </c>
      <c r="C34" s="38" t="s">
        <v>22</v>
      </c>
      <c r="D34" s="36">
        <v>2564.9717788749999</v>
      </c>
      <c r="E34" s="18">
        <v>2385</v>
      </c>
      <c r="F34" s="18" t="s">
        <v>23</v>
      </c>
      <c r="G34" s="17">
        <f t="shared" si="0"/>
        <v>-7.5459865356394096E-2</v>
      </c>
      <c r="H34" s="6" t="s">
        <v>40</v>
      </c>
      <c r="I34" s="37">
        <v>5</v>
      </c>
      <c r="J34" s="37">
        <v>100</v>
      </c>
      <c r="K34" s="37"/>
      <c r="L34" s="37"/>
    </row>
    <row r="35" spans="2:12" hidden="1" x14ac:dyDescent="0.35">
      <c r="B35" s="28">
        <v>100518291</v>
      </c>
      <c r="C35" s="38" t="s">
        <v>22</v>
      </c>
      <c r="D35" s="36">
        <v>2564.9717788749999</v>
      </c>
      <c r="E35" s="18">
        <v>909.99</v>
      </c>
      <c r="F35" s="18" t="s">
        <v>24</v>
      </c>
      <c r="G35" s="17">
        <f t="shared" si="0"/>
        <v>-1.818681280975615</v>
      </c>
      <c r="H35" s="6" t="s">
        <v>40</v>
      </c>
      <c r="I35" s="37"/>
      <c r="J35" s="37"/>
      <c r="K35" s="37"/>
      <c r="L35" s="37"/>
    </row>
    <row r="36" spans="2:12" hidden="1" x14ac:dyDescent="0.35">
      <c r="B36" s="28">
        <v>100518292</v>
      </c>
      <c r="C36" s="38" t="s">
        <v>25</v>
      </c>
      <c r="D36" s="36">
        <v>5043.6827484999994</v>
      </c>
      <c r="E36" s="18">
        <v>1614</v>
      </c>
      <c r="F36" s="18" t="s">
        <v>23</v>
      </c>
      <c r="G36" s="17">
        <f t="shared" si="0"/>
        <v>-2.1249583324039651</v>
      </c>
      <c r="H36" s="6" t="s">
        <v>40</v>
      </c>
      <c r="I36" s="37">
        <v>5</v>
      </c>
      <c r="J36" s="37">
        <v>25</v>
      </c>
      <c r="K36" s="37"/>
      <c r="L36" s="37"/>
    </row>
    <row r="37" spans="2:12" ht="15" thickBot="1" x14ac:dyDescent="0.4">
      <c r="B37" s="40">
        <v>100518292</v>
      </c>
      <c r="C37" s="15" t="s">
        <v>25</v>
      </c>
      <c r="D37" s="36">
        <v>5043.6827484999994</v>
      </c>
      <c r="E37" s="41">
        <v>4350</v>
      </c>
      <c r="F37" s="42" t="s">
        <v>23</v>
      </c>
      <c r="G37" s="43">
        <f t="shared" si="0"/>
        <v>-0.15946729850574701</v>
      </c>
      <c r="H37" s="6" t="s">
        <v>40</v>
      </c>
      <c r="I37" s="8">
        <v>5</v>
      </c>
      <c r="J37" s="8">
        <v>50</v>
      </c>
      <c r="K37" s="8"/>
      <c r="L37" s="8"/>
    </row>
    <row r="38" spans="2:12" ht="15" thickBot="1" x14ac:dyDescent="0.4">
      <c r="B38" s="40">
        <v>100521457</v>
      </c>
      <c r="C38" s="15" t="s">
        <v>43</v>
      </c>
      <c r="D38" s="36">
        <v>4019.2820696875001</v>
      </c>
      <c r="E38" s="41"/>
      <c r="F38" s="42"/>
      <c r="G38" s="43" t="e">
        <f t="shared" si="0"/>
        <v>#DIV/0!</v>
      </c>
      <c r="H38" s="6" t="s">
        <v>40</v>
      </c>
      <c r="I38" s="8"/>
      <c r="J38" s="8"/>
      <c r="K38" s="8"/>
      <c r="L38" s="8"/>
    </row>
    <row r="39" spans="2:12" ht="15" thickBot="1" x14ac:dyDescent="0.4">
      <c r="B39" s="40">
        <v>100521453</v>
      </c>
      <c r="C39" s="15" t="s">
        <v>44</v>
      </c>
      <c r="D39" s="36">
        <v>3647.9324445208331</v>
      </c>
      <c r="E39" s="41"/>
      <c r="F39" s="42"/>
      <c r="G39" s="43" t="e">
        <f t="shared" si="0"/>
        <v>#DIV/0!</v>
      </c>
      <c r="H39" s="6" t="s">
        <v>40</v>
      </c>
      <c r="I39" s="8"/>
      <c r="J39" s="8"/>
      <c r="K39" s="8"/>
      <c r="L3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JBS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 Argentina SA</dc:creator>
  <cp:lastModifiedBy>Adrian Dalla Verde</cp:lastModifiedBy>
  <dcterms:created xsi:type="dcterms:W3CDTF">2017-08-16T12:33:02Z</dcterms:created>
  <dcterms:modified xsi:type="dcterms:W3CDTF">2026-02-12T11:58:26Z</dcterms:modified>
</cp:coreProperties>
</file>