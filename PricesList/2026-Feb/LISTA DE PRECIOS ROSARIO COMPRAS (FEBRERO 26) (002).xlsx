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8_{74529197-A64F-4BC1-BCD0-4CD5E5A087B6}" xr6:coauthVersionLast="47" xr6:coauthVersionMax="47" xr10:uidLastSave="{00000000-0000-0000-0000-000000000000}"/>
  <bookViews>
    <workbookView xWindow="-120" yWindow="-120" windowWidth="20730" windowHeight="11040" xr2:uid="{E6BA0177-D9D7-4D12-BBFA-C2E5F0E4E786}"/>
  </bookViews>
  <sheets>
    <sheet name="FEBRERO 2026" sheetId="1" r:id="rId1"/>
  </sheets>
  <definedNames>
    <definedName name="_xlnm._FilterDatabase" localSheetId="0" hidden="1">'FEBRERO 2026'!$A$1:$H$61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 l="1"/>
  <c r="R36" i="1" s="1"/>
</calcChain>
</file>

<file path=xl/sharedStrings.xml><?xml version="1.0" encoding="utf-8"?>
<sst xmlns="http://schemas.openxmlformats.org/spreadsheetml/2006/main" count="60" uniqueCount="60">
  <si>
    <t>Código</t>
  </si>
  <si>
    <t>Descripción</t>
  </si>
  <si>
    <t>EAN</t>
  </si>
  <si>
    <t>Kg. x Caja</t>
  </si>
  <si>
    <t>Cant. X Caja</t>
  </si>
  <si>
    <t>$ FACTURA</t>
  </si>
  <si>
    <t>$ PÚBLICO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</si>
  <si>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</si>
  <si>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</si>
  <si>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</si>
  <si>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</si>
  <si>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</si>
  <si>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</si>
  <si>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</si>
  <si>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</si>
  <si>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MEDALLON 42X112G DOBLE BURGER SWIFT</t>
  </si>
  <si>
    <t>MEDALLON DOBLE BURGER 2X2</t>
  </si>
  <si>
    <t>HAMBURGUESA 8X12X69G BURGER SWIFT</t>
  </si>
  <si>
    <t xml:space="preserve">HAMBURGUESA 30X250g CLASICA "XL" SWIFT </t>
  </si>
  <si>
    <t>HAMBURGUESA 24X2X120g CASERA SWIFT</t>
  </si>
  <si>
    <t>HAMBURGUESA X-TREMA 36 x 185 grs</t>
  </si>
  <si>
    <t>MEDALLON 42X112G LA BLANCA</t>
  </si>
  <si>
    <t>MEDALLON 12x4X69G LA BLANCA</t>
  </si>
  <si>
    <t>SALCHICHAS 24X6 SWIFT</t>
  </si>
  <si>
    <t>SALCHICHAS SIN PIEL 24X6 "SWIFT KIDS" X 190 g</t>
  </si>
  <si>
    <t>SALCHICHAS  LARGAS  10 x 12  SWIFT  INSTITUCIONAL</t>
  </si>
  <si>
    <t>SALCHICHAS SIN PIEL "LA BLANCA"  24X6X190 Grs;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</si>
  <si>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</si>
  <si>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</si>
  <si>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</si>
  <si>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</si>
  <si>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</si>
  <si>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CARNE "SWIFT" - 10x760g</t>
  </si>
  <si>
    <t>BOCADITOS DE POLLO "SWIFT" - 10x760g</t>
  </si>
  <si>
    <t>PALITO DE POLLO "SWIFT"  12 X 260 Grs.</t>
  </si>
  <si>
    <t>PALITO DE POLLO "SWIFT"  8 X 1 Kg..</t>
  </si>
  <si>
    <t>MEDALLONES DE POLLO "SWIFT" - 12x4x80g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</si>
  <si>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</si>
  <si>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</si>
  <si>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</si>
  <si>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</si>
  <si>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</si>
  <si>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</si>
  <si>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CHORIZOS FRESCOS DE CERDO LIBRE DE GLUTEN</t>
  </si>
  <si>
    <t>PAPAS PRE COCIDAS SUPERCONGELADAS LIBRES DE GLUTEN 700G</t>
  </si>
  <si>
    <t>PRECIO</t>
  </si>
  <si>
    <t>PRECIO x uni sin Iva</t>
  </si>
  <si>
    <t>PRECIO caja- sin Iva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</si>
  <si>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</si>
  <si>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</si>
  <si>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</si>
  <si>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</si>
  <si>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</si>
  <si>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</si>
  <si>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</si>
  <si>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MILANESAS DE  SOJA CLASICAS PREFRITA</t>
  </si>
  <si>
    <t xml:space="preserve">SALCHICHAS SWIFT 12X12 x 450 g </t>
  </si>
  <si>
    <t>CHORIZOS FRESCOS DE CERDO COGELADOS LIBRE DE GLUTEN</t>
  </si>
  <si>
    <t>BOCADITOS DE POLLO GASTRONOMICOS "LA BLANCA" - x6kg</t>
  </si>
  <si>
    <t>PAPAS PREFRITAS CONGELADAS libres de gluten 7u x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</si>
</sst>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#,##0.0_ ;[Red]\-#,##0.0\ "/>
    <numFmt numFmtId="168" formatCode="&quot;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9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36">
    <xf numFmtId="0" fontId="0" fillId="0" borderId="0" xfId="0"/>
    <xf numFmtId="44" fontId="1" fillId="0" borderId="1" xfId="1" applyFont="1" applyFill="1" applyBorder="1"/>
    <xf numFmtId="166" fontId="1" fillId="0" borderId="1" xfId="1" applyNumberFormat="1" applyFont="1" applyFill="1" applyBorder="1"/>
    <xf numFmtId="0" fontId="1" fillId="0" borderId="0" xfId="0" applyFont="1"/>
    <xf numFmtId="44" fontId="1" fillId="0" borderId="0" xfId="0" applyNumberFormat="1" applyFont="1"/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1" xfId="2" applyFont="1" applyFill="1" applyBorder="1" applyAlignment="1" applyProtection="1">
      <alignment vertical="center"/>
      <protection hidden="1"/>
    </xf>
    <xf numFmtId="0" fontId="4" fillId="0" borderId="1" xfId="4" applyFont="1" applyFill="1" applyBorder="1"/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4" applyNumberFormat="1" applyFont="1" applyFill="1" applyBorder="1" applyAlignment="1">
      <alignment horizontal="center"/>
    </xf>
    <xf numFmtId="165" fontId="4" fillId="3" borderId="1" xfId="2" applyNumberFormat="1" applyFont="1" applyFill="1" applyBorder="1" applyAlignment="1" applyProtection="1">
      <alignment vertical="center"/>
      <protection hidden="1"/>
    </xf>
    <xf numFmtId="44" fontId="4" fillId="3" borderId="1" xfId="1" applyFont="1" applyFill="1" applyBorder="1" applyAlignment="1" applyProtection="1">
      <alignment vertical="center"/>
      <protection hidden="1"/>
    </xf>
    <xf numFmtId="44" fontId="4" fillId="0" borderId="1" xfId="1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0" fontId="4" fillId="0" borderId="1" xfId="3" applyFont="1" applyBorder="1"/>
    <xf numFmtId="1" fontId="4" fillId="0" borderId="1" xfId="2" applyNumberFormat="1" applyFont="1" applyBorder="1" applyAlignment="1">
      <alignment horizontal="left"/>
    </xf>
    <xf numFmtId="1" fontId="4" fillId="0" borderId="1" xfId="5" applyNumberFormat="1" applyFont="1" applyBorder="1" applyAlignment="1">
      <alignment horizontal="center"/>
    </xf>
    <xf numFmtId="164" fontId="4" fillId="0" borderId="1" xfId="5" applyNumberFormat="1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166" fontId="1" fillId="0" borderId="0" xfId="0" applyNumberFormat="1" applyFont="1"/>
    <xf numFmtId="0" fontId="3" fillId="2" borderId="2" xfId="2" applyFont="1" applyFill="1" applyBorder="1" applyAlignment="1">
      <alignment horizontal="center" vertical="distributed"/>
    </xf>
    <xf numFmtId="0" fontId="3" fillId="2" borderId="3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distributed"/>
    </xf>
    <xf numFmtId="0" fontId="3" fillId="2" borderId="4" xfId="2" applyFont="1" applyFill="1" applyBorder="1" applyAlignment="1">
      <alignment horizontal="center" vertical="distributed"/>
    </xf>
    <xf numFmtId="0" fontId="4" fillId="3" borderId="5" xfId="2" applyFont="1" applyFill="1" applyBorder="1" applyAlignment="1" applyProtection="1">
      <alignment horizontal="center" vertical="center"/>
      <protection hidden="1"/>
    </xf>
    <xf numFmtId="0" fontId="4" fillId="3" borderId="6" xfId="2" applyFont="1" applyFill="1" applyBorder="1" applyAlignment="1" applyProtection="1">
      <alignment horizontal="center" vertical="center"/>
      <protection hidden="1"/>
    </xf>
    <xf numFmtId="0" fontId="4" fillId="0" borderId="5" xfId="4" applyFont="1" applyFill="1" applyBorder="1" applyAlignment="1">
      <alignment horizontal="center"/>
    </xf>
    <xf numFmtId="166" fontId="1" fillId="0" borderId="6" xfId="1" applyNumberFormat="1" applyFont="1" applyFill="1" applyBorder="1"/>
    <xf numFmtId="0" fontId="4" fillId="0" borderId="5" xfId="2" applyFont="1" applyBorder="1" applyAlignment="1">
      <alignment horizontal="center"/>
    </xf>
    <xf numFmtId="165" fontId="4" fillId="3" borderId="6" xfId="2" applyNumberFormat="1" applyFont="1" applyFill="1" applyBorder="1" applyAlignment="1" applyProtection="1">
      <alignment vertical="center"/>
      <protection hidden="1"/>
    </xf>
    <xf numFmtId="0" fontId="4" fillId="0" borderId="5" xfId="3" applyFont="1" applyBorder="1" applyAlignment="1">
      <alignment horizontal="center"/>
    </xf>
    <xf numFmtId="168" fontId="1" fillId="0" borderId="0" xfId="0" applyNumberFormat="1" applyFont="1"/>
  </cellXfs>
  <cellStyles count="6">
    <cellStyle name="Moneda" xfId="1" builtinId="4"/>
    <cellStyle name="Normal" xfId="0" builtinId="0"/>
    <cellStyle name="Normal 3" xfId="4" xr:uid="{BD90324E-1E2B-4EC4-BE1A-8D47F7B4E414}"/>
    <cellStyle name="Normal_ARQUITECTURA DE PRECIOS 1 0" xfId="2" xr:uid="{347F4A5F-8949-4768-A095-420874E43912}"/>
    <cellStyle name="Normal_ARQUITECTURA DE PRECIOS 1 0 2" xfId="5" xr:uid="{B4151E73-1BF7-45E5-A19A-2B6A59612D4C}"/>
    <cellStyle name="Normal_Precio públicos al 01-03" xfId="3" xr:uid="{0365BEB9-08F8-4354-9DB3-DC5CF7F6EC63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72B-F2B1-4CAB-95AA-8A7A2E176492}">
  <dimension ref="A1:R62"/>
  <sheetViews>
    <sheetView tabSelected="1" zoomScale="71" zoomScaleNormal="71" workbookViewId="0"/>
  </sheetViews>
  <sheetFormatPr baseColWidth="10" defaultColWidth="10.85546875" defaultRowHeight="15" x14ac:dyDescent="0.25"/>
  <cols>
    <col min="1" max="1" width="13" style="3" bestFit="1" customWidth="1"/>
    <col min="2" max="2" width="56.140625" style="3" bestFit="1" customWidth="1"/>
    <col min="3" max="3" width="14.140625" style="3" bestFit="1" customWidth="1"/>
    <col min="4" max="4" width="13.140625" style="3" bestFit="1" customWidth="1"/>
    <col min="5" max="5" width="15.28515625" style="3" bestFit="1" customWidth="1"/>
    <col min="6" max="6" width="24" style="3" bestFit="1" customWidth="1"/>
    <col min="7" max="7" width="18.42578125" style="3" bestFit="1" customWidth="1"/>
    <col min="8" max="8" width="13.5703125" style="3" bestFit="1" customWidth="1"/>
    <col min="9" max="11" width="10.85546875" style="3"/>
    <col min="12" max="13" width="11.7109375" style="3" bestFit="1" customWidth="1"/>
    <col min="14" max="16384" width="10.85546875" style="3"/>
  </cols>
  <sheetData>
    <row r="1" spans="1:13" x14ac:dyDescent="0.25">
      <c r="A1" s="24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47</v>
      </c>
      <c r="G1" s="26" t="s">
        <v>46</v>
      </c>
      <c r="H1" s="27" t="s">
        <v>45</v>
      </c>
    </row>
    <row r="2" spans="1:13" x14ac:dyDescent="0.25">
      <c r="A2" s="28"/>
      <c r="B2" s="6"/>
      <c r="C2" s="5"/>
      <c r="D2" s="6"/>
      <c r="E2" s="6"/>
      <c r="F2" s="6"/>
      <c r="G2" s="5" t="s">
        <v>5</v>
      </c>
      <c r="H2" s="29" t="s">
        <v>6</v>
      </c>
    </row>
    <row r="3" spans="1:13" x14ac:dyDescent="0.25">
      <c r="A3" s="30">
        <v>100021632</v>
      </c>
      <c r="B3" s="7" t="s">
        <v>7</v>
      </c>
      <c r="C3" s="8">
        <v>7790360026606</v>
      </c>
      <c r="D3" s="9">
        <v>4.8</v>
      </c>
      <c r="E3" s="10">
        <v>30</v>
      </c>
      <c r="F3" s="15">
        <v>49576.198347107449</v>
      </c>
      <c r="G3" s="1">
        <v>1652.5399449035817</v>
      </c>
      <c r="H3" s="31">
        <v>2899.3813333333337</v>
      </c>
      <c r="I3" s="4"/>
      <c r="J3" s="4"/>
      <c r="L3" s="4"/>
      <c r="M3" s="4"/>
    </row>
    <row r="4" spans="1:13" x14ac:dyDescent="0.25">
      <c r="A4" s="30">
        <v>100021652</v>
      </c>
      <c r="B4" s="7" t="s">
        <v>8</v>
      </c>
      <c r="C4" s="8">
        <v>7790360026576</v>
      </c>
      <c r="D4" s="9">
        <v>5.76</v>
      </c>
      <c r="E4" s="10">
        <v>18</v>
      </c>
      <c r="F4" s="15">
        <v>64584.748859504121</v>
      </c>
      <c r="G4" s="1">
        <v>3588.0416033057845</v>
      </c>
      <c r="H4" s="31">
        <v>6295.2189929999986</v>
      </c>
      <c r="J4" s="4"/>
      <c r="L4" s="4"/>
      <c r="M4" s="4"/>
    </row>
    <row r="5" spans="1:13" x14ac:dyDescent="0.25">
      <c r="A5" s="30">
        <v>100021631</v>
      </c>
      <c r="B5" s="7" t="s">
        <v>9</v>
      </c>
      <c r="C5" s="8">
        <v>7790360026590</v>
      </c>
      <c r="D5" s="9">
        <v>7.68</v>
      </c>
      <c r="E5" s="10">
        <v>8</v>
      </c>
      <c r="F5" s="15">
        <v>86117.500509152946</v>
      </c>
      <c r="G5" s="1">
        <v>10764.687563644118</v>
      </c>
      <c r="H5" s="31">
        <v>18886.644330413605</v>
      </c>
      <c r="J5" s="4"/>
      <c r="L5" s="4"/>
      <c r="M5" s="4"/>
    </row>
    <row r="6" spans="1:13" x14ac:dyDescent="0.25">
      <c r="A6" s="30">
        <v>100021630</v>
      </c>
      <c r="B6" s="7" t="s">
        <v>10</v>
      </c>
      <c r="C6" s="8">
        <v>7790360026583</v>
      </c>
      <c r="D6" s="9">
        <v>9.6</v>
      </c>
      <c r="E6" s="10">
        <v>6</v>
      </c>
      <c r="F6" s="15">
        <v>107454.9917226508</v>
      </c>
      <c r="G6" s="1">
        <v>17909.165287108466</v>
      </c>
      <c r="H6" s="31">
        <v>31421.630496231803</v>
      </c>
      <c r="J6" s="4"/>
      <c r="L6" s="4"/>
      <c r="M6" s="4"/>
    </row>
    <row r="7" spans="1:13" x14ac:dyDescent="0.25">
      <c r="A7" s="32">
        <v>100021653</v>
      </c>
      <c r="B7" s="11" t="s">
        <v>11</v>
      </c>
      <c r="C7" s="8">
        <v>7790360026682</v>
      </c>
      <c r="D7" s="9">
        <v>5.76</v>
      </c>
      <c r="E7" s="10">
        <v>18</v>
      </c>
      <c r="F7" s="15">
        <v>67921.799617158104</v>
      </c>
      <c r="G7" s="1">
        <v>3773.4333120643387</v>
      </c>
      <c r="H7" s="31">
        <v>6620.488746016882</v>
      </c>
      <c r="J7" s="4"/>
      <c r="L7" s="4"/>
      <c r="M7" s="4"/>
    </row>
    <row r="8" spans="1:13" x14ac:dyDescent="0.25">
      <c r="A8" s="30">
        <v>100516169</v>
      </c>
      <c r="B8" s="7" t="s">
        <v>12</v>
      </c>
      <c r="C8" s="12">
        <v>7790360967961</v>
      </c>
      <c r="D8" s="9">
        <v>5.76</v>
      </c>
      <c r="E8" s="10">
        <v>18</v>
      </c>
      <c r="F8" s="15">
        <v>73124.918842489031</v>
      </c>
      <c r="G8" s="1">
        <v>4062.4954912493909</v>
      </c>
      <c r="H8" s="31">
        <v>7127.6483393970557</v>
      </c>
      <c r="J8" s="4"/>
      <c r="L8" s="4"/>
      <c r="M8" s="4"/>
    </row>
    <row r="9" spans="1:13" x14ac:dyDescent="0.25">
      <c r="A9" s="32">
        <v>100520337</v>
      </c>
      <c r="B9" s="11" t="s">
        <v>13</v>
      </c>
      <c r="C9" s="8">
        <v>7790360977960</v>
      </c>
      <c r="D9" s="9">
        <v>4.8</v>
      </c>
      <c r="E9" s="10">
        <v>30</v>
      </c>
      <c r="F9" s="15">
        <v>38181.818181818184</v>
      </c>
      <c r="G9" s="1">
        <v>1272.7272727272727</v>
      </c>
      <c r="H9" s="31">
        <v>2233</v>
      </c>
      <c r="J9" s="4"/>
      <c r="L9" s="4"/>
      <c r="M9" s="4"/>
    </row>
    <row r="10" spans="1:13" x14ac:dyDescent="0.25">
      <c r="A10" s="32">
        <v>100021503</v>
      </c>
      <c r="B10" s="11" t="s">
        <v>14</v>
      </c>
      <c r="C10" s="8">
        <v>7790360966841</v>
      </c>
      <c r="D10" s="9">
        <v>3.3119999999999998</v>
      </c>
      <c r="E10" s="10">
        <v>12</v>
      </c>
      <c r="F10" s="15">
        <v>26019.81817647547</v>
      </c>
      <c r="G10" s="1">
        <v>2168.3181813729557</v>
      </c>
      <c r="H10" s="31">
        <v>3804.3142492188504</v>
      </c>
      <c r="J10" s="4"/>
      <c r="L10" s="4"/>
      <c r="M10" s="4"/>
    </row>
    <row r="11" spans="1:13" x14ac:dyDescent="0.25">
      <c r="A11" s="32">
        <v>100021643</v>
      </c>
      <c r="B11" s="11" t="s">
        <v>15</v>
      </c>
      <c r="C11" s="20">
        <v>7790360966797</v>
      </c>
      <c r="D11" s="21">
        <v>4.7039999999999997</v>
      </c>
      <c r="E11" s="22">
        <v>42</v>
      </c>
      <c r="F11" s="15">
        <v>36137.63199174546</v>
      </c>
      <c r="G11" s="1">
        <v>860.41980932727279</v>
      </c>
      <c r="H11" s="31">
        <v>1509.6065554647</v>
      </c>
      <c r="J11" s="4"/>
      <c r="L11" s="4"/>
      <c r="M11" s="4"/>
    </row>
    <row r="12" spans="1:13" x14ac:dyDescent="0.25">
      <c r="A12" s="32">
        <v>100516325</v>
      </c>
      <c r="B12" s="11" t="s">
        <v>16</v>
      </c>
      <c r="C12" s="20">
        <v>7790360967763</v>
      </c>
      <c r="D12" s="21">
        <v>4.7039999999999997</v>
      </c>
      <c r="E12" s="22">
        <v>21</v>
      </c>
      <c r="F12" s="15">
        <v>34162.898928555238</v>
      </c>
      <c r="G12" s="1">
        <v>1626.8047108835829</v>
      </c>
      <c r="H12" s="31">
        <v>2854.2288652452457</v>
      </c>
      <c r="J12" s="4"/>
      <c r="L12" s="4"/>
      <c r="M12" s="4"/>
    </row>
    <row r="13" spans="1:13" x14ac:dyDescent="0.25">
      <c r="A13" s="32">
        <v>100516201</v>
      </c>
      <c r="B13" s="11" t="s">
        <v>17</v>
      </c>
      <c r="C13" s="8">
        <v>7790360968548</v>
      </c>
      <c r="D13" s="9">
        <v>6.6239999999999997</v>
      </c>
      <c r="E13" s="10">
        <v>8</v>
      </c>
      <c r="F13" s="15">
        <v>55942.358864980946</v>
      </c>
      <c r="G13" s="1">
        <v>6992.7948581226183</v>
      </c>
      <c r="H13" s="31">
        <v>12268.858578576133</v>
      </c>
      <c r="J13" s="4"/>
      <c r="L13" s="4"/>
      <c r="M13" s="4"/>
    </row>
    <row r="14" spans="1:13" x14ac:dyDescent="0.25">
      <c r="A14" s="32">
        <v>100021676</v>
      </c>
      <c r="B14" s="11" t="s">
        <v>18</v>
      </c>
      <c r="C14" s="20">
        <v>7790360967411</v>
      </c>
      <c r="D14" s="21">
        <v>7.5</v>
      </c>
      <c r="E14" s="22">
        <v>30</v>
      </c>
      <c r="F14" s="15">
        <v>83505.755819008293</v>
      </c>
      <c r="G14" s="1">
        <v>2783.5251939669429</v>
      </c>
      <c r="H14" s="31">
        <v>4883.6949528150017</v>
      </c>
      <c r="J14" s="4"/>
      <c r="L14" s="4"/>
      <c r="M14" s="4"/>
    </row>
    <row r="15" spans="1:13" x14ac:dyDescent="0.25">
      <c r="A15" s="32">
        <v>100516008</v>
      </c>
      <c r="B15" s="7" t="s">
        <v>19</v>
      </c>
      <c r="C15" s="8">
        <v>7790360967701</v>
      </c>
      <c r="D15" s="21">
        <v>5.76</v>
      </c>
      <c r="E15" s="22">
        <v>24</v>
      </c>
      <c r="F15" s="15">
        <v>68243.929529836183</v>
      </c>
      <c r="G15" s="1">
        <v>2843.4970637431743</v>
      </c>
      <c r="H15" s="31">
        <v>4988.9155983373994</v>
      </c>
      <c r="J15" s="4"/>
      <c r="L15" s="4"/>
      <c r="M15" s="4"/>
    </row>
    <row r="16" spans="1:13" x14ac:dyDescent="0.25">
      <c r="A16" s="32">
        <v>100520834</v>
      </c>
      <c r="B16" s="7" t="s">
        <v>20</v>
      </c>
      <c r="C16" s="8">
        <v>7790360980618</v>
      </c>
      <c r="D16" s="21">
        <v>6.66</v>
      </c>
      <c r="E16" s="22">
        <v>36</v>
      </c>
      <c r="F16" s="15">
        <v>73683.056716007821</v>
      </c>
      <c r="G16" s="1">
        <v>2046.7515754446615</v>
      </c>
      <c r="H16" s="31">
        <v>3591.0256391176581</v>
      </c>
      <c r="J16" s="4"/>
      <c r="L16" s="4"/>
      <c r="M16" s="4"/>
    </row>
    <row r="17" spans="1:14" x14ac:dyDescent="0.25">
      <c r="A17" s="32">
        <v>100021644</v>
      </c>
      <c r="B17" s="7" t="s">
        <v>21</v>
      </c>
      <c r="C17" s="8">
        <v>7790360008541</v>
      </c>
      <c r="D17" s="21">
        <v>4.7039999999999997</v>
      </c>
      <c r="E17" s="22">
        <v>42</v>
      </c>
      <c r="F17" s="15">
        <v>27893.352149099705</v>
      </c>
      <c r="G17" s="1">
        <v>664.12743212142152</v>
      </c>
      <c r="H17" s="31">
        <v>1165.211579657034</v>
      </c>
      <c r="J17" s="4"/>
      <c r="L17" s="4"/>
      <c r="M17" s="4"/>
    </row>
    <row r="18" spans="1:14" x14ac:dyDescent="0.25">
      <c r="A18" s="32">
        <v>100021677</v>
      </c>
      <c r="B18" s="11" t="s">
        <v>22</v>
      </c>
      <c r="C18" s="8">
        <v>7790360967404</v>
      </c>
      <c r="D18" s="9">
        <v>3.3119999999999998</v>
      </c>
      <c r="E18" s="10">
        <v>12</v>
      </c>
      <c r="F18" s="15">
        <v>22341.762643696369</v>
      </c>
      <c r="G18" s="1">
        <v>1861.813553641364</v>
      </c>
      <c r="H18" s="31">
        <v>3266.5518798637727</v>
      </c>
      <c r="J18" s="4"/>
      <c r="L18" s="4"/>
      <c r="M18" s="4"/>
      <c r="N18" s="4"/>
    </row>
    <row r="19" spans="1:14" x14ac:dyDescent="0.25">
      <c r="A19" s="28"/>
      <c r="B19" s="6"/>
      <c r="C19" s="5"/>
      <c r="D19" s="6"/>
      <c r="E19" s="13"/>
      <c r="F19" s="14"/>
      <c r="G19" s="13"/>
      <c r="H19" s="33"/>
    </row>
    <row r="20" spans="1:14" x14ac:dyDescent="0.25">
      <c r="A20" s="32">
        <v>100522204</v>
      </c>
      <c r="B20" s="11" t="s">
        <v>23</v>
      </c>
      <c r="C20" s="8">
        <v>7790360983947</v>
      </c>
      <c r="D20" s="9">
        <v>5.4</v>
      </c>
      <c r="E20" s="10">
        <v>24</v>
      </c>
      <c r="F20" s="1">
        <v>26458.172826446287</v>
      </c>
      <c r="G20" s="2">
        <v>1102.4238677685953</v>
      </c>
      <c r="H20" s="31">
        <v>1934.2026760000003</v>
      </c>
      <c r="L20" s="4"/>
      <c r="M20" s="4"/>
    </row>
    <row r="21" spans="1:14" x14ac:dyDescent="0.25">
      <c r="A21" s="32">
        <v>100522205</v>
      </c>
      <c r="B21" s="11" t="s">
        <v>56</v>
      </c>
      <c r="C21" s="8">
        <v>7790360983954</v>
      </c>
      <c r="D21" s="9">
        <v>5.4</v>
      </c>
      <c r="E21" s="10">
        <v>12</v>
      </c>
      <c r="F21" s="1">
        <v>25143.463140495875</v>
      </c>
      <c r="G21" s="2">
        <v>2095.2885950413229</v>
      </c>
      <c r="H21" s="31">
        <v>3676.1838400000006</v>
      </c>
      <c r="L21" s="4"/>
      <c r="M21" s="4"/>
    </row>
    <row r="22" spans="1:14" x14ac:dyDescent="0.25">
      <c r="A22" s="32">
        <v>100516849</v>
      </c>
      <c r="B22" s="11" t="s">
        <v>24</v>
      </c>
      <c r="C22" s="8">
        <v>7790360970053</v>
      </c>
      <c r="D22" s="9">
        <v>4.5599999990400004</v>
      </c>
      <c r="E22" s="10">
        <v>24</v>
      </c>
      <c r="F22" s="1">
        <v>22496.782809917353</v>
      </c>
      <c r="G22" s="2">
        <v>937.365950413223</v>
      </c>
      <c r="H22" s="31">
        <v>1644.6085599999997</v>
      </c>
      <c r="L22" s="4"/>
      <c r="M22" s="4"/>
    </row>
    <row r="23" spans="1:14" x14ac:dyDescent="0.25">
      <c r="A23" s="32">
        <v>100522206</v>
      </c>
      <c r="B23" s="11" t="s">
        <v>25</v>
      </c>
      <c r="C23" s="8">
        <v>7790360983961</v>
      </c>
      <c r="D23" s="9">
        <v>8.6999999999999993</v>
      </c>
      <c r="E23" s="10">
        <v>10</v>
      </c>
      <c r="F23" s="1">
        <v>53152.815666645482</v>
      </c>
      <c r="G23" s="2">
        <v>5315.2815666645483</v>
      </c>
      <c r="H23" s="31">
        <v>9325.6615087129503</v>
      </c>
      <c r="L23" s="4"/>
      <c r="M23" s="4"/>
    </row>
    <row r="24" spans="1:14" x14ac:dyDescent="0.25">
      <c r="A24" s="32">
        <v>100022058</v>
      </c>
      <c r="B24" s="11" t="s">
        <v>26</v>
      </c>
      <c r="C24" s="8">
        <v>7790360026002</v>
      </c>
      <c r="D24" s="9">
        <v>4.5599999990400004</v>
      </c>
      <c r="E24" s="10">
        <v>24</v>
      </c>
      <c r="F24" s="1">
        <v>21506.115702479339</v>
      </c>
      <c r="G24" s="2">
        <v>896.08815426997251</v>
      </c>
      <c r="H24" s="31">
        <v>1572.1866666666665</v>
      </c>
      <c r="L24" s="4"/>
      <c r="M24" s="4"/>
    </row>
    <row r="25" spans="1:14" x14ac:dyDescent="0.25">
      <c r="A25" s="28"/>
      <c r="B25" s="6"/>
      <c r="C25" s="5"/>
      <c r="D25" s="6"/>
      <c r="E25" s="13"/>
      <c r="F25" s="14"/>
      <c r="G25" s="13"/>
      <c r="H25" s="33"/>
    </row>
    <row r="26" spans="1:14" x14ac:dyDescent="0.25">
      <c r="A26" s="32">
        <v>100516217</v>
      </c>
      <c r="B26" s="11" t="s">
        <v>55</v>
      </c>
      <c r="C26" s="8">
        <v>7790360967824</v>
      </c>
      <c r="D26" s="9">
        <v>5.8</v>
      </c>
      <c r="E26" s="10">
        <v>20</v>
      </c>
      <c r="F26" s="1">
        <v>32730.745602853789</v>
      </c>
      <c r="G26" s="2">
        <v>1636.5372801426895</v>
      </c>
      <c r="H26" s="31">
        <v>2871.3046580103487</v>
      </c>
      <c r="L26" s="4"/>
      <c r="M26" s="4"/>
    </row>
    <row r="27" spans="1:14" x14ac:dyDescent="0.25">
      <c r="A27" s="32">
        <v>100516214</v>
      </c>
      <c r="B27" s="11" t="s">
        <v>27</v>
      </c>
      <c r="C27" s="8">
        <v>7790360967794</v>
      </c>
      <c r="D27" s="9">
        <v>7</v>
      </c>
      <c r="E27" s="10">
        <v>20</v>
      </c>
      <c r="F27" s="1">
        <v>45654.566503509232</v>
      </c>
      <c r="G27" s="2">
        <v>2282.7283251754616</v>
      </c>
      <c r="H27" s="31">
        <v>4005.0468465203476</v>
      </c>
      <c r="L27" s="4"/>
      <c r="M27" s="4"/>
    </row>
    <row r="28" spans="1:14" x14ac:dyDescent="0.25">
      <c r="A28" s="32">
        <v>100516215</v>
      </c>
      <c r="B28" s="11" t="s">
        <v>28</v>
      </c>
      <c r="C28" s="8">
        <v>7790360967800</v>
      </c>
      <c r="D28" s="9">
        <v>7</v>
      </c>
      <c r="E28" s="10">
        <v>20</v>
      </c>
      <c r="F28" s="1">
        <v>45654.566503509232</v>
      </c>
      <c r="G28" s="2">
        <v>2282.7283251754616</v>
      </c>
      <c r="H28" s="31">
        <v>4005.0468465203476</v>
      </c>
      <c r="L28" s="4"/>
      <c r="M28" s="4"/>
    </row>
    <row r="29" spans="1:14" x14ac:dyDescent="0.25">
      <c r="A29" s="32">
        <v>100516216</v>
      </c>
      <c r="B29" s="11" t="s">
        <v>29</v>
      </c>
      <c r="C29" s="8">
        <v>7790360967817</v>
      </c>
      <c r="D29" s="9">
        <v>7</v>
      </c>
      <c r="E29" s="10">
        <v>20</v>
      </c>
      <c r="F29" s="1">
        <v>45654.566503509232</v>
      </c>
      <c r="G29" s="2">
        <v>2282.7283251754616</v>
      </c>
      <c r="H29" s="31">
        <v>4005.0468465203476</v>
      </c>
      <c r="L29" s="4"/>
      <c r="M29" s="4"/>
    </row>
    <row r="30" spans="1:14" x14ac:dyDescent="0.25">
      <c r="A30" s="28"/>
      <c r="B30" s="6"/>
      <c r="C30" s="5"/>
      <c r="D30" s="6"/>
      <c r="E30" s="13"/>
      <c r="F30" s="14"/>
      <c r="G30" s="13"/>
      <c r="H30" s="33"/>
    </row>
    <row r="31" spans="1:14" x14ac:dyDescent="0.25">
      <c r="A31" s="32">
        <v>100021704</v>
      </c>
      <c r="B31" s="11" t="s">
        <v>30</v>
      </c>
      <c r="C31" s="8">
        <v>7790360023902</v>
      </c>
      <c r="D31" s="9">
        <v>4.5600000000000005</v>
      </c>
      <c r="E31" s="10">
        <v>12</v>
      </c>
      <c r="F31" s="1">
        <v>45069.464629628055</v>
      </c>
      <c r="G31" s="2">
        <v>3755.7887191356713</v>
      </c>
      <c r="H31" s="31">
        <v>6589.5313077235351</v>
      </c>
      <c r="L31" s="4"/>
      <c r="M31" s="4"/>
    </row>
    <row r="32" spans="1:14" x14ac:dyDescent="0.25">
      <c r="A32" s="32">
        <v>100021705</v>
      </c>
      <c r="B32" s="11" t="s">
        <v>31</v>
      </c>
      <c r="C32" s="8">
        <v>7790360024336</v>
      </c>
      <c r="D32" s="9">
        <v>4.5600000000000005</v>
      </c>
      <c r="E32" s="10">
        <v>12</v>
      </c>
      <c r="F32" s="1">
        <v>40972.240572389142</v>
      </c>
      <c r="G32" s="2">
        <v>3414.3533810324284</v>
      </c>
      <c r="H32" s="31">
        <v>5990.4830070213957</v>
      </c>
      <c r="L32" s="4"/>
      <c r="M32" s="4"/>
    </row>
    <row r="33" spans="1:18" hidden="1" x14ac:dyDescent="0.25">
      <c r="A33" s="32">
        <v>100021707</v>
      </c>
      <c r="B33" s="11" t="s">
        <v>32</v>
      </c>
      <c r="C33" s="8">
        <v>7790360024695</v>
      </c>
      <c r="D33" s="9">
        <v>7.6</v>
      </c>
      <c r="E33" s="10">
        <v>10</v>
      </c>
      <c r="F33" s="1">
        <v>0.111929</v>
      </c>
      <c r="G33" s="2">
        <v>1.11929E-2</v>
      </c>
      <c r="H33" s="31">
        <v>1.9637943049999999E-2</v>
      </c>
      <c r="L33" s="4"/>
      <c r="M33" s="4"/>
    </row>
    <row r="34" spans="1:18" x14ac:dyDescent="0.25">
      <c r="A34" s="32">
        <v>100021709</v>
      </c>
      <c r="B34" s="11" t="s">
        <v>33</v>
      </c>
      <c r="C34" s="8">
        <v>7790360024701</v>
      </c>
      <c r="D34" s="9">
        <v>7.6</v>
      </c>
      <c r="E34" s="10">
        <v>10</v>
      </c>
      <c r="F34" s="1">
        <v>66069.398959757411</v>
      </c>
      <c r="G34" s="2">
        <v>6606.9398959757409</v>
      </c>
      <c r="H34" s="31">
        <v>11591.876047489437</v>
      </c>
      <c r="L34" s="4"/>
      <c r="M34" s="4"/>
      <c r="O34" s="23"/>
    </row>
    <row r="35" spans="1:18" x14ac:dyDescent="0.25">
      <c r="A35" s="32">
        <v>100521357</v>
      </c>
      <c r="B35" s="11" t="s">
        <v>52</v>
      </c>
      <c r="C35" s="8">
        <v>7790360982018</v>
      </c>
      <c r="D35" s="9">
        <v>4.5599999999999996</v>
      </c>
      <c r="E35" s="10">
        <v>12</v>
      </c>
      <c r="F35" s="1">
        <v>38626.609767900009</v>
      </c>
      <c r="G35" s="2">
        <v>3218.8841473250009</v>
      </c>
      <c r="H35" s="31">
        <v>5647.5322364817139</v>
      </c>
      <c r="L35" s="4"/>
      <c r="M35" s="4"/>
    </row>
    <row r="36" spans="1:18" x14ac:dyDescent="0.25">
      <c r="A36" s="32">
        <v>100522130</v>
      </c>
      <c r="B36" s="11" t="s">
        <v>53</v>
      </c>
      <c r="C36" s="8">
        <v>7790360982445</v>
      </c>
      <c r="D36" s="9">
        <v>4.8</v>
      </c>
      <c r="E36" s="10">
        <v>12</v>
      </c>
      <c r="F36" s="1">
        <v>33269.396899436775</v>
      </c>
      <c r="G36" s="2">
        <v>2772.449741619731</v>
      </c>
      <c r="H36" s="31">
        <v>4864.2630716718177</v>
      </c>
      <c r="L36" s="4"/>
      <c r="M36" s="4"/>
      <c r="Q36" s="3">
        <f>P36/12</f>
        <v>0</v>
      </c>
      <c r="R36" s="3">
        <f>Q36*1.45</f>
        <v>0</v>
      </c>
    </row>
    <row r="37" spans="1:18" x14ac:dyDescent="0.25">
      <c r="A37" s="32">
        <v>100021725</v>
      </c>
      <c r="B37" s="11" t="s">
        <v>58</v>
      </c>
      <c r="C37" s="8">
        <v>7790360027009</v>
      </c>
      <c r="D37" s="9">
        <v>6</v>
      </c>
      <c r="E37" s="10">
        <v>4</v>
      </c>
      <c r="F37" s="1">
        <v>34283.799138409893</v>
      </c>
      <c r="G37" s="2">
        <v>8570.9497846024733</v>
      </c>
      <c r="H37" s="31">
        <v>15037.731397085037</v>
      </c>
      <c r="L37" s="4"/>
      <c r="M37" s="4"/>
    </row>
    <row r="38" spans="1:18" x14ac:dyDescent="0.25">
      <c r="A38" s="32">
        <v>100517055</v>
      </c>
      <c r="B38" s="11" t="s">
        <v>34</v>
      </c>
      <c r="C38" s="8">
        <v>7790360971135</v>
      </c>
      <c r="D38" s="9">
        <v>3.12</v>
      </c>
      <c r="E38" s="10">
        <v>12</v>
      </c>
      <c r="F38" s="1">
        <v>26822.494620718076</v>
      </c>
      <c r="G38" s="2">
        <v>2235.2078850598396</v>
      </c>
      <c r="H38" s="31">
        <v>3921.6722343374886</v>
      </c>
      <c r="L38" s="4"/>
      <c r="M38" s="4"/>
    </row>
    <row r="39" spans="1:18" x14ac:dyDescent="0.25">
      <c r="A39" s="32">
        <v>100517186</v>
      </c>
      <c r="B39" s="11" t="s">
        <v>35</v>
      </c>
      <c r="C39" s="8">
        <v>7790360971395</v>
      </c>
      <c r="D39" s="9">
        <v>8</v>
      </c>
      <c r="E39" s="10">
        <v>8</v>
      </c>
      <c r="F39" s="1">
        <v>73243.56446012581</v>
      </c>
      <c r="G39" s="2">
        <v>9155.4455575157263</v>
      </c>
      <c r="H39" s="31">
        <v>16063.229230661342</v>
      </c>
      <c r="L39" s="4"/>
      <c r="M39" s="4"/>
    </row>
    <row r="40" spans="1:18" x14ac:dyDescent="0.25">
      <c r="A40" s="32">
        <v>100521663</v>
      </c>
      <c r="B40" s="11" t="s">
        <v>54</v>
      </c>
      <c r="C40" s="8">
        <v>7790360982537</v>
      </c>
      <c r="D40" s="9">
        <v>4.8</v>
      </c>
      <c r="E40" s="10">
        <v>12</v>
      </c>
      <c r="F40" s="1">
        <v>33223.140495867767</v>
      </c>
      <c r="G40" s="2">
        <v>2768.595041322314</v>
      </c>
      <c r="H40" s="31">
        <v>4857.5</v>
      </c>
      <c r="L40" s="4"/>
      <c r="M40" s="4"/>
    </row>
    <row r="41" spans="1:18" x14ac:dyDescent="0.25">
      <c r="A41" s="32">
        <v>100021728</v>
      </c>
      <c r="B41" s="11" t="s">
        <v>36</v>
      </c>
      <c r="C41" s="8">
        <v>7790360967558</v>
      </c>
      <c r="D41" s="9">
        <v>3.84</v>
      </c>
      <c r="E41" s="10">
        <v>12</v>
      </c>
      <c r="F41" s="1">
        <v>38361.930818867586</v>
      </c>
      <c r="G41" s="2">
        <v>3196.8275682389653</v>
      </c>
      <c r="H41" s="31">
        <v>5608.8339684752646</v>
      </c>
      <c r="L41" s="4"/>
      <c r="M41" s="4"/>
    </row>
    <row r="42" spans="1:18" x14ac:dyDescent="0.25">
      <c r="A42" s="28"/>
      <c r="B42" s="6"/>
      <c r="C42" s="5"/>
      <c r="D42" s="6"/>
      <c r="E42" s="13"/>
      <c r="F42" s="14"/>
      <c r="G42" s="13"/>
      <c r="H42" s="33"/>
    </row>
    <row r="43" spans="1:18" x14ac:dyDescent="0.25">
      <c r="A43" s="32">
        <v>100518158</v>
      </c>
      <c r="B43" s="11" t="s">
        <v>37</v>
      </c>
      <c r="C43" s="8">
        <v>7790360974280</v>
      </c>
      <c r="D43" s="9">
        <v>12</v>
      </c>
      <c r="E43" s="10">
        <v>24</v>
      </c>
      <c r="F43" s="1">
        <v>89380.165289256198</v>
      </c>
      <c r="G43" s="2">
        <v>3724.1735537190084</v>
      </c>
      <c r="H43" s="31">
        <v>6534.0625</v>
      </c>
    </row>
    <row r="44" spans="1:18" x14ac:dyDescent="0.25">
      <c r="A44" s="32">
        <v>100518160</v>
      </c>
      <c r="B44" s="11" t="s">
        <v>38</v>
      </c>
      <c r="C44" s="8">
        <v>7790360974686</v>
      </c>
      <c r="D44" s="9">
        <v>12</v>
      </c>
      <c r="E44" s="10">
        <v>12</v>
      </c>
      <c r="F44" s="1">
        <v>89380.165289256198</v>
      </c>
      <c r="G44" s="2">
        <v>7448.3471074380168</v>
      </c>
      <c r="H44" s="31">
        <v>13068.125</v>
      </c>
    </row>
    <row r="45" spans="1:18" x14ac:dyDescent="0.25">
      <c r="A45" s="28"/>
      <c r="B45" s="6"/>
      <c r="C45" s="5"/>
      <c r="D45" s="6"/>
      <c r="E45" s="13"/>
      <c r="F45" s="14"/>
      <c r="G45" s="13"/>
      <c r="H45" s="33"/>
    </row>
    <row r="46" spans="1:18" x14ac:dyDescent="0.25">
      <c r="A46" s="32">
        <v>100518291</v>
      </c>
      <c r="B46" s="11" t="s">
        <v>39</v>
      </c>
      <c r="C46" s="8">
        <v>7790360975195</v>
      </c>
      <c r="D46" s="9">
        <v>5</v>
      </c>
      <c r="E46" s="10">
        <v>10</v>
      </c>
      <c r="F46" s="1">
        <v>17053.037589564035</v>
      </c>
      <c r="G46" s="2">
        <v>1705.3037589564035</v>
      </c>
      <c r="H46" s="31">
        <v>2785.6136902552853</v>
      </c>
    </row>
    <row r="47" spans="1:18" x14ac:dyDescent="0.25">
      <c r="A47" s="32">
        <v>100518292</v>
      </c>
      <c r="B47" s="11" t="s">
        <v>40</v>
      </c>
      <c r="C47" s="8">
        <v>7790360975201</v>
      </c>
      <c r="D47" s="9">
        <v>12</v>
      </c>
      <c r="E47" s="10">
        <v>12</v>
      </c>
      <c r="F47" s="1">
        <v>40423.338447812566</v>
      </c>
      <c r="G47" s="2">
        <v>3368.611537317714</v>
      </c>
      <c r="H47" s="31">
        <v>5502.6269462084856</v>
      </c>
    </row>
    <row r="48" spans="1:18" x14ac:dyDescent="0.25">
      <c r="A48" s="28"/>
      <c r="B48" s="6"/>
      <c r="C48" s="5"/>
      <c r="D48" s="6"/>
      <c r="E48" s="13"/>
      <c r="F48" s="14"/>
      <c r="G48" s="13"/>
      <c r="H48" s="33"/>
    </row>
    <row r="49" spans="1:13" x14ac:dyDescent="0.25">
      <c r="A49" s="34">
        <v>100517915</v>
      </c>
      <c r="B49" s="18" t="s">
        <v>41</v>
      </c>
      <c r="C49" s="19">
        <v>7790360974020</v>
      </c>
      <c r="D49" s="16">
        <v>18</v>
      </c>
      <c r="E49" s="16">
        <v>36</v>
      </c>
      <c r="F49" s="1">
        <v>197283.85513973943</v>
      </c>
      <c r="G49" s="2">
        <v>5480.1070872149839</v>
      </c>
      <c r="H49" s="31">
        <v>8477.7256639215793</v>
      </c>
      <c r="I49" s="23"/>
      <c r="L49" s="4"/>
      <c r="M49" s="4"/>
    </row>
    <row r="50" spans="1:13" x14ac:dyDescent="0.25">
      <c r="A50" s="34">
        <v>100517914</v>
      </c>
      <c r="B50" s="18" t="s">
        <v>42</v>
      </c>
      <c r="C50" s="19">
        <v>7790360974037</v>
      </c>
      <c r="D50" s="16">
        <v>20</v>
      </c>
      <c r="E50" s="16">
        <v>20</v>
      </c>
      <c r="F50" s="1">
        <v>215280.52681415339</v>
      </c>
      <c r="G50" s="2">
        <v>10764.026340707669</v>
      </c>
      <c r="H50" s="31">
        <v>16651.948749074763</v>
      </c>
      <c r="I50" s="23"/>
      <c r="L50" s="4"/>
      <c r="M50" s="4"/>
    </row>
    <row r="51" spans="1:13" x14ac:dyDescent="0.25">
      <c r="A51" s="28"/>
      <c r="B51" s="6"/>
      <c r="C51" s="5"/>
      <c r="D51" s="6"/>
      <c r="E51" s="13"/>
      <c r="F51" s="14"/>
      <c r="G51" s="13"/>
      <c r="H51" s="33"/>
    </row>
    <row r="52" spans="1:13" x14ac:dyDescent="0.25">
      <c r="A52" s="32">
        <v>100520837</v>
      </c>
      <c r="B52" s="11" t="s">
        <v>43</v>
      </c>
      <c r="C52" s="8">
        <v>7790360980625</v>
      </c>
      <c r="D52" s="16">
        <v>4.8</v>
      </c>
      <c r="E52" s="16">
        <v>12</v>
      </c>
      <c r="F52" s="1">
        <v>41862.485660855411</v>
      </c>
      <c r="G52" s="2">
        <v>3488.5404717379506</v>
      </c>
      <c r="H52" s="31">
        <v>5909.5875591240874</v>
      </c>
    </row>
    <row r="53" spans="1:13" x14ac:dyDescent="0.25">
      <c r="A53" s="32">
        <v>100522395</v>
      </c>
      <c r="B53" s="11" t="s">
        <v>57</v>
      </c>
      <c r="C53" s="8">
        <v>7790360985101</v>
      </c>
      <c r="D53" s="16">
        <v>4.8</v>
      </c>
      <c r="E53" s="16">
        <v>12</v>
      </c>
      <c r="F53" s="1">
        <v>35412.042502951605</v>
      </c>
      <c r="G53" s="2">
        <v>2951.0035419126334</v>
      </c>
      <c r="H53" s="31">
        <v>4999</v>
      </c>
      <c r="J53" s="35"/>
      <c r="K53" s="35"/>
    </row>
    <row r="54" spans="1:13" x14ac:dyDescent="0.25">
      <c r="A54" s="28"/>
      <c r="B54" s="6"/>
      <c r="C54" s="5"/>
      <c r="D54" s="6"/>
      <c r="E54" s="13"/>
      <c r="F54" s="14"/>
      <c r="G54" s="13"/>
      <c r="H54" s="33"/>
    </row>
    <row r="55" spans="1:13" x14ac:dyDescent="0.25">
      <c r="A55" s="32">
        <v>100520902</v>
      </c>
      <c r="B55" s="11" t="s">
        <v>44</v>
      </c>
      <c r="C55" s="8">
        <v>7790360981042</v>
      </c>
      <c r="D55" s="17">
        <v>9.8000000000000007</v>
      </c>
      <c r="E55" s="10">
        <v>14</v>
      </c>
      <c r="F55" s="1">
        <v>37108.876597092363</v>
      </c>
      <c r="G55" s="2">
        <v>2650.6340426494544</v>
      </c>
      <c r="H55" s="31">
        <v>4650.5374278284671</v>
      </c>
    </row>
    <row r="56" spans="1:13" x14ac:dyDescent="0.25">
      <c r="A56" s="32">
        <v>100522698</v>
      </c>
      <c r="B56" s="11" t="s">
        <v>59</v>
      </c>
      <c r="C56" s="8">
        <v>7790360986511</v>
      </c>
      <c r="D56" s="17">
        <v>14</v>
      </c>
      <c r="E56" s="10">
        <v>7</v>
      </c>
      <c r="F56" s="1">
        <v>53994.490358126699</v>
      </c>
      <c r="G56" s="2">
        <v>7713.4986225895282</v>
      </c>
      <c r="H56" s="31">
        <v>13533.333333333327</v>
      </c>
    </row>
    <row r="57" spans="1:13" x14ac:dyDescent="0.25">
      <c r="A57" s="28"/>
      <c r="B57" s="6"/>
      <c r="C57" s="5"/>
      <c r="D57" s="6"/>
      <c r="E57" s="13"/>
      <c r="F57" s="14"/>
      <c r="G57" s="13"/>
      <c r="H57" s="33"/>
    </row>
    <row r="58" spans="1:13" x14ac:dyDescent="0.25">
      <c r="A58" s="32">
        <v>100521457</v>
      </c>
      <c r="B58" s="11" t="s">
        <v>48</v>
      </c>
      <c r="C58" s="8">
        <v>7790360982254</v>
      </c>
      <c r="D58" s="17">
        <v>4.8</v>
      </c>
      <c r="E58" s="10">
        <v>16</v>
      </c>
      <c r="F58" s="1">
        <v>42116.647801187304</v>
      </c>
      <c r="G58" s="2">
        <v>2632.2904875742065</v>
      </c>
      <c r="H58" s="31">
        <v>4618.3536604489445</v>
      </c>
    </row>
    <row r="59" spans="1:13" x14ac:dyDescent="0.25">
      <c r="A59" s="32">
        <v>100521455</v>
      </c>
      <c r="B59" s="11" t="s">
        <v>49</v>
      </c>
      <c r="C59" s="8">
        <v>7790360982247</v>
      </c>
      <c r="D59" s="17">
        <v>4.8</v>
      </c>
      <c r="E59" s="10">
        <v>16</v>
      </c>
      <c r="F59" s="1">
        <v>42116.647801187304</v>
      </c>
      <c r="G59" s="2">
        <v>2632.2904875742065</v>
      </c>
      <c r="H59" s="31">
        <v>4618.3536604489445</v>
      </c>
    </row>
    <row r="60" spans="1:13" x14ac:dyDescent="0.25">
      <c r="A60" s="32">
        <v>100521453</v>
      </c>
      <c r="B60" s="11" t="s">
        <v>50</v>
      </c>
      <c r="C60" s="8">
        <v>7790360982223</v>
      </c>
      <c r="D60" s="17">
        <v>5.4</v>
      </c>
      <c r="E60" s="10">
        <v>18</v>
      </c>
      <c r="F60" s="1">
        <v>39830.354259144755</v>
      </c>
      <c r="G60" s="2">
        <v>2212.7974588413754</v>
      </c>
      <c r="H60" s="31">
        <v>3882.3531415371926</v>
      </c>
    </row>
    <row r="61" spans="1:13" x14ac:dyDescent="0.25">
      <c r="A61" s="32">
        <v>100521454</v>
      </c>
      <c r="B61" s="11" t="s">
        <v>51</v>
      </c>
      <c r="C61" s="8">
        <v>7790360982230</v>
      </c>
      <c r="D61" s="17">
        <v>5.3999999999999995</v>
      </c>
      <c r="E61" s="10">
        <v>18</v>
      </c>
      <c r="F61" s="1">
        <v>39830.354259144755</v>
      </c>
      <c r="G61" s="2">
        <v>2212.7974588413754</v>
      </c>
      <c r="H61" s="31">
        <v>3882.3531415371926</v>
      </c>
    </row>
    <row r="62" spans="1:13" x14ac:dyDescent="0.25">
      <c r="A62" s="28"/>
      <c r="B62" s="6"/>
      <c r="C62" s="5"/>
      <c r="D62" s="6"/>
      <c r="E62" s="13"/>
      <c r="F62" s="14"/>
      <c r="G62" s="13"/>
      <c r="H62" s="33"/>
    </row>
  </sheetData>
  <autoFilter ref="A1:H61" xr:uid="{8632172B-F2B1-4CAB-95AA-8A7A2E176492}"/>
  <conditionalFormatting sqref="A18:B18 D21:E24">
    <cfRule type="cellIs" dxfId="5" priority="9" stopIfTrue="1" operator="equal">
      <formula>0</formula>
    </cfRule>
  </conditionalFormatting>
  <conditionalFormatting sqref="A31:C31">
    <cfRule type="cellIs" dxfId="4" priority="7" stopIfTrue="1" operator="equal">
      <formula>0</formula>
    </cfRule>
  </conditionalFormatting>
  <conditionalFormatting sqref="A16:E17">
    <cfRule type="cellIs" dxfId="3" priority="4" stopIfTrue="1" operator="equal">
      <formula>0</formula>
    </cfRule>
  </conditionalFormatting>
  <conditionalFormatting sqref="A41:E41">
    <cfRule type="cellIs" dxfId="2" priority="6" stopIfTrue="1" operator="equal">
      <formula>0</formula>
    </cfRule>
  </conditionalFormatting>
  <conditionalFormatting sqref="D18:E18">
    <cfRule type="cellIs" dxfId="1" priority="10" stopIfTrue="1" operator="equal">
      <formula>0</formula>
    </cfRule>
  </conditionalFormatting>
  <conditionalFormatting sqref="D26:E29"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2025-03-10T16:05:41Z</dcterms:created>
  <dcterms:modified xsi:type="dcterms:W3CDTF">2026-02-23T15:58:01Z</dcterms:modified>
</cp:coreProperties>
</file>