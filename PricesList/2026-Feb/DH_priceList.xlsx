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ervafoods-my.sharepoint.com/personal/nicolas_gentile_minervafoods_com/Documents/NG/PricesList/2026-Feb/"/>
    </mc:Choice>
  </mc:AlternateContent>
  <xr:revisionPtr revIDLastSave="0" documentId="8_{641B1D3C-2B33-4CEB-9FE1-828503C2744F}" xr6:coauthVersionLast="47" xr6:coauthVersionMax="47" xr10:uidLastSave="{00000000-0000-0000-0000-000000000000}"/>
  <bookViews>
    <workbookView xWindow="-120" yWindow="-120" windowWidth="20730" windowHeight="11040" xr2:uid="{782E0B82-3A13-44AF-9EA8-9D2FDB4C3E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33" i="1"/>
  <c r="E34" i="1"/>
  <c r="E36" i="1"/>
  <c r="E37" i="1"/>
  <c r="E38" i="1"/>
  <c r="E39" i="1"/>
  <c r="E40" i="1"/>
  <c r="E41" i="1"/>
  <c r="E42" i="1"/>
  <c r="E43" i="1"/>
  <c r="E44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5" i="1"/>
  <c r="E66" i="1"/>
  <c r="E69" i="1"/>
  <c r="E70" i="1"/>
  <c r="E71" i="1"/>
  <c r="E72" i="1"/>
  <c r="E73" i="1"/>
  <c r="E74" i="1"/>
  <c r="E75" i="1"/>
  <c r="E76" i="1"/>
  <c r="E77" i="1"/>
  <c r="E78" i="1"/>
  <c r="E79" i="1"/>
  <c r="E81" i="1"/>
  <c r="E82" i="1"/>
  <c r="E83" i="1"/>
  <c r="E84" i="1"/>
  <c r="E85" i="1"/>
  <c r="E86" i="1"/>
  <c r="E87" i="1"/>
  <c r="E88" i="1"/>
  <c r="E89" i="1"/>
  <c r="E90" i="1"/>
  <c r="E92" i="1"/>
  <c r="E93" i="1"/>
  <c r="E94" i="1"/>
  <c r="E96" i="1"/>
  <c r="E97" i="1"/>
  <c r="E99" i="1"/>
  <c r="E100" i="1"/>
  <c r="E102" i="1"/>
  <c r="E103" i="1"/>
  <c r="E104" i="1"/>
  <c r="E105" i="1"/>
  <c r="E106" i="1"/>
  <c r="E108" i="1"/>
  <c r="E109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D34" i="1"/>
  <c r="D35" i="1"/>
  <c r="E35" i="1" s="1"/>
  <c r="D36" i="1"/>
  <c r="D37" i="1"/>
  <c r="D38" i="1"/>
  <c r="D39" i="1"/>
  <c r="D40" i="1"/>
  <c r="D41" i="1"/>
  <c r="D42" i="1"/>
  <c r="D43" i="1"/>
  <c r="D44" i="1"/>
  <c r="D45" i="1"/>
  <c r="E45" i="1" s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E64" i="1" s="1"/>
  <c r="D65" i="1"/>
  <c r="D66" i="1"/>
  <c r="D67" i="1"/>
  <c r="E67" i="1" s="1"/>
  <c r="D68" i="1"/>
  <c r="E68" i="1" s="1"/>
  <c r="D69" i="1"/>
  <c r="D70" i="1"/>
  <c r="D71" i="1"/>
  <c r="D72" i="1"/>
  <c r="D73" i="1"/>
  <c r="D74" i="1"/>
  <c r="D75" i="1"/>
  <c r="D76" i="1"/>
  <c r="D77" i="1"/>
  <c r="D78" i="1"/>
  <c r="D79" i="1"/>
  <c r="D80" i="1"/>
  <c r="E80" i="1" s="1"/>
  <c r="D81" i="1"/>
  <c r="D82" i="1"/>
  <c r="D83" i="1"/>
  <c r="D84" i="1"/>
  <c r="D85" i="1"/>
  <c r="D86" i="1"/>
  <c r="D87" i="1"/>
  <c r="D88" i="1"/>
  <c r="D89" i="1"/>
  <c r="D90" i="1"/>
  <c r="D91" i="1"/>
  <c r="E91" i="1" s="1"/>
  <c r="D92" i="1"/>
  <c r="D93" i="1"/>
  <c r="D94" i="1"/>
  <c r="D95" i="1"/>
  <c r="E95" i="1" s="1"/>
  <c r="D96" i="1"/>
  <c r="D97" i="1"/>
  <c r="D98" i="1"/>
  <c r="E98" i="1" s="1"/>
  <c r="D99" i="1"/>
  <c r="D100" i="1"/>
  <c r="D101" i="1"/>
  <c r="E101" i="1" s="1"/>
  <c r="D102" i="1"/>
  <c r="D103" i="1"/>
  <c r="D104" i="1"/>
  <c r="D105" i="1"/>
  <c r="D106" i="1"/>
  <c r="D107" i="1"/>
  <c r="E107" i="1" s="1"/>
  <c r="D108" i="1"/>
  <c r="D109" i="1"/>
</calcChain>
</file>

<file path=xl/sharedStrings.xml><?xml version="1.0" encoding="utf-8"?>
<sst xmlns="http://schemas.openxmlformats.org/spreadsheetml/2006/main" count="113" uniqueCount="113">
  <si>
    <t>HAMBURGUESAS 30x160g CLASICA x2</t>
  </si>
  <si>
    <t>HAMBURGUESA 18X4X80G CLASICA SWIFT</t>
  </si>
  <si>
    <t>HAMBURGUESA 8X12X80G CLASICA SWIFT</t>
  </si>
  <si>
    <t xml:space="preserve">HAMBURGUESA 6X20X80G CLASICA SWIFT </t>
  </si>
  <si>
    <t xml:space="preserve">HAMBURGUESA 30X250g CLASICA "XL" SWIFT </t>
  </si>
  <si>
    <t>HAMBURGUESAS 24X240G SWIFT TIPO CASERA</t>
  </si>
  <si>
    <t xml:space="preserve">HAMBURGUESA X-TREMA 36 x 185g </t>
  </si>
  <si>
    <t>MEDALLON 18X4X80G PARRILLERO SWIFT</t>
  </si>
  <si>
    <t>MEDALLONES 60X80g "SWIFT BURGER" PARRILLERAS FAMILY</t>
  </si>
  <si>
    <t>MEDALLONES 18X4X80G SWIFT RECETA ESPECIAL (MEDALLON- ARG)</t>
  </si>
  <si>
    <t>MEDALLONES 30X160 Grs. RECETA ESPECIAL</t>
  </si>
  <si>
    <t>Medallón CAJITA 12x4 69 grs</t>
  </si>
  <si>
    <t>MEDALLONES BURGER 8x12un x 69gr</t>
  </si>
  <si>
    <t>MEDALLON 42X112G DOBLE BURGER SWIFT</t>
  </si>
  <si>
    <t>MED.DOBLE BURGER x 4 - 21x224g</t>
  </si>
  <si>
    <t>MEDALLON 30x160g MEGA BURGER SWIFT</t>
  </si>
  <si>
    <t>MEDALLON 42X112G LA BLANCA</t>
  </si>
  <si>
    <t>MEDALLON 12x4X69G LA BLANCA</t>
  </si>
  <si>
    <t>MEDALLONES 60 X 69 GRS SWIFT BURGUER PARRILLERAS FAMILY</t>
  </si>
  <si>
    <t>Medallon   60X69G Carne Vacuna</t>
  </si>
  <si>
    <t>Medallón Parrilero MC Swift  x60 80 grs</t>
  </si>
  <si>
    <t xml:space="preserve">MEDALLON 60x80g PROMOFIESTA </t>
  </si>
  <si>
    <t>MEDALLON 40X109G CARNE VACUNA PARRILLERO SWIFT</t>
  </si>
  <si>
    <t>MEDALLON 60X109G CARNE VACUNA PARRILLERO SWIFT</t>
  </si>
  <si>
    <t>MEDALLON GIGANTE 113,5 g</t>
  </si>
  <si>
    <t>Hamburguesa Dia 18 X 4</t>
  </si>
  <si>
    <t>Hamburguesa Dia 12 X 12</t>
  </si>
  <si>
    <t>Hamburguesa Dia 6 X 20</t>
  </si>
  <si>
    <t>Hamburguesa La Anonima X 4</t>
  </si>
  <si>
    <t>Hamburguesa La Anonima X 12</t>
  </si>
  <si>
    <t>Hamburguesa La Anonima X 20</t>
  </si>
  <si>
    <t>HAMBURGUESA 36 X 185 GR</t>
  </si>
  <si>
    <t>HAMBURGUESA 30x 106 GR</t>
  </si>
  <si>
    <t>Total categoría Salchichas</t>
  </si>
  <si>
    <t>SALCHICHAS 24X6 SWIFT</t>
  </si>
  <si>
    <t xml:space="preserve">SALCHICHAS SWIFT SIN GLUTEN 24x6 x 225 g </t>
  </si>
  <si>
    <t>SALCHICHAS 12X12 SWIFT</t>
  </si>
  <si>
    <t xml:space="preserve">SALCHICHAS SWIFT SIN GLUTEN 12X12 x 450 g </t>
  </si>
  <si>
    <t>SALCHICHAS  LARGAS  10 x 12  SWIFT  INSTITUCIONAL</t>
  </si>
  <si>
    <t xml:space="preserve">SALCHICHAS LARGAS SWIFT SIN GLUTEN 10X12 x 870 g  </t>
  </si>
  <si>
    <t>SALCHICHAS SIN PIEL "LA BLANCA"  24X6X190 Grs;</t>
  </si>
  <si>
    <t xml:space="preserve">SALCHICHAS LARGAS 10 x 12 x 870g  </t>
  </si>
  <si>
    <t>SALCHICHAS SIN PIEL 24X6 "SWIFT KIDS" X 190 g</t>
  </si>
  <si>
    <t>Total categoría Untables</t>
  </si>
  <si>
    <t>PATE DE FOIE 24X90G SWIFT</t>
  </si>
  <si>
    <t xml:space="preserve">PICADILLO DE CARNE 24X90G SWIFT </t>
  </si>
  <si>
    <t>PICADILLO DE CARNE PICANTE CHILE CHIPOTLE 24x90 g</t>
  </si>
  <si>
    <t>PATE DE FOIE JALAPEÑO 24x90 Swift</t>
  </si>
  <si>
    <t>PICADILLO DE CARNE PICANTE 24X90G SWIFT</t>
  </si>
  <si>
    <t>PATE DE FOIE A LA CREMA 24X88G SWIFT</t>
  </si>
  <si>
    <t>JAMON DEL DIABLO 24X88G SWIFT</t>
  </si>
  <si>
    <t>PATE DE FOIE DE POLLO 24X85G SWIFT</t>
  </si>
  <si>
    <t>PATE DE FOIE TIPO PROVENZAL 24X85G SWIFT GOURMET</t>
  </si>
  <si>
    <t>PATE DE FOIE C/PIMIENTA VERDE 24X85G SWIFT GOURMET</t>
  </si>
  <si>
    <t>PATE DE SALMON 24X85G SWIFT GOURMET</t>
  </si>
  <si>
    <t xml:space="preserve">PATE JAMON AHUMADO 24X85G </t>
  </si>
  <si>
    <t>PATE HONGOS 24X85G</t>
  </si>
  <si>
    <t xml:space="preserve">SURTIDO GOURMET 24X85G SWIFT GOURMET </t>
  </si>
  <si>
    <t>PICADILLO DE CARNE 24X90G LA BLANCA</t>
  </si>
  <si>
    <t>PATE DE FOIE 24X90G LA BLANCA</t>
  </si>
  <si>
    <t>PICADILLO DE CARNE 24X90G SAFRA</t>
  </si>
  <si>
    <t>PATE DE FOIE 24X90G SAFRA</t>
  </si>
  <si>
    <t xml:space="preserve">PICADILLO DE CARNE DIA 24X90G </t>
  </si>
  <si>
    <t xml:space="preserve">PATE  DIA 24X90G </t>
  </si>
  <si>
    <t>PATE DE FOI  PRIMER PRECIO  -  24 X 90  Grs.</t>
  </si>
  <si>
    <t>PICADILLO DE CARNE PRIMER PRECIO  -  24 X 90 Grs.</t>
  </si>
  <si>
    <t>Total categoría Milanesas de Soja</t>
  </si>
  <si>
    <t>MILANESAS DE SOJA RELLENAS CON JAMON Y QUESO</t>
  </si>
  <si>
    <t>MILANESAS DE SOJA RELLENAS CON ESPINACA Y QUESO</t>
  </si>
  <si>
    <t>MILANESAS DE SOJA RELLENAS CON TOMATE Y QUESO</t>
  </si>
  <si>
    <t>MILANESAS DE SOJA CLASICAS PREFRITAS</t>
  </si>
  <si>
    <t>MEDALLÓN A BASE DE CALABAZA Y CHOCLO PREFRITO SUPERCONGELADO</t>
  </si>
  <si>
    <t>MEDALLÓN A BASE DE ESPINACA CON SOJA PREFRITO SUPERCONGELADO 18x300g</t>
  </si>
  <si>
    <t>CROQUETA A BASE DE BRÓCOLI Y SOJA PREFRITO SUPERCONGELADO 300g</t>
  </si>
  <si>
    <t>CROQUETA A BASE DE ESPINACA Y SOJA REBOZADA SUPERCONGELADA 300g</t>
  </si>
  <si>
    <t>Total categoría Rebozados de Carne</t>
  </si>
  <si>
    <t>BOCADITOS DE CARNE "SWIFT" - 12x380g</t>
  </si>
  <si>
    <t>BOCADITOS DE POLLO "SWIFT" - 12x380g</t>
  </si>
  <si>
    <t>BOCADITOS DE CARNE "SWIFT" - 10x760g</t>
  </si>
  <si>
    <t>BOCADITOS DE POLLO "SWIFT" - 10x760g</t>
  </si>
  <si>
    <t>CRUNCHIES DE POLLO "SWIFT" - 12x380g</t>
  </si>
  <si>
    <t>CRUNCHIES DE POLLO "SWIFT" - 10x760g</t>
  </si>
  <si>
    <t>BOCADITOS DE POLLO "SWIFT KIDS" - 12x400g</t>
  </si>
  <si>
    <t>PALITO DE POLLO "SWIFT"  12 X 260 Grs.</t>
  </si>
  <si>
    <t>PALITO DE POLLO "SWIFT"  8 X 1 Kg..</t>
  </si>
  <si>
    <t>MILANESITAS DE CARNE "SWIFT" - 12x400g</t>
  </si>
  <si>
    <t>MEDALLONES DE POLLO "SWIFT" - 12x4x80g</t>
  </si>
  <si>
    <t>MEDALLONES DE POLLO GASTRONOMICOS - 8x12x80g</t>
  </si>
  <si>
    <t>BOCADITOS DE POLLO GASTRONOMICOS "LA BLANCA" - x6kg</t>
  </si>
  <si>
    <t>Total categoría Milanesas</t>
  </si>
  <si>
    <t>Milanesa de Carne Vacuna  Cong. 24x500Grs.</t>
  </si>
  <si>
    <t>Milanesa de Carne Vacuna  Cong. 12x1 Kg.</t>
  </si>
  <si>
    <t>Milanesa de Carne Vacuna  Cong. X 5 Kg.</t>
  </si>
  <si>
    <t>Total categoría Grasa</t>
  </si>
  <si>
    <t>GRASA VACUNA REFINADA SWIFT 10 X 500</t>
  </si>
  <si>
    <t>GRASA VACUNA REFINADA SWIFT 12x1Kg</t>
  </si>
  <si>
    <t>Total categoría Carne Picada</t>
  </si>
  <si>
    <t>CARNE PICADA CONGELADA 20 X 1 Kg. SW</t>
  </si>
  <si>
    <t>CARNE PICADA CONGELADA 36 UN x 500 g SWIFT</t>
  </si>
  <si>
    <t>Total categoría Chorizos</t>
  </si>
  <si>
    <t>CHORIZOS FRESCOS DE CERDO LIBRE DE GLUTEN</t>
  </si>
  <si>
    <t>CHORIZOS CONG. DE CERDO LIBRE DE GLUTEN SWIFT  12 X 400 Grs.</t>
  </si>
  <si>
    <t>Total categoría Papas</t>
  </si>
  <si>
    <t>PAPAS PRE COCIDAS SUPERCONGELADAS LIBRES DE GLUTEN 700g</t>
  </si>
  <si>
    <t>PAPAS PREFRITAS SUPERCONGELADAS LIBRES DE GLUTEN 7x2000gr (BR)</t>
  </si>
  <si>
    <t>Total categoría Atun</t>
  </si>
  <si>
    <t>LOMO DE ATUN AL NATURAL SWIFT 170g</t>
  </si>
  <si>
    <t>LOMO DE ATUN EN ACEITE SWIFT 170g</t>
  </si>
  <si>
    <t>Precio</t>
  </si>
  <si>
    <t>IVA</t>
  </si>
  <si>
    <t>TOTAL</t>
  </si>
  <si>
    <t>Producto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</si>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</sst>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43" formatCode="_-* #,##0.00_-;\-* #,##0.0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color indexed="9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58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5" fillId="0" borderId="1" xfId="3" applyNumberFormat="1" applyFont="1" applyFill="1" applyBorder="1" applyAlignment="1" applyProtection="1">
      <protection locked="0"/>
    </xf>
    <xf numFmtId="0" fontId="5" fillId="3" borderId="1" xfId="3" applyNumberFormat="1" applyFont="1" applyFill="1" applyBorder="1" applyAlignment="1" applyProtection="1">
      <protection locked="0"/>
    </xf>
    <xf numFmtId="0" fontId="6" fillId="0" borderId="1" xfId="3" applyNumberFormat="1" applyFont="1" applyFill="1" applyBorder="1" applyAlignment="1" applyProtection="1">
      <protection locked="0"/>
    </xf>
    <xf numFmtId="0" fontId="2" fillId="2" borderId="1" xfId="4" applyNumberFormat="1" applyFont="1" applyFill="1" applyBorder="1" applyAlignment="1" applyProtection="1">
      <alignment horizontal="center" vertical="center" wrapText="1"/>
    </xf>
    <xf numFmtId="1" fontId="1" fillId="0" borderId="3" xfId="1" applyNumberFormat="1" applyFill="1" applyBorder="1" applyAlignment="1" applyProtection="1">
      <protection locked="0"/>
    </xf>
    <xf numFmtId="0" fontId="2" fillId="2" borderId="3" xfId="4" applyNumberFormat="1" applyFont="1" applyFill="1" applyBorder="1" applyAlignment="1" applyProtection="1">
      <alignment horizontal="center" vertical="center" wrapText="1"/>
    </xf>
    <xf numFmtId="1" fontId="1" fillId="3" borderId="3" xfId="1" applyNumberFormat="1" applyFill="1" applyBorder="1" applyAlignment="1" applyProtection="1">
      <protection locked="0"/>
    </xf>
    <xf numFmtId="0" fontId="6" fillId="0" borderId="3" xfId="3" applyNumberFormat="1" applyFont="1" applyFill="1" applyBorder="1" applyAlignment="1" applyProtection="1">
      <protection locked="0"/>
    </xf>
    <xf numFmtId="44" fontId="7" fillId="0" borderId="2" xfId="2" applyFont="1" applyFill="1" applyBorder="1" applyAlignment="1" applyProtection="1">
      <alignment horizontal="center"/>
    </xf>
    <xf numFmtId="44" fontId="8" fillId="2" borderId="0" xfId="2" applyFont="1" applyFill="1" applyBorder="1" applyAlignment="1" applyProtection="1">
      <alignment horizontal="center" vertical="center"/>
    </xf>
    <xf numFmtId="44" fontId="0" fillId="0" borderId="0" xfId="2" applyFont="1"/>
    <xf numFmtId="1" fontId="0" fillId="0" borderId="3" xfId="1" applyNumberFormat="1" applyFont="1" applyFill="1" applyBorder="1" applyAlignment="1" applyProtection="1">
      <protection locked="0"/>
    </xf>
    <xf numFmtId="0" fontId="3" fillId="0" borderId="0" xfId="0" applyFont="1"/>
    <xf numFmtId="44" fontId="3" fillId="0" borderId="0" xfId="0" applyNumberFormat="1" applyFont="1"/>
  </cellXfs>
  <cellStyles count="5">
    <cellStyle name="          _x000a__x000a_386grabber=VGA.3GR_x000a__x000a__Grilla ofertas confirmadas" xfId="4" xr:uid="{FD32FB83-DD65-40C3-A0C4-E9EC70325A8C}"/>
    <cellStyle name="Millares" xfId="1" builtinId="3"/>
    <cellStyle name="Moneda" xfId="2" builtinId="4"/>
    <cellStyle name="Normal" xfId="0" builtinId="0"/>
    <cellStyle name="Normal_Grilla ofertas confirmadas SETIEMBRE" xfId="3" xr:uid="{46C10AE1-955D-4F34-9BCF-FFAB08EBEE8F}"/>
  </cellStyles>
  <dxfs count="6">
    <dxf>
      <font>
        <b/>
      </font>
      <numFmt numFmtId="34" formatCode="_-&quot;$&quot;\ * #,##0.00_-;\-&quot;$&quot;\ * #,##0.00_-;_-&quot;$&quot;\ * &quot;-&quot;??_-;_-@_-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/>
        <top/>
        <bottom style="thin">
          <color indexed="8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left style="thin">
          <color indexed="64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3B60B7-DFE8-4ABD-91CD-3EE9D3A0AC8C}" name="Tabla1" displayName="Tabla1" ref="A1:E109" totalsRowShown="0" tableBorderDxfId="5">
  <autoFilter ref="A1:E109" xr:uid="{C63B60B7-DFE8-4ABD-91CD-3EE9D3A0AC8C}"/>
  <tableColumns count="5">
    <tableColumn id="1" xr3:uid="{CCAE6B3A-A0F3-4DE0-A133-F813647A461F}" name="Código" dataDxfId="4" dataCellStyle="Normal_Grilla ofertas confirmadas SETIEMBRE"/>
    <tableColumn id="2" xr3:uid="{4B544D8B-672E-486B-89C9-C8F906051E30}" name="Producto" dataDxfId="3" dataCellStyle="Normal_Grilla ofertas confirmadas SETIEMBRE"/>
    <tableColumn id="3" xr3:uid="{847A5FA8-1F95-4775-AFB0-B123D42C9A52}" name="Precio" dataDxfId="2" dataCellStyle="Moneda"/>
    <tableColumn id="4" xr3:uid="{E0E1BBCD-C606-4078-84BE-8733C938C44C}" name="IVA" dataDxfId="1">
      <calculatedColumnFormula>+Tabla1[[#This Row],[Precio]]*0.21</calculatedColumnFormula>
    </tableColumn>
    <tableColumn id="5" xr3:uid="{28621546-B42F-4A59-A986-CC06A9A3CA84}" name="TOTAL" dataDxfId="0">
      <calculatedColumnFormula>+Tabla1[[#This Row],[IVA]]+Tabla1[[#This Row],[Precio]]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995CE-E1BB-4A08-88A2-DFEE11E31CBE}">
  <dimension ref="A1:E109"/>
  <sheetViews>
    <sheetView tabSelected="1" workbookViewId="0">
      <selection activeCell="B8" sqref="B8"/>
    </sheetView>
  </sheetViews>
  <sheetFormatPr baseColWidth="10" defaultRowHeight="15" x14ac:dyDescent="0.25"/>
  <cols>
    <col min="1" max="1" width="12.28515625" customWidth="1"/>
    <col min="2" max="2" width="65" bestFit="1" customWidth="1"/>
    <col min="3" max="3" width="13.5703125" style="11" bestFit="1" customWidth="1"/>
    <col min="4" max="4" width="11.42578125" style="13"/>
    <col min="5" max="5" width="13" style="13" bestFit="1" customWidth="1"/>
  </cols>
  <sheetData>
    <row r="1" spans="1:5" x14ac:dyDescent="0.25">
      <c r="A1" s="12" t="s">
        <v>112</v>
      </c>
      <c r="B1" s="1" t="s">
        <v>111</v>
      </c>
      <c r="C1" s="9" t="s">
        <v>108</v>
      </c>
      <c r="D1" s="13" t="s">
        <v>109</v>
      </c>
      <c r="E1" s="13" t="s">
        <v>110</v>
      </c>
    </row>
    <row r="2" spans="1:5" x14ac:dyDescent="0.25">
      <c r="A2" s="5">
        <v>100021632</v>
      </c>
      <c r="B2" s="1" t="s">
        <v>0</v>
      </c>
      <c r="C2" s="9">
        <v>42179.01</v>
      </c>
      <c r="D2" s="13">
        <f>+Tabla1[[#This Row],[Precio]]*0.21</f>
        <v>8857.5920999999998</v>
      </c>
      <c r="E2" s="14">
        <f>+Tabla1[[#This Row],[IVA]]+Tabla1[[#This Row],[Precio]]</f>
        <v>51036.602100000004</v>
      </c>
    </row>
    <row r="3" spans="1:5" x14ac:dyDescent="0.25">
      <c r="A3" s="5">
        <v>100021652</v>
      </c>
      <c r="B3" s="1" t="s">
        <v>1</v>
      </c>
      <c r="C3" s="9">
        <v>50775.839999999997</v>
      </c>
      <c r="D3" s="13">
        <f>+Tabla1[[#This Row],[Precio]]*0.21</f>
        <v>10662.926399999998</v>
      </c>
      <c r="E3" s="14">
        <f>+Tabla1[[#This Row],[IVA]]+Tabla1[[#This Row],[Precio]]</f>
        <v>61438.766399999993</v>
      </c>
    </row>
    <row r="4" spans="1:5" x14ac:dyDescent="0.25">
      <c r="A4" s="5">
        <v>100021631</v>
      </c>
      <c r="B4" s="1" t="s">
        <v>2</v>
      </c>
      <c r="C4" s="9">
        <v>64362.04</v>
      </c>
      <c r="D4" s="13">
        <f>+Tabla1[[#This Row],[Precio]]*0.21</f>
        <v>13516.028399999999</v>
      </c>
      <c r="E4" s="14">
        <f>+Tabla1[[#This Row],[IVA]]+Tabla1[[#This Row],[Precio]]</f>
        <v>77878.068400000004</v>
      </c>
    </row>
    <row r="5" spans="1:5" x14ac:dyDescent="0.25">
      <c r="A5" s="5">
        <v>100021630</v>
      </c>
      <c r="B5" s="1" t="s">
        <v>3</v>
      </c>
      <c r="C5" s="9">
        <v>78890.37</v>
      </c>
      <c r="D5" s="13">
        <f>+Tabla1[[#This Row],[Precio]]*0.21</f>
        <v>16566.977699999999</v>
      </c>
      <c r="E5" s="14">
        <f>+Tabla1[[#This Row],[IVA]]+Tabla1[[#This Row],[Precio]]</f>
        <v>95457.347699999998</v>
      </c>
    </row>
    <row r="6" spans="1:5" x14ac:dyDescent="0.25">
      <c r="A6" s="5">
        <v>100021676</v>
      </c>
      <c r="B6" s="1" t="s">
        <v>4</v>
      </c>
      <c r="C6" s="9">
        <v>66855.3</v>
      </c>
      <c r="D6" s="13">
        <f>+Tabla1[[#This Row],[Precio]]*0.21</f>
        <v>14039.612999999999</v>
      </c>
      <c r="E6" s="14">
        <f>+Tabla1[[#This Row],[IVA]]+Tabla1[[#This Row],[Precio]]</f>
        <v>80894.913</v>
      </c>
    </row>
    <row r="7" spans="1:5" x14ac:dyDescent="0.25">
      <c r="A7" s="5">
        <v>100516008</v>
      </c>
      <c r="B7" s="1" t="s">
        <v>5</v>
      </c>
      <c r="C7" s="9">
        <v>56052.800000000003</v>
      </c>
      <c r="D7" s="13">
        <f>+Tabla1[[#This Row],[Precio]]*0.21</f>
        <v>11771.088</v>
      </c>
      <c r="E7" s="14">
        <f>+Tabla1[[#This Row],[IVA]]+Tabla1[[#This Row],[Precio]]</f>
        <v>67823.888000000006</v>
      </c>
    </row>
    <row r="8" spans="1:5" x14ac:dyDescent="0.25">
      <c r="A8" s="5">
        <v>100520834</v>
      </c>
      <c r="B8" s="1" t="s">
        <v>6</v>
      </c>
      <c r="C8" s="9">
        <v>69405.149999999994</v>
      </c>
      <c r="D8" s="13">
        <f>+Tabla1[[#This Row],[Precio]]*0.21</f>
        <v>14575.081499999998</v>
      </c>
      <c r="E8" s="14">
        <f>+Tabla1[[#This Row],[IVA]]+Tabla1[[#This Row],[Precio]]</f>
        <v>83980.231499999994</v>
      </c>
    </row>
    <row r="9" spans="1:5" x14ac:dyDescent="0.25">
      <c r="A9" s="5">
        <v>100021653</v>
      </c>
      <c r="B9" s="1" t="s">
        <v>7</v>
      </c>
      <c r="C9" s="9">
        <v>55676.29</v>
      </c>
      <c r="D9" s="13">
        <f>+Tabla1[[#This Row],[Precio]]*0.21</f>
        <v>11692.0209</v>
      </c>
      <c r="E9" s="14">
        <f>+Tabla1[[#This Row],[IVA]]+Tabla1[[#This Row],[Precio]]</f>
        <v>67368.310899999997</v>
      </c>
    </row>
    <row r="10" spans="1:5" x14ac:dyDescent="0.25">
      <c r="A10" s="5">
        <v>100021638</v>
      </c>
      <c r="B10" s="1" t="s">
        <v>8</v>
      </c>
      <c r="C10" s="9">
        <v>52286.13</v>
      </c>
      <c r="D10" s="13">
        <f>+Tabla1[[#This Row],[Precio]]*0.21</f>
        <v>10980.087299999999</v>
      </c>
      <c r="E10" s="14">
        <f>+Tabla1[[#This Row],[IVA]]+Tabla1[[#This Row],[Precio]]</f>
        <v>63266.217299999997</v>
      </c>
    </row>
    <row r="11" spans="1:5" x14ac:dyDescent="0.25">
      <c r="A11" s="5">
        <v>100516169</v>
      </c>
      <c r="B11" s="1" t="s">
        <v>9</v>
      </c>
      <c r="C11" s="9">
        <v>51337.27</v>
      </c>
      <c r="D11" s="13">
        <f>+Tabla1[[#This Row],[Precio]]*0.21</f>
        <v>10780.8267</v>
      </c>
      <c r="E11" s="14">
        <f>+Tabla1[[#This Row],[IVA]]+Tabla1[[#This Row],[Precio]]</f>
        <v>62118.096699999995</v>
      </c>
    </row>
    <row r="12" spans="1:5" hidden="1" x14ac:dyDescent="0.25">
      <c r="A12" s="5">
        <v>100516170</v>
      </c>
      <c r="B12" s="1" t="s">
        <v>10</v>
      </c>
      <c r="C12" s="9">
        <v>0</v>
      </c>
      <c r="D12" s="13">
        <f>+Tabla1[[#This Row],[Precio]]*0.21</f>
        <v>0</v>
      </c>
      <c r="E12" s="14">
        <f>+Tabla1[[#This Row],[IVA]]+Tabla1[[#This Row],[Precio]]</f>
        <v>0</v>
      </c>
    </row>
    <row r="13" spans="1:5" x14ac:dyDescent="0.25">
      <c r="A13" s="5">
        <v>100021503</v>
      </c>
      <c r="B13" s="1" t="s">
        <v>11</v>
      </c>
      <c r="C13" s="9">
        <v>22771</v>
      </c>
      <c r="D13" s="13">
        <f>+Tabla1[[#This Row],[Precio]]*0.21</f>
        <v>4781.91</v>
      </c>
      <c r="E13" s="14">
        <f>+Tabla1[[#This Row],[IVA]]+Tabla1[[#This Row],[Precio]]</f>
        <v>27552.91</v>
      </c>
    </row>
    <row r="14" spans="1:5" x14ac:dyDescent="0.25">
      <c r="A14" s="5">
        <v>100516201</v>
      </c>
      <c r="B14" s="1" t="s">
        <v>12</v>
      </c>
      <c r="C14" s="9">
        <v>49752.49</v>
      </c>
      <c r="D14" s="13">
        <f>+Tabla1[[#This Row],[Precio]]*0.21</f>
        <v>10448.0229</v>
      </c>
      <c r="E14" s="14">
        <f>+Tabla1[[#This Row],[IVA]]+Tabla1[[#This Row],[Precio]]</f>
        <v>60200.512900000002</v>
      </c>
    </row>
    <row r="15" spans="1:5" x14ac:dyDescent="0.25">
      <c r="A15" s="5">
        <v>100021643</v>
      </c>
      <c r="B15" s="1" t="s">
        <v>13</v>
      </c>
      <c r="C15" s="9">
        <v>30511.69</v>
      </c>
      <c r="D15" s="13">
        <f>+Tabla1[[#This Row],[Precio]]*0.21</f>
        <v>6407.4548999999997</v>
      </c>
      <c r="E15" s="14">
        <f>+Tabla1[[#This Row],[IVA]]+Tabla1[[#This Row],[Precio]]</f>
        <v>36919.144899999999</v>
      </c>
    </row>
    <row r="16" spans="1:5" x14ac:dyDescent="0.25">
      <c r="A16" s="5">
        <v>100516325</v>
      </c>
      <c r="B16" s="1" t="s">
        <v>14</v>
      </c>
      <c r="C16" s="9">
        <v>34314.86</v>
      </c>
      <c r="D16" s="13">
        <f>+Tabla1[[#This Row],[Precio]]*0.21</f>
        <v>7206.1206000000002</v>
      </c>
      <c r="E16" s="14">
        <f>+Tabla1[[#This Row],[IVA]]+Tabla1[[#This Row],[Precio]]</f>
        <v>41520.980600000003</v>
      </c>
    </row>
    <row r="17" spans="1:5" x14ac:dyDescent="0.25">
      <c r="A17" s="5">
        <v>100520337</v>
      </c>
      <c r="B17" s="1" t="s">
        <v>15</v>
      </c>
      <c r="C17" s="9">
        <v>29823.49</v>
      </c>
      <c r="D17" s="13">
        <f>+Tabla1[[#This Row],[Precio]]*0.21</f>
        <v>6262.9328999999998</v>
      </c>
      <c r="E17" s="14">
        <f>+Tabla1[[#This Row],[IVA]]+Tabla1[[#This Row],[Precio]]</f>
        <v>36086.422900000005</v>
      </c>
    </row>
    <row r="18" spans="1:5" x14ac:dyDescent="0.25">
      <c r="A18" s="5">
        <v>100021644</v>
      </c>
      <c r="B18" s="1" t="s">
        <v>16</v>
      </c>
      <c r="C18" s="9">
        <v>21089.84</v>
      </c>
      <c r="D18" s="13">
        <f>+Tabla1[[#This Row],[Precio]]*0.21</f>
        <v>4428.8663999999999</v>
      </c>
      <c r="E18" s="14">
        <f>+Tabla1[[#This Row],[IVA]]+Tabla1[[#This Row],[Precio]]</f>
        <v>25518.706399999999</v>
      </c>
    </row>
    <row r="19" spans="1:5" x14ac:dyDescent="0.25">
      <c r="A19" s="5">
        <v>100021677</v>
      </c>
      <c r="B19" s="1" t="s">
        <v>17</v>
      </c>
      <c r="C19" s="9">
        <v>16737.23</v>
      </c>
      <c r="D19" s="13">
        <f>+Tabla1[[#This Row],[Precio]]*0.21</f>
        <v>3514.8182999999999</v>
      </c>
      <c r="E19" s="14">
        <f>+Tabla1[[#This Row],[IVA]]+Tabla1[[#This Row],[Precio]]</f>
        <v>20252.048299999999</v>
      </c>
    </row>
    <row r="20" spans="1:5" x14ac:dyDescent="0.25">
      <c r="A20" s="5">
        <v>100021575</v>
      </c>
      <c r="B20" s="1" t="s">
        <v>18</v>
      </c>
      <c r="C20" s="9">
        <v>42882.94</v>
      </c>
      <c r="D20" s="13">
        <f>+Tabla1[[#This Row],[Precio]]*0.21</f>
        <v>9005.4174000000003</v>
      </c>
      <c r="E20" s="14">
        <f>+Tabla1[[#This Row],[IVA]]+Tabla1[[#This Row],[Precio]]</f>
        <v>51888.357400000001</v>
      </c>
    </row>
    <row r="21" spans="1:5" x14ac:dyDescent="0.25">
      <c r="A21" s="5">
        <v>100021514</v>
      </c>
      <c r="B21" s="1" t="s">
        <v>19</v>
      </c>
      <c r="C21" s="9">
        <v>39023.230000000003</v>
      </c>
      <c r="D21" s="13">
        <f>+Tabla1[[#This Row],[Precio]]*0.21</f>
        <v>8194.8783000000003</v>
      </c>
      <c r="E21" s="14">
        <f>+Tabla1[[#This Row],[IVA]]+Tabla1[[#This Row],[Precio]]</f>
        <v>47218.108300000007</v>
      </c>
    </row>
    <row r="22" spans="1:5" x14ac:dyDescent="0.25">
      <c r="A22" s="5">
        <v>100516208</v>
      </c>
      <c r="B22" s="1" t="s">
        <v>20</v>
      </c>
      <c r="C22" s="9">
        <v>45244.35</v>
      </c>
      <c r="D22" s="13">
        <f>+Tabla1[[#This Row],[Precio]]*0.21</f>
        <v>9501.3135000000002</v>
      </c>
      <c r="E22" s="14">
        <f>+Tabla1[[#This Row],[IVA]]+Tabla1[[#This Row],[Precio]]</f>
        <v>54745.663499999995</v>
      </c>
    </row>
    <row r="23" spans="1:5" hidden="1" x14ac:dyDescent="0.25">
      <c r="A23" s="5">
        <v>100516191</v>
      </c>
      <c r="B23" s="1" t="s">
        <v>21</v>
      </c>
      <c r="C23" s="9">
        <v>0</v>
      </c>
      <c r="D23" s="13">
        <f>+Tabla1[[#This Row],[Precio]]*0.21</f>
        <v>0</v>
      </c>
      <c r="E23" s="14">
        <f>+Tabla1[[#This Row],[IVA]]+Tabla1[[#This Row],[Precio]]</f>
        <v>0</v>
      </c>
    </row>
    <row r="24" spans="1:5" hidden="1" x14ac:dyDescent="0.25">
      <c r="A24" s="5">
        <v>100021530</v>
      </c>
      <c r="B24" s="1" t="s">
        <v>22</v>
      </c>
      <c r="C24" s="9">
        <v>0</v>
      </c>
      <c r="D24" s="13">
        <f>+Tabla1[[#This Row],[Precio]]*0.21</f>
        <v>0</v>
      </c>
      <c r="E24" s="14">
        <f>+Tabla1[[#This Row],[IVA]]+Tabla1[[#This Row],[Precio]]</f>
        <v>0</v>
      </c>
    </row>
    <row r="25" spans="1:5" x14ac:dyDescent="0.25">
      <c r="A25" s="5">
        <v>100518346</v>
      </c>
      <c r="B25" s="1" t="s">
        <v>23</v>
      </c>
      <c r="C25" s="9">
        <v>64667.29</v>
      </c>
      <c r="D25" s="13">
        <f>+Tabla1[[#This Row],[Precio]]*0.21</f>
        <v>13580.1309</v>
      </c>
      <c r="E25" s="14">
        <f>+Tabla1[[#This Row],[IVA]]+Tabla1[[#This Row],[Precio]]</f>
        <v>78247.420899999997</v>
      </c>
    </row>
    <row r="26" spans="1:5" hidden="1" x14ac:dyDescent="0.25">
      <c r="A26" s="5">
        <v>100516259</v>
      </c>
      <c r="B26" s="1" t="s">
        <v>24</v>
      </c>
      <c r="C26" s="9">
        <v>149620.03</v>
      </c>
      <c r="D26" s="13">
        <f>+Tabla1[[#This Row],[Precio]]*0.21</f>
        <v>31420.206299999998</v>
      </c>
      <c r="E26" s="14">
        <f>+Tabla1[[#This Row],[IVA]]+Tabla1[[#This Row],[Precio]]</f>
        <v>181040.23629999999</v>
      </c>
    </row>
    <row r="27" spans="1:5" hidden="1" x14ac:dyDescent="0.25">
      <c r="A27" s="5">
        <v>100021669</v>
      </c>
      <c r="B27" s="1" t="s">
        <v>25</v>
      </c>
      <c r="C27" s="9">
        <v>0</v>
      </c>
      <c r="D27" s="13">
        <f>+Tabla1[[#This Row],[Precio]]*0.21</f>
        <v>0</v>
      </c>
      <c r="E27" s="14">
        <f>+Tabla1[[#This Row],[IVA]]+Tabla1[[#This Row],[Precio]]</f>
        <v>0</v>
      </c>
    </row>
    <row r="28" spans="1:5" hidden="1" x14ac:dyDescent="0.25">
      <c r="A28" s="5">
        <v>100021670</v>
      </c>
      <c r="B28" s="1" t="s">
        <v>26</v>
      </c>
      <c r="C28" s="9">
        <v>0</v>
      </c>
      <c r="D28" s="13">
        <f>+Tabla1[[#This Row],[Precio]]*0.21</f>
        <v>0</v>
      </c>
      <c r="E28" s="14">
        <f>+Tabla1[[#This Row],[IVA]]+Tabla1[[#This Row],[Precio]]</f>
        <v>0</v>
      </c>
    </row>
    <row r="29" spans="1:5" hidden="1" x14ac:dyDescent="0.25">
      <c r="A29" s="5">
        <v>100021671</v>
      </c>
      <c r="B29" s="1" t="s">
        <v>27</v>
      </c>
      <c r="C29" s="9">
        <v>0</v>
      </c>
      <c r="D29" s="13">
        <f>+Tabla1[[#This Row],[Precio]]*0.21</f>
        <v>0</v>
      </c>
      <c r="E29" s="14">
        <f>+Tabla1[[#This Row],[IVA]]+Tabla1[[#This Row],[Precio]]</f>
        <v>0</v>
      </c>
    </row>
    <row r="30" spans="1:5" hidden="1" x14ac:dyDescent="0.25">
      <c r="A30" s="5">
        <v>100021647</v>
      </c>
      <c r="B30" s="1" t="s">
        <v>28</v>
      </c>
      <c r="C30" s="9">
        <v>0</v>
      </c>
      <c r="D30" s="13">
        <f>+Tabla1[[#This Row],[Precio]]*0.21</f>
        <v>0</v>
      </c>
      <c r="E30" s="14">
        <f>+Tabla1[[#This Row],[IVA]]+Tabla1[[#This Row],[Precio]]</f>
        <v>0</v>
      </c>
    </row>
    <row r="31" spans="1:5" hidden="1" x14ac:dyDescent="0.25">
      <c r="A31" s="5">
        <v>100021648</v>
      </c>
      <c r="B31" s="1" t="s">
        <v>29</v>
      </c>
      <c r="C31" s="9">
        <v>0</v>
      </c>
      <c r="D31" s="13">
        <f>+Tabla1[[#This Row],[Precio]]*0.21</f>
        <v>0</v>
      </c>
      <c r="E31" s="14">
        <f>+Tabla1[[#This Row],[IVA]]+Tabla1[[#This Row],[Precio]]</f>
        <v>0</v>
      </c>
    </row>
    <row r="32" spans="1:5" hidden="1" x14ac:dyDescent="0.25">
      <c r="A32" s="5">
        <v>100021649</v>
      </c>
      <c r="B32" s="1" t="s">
        <v>30</v>
      </c>
      <c r="C32" s="9">
        <v>0</v>
      </c>
      <c r="D32" s="13">
        <f>+Tabla1[[#This Row],[Precio]]*0.21</f>
        <v>0</v>
      </c>
      <c r="E32" s="14">
        <f>+Tabla1[[#This Row],[IVA]]+Tabla1[[#This Row],[Precio]]</f>
        <v>0</v>
      </c>
    </row>
    <row r="33" spans="1:5" x14ac:dyDescent="0.25">
      <c r="A33" s="5">
        <v>100518095</v>
      </c>
      <c r="B33" s="1" t="s">
        <v>31</v>
      </c>
      <c r="C33" s="9">
        <v>74547.679999999993</v>
      </c>
      <c r="D33" s="13">
        <f>+Tabla1[[#This Row],[Precio]]*0.21</f>
        <v>15655.012799999999</v>
      </c>
      <c r="E33" s="14">
        <f>+Tabla1[[#This Row],[IVA]]+Tabla1[[#This Row],[Precio]]</f>
        <v>90202.69279999999</v>
      </c>
    </row>
    <row r="34" spans="1:5" x14ac:dyDescent="0.25">
      <c r="A34" s="5">
        <v>100518223</v>
      </c>
      <c r="B34" s="1" t="s">
        <v>32</v>
      </c>
      <c r="C34" s="9">
        <v>58039.51</v>
      </c>
      <c r="D34" s="13">
        <f>+Tabla1[[#This Row],[Precio]]*0.21</f>
        <v>12188.2971</v>
      </c>
      <c r="E34" s="14">
        <f>+Tabla1[[#This Row],[IVA]]+Tabla1[[#This Row],[Precio]]</f>
        <v>70227.807100000005</v>
      </c>
    </row>
    <row r="35" spans="1:5" ht="45" hidden="1" x14ac:dyDescent="0.25">
      <c r="A35" s="6" t="s">
        <v>33</v>
      </c>
      <c r="B35" s="4"/>
      <c r="C35" s="10"/>
      <c r="D35" s="13">
        <f>+Tabla1[[#This Row],[Precio]]*0.21</f>
        <v>0</v>
      </c>
      <c r="E35" s="14">
        <f>+Tabla1[[#This Row],[IVA]]+Tabla1[[#This Row],[Precio]]</f>
        <v>0</v>
      </c>
    </row>
    <row r="36" spans="1:5" x14ac:dyDescent="0.25">
      <c r="A36" s="5">
        <v>100022085</v>
      </c>
      <c r="B36" s="1" t="s">
        <v>34</v>
      </c>
      <c r="C36" s="9">
        <v>24521.07</v>
      </c>
      <c r="D36" s="13">
        <f>+Tabla1[[#This Row],[Precio]]*0.21</f>
        <v>5149.4246999999996</v>
      </c>
      <c r="E36" s="14">
        <f>+Tabla1[[#This Row],[IVA]]+Tabla1[[#This Row],[Precio]]</f>
        <v>29670.494699999999</v>
      </c>
    </row>
    <row r="37" spans="1:5" x14ac:dyDescent="0.25">
      <c r="A37" s="5">
        <v>100522204</v>
      </c>
      <c r="B37" s="1" t="s">
        <v>35</v>
      </c>
      <c r="C37" s="9">
        <v>22068.963</v>
      </c>
      <c r="D37" s="13">
        <f>+Tabla1[[#This Row],[Precio]]*0.21</f>
        <v>4634.4822299999996</v>
      </c>
      <c r="E37" s="14">
        <f>+Tabla1[[#This Row],[IVA]]+Tabla1[[#This Row],[Precio]]</f>
        <v>26703.445229999998</v>
      </c>
    </row>
    <row r="38" spans="1:5" x14ac:dyDescent="0.25">
      <c r="A38" s="5">
        <v>100022072</v>
      </c>
      <c r="B38" s="1" t="s">
        <v>36</v>
      </c>
      <c r="C38" s="9">
        <v>23295.02</v>
      </c>
      <c r="D38" s="13">
        <f>+Tabla1[[#This Row],[Precio]]*0.21</f>
        <v>4891.9542000000001</v>
      </c>
      <c r="E38" s="14">
        <f>+Tabla1[[#This Row],[IVA]]+Tabla1[[#This Row],[Precio]]</f>
        <v>28186.974200000001</v>
      </c>
    </row>
    <row r="39" spans="1:5" x14ac:dyDescent="0.25">
      <c r="A39" s="5">
        <v>100522205</v>
      </c>
      <c r="B39" s="1" t="s">
        <v>37</v>
      </c>
      <c r="C39" s="9">
        <v>20965.518</v>
      </c>
      <c r="D39" s="13">
        <f>+Tabla1[[#This Row],[Precio]]*0.21</f>
        <v>4402.7587800000001</v>
      </c>
      <c r="E39" s="14">
        <f>+Tabla1[[#This Row],[IVA]]+Tabla1[[#This Row],[Precio]]</f>
        <v>25368.27678</v>
      </c>
    </row>
    <row r="40" spans="1:5" x14ac:dyDescent="0.25">
      <c r="A40" s="5">
        <v>100022039</v>
      </c>
      <c r="B40" s="1" t="s">
        <v>38</v>
      </c>
      <c r="C40" s="9">
        <v>61645.97</v>
      </c>
      <c r="D40" s="13">
        <f>+Tabla1[[#This Row],[Precio]]*0.21</f>
        <v>12945.653699999999</v>
      </c>
      <c r="E40" s="14">
        <f>+Tabla1[[#This Row],[IVA]]+Tabla1[[#This Row],[Precio]]</f>
        <v>74591.623699999996</v>
      </c>
    </row>
    <row r="41" spans="1:5" x14ac:dyDescent="0.25">
      <c r="A41" s="5">
        <v>100522206</v>
      </c>
      <c r="B41" s="1" t="s">
        <v>39</v>
      </c>
      <c r="C41" s="9">
        <v>61645.97</v>
      </c>
      <c r="D41" s="13">
        <f>+Tabla1[[#This Row],[Precio]]*0.21</f>
        <v>12945.653699999999</v>
      </c>
      <c r="E41" s="14">
        <f>+Tabla1[[#This Row],[IVA]]+Tabla1[[#This Row],[Precio]]</f>
        <v>74591.623699999996</v>
      </c>
    </row>
    <row r="42" spans="1:5" x14ac:dyDescent="0.25">
      <c r="A42" s="5">
        <v>100022058</v>
      </c>
      <c r="B42" s="1" t="s">
        <v>40</v>
      </c>
      <c r="C42" s="9">
        <v>17361.95</v>
      </c>
      <c r="D42" s="13">
        <f>+Tabla1[[#This Row],[Precio]]*0.21</f>
        <v>3646.0095000000001</v>
      </c>
      <c r="E42" s="14">
        <f>+Tabla1[[#This Row],[IVA]]+Tabla1[[#This Row],[Precio]]</f>
        <v>21007.959500000001</v>
      </c>
    </row>
    <row r="43" spans="1:5" x14ac:dyDescent="0.25">
      <c r="A43" s="5">
        <v>100518151</v>
      </c>
      <c r="B43" s="1" t="s">
        <v>41</v>
      </c>
      <c r="C43" s="9">
        <v>70230.31</v>
      </c>
      <c r="D43" s="13">
        <f>+Tabla1[[#This Row],[Precio]]*0.21</f>
        <v>14748.365099999999</v>
      </c>
      <c r="E43" s="14">
        <f>+Tabla1[[#This Row],[IVA]]+Tabla1[[#This Row],[Precio]]</f>
        <v>84978.675099999993</v>
      </c>
    </row>
    <row r="44" spans="1:5" x14ac:dyDescent="0.25">
      <c r="A44" s="5">
        <v>100516849</v>
      </c>
      <c r="B44" s="1" t="s">
        <v>42</v>
      </c>
      <c r="C44" s="9">
        <v>18881.91</v>
      </c>
      <c r="D44" s="13">
        <f>+Tabla1[[#This Row],[Precio]]*0.21</f>
        <v>3965.2010999999998</v>
      </c>
      <c r="E44" s="14">
        <f>+Tabla1[[#This Row],[IVA]]+Tabla1[[#This Row],[Precio]]</f>
        <v>22847.111099999998</v>
      </c>
    </row>
    <row r="45" spans="1:5" ht="45" hidden="1" x14ac:dyDescent="0.25">
      <c r="A45" s="6" t="s">
        <v>43</v>
      </c>
      <c r="B45" s="4"/>
      <c r="C45" s="10"/>
      <c r="D45" s="13">
        <f>+Tabla1[[#This Row],[Precio]]*0.21</f>
        <v>0</v>
      </c>
      <c r="E45" s="14">
        <f>+Tabla1[[#This Row],[IVA]]+Tabla1[[#This Row],[Precio]]</f>
        <v>0</v>
      </c>
    </row>
    <row r="46" spans="1:5" x14ac:dyDescent="0.25">
      <c r="A46" s="5">
        <v>100021000</v>
      </c>
      <c r="B46" s="1" t="s">
        <v>44</v>
      </c>
      <c r="C46" s="9">
        <v>12963.009792000001</v>
      </c>
      <c r="D46" s="13">
        <f>+Tabla1[[#This Row],[Precio]]*0.21</f>
        <v>2722.2320563200001</v>
      </c>
      <c r="E46" s="14">
        <f>+Tabla1[[#This Row],[IVA]]+Tabla1[[#This Row],[Precio]]</f>
        <v>15685.241848320002</v>
      </c>
    </row>
    <row r="47" spans="1:5" x14ac:dyDescent="0.25">
      <c r="A47" s="5">
        <v>100021001</v>
      </c>
      <c r="B47" s="1" t="s">
        <v>45</v>
      </c>
      <c r="C47" s="9">
        <v>12963.009792000001</v>
      </c>
      <c r="D47" s="13">
        <f>+Tabla1[[#This Row],[Precio]]*0.21</f>
        <v>2722.2320563200001</v>
      </c>
      <c r="E47" s="14">
        <f>+Tabla1[[#This Row],[IVA]]+Tabla1[[#This Row],[Precio]]</f>
        <v>15685.241848320002</v>
      </c>
    </row>
    <row r="48" spans="1:5" x14ac:dyDescent="0.25">
      <c r="A48" s="7">
        <v>100522277</v>
      </c>
      <c r="B48" s="2" t="s">
        <v>46</v>
      </c>
      <c r="C48" s="9">
        <v>12963.009792000001</v>
      </c>
      <c r="D48" s="13">
        <f>+Tabla1[[#This Row],[Precio]]*0.21</f>
        <v>2722.2320563200001</v>
      </c>
      <c r="E48" s="14">
        <f>+Tabla1[[#This Row],[IVA]]+Tabla1[[#This Row],[Precio]]</f>
        <v>15685.241848320002</v>
      </c>
    </row>
    <row r="49" spans="1:5" x14ac:dyDescent="0.25">
      <c r="A49" s="7">
        <v>100522333</v>
      </c>
      <c r="B49" s="2" t="s">
        <v>47</v>
      </c>
      <c r="C49" s="9">
        <v>12963.009792000001</v>
      </c>
      <c r="D49" s="13">
        <f>+Tabla1[[#This Row],[Precio]]*0.21</f>
        <v>2722.2320563200001</v>
      </c>
      <c r="E49" s="14">
        <f>+Tabla1[[#This Row],[IVA]]+Tabla1[[#This Row],[Precio]]</f>
        <v>15685.241848320002</v>
      </c>
    </row>
    <row r="50" spans="1:5" x14ac:dyDescent="0.25">
      <c r="A50" s="5">
        <v>100021045</v>
      </c>
      <c r="B50" s="1" t="s">
        <v>48</v>
      </c>
      <c r="C50" s="9">
        <v>12963.009792000001</v>
      </c>
      <c r="D50" s="13">
        <f>+Tabla1[[#This Row],[Precio]]*0.21</f>
        <v>2722.2320563200001</v>
      </c>
      <c r="E50" s="14">
        <f>+Tabla1[[#This Row],[IVA]]+Tabla1[[#This Row],[Precio]]</f>
        <v>15685.241848320002</v>
      </c>
    </row>
    <row r="51" spans="1:5" x14ac:dyDescent="0.25">
      <c r="A51" s="5">
        <v>100021004</v>
      </c>
      <c r="B51" s="1" t="s">
        <v>49</v>
      </c>
      <c r="C51" s="9">
        <v>12963.009792000001</v>
      </c>
      <c r="D51" s="13">
        <f>+Tabla1[[#This Row],[Precio]]*0.21</f>
        <v>2722.2320563200001</v>
      </c>
      <c r="E51" s="14">
        <f>+Tabla1[[#This Row],[IVA]]+Tabla1[[#This Row],[Precio]]</f>
        <v>15685.241848320002</v>
      </c>
    </row>
    <row r="52" spans="1:5" x14ac:dyDescent="0.25">
      <c r="A52" s="5">
        <v>100021006</v>
      </c>
      <c r="B52" s="1" t="s">
        <v>50</v>
      </c>
      <c r="C52" s="9">
        <v>12963.009792000001</v>
      </c>
      <c r="D52" s="13">
        <f>+Tabla1[[#This Row],[Precio]]*0.21</f>
        <v>2722.2320563200001</v>
      </c>
      <c r="E52" s="14">
        <f>+Tabla1[[#This Row],[IVA]]+Tabla1[[#This Row],[Precio]]</f>
        <v>15685.241848320002</v>
      </c>
    </row>
    <row r="53" spans="1:5" x14ac:dyDescent="0.25">
      <c r="A53" s="5">
        <v>100021007</v>
      </c>
      <c r="B53" s="1" t="s">
        <v>51</v>
      </c>
      <c r="C53" s="9">
        <v>15501.69</v>
      </c>
      <c r="D53" s="13">
        <f>+Tabla1[[#This Row],[Precio]]*0.21</f>
        <v>3255.3548999999998</v>
      </c>
      <c r="E53" s="14">
        <f>+Tabla1[[#This Row],[IVA]]+Tabla1[[#This Row],[Precio]]</f>
        <v>18757.044900000001</v>
      </c>
    </row>
    <row r="54" spans="1:5" x14ac:dyDescent="0.25">
      <c r="A54" s="5">
        <v>100021013</v>
      </c>
      <c r="B54" s="1" t="s">
        <v>52</v>
      </c>
      <c r="C54" s="9">
        <v>15501.69</v>
      </c>
      <c r="D54" s="13">
        <f>+Tabla1[[#This Row],[Precio]]*0.21</f>
        <v>3255.3548999999998</v>
      </c>
      <c r="E54" s="14">
        <f>+Tabla1[[#This Row],[IVA]]+Tabla1[[#This Row],[Precio]]</f>
        <v>18757.044900000001</v>
      </c>
    </row>
    <row r="55" spans="1:5" x14ac:dyDescent="0.25">
      <c r="A55" s="5">
        <v>100021014</v>
      </c>
      <c r="B55" s="1" t="s">
        <v>53</v>
      </c>
      <c r="C55" s="9">
        <v>15501.69</v>
      </c>
      <c r="D55" s="13">
        <f>+Tabla1[[#This Row],[Precio]]*0.21</f>
        <v>3255.3548999999998</v>
      </c>
      <c r="E55" s="14">
        <f>+Tabla1[[#This Row],[IVA]]+Tabla1[[#This Row],[Precio]]</f>
        <v>18757.044900000001</v>
      </c>
    </row>
    <row r="56" spans="1:5" x14ac:dyDescent="0.25">
      <c r="A56" s="5">
        <v>100021015</v>
      </c>
      <c r="B56" s="1" t="s">
        <v>54</v>
      </c>
      <c r="C56" s="9">
        <v>15501.69</v>
      </c>
      <c r="D56" s="13">
        <f>+Tabla1[[#This Row],[Precio]]*0.21</f>
        <v>3255.3548999999998</v>
      </c>
      <c r="E56" s="14">
        <f>+Tabla1[[#This Row],[IVA]]+Tabla1[[#This Row],[Precio]]</f>
        <v>18757.044900000001</v>
      </c>
    </row>
    <row r="57" spans="1:5" x14ac:dyDescent="0.25">
      <c r="A57" s="5">
        <v>100021054</v>
      </c>
      <c r="B57" s="1" t="s">
        <v>55</v>
      </c>
      <c r="C57" s="9">
        <v>15501.69</v>
      </c>
      <c r="D57" s="13">
        <f>+Tabla1[[#This Row],[Precio]]*0.21</f>
        <v>3255.3548999999998</v>
      </c>
      <c r="E57" s="14">
        <f>+Tabla1[[#This Row],[IVA]]+Tabla1[[#This Row],[Precio]]</f>
        <v>18757.044900000001</v>
      </c>
    </row>
    <row r="58" spans="1:5" x14ac:dyDescent="0.25">
      <c r="A58" s="5">
        <v>100021055</v>
      </c>
      <c r="B58" s="1" t="s">
        <v>56</v>
      </c>
      <c r="C58" s="9">
        <v>15501.69</v>
      </c>
      <c r="D58" s="13">
        <f>+Tabla1[[#This Row],[Precio]]*0.21</f>
        <v>3255.3548999999998</v>
      </c>
      <c r="E58" s="14">
        <f>+Tabla1[[#This Row],[IVA]]+Tabla1[[#This Row],[Precio]]</f>
        <v>18757.044900000001</v>
      </c>
    </row>
    <row r="59" spans="1:5" x14ac:dyDescent="0.25">
      <c r="A59" s="5">
        <v>100517846</v>
      </c>
      <c r="B59" s="1" t="s">
        <v>57</v>
      </c>
      <c r="C59" s="9">
        <v>0</v>
      </c>
      <c r="D59" s="13">
        <f>+Tabla1[[#This Row],[Precio]]*0.21</f>
        <v>0</v>
      </c>
      <c r="E59" s="14">
        <f>+Tabla1[[#This Row],[IVA]]+Tabla1[[#This Row],[Precio]]</f>
        <v>0</v>
      </c>
    </row>
    <row r="60" spans="1:5" x14ac:dyDescent="0.25">
      <c r="A60" s="5">
        <v>100021008</v>
      </c>
      <c r="B60" s="1" t="s">
        <v>58</v>
      </c>
      <c r="C60" s="9">
        <v>10971.637824000001</v>
      </c>
      <c r="D60" s="13">
        <f>+Tabla1[[#This Row],[Precio]]*0.21</f>
        <v>2304.0439430400002</v>
      </c>
      <c r="E60" s="14">
        <f>+Tabla1[[#This Row],[IVA]]+Tabla1[[#This Row],[Precio]]</f>
        <v>13275.681767040001</v>
      </c>
    </row>
    <row r="61" spans="1:5" x14ac:dyDescent="0.25">
      <c r="A61" s="5">
        <v>100021009</v>
      </c>
      <c r="B61" s="1" t="s">
        <v>59</v>
      </c>
      <c r="C61" s="9">
        <v>10971.637824000001</v>
      </c>
      <c r="D61" s="13">
        <f>+Tabla1[[#This Row],[Precio]]*0.21</f>
        <v>2304.0439430400002</v>
      </c>
      <c r="E61" s="14">
        <f>+Tabla1[[#This Row],[IVA]]+Tabla1[[#This Row],[Precio]]</f>
        <v>13275.681767040001</v>
      </c>
    </row>
    <row r="62" spans="1:5" x14ac:dyDescent="0.25">
      <c r="A62" s="5">
        <v>100021010</v>
      </c>
      <c r="B62" s="1" t="s">
        <v>60</v>
      </c>
      <c r="C62" s="9">
        <v>10971.637824000001</v>
      </c>
      <c r="D62" s="13">
        <f>+Tabla1[[#This Row],[Precio]]*0.21</f>
        <v>2304.0439430400002</v>
      </c>
      <c r="E62" s="14">
        <f>+Tabla1[[#This Row],[IVA]]+Tabla1[[#This Row],[Precio]]</f>
        <v>13275.681767040001</v>
      </c>
    </row>
    <row r="63" spans="1:5" x14ac:dyDescent="0.25">
      <c r="A63" s="5">
        <v>100021011</v>
      </c>
      <c r="B63" s="1" t="s">
        <v>61</v>
      </c>
      <c r="C63" s="9">
        <v>10971.637824000001</v>
      </c>
      <c r="D63" s="13">
        <f>+Tabla1[[#This Row],[Precio]]*0.21</f>
        <v>2304.0439430400002</v>
      </c>
      <c r="E63" s="14">
        <f>+Tabla1[[#This Row],[IVA]]+Tabla1[[#This Row],[Precio]]</f>
        <v>13275.681767040001</v>
      </c>
    </row>
    <row r="64" spans="1:5" hidden="1" x14ac:dyDescent="0.25">
      <c r="A64" s="5">
        <v>100021133</v>
      </c>
      <c r="B64" s="1" t="s">
        <v>62</v>
      </c>
      <c r="C64" s="9">
        <v>0</v>
      </c>
      <c r="D64" s="13">
        <f>+Tabla1[[#This Row],[Precio]]*0.21</f>
        <v>0</v>
      </c>
      <c r="E64" s="14">
        <f>+Tabla1[[#This Row],[IVA]]+Tabla1[[#This Row],[Precio]]</f>
        <v>0</v>
      </c>
    </row>
    <row r="65" spans="1:5" hidden="1" x14ac:dyDescent="0.25">
      <c r="A65" s="5">
        <v>100021134</v>
      </c>
      <c r="B65" s="1" t="s">
        <v>63</v>
      </c>
      <c r="C65" s="9">
        <v>0</v>
      </c>
      <c r="D65" s="13">
        <f>+Tabla1[[#This Row],[Precio]]*0.21</f>
        <v>0</v>
      </c>
      <c r="E65" s="14">
        <f>+Tabla1[[#This Row],[IVA]]+Tabla1[[#This Row],[Precio]]</f>
        <v>0</v>
      </c>
    </row>
    <row r="66" spans="1:5" hidden="1" x14ac:dyDescent="0.25">
      <c r="A66" s="5">
        <v>100021027</v>
      </c>
      <c r="B66" s="1" t="s">
        <v>64</v>
      </c>
      <c r="C66" s="9">
        <v>0</v>
      </c>
      <c r="D66" s="13">
        <f>+Tabla1[[#This Row],[Precio]]*0.21</f>
        <v>0</v>
      </c>
      <c r="E66" s="14">
        <f>+Tabla1[[#This Row],[IVA]]+Tabla1[[#This Row],[Precio]]</f>
        <v>0</v>
      </c>
    </row>
    <row r="67" spans="1:5" hidden="1" x14ac:dyDescent="0.25">
      <c r="A67" s="5">
        <v>100021028</v>
      </c>
      <c r="B67" s="1" t="s">
        <v>65</v>
      </c>
      <c r="C67" s="9">
        <v>0</v>
      </c>
      <c r="D67" s="13">
        <f>+Tabla1[[#This Row],[Precio]]*0.21</f>
        <v>0</v>
      </c>
      <c r="E67" s="14">
        <f>+Tabla1[[#This Row],[IVA]]+Tabla1[[#This Row],[Precio]]</f>
        <v>0</v>
      </c>
    </row>
    <row r="68" spans="1:5" ht="60" hidden="1" x14ac:dyDescent="0.25">
      <c r="A68" s="6" t="s">
        <v>66</v>
      </c>
      <c r="B68" s="4"/>
      <c r="C68" s="10"/>
      <c r="D68" s="13">
        <f>+Tabla1[[#This Row],[Precio]]*0.21</f>
        <v>0</v>
      </c>
      <c r="E68" s="14">
        <f>+Tabla1[[#This Row],[IVA]]+Tabla1[[#This Row],[Precio]]</f>
        <v>0</v>
      </c>
    </row>
    <row r="69" spans="1:5" x14ac:dyDescent="0.25">
      <c r="A69" s="5">
        <v>100516214</v>
      </c>
      <c r="B69" s="1" t="s">
        <v>67</v>
      </c>
      <c r="C69" s="9">
        <v>38594.85</v>
      </c>
      <c r="D69" s="13">
        <f>+Tabla1[[#This Row],[Precio]]*0.21</f>
        <v>8104.9184999999998</v>
      </c>
      <c r="E69" s="14">
        <f>+Tabla1[[#This Row],[IVA]]+Tabla1[[#This Row],[Precio]]</f>
        <v>46699.768499999998</v>
      </c>
    </row>
    <row r="70" spans="1:5" x14ac:dyDescent="0.25">
      <c r="A70" s="5">
        <v>100516215</v>
      </c>
      <c r="B70" s="1" t="s">
        <v>68</v>
      </c>
      <c r="C70" s="9">
        <v>38594.85</v>
      </c>
      <c r="D70" s="13">
        <f>+Tabla1[[#This Row],[Precio]]*0.21</f>
        <v>8104.9184999999998</v>
      </c>
      <c r="E70" s="14">
        <f>+Tabla1[[#This Row],[IVA]]+Tabla1[[#This Row],[Precio]]</f>
        <v>46699.768499999998</v>
      </c>
    </row>
    <row r="71" spans="1:5" x14ac:dyDescent="0.25">
      <c r="A71" s="5">
        <v>100516216</v>
      </c>
      <c r="B71" s="1" t="s">
        <v>69</v>
      </c>
      <c r="C71" s="9">
        <v>38594.85</v>
      </c>
      <c r="D71" s="13">
        <f>+Tabla1[[#This Row],[Precio]]*0.21</f>
        <v>8104.9184999999998</v>
      </c>
      <c r="E71" s="14">
        <f>+Tabla1[[#This Row],[IVA]]+Tabla1[[#This Row],[Precio]]</f>
        <v>46699.768499999998</v>
      </c>
    </row>
    <row r="72" spans="1:5" x14ac:dyDescent="0.25">
      <c r="A72" s="5">
        <v>100516217</v>
      </c>
      <c r="B72" s="1" t="s">
        <v>70</v>
      </c>
      <c r="C72" s="9">
        <v>27571.14</v>
      </c>
      <c r="D72" s="13">
        <f>+Tabla1[[#This Row],[Precio]]*0.21</f>
        <v>5789.9393999999993</v>
      </c>
      <c r="E72" s="14">
        <f>+Tabla1[[#This Row],[IVA]]+Tabla1[[#This Row],[Precio]]</f>
        <v>33361.079400000002</v>
      </c>
    </row>
    <row r="73" spans="1:5" x14ac:dyDescent="0.25">
      <c r="A73" s="5">
        <v>100521453</v>
      </c>
      <c r="B73" s="1" t="s">
        <v>71</v>
      </c>
      <c r="C73" s="9">
        <v>35563.4</v>
      </c>
      <c r="D73" s="13">
        <f>+Tabla1[[#This Row],[Precio]]*0.21</f>
        <v>7468.3140000000003</v>
      </c>
      <c r="E73" s="14">
        <f>+Tabla1[[#This Row],[IVA]]+Tabla1[[#This Row],[Precio]]</f>
        <v>43031.714</v>
      </c>
    </row>
    <row r="74" spans="1:5" x14ac:dyDescent="0.25">
      <c r="A74" s="5">
        <v>100521454</v>
      </c>
      <c r="B74" s="1" t="s">
        <v>72</v>
      </c>
      <c r="C74" s="9">
        <v>35563.4</v>
      </c>
      <c r="D74" s="13">
        <f>+Tabla1[[#This Row],[Precio]]*0.21</f>
        <v>7468.3140000000003</v>
      </c>
      <c r="E74" s="14">
        <f>+Tabla1[[#This Row],[IVA]]+Tabla1[[#This Row],[Precio]]</f>
        <v>43031.714</v>
      </c>
    </row>
    <row r="75" spans="1:5" x14ac:dyDescent="0.25">
      <c r="A75" s="5">
        <v>100521455</v>
      </c>
      <c r="B75" s="1" t="s">
        <v>73</v>
      </c>
      <c r="C75" s="9">
        <v>36127.9</v>
      </c>
      <c r="D75" s="13">
        <f>+Tabla1[[#This Row],[Precio]]*0.21</f>
        <v>7586.8590000000004</v>
      </c>
      <c r="E75" s="14">
        <f>+Tabla1[[#This Row],[IVA]]+Tabla1[[#This Row],[Precio]]</f>
        <v>43714.759000000005</v>
      </c>
    </row>
    <row r="76" spans="1:5" x14ac:dyDescent="0.25">
      <c r="A76" s="5">
        <v>100521457</v>
      </c>
      <c r="B76" s="1" t="s">
        <v>74</v>
      </c>
      <c r="C76" s="9">
        <v>36127.9</v>
      </c>
      <c r="D76" s="13">
        <f>+Tabla1[[#This Row],[Precio]]*0.21</f>
        <v>7586.8590000000004</v>
      </c>
      <c r="E76" s="14">
        <f>+Tabla1[[#This Row],[IVA]]+Tabla1[[#This Row],[Precio]]</f>
        <v>43714.759000000005</v>
      </c>
    </row>
    <row r="77" spans="1:5" ht="60" hidden="1" x14ac:dyDescent="0.25">
      <c r="A77" s="6" t="s">
        <v>75</v>
      </c>
      <c r="B77" s="4"/>
      <c r="C77" s="10"/>
      <c r="D77" s="13">
        <f>+Tabla1[[#This Row],[Precio]]*0.21</f>
        <v>0</v>
      </c>
      <c r="E77" s="14">
        <f>+Tabla1[[#This Row],[IVA]]+Tabla1[[#This Row],[Precio]]</f>
        <v>0</v>
      </c>
    </row>
    <row r="78" spans="1:5" x14ac:dyDescent="0.25">
      <c r="A78" s="5">
        <v>100021704</v>
      </c>
      <c r="B78" s="1" t="s">
        <v>76</v>
      </c>
      <c r="C78" s="9">
        <v>41455.300000000003</v>
      </c>
      <c r="D78" s="13">
        <f>+Tabla1[[#This Row],[Precio]]*0.21</f>
        <v>8705.6130000000012</v>
      </c>
      <c r="E78" s="14">
        <f>+Tabla1[[#This Row],[IVA]]+Tabla1[[#This Row],[Precio]]</f>
        <v>50160.913</v>
      </c>
    </row>
    <row r="79" spans="1:5" x14ac:dyDescent="0.25">
      <c r="A79" s="5">
        <v>100021705</v>
      </c>
      <c r="B79" s="1" t="s">
        <v>77</v>
      </c>
      <c r="C79" s="9">
        <v>37683.83</v>
      </c>
      <c r="D79" s="13">
        <f>+Tabla1[[#This Row],[Precio]]*0.21</f>
        <v>7913.6043</v>
      </c>
      <c r="E79" s="14">
        <f>+Tabla1[[#This Row],[IVA]]+Tabla1[[#This Row],[Precio]]</f>
        <v>45597.434300000001</v>
      </c>
    </row>
    <row r="80" spans="1:5" hidden="1" x14ac:dyDescent="0.25">
      <c r="A80" s="5">
        <v>100021707</v>
      </c>
      <c r="B80" s="1" t="s">
        <v>78</v>
      </c>
      <c r="C80" s="9">
        <v>0</v>
      </c>
      <c r="D80" s="13">
        <f>+Tabla1[[#This Row],[Precio]]*0.21</f>
        <v>0</v>
      </c>
      <c r="E80" s="14">
        <f>+Tabla1[[#This Row],[IVA]]+Tabla1[[#This Row],[Precio]]</f>
        <v>0</v>
      </c>
    </row>
    <row r="81" spans="1:5" x14ac:dyDescent="0.25">
      <c r="A81" s="5">
        <v>100021709</v>
      </c>
      <c r="B81" s="1" t="s">
        <v>79</v>
      </c>
      <c r="C81" s="9">
        <v>60469.39</v>
      </c>
      <c r="D81" s="13">
        <f>+Tabla1[[#This Row],[Precio]]*0.21</f>
        <v>12698.571899999999</v>
      </c>
      <c r="E81" s="14">
        <f>+Tabla1[[#This Row],[IVA]]+Tabla1[[#This Row],[Precio]]</f>
        <v>73167.961899999995</v>
      </c>
    </row>
    <row r="82" spans="1:5" x14ac:dyDescent="0.25">
      <c r="A82" s="5">
        <v>100521357</v>
      </c>
      <c r="B82" s="1" t="s">
        <v>80</v>
      </c>
      <c r="C82" s="9">
        <v>48595.61</v>
      </c>
      <c r="D82" s="13">
        <f>+Tabla1[[#This Row],[Precio]]*0.21</f>
        <v>10205.078100000001</v>
      </c>
      <c r="E82" s="14">
        <f>+Tabla1[[#This Row],[IVA]]+Tabla1[[#This Row],[Precio]]</f>
        <v>58800.688099999999</v>
      </c>
    </row>
    <row r="83" spans="1:5" x14ac:dyDescent="0.25">
      <c r="A83" s="5">
        <v>100521358</v>
      </c>
      <c r="B83" s="1" t="s">
        <v>81</v>
      </c>
      <c r="C83" s="9">
        <v>72893.41</v>
      </c>
      <c r="D83" s="13">
        <f>+Tabla1[[#This Row],[Precio]]*0.21</f>
        <v>15307.616099999999</v>
      </c>
      <c r="E83" s="14">
        <f>+Tabla1[[#This Row],[IVA]]+Tabla1[[#This Row],[Precio]]</f>
        <v>88201.026100000003</v>
      </c>
    </row>
    <row r="84" spans="1:5" x14ac:dyDescent="0.25">
      <c r="A84" s="5">
        <v>100522130</v>
      </c>
      <c r="B84" s="1" t="s">
        <v>82</v>
      </c>
      <c r="C84" s="9">
        <v>38154.379999999997</v>
      </c>
      <c r="D84" s="13">
        <f>+Tabla1[[#This Row],[Precio]]*0.21</f>
        <v>8012.4197999999988</v>
      </c>
      <c r="E84" s="14">
        <f>+Tabla1[[#This Row],[IVA]]+Tabla1[[#This Row],[Precio]]</f>
        <v>46166.799799999993</v>
      </c>
    </row>
    <row r="85" spans="1:5" x14ac:dyDescent="0.25">
      <c r="A85" s="5">
        <v>100517055</v>
      </c>
      <c r="B85" s="1" t="s">
        <v>83</v>
      </c>
      <c r="C85" s="9">
        <v>31213.61</v>
      </c>
      <c r="D85" s="13">
        <f>+Tabla1[[#This Row],[Precio]]*0.21</f>
        <v>6554.8580999999995</v>
      </c>
      <c r="E85" s="14">
        <f>+Tabla1[[#This Row],[IVA]]+Tabla1[[#This Row],[Precio]]</f>
        <v>37768.468099999998</v>
      </c>
    </row>
    <row r="86" spans="1:5" x14ac:dyDescent="0.25">
      <c r="A86" s="5">
        <v>100517186</v>
      </c>
      <c r="B86" s="1" t="s">
        <v>84</v>
      </c>
      <c r="C86" s="9">
        <v>78871.460000000006</v>
      </c>
      <c r="D86" s="13">
        <f>+Tabla1[[#This Row],[Precio]]*0.21</f>
        <v>16563.006600000001</v>
      </c>
      <c r="E86" s="14">
        <f>+Tabla1[[#This Row],[IVA]]+Tabla1[[#This Row],[Precio]]</f>
        <v>95434.466600000014</v>
      </c>
    </row>
    <row r="87" spans="1:5" x14ac:dyDescent="0.25">
      <c r="A87" s="5">
        <v>100521663</v>
      </c>
      <c r="B87" s="1" t="s">
        <v>85</v>
      </c>
      <c r="C87" s="9">
        <v>41797.279999999999</v>
      </c>
      <c r="D87" s="13">
        <f>+Tabla1[[#This Row],[Precio]]*0.21</f>
        <v>8777.4287999999997</v>
      </c>
      <c r="E87" s="14">
        <f>+Tabla1[[#This Row],[IVA]]+Tabla1[[#This Row],[Precio]]</f>
        <v>50574.7088</v>
      </c>
    </row>
    <row r="88" spans="1:5" x14ac:dyDescent="0.25">
      <c r="A88" s="5">
        <v>100021728</v>
      </c>
      <c r="B88" s="1" t="s">
        <v>86</v>
      </c>
      <c r="C88" s="9">
        <v>39236.85</v>
      </c>
      <c r="D88" s="13">
        <f>+Tabla1[[#This Row],[Precio]]*0.21</f>
        <v>8239.7384999999995</v>
      </c>
      <c r="E88" s="14">
        <f>+Tabla1[[#This Row],[IVA]]+Tabla1[[#This Row],[Precio]]</f>
        <v>47476.588499999998</v>
      </c>
    </row>
    <row r="89" spans="1:5" x14ac:dyDescent="0.25">
      <c r="A89" s="5">
        <v>100517679</v>
      </c>
      <c r="B89" s="1" t="s">
        <v>87</v>
      </c>
      <c r="C89" s="9">
        <v>39413.589999999997</v>
      </c>
      <c r="D89" s="13">
        <f>+Tabla1[[#This Row],[Precio]]*0.21</f>
        <v>8276.8538999999982</v>
      </c>
      <c r="E89" s="14">
        <f>+Tabla1[[#This Row],[IVA]]+Tabla1[[#This Row],[Precio]]</f>
        <v>47690.443899999998</v>
      </c>
    </row>
    <row r="90" spans="1:5" x14ac:dyDescent="0.25">
      <c r="A90" s="5">
        <v>100021725</v>
      </c>
      <c r="B90" s="1" t="s">
        <v>88</v>
      </c>
      <c r="C90" s="9">
        <v>31255.57</v>
      </c>
      <c r="D90" s="13">
        <f>+Tabla1[[#This Row],[Precio]]*0.21</f>
        <v>6563.6696999999995</v>
      </c>
      <c r="E90" s="14">
        <f>+Tabla1[[#This Row],[IVA]]+Tabla1[[#This Row],[Precio]]</f>
        <v>37819.239699999998</v>
      </c>
    </row>
    <row r="91" spans="1:5" ht="45" hidden="1" x14ac:dyDescent="0.25">
      <c r="A91" s="6" t="s">
        <v>89</v>
      </c>
      <c r="B91" s="4"/>
      <c r="C91" s="10"/>
      <c r="D91" s="13">
        <f>+Tabla1[[#This Row],[Precio]]*0.21</f>
        <v>0</v>
      </c>
      <c r="E91" s="14">
        <f>+Tabla1[[#This Row],[IVA]]+Tabla1[[#This Row],[Precio]]</f>
        <v>0</v>
      </c>
    </row>
    <row r="92" spans="1:5" x14ac:dyDescent="0.25">
      <c r="A92" s="8">
        <v>100518158</v>
      </c>
      <c r="B92" s="3" t="s">
        <v>90</v>
      </c>
      <c r="C92" s="9">
        <v>75339.600000000006</v>
      </c>
      <c r="D92" s="13">
        <f>+Tabla1[[#This Row],[Precio]]*0.21</f>
        <v>15821.316000000001</v>
      </c>
      <c r="E92" s="14">
        <f>+Tabla1[[#This Row],[IVA]]+Tabla1[[#This Row],[Precio]]</f>
        <v>91160.916000000012</v>
      </c>
    </row>
    <row r="93" spans="1:5" x14ac:dyDescent="0.25">
      <c r="A93" s="8">
        <v>100518160</v>
      </c>
      <c r="B93" s="3" t="s">
        <v>91</v>
      </c>
      <c r="C93" s="9">
        <v>75339.600000000006</v>
      </c>
      <c r="D93" s="13">
        <f>+Tabla1[[#This Row],[Precio]]*0.21</f>
        <v>15821.316000000001</v>
      </c>
      <c r="E93" s="14">
        <f>+Tabla1[[#This Row],[IVA]]+Tabla1[[#This Row],[Precio]]</f>
        <v>91160.916000000012</v>
      </c>
    </row>
    <row r="94" spans="1:5" x14ac:dyDescent="0.25">
      <c r="A94" s="8">
        <v>100518463</v>
      </c>
      <c r="B94" s="3" t="s">
        <v>92</v>
      </c>
      <c r="C94" s="9">
        <v>36693.269999999997</v>
      </c>
      <c r="D94" s="13">
        <f>+Tabla1[[#This Row],[Precio]]*0.21</f>
        <v>7705.5866999999989</v>
      </c>
      <c r="E94" s="14">
        <f>+Tabla1[[#This Row],[IVA]]+Tabla1[[#This Row],[Precio]]</f>
        <v>44398.856699999997</v>
      </c>
    </row>
    <row r="95" spans="1:5" ht="45" hidden="1" x14ac:dyDescent="0.25">
      <c r="A95" s="6" t="s">
        <v>93</v>
      </c>
      <c r="B95" s="4"/>
      <c r="C95" s="10"/>
      <c r="D95" s="13">
        <f>+Tabla1[[#This Row],[Precio]]*0.21</f>
        <v>0</v>
      </c>
      <c r="E95" s="14">
        <f>+Tabla1[[#This Row],[IVA]]+Tabla1[[#This Row],[Precio]]</f>
        <v>0</v>
      </c>
    </row>
    <row r="96" spans="1:5" x14ac:dyDescent="0.25">
      <c r="A96" s="8">
        <v>100518291</v>
      </c>
      <c r="B96" s="3" t="s">
        <v>94</v>
      </c>
      <c r="C96" s="9">
        <v>17536.689999999999</v>
      </c>
      <c r="D96" s="13">
        <f>+Tabla1[[#This Row],[Precio]]*0.21</f>
        <v>3682.7048999999997</v>
      </c>
      <c r="E96" s="14">
        <f>+Tabla1[[#This Row],[IVA]]+Tabla1[[#This Row],[Precio]]</f>
        <v>21219.394899999999</v>
      </c>
    </row>
    <row r="97" spans="1:5" x14ac:dyDescent="0.25">
      <c r="A97" s="8">
        <v>100518292</v>
      </c>
      <c r="B97" s="3" t="s">
        <v>95</v>
      </c>
      <c r="C97" s="9">
        <v>41380.32</v>
      </c>
      <c r="D97" s="13">
        <f>+Tabla1[[#This Row],[Precio]]*0.21</f>
        <v>8689.8671999999988</v>
      </c>
      <c r="E97" s="14">
        <f>+Tabla1[[#This Row],[IVA]]+Tabla1[[#This Row],[Precio]]</f>
        <v>50070.1872</v>
      </c>
    </row>
    <row r="98" spans="1:5" ht="60" hidden="1" x14ac:dyDescent="0.25">
      <c r="A98" s="6" t="s">
        <v>96</v>
      </c>
      <c r="B98" s="4"/>
      <c r="C98" s="10"/>
      <c r="D98" s="13">
        <f>+Tabla1[[#This Row],[Precio]]*0.21</f>
        <v>0</v>
      </c>
      <c r="E98" s="14">
        <f>+Tabla1[[#This Row],[IVA]]+Tabla1[[#This Row],[Precio]]</f>
        <v>0</v>
      </c>
    </row>
    <row r="99" spans="1:5" x14ac:dyDescent="0.25">
      <c r="A99" s="8">
        <v>100517914</v>
      </c>
      <c r="B99" s="3" t="s">
        <v>97</v>
      </c>
      <c r="C99" s="9">
        <v>175154.28</v>
      </c>
      <c r="D99" s="13">
        <f>+Tabla1[[#This Row],[Precio]]*0.21</f>
        <v>36782.398799999995</v>
      </c>
      <c r="E99" s="14">
        <f>+Tabla1[[#This Row],[IVA]]+Tabla1[[#This Row],[Precio]]</f>
        <v>211936.67879999999</v>
      </c>
    </row>
    <row r="100" spans="1:5" x14ac:dyDescent="0.25">
      <c r="A100" s="8">
        <v>100517915</v>
      </c>
      <c r="B100" s="3" t="s">
        <v>98</v>
      </c>
      <c r="C100" s="9">
        <v>160512.01999999999</v>
      </c>
      <c r="D100" s="13">
        <f>+Tabla1[[#This Row],[Precio]]*0.21</f>
        <v>33707.5242</v>
      </c>
      <c r="E100" s="14">
        <f>+Tabla1[[#This Row],[IVA]]+Tabla1[[#This Row],[Precio]]</f>
        <v>194219.5442</v>
      </c>
    </row>
    <row r="101" spans="1:5" ht="45" hidden="1" x14ac:dyDescent="0.25">
      <c r="A101" s="6" t="s">
        <v>99</v>
      </c>
      <c r="B101" s="4"/>
      <c r="C101" s="10"/>
      <c r="D101" s="13">
        <f>+Tabla1[[#This Row],[Precio]]*0.21</f>
        <v>0</v>
      </c>
      <c r="E101" s="14">
        <f>+Tabla1[[#This Row],[IVA]]+Tabla1[[#This Row],[Precio]]</f>
        <v>0</v>
      </c>
    </row>
    <row r="102" spans="1:5" x14ac:dyDescent="0.25">
      <c r="A102" s="8">
        <v>100520837</v>
      </c>
      <c r="B102" s="3" t="s">
        <v>100</v>
      </c>
      <c r="C102" s="9">
        <v>35756.18</v>
      </c>
      <c r="D102" s="13">
        <f>+Tabla1[[#This Row],[Precio]]*0.21</f>
        <v>7508.7977999999994</v>
      </c>
      <c r="E102" s="14">
        <f>+Tabla1[[#This Row],[IVA]]+Tabla1[[#This Row],[Precio]]</f>
        <v>43264.977800000001</v>
      </c>
    </row>
    <row r="103" spans="1:5" x14ac:dyDescent="0.25">
      <c r="A103" s="8">
        <v>100522395</v>
      </c>
      <c r="B103" s="3" t="s">
        <v>101</v>
      </c>
      <c r="C103" s="9">
        <v>36471.29</v>
      </c>
      <c r="D103" s="13">
        <f>+Tabla1[[#This Row],[Precio]]*0.21</f>
        <v>7658.9709000000003</v>
      </c>
      <c r="E103" s="14">
        <f>+Tabla1[[#This Row],[IVA]]+Tabla1[[#This Row],[Precio]]</f>
        <v>44130.260900000001</v>
      </c>
    </row>
    <row r="104" spans="1:5" ht="45" hidden="1" x14ac:dyDescent="0.25">
      <c r="A104" s="6" t="s">
        <v>102</v>
      </c>
      <c r="B104" s="4"/>
      <c r="C104" s="10"/>
      <c r="D104" s="13">
        <f>+Tabla1[[#This Row],[Precio]]*0.21</f>
        <v>0</v>
      </c>
      <c r="E104" s="14">
        <f>+Tabla1[[#This Row],[IVA]]+Tabla1[[#This Row],[Precio]]</f>
        <v>0</v>
      </c>
    </row>
    <row r="105" spans="1:5" x14ac:dyDescent="0.25">
      <c r="A105" s="8">
        <v>100520902</v>
      </c>
      <c r="B105" s="3" t="s">
        <v>103</v>
      </c>
      <c r="C105" s="9">
        <v>32345.8</v>
      </c>
      <c r="D105" s="13">
        <f>+Tabla1[[#This Row],[Precio]]*0.21</f>
        <v>6792.6179999999995</v>
      </c>
      <c r="E105" s="14">
        <f>+Tabla1[[#This Row],[IVA]]+Tabla1[[#This Row],[Precio]]</f>
        <v>39138.417999999998</v>
      </c>
    </row>
    <row r="106" spans="1:5" x14ac:dyDescent="0.25">
      <c r="A106" s="8">
        <v>100522698</v>
      </c>
      <c r="B106" s="3" t="s">
        <v>104</v>
      </c>
      <c r="C106" s="9">
        <v>42261.7</v>
      </c>
      <c r="D106" s="13">
        <f>+Tabla1[[#This Row],[Precio]]*0.21</f>
        <v>8874.9569999999985</v>
      </c>
      <c r="E106" s="14">
        <f>+Tabla1[[#This Row],[IVA]]+Tabla1[[#This Row],[Precio]]</f>
        <v>51136.656999999992</v>
      </c>
    </row>
    <row r="107" spans="1:5" ht="45" hidden="1" x14ac:dyDescent="0.25">
      <c r="A107" s="6" t="s">
        <v>105</v>
      </c>
      <c r="B107" s="4"/>
      <c r="C107" s="10"/>
      <c r="D107" s="13">
        <f>+Tabla1[[#This Row],[Precio]]*0.21</f>
        <v>0</v>
      </c>
      <c r="E107" s="14">
        <f>+Tabla1[[#This Row],[IVA]]+Tabla1[[#This Row],[Precio]]</f>
        <v>0</v>
      </c>
    </row>
    <row r="108" spans="1:5" x14ac:dyDescent="0.25">
      <c r="A108" s="8">
        <v>100522246</v>
      </c>
      <c r="B108" s="3" t="s">
        <v>106</v>
      </c>
      <c r="C108" s="9">
        <v>116812.72</v>
      </c>
      <c r="D108" s="13">
        <f>+Tabla1[[#This Row],[Precio]]*0.21</f>
        <v>24530.671200000001</v>
      </c>
      <c r="E108" s="14">
        <f>+Tabla1[[#This Row],[IVA]]+Tabla1[[#This Row],[Precio]]</f>
        <v>141343.39120000001</v>
      </c>
    </row>
    <row r="109" spans="1:5" x14ac:dyDescent="0.25">
      <c r="A109" s="8">
        <v>100522247</v>
      </c>
      <c r="B109" s="3" t="s">
        <v>107</v>
      </c>
      <c r="C109" s="9">
        <v>116812.72</v>
      </c>
      <c r="D109" s="13">
        <f>+Tabla1[[#This Row],[Precio]]*0.21</f>
        <v>24530.671200000001</v>
      </c>
      <c r="E109" s="14">
        <f>+Tabla1[[#This Row],[IVA]]+Tabla1[[#This Row],[Precio]]</f>
        <v>141343.39120000001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Swift Argentina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Gentile</dc:creator>
  <cp:lastModifiedBy>Nicolas Gentile</cp:lastModifiedBy>
  <dcterms:created xsi:type="dcterms:W3CDTF">2026-02-21T14:53:36Z</dcterms:created>
  <dcterms:modified xsi:type="dcterms:W3CDTF">2026-02-21T14:57:59Z</dcterms:modified>
</cp:coreProperties>
</file>