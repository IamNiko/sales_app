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Feb/"/>
    </mc:Choice>
  </mc:AlternateContent>
  <xr:revisionPtr revIDLastSave="2" documentId="8_{8287A03B-98D0-4038-B065-6C62B50D5031}" xr6:coauthVersionLast="47" xr6:coauthVersionMax="47" xr10:uidLastSave="{4A79152A-C288-4488-B4B7-E39773BA4678}"/>
  <bookViews>
    <workbookView xWindow="-120" yWindow="-120" windowWidth="20730" windowHeight="11040" xr2:uid="{2697AD72-269A-4E23-AAFE-545F26A76F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H101" i="1" s="1"/>
  <c r="I101" i="1" s="1"/>
  <c r="F109" i="1"/>
  <c r="H109" i="1" s="1"/>
  <c r="Y108" i="1"/>
  <c r="F108" i="1"/>
  <c r="H108" i="1" s="1"/>
  <c r="AN107" i="1"/>
  <c r="F106" i="1"/>
  <c r="H106" i="1" s="1"/>
  <c r="F105" i="1"/>
  <c r="H105" i="1" s="1"/>
  <c r="F104" i="1"/>
  <c r="H104" i="1" s="1"/>
  <c r="H103" i="1"/>
  <c r="Z103" i="1" s="1"/>
  <c r="AA103" i="1" s="1"/>
  <c r="AB103" i="1" s="1"/>
  <c r="F103" i="1"/>
  <c r="AN102" i="1"/>
  <c r="P102" i="1"/>
  <c r="F102" i="1"/>
  <c r="F100" i="1"/>
  <c r="H100" i="1" s="1"/>
  <c r="F99" i="1"/>
  <c r="H99" i="1" s="1"/>
  <c r="I98" i="1"/>
  <c r="H98" i="1"/>
  <c r="P98" i="1" s="1"/>
  <c r="F98" i="1"/>
  <c r="P97" i="1"/>
  <c r="K97" i="1"/>
  <c r="H97" i="1"/>
  <c r="I97" i="1" s="1"/>
  <c r="J97" i="1" s="1"/>
  <c r="F97" i="1"/>
  <c r="F96" i="1"/>
  <c r="H96" i="1" s="1"/>
  <c r="F95" i="1"/>
  <c r="H95" i="1" s="1"/>
  <c r="F94" i="1"/>
  <c r="H94" i="1" s="1"/>
  <c r="F93" i="1"/>
  <c r="H93" i="1" s="1"/>
  <c r="AN92" i="1"/>
  <c r="Y92" i="1"/>
  <c r="P92" i="1"/>
  <c r="H92" i="1"/>
  <c r="F92" i="1"/>
  <c r="Y91" i="1"/>
  <c r="P91" i="1"/>
  <c r="I91" i="1"/>
  <c r="H91" i="1"/>
  <c r="F91" i="1"/>
  <c r="AN90" i="1"/>
  <c r="AG90" i="1"/>
  <c r="I90" i="1"/>
  <c r="H90" i="1"/>
  <c r="P90" i="1" s="1"/>
  <c r="F90" i="1"/>
  <c r="H89" i="1"/>
  <c r="AN89" i="1" s="1"/>
  <c r="F89" i="1"/>
  <c r="AG88" i="1"/>
  <c r="F88" i="1"/>
  <c r="H88" i="1" s="1"/>
  <c r="AN87" i="1"/>
  <c r="AG87" i="1"/>
  <c r="I87" i="1"/>
  <c r="H87" i="1"/>
  <c r="P87" i="1" s="1"/>
  <c r="F87" i="1"/>
  <c r="F86" i="1"/>
  <c r="H86" i="1" s="1"/>
  <c r="AN85" i="1"/>
  <c r="AG85" i="1"/>
  <c r="H85" i="1"/>
  <c r="F85" i="1"/>
  <c r="P84" i="1"/>
  <c r="K84" i="1"/>
  <c r="L84" i="1" s="1"/>
  <c r="I84" i="1"/>
  <c r="J84" i="1" s="1"/>
  <c r="H84" i="1"/>
  <c r="AN84" i="1" s="1"/>
  <c r="F84" i="1"/>
  <c r="H83" i="1"/>
  <c r="F83" i="1"/>
  <c r="F82" i="1"/>
  <c r="H82" i="1" s="1"/>
  <c r="AN82" i="1" s="1"/>
  <c r="AN81" i="1"/>
  <c r="AG81" i="1"/>
  <c r="F81" i="1"/>
  <c r="H81" i="1" s="1"/>
  <c r="F80" i="1"/>
  <c r="H80" i="1" s="1"/>
  <c r="I79" i="1"/>
  <c r="J79" i="1" s="1"/>
  <c r="F79" i="1"/>
  <c r="H79" i="1" s="1"/>
  <c r="P79" i="1" s="1"/>
  <c r="F78" i="1"/>
  <c r="H78" i="1" s="1"/>
  <c r="P77" i="1"/>
  <c r="F77" i="1"/>
  <c r="H77" i="1" s="1"/>
  <c r="AN76" i="1"/>
  <c r="I76" i="1"/>
  <c r="H76" i="1"/>
  <c r="P76" i="1" s="1"/>
  <c r="F76" i="1"/>
  <c r="F75" i="1"/>
  <c r="H75" i="1" s="1"/>
  <c r="AN74" i="1"/>
  <c r="I74" i="1"/>
  <c r="F74" i="1"/>
  <c r="H74" i="1" s="1"/>
  <c r="P74" i="1" s="1"/>
  <c r="F73" i="1"/>
  <c r="H73" i="1" s="1"/>
  <c r="P72" i="1"/>
  <c r="H72" i="1"/>
  <c r="I72" i="1" s="1"/>
  <c r="F71" i="1"/>
  <c r="H71" i="1" s="1"/>
  <c r="P71" i="1" s="1"/>
  <c r="AN70" i="1"/>
  <c r="I70" i="1"/>
  <c r="H70" i="1"/>
  <c r="P70" i="1" s="1"/>
  <c r="F70" i="1"/>
  <c r="F69" i="1"/>
  <c r="H69" i="1" s="1"/>
  <c r="F68" i="1"/>
  <c r="H68" i="1" s="1"/>
  <c r="P68" i="1" s="1"/>
  <c r="I67" i="1"/>
  <c r="H67" i="1"/>
  <c r="F67" i="1"/>
  <c r="F66" i="1"/>
  <c r="H66" i="1" s="1"/>
  <c r="F65" i="1"/>
  <c r="H65" i="1" s="1"/>
  <c r="AG64" i="1"/>
  <c r="I64" i="1"/>
  <c r="H64" i="1"/>
  <c r="P64" i="1" s="1"/>
  <c r="F64" i="1"/>
  <c r="D64" i="1"/>
  <c r="F63" i="1"/>
  <c r="H63" i="1" s="1"/>
  <c r="D63" i="1"/>
  <c r="AN62" i="1"/>
  <c r="AG62" i="1"/>
  <c r="I62" i="1"/>
  <c r="H62" i="1"/>
  <c r="P62" i="1" s="1"/>
  <c r="F62" i="1"/>
  <c r="F61" i="1"/>
  <c r="H61" i="1" s="1"/>
  <c r="F60" i="1"/>
  <c r="H60" i="1" s="1"/>
  <c r="AN59" i="1"/>
  <c r="K59" i="1"/>
  <c r="J59" i="1"/>
  <c r="I59" i="1"/>
  <c r="H59" i="1"/>
  <c r="AG59" i="1" s="1"/>
  <c r="F59" i="1"/>
  <c r="F58" i="1"/>
  <c r="H58" i="1" s="1"/>
  <c r="AN57" i="1"/>
  <c r="AG57" i="1"/>
  <c r="P57" i="1"/>
  <c r="I57" i="1"/>
  <c r="F57" i="1"/>
  <c r="H57" i="1" s="1"/>
  <c r="F56" i="1"/>
  <c r="H56" i="1" s="1"/>
  <c r="F55" i="1"/>
  <c r="H55" i="1" s="1"/>
  <c r="AN54" i="1"/>
  <c r="J54" i="1"/>
  <c r="I54" i="1"/>
  <c r="H54" i="1"/>
  <c r="P54" i="1" s="1"/>
  <c r="F54" i="1"/>
  <c r="F53" i="1"/>
  <c r="H53" i="1" s="1"/>
  <c r="P53" i="1" s="1"/>
  <c r="P52" i="1"/>
  <c r="F52" i="1"/>
  <c r="H52" i="1" s="1"/>
  <c r="AN51" i="1"/>
  <c r="I51" i="1"/>
  <c r="F51" i="1"/>
  <c r="H51" i="1" s="1"/>
  <c r="P51" i="1" s="1"/>
  <c r="F50" i="1"/>
  <c r="H50" i="1" s="1"/>
  <c r="F49" i="1"/>
  <c r="H49" i="1" s="1"/>
  <c r="AN48" i="1"/>
  <c r="AG48" i="1"/>
  <c r="J48" i="1"/>
  <c r="K48" i="1" s="1"/>
  <c r="I48" i="1"/>
  <c r="H48" i="1"/>
  <c r="P48" i="1" s="1"/>
  <c r="F48" i="1"/>
  <c r="F47" i="1"/>
  <c r="H47" i="1" s="1"/>
  <c r="AN46" i="1"/>
  <c r="AG46" i="1"/>
  <c r="Y46" i="1"/>
  <c r="Y47" i="1" s="1"/>
  <c r="J46" i="1"/>
  <c r="K46" i="1" s="1"/>
  <c r="I46" i="1"/>
  <c r="H46" i="1"/>
  <c r="P46" i="1" s="1"/>
  <c r="F46" i="1"/>
  <c r="F45" i="1"/>
  <c r="H45" i="1" s="1"/>
  <c r="F44" i="1"/>
  <c r="H44" i="1" s="1"/>
  <c r="F43" i="1"/>
  <c r="H43" i="1" s="1"/>
  <c r="AN42" i="1"/>
  <c r="I42" i="1"/>
  <c r="H42" i="1"/>
  <c r="P42" i="1" s="1"/>
  <c r="F42" i="1"/>
  <c r="F41" i="1"/>
  <c r="H41" i="1" s="1"/>
  <c r="F40" i="1"/>
  <c r="H40" i="1" s="1"/>
  <c r="AG39" i="1"/>
  <c r="Y39" i="1"/>
  <c r="Y40" i="1" s="1"/>
  <c r="P39" i="1"/>
  <c r="I39" i="1"/>
  <c r="H39" i="1"/>
  <c r="AN39" i="1" s="1"/>
  <c r="F39" i="1"/>
  <c r="F38" i="1"/>
  <c r="H38" i="1" s="1"/>
  <c r="AN37" i="1"/>
  <c r="AG37" i="1"/>
  <c r="J37" i="1"/>
  <c r="K37" i="1" s="1"/>
  <c r="I37" i="1"/>
  <c r="F37" i="1"/>
  <c r="H37" i="1" s="1"/>
  <c r="P37" i="1" s="1"/>
  <c r="I36" i="1"/>
  <c r="J36" i="1" s="1"/>
  <c r="K36" i="1" s="1"/>
  <c r="H36" i="1"/>
  <c r="P36" i="1" s="1"/>
  <c r="F35" i="1"/>
  <c r="H35" i="1" s="1"/>
  <c r="F34" i="1"/>
  <c r="Y48" i="1" s="1"/>
  <c r="Y49" i="1" s="1"/>
  <c r="G33" i="1"/>
  <c r="F33" i="1"/>
  <c r="H33" i="1" s="1"/>
  <c r="G32" i="1"/>
  <c r="F32" i="1"/>
  <c r="H32" i="1" s="1"/>
  <c r="P32" i="1" s="1"/>
  <c r="F31" i="1"/>
  <c r="H31" i="1" s="1"/>
  <c r="H30" i="1"/>
  <c r="AG30" i="1" s="1"/>
  <c r="G30" i="1"/>
  <c r="F30" i="1"/>
  <c r="F29" i="1"/>
  <c r="H29" i="1" s="1"/>
  <c r="H28" i="1"/>
  <c r="AN28" i="1" s="1"/>
  <c r="F28" i="1"/>
  <c r="D28" i="1"/>
  <c r="AN27" i="1"/>
  <c r="P27" i="1"/>
  <c r="I27" i="1"/>
  <c r="J27" i="1" s="1"/>
  <c r="H27" i="1"/>
  <c r="AG27" i="1" s="1"/>
  <c r="F27" i="1"/>
  <c r="I26" i="1"/>
  <c r="F26" i="1"/>
  <c r="H26" i="1" s="1"/>
  <c r="AG26" i="1" s="1"/>
  <c r="AN25" i="1"/>
  <c r="P25" i="1"/>
  <c r="I25" i="1"/>
  <c r="J25" i="1" s="1"/>
  <c r="K25" i="1" s="1"/>
  <c r="L25" i="1" s="1"/>
  <c r="M25" i="1" s="1"/>
  <c r="N25" i="1" s="1"/>
  <c r="O25" i="1" s="1"/>
  <c r="H25" i="1"/>
  <c r="AG25" i="1" s="1"/>
  <c r="F25" i="1"/>
  <c r="D25" i="1"/>
  <c r="F24" i="1"/>
  <c r="H24" i="1" s="1"/>
  <c r="D24" i="1"/>
  <c r="H23" i="1"/>
  <c r="AN23" i="1" s="1"/>
  <c r="F23" i="1"/>
  <c r="H22" i="1"/>
  <c r="AN22" i="1" s="1"/>
  <c r="F22" i="1"/>
  <c r="H21" i="1"/>
  <c r="AG21" i="1" s="1"/>
  <c r="F21" i="1"/>
  <c r="F20" i="1"/>
  <c r="H20" i="1" s="1"/>
  <c r="H19" i="1"/>
  <c r="AN19" i="1" s="1"/>
  <c r="F19" i="1"/>
  <c r="AN18" i="1"/>
  <c r="AG18" i="1"/>
  <c r="I18" i="1"/>
  <c r="J18" i="1" s="1"/>
  <c r="H18" i="1"/>
  <c r="P18" i="1" s="1"/>
  <c r="F18" i="1"/>
  <c r="AN17" i="1"/>
  <c r="H17" i="1"/>
  <c r="AG17" i="1" s="1"/>
  <c r="F17" i="1"/>
  <c r="AN16" i="1"/>
  <c r="AG16" i="1"/>
  <c r="I16" i="1"/>
  <c r="H16" i="1"/>
  <c r="P16" i="1" s="1"/>
  <c r="F16" i="1"/>
  <c r="AN15" i="1"/>
  <c r="H15" i="1"/>
  <c r="AG15" i="1" s="1"/>
  <c r="F15" i="1"/>
  <c r="AN14" i="1"/>
  <c r="AG14" i="1"/>
  <c r="I14" i="1"/>
  <c r="J14" i="1" s="1"/>
  <c r="H14" i="1"/>
  <c r="P14" i="1" s="1"/>
  <c r="F14" i="1"/>
  <c r="AN13" i="1"/>
  <c r="H13" i="1"/>
  <c r="AG13" i="1" s="1"/>
  <c r="F13" i="1"/>
  <c r="AN12" i="1"/>
  <c r="AG12" i="1"/>
  <c r="I12" i="1"/>
  <c r="J12" i="1" s="1"/>
  <c r="H12" i="1"/>
  <c r="P12" i="1" s="1"/>
  <c r="F12" i="1"/>
  <c r="AN11" i="1"/>
  <c r="H11" i="1"/>
  <c r="AG11" i="1" s="1"/>
  <c r="F11" i="1"/>
  <c r="AN10" i="1"/>
  <c r="AG10" i="1"/>
  <c r="I10" i="1"/>
  <c r="H10" i="1"/>
  <c r="P10" i="1" s="1"/>
  <c r="F10" i="1"/>
  <c r="AN9" i="1"/>
  <c r="H9" i="1"/>
  <c r="AG9" i="1" s="1"/>
  <c r="F9" i="1"/>
  <c r="AN8" i="1"/>
  <c r="AG8" i="1"/>
  <c r="I8" i="1"/>
  <c r="J8" i="1" s="1"/>
  <c r="H8" i="1"/>
  <c r="P8" i="1" s="1"/>
  <c r="F8" i="1"/>
  <c r="AN7" i="1"/>
  <c r="H7" i="1"/>
  <c r="AG7" i="1" s="1"/>
  <c r="F7" i="1"/>
  <c r="AN6" i="1"/>
  <c r="AG6" i="1"/>
  <c r="I6" i="1"/>
  <c r="J6" i="1" s="1"/>
  <c r="H6" i="1"/>
  <c r="P6" i="1" s="1"/>
  <c r="F6" i="1"/>
  <c r="AN5" i="1"/>
  <c r="H5" i="1"/>
  <c r="AG5" i="1" s="1"/>
  <c r="F5" i="1"/>
  <c r="AN4" i="1"/>
  <c r="AG4" i="1"/>
  <c r="I4" i="1"/>
  <c r="H4" i="1"/>
  <c r="P4" i="1" s="1"/>
  <c r="F4" i="1"/>
  <c r="AN38" i="1" l="1"/>
  <c r="AG38" i="1"/>
  <c r="I38" i="1"/>
  <c r="P38" i="1"/>
  <c r="M36" i="1"/>
  <c r="L36" i="1"/>
  <c r="M46" i="1"/>
  <c r="L46" i="1"/>
  <c r="L48" i="1"/>
  <c r="M48" i="1" s="1"/>
  <c r="AN35" i="1"/>
  <c r="P35" i="1"/>
  <c r="I35" i="1"/>
  <c r="AG35" i="1"/>
  <c r="AN60" i="1"/>
  <c r="I60" i="1"/>
  <c r="AG60" i="1"/>
  <c r="P60" i="1"/>
  <c r="AN20" i="1"/>
  <c r="AG20" i="1"/>
  <c r="P20" i="1"/>
  <c r="I20" i="1"/>
  <c r="AG24" i="1"/>
  <c r="I24" i="1"/>
  <c r="P24" i="1"/>
  <c r="AN24" i="1"/>
  <c r="L37" i="1"/>
  <c r="M37" i="1" s="1"/>
  <c r="AN29" i="1"/>
  <c r="AG29" i="1"/>
  <c r="P29" i="1"/>
  <c r="I29" i="1"/>
  <c r="P86" i="1"/>
  <c r="AG86" i="1"/>
  <c r="I86" i="1"/>
  <c r="AN86" i="1"/>
  <c r="J4" i="1"/>
  <c r="K4" i="1" s="1"/>
  <c r="J16" i="1"/>
  <c r="K16" i="1" s="1"/>
  <c r="I21" i="1"/>
  <c r="P55" i="1"/>
  <c r="AN55" i="1"/>
  <c r="I55" i="1"/>
  <c r="AN61" i="1"/>
  <c r="I61" i="1"/>
  <c r="AG61" i="1"/>
  <c r="P61" i="1"/>
  <c r="J91" i="1"/>
  <c r="K91" i="1" s="1"/>
  <c r="P21" i="1"/>
  <c r="K27" i="1"/>
  <c r="AN30" i="1"/>
  <c r="I32" i="1"/>
  <c r="AN41" i="1"/>
  <c r="AG41" i="1"/>
  <c r="I41" i="1"/>
  <c r="P41" i="1"/>
  <c r="AN45" i="1"/>
  <c r="AG45" i="1"/>
  <c r="I45" i="1"/>
  <c r="P45" i="1"/>
  <c r="AN50" i="1"/>
  <c r="I50" i="1"/>
  <c r="AG50" i="1"/>
  <c r="P50" i="1"/>
  <c r="AN73" i="1"/>
  <c r="I73" i="1"/>
  <c r="AG73" i="1"/>
  <c r="P73" i="1"/>
  <c r="P78" i="1"/>
  <c r="AN78" i="1"/>
  <c r="AG78" i="1"/>
  <c r="I78" i="1"/>
  <c r="I31" i="1"/>
  <c r="P31" i="1"/>
  <c r="AN69" i="1"/>
  <c r="I69" i="1"/>
  <c r="AG69" i="1"/>
  <c r="P69" i="1"/>
  <c r="J10" i="1"/>
  <c r="K10" i="1" s="1"/>
  <c r="M97" i="1"/>
  <c r="L97" i="1"/>
  <c r="K6" i="1"/>
  <c r="K8" i="1"/>
  <c r="K12" i="1"/>
  <c r="K14" i="1"/>
  <c r="K18" i="1"/>
  <c r="P19" i="1"/>
  <c r="P22" i="1"/>
  <c r="I30" i="1"/>
  <c r="AN47" i="1"/>
  <c r="AG47" i="1"/>
  <c r="I47" i="1"/>
  <c r="P47" i="1"/>
  <c r="AN63" i="1"/>
  <c r="I63" i="1"/>
  <c r="AG63" i="1"/>
  <c r="P63" i="1"/>
  <c r="AN64" i="1"/>
  <c r="AN67" i="1"/>
  <c r="P67" i="1"/>
  <c r="J76" i="1"/>
  <c r="K76" i="1" s="1"/>
  <c r="AN71" i="1"/>
  <c r="I71" i="1"/>
  <c r="AG71" i="1"/>
  <c r="M84" i="1"/>
  <c r="P5" i="1"/>
  <c r="P7" i="1"/>
  <c r="P9" i="1"/>
  <c r="P11" i="1"/>
  <c r="P13" i="1"/>
  <c r="P15" i="1"/>
  <c r="P17" i="1"/>
  <c r="AG19" i="1"/>
  <c r="AG22" i="1"/>
  <c r="AG32" i="1"/>
  <c r="I44" i="1"/>
  <c r="P44" i="1"/>
  <c r="AG44" i="1"/>
  <c r="AG55" i="1"/>
  <c r="M59" i="1"/>
  <c r="L59" i="1"/>
  <c r="AN65" i="1"/>
  <c r="I65" i="1"/>
  <c r="AG65" i="1"/>
  <c r="P65" i="1"/>
  <c r="J67" i="1"/>
  <c r="K67" i="1"/>
  <c r="K72" i="1"/>
  <c r="J72" i="1"/>
  <c r="K74" i="1"/>
  <c r="P80" i="1"/>
  <c r="AG80" i="1"/>
  <c r="J87" i="1"/>
  <c r="K87" i="1" s="1"/>
  <c r="AN21" i="1"/>
  <c r="I40" i="1"/>
  <c r="P40" i="1"/>
  <c r="AG105" i="1"/>
  <c r="Z105" i="1"/>
  <c r="AA105" i="1" s="1"/>
  <c r="AB105" i="1" s="1"/>
  <c r="I105" i="1"/>
  <c r="P105" i="1"/>
  <c r="AN105" i="1"/>
  <c r="I5" i="1"/>
  <c r="I7" i="1"/>
  <c r="I9" i="1"/>
  <c r="I11" i="1"/>
  <c r="I13" i="1"/>
  <c r="I15" i="1"/>
  <c r="I17" i="1"/>
  <c r="I19" i="1"/>
  <c r="I22" i="1"/>
  <c r="P23" i="1"/>
  <c r="AN26" i="1"/>
  <c r="P26" i="1"/>
  <c r="AN32" i="1"/>
  <c r="I49" i="1"/>
  <c r="AN49" i="1"/>
  <c r="AG49" i="1"/>
  <c r="J51" i="1"/>
  <c r="K51" i="1" s="1"/>
  <c r="AN56" i="1"/>
  <c r="I56" i="1"/>
  <c r="AG56" i="1"/>
  <c r="P56" i="1"/>
  <c r="AN58" i="1"/>
  <c r="I58" i="1"/>
  <c r="AG58" i="1"/>
  <c r="P58" i="1"/>
  <c r="AG67" i="1"/>
  <c r="J74" i="1"/>
  <c r="AN77" i="1"/>
  <c r="I77" i="1"/>
  <c r="I80" i="1"/>
  <c r="J90" i="1"/>
  <c r="K90" i="1" s="1"/>
  <c r="AN43" i="1"/>
  <c r="I43" i="1"/>
  <c r="P43" i="1"/>
  <c r="AG23" i="1"/>
  <c r="J26" i="1"/>
  <c r="K26" i="1" s="1"/>
  <c r="P30" i="1"/>
  <c r="I33" i="1"/>
  <c r="P33" i="1"/>
  <c r="AG40" i="1"/>
  <c r="AN68" i="1"/>
  <c r="I68" i="1"/>
  <c r="AG68" i="1"/>
  <c r="AN80" i="1"/>
  <c r="AG95" i="1"/>
  <c r="P95" i="1"/>
  <c r="AN95" i="1"/>
  <c r="J64" i="1"/>
  <c r="K64" i="1" s="1"/>
  <c r="Z104" i="1"/>
  <c r="AA104" i="1" s="1"/>
  <c r="AB104" i="1" s="1"/>
  <c r="I104" i="1"/>
  <c r="P104" i="1"/>
  <c r="AN104" i="1"/>
  <c r="AG104" i="1"/>
  <c r="K79" i="1"/>
  <c r="I23" i="1"/>
  <c r="AN40" i="1"/>
  <c r="J42" i="1"/>
  <c r="K42" i="1" s="1"/>
  <c r="AN44" i="1"/>
  <c r="P49" i="1"/>
  <c r="AN52" i="1"/>
  <c r="I52" i="1"/>
  <c r="AG52" i="1"/>
  <c r="K54" i="1"/>
  <c r="AN66" i="1"/>
  <c r="I66" i="1"/>
  <c r="AG66" i="1"/>
  <c r="P66" i="1"/>
  <c r="J70" i="1"/>
  <c r="K70" i="1" s="1"/>
  <c r="AN75" i="1"/>
  <c r="AG75" i="1"/>
  <c r="P75" i="1"/>
  <c r="I75" i="1"/>
  <c r="AG77" i="1"/>
  <c r="P81" i="1"/>
  <c r="I81" i="1"/>
  <c r="AG51" i="1"/>
  <c r="AG54" i="1"/>
  <c r="AG70" i="1"/>
  <c r="AG74" i="1"/>
  <c r="AG76" i="1"/>
  <c r="AN79" i="1"/>
  <c r="AN83" i="1"/>
  <c r="AG83" i="1"/>
  <c r="I83" i="1"/>
  <c r="AN88" i="1"/>
  <c r="P88" i="1"/>
  <c r="AN91" i="1"/>
  <c r="AG91" i="1"/>
  <c r="AN100" i="1"/>
  <c r="AG100" i="1"/>
  <c r="Z100" i="1"/>
  <c r="AA100" i="1" s="1"/>
  <c r="AB100" i="1" s="1"/>
  <c r="I100" i="1"/>
  <c r="P100" i="1"/>
  <c r="AN96" i="1"/>
  <c r="AG96" i="1"/>
  <c r="Z96" i="1"/>
  <c r="AA96" i="1" s="1"/>
  <c r="AB96" i="1" s="1"/>
  <c r="I96" i="1"/>
  <c r="P96" i="1"/>
  <c r="J101" i="1"/>
  <c r="K101" i="1" s="1"/>
  <c r="AN106" i="1"/>
  <c r="AG106" i="1"/>
  <c r="Z106" i="1"/>
  <c r="AA106" i="1" s="1"/>
  <c r="AB106" i="1" s="1"/>
  <c r="I106" i="1"/>
  <c r="P106" i="1"/>
  <c r="Y41" i="1"/>
  <c r="Y44" i="1" s="1"/>
  <c r="AN72" i="1"/>
  <c r="I82" i="1"/>
  <c r="I89" i="1"/>
  <c r="AG93" i="1"/>
  <c r="I93" i="1"/>
  <c r="P93" i="1"/>
  <c r="AN93" i="1"/>
  <c r="P28" i="1"/>
  <c r="AG53" i="1"/>
  <c r="P82" i="1"/>
  <c r="P83" i="1"/>
  <c r="AG84" i="1"/>
  <c r="J98" i="1"/>
  <c r="K98" i="1" s="1"/>
  <c r="AN108" i="1"/>
  <c r="I108" i="1"/>
  <c r="P108" i="1"/>
  <c r="I28" i="1"/>
  <c r="AG28" i="1"/>
  <c r="H34" i="1"/>
  <c r="I53" i="1"/>
  <c r="AN53" i="1"/>
  <c r="P59" i="1"/>
  <c r="AG82" i="1"/>
  <c r="P89" i="1"/>
  <c r="AG92" i="1"/>
  <c r="I92" i="1"/>
  <c r="AG79" i="1"/>
  <c r="P85" i="1"/>
  <c r="I85" i="1"/>
  <c r="AG89" i="1"/>
  <c r="AN94" i="1"/>
  <c r="I94" i="1"/>
  <c r="P94" i="1"/>
  <c r="AG99" i="1"/>
  <c r="P99" i="1"/>
  <c r="AN99" i="1"/>
  <c r="AN109" i="1"/>
  <c r="I109" i="1"/>
  <c r="P109" i="1"/>
  <c r="AG103" i="1"/>
  <c r="AN103" i="1"/>
  <c r="P103" i="1"/>
  <c r="I103" i="1"/>
  <c r="N48" i="1" l="1"/>
  <c r="O48" i="1"/>
  <c r="L98" i="1"/>
  <c r="M98" i="1"/>
  <c r="M70" i="1"/>
  <c r="L70" i="1"/>
  <c r="L26" i="1"/>
  <c r="M26" i="1"/>
  <c r="L101" i="1"/>
  <c r="M101" i="1" s="1"/>
  <c r="L91" i="1"/>
  <c r="M91" i="1"/>
  <c r="M4" i="1"/>
  <c r="L4" i="1"/>
  <c r="L90" i="1"/>
  <c r="M90" i="1" s="1"/>
  <c r="L10" i="1"/>
  <c r="M10" i="1" s="1"/>
  <c r="L16" i="1"/>
  <c r="M16" i="1" s="1"/>
  <c r="M42" i="1"/>
  <c r="L42" i="1"/>
  <c r="L51" i="1"/>
  <c r="M51" i="1" s="1"/>
  <c r="L64" i="1"/>
  <c r="M64" i="1" s="1"/>
  <c r="L87" i="1"/>
  <c r="M87" i="1"/>
  <c r="M76" i="1"/>
  <c r="L76" i="1"/>
  <c r="N37" i="1"/>
  <c r="O37" i="1" s="1"/>
  <c r="K68" i="1"/>
  <c r="J68" i="1"/>
  <c r="J65" i="1"/>
  <c r="K65" i="1"/>
  <c r="K47" i="1"/>
  <c r="J47" i="1"/>
  <c r="L74" i="1"/>
  <c r="M74" i="1" s="1"/>
  <c r="M8" i="1"/>
  <c r="L8" i="1"/>
  <c r="J45" i="1"/>
  <c r="K45" i="1" s="1"/>
  <c r="K61" i="1"/>
  <c r="J61" i="1"/>
  <c r="J103" i="1"/>
  <c r="K103" i="1"/>
  <c r="AG34" i="1"/>
  <c r="I34" i="1"/>
  <c r="P34" i="1"/>
  <c r="AN34" i="1"/>
  <c r="L79" i="1"/>
  <c r="M79" i="1" s="1"/>
  <c r="J56" i="1"/>
  <c r="K56" i="1"/>
  <c r="K9" i="1"/>
  <c r="J9" i="1"/>
  <c r="L6" i="1"/>
  <c r="M6" i="1" s="1"/>
  <c r="J73" i="1"/>
  <c r="K73" i="1" s="1"/>
  <c r="L27" i="1"/>
  <c r="M27" i="1"/>
  <c r="K86" i="1"/>
  <c r="J86" i="1"/>
  <c r="J96" i="1"/>
  <c r="K96" i="1" s="1"/>
  <c r="J66" i="1"/>
  <c r="K66" i="1" s="1"/>
  <c r="J80" i="1"/>
  <c r="K80" i="1" s="1"/>
  <c r="K15" i="1"/>
  <c r="J15" i="1"/>
  <c r="L54" i="1"/>
  <c r="M54" i="1"/>
  <c r="K23" i="1"/>
  <c r="J23" i="1"/>
  <c r="J11" i="1"/>
  <c r="K11" i="1" s="1"/>
  <c r="J92" i="1"/>
  <c r="K92" i="1" s="1"/>
  <c r="J89" i="1"/>
  <c r="K89" i="1" s="1"/>
  <c r="K52" i="1"/>
  <c r="J52" i="1"/>
  <c r="J43" i="1"/>
  <c r="K43" i="1" s="1"/>
  <c r="J7" i="1"/>
  <c r="K7" i="1" s="1"/>
  <c r="J40" i="1"/>
  <c r="K40" i="1" s="1"/>
  <c r="L72" i="1"/>
  <c r="M72" i="1" s="1"/>
  <c r="N59" i="1"/>
  <c r="O59" i="1"/>
  <c r="N84" i="1"/>
  <c r="O84" i="1"/>
  <c r="J30" i="1"/>
  <c r="K30" i="1" s="1"/>
  <c r="K31" i="1"/>
  <c r="J31" i="1"/>
  <c r="J55" i="1"/>
  <c r="K55" i="1" s="1"/>
  <c r="N36" i="1"/>
  <c r="O36" i="1" s="1"/>
  <c r="L12" i="1"/>
  <c r="M12" i="1" s="1"/>
  <c r="K35" i="1"/>
  <c r="J35" i="1"/>
  <c r="J28" i="1"/>
  <c r="K28" i="1"/>
  <c r="J100" i="1"/>
  <c r="K100" i="1" s="1"/>
  <c r="J83" i="1"/>
  <c r="K83" i="1"/>
  <c r="K94" i="1"/>
  <c r="J94" i="1"/>
  <c r="J81" i="1"/>
  <c r="K81" i="1" s="1"/>
  <c r="J33" i="1"/>
  <c r="K33" i="1" s="1"/>
  <c r="J19" i="1"/>
  <c r="K19" i="1" s="1"/>
  <c r="J71" i="1"/>
  <c r="K71" i="1" s="1"/>
  <c r="J63" i="1"/>
  <c r="K63" i="1" s="1"/>
  <c r="J41" i="1"/>
  <c r="K41" i="1" s="1"/>
  <c r="J24" i="1"/>
  <c r="K24" i="1" s="1"/>
  <c r="J60" i="1"/>
  <c r="K60" i="1" s="1"/>
  <c r="J38" i="1"/>
  <c r="K38" i="1" s="1"/>
  <c r="J106" i="1"/>
  <c r="K106" i="1" s="1"/>
  <c r="J77" i="1"/>
  <c r="K77" i="1"/>
  <c r="K13" i="1"/>
  <c r="J13" i="1"/>
  <c r="J44" i="1"/>
  <c r="K44" i="1"/>
  <c r="J69" i="1"/>
  <c r="K69" i="1"/>
  <c r="J32" i="1"/>
  <c r="K32" i="1"/>
  <c r="O46" i="1"/>
  <c r="N46" i="1"/>
  <c r="J53" i="1"/>
  <c r="K53" i="1"/>
  <c r="J93" i="1"/>
  <c r="K93" i="1"/>
  <c r="J22" i="1"/>
  <c r="K22" i="1"/>
  <c r="K5" i="1"/>
  <c r="J5" i="1"/>
  <c r="L67" i="1"/>
  <c r="M67" i="1" s="1"/>
  <c r="N97" i="1"/>
  <c r="O97" i="1"/>
  <c r="J108" i="1"/>
  <c r="K108" i="1" s="1"/>
  <c r="K104" i="1"/>
  <c r="J104" i="1"/>
  <c r="J58" i="1"/>
  <c r="K58" i="1"/>
  <c r="J17" i="1"/>
  <c r="K17" i="1" s="1"/>
  <c r="L18" i="1"/>
  <c r="M18" i="1" s="1"/>
  <c r="J50" i="1"/>
  <c r="K50" i="1" s="1"/>
  <c r="J21" i="1"/>
  <c r="K21" i="1" s="1"/>
  <c r="J109" i="1"/>
  <c r="K109" i="1" s="1"/>
  <c r="J49" i="1"/>
  <c r="K49" i="1" s="1"/>
  <c r="K105" i="1"/>
  <c r="J105" i="1"/>
  <c r="L14" i="1"/>
  <c r="M14" i="1" s="1"/>
  <c r="J20" i="1"/>
  <c r="K20" i="1"/>
  <c r="O6" i="1" l="1"/>
  <c r="N6" i="1"/>
  <c r="L55" i="1"/>
  <c r="M55" i="1" s="1"/>
  <c r="M66" i="1"/>
  <c r="L66" i="1"/>
  <c r="N74" i="1"/>
  <c r="O74" i="1" s="1"/>
  <c r="M49" i="1"/>
  <c r="L49" i="1"/>
  <c r="L71" i="1"/>
  <c r="M71" i="1" s="1"/>
  <c r="M100" i="1"/>
  <c r="L100" i="1"/>
  <c r="L40" i="1"/>
  <c r="M40" i="1" s="1"/>
  <c r="M96" i="1"/>
  <c r="L96" i="1"/>
  <c r="N10" i="1"/>
  <c r="O10" i="1" s="1"/>
  <c r="M109" i="1"/>
  <c r="L109" i="1"/>
  <c r="L19" i="1"/>
  <c r="M19" i="1" s="1"/>
  <c r="L7" i="1"/>
  <c r="M7" i="1" s="1"/>
  <c r="N90" i="1"/>
  <c r="O90" i="1" s="1"/>
  <c r="L41" i="1"/>
  <c r="M41" i="1" s="1"/>
  <c r="L21" i="1"/>
  <c r="M21" i="1" s="1"/>
  <c r="M33" i="1"/>
  <c r="L33" i="1"/>
  <c r="L30" i="1"/>
  <c r="M30" i="1" s="1"/>
  <c r="L43" i="1"/>
  <c r="M43" i="1" s="1"/>
  <c r="L80" i="1"/>
  <c r="M80" i="1"/>
  <c r="O72" i="1"/>
  <c r="N72" i="1"/>
  <c r="L108" i="1"/>
  <c r="M108" i="1" s="1"/>
  <c r="L50" i="1"/>
  <c r="M50" i="1" s="1"/>
  <c r="L45" i="1"/>
  <c r="M45" i="1"/>
  <c r="O51" i="1"/>
  <c r="N51" i="1"/>
  <c r="L92" i="1"/>
  <c r="M92" i="1" s="1"/>
  <c r="N101" i="1"/>
  <c r="O101" i="1" s="1"/>
  <c r="L63" i="1"/>
  <c r="M63" i="1"/>
  <c r="M11" i="1"/>
  <c r="L11" i="1"/>
  <c r="N16" i="1"/>
  <c r="O16" i="1" s="1"/>
  <c r="M106" i="1"/>
  <c r="L106" i="1"/>
  <c r="L38" i="1"/>
  <c r="M38" i="1"/>
  <c r="L81" i="1"/>
  <c r="M81" i="1" s="1"/>
  <c r="N79" i="1"/>
  <c r="O79" i="1" s="1"/>
  <c r="N64" i="1"/>
  <c r="O64" i="1" s="1"/>
  <c r="N18" i="1"/>
  <c r="O18" i="1" s="1"/>
  <c r="M60" i="1"/>
  <c r="L60" i="1"/>
  <c r="N14" i="1"/>
  <c r="O14" i="1" s="1"/>
  <c r="L17" i="1"/>
  <c r="M17" i="1" s="1"/>
  <c r="N67" i="1"/>
  <c r="O67" i="1" s="1"/>
  <c r="M24" i="1"/>
  <c r="L24" i="1"/>
  <c r="N12" i="1"/>
  <c r="O12" i="1" s="1"/>
  <c r="L89" i="1"/>
  <c r="M89" i="1" s="1"/>
  <c r="L73" i="1"/>
  <c r="M73" i="1"/>
  <c r="O27" i="1"/>
  <c r="N27" i="1"/>
  <c r="L28" i="1"/>
  <c r="M28" i="1"/>
  <c r="M103" i="1"/>
  <c r="L103" i="1"/>
  <c r="L104" i="1"/>
  <c r="M104" i="1" s="1"/>
  <c r="M13" i="1"/>
  <c r="L13" i="1"/>
  <c r="L35" i="1"/>
  <c r="M35" i="1" s="1"/>
  <c r="L23" i="1"/>
  <c r="M23" i="1" s="1"/>
  <c r="L61" i="1"/>
  <c r="M61" i="1"/>
  <c r="N76" i="1"/>
  <c r="O76" i="1" s="1"/>
  <c r="L32" i="1"/>
  <c r="M32" i="1" s="1"/>
  <c r="M77" i="1"/>
  <c r="L77" i="1"/>
  <c r="L83" i="1"/>
  <c r="M83" i="1" s="1"/>
  <c r="O54" i="1"/>
  <c r="N54" i="1"/>
  <c r="L65" i="1"/>
  <c r="M65" i="1"/>
  <c r="O87" i="1"/>
  <c r="N87" i="1"/>
  <c r="N91" i="1"/>
  <c r="O91" i="1" s="1"/>
  <c r="O98" i="1"/>
  <c r="N98" i="1"/>
  <c r="L44" i="1"/>
  <c r="M44" i="1" s="1"/>
  <c r="M5" i="1"/>
  <c r="L5" i="1"/>
  <c r="L52" i="1"/>
  <c r="M52" i="1"/>
  <c r="O42" i="1"/>
  <c r="N42" i="1"/>
  <c r="L53" i="1"/>
  <c r="M53" i="1" s="1"/>
  <c r="L56" i="1"/>
  <c r="M56" i="1" s="1"/>
  <c r="L94" i="1"/>
  <c r="M94" i="1" s="1"/>
  <c r="L31" i="1"/>
  <c r="M31" i="1" s="1"/>
  <c r="L47" i="1"/>
  <c r="M47" i="1"/>
  <c r="O4" i="1"/>
  <c r="N4" i="1"/>
  <c r="L20" i="1"/>
  <c r="M20" i="1"/>
  <c r="M93" i="1"/>
  <c r="L93" i="1"/>
  <c r="L69" i="1"/>
  <c r="M69" i="1" s="1"/>
  <c r="K34" i="1"/>
  <c r="J34" i="1"/>
  <c r="L58" i="1"/>
  <c r="M58" i="1"/>
  <c r="N26" i="1"/>
  <c r="O26" i="1" s="1"/>
  <c r="L105" i="1"/>
  <c r="M105" i="1"/>
  <c r="N70" i="1"/>
  <c r="O70" i="1" s="1"/>
  <c r="L22" i="1"/>
  <c r="M22" i="1"/>
  <c r="M15" i="1"/>
  <c r="L15" i="1"/>
  <c r="L86" i="1"/>
  <c r="M86" i="1"/>
  <c r="M9" i="1"/>
  <c r="L9" i="1"/>
  <c r="N8" i="1"/>
  <c r="O8" i="1" s="1"/>
  <c r="L68" i="1"/>
  <c r="M68" i="1" s="1"/>
  <c r="O30" i="1" l="1"/>
  <c r="N30" i="1"/>
  <c r="N35" i="1"/>
  <c r="O35" i="1" s="1"/>
  <c r="N81" i="1"/>
  <c r="O81" i="1" s="1"/>
  <c r="N50" i="1"/>
  <c r="O50" i="1" s="1"/>
  <c r="N68" i="1"/>
  <c r="O68" i="1" s="1"/>
  <c r="N17" i="1"/>
  <c r="O17" i="1" s="1"/>
  <c r="O108" i="1"/>
  <c r="N108" i="1"/>
  <c r="N21" i="1"/>
  <c r="O21" i="1"/>
  <c r="O32" i="1"/>
  <c r="N32" i="1"/>
  <c r="N104" i="1"/>
  <c r="O104" i="1" s="1"/>
  <c r="N92" i="1"/>
  <c r="O92" i="1" s="1"/>
  <c r="N41" i="1"/>
  <c r="O41" i="1"/>
  <c r="O53" i="1"/>
  <c r="N53" i="1"/>
  <c r="N83" i="1"/>
  <c r="O83" i="1"/>
  <c r="O7" i="1"/>
  <c r="N7" i="1"/>
  <c r="N55" i="1"/>
  <c r="O55" i="1"/>
  <c r="N23" i="1"/>
  <c r="O23" i="1" s="1"/>
  <c r="N71" i="1"/>
  <c r="O71" i="1"/>
  <c r="O69" i="1"/>
  <c r="N69" i="1"/>
  <c r="N31" i="1"/>
  <c r="O31" i="1" s="1"/>
  <c r="O89" i="1"/>
  <c r="N89" i="1"/>
  <c r="N40" i="1"/>
  <c r="O40" i="1" s="1"/>
  <c r="N94" i="1"/>
  <c r="O94" i="1" s="1"/>
  <c r="N56" i="1"/>
  <c r="O56" i="1" s="1"/>
  <c r="O44" i="1"/>
  <c r="N44" i="1"/>
  <c r="N43" i="1"/>
  <c r="O43" i="1"/>
  <c r="N19" i="1"/>
  <c r="O19" i="1" s="1"/>
  <c r="N24" i="1"/>
  <c r="O24" i="1"/>
  <c r="O22" i="1"/>
  <c r="N22" i="1"/>
  <c r="N20" i="1"/>
  <c r="O20" i="1" s="1"/>
  <c r="N52" i="1"/>
  <c r="O52" i="1" s="1"/>
  <c r="N61" i="1"/>
  <c r="O61" i="1"/>
  <c r="O73" i="1"/>
  <c r="N73" i="1"/>
  <c r="N63" i="1"/>
  <c r="O63" i="1" s="1"/>
  <c r="O45" i="1"/>
  <c r="N45" i="1"/>
  <c r="N80" i="1"/>
  <c r="O80" i="1" s="1"/>
  <c r="O93" i="1"/>
  <c r="N93" i="1"/>
  <c r="N13" i="1"/>
  <c r="O13" i="1"/>
  <c r="N96" i="1"/>
  <c r="O96" i="1" s="1"/>
  <c r="N58" i="1"/>
  <c r="O58" i="1" s="1"/>
  <c r="N9" i="1"/>
  <c r="O9" i="1" s="1"/>
  <c r="L34" i="1"/>
  <c r="M34" i="1"/>
  <c r="O5" i="1"/>
  <c r="N5" i="1"/>
  <c r="N77" i="1"/>
  <c r="O77" i="1"/>
  <c r="O103" i="1"/>
  <c r="N103" i="1"/>
  <c r="N106" i="1"/>
  <c r="O106" i="1" s="1"/>
  <c r="O109" i="1"/>
  <c r="N109" i="1"/>
  <c r="N100" i="1"/>
  <c r="O100" i="1"/>
  <c r="N66" i="1"/>
  <c r="O66" i="1" s="1"/>
  <c r="N15" i="1"/>
  <c r="O15" i="1"/>
  <c r="N60" i="1"/>
  <c r="O60" i="1" s="1"/>
  <c r="N11" i="1"/>
  <c r="O11" i="1"/>
  <c r="N33" i="1"/>
  <c r="O33" i="1" s="1"/>
  <c r="N49" i="1"/>
  <c r="O49" i="1"/>
  <c r="O38" i="1"/>
  <c r="N38" i="1"/>
  <c r="N86" i="1"/>
  <c r="O86" i="1" s="1"/>
  <c r="O105" i="1"/>
  <c r="N105" i="1"/>
  <c r="N47" i="1"/>
  <c r="O47" i="1" s="1"/>
  <c r="O65" i="1"/>
  <c r="N65" i="1"/>
  <c r="N28" i="1"/>
  <c r="O28" i="1" s="1"/>
  <c r="O34" i="1" l="1"/>
  <c r="N34" i="1"/>
</calcChain>
</file>

<file path=xl/sharedStrings.xml><?xml version="1.0" encoding="utf-8"?>
<sst xmlns="http://schemas.openxmlformats.org/spreadsheetml/2006/main" count="164" uniqueCount="144">
  <si>
    <t>Código</t>
  </si>
  <si>
    <t>Descripción</t>
  </si>
  <si>
    <t>EAN</t>
  </si>
  <si>
    <t>Kg. x Caja</t>
  </si>
  <si>
    <t>Cant. X Caja</t>
  </si>
  <si>
    <t>Precio de Lista</t>
  </si>
  <si>
    <t>Dcto</t>
  </si>
  <si>
    <t>Precio oferta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</si>
  <si>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</si>
  <si>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</si>
  <si>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</si>
  <si>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</si>
  <si>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</si>
  <si>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</si>
  <si>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</si>
  <si>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NOV</t>
  </si>
  <si>
    <t>OFERTAS Y ACCIONES</t>
  </si>
  <si>
    <t>SEP</t>
  </si>
  <si>
    <t>%</t>
  </si>
  <si>
    <t>HAMBURGUESAS 30x160g CLASICA x2 SWIFT</t>
  </si>
  <si>
    <t>5,67% de dcto adicional vía Flex. Para oferta $2.900 (Mup 33% dx , 42.5% min). VER CUPOS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</si>
  <si>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</si>
  <si>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</si>
  <si>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</si>
  <si>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</si>
  <si>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</si>
  <si>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</si>
  <si>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</si>
  <si>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</si>
  <si>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</si>
  <si>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COMPRA 19 ESTUCHES + 2 DE REGALO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</si>
  <si>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</si>
  <si>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</si>
  <si>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</si>
  <si>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Oferta a $4.700</t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</si>
  <si>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</si>
  <si>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</si>
  <si>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</si>
  <si>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</si>
  <si>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</si>
  <si>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</si>
  <si>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</si>
  <si>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</si>
  <si>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</si>
  <si>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</si>
  <si>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</si>
  <si>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</si>
  <si>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/>
  </si>
  <si>
    <t>OCT</t>
  </si>
  <si>
    <t>PATY VIENA</t>
  </si>
  <si>
    <t>VIENISSIMA</t>
  </si>
  <si>
    <t>PALADINI</t>
  </si>
  <si>
    <t>SALCHICHAS 24X6 SWIFT</t>
  </si>
  <si>
    <t>Compra 11 estuches + 1 de regalo ----&gt; OFERTA $2.100 público</t>
  </si>
  <si>
    <t>SALCHICHAS 12X12 SWIFT</t>
  </si>
  <si>
    <t>Conveniencia vs 22085: Oferta $3.990</t>
  </si>
  <si>
    <t>SALCHICHAS SIN PIEL 24X6 "SWIFT KIDS" X 190 g</t>
  </si>
  <si>
    <t>Oferta incluida en lista: $1.700</t>
  </si>
  <si>
    <t>PATY FUN</t>
  </si>
  <si>
    <t>SALCHICHAS  LARGAS  10 x 12  SWIFT  INSTITUCIONAL</t>
  </si>
  <si>
    <t>ICB</t>
  </si>
  <si>
    <t>PANCHIN</t>
  </si>
  <si>
    <t>fela</t>
  </si>
  <si>
    <t>SALCHICHAS SIN PIEL "LA BLANCA"  24X6X190 Grs;</t>
  </si>
  <si>
    <t>MISMO PX MES ANT</t>
  </si>
  <si>
    <t xml:space="preserve">SALCHICHAS LARGAS 10 x 12 x 870g  </t>
  </si>
  <si>
    <t>PATE DE FOIE 24X90G SWIFT</t>
  </si>
  <si>
    <t>PX 22058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</si>
  <si>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</si>
  <si>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</si>
  <si>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</si>
  <si>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</si>
  <si>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</si>
  <si>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</si>
  <si>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</si>
  <si>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</si>
  <si>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</si>
  <si>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</si>
  <si>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</si>
  <si>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</si>
  <si>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</si>
  <si>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</si>
  <si>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</si>
  <si>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</si>
  <si>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</si>
  <si>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Oferta neteada en lista $2.999</t>
  </si>
  <si>
    <t>MILANESAS DE  SOJA RELLENAS CON JAMON Y QUESO</t>
  </si>
  <si>
    <t>Oferta neteada en lista $3.950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</si>
  <si>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</si>
  <si>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</si>
  <si>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</si>
  <si>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</si>
  <si>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</si>
  <si>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CRUNCHIES DE POLLO "SWIFT" - 12x380g</t>
  </si>
  <si>
    <t>OFERTA INCORPORACION Compra 4 bolsa + 2 de regalo: 33% de dcto vía NC por cumplimiento mínimo de volumen. Si va en un solo pedido, pueder ir a px en factura. Objetivo informado en avance (por cliente, por sku)</t>
  </si>
  <si>
    <t>CRUNCHIES DE POLLO "SWIFT" - 10x760g</t>
  </si>
  <si>
    <t>Oferta incorporación 3x2</t>
  </si>
  <si>
    <t>LUCHETTI</t>
  </si>
  <si>
    <t>PATITAS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</si>
  <si>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</si>
  <si>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</si>
  <si>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</si>
  <si>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</si>
  <si>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</si>
  <si>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</si>
  <si>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</si>
  <si>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</si>
  <si>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</si>
  <si>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</si>
  <si>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</si>
  <si>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 xml:space="preserve">MILANESAS DE CARNE VACUNA CONG GRANEL 5 kg </t>
  </si>
  <si>
    <t>GRASA VACUNA REFINADA SWIFT 10 X 500</t>
  </si>
  <si>
    <t>Oferta a px en factura neteada en lista, para $2.830 público</t>
  </si>
  <si>
    <t>GRASA VACUNA REFINADA SWIFT 12x1Kg</t>
  </si>
  <si>
    <t>Oferta a px en factura neteada en lista, para $5.570 público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</si>
  <si>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</si>
  <si>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</si>
  <si>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</si>
  <si>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</si>
  <si>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</si>
  <si>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</si>
  <si>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</si>
  <si>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</si>
  <si>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CHORIZOS FRESCOS DE CERDO LIBRE DE GLUTEN</t>
  </si>
  <si>
    <t>VER CUPOS</t>
  </si>
  <si>
    <t>Con la compra de 1 caja de 21632 + 2 unidades de Chorizos --&gt; 10% de dcto en ambos SKU</t>
  </si>
  <si>
    <t>CHORIZOS FRESCOS DE CERDO CONGELADOS LIBRE DE GLUTEN 12u x 400g</t>
  </si>
  <si>
    <t>Dinámica 2+1. Compra 2, recibe 3 ----&gt; oferta $4.240 (para distribuidores, vía NC,  por cumplimiento de objetivo. Si compra en un solo pedido puede ir a px factura. Objetivo informado en avance por cliente, por sku)</t>
  </si>
  <si>
    <t>CHORIZOS CONGELADOS DE CERDO LIBRE DE GLUTEN SWIFT GRANEL: 8 paq x 20 u (2kg por paq)</t>
  </si>
  <si>
    <t>Dinámica 2+1. Compra 2, recibe 3 ----&gt; oferta $20.140 los 20 chori (2kg aprox) (para distribuidores, vía NC,  por cumplimiento de objetivo. Si compra en un solo pedido puede ir a px factura. Objetivo informado en avance por cliente, por sku)</t>
  </si>
  <si>
    <t>PAPAS PRE COCIDAS SUPERCONGELADAS LIBRES DE GLUTEN 700G</t>
  </si>
  <si>
    <t>OFERTA compra 7 bolsas , recibe 8.</t>
  </si>
  <si>
    <t>Con la compra de 1 caja de 21632 + 7 unidades de PAPAS --&gt; 10% de dcto en ambos SKU</t>
  </si>
  <si>
    <t>Papas Prefritas Supercongeladas libres de gluten 7u x 2 kg</t>
  </si>
  <si>
    <t>1 paq. Gratis x cj ---&gt; OFERTA $13.000. DCTO VÍA NC POR OBJETIVO DE 1 PALLET. SI LO COMPRA EN UN PEDIDO PUEDE IR A PRECIO</t>
  </si>
  <si>
    <t>NUGGETS DE ESPINACA 300GR</t>
  </si>
  <si>
    <t>Oferta a px en factura para $4.700 público</t>
  </si>
  <si>
    <t>Con la compra de 1 caja de 21632 + 1 unidades de cada veggie --&gt; 10% de dcto en 21632 Y 15% de dcto en veggies</t>
  </si>
  <si>
    <t>NUGGETS DE BRÓCOLI 300GR</t>
  </si>
  <si>
    <t>MEDALLÓN DE CALABAZA Y CHOCLO 300GR</t>
  </si>
  <si>
    <t>Oferta a px en factura para $4.100 público</t>
  </si>
  <si>
    <t>MEDALLÓN DE ESPINACA 300GR</t>
  </si>
  <si>
    <t>LOMO DE ATUN AL NATURAL SWIFT 170g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</si>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</sst>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#,##0.00_ ;[Red]\-#,##0.00\ "/>
    <numFmt numFmtId="165" formatCode="#,##0_ ;[Red]\-#,##0\ "/>
    <numFmt numFmtId="166" formatCode="_-&quot;$&quot;\ * #,##0_-;\-&quot;$&quot;\ * #,##0_-;_-&quot;$&quot;\ * &quot;-&quot;??_-;_-@_-"/>
    <numFmt numFmtId="167" formatCode="0.0%"/>
    <numFmt numFmtId="168" formatCode="#,##0.0_ ;[Red]\-#,##0.0\ "/>
    <numFmt numFmtId="169" formatCode="0.00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9"/>
      <color indexed="10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4" fillId="0" borderId="0"/>
  </cellStyleXfs>
  <cellXfs count="158">
    <xf numFmtId="0" fontId="0" fillId="0" borderId="0" xfId="0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0" fontId="5" fillId="2" borderId="1" xfId="3" applyFont="1" applyFill="1" applyBorder="1" applyAlignment="1">
      <alignment horizontal="center" vertical="distributed"/>
    </xf>
    <xf numFmtId="0" fontId="5" fillId="2" borderId="2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distributed"/>
    </xf>
    <xf numFmtId="2" fontId="5" fillId="2" borderId="2" xfId="3" applyNumberFormat="1" applyFont="1" applyFill="1" applyBorder="1" applyAlignment="1">
      <alignment horizontal="center" vertical="distributed"/>
    </xf>
    <xf numFmtId="0" fontId="5" fillId="2" borderId="2" xfId="3" applyFont="1" applyFill="1" applyBorder="1" applyAlignment="1">
      <alignment horizontal="center" vertical="center" wrapText="1"/>
    </xf>
    <xf numFmtId="1" fontId="5" fillId="2" borderId="3" xfId="3" applyNumberFormat="1" applyFont="1" applyFill="1" applyBorder="1" applyAlignment="1">
      <alignment horizontal="center" vertical="center" wrapText="1"/>
    </xf>
    <xf numFmtId="1" fontId="5" fillId="0" borderId="0" xfId="3" applyNumberFormat="1" applyFont="1" applyAlignment="1">
      <alignment horizontal="center" vertical="center" wrapText="1"/>
    </xf>
    <xf numFmtId="14" fontId="5" fillId="3" borderId="3" xfId="3" applyNumberFormat="1" applyFont="1" applyFill="1" applyBorder="1" applyAlignment="1">
      <alignment horizontal="center" vertical="center" wrapText="1"/>
    </xf>
    <xf numFmtId="0" fontId="6" fillId="4" borderId="4" xfId="3" applyFont="1" applyFill="1" applyBorder="1" applyAlignment="1" applyProtection="1">
      <alignment horizontal="center" vertical="center"/>
      <protection hidden="1"/>
    </xf>
    <xf numFmtId="0" fontId="6" fillId="4" borderId="5" xfId="3" applyFont="1" applyFill="1" applyBorder="1" applyAlignment="1" applyProtection="1">
      <alignment vertical="center"/>
      <protection hidden="1"/>
    </xf>
    <xf numFmtId="0" fontId="6" fillId="4" borderId="5" xfId="3" applyFont="1" applyFill="1" applyBorder="1" applyAlignment="1" applyProtection="1">
      <alignment horizontal="center" vertical="center"/>
      <protection hidden="1"/>
    </xf>
    <xf numFmtId="2" fontId="6" fillId="4" borderId="5" xfId="3" applyNumberFormat="1" applyFont="1" applyFill="1" applyBorder="1" applyAlignment="1" applyProtection="1">
      <alignment vertical="center"/>
      <protection hidden="1"/>
    </xf>
    <xf numFmtId="0" fontId="3" fillId="5" borderId="5" xfId="0" applyFont="1" applyFill="1" applyBorder="1"/>
    <xf numFmtId="9" fontId="3" fillId="5" borderId="5" xfId="0" applyNumberFormat="1" applyFont="1" applyFill="1" applyBorder="1"/>
    <xf numFmtId="1" fontId="3" fillId="5" borderId="6" xfId="0" applyNumberFormat="1" applyFont="1" applyFill="1" applyBorder="1"/>
    <xf numFmtId="0" fontId="7" fillId="6" borderId="7" xfId="4" applyFont="1" applyFill="1" applyBorder="1" applyAlignment="1">
      <alignment horizontal="center"/>
    </xf>
    <xf numFmtId="0" fontId="7" fillId="6" borderId="8" xfId="4" applyFont="1" applyFill="1" applyBorder="1"/>
    <xf numFmtId="1" fontId="7" fillId="6" borderId="8" xfId="3" applyNumberFormat="1" applyFont="1" applyFill="1" applyBorder="1" applyAlignment="1">
      <alignment horizontal="center"/>
    </xf>
    <xf numFmtId="164" fontId="6" fillId="6" borderId="8" xfId="3" applyNumberFormat="1" applyFont="1" applyFill="1" applyBorder="1" applyAlignment="1">
      <alignment horizontal="center"/>
    </xf>
    <xf numFmtId="165" fontId="6" fillId="6" borderId="8" xfId="3" applyNumberFormat="1" applyFont="1" applyFill="1" applyBorder="1" applyAlignment="1">
      <alignment horizontal="center"/>
    </xf>
    <xf numFmtId="2" fontId="7" fillId="6" borderId="8" xfId="3" applyNumberFormat="1" applyFont="1" applyFill="1" applyBorder="1" applyAlignment="1">
      <alignment horizontal="center"/>
    </xf>
    <xf numFmtId="10" fontId="6" fillId="6" borderId="8" xfId="2" applyNumberFormat="1" applyFont="1" applyFill="1" applyBorder="1" applyAlignment="1">
      <alignment horizontal="center"/>
    </xf>
    <xf numFmtId="1" fontId="7" fillId="6" borderId="9" xfId="3" applyNumberFormat="1" applyFont="1" applyFill="1" applyBorder="1" applyAlignment="1">
      <alignment horizontal="center"/>
    </xf>
    <xf numFmtId="9" fontId="8" fillId="0" borderId="0" xfId="2" applyFont="1" applyAlignment="1">
      <alignment horizontal="center"/>
    </xf>
    <xf numFmtId="1" fontId="7" fillId="0" borderId="9" xfId="3" applyNumberFormat="1" applyFont="1" applyBorder="1" applyAlignment="1">
      <alignment horizontal="center"/>
    </xf>
    <xf numFmtId="0" fontId="0" fillId="6" borderId="0" xfId="0" applyFill="1"/>
    <xf numFmtId="0" fontId="7" fillId="7" borderId="7" xfId="4" applyFont="1" applyFill="1" applyBorder="1" applyAlignment="1">
      <alignment horizontal="center"/>
    </xf>
    <xf numFmtId="2" fontId="7" fillId="8" borderId="8" xfId="3" applyNumberFormat="1" applyFont="1" applyFill="1" applyBorder="1" applyAlignment="1">
      <alignment horizontal="center"/>
    </xf>
    <xf numFmtId="9" fontId="0" fillId="0" borderId="0" xfId="2" applyFont="1"/>
    <xf numFmtId="0" fontId="7" fillId="0" borderId="7" xfId="4" applyFont="1" applyFill="1" applyBorder="1" applyAlignment="1">
      <alignment horizontal="center"/>
    </xf>
    <xf numFmtId="0" fontId="7" fillId="0" borderId="8" xfId="4" applyFont="1" applyBorder="1"/>
    <xf numFmtId="1" fontId="7" fillId="0" borderId="8" xfId="3" applyNumberFormat="1" applyFont="1" applyBorder="1" applyAlignment="1">
      <alignment horizontal="center"/>
    </xf>
    <xf numFmtId="164" fontId="6" fillId="0" borderId="8" xfId="3" applyNumberFormat="1" applyFont="1" applyBorder="1" applyAlignment="1">
      <alignment horizontal="center"/>
    </xf>
    <xf numFmtId="165" fontId="6" fillId="0" borderId="8" xfId="3" applyNumberFormat="1" applyFont="1" applyBorder="1" applyAlignment="1">
      <alignment horizontal="center"/>
    </xf>
    <xf numFmtId="2" fontId="7" fillId="0" borderId="8" xfId="3" applyNumberFormat="1" applyFont="1" applyBorder="1" applyAlignment="1">
      <alignment horizontal="center"/>
    </xf>
    <xf numFmtId="0" fontId="7" fillId="0" borderId="7" xfId="3" applyFont="1" applyBorder="1" applyAlignment="1">
      <alignment horizontal="center"/>
    </xf>
    <xf numFmtId="0" fontId="7" fillId="0" borderId="8" xfId="3" applyFont="1" applyBorder="1" applyAlignment="1">
      <alignment horizontal="left"/>
    </xf>
    <xf numFmtId="0" fontId="6" fillId="7" borderId="7" xfId="3" applyFont="1" applyFill="1" applyBorder="1" applyAlignment="1">
      <alignment horizontal="center"/>
    </xf>
    <xf numFmtId="9" fontId="9" fillId="0" borderId="8" xfId="2" applyFont="1" applyFill="1" applyBorder="1" applyAlignment="1">
      <alignment horizontal="center"/>
    </xf>
    <xf numFmtId="0" fontId="7" fillId="7" borderId="7" xfId="3" applyFont="1" applyFill="1" applyBorder="1" applyAlignment="1">
      <alignment horizontal="center"/>
    </xf>
    <xf numFmtId="9" fontId="9" fillId="0" borderId="8" xfId="2" applyFont="1" applyBorder="1" applyAlignment="1">
      <alignment horizontal="center"/>
    </xf>
    <xf numFmtId="2" fontId="8" fillId="0" borderId="0" xfId="3" applyNumberFormat="1" applyFont="1" applyAlignment="1">
      <alignment horizontal="left"/>
    </xf>
    <xf numFmtId="0" fontId="7" fillId="6" borderId="7" xfId="3" applyFont="1" applyFill="1" applyBorder="1" applyAlignment="1">
      <alignment horizontal="center"/>
    </xf>
    <xf numFmtId="0" fontId="7" fillId="6" borderId="8" xfId="3" applyFont="1" applyFill="1" applyBorder="1" applyAlignment="1">
      <alignment horizontal="left"/>
    </xf>
    <xf numFmtId="10" fontId="9" fillId="6" borderId="8" xfId="2" applyNumberFormat="1" applyFont="1" applyFill="1" applyBorder="1" applyAlignment="1">
      <alignment horizontal="center"/>
    </xf>
    <xf numFmtId="2" fontId="8" fillId="6" borderId="0" xfId="3" applyNumberFormat="1" applyFont="1" applyFill="1" applyAlignment="1">
      <alignment horizontal="left"/>
    </xf>
    <xf numFmtId="2" fontId="7" fillId="9" borderId="8" xfId="3" applyNumberFormat="1" applyFont="1" applyFill="1" applyBorder="1" applyAlignment="1">
      <alignment horizontal="center"/>
    </xf>
    <xf numFmtId="0" fontId="7" fillId="0" borderId="8" xfId="4" applyFont="1" applyFill="1" applyBorder="1"/>
    <xf numFmtId="1" fontId="7" fillId="0" borderId="8" xfId="4" applyNumberFormat="1" applyFont="1" applyFill="1" applyBorder="1" applyAlignment="1">
      <alignment horizontal="center"/>
    </xf>
    <xf numFmtId="0" fontId="6" fillId="4" borderId="7" xfId="3" applyFont="1" applyFill="1" applyBorder="1" applyAlignment="1" applyProtection="1">
      <alignment horizontal="center" vertical="center"/>
      <protection hidden="1"/>
    </xf>
    <xf numFmtId="0" fontId="6" fillId="4" borderId="8" xfId="3" applyFont="1" applyFill="1" applyBorder="1" applyAlignment="1" applyProtection="1">
      <alignment vertical="center"/>
      <protection hidden="1"/>
    </xf>
    <xf numFmtId="0" fontId="6" fillId="4" borderId="8" xfId="3" applyFont="1" applyFill="1" applyBorder="1" applyAlignment="1" applyProtection="1">
      <alignment horizontal="center" vertical="center"/>
      <protection hidden="1"/>
    </xf>
    <xf numFmtId="165" fontId="6" fillId="4" borderId="8" xfId="3" applyNumberFormat="1" applyFont="1" applyFill="1" applyBorder="1" applyAlignment="1" applyProtection="1">
      <alignment vertical="center"/>
      <protection hidden="1"/>
    </xf>
    <xf numFmtId="2" fontId="7" fillId="4" borderId="8" xfId="3" applyNumberFormat="1" applyFont="1" applyFill="1" applyBorder="1" applyAlignment="1" applyProtection="1">
      <alignment vertical="center"/>
      <protection hidden="1"/>
    </xf>
    <xf numFmtId="0" fontId="3" fillId="5" borderId="8" xfId="0" applyFont="1" applyFill="1" applyBorder="1"/>
    <xf numFmtId="9" fontId="3" fillId="5" borderId="8" xfId="0" applyNumberFormat="1" applyFont="1" applyFill="1" applyBorder="1"/>
    <xf numFmtId="1" fontId="3" fillId="5" borderId="9" xfId="0" applyNumberFormat="1" applyFont="1" applyFill="1" applyBorder="1"/>
    <xf numFmtId="9" fontId="6" fillId="6" borderId="8" xfId="2" applyFont="1" applyFill="1" applyBorder="1" applyAlignment="1">
      <alignment horizontal="center"/>
    </xf>
    <xf numFmtId="0" fontId="2" fillId="0" borderId="0" xfId="0" applyFont="1"/>
    <xf numFmtId="44" fontId="0" fillId="0" borderId="0" xfId="1" applyFont="1" applyBorder="1"/>
    <xf numFmtId="166" fontId="0" fillId="0" borderId="0" xfId="1" applyNumberFormat="1" applyFont="1" applyBorder="1"/>
    <xf numFmtId="9" fontId="6" fillId="0" borderId="8" xfId="2" applyFont="1" applyFill="1" applyBorder="1" applyAlignment="1">
      <alignment horizontal="center"/>
    </xf>
    <xf numFmtId="2" fontId="3" fillId="0" borderId="8" xfId="3" applyNumberFormat="1" applyFont="1" applyBorder="1" applyAlignment="1">
      <alignment horizontal="center"/>
    </xf>
    <xf numFmtId="2" fontId="0" fillId="0" borderId="0" xfId="0" applyNumberFormat="1"/>
    <xf numFmtId="0" fontId="7" fillId="0" borderId="8" xfId="3" applyFont="1" applyBorder="1" applyAlignment="1">
      <alignment horizontal="center"/>
    </xf>
    <xf numFmtId="0" fontId="10" fillId="0" borderId="0" xfId="0" applyFont="1"/>
    <xf numFmtId="0" fontId="7" fillId="6" borderId="8" xfId="3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167" fontId="6" fillId="6" borderId="8" xfId="2" applyNumberFormat="1" applyFont="1" applyFill="1" applyBorder="1" applyAlignment="1">
      <alignment horizontal="center"/>
    </xf>
    <xf numFmtId="10" fontId="6" fillId="4" borderId="8" xfId="3" applyNumberFormat="1" applyFont="1" applyFill="1" applyBorder="1" applyAlignment="1" applyProtection="1">
      <alignment vertical="center"/>
      <protection hidden="1"/>
    </xf>
    <xf numFmtId="10" fontId="6" fillId="0" borderId="8" xfId="3" applyNumberFormat="1" applyFont="1" applyBorder="1" applyAlignment="1">
      <alignment horizontal="center"/>
    </xf>
    <xf numFmtId="0" fontId="11" fillId="0" borderId="7" xfId="3" applyFont="1" applyBorder="1" applyAlignment="1">
      <alignment horizontal="center"/>
    </xf>
    <xf numFmtId="2" fontId="11" fillId="0" borderId="8" xfId="3" applyNumberFormat="1" applyFont="1" applyBorder="1" applyAlignment="1">
      <alignment horizontal="center"/>
    </xf>
    <xf numFmtId="10" fontId="6" fillId="0" borderId="8" xfId="2" applyNumberFormat="1" applyFont="1" applyFill="1" applyBorder="1" applyAlignment="1">
      <alignment horizontal="center"/>
    </xf>
    <xf numFmtId="0" fontId="12" fillId="0" borderId="7" xfId="3" applyFont="1" applyBorder="1" applyAlignment="1">
      <alignment horizontal="center"/>
    </xf>
    <xf numFmtId="2" fontId="7" fillId="0" borderId="9" xfId="3" applyNumberFormat="1" applyFont="1" applyBorder="1" applyAlignment="1">
      <alignment horizontal="center"/>
    </xf>
    <xf numFmtId="0" fontId="12" fillId="0" borderId="8" xfId="3" applyFont="1" applyBorder="1" applyAlignment="1">
      <alignment horizontal="center"/>
    </xf>
    <xf numFmtId="0" fontId="12" fillId="0" borderId="8" xfId="3" applyFont="1" applyBorder="1" applyAlignment="1">
      <alignment horizontal="left"/>
    </xf>
    <xf numFmtId="1" fontId="12" fillId="0" borderId="8" xfId="3" applyNumberFormat="1" applyFont="1" applyBorder="1" applyAlignment="1">
      <alignment horizontal="center"/>
    </xf>
    <xf numFmtId="164" fontId="13" fillId="0" borderId="8" xfId="3" applyNumberFormat="1" applyFont="1" applyBorder="1" applyAlignment="1">
      <alignment horizontal="center"/>
    </xf>
    <xf numFmtId="165" fontId="13" fillId="0" borderId="8" xfId="3" applyNumberFormat="1" applyFont="1" applyBorder="1" applyAlignment="1">
      <alignment horizontal="center"/>
    </xf>
    <xf numFmtId="2" fontId="12" fillId="0" borderId="8" xfId="3" applyNumberFormat="1" applyFont="1" applyBorder="1" applyAlignment="1">
      <alignment horizontal="center"/>
    </xf>
    <xf numFmtId="10" fontId="13" fillId="0" borderId="8" xfId="3" applyNumberFormat="1" applyFont="1" applyBorder="1" applyAlignment="1">
      <alignment horizontal="center"/>
    </xf>
    <xf numFmtId="1" fontId="12" fillId="0" borderId="9" xfId="3" applyNumberFormat="1" applyFont="1" applyBorder="1" applyAlignment="1">
      <alignment horizontal="center"/>
    </xf>
    <xf numFmtId="0" fontId="12" fillId="6" borderId="8" xfId="3" applyFont="1" applyFill="1" applyBorder="1" applyAlignment="1">
      <alignment horizontal="center"/>
    </xf>
    <xf numFmtId="0" fontId="12" fillId="6" borderId="8" xfId="3" applyFont="1" applyFill="1" applyBorder="1" applyAlignment="1">
      <alignment horizontal="left"/>
    </xf>
    <xf numFmtId="0" fontId="6" fillId="4" borderId="10" xfId="3" applyFont="1" applyFill="1" applyBorder="1" applyAlignment="1" applyProtection="1">
      <alignment horizontal="center" vertical="center"/>
      <protection hidden="1"/>
    </xf>
    <xf numFmtId="0" fontId="7" fillId="0" borderId="11" xfId="3" applyFont="1" applyBorder="1" applyAlignment="1">
      <alignment horizontal="center"/>
    </xf>
    <xf numFmtId="1" fontId="12" fillId="0" borderId="8" xfId="3" applyNumberFormat="1" applyFont="1" applyBorder="1" applyAlignment="1">
      <alignment horizontal="left"/>
    </xf>
    <xf numFmtId="0" fontId="7" fillId="0" borderId="12" xfId="3" applyFont="1" applyBorder="1" applyAlignment="1">
      <alignment horizontal="center"/>
    </xf>
    <xf numFmtId="0" fontId="6" fillId="4" borderId="13" xfId="3" applyFont="1" applyFill="1" applyBorder="1" applyAlignment="1" applyProtection="1">
      <alignment vertical="center"/>
      <protection hidden="1"/>
    </xf>
    <xf numFmtId="0" fontId="6" fillId="4" borderId="13" xfId="3" applyFont="1" applyFill="1" applyBorder="1" applyAlignment="1" applyProtection="1">
      <alignment horizontal="center" vertical="center"/>
      <protection hidden="1"/>
    </xf>
    <xf numFmtId="165" fontId="6" fillId="4" borderId="13" xfId="3" applyNumberFormat="1" applyFont="1" applyFill="1" applyBorder="1" applyAlignment="1" applyProtection="1">
      <alignment vertical="center"/>
      <protection hidden="1"/>
    </xf>
    <xf numFmtId="2" fontId="7" fillId="4" borderId="13" xfId="3" applyNumberFormat="1" applyFont="1" applyFill="1" applyBorder="1" applyAlignment="1" applyProtection="1">
      <alignment vertical="center"/>
      <protection hidden="1"/>
    </xf>
    <xf numFmtId="10" fontId="6" fillId="4" borderId="13" xfId="3" applyNumberFormat="1" applyFont="1" applyFill="1" applyBorder="1" applyAlignment="1" applyProtection="1">
      <alignment vertical="center"/>
      <protection hidden="1"/>
    </xf>
    <xf numFmtId="1" fontId="7" fillId="4" borderId="14" xfId="3" applyNumberFormat="1" applyFont="1" applyFill="1" applyBorder="1" applyAlignment="1" applyProtection="1">
      <alignment vertical="center"/>
      <protection hidden="1"/>
    </xf>
    <xf numFmtId="0" fontId="6" fillId="4" borderId="15" xfId="3" applyFont="1" applyFill="1" applyBorder="1" applyAlignment="1" applyProtection="1">
      <alignment horizontal="center" vertical="center"/>
      <protection hidden="1"/>
    </xf>
    <xf numFmtId="0" fontId="7" fillId="0" borderId="16" xfId="3" applyFont="1" applyBorder="1" applyAlignment="1">
      <alignment horizontal="left"/>
    </xf>
    <xf numFmtId="1" fontId="12" fillId="0" borderId="17" xfId="3" applyNumberFormat="1" applyFont="1" applyBorder="1" applyAlignment="1">
      <alignment horizontal="left"/>
    </xf>
    <xf numFmtId="164" fontId="6" fillId="0" borderId="16" xfId="3" applyNumberFormat="1" applyFont="1" applyBorder="1" applyAlignment="1">
      <alignment horizontal="center"/>
    </xf>
    <xf numFmtId="165" fontId="6" fillId="0" borderId="16" xfId="3" applyNumberFormat="1" applyFont="1" applyBorder="1" applyAlignment="1">
      <alignment horizontal="center"/>
    </xf>
    <xf numFmtId="2" fontId="7" fillId="0" borderId="16" xfId="3" applyNumberFormat="1" applyFont="1" applyBorder="1" applyAlignment="1">
      <alignment horizontal="center"/>
    </xf>
    <xf numFmtId="10" fontId="6" fillId="0" borderId="16" xfId="3" applyNumberFormat="1" applyFont="1" applyBorder="1" applyAlignment="1">
      <alignment horizontal="center"/>
    </xf>
    <xf numFmtId="1" fontId="7" fillId="0" borderId="18" xfId="3" applyNumberFormat="1" applyFont="1" applyBorder="1" applyAlignment="1">
      <alignment horizontal="center"/>
    </xf>
    <xf numFmtId="0" fontId="14" fillId="0" borderId="11" xfId="5" applyFont="1" applyBorder="1" applyAlignment="1">
      <alignment horizontal="center"/>
    </xf>
    <xf numFmtId="1" fontId="12" fillId="0" borderId="19" xfId="3" applyNumberFormat="1" applyFont="1" applyBorder="1" applyAlignment="1">
      <alignment horizontal="left"/>
    </xf>
    <xf numFmtId="0" fontId="14" fillId="0" borderId="12" xfId="5" applyFont="1" applyBorder="1" applyAlignment="1">
      <alignment horizontal="center"/>
    </xf>
    <xf numFmtId="0" fontId="7" fillId="0" borderId="20" xfId="3" applyFont="1" applyBorder="1" applyAlignment="1">
      <alignment horizontal="left"/>
    </xf>
    <xf numFmtId="1" fontId="12" fillId="0" borderId="21" xfId="3" applyNumberFormat="1" applyFont="1" applyBorder="1" applyAlignment="1">
      <alignment horizontal="left"/>
    </xf>
    <xf numFmtId="164" fontId="6" fillId="0" borderId="20" xfId="3" applyNumberFormat="1" applyFont="1" applyBorder="1" applyAlignment="1">
      <alignment horizontal="center"/>
    </xf>
    <xf numFmtId="165" fontId="6" fillId="0" borderId="20" xfId="3" applyNumberFormat="1" applyFont="1" applyBorder="1" applyAlignment="1">
      <alignment horizontal="center"/>
    </xf>
    <xf numFmtId="2" fontId="7" fillId="0" borderId="20" xfId="3" applyNumberFormat="1" applyFont="1" applyBorder="1" applyAlignment="1">
      <alignment horizontal="center"/>
    </xf>
    <xf numFmtId="10" fontId="6" fillId="0" borderId="20" xfId="3" applyNumberFormat="1" applyFont="1" applyBorder="1" applyAlignment="1">
      <alignment horizontal="center"/>
    </xf>
    <xf numFmtId="1" fontId="7" fillId="0" borderId="22" xfId="3" applyNumberFormat="1" applyFont="1" applyBorder="1" applyAlignment="1">
      <alignment horizontal="center"/>
    </xf>
    <xf numFmtId="0" fontId="6" fillId="4" borderId="23" xfId="3" applyFont="1" applyFill="1" applyBorder="1" applyAlignment="1" applyProtection="1">
      <alignment vertical="center"/>
      <protection hidden="1"/>
    </xf>
    <xf numFmtId="0" fontId="6" fillId="4" borderId="23" xfId="3" applyFont="1" applyFill="1" applyBorder="1" applyAlignment="1" applyProtection="1">
      <alignment horizontal="center" vertical="center"/>
      <protection hidden="1"/>
    </xf>
    <xf numFmtId="165" fontId="6" fillId="4" borderId="23" xfId="3" applyNumberFormat="1" applyFont="1" applyFill="1" applyBorder="1" applyAlignment="1" applyProtection="1">
      <alignment vertical="center"/>
      <protection hidden="1"/>
    </xf>
    <xf numFmtId="2" fontId="7" fillId="4" borderId="23" xfId="3" applyNumberFormat="1" applyFont="1" applyFill="1" applyBorder="1" applyAlignment="1" applyProtection="1">
      <alignment vertical="center"/>
      <protection hidden="1"/>
    </xf>
    <xf numFmtId="10" fontId="6" fillId="4" borderId="23" xfId="3" applyNumberFormat="1" applyFont="1" applyFill="1" applyBorder="1" applyAlignment="1" applyProtection="1">
      <alignment vertical="center"/>
      <protection hidden="1"/>
    </xf>
    <xf numFmtId="1" fontId="7" fillId="4" borderId="24" xfId="3" applyNumberFormat="1" applyFont="1" applyFill="1" applyBorder="1" applyAlignment="1" applyProtection="1">
      <alignment vertical="center"/>
      <protection hidden="1"/>
    </xf>
    <xf numFmtId="0" fontId="14" fillId="6" borderId="11" xfId="5" applyFont="1" applyFill="1" applyBorder="1" applyAlignment="1">
      <alignment horizontal="center"/>
    </xf>
    <xf numFmtId="0" fontId="14" fillId="6" borderId="16" xfId="5" applyFont="1" applyFill="1" applyBorder="1"/>
    <xf numFmtId="1" fontId="12" fillId="6" borderId="17" xfId="3" applyNumberFormat="1" applyFont="1" applyFill="1" applyBorder="1" applyAlignment="1">
      <alignment horizontal="left"/>
    </xf>
    <xf numFmtId="0" fontId="15" fillId="6" borderId="16" xfId="5" applyFont="1" applyFill="1" applyBorder="1"/>
    <xf numFmtId="2" fontId="7" fillId="6" borderId="16" xfId="3" applyNumberFormat="1" applyFont="1" applyFill="1" applyBorder="1" applyAlignment="1">
      <alignment horizontal="center"/>
    </xf>
    <xf numFmtId="1" fontId="7" fillId="6" borderId="18" xfId="3" applyNumberFormat="1" applyFont="1" applyFill="1" applyBorder="1" applyAlignment="1">
      <alignment horizontal="center"/>
    </xf>
    <xf numFmtId="0" fontId="14" fillId="6" borderId="12" xfId="5" applyFont="1" applyFill="1" applyBorder="1" applyAlignment="1">
      <alignment horizontal="center"/>
    </xf>
    <xf numFmtId="0" fontId="14" fillId="6" borderId="20" xfId="5" applyFont="1" applyFill="1" applyBorder="1"/>
    <xf numFmtId="1" fontId="12" fillId="6" borderId="21" xfId="3" applyNumberFormat="1" applyFont="1" applyFill="1" applyBorder="1" applyAlignment="1">
      <alignment horizontal="left"/>
    </xf>
    <xf numFmtId="0" fontId="15" fillId="6" borderId="20" xfId="5" applyFont="1" applyFill="1" applyBorder="1"/>
    <xf numFmtId="2" fontId="7" fillId="6" borderId="20" xfId="3" applyNumberFormat="1" applyFont="1" applyFill="1" applyBorder="1" applyAlignment="1">
      <alignment horizontal="center"/>
    </xf>
    <xf numFmtId="1" fontId="7" fillId="6" borderId="22" xfId="3" applyNumberFormat="1" applyFont="1" applyFill="1" applyBorder="1" applyAlignment="1">
      <alignment horizontal="center"/>
    </xf>
    <xf numFmtId="10" fontId="7" fillId="4" borderId="23" xfId="2" applyNumberFormat="1" applyFont="1" applyFill="1" applyBorder="1" applyAlignment="1" applyProtection="1">
      <alignment vertical="center"/>
      <protection hidden="1"/>
    </xf>
    <xf numFmtId="10" fontId="7" fillId="4" borderId="24" xfId="2" applyNumberFormat="1" applyFont="1" applyFill="1" applyBorder="1" applyAlignment="1" applyProtection="1">
      <alignment vertical="center"/>
      <protection hidden="1"/>
    </xf>
    <xf numFmtId="0" fontId="7" fillId="0" borderId="15" xfId="3" applyFont="1" applyBorder="1" applyAlignment="1">
      <alignment horizontal="center"/>
    </xf>
    <xf numFmtId="0" fontId="7" fillId="0" borderId="23" xfId="3" applyFont="1" applyBorder="1" applyAlignment="1">
      <alignment horizontal="left"/>
    </xf>
    <xf numFmtId="1" fontId="7" fillId="0" borderId="23" xfId="3" applyNumberFormat="1" applyFont="1" applyBorder="1" applyAlignment="1">
      <alignment horizontal="center"/>
    </xf>
    <xf numFmtId="168" fontId="6" fillId="0" borderId="8" xfId="3" applyNumberFormat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0" xfId="2" applyFont="1" applyAlignment="1">
      <alignment horizontal="center"/>
    </xf>
    <xf numFmtId="1" fontId="12" fillId="6" borderId="8" xfId="3" applyNumberFormat="1" applyFont="1" applyFill="1" applyBorder="1" applyAlignment="1">
      <alignment horizontal="center"/>
    </xf>
    <xf numFmtId="168" fontId="6" fillId="6" borderId="8" xfId="3" applyNumberFormat="1" applyFont="1" applyFill="1" applyBorder="1" applyAlignment="1">
      <alignment horizontal="center"/>
    </xf>
    <xf numFmtId="10" fontId="6" fillId="6" borderId="8" xfId="3" applyNumberFormat="1" applyFont="1" applyFill="1" applyBorder="1" applyAlignment="1">
      <alignment horizontal="center"/>
    </xf>
    <xf numFmtId="0" fontId="9" fillId="0" borderId="0" xfId="0" applyFont="1"/>
    <xf numFmtId="2" fontId="7" fillId="0" borderId="23" xfId="3" applyNumberFormat="1" applyFont="1" applyBorder="1" applyAlignment="1">
      <alignment horizontal="center"/>
    </xf>
    <xf numFmtId="169" fontId="6" fillId="6" borderId="8" xfId="2" applyNumberFormat="1" applyFont="1" applyFill="1" applyBorder="1" applyAlignment="1">
      <alignment horizontal="center"/>
    </xf>
    <xf numFmtId="10" fontId="2" fillId="6" borderId="0" xfId="0" applyNumberFormat="1" applyFont="1" applyFill="1" applyAlignment="1">
      <alignment horizontal="center"/>
    </xf>
    <xf numFmtId="0" fontId="2" fillId="6" borderId="0" xfId="0" applyFont="1" applyFill="1"/>
    <xf numFmtId="0" fontId="12" fillId="0" borderId="25" xfId="3" applyFont="1" applyBorder="1" applyAlignment="1">
      <alignment horizontal="center"/>
    </xf>
    <xf numFmtId="167" fontId="2" fillId="6" borderId="8" xfId="2" applyNumberFormat="1" applyFont="1" applyFill="1" applyBorder="1" applyAlignment="1">
      <alignment horizontal="center"/>
    </xf>
    <xf numFmtId="9" fontId="6" fillId="4" borderId="23" xfId="3" applyNumberFormat="1" applyFont="1" applyFill="1" applyBorder="1" applyAlignment="1" applyProtection="1">
      <alignment vertical="center"/>
      <protection hidden="1"/>
    </xf>
    <xf numFmtId="1" fontId="0" fillId="0" borderId="0" xfId="0" applyNumberFormat="1"/>
    <xf numFmtId="10" fontId="7" fillId="6" borderId="8" xfId="3" applyNumberFormat="1" applyFont="1" applyFill="1" applyBorder="1" applyAlignment="1">
      <alignment horizontal="center"/>
    </xf>
  </cellXfs>
  <cellStyles count="6">
    <cellStyle name="Moneda" xfId="1" builtinId="4"/>
    <cellStyle name="Normal" xfId="0" builtinId="0"/>
    <cellStyle name="Normal 3" xfId="4" xr:uid="{E5BD41E3-8D6D-47FA-A319-E83F9D19AF01}"/>
    <cellStyle name="Normal_ARQUITECTURA DE PRECIOS 1 0" xfId="3" xr:uid="{22B90E6A-0DAA-494B-8DD4-A7C8461046C1}"/>
    <cellStyle name="Normal_Precio públicos al 01-03" xfId="5" xr:uid="{BCF39D95-A295-4A83-BF2D-1E36B76AC74D}"/>
    <cellStyle name="Porcentaje" xfId="2" builtinId="5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2252-A431-4691-8EEC-B68D83B75F26}">
  <dimension ref="A1:GF110"/>
  <sheetViews>
    <sheetView tabSelected="1" topLeftCell="A95" workbookViewId="0">
      <selection activeCell="G101" sqref="G101"/>
    </sheetView>
  </sheetViews>
  <sheetFormatPr baseColWidth="10" defaultColWidth="11.42578125" defaultRowHeight="15" outlineLevelCol="1" x14ac:dyDescent="0.25"/>
  <cols>
    <col min="1" max="1" width="11" customWidth="1" collapsed="1"/>
    <col min="2" max="2" width="36.140625" customWidth="1"/>
    <col min="3" max="3" width="14.140625" customWidth="1"/>
    <col min="4" max="4" width="7.85546875" bestFit="1" customWidth="1"/>
    <col min="5" max="5" width="6" customWidth="1"/>
    <col min="6" max="6" width="9.42578125" style="67" customWidth="1"/>
    <col min="7" max="7" width="8.5703125" customWidth="1"/>
    <col min="8" max="8" width="9.42578125" style="67" customWidth="1"/>
    <col min="9" max="9" width="10.140625" customWidth="1"/>
    <col min="10" max="14" width="9.140625" customWidth="1"/>
    <col min="15" max="15" width="10.140625" style="156" customWidth="1"/>
    <col min="16" max="16" width="8" style="156" hidden="1" customWidth="1"/>
    <col min="17" max="17" width="10" style="1" hidden="1" customWidth="1"/>
    <col min="18" max="18" width="6.42578125" customWidth="1"/>
    <col min="19" max="19" width="118.140625" bestFit="1" customWidth="1"/>
    <col min="20" max="20" width="11.5703125" bestFit="1" customWidth="1"/>
    <col min="21" max="22" width="10.5703125" bestFit="1" customWidth="1"/>
    <col min="23" max="23" width="10.42578125" bestFit="1" customWidth="1"/>
    <col min="24" max="24" width="102.140625" bestFit="1" customWidth="1"/>
    <col min="25" max="25" width="14.140625" customWidth="1"/>
    <col min="26" max="26" width="14.85546875" customWidth="1"/>
    <col min="27" max="27" width="10.85546875" customWidth="1"/>
    <col min="28" max="29" width="10.42578125" customWidth="1"/>
    <col min="30" max="30" width="8.85546875" customWidth="1"/>
    <col min="31" max="31" width="1.85546875" customWidth="1"/>
    <col min="32" max="32" width="8" hidden="1" customWidth="1"/>
    <col min="33" max="33" width="7.140625" hidden="1" customWidth="1"/>
    <col min="34" max="34" width="2.85546875" hidden="1" customWidth="1"/>
    <col min="35" max="35" width="11.42578125" hidden="1" customWidth="1"/>
    <col min="36" max="36" width="4" hidden="1" customWidth="1"/>
    <col min="37" max="39" width="11.42578125" hidden="1" customWidth="1"/>
    <col min="40" max="40" width="8.5703125" hidden="1" customWidth="1"/>
    <col min="42" max="42" width="10.140625" customWidth="1"/>
    <col min="44" max="44" width="10.140625" bestFit="1" customWidth="1"/>
    <col min="46" max="46" width="10.140625" bestFit="1" customWidth="1"/>
    <col min="48" max="48" width="10.140625" customWidth="1"/>
    <col min="50" max="50" width="10.140625" customWidth="1"/>
    <col min="52" max="52" width="10.140625" customWidth="1"/>
    <col min="54" max="54" width="10.140625" customWidth="1"/>
    <col min="56" max="56" width="10.140625" customWidth="1"/>
    <col min="58" max="58" width="10.140625" customWidth="1"/>
    <col min="60" max="60" width="10.140625" customWidth="1"/>
    <col min="62" max="62" width="9.140625" customWidth="1"/>
    <col min="70" max="70" width="9.140625" customWidth="1"/>
    <col min="72" max="72" width="9.140625" customWidth="1"/>
    <col min="74" max="74" width="9.140625" customWidth="1"/>
    <col min="76" max="76" width="9.140625" customWidth="1"/>
    <col min="78" max="78" width="9.140625" customWidth="1"/>
    <col min="80" max="80" width="10" customWidth="1"/>
    <col min="82" max="82" width="10" customWidth="1"/>
    <col min="84" max="84" width="10" customWidth="1"/>
    <col min="86" max="86" width="10" customWidth="1"/>
    <col min="88" max="88" width="9.140625" customWidth="1"/>
    <col min="90" max="90" width="11.5703125" customWidth="1"/>
    <col min="91" max="91" width="3.42578125" customWidth="1"/>
    <col min="92" max="92" width="11.5703125" customWidth="1"/>
    <col min="93" max="93" width="2.85546875" customWidth="1"/>
    <col min="94" max="94" width="11.5703125" customWidth="1"/>
    <col min="95" max="95" width="3.42578125" customWidth="1"/>
    <col min="96" max="96" width="11.5703125" customWidth="1"/>
    <col min="97" max="97" width="3.42578125" customWidth="1"/>
    <col min="98" max="98" width="11.5703125" customWidth="1"/>
    <col min="99" max="99" width="3.42578125" customWidth="1"/>
    <col min="100" max="100" width="11.5703125" customWidth="1"/>
    <col min="101" max="101" width="3.42578125" customWidth="1"/>
    <col min="102" max="102" width="11.5703125" customWidth="1"/>
    <col min="103" max="103" width="3.42578125" customWidth="1"/>
    <col min="104" max="104" width="11.5703125" customWidth="1"/>
    <col min="105" max="105" width="3.42578125" customWidth="1"/>
    <col min="106" max="106" width="11.5703125" customWidth="1"/>
    <col min="107" max="107" width="3.42578125" customWidth="1"/>
    <col min="108" max="108" width="11.5703125" customWidth="1"/>
    <col min="109" max="109" width="3" customWidth="1"/>
    <col min="110" max="110" width="11.5703125" customWidth="1"/>
    <col min="111" max="111" width="4.85546875" customWidth="1"/>
    <col min="112" max="112" width="11.5703125" customWidth="1"/>
    <col min="113" max="113" width="4.85546875" customWidth="1"/>
    <col min="115" max="115" width="4.85546875" customWidth="1"/>
    <col min="117" max="117" width="4.85546875" customWidth="1"/>
    <col min="173" max="173" width="11.42578125" outlineLevel="1"/>
    <col min="177" max="183" width="11.42578125" outlineLevel="1"/>
    <col min="186" max="188" width="11.42578125" outlineLevel="1"/>
  </cols>
  <sheetData>
    <row r="1" spans="1:40" ht="15.75" thickBot="1" x14ac:dyDescent="0.3">
      <c r="A1" s="1"/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3"/>
      <c r="P1" s="3"/>
    </row>
    <row r="2" spans="1:40" ht="36.75" thickBot="1" x14ac:dyDescent="0.3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7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9" t="s">
        <v>14</v>
      </c>
      <c r="P2" s="10"/>
      <c r="Q2" s="11" t="s">
        <v>15</v>
      </c>
      <c r="S2" s="9" t="s">
        <v>16</v>
      </c>
      <c r="AF2" t="s">
        <v>17</v>
      </c>
      <c r="AG2" t="s">
        <v>18</v>
      </c>
    </row>
    <row r="3" spans="1:40" x14ac:dyDescent="0.2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0.35</v>
      </c>
      <c r="M3" s="16"/>
      <c r="N3" s="17">
        <v>0.45</v>
      </c>
      <c r="O3" s="18"/>
      <c r="P3" s="3"/>
      <c r="Q3" s="18"/>
    </row>
    <row r="4" spans="1:40" x14ac:dyDescent="0.25">
      <c r="A4" s="19">
        <v>100021632</v>
      </c>
      <c r="B4" s="20" t="s">
        <v>19</v>
      </c>
      <c r="C4" s="21">
        <v>7790360026606</v>
      </c>
      <c r="D4" s="22">
        <v>4.8</v>
      </c>
      <c r="E4" s="23">
        <v>30</v>
      </c>
      <c r="F4" s="24">
        <f t="shared" ref="F4:F35" si="0">+VLOOKUP(A4,$AK$4:$AL$110,2,FALSE)</f>
        <v>40261.781955842147</v>
      </c>
      <c r="G4" s="25"/>
      <c r="H4" s="24">
        <f>+F4*(1-G4)</f>
        <v>40261.781955842147</v>
      </c>
      <c r="I4" s="24">
        <f>+H4/E4</f>
        <v>1342.0593985280716</v>
      </c>
      <c r="J4" s="24">
        <f>+I4*J$3</f>
        <v>281.83247369089503</v>
      </c>
      <c r="K4" s="24">
        <f>+I4+J4</f>
        <v>1623.8918722189667</v>
      </c>
      <c r="L4" s="24">
        <f>+K4*L$3</f>
        <v>568.3621552766383</v>
      </c>
      <c r="M4" s="24">
        <f>+K4+L4</f>
        <v>2192.254027495605</v>
      </c>
      <c r="N4" s="24">
        <f>+M4*N$3</f>
        <v>986.51431237302222</v>
      </c>
      <c r="O4" s="26">
        <f>+M4+N4</f>
        <v>3178.7683398686272</v>
      </c>
      <c r="P4" s="27">
        <f t="shared" ref="P4:P39" si="1">H4/Q4-1</f>
        <v>5.0000000000000044E-2</v>
      </c>
      <c r="Q4" s="28">
        <v>38344.554243659186</v>
      </c>
      <c r="S4" s="29" t="s">
        <v>20</v>
      </c>
      <c r="AF4">
        <v>29534.055286406387</v>
      </c>
      <c r="AG4">
        <f>+(H4-AF4)/AF4</f>
        <v>0.36323243000000077</v>
      </c>
      <c r="AK4" s="30">
        <v>100021632</v>
      </c>
      <c r="AL4" s="31">
        <v>40261.781955842147</v>
      </c>
      <c r="AN4" s="32">
        <f>+Q4/H4</f>
        <v>0.95238095238095233</v>
      </c>
    </row>
    <row r="5" spans="1:40" x14ac:dyDescent="0.25">
      <c r="A5" s="33">
        <v>100021652</v>
      </c>
      <c r="B5" s="34" t="s">
        <v>21</v>
      </c>
      <c r="C5" s="35">
        <v>7790360026576</v>
      </c>
      <c r="D5" s="36">
        <v>5.76</v>
      </c>
      <c r="E5" s="37">
        <v>18</v>
      </c>
      <c r="F5" s="38">
        <f t="shared" si="0"/>
        <v>50775.845005015697</v>
      </c>
      <c r="G5" s="37"/>
      <c r="H5" s="38">
        <f t="shared" ref="H5:H77" si="2">+F5*(1-G5)</f>
        <v>50775.845005015697</v>
      </c>
      <c r="I5" s="38">
        <f t="shared" ref="I5:I77" si="3">+H5/E5</f>
        <v>2820.8802780564274</v>
      </c>
      <c r="J5" s="38">
        <f t="shared" ref="J5:J77" si="4">+I5*J$3</f>
        <v>592.38485839184978</v>
      </c>
      <c r="K5" s="38">
        <f t="shared" ref="K5:K77" si="5">+I5+J5</f>
        <v>3413.2651364482772</v>
      </c>
      <c r="L5" s="38">
        <f t="shared" ref="L5:L77" si="6">+K5*L$3</f>
        <v>1194.6427977568969</v>
      </c>
      <c r="M5" s="38">
        <f t="shared" ref="M5:M77" si="7">+K5+L5</f>
        <v>4607.9079342051737</v>
      </c>
      <c r="N5" s="38">
        <f t="shared" ref="N5:N77" si="8">+M5*N$3</f>
        <v>2073.5585703923284</v>
      </c>
      <c r="O5" s="28">
        <f t="shared" ref="O5:O77" si="9">+M5+N5</f>
        <v>6681.4665045975016</v>
      </c>
      <c r="P5" s="27">
        <f t="shared" si="1"/>
        <v>0.10000000000000009</v>
      </c>
      <c r="Q5" s="28">
        <v>46159.859095468812</v>
      </c>
      <c r="AF5">
        <v>38042.376745511545</v>
      </c>
      <c r="AG5">
        <f t="shared" ref="AG5:AG77" si="10">+(H5-AF5)/AF5</f>
        <v>0.33471800000000052</v>
      </c>
      <c r="AK5" s="30">
        <v>100021652</v>
      </c>
      <c r="AL5" s="38">
        <v>50775.845005015697</v>
      </c>
      <c r="AN5" s="32">
        <f t="shared" ref="AN5:AN71" si="11">+Q5/H5</f>
        <v>0.90909090909090906</v>
      </c>
    </row>
    <row r="6" spans="1:40" x14ac:dyDescent="0.25">
      <c r="A6" s="33">
        <v>100021631</v>
      </c>
      <c r="B6" s="34" t="s">
        <v>22</v>
      </c>
      <c r="C6" s="35">
        <v>7790360026590</v>
      </c>
      <c r="D6" s="36">
        <v>7.68</v>
      </c>
      <c r="E6" s="37">
        <v>8</v>
      </c>
      <c r="F6" s="38">
        <f t="shared" si="0"/>
        <v>64362.044382319793</v>
      </c>
      <c r="G6" s="37"/>
      <c r="H6" s="38">
        <f t="shared" si="2"/>
        <v>64362.044382319793</v>
      </c>
      <c r="I6" s="38">
        <f t="shared" si="3"/>
        <v>8045.2555477899741</v>
      </c>
      <c r="J6" s="38">
        <f t="shared" si="4"/>
        <v>1689.5036650358945</v>
      </c>
      <c r="K6" s="38">
        <f t="shared" si="5"/>
        <v>9734.7592128258693</v>
      </c>
      <c r="L6" s="38">
        <f t="shared" si="6"/>
        <v>3407.1657244890539</v>
      </c>
      <c r="M6" s="38">
        <f t="shared" si="7"/>
        <v>13141.924937314923</v>
      </c>
      <c r="N6" s="38">
        <f t="shared" si="8"/>
        <v>5913.8662217917154</v>
      </c>
      <c r="O6" s="28">
        <f t="shared" si="9"/>
        <v>19055.791159106637</v>
      </c>
      <c r="P6" s="27">
        <f t="shared" si="1"/>
        <v>0.10000000000000009</v>
      </c>
      <c r="Q6" s="28">
        <v>58510.949438472533</v>
      </c>
      <c r="AF6">
        <v>63884.503588871055</v>
      </c>
      <c r="AG6">
        <f t="shared" si="10"/>
        <v>7.4750646341709562E-3</v>
      </c>
      <c r="AK6" s="33">
        <v>100021631</v>
      </c>
      <c r="AL6" s="38">
        <v>64362.044382319793</v>
      </c>
      <c r="AN6" s="32">
        <f t="shared" si="11"/>
        <v>0.90909090909090895</v>
      </c>
    </row>
    <row r="7" spans="1:40" x14ac:dyDescent="0.25">
      <c r="A7" s="33">
        <v>100021630</v>
      </c>
      <c r="B7" s="34" t="s">
        <v>23</v>
      </c>
      <c r="C7" s="35">
        <v>7790360026583</v>
      </c>
      <c r="D7" s="36">
        <v>9.6</v>
      </c>
      <c r="E7" s="37">
        <v>6</v>
      </c>
      <c r="F7" s="38">
        <f t="shared" si="0"/>
        <v>78890.369934639559</v>
      </c>
      <c r="G7" s="37"/>
      <c r="H7" s="38">
        <f t="shared" si="2"/>
        <v>78890.369934639559</v>
      </c>
      <c r="I7" s="38">
        <f t="shared" si="3"/>
        <v>13148.394989106593</v>
      </c>
      <c r="J7" s="38">
        <f t="shared" si="4"/>
        <v>2761.1629477123843</v>
      </c>
      <c r="K7" s="38">
        <f t="shared" si="5"/>
        <v>15909.557936818977</v>
      </c>
      <c r="L7" s="38">
        <f t="shared" si="6"/>
        <v>5568.3452778866422</v>
      </c>
      <c r="M7" s="38">
        <f t="shared" si="7"/>
        <v>21477.90321470562</v>
      </c>
      <c r="N7" s="38">
        <f t="shared" si="8"/>
        <v>9665.0564466175292</v>
      </c>
      <c r="O7" s="28">
        <f t="shared" si="9"/>
        <v>31142.959661323148</v>
      </c>
      <c r="P7" s="27">
        <f t="shared" si="1"/>
        <v>0.10000000000000009</v>
      </c>
      <c r="Q7" s="28">
        <v>71718.51812239959</v>
      </c>
      <c r="AF7">
        <v>79885.735284198541</v>
      </c>
      <c r="AG7">
        <f t="shared" si="10"/>
        <v>-1.2459863403871885E-2</v>
      </c>
      <c r="AK7" s="33">
        <v>100021630</v>
      </c>
      <c r="AL7" s="38">
        <v>78890.369934639559</v>
      </c>
      <c r="AN7" s="32">
        <f t="shared" si="11"/>
        <v>0.90909090909090895</v>
      </c>
    </row>
    <row r="8" spans="1:40" x14ac:dyDescent="0.25">
      <c r="A8" s="39">
        <v>100021653</v>
      </c>
      <c r="B8" s="40" t="s">
        <v>24</v>
      </c>
      <c r="C8" s="35">
        <v>7790360026682</v>
      </c>
      <c r="D8" s="36">
        <v>5.76</v>
      </c>
      <c r="E8" s="37">
        <v>18</v>
      </c>
      <c r="F8" s="38">
        <f t="shared" si="0"/>
        <v>50614.811601630128</v>
      </c>
      <c r="G8" s="37"/>
      <c r="H8" s="38">
        <f t="shared" si="2"/>
        <v>50614.811601630128</v>
      </c>
      <c r="I8" s="38">
        <f t="shared" si="3"/>
        <v>2811.9339778683407</v>
      </c>
      <c r="J8" s="38">
        <f t="shared" si="4"/>
        <v>590.50613535235152</v>
      </c>
      <c r="K8" s="38">
        <f t="shared" si="5"/>
        <v>3402.4401132206922</v>
      </c>
      <c r="L8" s="38">
        <f t="shared" si="6"/>
        <v>1190.8540396272422</v>
      </c>
      <c r="M8" s="38">
        <f t="shared" si="7"/>
        <v>4593.2941528479341</v>
      </c>
      <c r="N8" s="38">
        <f t="shared" si="8"/>
        <v>2066.9823687815706</v>
      </c>
      <c r="O8" s="28">
        <f t="shared" si="9"/>
        <v>6660.2765216295047</v>
      </c>
      <c r="P8" s="27">
        <f t="shared" si="1"/>
        <v>0</v>
      </c>
      <c r="Q8" s="28">
        <v>50614.811601630128</v>
      </c>
      <c r="AF8">
        <v>50298.202194078498</v>
      </c>
      <c r="AG8">
        <f t="shared" si="10"/>
        <v>6.2946466024764612E-3</v>
      </c>
      <c r="AK8" s="39">
        <v>100021653</v>
      </c>
      <c r="AL8" s="38">
        <v>50614.811601630128</v>
      </c>
      <c r="AN8" s="32">
        <f t="shared" si="11"/>
        <v>1</v>
      </c>
    </row>
    <row r="9" spans="1:40" x14ac:dyDescent="0.25">
      <c r="A9" s="39">
        <v>100516169</v>
      </c>
      <c r="B9" s="40" t="s">
        <v>25</v>
      </c>
      <c r="C9" s="35">
        <v>7790360967961</v>
      </c>
      <c r="D9" s="36">
        <v>5.76</v>
      </c>
      <c r="E9" s="37">
        <v>18</v>
      </c>
      <c r="F9" s="38">
        <f t="shared" si="0"/>
        <v>46670.247357300017</v>
      </c>
      <c r="G9" s="37"/>
      <c r="H9" s="38">
        <f t="shared" si="2"/>
        <v>46670.247357300017</v>
      </c>
      <c r="I9" s="38">
        <f t="shared" si="3"/>
        <v>2592.7915198500009</v>
      </c>
      <c r="J9" s="38">
        <f t="shared" si="4"/>
        <v>544.48621916850016</v>
      </c>
      <c r="K9" s="38">
        <f t="shared" si="5"/>
        <v>3137.2777390185011</v>
      </c>
      <c r="L9" s="38">
        <f t="shared" si="6"/>
        <v>1098.0472086564753</v>
      </c>
      <c r="M9" s="38">
        <f t="shared" si="7"/>
        <v>4235.3249476749761</v>
      </c>
      <c r="N9" s="38">
        <f t="shared" si="8"/>
        <v>1905.8962264537392</v>
      </c>
      <c r="O9" s="28">
        <f t="shared" si="9"/>
        <v>6141.2211741287156</v>
      </c>
      <c r="P9" s="27">
        <f t="shared" si="1"/>
        <v>0</v>
      </c>
      <c r="Q9" s="28">
        <v>46670.247357300017</v>
      </c>
      <c r="AF9">
        <v>41155.420950000007</v>
      </c>
      <c r="AG9">
        <f t="shared" si="10"/>
        <v>0.13400000000000023</v>
      </c>
      <c r="AK9" s="39">
        <v>100516169</v>
      </c>
      <c r="AL9" s="38">
        <v>46670.247357300017</v>
      </c>
      <c r="AN9" s="32">
        <f t="shared" si="11"/>
        <v>1</v>
      </c>
    </row>
    <row r="10" spans="1:40" x14ac:dyDescent="0.25">
      <c r="A10" s="39">
        <v>100520337</v>
      </c>
      <c r="B10" s="40" t="s">
        <v>26</v>
      </c>
      <c r="C10" s="35">
        <v>7790360977960</v>
      </c>
      <c r="D10" s="36">
        <v>4.8</v>
      </c>
      <c r="E10" s="37">
        <v>30</v>
      </c>
      <c r="F10" s="38">
        <f t="shared" si="0"/>
        <v>28467.87589056712</v>
      </c>
      <c r="G10" s="37"/>
      <c r="H10" s="38">
        <f t="shared" si="2"/>
        <v>28467.87589056712</v>
      </c>
      <c r="I10" s="38">
        <f>+H10/E10</f>
        <v>948.92919635223734</v>
      </c>
      <c r="J10" s="38">
        <f>+I10*J$3</f>
        <v>199.27513123396983</v>
      </c>
      <c r="K10" s="38">
        <f>+I10+J10</f>
        <v>1148.2043275862072</v>
      </c>
      <c r="L10" s="38">
        <f>+K10*L$3</f>
        <v>401.87151465517252</v>
      </c>
      <c r="M10" s="38">
        <f>+K10+L10</f>
        <v>1550.0758422413796</v>
      </c>
      <c r="N10" s="38">
        <f>+M10*N$3</f>
        <v>697.53412900862088</v>
      </c>
      <c r="O10" s="28">
        <f>+M10+N10</f>
        <v>2247.6099712500004</v>
      </c>
      <c r="P10" s="27">
        <f t="shared" si="1"/>
        <v>5.0000000000000044E-2</v>
      </c>
      <c r="Q10" s="28">
        <v>27112.262752921066</v>
      </c>
      <c r="AF10">
        <v>25103.946993445428</v>
      </c>
      <c r="AG10">
        <f t="shared" si="10"/>
        <v>0.13400000000000017</v>
      </c>
      <c r="AK10" s="41">
        <v>100520337</v>
      </c>
      <c r="AL10" s="38">
        <v>28467.87589056712</v>
      </c>
      <c r="AN10" s="32">
        <f t="shared" si="11"/>
        <v>0.95238095238095233</v>
      </c>
    </row>
    <row r="11" spans="1:40" x14ac:dyDescent="0.25">
      <c r="A11" s="39">
        <v>100021503</v>
      </c>
      <c r="B11" s="40" t="s">
        <v>27</v>
      </c>
      <c r="C11" s="35">
        <v>7790360966841</v>
      </c>
      <c r="D11" s="36">
        <v>3.3119999999999998</v>
      </c>
      <c r="E11" s="37">
        <v>12</v>
      </c>
      <c r="F11" s="38">
        <f t="shared" si="0"/>
        <v>21735.958734682248</v>
      </c>
      <c r="G11" s="42"/>
      <c r="H11" s="38">
        <f t="shared" si="2"/>
        <v>21735.958734682248</v>
      </c>
      <c r="I11" s="38">
        <f t="shared" si="3"/>
        <v>1811.329894556854</v>
      </c>
      <c r="J11" s="38">
        <f t="shared" si="4"/>
        <v>380.37927785693932</v>
      </c>
      <c r="K11" s="38">
        <f t="shared" si="5"/>
        <v>2191.7091724137936</v>
      </c>
      <c r="L11" s="38">
        <f t="shared" si="6"/>
        <v>767.09821034482775</v>
      </c>
      <c r="M11" s="38">
        <f t="shared" si="7"/>
        <v>2958.8073827586213</v>
      </c>
      <c r="N11" s="38">
        <f t="shared" si="8"/>
        <v>1331.4633222413797</v>
      </c>
      <c r="O11" s="28">
        <f t="shared" si="9"/>
        <v>4290.2707050000008</v>
      </c>
      <c r="P11" s="27">
        <f t="shared" si="1"/>
        <v>0.14541289407657909</v>
      </c>
      <c r="Q11" s="28">
        <v>18976.527021031634</v>
      </c>
      <c r="AF11">
        <v>15081.219720718156</v>
      </c>
      <c r="AG11">
        <f t="shared" si="10"/>
        <v>0.44125999999999987</v>
      </c>
      <c r="AK11" s="43">
        <v>100021503</v>
      </c>
      <c r="AL11" s="31">
        <v>21735.958734682248</v>
      </c>
      <c r="AN11" s="32">
        <f t="shared" si="11"/>
        <v>0.87304761904761896</v>
      </c>
    </row>
    <row r="12" spans="1:40" x14ac:dyDescent="0.25">
      <c r="A12" s="39">
        <v>100516201</v>
      </c>
      <c r="B12" s="40" t="s">
        <v>28</v>
      </c>
      <c r="C12" s="35">
        <v>7790360968548</v>
      </c>
      <c r="D12" s="36">
        <v>6.6239999999999997</v>
      </c>
      <c r="E12" s="37">
        <v>8</v>
      </c>
      <c r="F12" s="38">
        <f t="shared" si="0"/>
        <v>47491.010580473783</v>
      </c>
      <c r="G12" s="44"/>
      <c r="H12" s="38">
        <f t="shared" si="2"/>
        <v>47491.010580473783</v>
      </c>
      <c r="I12" s="38">
        <f t="shared" si="3"/>
        <v>5936.3763225592229</v>
      </c>
      <c r="J12" s="38">
        <f t="shared" si="4"/>
        <v>1246.6390277374367</v>
      </c>
      <c r="K12" s="38">
        <f t="shared" si="5"/>
        <v>7183.0153502966596</v>
      </c>
      <c r="L12" s="38">
        <f t="shared" si="6"/>
        <v>2514.0553726038306</v>
      </c>
      <c r="M12" s="38">
        <f t="shared" si="7"/>
        <v>9697.0707229004911</v>
      </c>
      <c r="N12" s="38">
        <f t="shared" si="8"/>
        <v>4363.6818253052215</v>
      </c>
      <c r="O12" s="28">
        <f t="shared" si="9"/>
        <v>14060.752548205714</v>
      </c>
      <c r="P12" s="27">
        <f t="shared" si="1"/>
        <v>5.0000000000000044E-2</v>
      </c>
      <c r="Q12" s="28">
        <v>45229.533886165504</v>
      </c>
      <c r="S12" s="45"/>
      <c r="AF12">
        <v>37985.667158953132</v>
      </c>
      <c r="AG12">
        <f t="shared" si="10"/>
        <v>0.25023500000000037</v>
      </c>
      <c r="AK12" s="39">
        <v>100516201</v>
      </c>
      <c r="AL12" s="38">
        <v>47491.010580473783</v>
      </c>
      <c r="AN12" s="32">
        <f t="shared" si="11"/>
        <v>0.95238095238095233</v>
      </c>
    </row>
    <row r="13" spans="1:40" x14ac:dyDescent="0.25">
      <c r="A13" s="46">
        <v>100021643</v>
      </c>
      <c r="B13" s="47" t="s">
        <v>29</v>
      </c>
      <c r="C13" s="21">
        <v>7790360966797</v>
      </c>
      <c r="D13" s="22">
        <v>4.7039999999999997</v>
      </c>
      <c r="E13" s="23">
        <v>42</v>
      </c>
      <c r="F13" s="24">
        <f t="shared" si="0"/>
        <v>29124.796176574535</v>
      </c>
      <c r="G13" s="48">
        <v>9.5238095238095205E-2</v>
      </c>
      <c r="H13" s="24">
        <f t="shared" si="2"/>
        <v>26351.006064519817</v>
      </c>
      <c r="I13" s="24">
        <f t="shared" si="3"/>
        <v>627.40490629809085</v>
      </c>
      <c r="J13" s="24">
        <f t="shared" si="4"/>
        <v>131.75503032259908</v>
      </c>
      <c r="K13" s="24">
        <f t="shared" si="5"/>
        <v>759.1599366206899</v>
      </c>
      <c r="L13" s="24">
        <f t="shared" si="6"/>
        <v>265.70597781724143</v>
      </c>
      <c r="M13" s="24">
        <f t="shared" si="7"/>
        <v>1024.8659144379312</v>
      </c>
      <c r="N13" s="24">
        <f t="shared" si="8"/>
        <v>461.18966149706904</v>
      </c>
      <c r="O13" s="26">
        <f t="shared" si="9"/>
        <v>1486.0555759350002</v>
      </c>
      <c r="P13" s="27">
        <f t="shared" si="1"/>
        <v>-5.0000000000000044E-2</v>
      </c>
      <c r="Q13" s="28">
        <v>27737.901120547176</v>
      </c>
      <c r="S13" t="s">
        <v>30</v>
      </c>
      <c r="AF13">
        <v>23295.457395269314</v>
      </c>
      <c r="AG13">
        <f t="shared" si="10"/>
        <v>0.13116500000000017</v>
      </c>
      <c r="AK13" s="43">
        <v>100021643</v>
      </c>
      <c r="AL13" s="38">
        <v>29124.796176574535</v>
      </c>
      <c r="AN13" s="32">
        <f t="shared" si="11"/>
        <v>1.0526315789473684</v>
      </c>
    </row>
    <row r="14" spans="1:40" x14ac:dyDescent="0.25">
      <c r="A14" s="39">
        <v>100516325</v>
      </c>
      <c r="B14" s="40" t="s">
        <v>31</v>
      </c>
      <c r="C14" s="35">
        <v>7790360967763</v>
      </c>
      <c r="D14" s="36">
        <v>4.7039999999999997</v>
      </c>
      <c r="E14" s="37">
        <v>21</v>
      </c>
      <c r="F14" s="38">
        <f t="shared" si="0"/>
        <v>32755.096666053716</v>
      </c>
      <c r="G14" s="44"/>
      <c r="H14" s="38">
        <f t="shared" si="2"/>
        <v>32755.096666053716</v>
      </c>
      <c r="I14" s="38">
        <f t="shared" si="3"/>
        <v>1559.7665079073199</v>
      </c>
      <c r="J14" s="38">
        <f t="shared" si="4"/>
        <v>327.5509666605372</v>
      </c>
      <c r="K14" s="38">
        <f t="shared" si="5"/>
        <v>1887.3174745678571</v>
      </c>
      <c r="L14" s="38">
        <f t="shared" si="6"/>
        <v>660.56111609874995</v>
      </c>
      <c r="M14" s="38">
        <f t="shared" si="7"/>
        <v>2547.8785906666071</v>
      </c>
      <c r="N14" s="38">
        <f t="shared" si="8"/>
        <v>1146.5453657999733</v>
      </c>
      <c r="O14" s="28">
        <f t="shared" si="9"/>
        <v>3694.4239564665804</v>
      </c>
      <c r="P14" s="27">
        <f t="shared" si="1"/>
        <v>5.0000000000000044E-2</v>
      </c>
      <c r="Q14" s="28">
        <v>31195.330158146397</v>
      </c>
      <c r="S14" s="45"/>
      <c r="AF14">
        <v>27509.109486901583</v>
      </c>
      <c r="AG14">
        <f t="shared" si="10"/>
        <v>0.19070000000000004</v>
      </c>
      <c r="AK14" s="39">
        <v>100516325</v>
      </c>
      <c r="AL14" s="38">
        <v>32755.096666053716</v>
      </c>
      <c r="AN14" s="32">
        <f t="shared" si="11"/>
        <v>0.95238095238095244</v>
      </c>
    </row>
    <row r="15" spans="1:40" x14ac:dyDescent="0.25">
      <c r="A15" s="39">
        <v>100021676</v>
      </c>
      <c r="B15" s="40" t="s">
        <v>32</v>
      </c>
      <c r="C15" s="35">
        <v>7790360967411</v>
      </c>
      <c r="D15" s="36">
        <v>7.5</v>
      </c>
      <c r="E15" s="37">
        <v>30</v>
      </c>
      <c r="F15" s="38">
        <f t="shared" si="0"/>
        <v>60777.549233399848</v>
      </c>
      <c r="G15" s="42"/>
      <c r="H15" s="38">
        <f t="shared" si="2"/>
        <v>60777.549233399848</v>
      </c>
      <c r="I15" s="38">
        <f t="shared" si="3"/>
        <v>2025.9183077799948</v>
      </c>
      <c r="J15" s="38">
        <f t="shared" si="4"/>
        <v>425.44284463379893</v>
      </c>
      <c r="K15" s="38">
        <f t="shared" si="5"/>
        <v>2451.3611524137937</v>
      </c>
      <c r="L15" s="38">
        <f t="shared" si="6"/>
        <v>857.97640334482776</v>
      </c>
      <c r="M15" s="38">
        <f t="shared" si="7"/>
        <v>3309.3375557586214</v>
      </c>
      <c r="N15" s="38">
        <f t="shared" si="8"/>
        <v>1489.2019000913797</v>
      </c>
      <c r="O15" s="28">
        <f t="shared" si="9"/>
        <v>4798.5394558500011</v>
      </c>
      <c r="P15" s="27">
        <f t="shared" si="1"/>
        <v>7.1466838101360786E-2</v>
      </c>
      <c r="Q15" s="28">
        <v>56723.686699532082</v>
      </c>
      <c r="AF15">
        <v>53595.722428042187</v>
      </c>
      <c r="AG15">
        <f t="shared" si="10"/>
        <v>0.13400000000000015</v>
      </c>
      <c r="AK15" s="43">
        <v>100021676</v>
      </c>
      <c r="AL15" s="38">
        <v>60777.549233399848</v>
      </c>
      <c r="AN15" s="32">
        <f t="shared" si="11"/>
        <v>0.93330000000000002</v>
      </c>
    </row>
    <row r="16" spans="1:40" x14ac:dyDescent="0.25">
      <c r="A16" s="46">
        <v>100516008</v>
      </c>
      <c r="B16" s="47" t="s">
        <v>33</v>
      </c>
      <c r="C16" s="21">
        <v>7790360967701</v>
      </c>
      <c r="D16" s="22">
        <v>5.76</v>
      </c>
      <c r="E16" s="23">
        <v>24</v>
      </c>
      <c r="F16" s="24">
        <f t="shared" si="0"/>
        <v>50957.08677852885</v>
      </c>
      <c r="G16" s="48">
        <v>0.05</v>
      </c>
      <c r="H16" s="24">
        <f t="shared" si="2"/>
        <v>48409.232439602405</v>
      </c>
      <c r="I16" s="24">
        <f t="shared" si="3"/>
        <v>2017.0513516501003</v>
      </c>
      <c r="J16" s="24">
        <f t="shared" si="4"/>
        <v>423.58078384652106</v>
      </c>
      <c r="K16" s="24">
        <f t="shared" si="5"/>
        <v>2440.6321354966212</v>
      </c>
      <c r="L16" s="24">
        <f t="shared" si="6"/>
        <v>854.22124742381743</v>
      </c>
      <c r="M16" s="24">
        <f t="shared" si="7"/>
        <v>3294.8533829204389</v>
      </c>
      <c r="N16" s="24">
        <f>+M16*0.4265</f>
        <v>1405.2549678155672</v>
      </c>
      <c r="O16" s="26">
        <f t="shared" si="9"/>
        <v>4700.1083507360063</v>
      </c>
      <c r="P16" s="27">
        <f t="shared" si="1"/>
        <v>4.498955010449901E-2</v>
      </c>
      <c r="Q16" s="28">
        <v>46325.087590360577</v>
      </c>
      <c r="S16" s="49" t="s">
        <v>34</v>
      </c>
      <c r="AF16">
        <v>47578.979251660923</v>
      </c>
      <c r="AG16">
        <f t="shared" si="10"/>
        <v>1.7449999999999976E-2</v>
      </c>
      <c r="AK16" s="43">
        <v>100516008</v>
      </c>
      <c r="AL16" s="38">
        <v>50957.08677852885</v>
      </c>
      <c r="AN16" s="32">
        <f t="shared" si="11"/>
        <v>0.95694736842105266</v>
      </c>
    </row>
    <row r="17" spans="1:40" x14ac:dyDescent="0.25">
      <c r="A17" s="39">
        <v>100520834</v>
      </c>
      <c r="B17" s="40" t="s">
        <v>35</v>
      </c>
      <c r="C17" s="35">
        <v>7790360980618</v>
      </c>
      <c r="D17" s="36">
        <v>6.66</v>
      </c>
      <c r="E17" s="37">
        <v>36</v>
      </c>
      <c r="F17" s="38">
        <f t="shared" si="0"/>
        <v>63095.588372348466</v>
      </c>
      <c r="G17" s="37"/>
      <c r="H17" s="38">
        <f t="shared" si="2"/>
        <v>63095.588372348466</v>
      </c>
      <c r="I17" s="38">
        <f t="shared" si="3"/>
        <v>1752.6552325652351</v>
      </c>
      <c r="J17" s="38">
        <f t="shared" si="4"/>
        <v>368.05759883869933</v>
      </c>
      <c r="K17" s="38">
        <f t="shared" si="5"/>
        <v>2120.7128314039346</v>
      </c>
      <c r="L17" s="38">
        <f t="shared" si="6"/>
        <v>742.24949099137712</v>
      </c>
      <c r="M17" s="38">
        <f t="shared" si="7"/>
        <v>2862.9623223953117</v>
      </c>
      <c r="N17" s="38">
        <f t="shared" si="8"/>
        <v>1288.3330450778903</v>
      </c>
      <c r="O17" s="28">
        <f t="shared" si="9"/>
        <v>4151.2953674732016</v>
      </c>
      <c r="P17" s="27">
        <f t="shared" si="1"/>
        <v>0</v>
      </c>
      <c r="Q17" s="28">
        <v>63095.588372348466</v>
      </c>
      <c r="AF17">
        <v>55639.848652864603</v>
      </c>
      <c r="AG17">
        <f t="shared" si="10"/>
        <v>0.13400000000000012</v>
      </c>
      <c r="AK17" s="43">
        <v>100520834</v>
      </c>
      <c r="AL17" s="38">
        <v>63095.588372348466</v>
      </c>
      <c r="AN17" s="32">
        <f t="shared" si="11"/>
        <v>1</v>
      </c>
    </row>
    <row r="18" spans="1:40" hidden="1" x14ac:dyDescent="0.25">
      <c r="A18" s="39">
        <v>100021680</v>
      </c>
      <c r="B18" s="40" t="s">
        <v>36</v>
      </c>
      <c r="C18" s="35">
        <v>7790360967688</v>
      </c>
      <c r="D18" s="36">
        <v>4.32</v>
      </c>
      <c r="E18" s="37">
        <v>18</v>
      </c>
      <c r="F18" s="38" t="e">
        <f t="shared" si="0"/>
        <v>#N/A</v>
      </c>
      <c r="G18" s="37"/>
      <c r="H18" s="38" t="e">
        <f t="shared" si="2"/>
        <v>#N/A</v>
      </c>
      <c r="I18" s="38" t="e">
        <f t="shared" si="3"/>
        <v>#N/A</v>
      </c>
      <c r="J18" s="38" t="e">
        <f t="shared" si="4"/>
        <v>#N/A</v>
      </c>
      <c r="K18" s="38" t="e">
        <f t="shared" si="5"/>
        <v>#N/A</v>
      </c>
      <c r="L18" s="38" t="e">
        <f t="shared" si="6"/>
        <v>#N/A</v>
      </c>
      <c r="M18" s="38" t="e">
        <f t="shared" si="7"/>
        <v>#N/A</v>
      </c>
      <c r="N18" s="38" t="e">
        <f t="shared" si="8"/>
        <v>#N/A</v>
      </c>
      <c r="O18" s="28" t="e">
        <f t="shared" si="9"/>
        <v>#N/A</v>
      </c>
      <c r="P18" s="27" t="e">
        <f t="shared" si="1"/>
        <v>#N/A</v>
      </c>
      <c r="Q18" s="28">
        <v>50536.766687081057</v>
      </c>
      <c r="AF18">
        <v>44565.049988607629</v>
      </c>
      <c r="AG18" t="e">
        <f t="shared" si="10"/>
        <v>#N/A</v>
      </c>
      <c r="AK18" s="43">
        <v>100021644</v>
      </c>
      <c r="AL18" s="38">
        <v>21089.839476127327</v>
      </c>
      <c r="AN18" s="32" t="e">
        <f t="shared" si="11"/>
        <v>#N/A</v>
      </c>
    </row>
    <row r="19" spans="1:40" x14ac:dyDescent="0.25">
      <c r="A19" s="39">
        <v>100021644</v>
      </c>
      <c r="B19" s="40" t="s">
        <v>37</v>
      </c>
      <c r="C19" s="35">
        <v>7790360008541</v>
      </c>
      <c r="D19" s="36">
        <v>4.7039999999999997</v>
      </c>
      <c r="E19" s="37">
        <v>42</v>
      </c>
      <c r="F19" s="38">
        <f t="shared" si="0"/>
        <v>21089.839476127327</v>
      </c>
      <c r="G19" s="37"/>
      <c r="H19" s="38">
        <f t="shared" si="2"/>
        <v>21089.839476127327</v>
      </c>
      <c r="I19" s="38">
        <f t="shared" si="3"/>
        <v>502.13903514588873</v>
      </c>
      <c r="J19" s="38">
        <f t="shared" si="4"/>
        <v>105.44919738063663</v>
      </c>
      <c r="K19" s="38">
        <f t="shared" si="5"/>
        <v>607.58823252652542</v>
      </c>
      <c r="L19" s="50">
        <f>+K19*0.3</f>
        <v>182.27646975795761</v>
      </c>
      <c r="M19" s="38">
        <f t="shared" si="7"/>
        <v>789.86470228448297</v>
      </c>
      <c r="N19" s="38">
        <f t="shared" si="8"/>
        <v>355.43911602801734</v>
      </c>
      <c r="O19" s="28">
        <f t="shared" si="9"/>
        <v>1145.3038183125004</v>
      </c>
      <c r="P19" s="27">
        <f t="shared" si="1"/>
        <v>0.10000000000000009</v>
      </c>
      <c r="Q19" s="28">
        <v>19172.581341933932</v>
      </c>
      <c r="AF19">
        <v>14434.467413464281</v>
      </c>
      <c r="AG19">
        <f t="shared" si="10"/>
        <v>0.46107500000000018</v>
      </c>
      <c r="AK19" s="43">
        <v>100021677</v>
      </c>
      <c r="AL19" s="31">
        <v>16737.230888594171</v>
      </c>
      <c r="AN19" s="32">
        <f t="shared" si="11"/>
        <v>0.90909090909090906</v>
      </c>
    </row>
    <row r="20" spans="1:40" x14ac:dyDescent="0.25">
      <c r="A20" s="39">
        <v>100021677</v>
      </c>
      <c r="B20" s="40" t="s">
        <v>38</v>
      </c>
      <c r="C20" s="35">
        <v>7790360967404</v>
      </c>
      <c r="D20" s="36">
        <v>3.3119999999999998</v>
      </c>
      <c r="E20" s="37">
        <v>12</v>
      </c>
      <c r="F20" s="38">
        <f t="shared" si="0"/>
        <v>16737.230888594171</v>
      </c>
      <c r="G20" s="37"/>
      <c r="H20" s="38">
        <f t="shared" si="2"/>
        <v>16737.230888594171</v>
      </c>
      <c r="I20" s="38">
        <f t="shared" si="3"/>
        <v>1394.769240716181</v>
      </c>
      <c r="J20" s="38">
        <f t="shared" si="4"/>
        <v>292.90154055039801</v>
      </c>
      <c r="K20" s="38">
        <f t="shared" si="5"/>
        <v>1687.6707812665791</v>
      </c>
      <c r="L20" s="50">
        <f>+K20*0.3</f>
        <v>506.30123437997372</v>
      </c>
      <c r="M20" s="38">
        <f t="shared" si="7"/>
        <v>2193.9720156465528</v>
      </c>
      <c r="N20" s="38">
        <f t="shared" si="8"/>
        <v>987.28740704094878</v>
      </c>
      <c r="O20" s="28">
        <f t="shared" si="9"/>
        <v>3181.2594226875017</v>
      </c>
      <c r="P20" s="27">
        <f t="shared" si="1"/>
        <v>0.10000000000000009</v>
      </c>
      <c r="Q20" s="28">
        <v>15215.664444176517</v>
      </c>
      <c r="AF20">
        <v>13173.735449503476</v>
      </c>
      <c r="AG20">
        <f t="shared" si="10"/>
        <v>0.27050000000000035</v>
      </c>
      <c r="AK20" s="39">
        <v>100021638</v>
      </c>
      <c r="AL20" s="38">
        <v>47532.848742384136</v>
      </c>
      <c r="AN20" s="32">
        <f t="shared" si="11"/>
        <v>0.90909090909090895</v>
      </c>
    </row>
    <row r="21" spans="1:40" x14ac:dyDescent="0.25">
      <c r="A21" s="39">
        <v>100021638</v>
      </c>
      <c r="B21" s="40" t="s">
        <v>39</v>
      </c>
      <c r="C21" s="35">
        <v>7790360026699</v>
      </c>
      <c r="D21" s="36">
        <v>4.8</v>
      </c>
      <c r="E21" s="37">
        <v>60</v>
      </c>
      <c r="F21" s="38">
        <f t="shared" si="0"/>
        <v>47532.848742384136</v>
      </c>
      <c r="G21" s="37"/>
      <c r="H21" s="38">
        <f t="shared" si="2"/>
        <v>47532.848742384136</v>
      </c>
      <c r="I21" s="38">
        <f t="shared" si="3"/>
        <v>792.21414570640229</v>
      </c>
      <c r="J21" s="38">
        <f t="shared" si="4"/>
        <v>166.36497059834448</v>
      </c>
      <c r="K21" s="38">
        <f t="shared" si="5"/>
        <v>958.57911630474678</v>
      </c>
      <c r="L21" s="38">
        <f t="shared" si="6"/>
        <v>335.50269070666133</v>
      </c>
      <c r="M21" s="38">
        <f t="shared" si="7"/>
        <v>1294.081807011408</v>
      </c>
      <c r="N21" s="38">
        <f t="shared" si="8"/>
        <v>582.33681315513365</v>
      </c>
      <c r="O21" s="28">
        <f t="shared" si="9"/>
        <v>1876.4186201665416</v>
      </c>
      <c r="P21" s="27">
        <f t="shared" si="1"/>
        <v>0</v>
      </c>
      <c r="Q21" s="28">
        <v>47532.848742384136</v>
      </c>
      <c r="AF21">
        <v>41916.092365418102</v>
      </c>
      <c r="AG21">
        <f t="shared" si="10"/>
        <v>0.1340000000000002</v>
      </c>
      <c r="AK21" s="39">
        <v>100021575</v>
      </c>
      <c r="AL21" s="38">
        <v>38984.491685431865</v>
      </c>
      <c r="AN21" s="32">
        <f t="shared" si="11"/>
        <v>1</v>
      </c>
    </row>
    <row r="22" spans="1:40" x14ac:dyDescent="0.25">
      <c r="A22" s="39">
        <v>100021575</v>
      </c>
      <c r="B22" s="40" t="s">
        <v>40</v>
      </c>
      <c r="C22" s="35">
        <v>7790360007032</v>
      </c>
      <c r="D22" s="36">
        <v>4.1399999999999997</v>
      </c>
      <c r="E22" s="37">
        <v>60</v>
      </c>
      <c r="F22" s="38">
        <f t="shared" si="0"/>
        <v>38984.491685431865</v>
      </c>
      <c r="G22" s="37"/>
      <c r="H22" s="38">
        <f t="shared" si="2"/>
        <v>38984.491685431865</v>
      </c>
      <c r="I22" s="38">
        <f t="shared" si="3"/>
        <v>649.74152809053112</v>
      </c>
      <c r="J22" s="38">
        <f t="shared" si="4"/>
        <v>136.44572089901152</v>
      </c>
      <c r="K22" s="38">
        <f t="shared" si="5"/>
        <v>786.1872489895427</v>
      </c>
      <c r="L22" s="38">
        <f t="shared" si="6"/>
        <v>275.16553714633994</v>
      </c>
      <c r="M22" s="38">
        <f t="shared" si="7"/>
        <v>1061.3527861358825</v>
      </c>
      <c r="N22" s="38">
        <f t="shared" si="8"/>
        <v>477.60875376114717</v>
      </c>
      <c r="O22" s="28">
        <f t="shared" si="9"/>
        <v>1538.9615398970298</v>
      </c>
      <c r="P22" s="27">
        <f t="shared" si="1"/>
        <v>0</v>
      </c>
      <c r="Q22" s="28">
        <v>38984.491685431865</v>
      </c>
      <c r="AF22">
        <v>34377.858629128626</v>
      </c>
      <c r="AG22">
        <f t="shared" si="10"/>
        <v>0.13400000000000009</v>
      </c>
      <c r="AK22" s="39">
        <v>100021514</v>
      </c>
      <c r="AL22" s="38">
        <v>35475.666407342178</v>
      </c>
      <c r="AN22" s="32">
        <f t="shared" si="11"/>
        <v>1</v>
      </c>
    </row>
    <row r="23" spans="1:40" x14ac:dyDescent="0.25">
      <c r="A23" s="39">
        <v>100021514</v>
      </c>
      <c r="B23" s="40" t="s">
        <v>41</v>
      </c>
      <c r="C23" s="35">
        <v>7790360006943</v>
      </c>
      <c r="D23" s="36">
        <v>4.1399999999999997</v>
      </c>
      <c r="E23" s="37">
        <v>60</v>
      </c>
      <c r="F23" s="38">
        <f t="shared" si="0"/>
        <v>35475.666407342178</v>
      </c>
      <c r="G23" s="37"/>
      <c r="H23" s="38">
        <f t="shared" si="2"/>
        <v>35475.666407342178</v>
      </c>
      <c r="I23" s="38">
        <f t="shared" si="3"/>
        <v>591.26110678903626</v>
      </c>
      <c r="J23" s="38">
        <f t="shared" si="4"/>
        <v>124.16483242569761</v>
      </c>
      <c r="K23" s="38">
        <f t="shared" si="5"/>
        <v>715.42593921473383</v>
      </c>
      <c r="L23" s="38">
        <f t="shared" si="6"/>
        <v>250.39907872515681</v>
      </c>
      <c r="M23" s="38">
        <f t="shared" si="7"/>
        <v>965.82501793989059</v>
      </c>
      <c r="N23" s="38">
        <f t="shared" si="8"/>
        <v>434.62125807295075</v>
      </c>
      <c r="O23" s="28">
        <f t="shared" si="9"/>
        <v>1400.4462760128413</v>
      </c>
      <c r="P23" s="27">
        <f t="shared" si="1"/>
        <v>0</v>
      </c>
      <c r="Q23" s="28">
        <v>35475.666407342178</v>
      </c>
      <c r="AF23">
        <v>31283.656443864355</v>
      </c>
      <c r="AG23">
        <f t="shared" si="10"/>
        <v>0.13400000000000001</v>
      </c>
      <c r="AK23" s="33">
        <v>100516208</v>
      </c>
      <c r="AL23" s="38">
        <v>41131.229126030012</v>
      </c>
      <c r="AN23" s="32">
        <f t="shared" si="11"/>
        <v>1</v>
      </c>
    </row>
    <row r="24" spans="1:40" x14ac:dyDescent="0.25">
      <c r="A24" s="33">
        <v>100516208</v>
      </c>
      <c r="B24" s="51" t="s">
        <v>42</v>
      </c>
      <c r="C24" s="52">
        <v>7790360968203</v>
      </c>
      <c r="D24" s="36">
        <f>60*0.08</f>
        <v>4.8</v>
      </c>
      <c r="E24" s="37">
        <v>60</v>
      </c>
      <c r="F24" s="38">
        <f t="shared" si="0"/>
        <v>41131.229126030012</v>
      </c>
      <c r="G24" s="37"/>
      <c r="H24" s="38">
        <f t="shared" si="2"/>
        <v>41131.229126030012</v>
      </c>
      <c r="I24" s="38">
        <f t="shared" si="3"/>
        <v>685.52048543383353</v>
      </c>
      <c r="J24" s="38">
        <f t="shared" si="4"/>
        <v>143.95930194110502</v>
      </c>
      <c r="K24" s="38">
        <f t="shared" si="5"/>
        <v>829.4797873749385</v>
      </c>
      <c r="L24" s="38">
        <f t="shared" si="6"/>
        <v>290.31792558122845</v>
      </c>
      <c r="M24" s="38">
        <f t="shared" si="7"/>
        <v>1119.7977129561668</v>
      </c>
      <c r="N24" s="38">
        <f t="shared" si="8"/>
        <v>503.90897083027511</v>
      </c>
      <c r="O24" s="28">
        <f t="shared" si="9"/>
        <v>1623.706683786442</v>
      </c>
      <c r="P24" s="27">
        <f t="shared" si="1"/>
        <v>0</v>
      </c>
      <c r="Q24" s="28">
        <v>41131.229126030012</v>
      </c>
      <c r="AF24">
        <v>36270.925155229284</v>
      </c>
      <c r="AG24">
        <f t="shared" si="10"/>
        <v>0.13400000000000009</v>
      </c>
      <c r="AK24" s="39">
        <v>100518346</v>
      </c>
      <c r="AL24" s="38">
        <v>58788.441909204194</v>
      </c>
      <c r="AN24" s="32">
        <f t="shared" si="11"/>
        <v>1</v>
      </c>
    </row>
    <row r="25" spans="1:40" x14ac:dyDescent="0.25">
      <c r="A25" s="39">
        <v>100518346</v>
      </c>
      <c r="B25" s="40" t="s">
        <v>43</v>
      </c>
      <c r="C25" s="35">
        <v>7790360975478</v>
      </c>
      <c r="D25" s="36">
        <f>60*0.109</f>
        <v>6.54</v>
      </c>
      <c r="E25" s="37">
        <v>60</v>
      </c>
      <c r="F25" s="38">
        <f t="shared" si="0"/>
        <v>58788.441909204194</v>
      </c>
      <c r="G25" s="37"/>
      <c r="H25" s="38">
        <f t="shared" si="2"/>
        <v>58788.441909204194</v>
      </c>
      <c r="I25" s="38">
        <f t="shared" si="3"/>
        <v>979.80736515340323</v>
      </c>
      <c r="J25" s="38">
        <f>I25*J3</f>
        <v>205.75954668221468</v>
      </c>
      <c r="K25" s="38">
        <f>J25+I25</f>
        <v>1185.5669118356179</v>
      </c>
      <c r="L25" s="38">
        <f>K25*L3</f>
        <v>414.94841914246626</v>
      </c>
      <c r="M25" s="38">
        <f>L25+K25</f>
        <v>1600.5153309780842</v>
      </c>
      <c r="N25" s="38">
        <f>M25*N3</f>
        <v>720.23189894013785</v>
      </c>
      <c r="O25" s="28">
        <f>N25+M25</f>
        <v>2320.7472299182218</v>
      </c>
      <c r="P25" s="27">
        <f t="shared" si="1"/>
        <v>0</v>
      </c>
      <c r="Q25" s="28">
        <v>58788.441909204194</v>
      </c>
      <c r="AF25">
        <v>51841.659531926089</v>
      </c>
      <c r="AG25">
        <f t="shared" si="10"/>
        <v>0.13400000000000017</v>
      </c>
      <c r="AK25" s="39">
        <v>100516259</v>
      </c>
      <c r="AL25" s="38">
        <v>136018.21056842804</v>
      </c>
      <c r="AN25" s="32">
        <f t="shared" si="11"/>
        <v>1</v>
      </c>
    </row>
    <row r="26" spans="1:40" x14ac:dyDescent="0.25">
      <c r="A26" s="39">
        <v>100516259</v>
      </c>
      <c r="B26" s="40" t="s">
        <v>44</v>
      </c>
      <c r="C26" s="35">
        <v>7790360968340</v>
      </c>
      <c r="D26" s="36">
        <v>18.16</v>
      </c>
      <c r="E26" s="37">
        <v>48</v>
      </c>
      <c r="F26" s="38">
        <f t="shared" si="0"/>
        <v>136018.21056842804</v>
      </c>
      <c r="G26" s="37"/>
      <c r="H26" s="38">
        <f t="shared" si="2"/>
        <v>136018.21056842804</v>
      </c>
      <c r="I26" s="38">
        <f t="shared" si="3"/>
        <v>2833.7127201755843</v>
      </c>
      <c r="J26" s="38">
        <f t="shared" si="4"/>
        <v>595.07967123687263</v>
      </c>
      <c r="K26" s="38">
        <f t="shared" si="5"/>
        <v>3428.7923914124567</v>
      </c>
      <c r="L26" s="38">
        <f t="shared" si="6"/>
        <v>1200.0773369943597</v>
      </c>
      <c r="M26" s="38">
        <f t="shared" si="7"/>
        <v>4628.8697284068166</v>
      </c>
      <c r="N26" s="38">
        <f t="shared" si="8"/>
        <v>2082.9913777830675</v>
      </c>
      <c r="O26" s="28">
        <f t="shared" si="9"/>
        <v>6711.8611061898846</v>
      </c>
      <c r="P26" s="27">
        <f t="shared" si="1"/>
        <v>0</v>
      </c>
      <c r="Q26" s="28">
        <v>136018.21056842804</v>
      </c>
      <c r="AF26">
        <v>119945.51196510409</v>
      </c>
      <c r="AG26">
        <f t="shared" si="10"/>
        <v>0.13400000000000004</v>
      </c>
      <c r="AK26" s="39">
        <v>100518095</v>
      </c>
      <c r="AL26" s="38">
        <v>67770.615852323346</v>
      </c>
      <c r="AN26" s="32">
        <f t="shared" si="11"/>
        <v>1</v>
      </c>
    </row>
    <row r="27" spans="1:40" x14ac:dyDescent="0.25">
      <c r="A27" s="39">
        <v>100518095</v>
      </c>
      <c r="B27" s="40" t="s">
        <v>45</v>
      </c>
      <c r="C27" s="35">
        <v>7790360974785</v>
      </c>
      <c r="D27" s="36">
        <v>6.66</v>
      </c>
      <c r="E27" s="37">
        <v>36</v>
      </c>
      <c r="F27" s="38">
        <f t="shared" si="0"/>
        <v>67770.615852323346</v>
      </c>
      <c r="G27" s="37"/>
      <c r="H27" s="38">
        <f t="shared" si="2"/>
        <v>67770.615852323346</v>
      </c>
      <c r="I27" s="38">
        <f t="shared" si="3"/>
        <v>1882.5171070089818</v>
      </c>
      <c r="J27" s="38">
        <f>+I27*J$3</f>
        <v>395.32859247188617</v>
      </c>
      <c r="K27" s="38">
        <f>+I27+J27</f>
        <v>2277.845699480868</v>
      </c>
      <c r="L27" s="38">
        <f>+K27*L$3</f>
        <v>797.24599481830376</v>
      </c>
      <c r="M27" s="38">
        <f>+K27+L27</f>
        <v>3075.0916942991716</v>
      </c>
      <c r="N27" s="38">
        <f>+M27*N$3</f>
        <v>1383.7912624346272</v>
      </c>
      <c r="O27" s="28">
        <f>+M27+N27</f>
        <v>4458.8829567337989</v>
      </c>
      <c r="P27" s="27">
        <f t="shared" si="1"/>
        <v>0</v>
      </c>
      <c r="Q27" s="28">
        <v>67770.615852323346</v>
      </c>
      <c r="AF27">
        <v>59762.447841554975</v>
      </c>
      <c r="AG27">
        <f t="shared" si="10"/>
        <v>0.13400000000000009</v>
      </c>
      <c r="AK27" s="39">
        <v>100518223</v>
      </c>
      <c r="AL27" s="38">
        <v>52763.190760900543</v>
      </c>
      <c r="AN27" s="32">
        <f t="shared" si="11"/>
        <v>1</v>
      </c>
    </row>
    <row r="28" spans="1:40" x14ac:dyDescent="0.25">
      <c r="A28" s="39">
        <v>100518223</v>
      </c>
      <c r="B28" s="40" t="s">
        <v>46</v>
      </c>
      <c r="C28" s="35">
        <v>7790360975065</v>
      </c>
      <c r="D28" s="36">
        <f>60*0.106</f>
        <v>6.3599999999999994</v>
      </c>
      <c r="E28" s="37">
        <v>30</v>
      </c>
      <c r="F28" s="38">
        <f t="shared" si="0"/>
        <v>52763.190760900543</v>
      </c>
      <c r="G28" s="37"/>
      <c r="H28" s="38">
        <f t="shared" si="2"/>
        <v>52763.190760900543</v>
      </c>
      <c r="I28" s="38">
        <f t="shared" si="3"/>
        <v>1758.7730253633515</v>
      </c>
      <c r="J28" s="38">
        <f>+I28*J$3</f>
        <v>369.34233532630378</v>
      </c>
      <c r="K28" s="38">
        <f>+I28+J28</f>
        <v>2128.1153606896551</v>
      </c>
      <c r="L28" s="38">
        <f>+K28*L$3</f>
        <v>744.8403762413792</v>
      </c>
      <c r="M28" s="38">
        <f>+K28+L28</f>
        <v>2872.9557369310342</v>
      </c>
      <c r="N28" s="38">
        <f>+M28*N$3</f>
        <v>1292.8300816189653</v>
      </c>
      <c r="O28" s="28">
        <f>+M28+N28</f>
        <v>4165.785818549999</v>
      </c>
      <c r="P28" s="27">
        <f t="shared" si="1"/>
        <v>0</v>
      </c>
      <c r="Q28" s="28">
        <v>52763.190760900543</v>
      </c>
      <c r="AF28">
        <v>46528.386914374372</v>
      </c>
      <c r="AG28">
        <f t="shared" si="10"/>
        <v>0.13400000000000009</v>
      </c>
      <c r="AK28" s="53"/>
      <c r="AL28" s="38" t="s">
        <v>47</v>
      </c>
      <c r="AN28" s="32">
        <f t="shared" si="11"/>
        <v>1</v>
      </c>
    </row>
    <row r="29" spans="1:40" x14ac:dyDescent="0.25">
      <c r="A29" s="53"/>
      <c r="B29" s="54"/>
      <c r="C29" s="55"/>
      <c r="D29" s="54"/>
      <c r="E29" s="56"/>
      <c r="F29" s="57" t="e">
        <f t="shared" si="0"/>
        <v>#N/A</v>
      </c>
      <c r="G29" s="56"/>
      <c r="H29" s="57" t="e">
        <f t="shared" si="2"/>
        <v>#N/A</v>
      </c>
      <c r="I29" s="58" t="e">
        <f t="shared" si="3"/>
        <v>#N/A</v>
      </c>
      <c r="J29" s="59"/>
      <c r="K29" s="58"/>
      <c r="L29" s="59"/>
      <c r="M29" s="58"/>
      <c r="N29" s="59"/>
      <c r="O29" s="60"/>
      <c r="P29" s="27" t="e">
        <f t="shared" si="1"/>
        <v>#N/A</v>
      </c>
      <c r="Q29" s="28" t="e">
        <v>#N/A</v>
      </c>
      <c r="Y29" t="s">
        <v>48</v>
      </c>
      <c r="Z29" t="s">
        <v>49</v>
      </c>
      <c r="AA29" t="s">
        <v>50</v>
      </c>
      <c r="AB29" t="s">
        <v>51</v>
      </c>
      <c r="AF29" t="e">
        <v>#N/A</v>
      </c>
      <c r="AG29" t="e">
        <f t="shared" si="10"/>
        <v>#N/A</v>
      </c>
      <c r="AK29" s="39">
        <v>100522204</v>
      </c>
      <c r="AL29" s="57">
        <v>23406.478578892373</v>
      </c>
      <c r="AN29" s="32" t="e">
        <f t="shared" si="11"/>
        <v>#N/A</v>
      </c>
    </row>
    <row r="30" spans="1:40" hidden="1" x14ac:dyDescent="0.25">
      <c r="A30" s="46">
        <v>100022085</v>
      </c>
      <c r="B30" s="47" t="s">
        <v>52</v>
      </c>
      <c r="C30" s="21">
        <v>7790360000132</v>
      </c>
      <c r="D30" s="22">
        <v>5.4</v>
      </c>
      <c r="E30" s="23">
        <v>24</v>
      </c>
      <c r="F30" s="24" t="e">
        <f t="shared" si="0"/>
        <v>#N/A</v>
      </c>
      <c r="G30" s="61">
        <f>0.0833333333333333*100%</f>
        <v>8.3333333333333301E-2</v>
      </c>
      <c r="H30" s="24" t="e">
        <f t="shared" si="2"/>
        <v>#N/A</v>
      </c>
      <c r="I30" s="24" t="e">
        <f t="shared" si="3"/>
        <v>#N/A</v>
      </c>
      <c r="J30" s="24" t="e">
        <f t="shared" si="4"/>
        <v>#N/A</v>
      </c>
      <c r="K30" s="24" t="e">
        <f t="shared" si="5"/>
        <v>#N/A</v>
      </c>
      <c r="L30" s="24" t="e">
        <f t="shared" si="6"/>
        <v>#N/A</v>
      </c>
      <c r="M30" s="24" t="e">
        <f t="shared" si="7"/>
        <v>#N/A</v>
      </c>
      <c r="N30" s="24" t="e">
        <f>+M30*0.438</f>
        <v>#N/A</v>
      </c>
      <c r="O30" s="26" t="e">
        <f t="shared" si="9"/>
        <v>#N/A</v>
      </c>
      <c r="P30" s="27" t="e">
        <f t="shared" si="1"/>
        <v>#N/A</v>
      </c>
      <c r="Q30" s="28">
        <v>20434.227330779057</v>
      </c>
      <c r="S30" s="1" t="s">
        <v>53</v>
      </c>
      <c r="Y30" s="29">
        <v>1900</v>
      </c>
      <c r="Z30" s="62">
        <v>2080</v>
      </c>
      <c r="AA30" s="62">
        <v>2435</v>
      </c>
      <c r="AB30" s="62">
        <v>2328</v>
      </c>
      <c r="AF30">
        <v>18238.814477058993</v>
      </c>
      <c r="AG30" t="e">
        <f t="shared" si="10"/>
        <v>#N/A</v>
      </c>
      <c r="AK30" s="39">
        <v>100522205</v>
      </c>
      <c r="AL30" s="38">
        <v>22236.154649947755</v>
      </c>
      <c r="AN30" s="32" t="e">
        <f t="shared" si="11"/>
        <v>#N/A</v>
      </c>
    </row>
    <row r="31" spans="1:40" x14ac:dyDescent="0.25">
      <c r="A31" s="46">
        <v>100522204</v>
      </c>
      <c r="B31" s="47" t="s">
        <v>52</v>
      </c>
      <c r="C31" s="21">
        <v>7790360983947</v>
      </c>
      <c r="D31" s="22">
        <v>5.4</v>
      </c>
      <c r="E31" s="23">
        <v>24</v>
      </c>
      <c r="F31" s="24">
        <f t="shared" si="0"/>
        <v>23406.478578892373</v>
      </c>
      <c r="G31" s="61">
        <v>8.3333333333333301E-2</v>
      </c>
      <c r="H31" s="24">
        <f t="shared" si="2"/>
        <v>21455.938697318012</v>
      </c>
      <c r="I31" s="24">
        <f t="shared" si="3"/>
        <v>893.99744572158386</v>
      </c>
      <c r="J31" s="24">
        <f t="shared" si="4"/>
        <v>187.73946360153261</v>
      </c>
      <c r="K31" s="24">
        <f t="shared" si="5"/>
        <v>1081.7369093231164</v>
      </c>
      <c r="L31" s="24">
        <f t="shared" si="6"/>
        <v>378.60791826309071</v>
      </c>
      <c r="M31" s="24">
        <f t="shared" si="7"/>
        <v>1460.344827586207</v>
      </c>
      <c r="N31" s="24">
        <f>+M31*0.438</f>
        <v>639.63103448275865</v>
      </c>
      <c r="O31" s="26">
        <f t="shared" si="9"/>
        <v>2099.9758620689654</v>
      </c>
      <c r="P31" s="27">
        <f t="shared" si="1"/>
        <v>5.0000000000000044E-2</v>
      </c>
      <c r="Q31" s="28">
        <v>20434.227330779057</v>
      </c>
      <c r="S31" s="1" t="s">
        <v>53</v>
      </c>
      <c r="T31" s="63"/>
      <c r="U31" s="63"/>
      <c r="V31" s="64"/>
      <c r="W31" s="29"/>
      <c r="Y31" s="29"/>
      <c r="Z31" s="62"/>
      <c r="AA31" s="62"/>
      <c r="AB31" s="62"/>
      <c r="AK31" s="39">
        <v>100516849</v>
      </c>
      <c r="AL31" s="38">
        <v>18023.643887147333</v>
      </c>
      <c r="AN31" s="32"/>
    </row>
    <row r="32" spans="1:40" hidden="1" x14ac:dyDescent="0.25">
      <c r="A32" s="46">
        <v>100022072</v>
      </c>
      <c r="B32" s="47" t="s">
        <v>54</v>
      </c>
      <c r="C32" s="21">
        <v>7790360024541</v>
      </c>
      <c r="D32" s="22">
        <v>5.4</v>
      </c>
      <c r="E32" s="23">
        <v>12</v>
      </c>
      <c r="F32" s="24" t="e">
        <f t="shared" si="0"/>
        <v>#N/A</v>
      </c>
      <c r="G32" s="61">
        <f>0.0833333333333333*100%</f>
        <v>8.3333333333333301E-2</v>
      </c>
      <c r="H32" s="24" t="e">
        <f t="shared" si="2"/>
        <v>#N/A</v>
      </c>
      <c r="I32" s="24" t="e">
        <f t="shared" si="3"/>
        <v>#N/A</v>
      </c>
      <c r="J32" s="24" t="e">
        <f t="shared" si="4"/>
        <v>#N/A</v>
      </c>
      <c r="K32" s="24" t="e">
        <f t="shared" si="5"/>
        <v>#N/A</v>
      </c>
      <c r="L32" s="24" t="e">
        <f>+K32*0.3388</f>
        <v>#N/A</v>
      </c>
      <c r="M32" s="24" t="e">
        <f t="shared" si="7"/>
        <v>#N/A</v>
      </c>
      <c r="N32" s="24" t="e">
        <f t="shared" si="8"/>
        <v>#N/A</v>
      </c>
      <c r="O32" s="26" t="e">
        <f t="shared" si="9"/>
        <v>#N/A</v>
      </c>
      <c r="P32" s="27" t="e">
        <f t="shared" si="1"/>
        <v>#N/A</v>
      </c>
      <c r="Q32" s="28">
        <v>19412.515964240105</v>
      </c>
      <c r="S32" s="1" t="s">
        <v>55</v>
      </c>
      <c r="Y32" s="29">
        <v>3600</v>
      </c>
      <c r="Z32" s="62">
        <v>4090</v>
      </c>
      <c r="AA32" s="62">
        <v>4495</v>
      </c>
      <c r="AB32">
        <v>4400</v>
      </c>
      <c r="AF32">
        <v>17225.547006111272</v>
      </c>
      <c r="AG32" t="e">
        <f t="shared" si="10"/>
        <v>#N/A</v>
      </c>
      <c r="AK32" s="39">
        <v>100522206</v>
      </c>
      <c r="AL32" s="38">
        <v>58843.878917983217</v>
      </c>
      <c r="AN32" s="32" t="e">
        <f t="shared" si="11"/>
        <v>#N/A</v>
      </c>
    </row>
    <row r="33" spans="1:40" x14ac:dyDescent="0.25">
      <c r="A33" s="46">
        <v>100522205</v>
      </c>
      <c r="B33" s="47" t="s">
        <v>54</v>
      </c>
      <c r="C33" s="21">
        <v>7790360983954</v>
      </c>
      <c r="D33" s="22">
        <v>5.4</v>
      </c>
      <c r="E33" s="23">
        <v>12</v>
      </c>
      <c r="F33" s="24">
        <f t="shared" si="0"/>
        <v>22236.154649947755</v>
      </c>
      <c r="G33" s="61">
        <f>0.0833333333333333*100%</f>
        <v>8.3333333333333301E-2</v>
      </c>
      <c r="H33" s="24">
        <f t="shared" si="2"/>
        <v>20383.141762452109</v>
      </c>
      <c r="I33" s="24">
        <f t="shared" si="3"/>
        <v>1698.5951468710091</v>
      </c>
      <c r="J33" s="24">
        <f t="shared" si="4"/>
        <v>356.70498084291188</v>
      </c>
      <c r="K33" s="24">
        <f t="shared" si="5"/>
        <v>2055.300127713921</v>
      </c>
      <c r="L33" s="24">
        <f>+K33*0.3388</f>
        <v>696.33568326947648</v>
      </c>
      <c r="M33" s="24">
        <f t="shared" si="7"/>
        <v>2751.6358109833973</v>
      </c>
      <c r="N33" s="24">
        <f t="shared" si="8"/>
        <v>1238.2361149425287</v>
      </c>
      <c r="O33" s="26">
        <f t="shared" si="9"/>
        <v>3989.871925925926</v>
      </c>
      <c r="P33" s="27">
        <f t="shared" si="1"/>
        <v>5.0000000000000044E-2</v>
      </c>
      <c r="Q33" s="28">
        <v>19412.515964240105</v>
      </c>
      <c r="S33" s="1" t="s">
        <v>55</v>
      </c>
      <c r="Y33" s="29"/>
      <c r="Z33" s="62"/>
      <c r="AA33" s="62"/>
      <c r="AK33" s="39">
        <v>100022058</v>
      </c>
      <c r="AL33" s="38">
        <v>15783.589451301053</v>
      </c>
      <c r="AN33" s="32"/>
    </row>
    <row r="34" spans="1:40" x14ac:dyDescent="0.25">
      <c r="A34" s="46">
        <v>100516849</v>
      </c>
      <c r="B34" s="47" t="s">
        <v>56</v>
      </c>
      <c r="C34" s="21">
        <v>7790360970053</v>
      </c>
      <c r="D34" s="22">
        <v>4.5599999990400004</v>
      </c>
      <c r="E34" s="23">
        <v>24</v>
      </c>
      <c r="F34" s="24">
        <f t="shared" si="0"/>
        <v>18023.643887147333</v>
      </c>
      <c r="G34" s="61"/>
      <c r="H34" s="24">
        <f t="shared" si="2"/>
        <v>18023.643887147333</v>
      </c>
      <c r="I34" s="24">
        <f t="shared" si="3"/>
        <v>750.98516196447224</v>
      </c>
      <c r="J34" s="24">
        <f t="shared" si="4"/>
        <v>157.70688401253918</v>
      </c>
      <c r="K34" s="24">
        <f t="shared" si="5"/>
        <v>908.69204597701139</v>
      </c>
      <c r="L34" s="24">
        <f>+K34*0.339</f>
        <v>308.04660358620686</v>
      </c>
      <c r="M34" s="24">
        <f t="shared" si="7"/>
        <v>1216.7386495632181</v>
      </c>
      <c r="N34" s="24">
        <f>+M34*0.4</f>
        <v>486.69545982528729</v>
      </c>
      <c r="O34" s="26">
        <f t="shared" si="9"/>
        <v>1703.4341093885055</v>
      </c>
      <c r="P34" s="27">
        <f t="shared" si="1"/>
        <v>5.0000000000000044E-2</v>
      </c>
      <c r="Q34" s="28">
        <v>17165.375130616507</v>
      </c>
      <c r="S34" s="1" t="s">
        <v>57</v>
      </c>
      <c r="Y34" s="29">
        <v>1650</v>
      </c>
      <c r="Z34" s="62">
        <v>1888</v>
      </c>
      <c r="AA34" t="s">
        <v>58</v>
      </c>
      <c r="AF34">
        <v>15705.64579968969</v>
      </c>
      <c r="AG34">
        <f t="shared" si="10"/>
        <v>0.14759011612903189</v>
      </c>
      <c r="AK34" s="39">
        <v>100518151</v>
      </c>
      <c r="AL34" s="38">
        <v>67038.026543010739</v>
      </c>
      <c r="AN34" s="32">
        <f t="shared" si="11"/>
        <v>0.95238095238095233</v>
      </c>
    </row>
    <row r="35" spans="1:40" hidden="1" x14ac:dyDescent="0.25">
      <c r="A35" s="39">
        <v>100022039</v>
      </c>
      <c r="B35" s="40" t="s">
        <v>59</v>
      </c>
      <c r="C35" s="35">
        <v>7790360007063</v>
      </c>
      <c r="D35" s="36">
        <v>8.6999999999999993</v>
      </c>
      <c r="E35" s="37">
        <v>10</v>
      </c>
      <c r="F35" s="38" t="e">
        <f t="shared" si="0"/>
        <v>#N/A</v>
      </c>
      <c r="G35" s="65"/>
      <c r="H35" s="38" t="e">
        <f t="shared" si="2"/>
        <v>#N/A</v>
      </c>
      <c r="I35" s="38" t="e">
        <f t="shared" si="3"/>
        <v>#N/A</v>
      </c>
      <c r="J35" s="38" t="e">
        <f t="shared" si="4"/>
        <v>#N/A</v>
      </c>
      <c r="K35" s="38" t="e">
        <f t="shared" si="5"/>
        <v>#N/A</v>
      </c>
      <c r="L35" s="38" t="e">
        <f t="shared" si="6"/>
        <v>#N/A</v>
      </c>
      <c r="M35" s="38" t="e">
        <f t="shared" si="7"/>
        <v>#N/A</v>
      </c>
      <c r="N35" s="38" t="e">
        <f t="shared" si="8"/>
        <v>#N/A</v>
      </c>
      <c r="O35" s="28" t="e">
        <f t="shared" si="9"/>
        <v>#N/A</v>
      </c>
      <c r="P35" s="27" t="e">
        <f t="shared" si="1"/>
        <v>#N/A</v>
      </c>
      <c r="Q35" s="28">
        <v>56041.789445698298</v>
      </c>
      <c r="Z35" t="s">
        <v>60</v>
      </c>
      <c r="AA35">
        <v>66</v>
      </c>
      <c r="AB35" t="s">
        <v>61</v>
      </c>
      <c r="AC35" t="s">
        <v>62</v>
      </c>
      <c r="AF35">
        <v>44083.413984393745</v>
      </c>
      <c r="AG35" t="e">
        <f t="shared" si="10"/>
        <v>#N/A</v>
      </c>
      <c r="AK35" s="53"/>
      <c r="AL35" s="38" t="s">
        <v>47</v>
      </c>
      <c r="AN35" s="32" t="e">
        <f t="shared" si="11"/>
        <v>#N/A</v>
      </c>
    </row>
    <row r="36" spans="1:40" x14ac:dyDescent="0.25">
      <c r="A36" s="39">
        <v>100522206</v>
      </c>
      <c r="B36" s="40" t="s">
        <v>59</v>
      </c>
      <c r="C36" s="35">
        <v>7790360983961</v>
      </c>
      <c r="D36" s="36">
        <v>8.6999999999999993</v>
      </c>
      <c r="E36" s="37">
        <v>10</v>
      </c>
      <c r="F36" s="38">
        <v>56041.789445698298</v>
      </c>
      <c r="G36" s="65"/>
      <c r="H36" s="38">
        <f t="shared" si="2"/>
        <v>56041.789445698298</v>
      </c>
      <c r="I36" s="38">
        <f t="shared" si="3"/>
        <v>5604.1789445698296</v>
      </c>
      <c r="J36" s="38">
        <f t="shared" si="4"/>
        <v>1176.8775783596641</v>
      </c>
      <c r="K36" s="38">
        <f t="shared" si="5"/>
        <v>6781.0565229294934</v>
      </c>
      <c r="L36" s="38">
        <f t="shared" si="6"/>
        <v>2373.3697830253227</v>
      </c>
      <c r="M36" s="38">
        <f t="shared" si="7"/>
        <v>9154.4263059548157</v>
      </c>
      <c r="N36" s="38">
        <f t="shared" si="8"/>
        <v>4119.4918376796668</v>
      </c>
      <c r="O36" s="28">
        <f t="shared" si="9"/>
        <v>13273.918143634482</v>
      </c>
      <c r="P36" s="27">
        <f t="shared" si="1"/>
        <v>0</v>
      </c>
      <c r="Q36" s="28">
        <v>56041.789445698298</v>
      </c>
      <c r="AK36" s="39">
        <v>100021000</v>
      </c>
      <c r="AL36" s="38">
        <v>12962.273708363024</v>
      </c>
      <c r="AN36" s="32"/>
    </row>
    <row r="37" spans="1:40" x14ac:dyDescent="0.25">
      <c r="A37" s="39">
        <v>100022058</v>
      </c>
      <c r="B37" s="40" t="s">
        <v>63</v>
      </c>
      <c r="C37" s="35">
        <v>7790360026002</v>
      </c>
      <c r="D37" s="36">
        <v>4.5599999990400004</v>
      </c>
      <c r="E37" s="37">
        <v>24</v>
      </c>
      <c r="F37" s="66">
        <f t="shared" ref="F37:F71" si="12">+VLOOKUP(A37,$AK$4:$AL$110,2,FALSE)</f>
        <v>15783.589451301053</v>
      </c>
      <c r="G37" s="65"/>
      <c r="H37" s="66">
        <f t="shared" si="2"/>
        <v>15783.589451301053</v>
      </c>
      <c r="I37" s="38">
        <f t="shared" si="3"/>
        <v>657.64956047087719</v>
      </c>
      <c r="J37" s="38">
        <f t="shared" si="4"/>
        <v>138.1064076988842</v>
      </c>
      <c r="K37" s="38">
        <f t="shared" si="5"/>
        <v>795.75596816976145</v>
      </c>
      <c r="L37" s="38">
        <f>+K37*0.3</f>
        <v>238.72679045092843</v>
      </c>
      <c r="M37" s="38">
        <f t="shared" si="7"/>
        <v>1034.4827586206898</v>
      </c>
      <c r="N37" s="38">
        <f t="shared" si="8"/>
        <v>465.51724137931041</v>
      </c>
      <c r="O37" s="28">
        <f t="shared" si="9"/>
        <v>1500.0000000000002</v>
      </c>
      <c r="P37" s="27">
        <f t="shared" si="1"/>
        <v>0</v>
      </c>
      <c r="Q37" s="28">
        <v>15783.589451301053</v>
      </c>
      <c r="S37" s="1"/>
      <c r="T37" s="67"/>
      <c r="Y37" s="29">
        <v>1130</v>
      </c>
      <c r="Z37" s="62">
        <v>1190</v>
      </c>
      <c r="AA37" s="62">
        <v>1000</v>
      </c>
      <c r="AB37" s="62">
        <v>1198</v>
      </c>
      <c r="AC37" s="62">
        <v>1500</v>
      </c>
      <c r="AD37" s="29" t="s">
        <v>64</v>
      </c>
      <c r="AF37">
        <v>11449.922421709256</v>
      </c>
      <c r="AG37">
        <f t="shared" si="10"/>
        <v>0.37848876786929908</v>
      </c>
      <c r="AK37" s="39">
        <v>100021001</v>
      </c>
      <c r="AL37" s="66">
        <v>12962.273708363024</v>
      </c>
      <c r="AN37" s="32">
        <f t="shared" si="11"/>
        <v>1</v>
      </c>
    </row>
    <row r="38" spans="1:40" x14ac:dyDescent="0.25">
      <c r="A38" s="39">
        <v>100518151</v>
      </c>
      <c r="B38" s="40" t="s">
        <v>65</v>
      </c>
      <c r="C38" s="35">
        <v>7790360974990</v>
      </c>
      <c r="D38" s="36">
        <v>8.6999999999999993</v>
      </c>
      <c r="E38" s="37">
        <v>10</v>
      </c>
      <c r="F38" s="66">
        <f t="shared" si="12"/>
        <v>67038.026543010739</v>
      </c>
      <c r="G38" s="37"/>
      <c r="H38" s="66">
        <f t="shared" si="2"/>
        <v>67038.026543010739</v>
      </c>
      <c r="I38" s="38">
        <f t="shared" si="3"/>
        <v>6703.8026543010737</v>
      </c>
      <c r="J38" s="38">
        <f>+I38*J$3</f>
        <v>1407.7985574032255</v>
      </c>
      <c r="K38" s="38">
        <f>+I38+J38</f>
        <v>8111.6012117042992</v>
      </c>
      <c r="L38" s="50">
        <f>+K38*0.3</f>
        <v>2433.4803635112899</v>
      </c>
      <c r="M38" s="38">
        <f>+K38+L38</f>
        <v>10545.081575215589</v>
      </c>
      <c r="N38" s="38">
        <f>+M38*N$3</f>
        <v>4745.2867088470148</v>
      </c>
      <c r="O38" s="28">
        <f>+M38+N38</f>
        <v>15290.368284062602</v>
      </c>
      <c r="P38" s="27">
        <f t="shared" si="1"/>
        <v>5.0000000000000044E-2</v>
      </c>
      <c r="Q38" s="28">
        <v>63845.739564772135</v>
      </c>
      <c r="AF38">
        <v>50222.132380351351</v>
      </c>
      <c r="AG38">
        <f t="shared" si="10"/>
        <v>0.33483035000000022</v>
      </c>
      <c r="AK38" s="68">
        <v>100522277</v>
      </c>
      <c r="AL38" s="66">
        <v>12962.273708363024</v>
      </c>
      <c r="AN38" s="32">
        <f t="shared" si="11"/>
        <v>0.95238095238095244</v>
      </c>
    </row>
    <row r="39" spans="1:40" x14ac:dyDescent="0.25">
      <c r="A39" s="53"/>
      <c r="B39" s="54"/>
      <c r="C39" s="55"/>
      <c r="D39" s="54"/>
      <c r="E39" s="56"/>
      <c r="F39" s="57" t="e">
        <f t="shared" si="12"/>
        <v>#N/A</v>
      </c>
      <c r="G39" s="56"/>
      <c r="H39" s="57" t="e">
        <f t="shared" si="2"/>
        <v>#N/A</v>
      </c>
      <c r="I39" s="58" t="e">
        <f t="shared" si="3"/>
        <v>#N/A</v>
      </c>
      <c r="J39" s="59">
        <v>0.21</v>
      </c>
      <c r="K39" s="58"/>
      <c r="L39" s="17">
        <v>0.22</v>
      </c>
      <c r="M39" s="16"/>
      <c r="N39" s="17">
        <v>0.35</v>
      </c>
      <c r="O39" s="60"/>
      <c r="P39" s="27" t="e">
        <f t="shared" si="1"/>
        <v>#N/A</v>
      </c>
      <c r="Q39" s="28" t="e">
        <v>#N/A</v>
      </c>
      <c r="Y39">
        <f>+Y37*24</f>
        <v>27120</v>
      </c>
      <c r="AF39" t="e">
        <v>#N/A</v>
      </c>
      <c r="AG39" t="e">
        <f t="shared" si="10"/>
        <v>#N/A</v>
      </c>
      <c r="AK39" s="68">
        <v>100522333</v>
      </c>
      <c r="AL39" s="57">
        <v>12962.273708363024</v>
      </c>
      <c r="AN39" s="32" t="e">
        <f t="shared" si="11"/>
        <v>#N/A</v>
      </c>
    </row>
    <row r="40" spans="1:40" ht="15.75" x14ac:dyDescent="0.25">
      <c r="A40" s="46">
        <v>100021000</v>
      </c>
      <c r="B40" s="47" t="s">
        <v>66</v>
      </c>
      <c r="C40" s="21">
        <v>7790360720382</v>
      </c>
      <c r="D40" s="22">
        <v>2.16</v>
      </c>
      <c r="E40" s="23">
        <v>24</v>
      </c>
      <c r="F40" s="24">
        <f t="shared" si="12"/>
        <v>12962.273708363024</v>
      </c>
      <c r="G40" s="61"/>
      <c r="H40" s="24">
        <f t="shared" si="2"/>
        <v>12962.273708363024</v>
      </c>
      <c r="I40" s="24">
        <f t="shared" si="3"/>
        <v>540.09473784845932</v>
      </c>
      <c r="J40" s="24">
        <f t="shared" si="4"/>
        <v>113.41989494817645</v>
      </c>
      <c r="K40" s="24">
        <f t="shared" si="5"/>
        <v>653.51463279663574</v>
      </c>
      <c r="L40" s="24">
        <f>+K40*L$39</f>
        <v>143.77321921525987</v>
      </c>
      <c r="M40" s="24">
        <f t="shared" si="7"/>
        <v>797.28785201189567</v>
      </c>
      <c r="N40" s="24">
        <f>+M40*N$39</f>
        <v>279.05074820416348</v>
      </c>
      <c r="O40" s="26">
        <f t="shared" si="9"/>
        <v>1076.3386002160591</v>
      </c>
      <c r="P40" s="27">
        <f>H40/Q40-1</f>
        <v>5.0000000000000044E-2</v>
      </c>
      <c r="Q40" s="28">
        <v>12345.022579393355</v>
      </c>
      <c r="S40" s="69"/>
      <c r="T40" s="1"/>
      <c r="U40" s="1"/>
      <c r="V40" s="1"/>
      <c r="W40" s="1"/>
      <c r="X40" s="1"/>
      <c r="Y40" s="29">
        <f>+Y39/1.21/1.35/1.45</f>
        <v>11449.922421709256</v>
      </c>
      <c r="Z40" s="29" t="s">
        <v>67</v>
      </c>
      <c r="AF40">
        <v>10353.088375875002</v>
      </c>
      <c r="AG40">
        <f t="shared" si="10"/>
        <v>0.2520200000000003</v>
      </c>
      <c r="AK40" s="39">
        <v>100021045</v>
      </c>
      <c r="AL40" s="38">
        <v>12962.273708363022</v>
      </c>
      <c r="AN40" s="32">
        <f t="shared" si="11"/>
        <v>0.95238095238095233</v>
      </c>
    </row>
    <row r="41" spans="1:40" ht="15.75" x14ac:dyDescent="0.25">
      <c r="A41" s="46">
        <v>100021001</v>
      </c>
      <c r="B41" s="47" t="s">
        <v>68</v>
      </c>
      <c r="C41" s="21">
        <v>7790360720115</v>
      </c>
      <c r="D41" s="22">
        <v>2.16</v>
      </c>
      <c r="E41" s="23">
        <v>24</v>
      </c>
      <c r="F41" s="24">
        <f t="shared" si="12"/>
        <v>12962.273708363024</v>
      </c>
      <c r="G41" s="61"/>
      <c r="H41" s="24">
        <f t="shared" si="2"/>
        <v>12962.273708363024</v>
      </c>
      <c r="I41" s="24">
        <f t="shared" si="3"/>
        <v>540.09473784845932</v>
      </c>
      <c r="J41" s="24">
        <f t="shared" si="4"/>
        <v>113.41989494817645</v>
      </c>
      <c r="K41" s="24">
        <f t="shared" si="5"/>
        <v>653.51463279663574</v>
      </c>
      <c r="L41" s="24">
        <f t="shared" ref="L41:L56" si="13">+K41*L$39</f>
        <v>143.77321921525987</v>
      </c>
      <c r="M41" s="24">
        <f t="shared" si="7"/>
        <v>797.28785201189567</v>
      </c>
      <c r="N41" s="24">
        <f t="shared" ref="N41:N56" si="14">+M41*N$39</f>
        <v>279.05074820416348</v>
      </c>
      <c r="O41" s="26">
        <f t="shared" si="9"/>
        <v>1076.3386002160591</v>
      </c>
      <c r="P41" s="27">
        <f t="shared" ref="P41:P109" si="15">H41/Q41-1</f>
        <v>5.0000000000000044E-2</v>
      </c>
      <c r="Q41" s="28">
        <v>12345.022579393355</v>
      </c>
      <c r="S41" s="69"/>
      <c r="T41" s="1"/>
      <c r="U41" s="1"/>
      <c r="V41" s="1"/>
      <c r="W41" s="1"/>
      <c r="X41" s="1"/>
      <c r="Y41" s="67">
        <f>+F37-Y40</f>
        <v>4333.6670295917975</v>
      </c>
      <c r="AF41">
        <v>10353.088375875002</v>
      </c>
      <c r="AG41">
        <f t="shared" si="10"/>
        <v>0.2520200000000003</v>
      </c>
      <c r="AK41" s="39">
        <v>100021004</v>
      </c>
      <c r="AL41" s="38">
        <v>12962.273708363022</v>
      </c>
      <c r="AN41" s="32">
        <f t="shared" si="11"/>
        <v>0.95238095238095233</v>
      </c>
    </row>
    <row r="42" spans="1:40" ht="15.75" x14ac:dyDescent="0.25">
      <c r="A42" s="70">
        <v>100522277</v>
      </c>
      <c r="B42" s="47" t="s">
        <v>69</v>
      </c>
      <c r="C42" s="21"/>
      <c r="D42" s="22">
        <v>2.16</v>
      </c>
      <c r="E42" s="23">
        <v>24</v>
      </c>
      <c r="F42" s="24">
        <f t="shared" si="12"/>
        <v>12962.273708363024</v>
      </c>
      <c r="G42" s="61"/>
      <c r="H42" s="24">
        <f t="shared" si="2"/>
        <v>12962.273708363024</v>
      </c>
      <c r="I42" s="24">
        <f t="shared" si="3"/>
        <v>540.09473784845932</v>
      </c>
      <c r="J42" s="24">
        <f t="shared" si="4"/>
        <v>113.41989494817645</v>
      </c>
      <c r="K42" s="24">
        <f t="shared" si="5"/>
        <v>653.51463279663574</v>
      </c>
      <c r="L42" s="24">
        <f t="shared" si="13"/>
        <v>143.77321921525987</v>
      </c>
      <c r="M42" s="24">
        <f t="shared" si="7"/>
        <v>797.28785201189567</v>
      </c>
      <c r="N42" s="24">
        <f t="shared" si="14"/>
        <v>279.05074820416348</v>
      </c>
      <c r="O42" s="26">
        <f t="shared" si="9"/>
        <v>1076.3386002160591</v>
      </c>
      <c r="P42" s="27">
        <f t="shared" si="15"/>
        <v>5.0000000000000044E-2</v>
      </c>
      <c r="Q42" s="28">
        <v>12345.022579393355</v>
      </c>
      <c r="S42" s="69"/>
      <c r="T42" s="1"/>
      <c r="U42" s="1"/>
      <c r="V42" s="1"/>
      <c r="W42" s="1"/>
      <c r="X42" s="1"/>
      <c r="Y42" s="67"/>
      <c r="AK42" s="39">
        <v>100021006</v>
      </c>
      <c r="AL42" s="38">
        <v>12962.273708363022</v>
      </c>
      <c r="AN42" s="32">
        <f t="shared" si="11"/>
        <v>0.95238095238095233</v>
      </c>
    </row>
    <row r="43" spans="1:40" x14ac:dyDescent="0.25">
      <c r="A43" s="70">
        <v>100522333</v>
      </c>
      <c r="B43" s="47" t="s">
        <v>70</v>
      </c>
      <c r="C43" s="21"/>
      <c r="D43" s="22">
        <v>2.16</v>
      </c>
      <c r="E43" s="23">
        <v>24</v>
      </c>
      <c r="F43" s="24">
        <f t="shared" si="12"/>
        <v>12962.273708363024</v>
      </c>
      <c r="G43" s="61"/>
      <c r="H43" s="24">
        <f t="shared" si="2"/>
        <v>12962.273708363024</v>
      </c>
      <c r="I43" s="24">
        <f t="shared" si="3"/>
        <v>540.09473784845932</v>
      </c>
      <c r="J43" s="24">
        <f t="shared" si="4"/>
        <v>113.41989494817645</v>
      </c>
      <c r="K43" s="24">
        <f t="shared" si="5"/>
        <v>653.51463279663574</v>
      </c>
      <c r="L43" s="24">
        <f t="shared" si="13"/>
        <v>143.77321921525987</v>
      </c>
      <c r="M43" s="24">
        <f t="shared" si="7"/>
        <v>797.28785201189567</v>
      </c>
      <c r="N43" s="24">
        <f t="shared" si="14"/>
        <v>279.05074820416348</v>
      </c>
      <c r="O43" s="26">
        <f t="shared" si="9"/>
        <v>1076.3386002160591</v>
      </c>
      <c r="P43" s="27">
        <f t="shared" si="15"/>
        <v>5.0000000000000044E-2</v>
      </c>
      <c r="Q43" s="28">
        <v>12345.022579393355</v>
      </c>
      <c r="S43" s="1"/>
      <c r="T43" s="1"/>
      <c r="U43" s="1"/>
      <c r="V43" s="1"/>
      <c r="W43" s="1"/>
      <c r="X43" s="1"/>
      <c r="Y43" s="67"/>
      <c r="AK43" s="39">
        <v>100021007</v>
      </c>
      <c r="AL43" s="38">
        <v>15499.254843517137</v>
      </c>
      <c r="AN43" s="32">
        <f t="shared" si="11"/>
        <v>0.95238095238095233</v>
      </c>
    </row>
    <row r="44" spans="1:40" x14ac:dyDescent="0.25">
      <c r="A44" s="46">
        <v>100021045</v>
      </c>
      <c r="B44" s="47" t="s">
        <v>71</v>
      </c>
      <c r="C44" s="21">
        <v>7790360966582</v>
      </c>
      <c r="D44" s="22">
        <v>2.16</v>
      </c>
      <c r="E44" s="23">
        <v>24</v>
      </c>
      <c r="F44" s="24">
        <f t="shared" si="12"/>
        <v>12962.273708363022</v>
      </c>
      <c r="G44" s="61"/>
      <c r="H44" s="24">
        <f t="shared" si="2"/>
        <v>12962.273708363022</v>
      </c>
      <c r="I44" s="24">
        <f t="shared" si="3"/>
        <v>540.0947378484592</v>
      </c>
      <c r="J44" s="24">
        <f t="shared" si="4"/>
        <v>113.41989494817643</v>
      </c>
      <c r="K44" s="24">
        <f t="shared" si="5"/>
        <v>653.51463279663562</v>
      </c>
      <c r="L44" s="24">
        <f t="shared" si="13"/>
        <v>143.77321921525984</v>
      </c>
      <c r="M44" s="24">
        <f t="shared" si="7"/>
        <v>797.28785201189544</v>
      </c>
      <c r="N44" s="24">
        <f t="shared" si="14"/>
        <v>279.05074820416337</v>
      </c>
      <c r="O44" s="26">
        <f t="shared" si="9"/>
        <v>1076.3386002160587</v>
      </c>
      <c r="P44" s="27">
        <f t="shared" si="15"/>
        <v>5.0000000000000044E-2</v>
      </c>
      <c r="Q44" s="28">
        <v>12345.022579393353</v>
      </c>
      <c r="S44" s="1"/>
      <c r="T44" s="1"/>
      <c r="U44" s="1"/>
      <c r="V44" s="1"/>
      <c r="W44" s="1"/>
      <c r="X44" s="1"/>
      <c r="Y44">
        <f>+Y41/F37</f>
        <v>0.27456790123456803</v>
      </c>
      <c r="AF44">
        <v>10088.4</v>
      </c>
      <c r="AG44">
        <f t="shared" si="10"/>
        <v>0.28486912774701856</v>
      </c>
      <c r="AK44" s="39">
        <v>100021013</v>
      </c>
      <c r="AL44" s="38">
        <v>15499.254843517137</v>
      </c>
      <c r="AN44" s="32">
        <f t="shared" si="11"/>
        <v>0.95238095238095233</v>
      </c>
    </row>
    <row r="45" spans="1:40" x14ac:dyDescent="0.25">
      <c r="A45" s="46">
        <v>100021004</v>
      </c>
      <c r="B45" s="47" t="s">
        <v>72</v>
      </c>
      <c r="C45" s="21">
        <v>7790360964526</v>
      </c>
      <c r="D45" s="22">
        <v>2.1120000000000001</v>
      </c>
      <c r="E45" s="23">
        <v>24</v>
      </c>
      <c r="F45" s="24">
        <f t="shared" si="12"/>
        <v>12962.273708363022</v>
      </c>
      <c r="G45" s="61"/>
      <c r="H45" s="24">
        <f t="shared" si="2"/>
        <v>12962.273708363022</v>
      </c>
      <c r="I45" s="24">
        <f t="shared" si="3"/>
        <v>540.0947378484592</v>
      </c>
      <c r="J45" s="24">
        <f t="shared" si="4"/>
        <v>113.41989494817643</v>
      </c>
      <c r="K45" s="24">
        <f t="shared" si="5"/>
        <v>653.51463279663562</v>
      </c>
      <c r="L45" s="24">
        <f t="shared" si="13"/>
        <v>143.77321921525984</v>
      </c>
      <c r="M45" s="24">
        <f t="shared" si="7"/>
        <v>797.28785201189544</v>
      </c>
      <c r="N45" s="24">
        <f t="shared" si="14"/>
        <v>279.05074820416337</v>
      </c>
      <c r="O45" s="26">
        <f t="shared" si="9"/>
        <v>1076.3386002160587</v>
      </c>
      <c r="P45" s="27">
        <f t="shared" si="15"/>
        <v>5.0000000000000044E-2</v>
      </c>
      <c r="Q45" s="28">
        <v>12345.022579393353</v>
      </c>
      <c r="S45" s="1"/>
      <c r="T45" s="1"/>
      <c r="U45" s="1"/>
      <c r="V45" s="1"/>
      <c r="W45" s="1"/>
      <c r="X45" s="1"/>
      <c r="AF45">
        <v>10088.4</v>
      </c>
      <c r="AG45">
        <f t="shared" si="10"/>
        <v>0.28486912774701856</v>
      </c>
      <c r="AK45" s="39">
        <v>100021014</v>
      </c>
      <c r="AL45" s="38">
        <v>15499.254843517137</v>
      </c>
      <c r="AN45" s="32">
        <f t="shared" si="11"/>
        <v>0.95238095238095233</v>
      </c>
    </row>
    <row r="46" spans="1:40" x14ac:dyDescent="0.25">
      <c r="A46" s="46">
        <v>100021006</v>
      </c>
      <c r="B46" s="47" t="s">
        <v>73</v>
      </c>
      <c r="C46" s="21">
        <v>7790360964557</v>
      </c>
      <c r="D46" s="22">
        <v>2.1120000000000001</v>
      </c>
      <c r="E46" s="23">
        <v>24</v>
      </c>
      <c r="F46" s="24">
        <f t="shared" si="12"/>
        <v>12962.273708363022</v>
      </c>
      <c r="G46" s="61"/>
      <c r="H46" s="24">
        <f t="shared" si="2"/>
        <v>12962.273708363022</v>
      </c>
      <c r="I46" s="24">
        <f t="shared" si="3"/>
        <v>540.0947378484592</v>
      </c>
      <c r="J46" s="24">
        <f t="shared" si="4"/>
        <v>113.41989494817643</v>
      </c>
      <c r="K46" s="24">
        <f t="shared" si="5"/>
        <v>653.51463279663562</v>
      </c>
      <c r="L46" s="24">
        <f t="shared" si="13"/>
        <v>143.77321921525984</v>
      </c>
      <c r="M46" s="24">
        <f t="shared" si="7"/>
        <v>797.28785201189544</v>
      </c>
      <c r="N46" s="24">
        <f t="shared" si="14"/>
        <v>279.05074820416337</v>
      </c>
      <c r="O46" s="26">
        <f t="shared" si="9"/>
        <v>1076.3386002160587</v>
      </c>
      <c r="P46" s="27">
        <f t="shared" si="15"/>
        <v>5.0000000000000044E-2</v>
      </c>
      <c r="Q46" s="28">
        <v>12345.022579393353</v>
      </c>
      <c r="S46" s="1"/>
      <c r="T46" s="1"/>
      <c r="U46" s="1"/>
      <c r="V46" s="1"/>
      <c r="W46" s="1"/>
      <c r="X46" s="1"/>
      <c r="Y46">
        <f>+Y34*24</f>
        <v>39600</v>
      </c>
      <c r="AF46">
        <v>10088.4</v>
      </c>
      <c r="AG46">
        <f t="shared" si="10"/>
        <v>0.28486912774701856</v>
      </c>
      <c r="AK46" s="39">
        <v>100021054</v>
      </c>
      <c r="AL46" s="38">
        <v>15499.254843517137</v>
      </c>
      <c r="AN46" s="32">
        <f t="shared" si="11"/>
        <v>0.95238095238095233</v>
      </c>
    </row>
    <row r="47" spans="1:40" x14ac:dyDescent="0.25">
      <c r="A47" s="46">
        <v>100021007</v>
      </c>
      <c r="B47" s="47" t="s">
        <v>74</v>
      </c>
      <c r="C47" s="21">
        <v>7790360964540</v>
      </c>
      <c r="D47" s="22">
        <v>2.04</v>
      </c>
      <c r="E47" s="23">
        <v>24</v>
      </c>
      <c r="F47" s="24">
        <f t="shared" si="12"/>
        <v>15499.254843517137</v>
      </c>
      <c r="G47" s="61"/>
      <c r="H47" s="24">
        <f t="shared" si="2"/>
        <v>15499.254843517137</v>
      </c>
      <c r="I47" s="24">
        <f t="shared" si="3"/>
        <v>645.80228514654743</v>
      </c>
      <c r="J47" s="24">
        <f t="shared" si="4"/>
        <v>135.61847988077497</v>
      </c>
      <c r="K47" s="24">
        <f t="shared" si="5"/>
        <v>781.42076502732243</v>
      </c>
      <c r="L47" s="24">
        <f t="shared" si="13"/>
        <v>171.91256830601094</v>
      </c>
      <c r="M47" s="24">
        <f t="shared" si="7"/>
        <v>953.33333333333337</v>
      </c>
      <c r="N47" s="24">
        <f t="shared" si="14"/>
        <v>333.66666666666669</v>
      </c>
      <c r="O47" s="26">
        <f t="shared" si="9"/>
        <v>1287</v>
      </c>
      <c r="P47" s="27">
        <f t="shared" si="15"/>
        <v>9.9827334312910576E-2</v>
      </c>
      <c r="Q47" s="28">
        <v>14092.44375</v>
      </c>
      <c r="S47" s="1"/>
      <c r="T47" s="1"/>
      <c r="U47" s="1"/>
      <c r="V47" s="1"/>
      <c r="W47" s="1"/>
      <c r="X47" s="1"/>
      <c r="Y47" s="71">
        <f>+Y46/1.21/1.35/1.45</f>
        <v>16718.913270637408</v>
      </c>
      <c r="Z47" s="71"/>
      <c r="AA47" s="71"/>
      <c r="AB47" s="71"/>
      <c r="AC47" s="71"/>
      <c r="AF47">
        <v>11917.5</v>
      </c>
      <c r="AG47">
        <f t="shared" si="10"/>
        <v>0.3005458228250168</v>
      </c>
      <c r="AK47" s="39">
        <v>100021055</v>
      </c>
      <c r="AL47" s="38">
        <v>15499.254843517137</v>
      </c>
      <c r="AN47" s="32">
        <f t="shared" si="11"/>
        <v>0.9092336304086539</v>
      </c>
    </row>
    <row r="48" spans="1:40" x14ac:dyDescent="0.25">
      <c r="A48" s="46">
        <v>100021013</v>
      </c>
      <c r="B48" s="47" t="s">
        <v>75</v>
      </c>
      <c r="C48" s="21">
        <v>7790360965714</v>
      </c>
      <c r="D48" s="22">
        <v>2.04</v>
      </c>
      <c r="E48" s="23">
        <v>24</v>
      </c>
      <c r="F48" s="24">
        <f t="shared" si="12"/>
        <v>15499.254843517137</v>
      </c>
      <c r="G48" s="61"/>
      <c r="H48" s="24">
        <f t="shared" si="2"/>
        <v>15499.254843517137</v>
      </c>
      <c r="I48" s="24">
        <f t="shared" si="3"/>
        <v>645.80228514654743</v>
      </c>
      <c r="J48" s="24">
        <f t="shared" si="4"/>
        <v>135.61847988077497</v>
      </c>
      <c r="K48" s="24">
        <f t="shared" si="5"/>
        <v>781.42076502732243</v>
      </c>
      <c r="L48" s="24">
        <f t="shared" si="13"/>
        <v>171.91256830601094</v>
      </c>
      <c r="M48" s="24">
        <f t="shared" si="7"/>
        <v>953.33333333333337</v>
      </c>
      <c r="N48" s="24">
        <f t="shared" si="14"/>
        <v>333.66666666666669</v>
      </c>
      <c r="O48" s="26">
        <f t="shared" si="9"/>
        <v>1287</v>
      </c>
      <c r="P48" s="27">
        <f t="shared" si="15"/>
        <v>9.9827334312910576E-2</v>
      </c>
      <c r="Q48" s="28">
        <v>14092.44375</v>
      </c>
      <c r="S48" s="1"/>
      <c r="T48" s="1"/>
      <c r="U48" s="1"/>
      <c r="V48" s="1"/>
      <c r="W48" s="1"/>
      <c r="X48" s="1"/>
      <c r="Y48" s="72">
        <f>+F34-Y47</f>
        <v>1304.7306165099253</v>
      </c>
      <c r="Z48" s="72"/>
      <c r="AA48" s="72"/>
      <c r="AB48" s="72"/>
      <c r="AC48" s="72"/>
      <c r="AF48">
        <v>11917.5</v>
      </c>
      <c r="AG48">
        <f t="shared" si="10"/>
        <v>0.3005458228250168</v>
      </c>
      <c r="AK48" s="39">
        <v>100021015</v>
      </c>
      <c r="AL48" s="38">
        <v>15499.254843517137</v>
      </c>
      <c r="AN48" s="32">
        <f t="shared" si="11"/>
        <v>0.9092336304086539</v>
      </c>
    </row>
    <row r="49" spans="1:40" x14ac:dyDescent="0.25">
      <c r="A49" s="46">
        <v>100021014</v>
      </c>
      <c r="B49" s="47" t="s">
        <v>76</v>
      </c>
      <c r="C49" s="21">
        <v>7790360965721</v>
      </c>
      <c r="D49" s="22">
        <v>2.04</v>
      </c>
      <c r="E49" s="23">
        <v>24</v>
      </c>
      <c r="F49" s="24">
        <f t="shared" si="12"/>
        <v>15499.254843517137</v>
      </c>
      <c r="G49" s="61"/>
      <c r="H49" s="24">
        <f t="shared" si="2"/>
        <v>15499.254843517137</v>
      </c>
      <c r="I49" s="24">
        <f t="shared" si="3"/>
        <v>645.80228514654743</v>
      </c>
      <c r="J49" s="24">
        <f t="shared" si="4"/>
        <v>135.61847988077497</v>
      </c>
      <c r="K49" s="24">
        <f t="shared" si="5"/>
        <v>781.42076502732243</v>
      </c>
      <c r="L49" s="24">
        <f t="shared" si="13"/>
        <v>171.91256830601094</v>
      </c>
      <c r="M49" s="24">
        <f t="shared" si="7"/>
        <v>953.33333333333337</v>
      </c>
      <c r="N49" s="24">
        <f t="shared" si="14"/>
        <v>333.66666666666669</v>
      </c>
      <c r="O49" s="26">
        <f t="shared" si="9"/>
        <v>1287</v>
      </c>
      <c r="P49" s="27">
        <f t="shared" si="15"/>
        <v>9.9827334312910576E-2</v>
      </c>
      <c r="Q49" s="28">
        <v>14092.44375</v>
      </c>
      <c r="S49" s="1"/>
      <c r="T49" s="1"/>
      <c r="U49" s="1"/>
      <c r="V49" s="1"/>
      <c r="W49" s="1"/>
      <c r="X49" s="1"/>
      <c r="Y49" s="72">
        <f>+Y48/F34</f>
        <v>7.2389946488031154E-2</v>
      </c>
      <c r="Z49" s="72"/>
      <c r="AA49" s="72"/>
      <c r="AB49" s="72"/>
      <c r="AC49" s="72"/>
      <c r="AF49">
        <v>11917.5</v>
      </c>
      <c r="AG49">
        <f t="shared" si="10"/>
        <v>0.3005458228250168</v>
      </c>
      <c r="AK49" s="39">
        <v>100021008</v>
      </c>
      <c r="AL49" s="38">
        <v>10971.006927240942</v>
      </c>
      <c r="AN49" s="32">
        <f t="shared" si="11"/>
        <v>0.9092336304086539</v>
      </c>
    </row>
    <row r="50" spans="1:40" x14ac:dyDescent="0.25">
      <c r="A50" s="46">
        <v>100021054</v>
      </c>
      <c r="B50" s="47" t="s">
        <v>77</v>
      </c>
      <c r="C50" s="21">
        <v>7790360965707</v>
      </c>
      <c r="D50" s="22">
        <v>2.04</v>
      </c>
      <c r="E50" s="23">
        <v>24</v>
      </c>
      <c r="F50" s="24">
        <f t="shared" si="12"/>
        <v>15499.254843517137</v>
      </c>
      <c r="G50" s="61"/>
      <c r="H50" s="24">
        <f t="shared" si="2"/>
        <v>15499.254843517137</v>
      </c>
      <c r="I50" s="24">
        <f t="shared" si="3"/>
        <v>645.80228514654743</v>
      </c>
      <c r="J50" s="24">
        <f t="shared" si="4"/>
        <v>135.61847988077497</v>
      </c>
      <c r="K50" s="24">
        <f t="shared" si="5"/>
        <v>781.42076502732243</v>
      </c>
      <c r="L50" s="24">
        <f t="shared" si="13"/>
        <v>171.91256830601094</v>
      </c>
      <c r="M50" s="24">
        <f t="shared" si="7"/>
        <v>953.33333333333337</v>
      </c>
      <c r="N50" s="24">
        <f t="shared" si="14"/>
        <v>333.66666666666669</v>
      </c>
      <c r="O50" s="26">
        <f t="shared" si="9"/>
        <v>1287</v>
      </c>
      <c r="P50" s="27">
        <f t="shared" si="15"/>
        <v>9.9827334312910576E-2</v>
      </c>
      <c r="Q50" s="28">
        <v>14092.44375</v>
      </c>
      <c r="R50" s="71"/>
      <c r="S50" s="1"/>
      <c r="T50" s="1"/>
      <c r="U50" s="1"/>
      <c r="V50" s="1"/>
      <c r="W50" s="1"/>
      <c r="X50" s="1"/>
      <c r="Y50" s="72"/>
      <c r="Z50" s="72"/>
      <c r="AA50" s="72"/>
      <c r="AB50" s="72"/>
      <c r="AC50" s="72"/>
      <c r="AF50">
        <v>11917.5</v>
      </c>
      <c r="AG50">
        <f t="shared" si="10"/>
        <v>0.3005458228250168</v>
      </c>
      <c r="AK50" s="39">
        <v>100021009</v>
      </c>
      <c r="AL50" s="38">
        <v>10971.006927240942</v>
      </c>
      <c r="AN50" s="32">
        <f t="shared" si="11"/>
        <v>0.9092336304086539</v>
      </c>
    </row>
    <row r="51" spans="1:40" x14ac:dyDescent="0.25">
      <c r="A51" s="46">
        <v>100021055</v>
      </c>
      <c r="B51" s="47" t="s">
        <v>78</v>
      </c>
      <c r="C51" s="21">
        <v>7790360965189</v>
      </c>
      <c r="D51" s="22">
        <v>2.04</v>
      </c>
      <c r="E51" s="23">
        <v>24</v>
      </c>
      <c r="F51" s="24">
        <f t="shared" si="12"/>
        <v>15499.254843517137</v>
      </c>
      <c r="G51" s="61"/>
      <c r="H51" s="24">
        <f t="shared" si="2"/>
        <v>15499.254843517137</v>
      </c>
      <c r="I51" s="24">
        <f t="shared" si="3"/>
        <v>645.80228514654743</v>
      </c>
      <c r="J51" s="24">
        <f t="shared" si="4"/>
        <v>135.61847988077497</v>
      </c>
      <c r="K51" s="24">
        <f t="shared" si="5"/>
        <v>781.42076502732243</v>
      </c>
      <c r="L51" s="24">
        <f t="shared" si="13"/>
        <v>171.91256830601094</v>
      </c>
      <c r="M51" s="24">
        <f t="shared" si="7"/>
        <v>953.33333333333337</v>
      </c>
      <c r="N51" s="24">
        <f t="shared" si="14"/>
        <v>333.66666666666669</v>
      </c>
      <c r="O51" s="26">
        <f t="shared" si="9"/>
        <v>1287</v>
      </c>
      <c r="P51" s="27">
        <f t="shared" si="15"/>
        <v>9.9827334312910576E-2</v>
      </c>
      <c r="Q51" s="28">
        <v>14092.44375</v>
      </c>
      <c r="S51" s="1"/>
      <c r="T51" s="1"/>
      <c r="U51" s="1"/>
      <c r="V51" s="1"/>
      <c r="W51" s="1"/>
      <c r="X51" s="1"/>
      <c r="Y51" s="72"/>
      <c r="Z51" s="72"/>
      <c r="AA51" s="72"/>
      <c r="AB51" s="72"/>
      <c r="AC51" s="72"/>
      <c r="AF51">
        <v>11917.5</v>
      </c>
      <c r="AG51">
        <f t="shared" si="10"/>
        <v>0.3005458228250168</v>
      </c>
      <c r="AK51" s="39">
        <v>100021010</v>
      </c>
      <c r="AL51" s="38">
        <v>10971.006927240942</v>
      </c>
      <c r="AN51" s="32">
        <f t="shared" si="11"/>
        <v>0.9092336304086539</v>
      </c>
    </row>
    <row r="52" spans="1:40" x14ac:dyDescent="0.25">
      <c r="A52" s="46">
        <v>100021015</v>
      </c>
      <c r="B52" s="47" t="s">
        <v>79</v>
      </c>
      <c r="C52" s="21">
        <v>7790360965202</v>
      </c>
      <c r="D52" s="22">
        <v>2.04</v>
      </c>
      <c r="E52" s="23">
        <v>24</v>
      </c>
      <c r="F52" s="24">
        <f t="shared" si="12"/>
        <v>15499.254843517137</v>
      </c>
      <c r="G52" s="61"/>
      <c r="H52" s="24">
        <f t="shared" si="2"/>
        <v>15499.254843517137</v>
      </c>
      <c r="I52" s="24">
        <f t="shared" si="3"/>
        <v>645.80228514654743</v>
      </c>
      <c r="J52" s="24">
        <f t="shared" si="4"/>
        <v>135.61847988077497</v>
      </c>
      <c r="K52" s="24">
        <f t="shared" si="5"/>
        <v>781.42076502732243</v>
      </c>
      <c r="L52" s="24">
        <f t="shared" si="13"/>
        <v>171.91256830601094</v>
      </c>
      <c r="M52" s="24">
        <f t="shared" si="7"/>
        <v>953.33333333333337</v>
      </c>
      <c r="N52" s="24">
        <f t="shared" si="14"/>
        <v>333.66666666666669</v>
      </c>
      <c r="O52" s="26">
        <f t="shared" si="9"/>
        <v>1287</v>
      </c>
      <c r="P52" s="27">
        <f t="shared" si="15"/>
        <v>9.9827334312910576E-2</v>
      </c>
      <c r="Q52" s="28">
        <v>14092.44375</v>
      </c>
      <c r="S52" s="1"/>
      <c r="T52" s="1"/>
      <c r="U52" s="1"/>
      <c r="V52" s="1"/>
      <c r="W52" s="1"/>
      <c r="X52" s="1"/>
      <c r="AF52">
        <v>11917.5</v>
      </c>
      <c r="AG52">
        <f t="shared" si="10"/>
        <v>0.3005458228250168</v>
      </c>
      <c r="AK52" s="39">
        <v>100021011</v>
      </c>
      <c r="AL52" s="38">
        <v>10971.006927240942</v>
      </c>
      <c r="AN52" s="32">
        <f t="shared" si="11"/>
        <v>0.9092336304086539</v>
      </c>
    </row>
    <row r="53" spans="1:40" x14ac:dyDescent="0.25">
      <c r="A53" s="46">
        <v>100021008</v>
      </c>
      <c r="B53" s="47" t="s">
        <v>80</v>
      </c>
      <c r="C53" s="21">
        <v>7790360720122</v>
      </c>
      <c r="D53" s="22">
        <v>2.16</v>
      </c>
      <c r="E53" s="23">
        <v>24</v>
      </c>
      <c r="F53" s="24">
        <f t="shared" si="12"/>
        <v>10971.006927240942</v>
      </c>
      <c r="G53" s="25"/>
      <c r="H53" s="24">
        <f>+F53*(1-G53)</f>
        <v>10971.006927240942</v>
      </c>
      <c r="I53" s="24">
        <f t="shared" si="3"/>
        <v>457.12528863503923</v>
      </c>
      <c r="J53" s="24">
        <f t="shared" si="4"/>
        <v>95.996310613358233</v>
      </c>
      <c r="K53" s="24">
        <f t="shared" si="5"/>
        <v>553.1215992483975</v>
      </c>
      <c r="L53" s="24">
        <f t="shared" si="13"/>
        <v>121.68675183464745</v>
      </c>
      <c r="M53" s="24">
        <f t="shared" si="7"/>
        <v>674.80835108304495</v>
      </c>
      <c r="N53" s="24">
        <f t="shared" si="14"/>
        <v>236.18292287906573</v>
      </c>
      <c r="O53" s="26">
        <f t="shared" si="9"/>
        <v>910.99127396211065</v>
      </c>
      <c r="P53" s="27">
        <f t="shared" si="15"/>
        <v>5.0000000000000044E-2</v>
      </c>
      <c r="Q53" s="28">
        <v>10448.578025943754</v>
      </c>
      <c r="S53" s="1"/>
      <c r="T53" s="1"/>
      <c r="U53" s="1"/>
      <c r="V53" s="1"/>
      <c r="W53" s="1"/>
      <c r="X53" s="1"/>
      <c r="AF53">
        <v>9046.387901250002</v>
      </c>
      <c r="AG53">
        <f t="shared" si="10"/>
        <v>0.21275000000000022</v>
      </c>
      <c r="AK53" s="53"/>
      <c r="AL53" s="38"/>
      <c r="AN53" s="32">
        <f t="shared" si="11"/>
        <v>0.95238095238095244</v>
      </c>
    </row>
    <row r="54" spans="1:40" x14ac:dyDescent="0.25">
      <c r="A54" s="46">
        <v>100021009</v>
      </c>
      <c r="B54" s="47" t="s">
        <v>81</v>
      </c>
      <c r="C54" s="21">
        <v>7790360965127</v>
      </c>
      <c r="D54" s="22">
        <v>2.16</v>
      </c>
      <c r="E54" s="23">
        <v>24</v>
      </c>
      <c r="F54" s="24">
        <f t="shared" si="12"/>
        <v>10971.006927240942</v>
      </c>
      <c r="G54" s="61"/>
      <c r="H54" s="24">
        <f t="shared" si="2"/>
        <v>10971.006927240942</v>
      </c>
      <c r="I54" s="24">
        <f t="shared" si="3"/>
        <v>457.12528863503923</v>
      </c>
      <c r="J54" s="24">
        <f t="shared" si="4"/>
        <v>95.996310613358233</v>
      </c>
      <c r="K54" s="24">
        <f t="shared" si="5"/>
        <v>553.1215992483975</v>
      </c>
      <c r="L54" s="24">
        <f t="shared" si="13"/>
        <v>121.68675183464745</v>
      </c>
      <c r="M54" s="24">
        <f t="shared" si="7"/>
        <v>674.80835108304495</v>
      </c>
      <c r="N54" s="24">
        <f t="shared" si="14"/>
        <v>236.18292287906573</v>
      </c>
      <c r="O54" s="26">
        <f t="shared" si="9"/>
        <v>910.99127396211065</v>
      </c>
      <c r="P54" s="27">
        <f t="shared" si="15"/>
        <v>5.0000000000000044E-2</v>
      </c>
      <c r="Q54" s="28">
        <v>10448.578025943754</v>
      </c>
      <c r="S54" s="1"/>
      <c r="T54" s="1"/>
      <c r="U54" s="1"/>
      <c r="V54" s="1"/>
      <c r="W54" s="1"/>
      <c r="X54" s="1"/>
      <c r="AF54">
        <v>9046.387901250002</v>
      </c>
      <c r="AG54">
        <f t="shared" si="10"/>
        <v>0.21275000000000022</v>
      </c>
      <c r="AK54" s="39">
        <v>100516217</v>
      </c>
      <c r="AL54" s="38">
        <v>25816.614898936674</v>
      </c>
      <c r="AN54" s="32">
        <f t="shared" si="11"/>
        <v>0.95238095238095244</v>
      </c>
    </row>
    <row r="55" spans="1:40" x14ac:dyDescent="0.25">
      <c r="A55" s="39">
        <v>100021010</v>
      </c>
      <c r="B55" s="40" t="s">
        <v>82</v>
      </c>
      <c r="C55" s="35">
        <v>7790920008707</v>
      </c>
      <c r="D55" s="36">
        <v>2.16</v>
      </c>
      <c r="E55" s="37">
        <v>24</v>
      </c>
      <c r="F55" s="38">
        <f t="shared" si="12"/>
        <v>10971.006927240942</v>
      </c>
      <c r="G55" s="37"/>
      <c r="H55" s="38">
        <f t="shared" si="2"/>
        <v>10971.006927240942</v>
      </c>
      <c r="I55" s="38">
        <f t="shared" si="3"/>
        <v>457.12528863503923</v>
      </c>
      <c r="J55" s="38">
        <f t="shared" si="4"/>
        <v>95.996310613358233</v>
      </c>
      <c r="K55" s="38">
        <f t="shared" si="5"/>
        <v>553.1215992483975</v>
      </c>
      <c r="L55" s="38">
        <f t="shared" si="13"/>
        <v>121.68675183464745</v>
      </c>
      <c r="M55" s="38">
        <f t="shared" si="7"/>
        <v>674.80835108304495</v>
      </c>
      <c r="N55" s="38">
        <f t="shared" si="14"/>
        <v>236.18292287906573</v>
      </c>
      <c r="O55" s="28">
        <f t="shared" si="9"/>
        <v>910.99127396211065</v>
      </c>
      <c r="P55" s="27">
        <f t="shared" si="15"/>
        <v>5.0000000000000044E-2</v>
      </c>
      <c r="Q55" s="28">
        <v>10448.578025943754</v>
      </c>
      <c r="S55" s="1"/>
      <c r="T55" s="1"/>
      <c r="U55" s="1"/>
      <c r="V55" s="1"/>
      <c r="W55" s="1"/>
      <c r="X55" s="1"/>
      <c r="AF55">
        <v>9046.387901250002</v>
      </c>
      <c r="AG55">
        <f t="shared" si="10"/>
        <v>0.21275000000000022</v>
      </c>
      <c r="AK55" s="39">
        <v>100516214</v>
      </c>
      <c r="AL55" s="38">
        <v>33331.909</v>
      </c>
      <c r="AN55" s="32">
        <f t="shared" si="11"/>
        <v>0.95238095238095244</v>
      </c>
    </row>
    <row r="56" spans="1:40" x14ac:dyDescent="0.25">
      <c r="A56" s="39">
        <v>100021011</v>
      </c>
      <c r="B56" s="40" t="s">
        <v>83</v>
      </c>
      <c r="C56" s="35">
        <v>7790920008714</v>
      </c>
      <c r="D56" s="36">
        <v>2.16</v>
      </c>
      <c r="E56" s="37">
        <v>24</v>
      </c>
      <c r="F56" s="38">
        <f t="shared" si="12"/>
        <v>10971.006927240942</v>
      </c>
      <c r="G56" s="37"/>
      <c r="H56" s="38">
        <f t="shared" si="2"/>
        <v>10971.006927240942</v>
      </c>
      <c r="I56" s="38">
        <f t="shared" si="3"/>
        <v>457.12528863503923</v>
      </c>
      <c r="J56" s="38">
        <f t="shared" si="4"/>
        <v>95.996310613358233</v>
      </c>
      <c r="K56" s="38">
        <f t="shared" si="5"/>
        <v>553.1215992483975</v>
      </c>
      <c r="L56" s="38">
        <f t="shared" si="13"/>
        <v>121.68675183464745</v>
      </c>
      <c r="M56" s="38">
        <f t="shared" si="7"/>
        <v>674.80835108304495</v>
      </c>
      <c r="N56" s="38">
        <f t="shared" si="14"/>
        <v>236.18292287906573</v>
      </c>
      <c r="O56" s="28">
        <f t="shared" si="9"/>
        <v>910.99127396211065</v>
      </c>
      <c r="P56" s="27">
        <f t="shared" si="15"/>
        <v>5.0000000000000044E-2</v>
      </c>
      <c r="Q56" s="28">
        <v>10448.578025943754</v>
      </c>
      <c r="S56" s="1"/>
      <c r="T56" s="1"/>
      <c r="U56" s="1"/>
      <c r="V56" s="1"/>
      <c r="W56" s="1"/>
      <c r="X56" s="1"/>
      <c r="AF56">
        <v>9046.387901250002</v>
      </c>
      <c r="AG56">
        <f t="shared" si="10"/>
        <v>0.21275000000000022</v>
      </c>
      <c r="AK56" s="39">
        <v>100516215</v>
      </c>
      <c r="AL56" s="38">
        <v>33331.909</v>
      </c>
      <c r="AN56" s="32">
        <f t="shared" si="11"/>
        <v>0.95238095238095244</v>
      </c>
    </row>
    <row r="57" spans="1:40" x14ac:dyDescent="0.25">
      <c r="A57" s="53"/>
      <c r="B57" s="54"/>
      <c r="C57" s="55"/>
      <c r="D57" s="54"/>
      <c r="E57" s="56"/>
      <c r="F57" s="57" t="e">
        <f t="shared" si="12"/>
        <v>#N/A</v>
      </c>
      <c r="G57" s="56"/>
      <c r="H57" s="57" t="e">
        <f t="shared" si="2"/>
        <v>#N/A</v>
      </c>
      <c r="I57" s="58" t="e">
        <f t="shared" si="3"/>
        <v>#N/A</v>
      </c>
      <c r="J57" s="59"/>
      <c r="K57" s="58"/>
      <c r="L57" s="59"/>
      <c r="M57" s="58"/>
      <c r="N57" s="59"/>
      <c r="O57" s="60"/>
      <c r="P57" s="27" t="e">
        <f t="shared" si="15"/>
        <v>#N/A</v>
      </c>
      <c r="Q57" s="28" t="e">
        <v>#N/A</v>
      </c>
      <c r="S57" s="1"/>
      <c r="T57" s="1"/>
      <c r="U57" s="1"/>
      <c r="V57" s="1"/>
      <c r="W57" s="1"/>
      <c r="X57" s="1"/>
      <c r="AF57" t="e">
        <v>#N/A</v>
      </c>
      <c r="AG57" t="e">
        <f t="shared" si="10"/>
        <v>#N/A</v>
      </c>
      <c r="AK57" s="39">
        <v>100516216</v>
      </c>
      <c r="AL57" s="57">
        <v>33331.909</v>
      </c>
      <c r="AN57" s="32" t="e">
        <f t="shared" si="11"/>
        <v>#N/A</v>
      </c>
    </row>
    <row r="58" spans="1:40" x14ac:dyDescent="0.25">
      <c r="A58" s="46">
        <v>100516217</v>
      </c>
      <c r="B58" s="47" t="s">
        <v>84</v>
      </c>
      <c r="C58" s="21">
        <v>7790360967824</v>
      </c>
      <c r="D58" s="22">
        <v>5.8</v>
      </c>
      <c r="E58" s="23">
        <v>20</v>
      </c>
      <c r="F58" s="24">
        <f t="shared" si="12"/>
        <v>25816.614898936674</v>
      </c>
      <c r="G58" s="73"/>
      <c r="H58" s="24">
        <f t="shared" si="2"/>
        <v>25816.614898936674</v>
      </c>
      <c r="I58" s="24">
        <f t="shared" si="3"/>
        <v>1290.8307449468336</v>
      </c>
      <c r="J58" s="24">
        <f t="shared" si="4"/>
        <v>271.07445643883506</v>
      </c>
      <c r="K58" s="24">
        <f t="shared" si="5"/>
        <v>1561.9052013856688</v>
      </c>
      <c r="L58" s="24">
        <f t="shared" si="6"/>
        <v>546.66682048498399</v>
      </c>
      <c r="M58" s="24">
        <f t="shared" si="7"/>
        <v>2108.5720218706529</v>
      </c>
      <c r="N58" s="24">
        <f>+M58*0.423</f>
        <v>891.92596525128613</v>
      </c>
      <c r="O58" s="26">
        <f t="shared" si="9"/>
        <v>3000.4979871219389</v>
      </c>
      <c r="P58" s="27">
        <f t="shared" si="15"/>
        <v>3.0000000000000027E-2</v>
      </c>
      <c r="Q58" s="28">
        <v>25064.674659161818</v>
      </c>
      <c r="S58" s="1" t="s">
        <v>85</v>
      </c>
      <c r="T58" s="1"/>
      <c r="U58" s="1"/>
      <c r="V58" s="1"/>
      <c r="W58" s="1"/>
      <c r="X58" s="1"/>
      <c r="AF58">
        <v>22937.727958732434</v>
      </c>
      <c r="AG58">
        <f t="shared" si="10"/>
        <v>0.12550881000000014</v>
      </c>
      <c r="AK58" s="53"/>
      <c r="AL58" s="38"/>
      <c r="AN58" s="32">
        <f t="shared" si="11"/>
        <v>0.97087378640776689</v>
      </c>
    </row>
    <row r="59" spans="1:40" x14ac:dyDescent="0.25">
      <c r="A59" s="46">
        <v>100516214</v>
      </c>
      <c r="B59" s="47" t="s">
        <v>86</v>
      </c>
      <c r="C59" s="21">
        <v>7790360967794</v>
      </c>
      <c r="D59" s="22">
        <v>7</v>
      </c>
      <c r="E59" s="23">
        <v>20</v>
      </c>
      <c r="F59" s="24">
        <f t="shared" si="12"/>
        <v>33331.909</v>
      </c>
      <c r="G59" s="73"/>
      <c r="H59" s="24">
        <f t="shared" si="2"/>
        <v>33331.909</v>
      </c>
      <c r="I59" s="24">
        <f t="shared" si="3"/>
        <v>1666.59545</v>
      </c>
      <c r="J59" s="24">
        <f t="shared" si="4"/>
        <v>349.98504450000001</v>
      </c>
      <c r="K59" s="24">
        <f t="shared" si="5"/>
        <v>2016.5804945</v>
      </c>
      <c r="L59" s="24">
        <f t="shared" si="6"/>
        <v>705.8031730749999</v>
      </c>
      <c r="M59" s="24">
        <f t="shared" si="7"/>
        <v>2722.3836675749999</v>
      </c>
      <c r="N59" s="24">
        <f t="shared" si="8"/>
        <v>1225.07265040875</v>
      </c>
      <c r="O59" s="26">
        <f t="shared" si="9"/>
        <v>3947.4563179837496</v>
      </c>
      <c r="P59" s="27">
        <f t="shared" si="15"/>
        <v>-1.1428248358757997E-7</v>
      </c>
      <c r="Q59" s="28">
        <v>33331.912809253779</v>
      </c>
      <c r="S59" s="1" t="s">
        <v>87</v>
      </c>
      <c r="T59" s="1"/>
      <c r="U59" s="1"/>
      <c r="V59" s="1"/>
      <c r="W59" s="1"/>
      <c r="X59" s="1"/>
      <c r="AF59">
        <v>31418.524657605598</v>
      </c>
      <c r="AG59">
        <f t="shared" si="10"/>
        <v>6.089987875771314E-2</v>
      </c>
      <c r="AK59" s="39">
        <v>100021704</v>
      </c>
      <c r="AL59" s="38">
        <v>37686.635793333073</v>
      </c>
      <c r="AN59" s="32">
        <f t="shared" si="11"/>
        <v>1.0000001142824966</v>
      </c>
    </row>
    <row r="60" spans="1:40" x14ac:dyDescent="0.25">
      <c r="A60" s="46">
        <v>100516215</v>
      </c>
      <c r="B60" s="47" t="s">
        <v>88</v>
      </c>
      <c r="C60" s="21">
        <v>7790360967800</v>
      </c>
      <c r="D60" s="22">
        <v>7</v>
      </c>
      <c r="E60" s="23">
        <v>20</v>
      </c>
      <c r="F60" s="24">
        <f t="shared" si="12"/>
        <v>33331.909</v>
      </c>
      <c r="G60" s="73"/>
      <c r="H60" s="24">
        <f t="shared" si="2"/>
        <v>33331.909</v>
      </c>
      <c r="I60" s="24">
        <f t="shared" si="3"/>
        <v>1666.59545</v>
      </c>
      <c r="J60" s="24">
        <f t="shared" si="4"/>
        <v>349.98504450000001</v>
      </c>
      <c r="K60" s="24">
        <f t="shared" si="5"/>
        <v>2016.5804945</v>
      </c>
      <c r="L60" s="24">
        <f t="shared" si="6"/>
        <v>705.8031730749999</v>
      </c>
      <c r="M60" s="24">
        <f t="shared" si="7"/>
        <v>2722.3836675749999</v>
      </c>
      <c r="N60" s="24">
        <f t="shared" si="8"/>
        <v>1225.07265040875</v>
      </c>
      <c r="O60" s="26">
        <f t="shared" si="9"/>
        <v>3947.4563179837496</v>
      </c>
      <c r="P60" s="27">
        <f t="shared" si="15"/>
        <v>-1.1428248358757997E-7</v>
      </c>
      <c r="Q60" s="28">
        <v>33331.912809253779</v>
      </c>
      <c r="S60" s="1" t="s">
        <v>87</v>
      </c>
      <c r="T60" s="1"/>
      <c r="U60" s="1"/>
      <c r="V60" s="1"/>
      <c r="W60" s="1"/>
      <c r="X60" s="1"/>
      <c r="AF60">
        <v>31418.524657605598</v>
      </c>
      <c r="AG60">
        <f t="shared" si="10"/>
        <v>6.089987875771314E-2</v>
      </c>
      <c r="AK60" s="39">
        <v>100021705</v>
      </c>
      <c r="AL60" s="38">
        <v>34258.028957143353</v>
      </c>
      <c r="AN60" s="32">
        <f t="shared" si="11"/>
        <v>1.0000001142824966</v>
      </c>
    </row>
    <row r="61" spans="1:40" x14ac:dyDescent="0.25">
      <c r="A61" s="46">
        <v>100516216</v>
      </c>
      <c r="B61" s="47" t="s">
        <v>89</v>
      </c>
      <c r="C61" s="21">
        <v>7790360967817</v>
      </c>
      <c r="D61" s="22">
        <v>7</v>
      </c>
      <c r="E61" s="23">
        <v>20</v>
      </c>
      <c r="F61" s="24">
        <f t="shared" si="12"/>
        <v>33331.909</v>
      </c>
      <c r="G61" s="73"/>
      <c r="H61" s="24">
        <f t="shared" si="2"/>
        <v>33331.909</v>
      </c>
      <c r="I61" s="24">
        <f t="shared" si="3"/>
        <v>1666.59545</v>
      </c>
      <c r="J61" s="24">
        <f t="shared" si="4"/>
        <v>349.98504450000001</v>
      </c>
      <c r="K61" s="24">
        <f t="shared" si="5"/>
        <v>2016.5804945</v>
      </c>
      <c r="L61" s="24">
        <f t="shared" si="6"/>
        <v>705.8031730749999</v>
      </c>
      <c r="M61" s="24">
        <f t="shared" si="7"/>
        <v>2722.3836675749999</v>
      </c>
      <c r="N61" s="24">
        <f t="shared" si="8"/>
        <v>1225.07265040875</v>
      </c>
      <c r="O61" s="26">
        <f t="shared" si="9"/>
        <v>3947.4563179837496</v>
      </c>
      <c r="P61" s="27">
        <f t="shared" si="15"/>
        <v>-1.1428248358757997E-7</v>
      </c>
      <c r="Q61" s="28">
        <v>33331.912809253779</v>
      </c>
      <c r="S61" s="1" t="s">
        <v>87</v>
      </c>
      <c r="T61" s="1"/>
      <c r="U61" s="1"/>
      <c r="V61" s="1"/>
      <c r="W61" s="1"/>
      <c r="X61" s="1"/>
      <c r="AF61">
        <v>31418.524657605598</v>
      </c>
      <c r="AG61">
        <f t="shared" si="10"/>
        <v>6.089987875771314E-2</v>
      </c>
      <c r="AK61" s="39">
        <v>100021709</v>
      </c>
      <c r="AL61" s="38">
        <v>54972.169577320434</v>
      </c>
      <c r="AN61" s="32">
        <f t="shared" si="11"/>
        <v>1.0000001142824966</v>
      </c>
    </row>
    <row r="62" spans="1:40" x14ac:dyDescent="0.25">
      <c r="A62" s="53"/>
      <c r="B62" s="54"/>
      <c r="C62" s="55"/>
      <c r="D62" s="54"/>
      <c r="E62" s="56"/>
      <c r="F62" s="57" t="e">
        <f t="shared" si="12"/>
        <v>#N/A</v>
      </c>
      <c r="G62" s="74"/>
      <c r="H62" s="57" t="e">
        <f t="shared" si="2"/>
        <v>#N/A</v>
      </c>
      <c r="I62" s="58" t="e">
        <f t="shared" si="3"/>
        <v>#N/A</v>
      </c>
      <c r="J62" s="59"/>
      <c r="K62" s="58"/>
      <c r="L62" s="59"/>
      <c r="M62" s="58"/>
      <c r="N62" s="59"/>
      <c r="O62" s="60"/>
      <c r="P62" s="27" t="e">
        <f t="shared" si="15"/>
        <v>#N/A</v>
      </c>
      <c r="Q62" s="28" t="e">
        <v>#N/A</v>
      </c>
      <c r="S62" s="1"/>
      <c r="T62" s="1"/>
      <c r="U62" s="1"/>
      <c r="V62" s="1"/>
      <c r="W62" s="1"/>
      <c r="X62" s="1"/>
      <c r="AF62" t="e">
        <v>#N/A</v>
      </c>
      <c r="AG62" t="e">
        <f t="shared" si="10"/>
        <v>#N/A</v>
      </c>
      <c r="AK62" s="39">
        <v>100521357</v>
      </c>
      <c r="AL62" s="57">
        <v>44177.826000000015</v>
      </c>
      <c r="AN62" s="32" t="e">
        <f t="shared" si="11"/>
        <v>#N/A</v>
      </c>
    </row>
    <row r="63" spans="1:40" x14ac:dyDescent="0.25">
      <c r="A63" s="39">
        <v>100021704</v>
      </c>
      <c r="B63" s="40" t="s">
        <v>90</v>
      </c>
      <c r="C63" s="35">
        <v>7790360023902</v>
      </c>
      <c r="D63" s="36">
        <f>12*0.38</f>
        <v>4.5600000000000005</v>
      </c>
      <c r="E63" s="37">
        <v>12</v>
      </c>
      <c r="F63" s="38">
        <f t="shared" si="12"/>
        <v>37686.635793333073</v>
      </c>
      <c r="G63" s="75"/>
      <c r="H63" s="38">
        <f t="shared" si="2"/>
        <v>37686.635793333073</v>
      </c>
      <c r="I63" s="38">
        <f t="shared" si="3"/>
        <v>3140.5529827777559</v>
      </c>
      <c r="J63" s="38">
        <f t="shared" si="4"/>
        <v>659.5161263833287</v>
      </c>
      <c r="K63" s="38">
        <f t="shared" si="5"/>
        <v>3800.0691091610847</v>
      </c>
      <c r="L63" s="38">
        <f t="shared" si="6"/>
        <v>1330.0241882063797</v>
      </c>
      <c r="M63" s="38">
        <f t="shared" si="7"/>
        <v>5130.0932973674644</v>
      </c>
      <c r="N63" s="38">
        <f t="shared" si="8"/>
        <v>2308.5419838153589</v>
      </c>
      <c r="O63" s="28">
        <f t="shared" si="9"/>
        <v>7438.6352811828237</v>
      </c>
      <c r="P63" s="27">
        <f t="shared" si="15"/>
        <v>0</v>
      </c>
      <c r="Q63" s="28">
        <v>37686.635793333073</v>
      </c>
      <c r="S63" s="1"/>
      <c r="T63" s="1"/>
      <c r="U63" s="1"/>
      <c r="V63" s="1"/>
      <c r="W63" s="1"/>
      <c r="X63" s="1"/>
      <c r="AF63">
        <v>35892.034088888642</v>
      </c>
      <c r="AG63">
        <f t="shared" si="10"/>
        <v>4.9999999999999961E-2</v>
      </c>
      <c r="AK63" s="76">
        <v>100521358</v>
      </c>
      <c r="AL63" s="77">
        <v>66266.739000000016</v>
      </c>
      <c r="AN63" s="32">
        <f t="shared" si="11"/>
        <v>1</v>
      </c>
    </row>
    <row r="64" spans="1:40" x14ac:dyDescent="0.25">
      <c r="A64" s="39">
        <v>100021705</v>
      </c>
      <c r="B64" s="40" t="s">
        <v>91</v>
      </c>
      <c r="C64" s="35">
        <v>7790360024336</v>
      </c>
      <c r="D64" s="36">
        <f>12*0.38</f>
        <v>4.5600000000000005</v>
      </c>
      <c r="E64" s="37">
        <v>12</v>
      </c>
      <c r="F64" s="38">
        <f t="shared" si="12"/>
        <v>34258.028957143353</v>
      </c>
      <c r="G64" s="75"/>
      <c r="H64" s="38">
        <f t="shared" si="2"/>
        <v>34258.028957143353</v>
      </c>
      <c r="I64" s="38">
        <f t="shared" si="3"/>
        <v>2854.8357464286128</v>
      </c>
      <c r="J64" s="38">
        <f t="shared" si="4"/>
        <v>599.51550675000863</v>
      </c>
      <c r="K64" s="38">
        <f t="shared" si="5"/>
        <v>3454.3512531786214</v>
      </c>
      <c r="L64" s="38">
        <f t="shared" si="6"/>
        <v>1209.0229386125175</v>
      </c>
      <c r="M64" s="38">
        <f t="shared" si="7"/>
        <v>4663.3741917911393</v>
      </c>
      <c r="N64" s="38">
        <f t="shared" si="8"/>
        <v>2098.5183863060129</v>
      </c>
      <c r="O64" s="28">
        <f t="shared" si="9"/>
        <v>6761.8925780971522</v>
      </c>
      <c r="P64" s="27">
        <f t="shared" si="15"/>
        <v>0</v>
      </c>
      <c r="Q64" s="28">
        <v>34258.028957143353</v>
      </c>
      <c r="S64" s="1"/>
      <c r="T64" s="1"/>
      <c r="U64" s="1"/>
      <c r="V64" s="1"/>
      <c r="W64" s="1"/>
      <c r="X64" s="1"/>
      <c r="AF64">
        <v>32626.694244898434</v>
      </c>
      <c r="AG64">
        <f t="shared" si="10"/>
        <v>4.9999999999999933E-2</v>
      </c>
      <c r="AK64" s="39">
        <v>100522130</v>
      </c>
      <c r="AL64" s="38">
        <v>36420.08712457501</v>
      </c>
      <c r="AN64" s="32">
        <f t="shared" si="11"/>
        <v>1</v>
      </c>
    </row>
    <row r="65" spans="1:40" x14ac:dyDescent="0.25">
      <c r="A65" s="39">
        <v>100021709</v>
      </c>
      <c r="B65" s="40" t="s">
        <v>92</v>
      </c>
      <c r="C65" s="35">
        <v>7790360024701</v>
      </c>
      <c r="D65" s="36">
        <v>7.6</v>
      </c>
      <c r="E65" s="37">
        <v>10</v>
      </c>
      <c r="F65" s="38">
        <f t="shared" si="12"/>
        <v>54972.169577320434</v>
      </c>
      <c r="G65" s="78"/>
      <c r="H65" s="38">
        <f t="shared" si="2"/>
        <v>54972.169577320434</v>
      </c>
      <c r="I65" s="38">
        <f t="shared" si="3"/>
        <v>5497.2169577320437</v>
      </c>
      <c r="J65" s="38">
        <f t="shared" si="4"/>
        <v>1154.415561123729</v>
      </c>
      <c r="K65" s="38">
        <f t="shared" si="5"/>
        <v>6651.632518855773</v>
      </c>
      <c r="L65" s="38">
        <f t="shared" si="6"/>
        <v>2328.0713815995205</v>
      </c>
      <c r="M65" s="38">
        <f t="shared" si="7"/>
        <v>8979.7039004552935</v>
      </c>
      <c r="N65" s="38">
        <f t="shared" si="8"/>
        <v>4040.8667552048823</v>
      </c>
      <c r="O65" s="28">
        <f t="shared" si="9"/>
        <v>13020.570655660176</v>
      </c>
      <c r="P65" s="27">
        <f t="shared" si="15"/>
        <v>0</v>
      </c>
      <c r="Q65" s="28">
        <v>54972.169577320434</v>
      </c>
      <c r="S65" s="1"/>
      <c r="T65" s="1"/>
      <c r="U65" s="1"/>
      <c r="V65" s="1"/>
      <c r="W65" s="1"/>
      <c r="X65" s="1"/>
      <c r="AF65">
        <v>43626.960865505825</v>
      </c>
      <c r="AG65">
        <f t="shared" si="10"/>
        <v>0.26005040201608065</v>
      </c>
      <c r="AK65" s="79">
        <v>100021725</v>
      </c>
      <c r="AL65" s="38">
        <v>28414.154467175089</v>
      </c>
      <c r="AN65" s="32">
        <f t="shared" si="11"/>
        <v>1</v>
      </c>
    </row>
    <row r="66" spans="1:40" x14ac:dyDescent="0.25">
      <c r="A66" s="46">
        <v>100521357</v>
      </c>
      <c r="B66" s="47" t="s">
        <v>93</v>
      </c>
      <c r="C66" s="21">
        <v>7790360982018</v>
      </c>
      <c r="D66" s="22">
        <v>4.5599999999999996</v>
      </c>
      <c r="E66" s="23">
        <v>12</v>
      </c>
      <c r="F66" s="24">
        <f t="shared" si="12"/>
        <v>44177.826000000015</v>
      </c>
      <c r="G66" s="25">
        <v>0.33</v>
      </c>
      <c r="H66" s="24">
        <f t="shared" si="2"/>
        <v>29599.143420000008</v>
      </c>
      <c r="I66" s="24">
        <f t="shared" si="3"/>
        <v>2466.5952850000008</v>
      </c>
      <c r="J66" s="24">
        <f t="shared" si="4"/>
        <v>517.9850098500001</v>
      </c>
      <c r="K66" s="24">
        <f t="shared" si="5"/>
        <v>2984.5802948500009</v>
      </c>
      <c r="L66" s="24">
        <f t="shared" si="6"/>
        <v>1044.6031031975003</v>
      </c>
      <c r="M66" s="24">
        <f t="shared" si="7"/>
        <v>4029.1833980475012</v>
      </c>
      <c r="N66" s="24">
        <f t="shared" si="8"/>
        <v>1813.1325291213757</v>
      </c>
      <c r="O66" s="26">
        <f t="shared" si="9"/>
        <v>5842.3159271688764</v>
      </c>
      <c r="P66" s="27">
        <f t="shared" si="15"/>
        <v>0</v>
      </c>
      <c r="Q66" s="28">
        <v>29599.143420000008</v>
      </c>
      <c r="S66" s="49" t="s">
        <v>94</v>
      </c>
      <c r="T66" s="1"/>
      <c r="U66" s="1"/>
      <c r="V66" s="1"/>
      <c r="W66" s="1"/>
      <c r="X66" s="1"/>
      <c r="AF66">
        <v>42074.12000000001</v>
      </c>
      <c r="AG66">
        <f t="shared" si="10"/>
        <v>-0.29649999999999999</v>
      </c>
      <c r="AK66" s="39">
        <v>100517055</v>
      </c>
      <c r="AL66" s="38">
        <v>28376.008182673599</v>
      </c>
      <c r="AN66" s="32">
        <f t="shared" si="11"/>
        <v>1</v>
      </c>
    </row>
    <row r="67" spans="1:40" x14ac:dyDescent="0.25">
      <c r="A67" s="46">
        <v>100521358</v>
      </c>
      <c r="B67" s="47" t="s">
        <v>95</v>
      </c>
      <c r="C67" s="21">
        <v>7790360982025</v>
      </c>
      <c r="D67" s="22">
        <v>7.6</v>
      </c>
      <c r="E67" s="23">
        <v>10</v>
      </c>
      <c r="F67" s="24">
        <f t="shared" si="12"/>
        <v>66266.739000000016</v>
      </c>
      <c r="G67" s="25">
        <v>0.33</v>
      </c>
      <c r="H67" s="24">
        <f t="shared" si="2"/>
        <v>44398.715130000004</v>
      </c>
      <c r="I67" s="24">
        <f t="shared" si="3"/>
        <v>4439.871513</v>
      </c>
      <c r="J67" s="24">
        <f t="shared" si="4"/>
        <v>932.37301773000002</v>
      </c>
      <c r="K67" s="24">
        <f t="shared" si="5"/>
        <v>5372.2445307300004</v>
      </c>
      <c r="L67" s="24">
        <f t="shared" si="6"/>
        <v>1880.2855857555001</v>
      </c>
      <c r="M67" s="24">
        <f t="shared" si="7"/>
        <v>7252.5301164855009</v>
      </c>
      <c r="N67" s="24">
        <f t="shared" si="8"/>
        <v>3263.6385524184757</v>
      </c>
      <c r="O67" s="26">
        <f t="shared" si="9"/>
        <v>10516.168668903976</v>
      </c>
      <c r="P67" s="27">
        <f t="shared" si="15"/>
        <v>-0.33000000000000007</v>
      </c>
      <c r="Q67" s="28">
        <v>66266.739000000016</v>
      </c>
      <c r="S67" s="1" t="s">
        <v>96</v>
      </c>
      <c r="T67" s="1"/>
      <c r="U67" s="1"/>
      <c r="V67" s="1"/>
      <c r="W67" s="1"/>
      <c r="X67" s="1"/>
      <c r="Y67" t="s">
        <v>48</v>
      </c>
      <c r="Z67" t="s">
        <v>97</v>
      </c>
      <c r="AA67" t="s">
        <v>98</v>
      </c>
      <c r="AF67">
        <v>63111.180000000008</v>
      </c>
      <c r="AG67">
        <f t="shared" si="10"/>
        <v>-0.29650000000000004</v>
      </c>
      <c r="AK67" s="39">
        <v>100517186</v>
      </c>
      <c r="AL67" s="38">
        <v>71701.328698938174</v>
      </c>
      <c r="AN67" s="32">
        <f t="shared" si="11"/>
        <v>1.4925373134328361</v>
      </c>
    </row>
    <row r="68" spans="1:40" x14ac:dyDescent="0.25">
      <c r="A68" s="39">
        <v>100522130</v>
      </c>
      <c r="B68" s="40" t="s">
        <v>99</v>
      </c>
      <c r="C68" s="35">
        <v>7790360982445</v>
      </c>
      <c r="D68" s="36">
        <v>4.8</v>
      </c>
      <c r="E68" s="37">
        <v>12</v>
      </c>
      <c r="F68" s="38">
        <f t="shared" si="12"/>
        <v>36420.08712457501</v>
      </c>
      <c r="G68" s="78"/>
      <c r="H68" s="38">
        <f t="shared" si="2"/>
        <v>36420.08712457501</v>
      </c>
      <c r="I68" s="38">
        <f t="shared" si="3"/>
        <v>3035.0072603812509</v>
      </c>
      <c r="J68" s="38">
        <f t="shared" si="4"/>
        <v>637.35152468006265</v>
      </c>
      <c r="K68" s="38">
        <f t="shared" si="5"/>
        <v>3672.3587850613135</v>
      </c>
      <c r="L68" s="38">
        <f t="shared" si="6"/>
        <v>1285.3255747714597</v>
      </c>
      <c r="M68" s="38">
        <f t="shared" si="7"/>
        <v>4957.6843598327732</v>
      </c>
      <c r="N68" s="38">
        <f t="shared" si="8"/>
        <v>2230.9579619247479</v>
      </c>
      <c r="O68" s="80">
        <f t="shared" si="9"/>
        <v>7188.6423217575211</v>
      </c>
      <c r="P68" s="27">
        <f t="shared" si="15"/>
        <v>5.0000000000000044E-2</v>
      </c>
      <c r="Q68" s="28">
        <v>34685.797261500011</v>
      </c>
      <c r="S68" s="1"/>
      <c r="T68" s="1"/>
      <c r="U68" s="1"/>
      <c r="V68" s="1"/>
      <c r="W68" s="1"/>
      <c r="X68" s="1"/>
      <c r="Y68" s="29">
        <v>5250</v>
      </c>
      <c r="Z68" s="62">
        <v>5560</v>
      </c>
      <c r="AA68" s="62">
        <v>7192</v>
      </c>
      <c r="AF68">
        <v>25331.686773693044</v>
      </c>
      <c r="AG68">
        <f t="shared" si="10"/>
        <v>0.4377284643515042</v>
      </c>
      <c r="AK68" s="81">
        <v>100521663</v>
      </c>
      <c r="AL68" s="38">
        <v>37997.530160539558</v>
      </c>
      <c r="AN68" s="32">
        <f t="shared" si="11"/>
        <v>0.95238095238095244</v>
      </c>
    </row>
    <row r="69" spans="1:40" x14ac:dyDescent="0.25">
      <c r="A69" s="79">
        <v>100021725</v>
      </c>
      <c r="B69" s="82" t="s">
        <v>100</v>
      </c>
      <c r="C69" s="83">
        <v>7790360027009</v>
      </c>
      <c r="D69" s="84">
        <v>6</v>
      </c>
      <c r="E69" s="85">
        <v>4</v>
      </c>
      <c r="F69" s="86">
        <f t="shared" si="12"/>
        <v>28414.154467175089</v>
      </c>
      <c r="G69" s="87"/>
      <c r="H69" s="86">
        <f t="shared" si="2"/>
        <v>28414.154467175089</v>
      </c>
      <c r="I69" s="86">
        <f t="shared" si="3"/>
        <v>7103.5386167937722</v>
      </c>
      <c r="J69" s="86">
        <f t="shared" si="4"/>
        <v>1491.743109526692</v>
      </c>
      <c r="K69" s="86">
        <f t="shared" si="5"/>
        <v>8595.2817263204633</v>
      </c>
      <c r="L69" s="86">
        <f t="shared" si="6"/>
        <v>3008.3486042121622</v>
      </c>
      <c r="M69" s="86">
        <f t="shared" si="7"/>
        <v>11603.630330532626</v>
      </c>
      <c r="N69" s="86">
        <f t="shared" si="8"/>
        <v>5221.633648739682</v>
      </c>
      <c r="O69" s="88">
        <f t="shared" si="9"/>
        <v>16825.263979272306</v>
      </c>
      <c r="P69" s="27">
        <f t="shared" si="15"/>
        <v>0</v>
      </c>
      <c r="Q69" s="28">
        <v>28414.154467175089</v>
      </c>
      <c r="S69" s="1"/>
      <c r="T69" s="1"/>
      <c r="U69" s="1"/>
      <c r="V69" s="1"/>
      <c r="W69" s="1"/>
      <c r="X69" s="1"/>
      <c r="AF69">
        <v>27061.099492547703</v>
      </c>
      <c r="AG69">
        <f t="shared" si="10"/>
        <v>5.0000000000000044E-2</v>
      </c>
      <c r="AK69" s="79">
        <v>100021728</v>
      </c>
      <c r="AL69" s="38">
        <v>35669.864673345204</v>
      </c>
      <c r="AN69" s="32">
        <f t="shared" si="11"/>
        <v>1</v>
      </c>
    </row>
    <row r="70" spans="1:40" x14ac:dyDescent="0.25">
      <c r="A70" s="39">
        <v>100517055</v>
      </c>
      <c r="B70" s="40" t="s">
        <v>101</v>
      </c>
      <c r="C70" s="35">
        <v>7790360971135</v>
      </c>
      <c r="D70" s="36">
        <v>3.12</v>
      </c>
      <c r="E70" s="37">
        <v>12</v>
      </c>
      <c r="F70" s="38">
        <f t="shared" si="12"/>
        <v>28376.008182673599</v>
      </c>
      <c r="G70" s="75"/>
      <c r="H70" s="38">
        <f t="shared" si="2"/>
        <v>28376.008182673599</v>
      </c>
      <c r="I70" s="38">
        <f t="shared" si="3"/>
        <v>2364.6673485561332</v>
      </c>
      <c r="J70" s="38">
        <f t="shared" si="4"/>
        <v>496.58014319678796</v>
      </c>
      <c r="K70" s="38">
        <f t="shared" si="5"/>
        <v>2861.2474917529212</v>
      </c>
      <c r="L70" s="38">
        <f t="shared" si="6"/>
        <v>1001.4366221135224</v>
      </c>
      <c r="M70" s="38">
        <f t="shared" si="7"/>
        <v>3862.6841138664436</v>
      </c>
      <c r="N70" s="38">
        <f t="shared" si="8"/>
        <v>1738.2078512398996</v>
      </c>
      <c r="O70" s="28">
        <f t="shared" si="9"/>
        <v>5600.8919651063434</v>
      </c>
      <c r="P70" s="27">
        <f t="shared" si="15"/>
        <v>0</v>
      </c>
      <c r="Q70" s="28">
        <v>28376.008182673599</v>
      </c>
      <c r="S70" s="1"/>
      <c r="T70" s="1"/>
      <c r="U70" s="1"/>
      <c r="V70" s="1"/>
      <c r="W70" s="1"/>
      <c r="X70" s="1"/>
      <c r="AF70">
        <v>27024.769697784377</v>
      </c>
      <c r="AG70">
        <f t="shared" si="10"/>
        <v>5.00000000000001E-2</v>
      </c>
      <c r="AK70" s="79">
        <v>100517679</v>
      </c>
      <c r="AL70" s="86">
        <v>35830.538453970417</v>
      </c>
      <c r="AN70" s="32">
        <f t="shared" si="11"/>
        <v>1</v>
      </c>
    </row>
    <row r="71" spans="1:40" x14ac:dyDescent="0.25">
      <c r="A71" s="39">
        <v>100517186</v>
      </c>
      <c r="B71" s="40" t="s">
        <v>102</v>
      </c>
      <c r="C71" s="35">
        <v>7790360971395</v>
      </c>
      <c r="D71" s="36">
        <v>8</v>
      </c>
      <c r="E71" s="37">
        <v>8</v>
      </c>
      <c r="F71" s="38">
        <f t="shared" si="12"/>
        <v>71701.328698938174</v>
      </c>
      <c r="G71" s="75"/>
      <c r="H71" s="38">
        <f t="shared" si="2"/>
        <v>71701.328698938174</v>
      </c>
      <c r="I71" s="38">
        <f t="shared" si="3"/>
        <v>8962.6660873672718</v>
      </c>
      <c r="J71" s="38">
        <f t="shared" si="4"/>
        <v>1882.159878347127</v>
      </c>
      <c r="K71" s="38">
        <f t="shared" si="5"/>
        <v>10844.825965714399</v>
      </c>
      <c r="L71" s="38">
        <f t="shared" si="6"/>
        <v>3795.6890880000392</v>
      </c>
      <c r="M71" s="38">
        <f t="shared" si="7"/>
        <v>14640.515053714438</v>
      </c>
      <c r="N71" s="38">
        <f t="shared" si="8"/>
        <v>6588.2317741714969</v>
      </c>
      <c r="O71" s="28">
        <f t="shared" si="9"/>
        <v>21228.746827885934</v>
      </c>
      <c r="P71" s="27">
        <f t="shared" si="15"/>
        <v>0</v>
      </c>
      <c r="Q71" s="28">
        <v>71701.328698938174</v>
      </c>
      <c r="S71" s="1"/>
      <c r="T71" s="1"/>
      <c r="U71" s="1"/>
      <c r="V71" s="1"/>
      <c r="W71" s="1"/>
      <c r="X71" s="1"/>
      <c r="AF71">
        <v>68286.979713274442</v>
      </c>
      <c r="AG71">
        <f t="shared" si="10"/>
        <v>5.0000000000000142E-2</v>
      </c>
      <c r="AK71" s="53"/>
      <c r="AL71" s="38"/>
      <c r="AN71" s="32">
        <f t="shared" si="11"/>
        <v>1</v>
      </c>
    </row>
    <row r="72" spans="1:40" x14ac:dyDescent="0.25">
      <c r="A72" s="89">
        <v>100521663</v>
      </c>
      <c r="B72" s="90" t="s">
        <v>103</v>
      </c>
      <c r="C72" s="21">
        <v>7790360982537</v>
      </c>
      <c r="D72" s="22">
        <v>4.8</v>
      </c>
      <c r="E72" s="23">
        <v>12</v>
      </c>
      <c r="F72" s="24">
        <v>37997.53</v>
      </c>
      <c r="G72" s="25">
        <v>0.33</v>
      </c>
      <c r="H72" s="24">
        <f t="shared" si="2"/>
        <v>25458.345099999995</v>
      </c>
      <c r="I72" s="24">
        <f t="shared" si="3"/>
        <v>2121.5287583333329</v>
      </c>
      <c r="J72" s="24">
        <f t="shared" si="4"/>
        <v>445.52103924999989</v>
      </c>
      <c r="K72" s="24">
        <f t="shared" si="5"/>
        <v>2567.0497975833327</v>
      </c>
      <c r="L72" s="24">
        <f>+K72*0.343</f>
        <v>880.49808057108316</v>
      </c>
      <c r="M72" s="24">
        <f t="shared" si="7"/>
        <v>3447.5478781544161</v>
      </c>
      <c r="N72" s="24">
        <f t="shared" si="8"/>
        <v>1551.3965451694874</v>
      </c>
      <c r="O72" s="26">
        <f t="shared" si="9"/>
        <v>4998.9444233239037</v>
      </c>
      <c r="P72" s="27">
        <f t="shared" si="15"/>
        <v>0</v>
      </c>
      <c r="Q72" s="28">
        <v>25458.345099999995</v>
      </c>
      <c r="S72" s="49" t="s">
        <v>94</v>
      </c>
      <c r="T72" s="1"/>
      <c r="U72" s="1"/>
      <c r="V72" s="1"/>
      <c r="W72" s="1"/>
      <c r="X72" s="1"/>
      <c r="Y72" s="67"/>
      <c r="AF72">
        <v>42746.880000000005</v>
      </c>
      <c r="AK72" s="39">
        <v>100516219</v>
      </c>
      <c r="AL72" s="38">
        <v>16599.454447073913</v>
      </c>
      <c r="AN72" s="32">
        <f t="shared" ref="AN72:AN109" si="16">+Q72/H72</f>
        <v>1</v>
      </c>
    </row>
    <row r="73" spans="1:40" x14ac:dyDescent="0.25">
      <c r="A73" s="79">
        <v>100021728</v>
      </c>
      <c r="B73" s="82" t="s">
        <v>104</v>
      </c>
      <c r="C73" s="83">
        <v>7790360967558</v>
      </c>
      <c r="D73" s="84">
        <v>3.84</v>
      </c>
      <c r="E73" s="85">
        <v>12</v>
      </c>
      <c r="F73" s="86">
        <f t="shared" ref="F73:F100" si="17">+VLOOKUP(A73,$AK$4:$AL$110,2,FALSE)</f>
        <v>35669.864673345204</v>
      </c>
      <c r="G73" s="87"/>
      <c r="H73" s="86">
        <f t="shared" si="2"/>
        <v>35669.864673345204</v>
      </c>
      <c r="I73" s="86">
        <f t="shared" si="3"/>
        <v>2972.4887227787672</v>
      </c>
      <c r="J73" s="86">
        <f t="shared" si="4"/>
        <v>624.22263178354103</v>
      </c>
      <c r="K73" s="86">
        <f t="shared" si="5"/>
        <v>3596.7113545623083</v>
      </c>
      <c r="L73" s="86">
        <f t="shared" si="6"/>
        <v>1258.8489740968078</v>
      </c>
      <c r="M73" s="86">
        <f t="shared" si="7"/>
        <v>4855.5603286591158</v>
      </c>
      <c r="N73" s="86">
        <f t="shared" si="8"/>
        <v>2185.0021478966023</v>
      </c>
      <c r="O73" s="88">
        <f t="shared" si="9"/>
        <v>7040.5624765557186</v>
      </c>
      <c r="P73" s="27">
        <f t="shared" si="15"/>
        <v>0</v>
      </c>
      <c r="Q73" s="28">
        <v>35669.864673345204</v>
      </c>
      <c r="S73" s="1"/>
      <c r="T73" s="1"/>
      <c r="U73" s="1"/>
      <c r="V73" s="1"/>
      <c r="W73" s="1"/>
      <c r="X73" s="1"/>
      <c r="AF73">
        <v>33971.299688900195</v>
      </c>
      <c r="AG73">
        <f t="shared" si="10"/>
        <v>4.9999999999999982E-2</v>
      </c>
      <c r="AK73" s="39">
        <v>100516220</v>
      </c>
      <c r="AL73" s="38">
        <v>17830.838018208367</v>
      </c>
      <c r="AN73" s="32">
        <f t="shared" si="16"/>
        <v>1</v>
      </c>
    </row>
    <row r="74" spans="1:40" ht="15.75" thickBot="1" x14ac:dyDescent="0.3">
      <c r="A74" s="79">
        <v>100517679</v>
      </c>
      <c r="B74" s="82" t="s">
        <v>105</v>
      </c>
      <c r="C74" s="83">
        <v>7790360973498</v>
      </c>
      <c r="D74" s="84">
        <v>7.68</v>
      </c>
      <c r="E74" s="85">
        <v>8</v>
      </c>
      <c r="F74" s="86">
        <f t="shared" si="17"/>
        <v>35830.538453970417</v>
      </c>
      <c r="G74" s="87"/>
      <c r="H74" s="86">
        <f t="shared" si="2"/>
        <v>35830.538453970417</v>
      </c>
      <c r="I74" s="86">
        <f t="shared" si="3"/>
        <v>4478.8173067463022</v>
      </c>
      <c r="J74" s="86">
        <f t="shared" si="4"/>
        <v>940.55163441672346</v>
      </c>
      <c r="K74" s="86">
        <f t="shared" si="5"/>
        <v>5419.3689411630257</v>
      </c>
      <c r="L74" s="86">
        <f t="shared" si="6"/>
        <v>1896.7791294070589</v>
      </c>
      <c r="M74" s="86">
        <f t="shared" si="7"/>
        <v>7316.1480705700851</v>
      </c>
      <c r="N74" s="86">
        <f t="shared" si="8"/>
        <v>3292.2666317565386</v>
      </c>
      <c r="O74" s="88">
        <f>+M74+N74</f>
        <v>10608.414702326623</v>
      </c>
      <c r="P74" s="27">
        <f t="shared" si="15"/>
        <v>0</v>
      </c>
      <c r="Q74" s="28">
        <v>35830.538453970417</v>
      </c>
      <c r="S74" s="1"/>
      <c r="T74" s="1"/>
      <c r="U74" s="1"/>
      <c r="V74" s="1"/>
      <c r="W74" s="1"/>
      <c r="X74" s="1"/>
      <c r="AF74">
        <v>34124.322337114681</v>
      </c>
      <c r="AG74">
        <f t="shared" si="10"/>
        <v>5.0000000000000051E-2</v>
      </c>
      <c r="AK74" s="91"/>
      <c r="AL74" s="86">
        <v>0</v>
      </c>
      <c r="AN74" s="32">
        <f t="shared" si="16"/>
        <v>1</v>
      </c>
    </row>
    <row r="75" spans="1:40" ht="15.75" thickBot="1" x14ac:dyDescent="0.3">
      <c r="A75" s="53"/>
      <c r="B75" s="54"/>
      <c r="C75" s="55"/>
      <c r="D75" s="54"/>
      <c r="E75" s="56"/>
      <c r="F75" s="57" t="e">
        <f t="shared" si="17"/>
        <v>#N/A</v>
      </c>
      <c r="G75" s="74"/>
      <c r="H75" s="57" t="e">
        <f t="shared" si="2"/>
        <v>#N/A</v>
      </c>
      <c r="I75" s="58" t="e">
        <f t="shared" si="3"/>
        <v>#N/A</v>
      </c>
      <c r="J75" s="59"/>
      <c r="K75" s="58"/>
      <c r="L75" s="59"/>
      <c r="M75" s="58"/>
      <c r="N75" s="59"/>
      <c r="O75" s="60"/>
      <c r="P75" s="27" t="e">
        <f t="shared" si="15"/>
        <v>#N/A</v>
      </c>
      <c r="Q75" s="28" t="e">
        <v>#N/A</v>
      </c>
      <c r="S75" s="1"/>
      <c r="T75" s="1"/>
      <c r="U75" s="1"/>
      <c r="V75" s="1"/>
      <c r="W75" s="1"/>
      <c r="X75" s="1"/>
      <c r="AF75" t="e">
        <v>#N/A</v>
      </c>
      <c r="AG75" t="e">
        <f t="shared" si="10"/>
        <v>#N/A</v>
      </c>
      <c r="AK75" s="92">
        <v>100518158</v>
      </c>
      <c r="AL75" s="86">
        <v>68490.548114372563</v>
      </c>
      <c r="AN75" s="32" t="e">
        <f t="shared" si="16"/>
        <v>#N/A</v>
      </c>
    </row>
    <row r="76" spans="1:40" ht="15" hidden="1" customHeight="1" x14ac:dyDescent="0.25">
      <c r="A76" s="39">
        <v>100516219</v>
      </c>
      <c r="B76" s="40" t="s">
        <v>106</v>
      </c>
      <c r="C76" s="93">
        <v>7790360967770</v>
      </c>
      <c r="D76" s="36">
        <v>10</v>
      </c>
      <c r="E76" s="37">
        <v>25</v>
      </c>
      <c r="F76" s="38">
        <f t="shared" si="17"/>
        <v>16599.454447073913</v>
      </c>
      <c r="G76" s="75"/>
      <c r="H76" s="38">
        <f t="shared" si="2"/>
        <v>16599.454447073913</v>
      </c>
      <c r="I76" s="38">
        <f t="shared" si="3"/>
        <v>663.97817788295652</v>
      </c>
      <c r="J76" s="38">
        <f t="shared" si="4"/>
        <v>139.43541735542087</v>
      </c>
      <c r="K76" s="38">
        <f t="shared" si="5"/>
        <v>803.41359523837741</v>
      </c>
      <c r="L76" s="38">
        <f t="shared" si="6"/>
        <v>281.19475833343205</v>
      </c>
      <c r="M76" s="38">
        <f t="shared" si="7"/>
        <v>1084.6083535718094</v>
      </c>
      <c r="N76" s="38">
        <f t="shared" si="8"/>
        <v>488.07375910731423</v>
      </c>
      <c r="O76" s="28">
        <f t="shared" si="9"/>
        <v>1572.6821126791237</v>
      </c>
      <c r="P76" s="27">
        <f t="shared" si="15"/>
        <v>0</v>
      </c>
      <c r="Q76" s="28">
        <v>16599.454447073913</v>
      </c>
      <c r="S76" s="1"/>
      <c r="T76" s="1"/>
      <c r="U76" s="1"/>
      <c r="V76" s="1"/>
      <c r="W76" s="1"/>
      <c r="X76" s="1"/>
      <c r="AF76">
        <v>16599.454447073913</v>
      </c>
      <c r="AG76">
        <f t="shared" si="10"/>
        <v>0</v>
      </c>
      <c r="AK76" s="39">
        <v>100518160</v>
      </c>
      <c r="AL76" s="57">
        <v>68490.548114372563</v>
      </c>
      <c r="AN76" s="32">
        <f t="shared" si="16"/>
        <v>1</v>
      </c>
    </row>
    <row r="77" spans="1:40" ht="15" hidden="1" customHeight="1" x14ac:dyDescent="0.25">
      <c r="A77" s="39">
        <v>100516220</v>
      </c>
      <c r="B77" s="40" t="s">
        <v>107</v>
      </c>
      <c r="C77" s="93">
        <v>7790360967787</v>
      </c>
      <c r="D77" s="36">
        <v>12</v>
      </c>
      <c r="E77" s="37">
        <v>6</v>
      </c>
      <c r="F77" s="38">
        <f t="shared" si="17"/>
        <v>17830.838018208367</v>
      </c>
      <c r="G77" s="75"/>
      <c r="H77" s="38">
        <f t="shared" si="2"/>
        <v>17830.838018208367</v>
      </c>
      <c r="I77" s="38">
        <f t="shared" si="3"/>
        <v>2971.8063363680612</v>
      </c>
      <c r="J77" s="38">
        <f t="shared" si="4"/>
        <v>624.07933063729286</v>
      </c>
      <c r="K77" s="38">
        <f t="shared" si="5"/>
        <v>3595.8856670053542</v>
      </c>
      <c r="L77" s="38">
        <f t="shared" si="6"/>
        <v>1258.5599834518739</v>
      </c>
      <c r="M77" s="38">
        <f t="shared" si="7"/>
        <v>4854.4456504572281</v>
      </c>
      <c r="N77" s="38">
        <f t="shared" si="8"/>
        <v>2184.5005427057527</v>
      </c>
      <c r="O77" s="28">
        <f t="shared" si="9"/>
        <v>7038.9461931629812</v>
      </c>
      <c r="P77" s="27">
        <f t="shared" si="15"/>
        <v>0</v>
      </c>
      <c r="Q77" s="28">
        <v>17830.838018208367</v>
      </c>
      <c r="S77" s="1"/>
      <c r="T77" s="1"/>
      <c r="U77" s="1"/>
      <c r="V77" s="1"/>
      <c r="W77" s="1"/>
      <c r="X77" s="1"/>
      <c r="AF77">
        <v>17830.838018208367</v>
      </c>
      <c r="AG77">
        <f t="shared" si="10"/>
        <v>0</v>
      </c>
      <c r="AK77" s="94">
        <v>100518463</v>
      </c>
      <c r="AL77" s="38">
        <v>33357.515625</v>
      </c>
      <c r="AN77" s="32">
        <f t="shared" si="16"/>
        <v>1</v>
      </c>
    </row>
    <row r="78" spans="1:40" ht="15" hidden="1" customHeight="1" x14ac:dyDescent="0.25">
      <c r="A78" s="91"/>
      <c r="B78" s="95"/>
      <c r="C78" s="96"/>
      <c r="D78" s="95"/>
      <c r="E78" s="97"/>
      <c r="F78" s="98" t="e">
        <f t="shared" si="17"/>
        <v>#N/A</v>
      </c>
      <c r="G78" s="99"/>
      <c r="H78" s="98" t="e">
        <f t="shared" ref="H78:H106" si="18">+F78*(1-G78)</f>
        <v>#N/A</v>
      </c>
      <c r="I78" s="98" t="e">
        <f t="shared" ref="I78:I84" si="19">+H78/E78</f>
        <v>#N/A</v>
      </c>
      <c r="J78" s="98"/>
      <c r="K78" s="98"/>
      <c r="L78" s="98"/>
      <c r="M78" s="98"/>
      <c r="N78" s="98"/>
      <c r="O78" s="100"/>
      <c r="P78" s="27" t="e">
        <f t="shared" si="15"/>
        <v>#N/A</v>
      </c>
      <c r="Q78" s="28" t="e">
        <v>#N/A</v>
      </c>
      <c r="S78" s="1"/>
      <c r="T78" s="1"/>
      <c r="U78" s="1"/>
      <c r="V78" s="1"/>
      <c r="W78" s="1"/>
      <c r="X78" s="1"/>
      <c r="AF78" t="e">
        <v>#N/A</v>
      </c>
      <c r="AG78" t="e">
        <f t="shared" ref="AG78:AG106" si="20">+(H78-AF78)/AF78</f>
        <v>#N/A</v>
      </c>
      <c r="AK78" s="101"/>
      <c r="AL78" s="38"/>
      <c r="AN78" s="32" t="e">
        <f t="shared" si="16"/>
        <v>#N/A</v>
      </c>
    </row>
    <row r="79" spans="1:40" ht="15.75" hidden="1" thickBot="1" x14ac:dyDescent="0.3">
      <c r="A79" s="92">
        <v>100518158</v>
      </c>
      <c r="B79" s="102" t="s">
        <v>108</v>
      </c>
      <c r="C79" s="103">
        <v>7790360974280</v>
      </c>
      <c r="D79" s="104">
        <v>12</v>
      </c>
      <c r="E79" s="105">
        <v>24</v>
      </c>
      <c r="F79" s="106">
        <f t="shared" si="17"/>
        <v>68490.548114372563</v>
      </c>
      <c r="G79" s="107"/>
      <c r="H79" s="106">
        <f t="shared" si="18"/>
        <v>68490.548114372563</v>
      </c>
      <c r="I79" s="106">
        <f t="shared" si="19"/>
        <v>2853.7728380988569</v>
      </c>
      <c r="J79" s="106">
        <f>+I79*J$3</f>
        <v>599.29229600075996</v>
      </c>
      <c r="K79" s="106">
        <f>+I79+J79</f>
        <v>3453.0651340996169</v>
      </c>
      <c r="L79" s="106">
        <f>+K79*L$3</f>
        <v>1208.5727969348659</v>
      </c>
      <c r="M79" s="106">
        <f>+K79+L79</f>
        <v>4661.6379310344828</v>
      </c>
      <c r="N79" s="106">
        <f>+M79*N$3</f>
        <v>2097.7370689655172</v>
      </c>
      <c r="O79" s="108">
        <f>+M79+N79</f>
        <v>6759.375</v>
      </c>
      <c r="P79" s="27">
        <f t="shared" si="15"/>
        <v>0</v>
      </c>
      <c r="Q79" s="28">
        <v>68490.548114372563</v>
      </c>
      <c r="S79" s="1"/>
      <c r="T79" s="1"/>
      <c r="U79" s="1"/>
      <c r="V79" s="1"/>
      <c r="W79" s="1"/>
      <c r="X79" s="1"/>
      <c r="AF79">
        <v>68490.548114372563</v>
      </c>
      <c r="AG79">
        <f t="shared" si="20"/>
        <v>0</v>
      </c>
      <c r="AK79" s="109">
        <v>100518291</v>
      </c>
      <c r="AL79" s="98">
        <v>14228.63010787498</v>
      </c>
      <c r="AN79" s="32">
        <f t="shared" si="16"/>
        <v>1</v>
      </c>
    </row>
    <row r="80" spans="1:40" ht="15.75" hidden="1" thickBot="1" x14ac:dyDescent="0.3">
      <c r="A80" s="39">
        <v>100518160</v>
      </c>
      <c r="B80" s="40" t="s">
        <v>109</v>
      </c>
      <c r="C80" s="110">
        <v>7790360974686</v>
      </c>
      <c r="D80" s="36">
        <v>12</v>
      </c>
      <c r="E80" s="37">
        <v>12</v>
      </c>
      <c r="F80" s="38">
        <f t="shared" si="17"/>
        <v>68490.548114372563</v>
      </c>
      <c r="G80" s="75"/>
      <c r="H80" s="38">
        <f t="shared" si="18"/>
        <v>68490.548114372563</v>
      </c>
      <c r="I80" s="38">
        <f t="shared" si="19"/>
        <v>5707.5456761977139</v>
      </c>
      <c r="J80" s="38">
        <f>+I80*J$3</f>
        <v>1198.5845920015199</v>
      </c>
      <c r="K80" s="38">
        <f>+I80+J80</f>
        <v>6906.1302681992338</v>
      </c>
      <c r="L80" s="38">
        <f>+K80*L$3</f>
        <v>2417.1455938697318</v>
      </c>
      <c r="M80" s="38">
        <f>+K80+L80</f>
        <v>9323.2758620689656</v>
      </c>
      <c r="N80" s="38">
        <f>+M80*N$3</f>
        <v>4195.4741379310344</v>
      </c>
      <c r="O80" s="28">
        <f>+M80+N80</f>
        <v>13518.75</v>
      </c>
      <c r="P80" s="27">
        <f t="shared" si="15"/>
        <v>0</v>
      </c>
      <c r="Q80" s="28">
        <v>68490.548114372563</v>
      </c>
      <c r="S80" s="1"/>
      <c r="T80" s="1"/>
      <c r="U80" s="1"/>
      <c r="V80" s="1"/>
      <c r="W80" s="1"/>
      <c r="X80" s="1"/>
      <c r="AF80">
        <v>68490.548114372563</v>
      </c>
      <c r="AG80">
        <f t="shared" si="20"/>
        <v>0</v>
      </c>
      <c r="AK80" s="111">
        <v>100518292</v>
      </c>
      <c r="AL80" s="106">
        <v>33574.489918000429</v>
      </c>
      <c r="AN80" s="32">
        <f t="shared" si="16"/>
        <v>1</v>
      </c>
    </row>
    <row r="81" spans="1:40" ht="15.75" hidden="1" thickBot="1" x14ac:dyDescent="0.3">
      <c r="A81" s="94">
        <v>100518463</v>
      </c>
      <c r="B81" s="112" t="s">
        <v>110</v>
      </c>
      <c r="C81" s="113">
        <v>7790360975188</v>
      </c>
      <c r="D81" s="114">
        <v>5</v>
      </c>
      <c r="E81" s="115">
        <v>1</v>
      </c>
      <c r="F81" s="116">
        <f t="shared" si="17"/>
        <v>33357.515625</v>
      </c>
      <c r="G81" s="117"/>
      <c r="H81" s="116">
        <f t="shared" si="18"/>
        <v>33357.515625</v>
      </c>
      <c r="I81" s="116">
        <f t="shared" si="19"/>
        <v>33357.515625</v>
      </c>
      <c r="J81" s="116">
        <f>+I81*J$3</f>
        <v>7005.0782812500001</v>
      </c>
      <c r="K81" s="116">
        <f>+I81+J81</f>
        <v>40362.593906249997</v>
      </c>
      <c r="L81" s="116">
        <f>+K81*L$3</f>
        <v>14126.907867187498</v>
      </c>
      <c r="M81" s="116">
        <f>+K81+L81</f>
        <v>54489.501773437492</v>
      </c>
      <c r="N81" s="116">
        <f>+M81*N$3</f>
        <v>24520.27579804687</v>
      </c>
      <c r="O81" s="118">
        <f>+M81+N81</f>
        <v>79009.777571484359</v>
      </c>
      <c r="P81" s="27">
        <f t="shared" si="15"/>
        <v>0</v>
      </c>
      <c r="Q81" s="28">
        <v>33357.515625</v>
      </c>
      <c r="S81" s="1"/>
      <c r="T81" s="1"/>
      <c r="U81" s="1"/>
      <c r="V81" s="1"/>
      <c r="W81" s="1"/>
      <c r="X81" s="1"/>
      <c r="AF81">
        <v>33357.515625</v>
      </c>
      <c r="AG81">
        <f t="shared" si="20"/>
        <v>0</v>
      </c>
      <c r="AK81" s="101"/>
      <c r="AL81" s="38"/>
      <c r="AN81" s="32">
        <f t="shared" si="16"/>
        <v>1</v>
      </c>
    </row>
    <row r="82" spans="1:40" ht="15.75" hidden="1" thickBot="1" x14ac:dyDescent="0.3">
      <c r="A82" s="101"/>
      <c r="B82" s="119"/>
      <c r="C82" s="120"/>
      <c r="D82" s="119"/>
      <c r="E82" s="121"/>
      <c r="F82" s="122" t="e">
        <f t="shared" si="17"/>
        <v>#N/A</v>
      </c>
      <c r="G82" s="123"/>
      <c r="H82" s="122" t="e">
        <f t="shared" si="18"/>
        <v>#N/A</v>
      </c>
      <c r="I82" s="122" t="e">
        <f t="shared" si="19"/>
        <v>#N/A</v>
      </c>
      <c r="J82" s="122"/>
      <c r="K82" s="122"/>
      <c r="L82" s="122"/>
      <c r="M82" s="122"/>
      <c r="N82" s="122"/>
      <c r="O82" s="124"/>
      <c r="P82" s="27" t="e">
        <f t="shared" si="15"/>
        <v>#N/A</v>
      </c>
      <c r="Q82" s="28" t="e">
        <v>#N/A</v>
      </c>
      <c r="S82" s="1"/>
      <c r="T82" s="1"/>
      <c r="U82" s="1"/>
      <c r="V82" s="1"/>
      <c r="W82" s="1"/>
      <c r="X82" s="1"/>
      <c r="AF82" t="e">
        <v>#N/A</v>
      </c>
      <c r="AG82" t="e">
        <f t="shared" si="20"/>
        <v>#N/A</v>
      </c>
      <c r="AK82" s="109">
        <v>100517915</v>
      </c>
      <c r="AL82" s="116">
        <v>145920.01119803212</v>
      </c>
      <c r="AN82" s="32" t="e">
        <f t="shared" si="16"/>
        <v>#N/A</v>
      </c>
    </row>
    <row r="83" spans="1:40" ht="15.75" thickBot="1" x14ac:dyDescent="0.3">
      <c r="A83" s="125">
        <v>100518291</v>
      </c>
      <c r="B83" s="126" t="s">
        <v>111</v>
      </c>
      <c r="C83" s="127">
        <v>7790360975195</v>
      </c>
      <c r="D83" s="128">
        <v>5</v>
      </c>
      <c r="E83" s="128">
        <v>10</v>
      </c>
      <c r="F83" s="129">
        <f t="shared" si="17"/>
        <v>14228.63010787498</v>
      </c>
      <c r="G83" s="25"/>
      <c r="H83" s="24">
        <f t="shared" si="18"/>
        <v>14228.63010787498</v>
      </c>
      <c r="I83" s="129">
        <f t="shared" si="19"/>
        <v>1422.8630107874981</v>
      </c>
      <c r="J83" s="129">
        <f>+I83*J$3</f>
        <v>298.80123226537461</v>
      </c>
      <c r="K83" s="129">
        <f>+I83+J83</f>
        <v>1721.6642430528727</v>
      </c>
      <c r="L83" s="129">
        <f>+K83*L$39</f>
        <v>378.76613347163203</v>
      </c>
      <c r="M83" s="129">
        <f>+K83+L83</f>
        <v>2100.4303765245049</v>
      </c>
      <c r="N83" s="129">
        <f>+M83*N$39</f>
        <v>735.15063178357673</v>
      </c>
      <c r="O83" s="130">
        <f>+M83+N83</f>
        <v>2835.5810083080814</v>
      </c>
      <c r="P83" s="27">
        <f t="shared" si="15"/>
        <v>5.0000000000000044E-2</v>
      </c>
      <c r="Q83" s="28">
        <v>13551.076293214266</v>
      </c>
      <c r="S83" s="1" t="s">
        <v>112</v>
      </c>
      <c r="T83" s="1"/>
      <c r="U83" s="1"/>
      <c r="V83" s="1"/>
      <c r="W83" s="1"/>
      <c r="X83" s="1"/>
      <c r="AF83">
        <v>13551.076293214266</v>
      </c>
      <c r="AG83">
        <f t="shared" si="20"/>
        <v>5.0000000000000058E-2</v>
      </c>
      <c r="AK83" s="111">
        <v>100517914</v>
      </c>
      <c r="AL83" s="122">
        <v>159231.15888620811</v>
      </c>
      <c r="AN83" s="32">
        <f t="shared" si="16"/>
        <v>0.95238095238095233</v>
      </c>
    </row>
    <row r="84" spans="1:40" ht="15.75" thickBot="1" x14ac:dyDescent="0.3">
      <c r="A84" s="131">
        <v>100518292</v>
      </c>
      <c r="B84" s="132" t="s">
        <v>113</v>
      </c>
      <c r="C84" s="133">
        <v>7790360975201</v>
      </c>
      <c r="D84" s="134">
        <v>12</v>
      </c>
      <c r="E84" s="134">
        <v>12</v>
      </c>
      <c r="F84" s="24">
        <f t="shared" si="17"/>
        <v>33574.489918000429</v>
      </c>
      <c r="G84" s="25"/>
      <c r="H84" s="24">
        <f t="shared" si="18"/>
        <v>33574.489918000429</v>
      </c>
      <c r="I84" s="135">
        <f t="shared" si="19"/>
        <v>2797.874159833369</v>
      </c>
      <c r="J84" s="135">
        <f>+I84*J$3</f>
        <v>587.55357356500747</v>
      </c>
      <c r="K84" s="135">
        <f>+I84+J84</f>
        <v>3385.4277333983764</v>
      </c>
      <c r="L84" s="135">
        <f>+K84*L$39</f>
        <v>744.79410134764282</v>
      </c>
      <c r="M84" s="135">
        <f>+K84+L84</f>
        <v>4130.2218347460193</v>
      </c>
      <c r="N84" s="135">
        <f>+M84*N$39</f>
        <v>1445.5776421611067</v>
      </c>
      <c r="O84" s="136">
        <f>+M84+N84</f>
        <v>5575.7994769071265</v>
      </c>
      <c r="P84" s="27">
        <f t="shared" si="15"/>
        <v>4.9999999999999822E-2</v>
      </c>
      <c r="Q84" s="28">
        <v>31975.704683809934</v>
      </c>
      <c r="S84" s="1" t="s">
        <v>114</v>
      </c>
      <c r="T84" s="1"/>
      <c r="U84" s="1"/>
      <c r="V84" s="1"/>
      <c r="W84" s="1"/>
      <c r="X84" s="1"/>
      <c r="AF84">
        <v>31975.704683809934</v>
      </c>
      <c r="AG84">
        <f t="shared" si="20"/>
        <v>4.9999999999999933E-2</v>
      </c>
      <c r="AK84" s="101"/>
      <c r="AL84" s="106"/>
      <c r="AN84" s="32">
        <f t="shared" si="16"/>
        <v>0.95238095238095244</v>
      </c>
    </row>
    <row r="85" spans="1:40" ht="15.75" thickBot="1" x14ac:dyDescent="0.3">
      <c r="A85" s="101"/>
      <c r="B85" s="119"/>
      <c r="C85" s="120"/>
      <c r="D85" s="119"/>
      <c r="E85" s="121"/>
      <c r="F85" s="122" t="e">
        <f t="shared" si="17"/>
        <v>#N/A</v>
      </c>
      <c r="G85" s="123"/>
      <c r="H85" s="122" t="e">
        <f t="shared" si="18"/>
        <v>#N/A</v>
      </c>
      <c r="I85" s="122" t="e">
        <f>+H85/E85</f>
        <v>#N/A</v>
      </c>
      <c r="J85" s="122">
        <v>0.105</v>
      </c>
      <c r="K85" s="122"/>
      <c r="L85" s="122">
        <v>0.3</v>
      </c>
      <c r="M85" s="122"/>
      <c r="N85" s="122">
        <v>0.4</v>
      </c>
      <c r="O85" s="124"/>
      <c r="P85" s="27" t="e">
        <f t="shared" si="15"/>
        <v>#N/A</v>
      </c>
      <c r="Q85" s="28" t="e">
        <v>#N/A</v>
      </c>
      <c r="S85" s="1"/>
      <c r="T85" s="1"/>
      <c r="U85" s="1"/>
      <c r="V85" s="1"/>
      <c r="W85" s="1"/>
      <c r="X85" s="1"/>
      <c r="AF85" t="e">
        <v>#N/A</v>
      </c>
      <c r="AG85" t="e">
        <f t="shared" si="20"/>
        <v>#N/A</v>
      </c>
      <c r="AK85" s="39">
        <v>100010689</v>
      </c>
      <c r="AL85" s="38">
        <v>15000</v>
      </c>
      <c r="AN85" s="32" t="e">
        <f t="shared" si="16"/>
        <v>#N/A</v>
      </c>
    </row>
    <row r="86" spans="1:40" ht="15.75" thickBot="1" x14ac:dyDescent="0.3">
      <c r="A86" s="125">
        <v>100517915</v>
      </c>
      <c r="B86" s="126" t="s">
        <v>115</v>
      </c>
      <c r="C86" s="127">
        <v>7790360974020</v>
      </c>
      <c r="D86" s="128">
        <v>18</v>
      </c>
      <c r="E86" s="128">
        <v>36</v>
      </c>
      <c r="F86" s="129">
        <f t="shared" si="17"/>
        <v>145920.01119803212</v>
      </c>
      <c r="G86" s="73"/>
      <c r="H86" s="24">
        <f t="shared" si="18"/>
        <v>145920.01119803212</v>
      </c>
      <c r="I86" s="129">
        <f>+H86/E86</f>
        <v>4053.3336443897811</v>
      </c>
      <c r="J86" s="129">
        <f>+I86*J$85</f>
        <v>425.60003266092701</v>
      </c>
      <c r="K86" s="129">
        <f>+I86+J86</f>
        <v>4478.933677050708</v>
      </c>
      <c r="L86" s="129">
        <f>+K86*L$85</f>
        <v>1343.6801031152124</v>
      </c>
      <c r="M86" s="129">
        <f>+K86+L86</f>
        <v>5822.6137801659206</v>
      </c>
      <c r="N86" s="129">
        <f>+M86*N$85</f>
        <v>2329.0455120663682</v>
      </c>
      <c r="O86" s="130">
        <f>+M86+N86</f>
        <v>8151.6592922322889</v>
      </c>
      <c r="P86" s="27">
        <f t="shared" si="15"/>
        <v>0</v>
      </c>
      <c r="Q86" s="28">
        <v>145920.01119803212</v>
      </c>
      <c r="S86" s="1"/>
      <c r="T86" s="1"/>
      <c r="U86" s="1"/>
      <c r="V86" s="1"/>
      <c r="W86" s="1"/>
      <c r="X86" s="1"/>
      <c r="AF86">
        <v>126062.62630281298</v>
      </c>
      <c r="AG86">
        <f t="shared" si="20"/>
        <v>0.15752000000000038</v>
      </c>
      <c r="AK86" s="39">
        <v>100518335</v>
      </c>
      <c r="AL86" s="122">
        <v>10714.285714285714</v>
      </c>
      <c r="AN86" s="32">
        <f t="shared" si="16"/>
        <v>1</v>
      </c>
    </row>
    <row r="87" spans="1:40" ht="15.75" thickBot="1" x14ac:dyDescent="0.3">
      <c r="A87" s="131">
        <v>100517914</v>
      </c>
      <c r="B87" s="132" t="s">
        <v>116</v>
      </c>
      <c r="C87" s="133">
        <v>7790360974037</v>
      </c>
      <c r="D87" s="134">
        <v>20</v>
      </c>
      <c r="E87" s="134">
        <v>20</v>
      </c>
      <c r="F87" s="24">
        <f t="shared" si="17"/>
        <v>159231.15888620811</v>
      </c>
      <c r="G87" s="73"/>
      <c r="H87" s="24">
        <f t="shared" si="18"/>
        <v>159231.15888620811</v>
      </c>
      <c r="I87" s="135">
        <f>+H87/E87</f>
        <v>7961.5579443104052</v>
      </c>
      <c r="J87" s="135">
        <f>+I87*J$85</f>
        <v>835.96358415259249</v>
      </c>
      <c r="K87" s="135">
        <f>+I87+J87</f>
        <v>8797.5215284629976</v>
      </c>
      <c r="L87" s="135">
        <f>+K87*L$85</f>
        <v>2639.2564585388991</v>
      </c>
      <c r="M87" s="135">
        <f>+K87+L87</f>
        <v>11436.777987001897</v>
      </c>
      <c r="N87" s="135">
        <f>+M87*N$85</f>
        <v>4574.7111948007587</v>
      </c>
      <c r="O87" s="136">
        <f>+M87+N87</f>
        <v>16011.489181802655</v>
      </c>
      <c r="P87" s="27">
        <f t="shared" si="15"/>
        <v>0</v>
      </c>
      <c r="Q87" s="28">
        <v>159231.15888620811</v>
      </c>
      <c r="S87" s="1"/>
      <c r="T87" s="1"/>
      <c r="U87" s="1"/>
      <c r="V87" s="1"/>
      <c r="W87" s="1"/>
      <c r="X87" s="1"/>
      <c r="AF87">
        <v>137562.33921332512</v>
      </c>
      <c r="AG87">
        <f t="shared" si="20"/>
        <v>0.15752000000000016</v>
      </c>
      <c r="AK87" s="39">
        <v>100518332</v>
      </c>
      <c r="AL87" s="106">
        <v>12321.428571428572</v>
      </c>
      <c r="AN87" s="32">
        <f t="shared" si="16"/>
        <v>1</v>
      </c>
    </row>
    <row r="88" spans="1:40" x14ac:dyDescent="0.25">
      <c r="A88" s="101"/>
      <c r="B88" s="119"/>
      <c r="C88" s="120"/>
      <c r="D88" s="119"/>
      <c r="E88" s="121"/>
      <c r="F88" s="122" t="e">
        <f t="shared" si="17"/>
        <v>#N/A</v>
      </c>
      <c r="G88" s="123"/>
      <c r="H88" s="122" t="e">
        <f t="shared" si="18"/>
        <v>#N/A</v>
      </c>
      <c r="I88" s="122"/>
      <c r="J88" s="137">
        <v>0.105</v>
      </c>
      <c r="K88" s="137"/>
      <c r="L88" s="137">
        <v>0.3</v>
      </c>
      <c r="M88" s="137"/>
      <c r="N88" s="137">
        <v>0.4</v>
      </c>
      <c r="O88" s="138"/>
      <c r="P88" s="27" t="e">
        <f t="shared" si="15"/>
        <v>#N/A</v>
      </c>
      <c r="Q88" s="28" t="e">
        <v>#N/A</v>
      </c>
      <c r="S88" s="1"/>
      <c r="T88" s="1"/>
      <c r="U88" s="1"/>
      <c r="V88" s="1"/>
      <c r="W88" s="1"/>
      <c r="X88" s="1"/>
      <c r="AF88" t="e">
        <v>#N/A</v>
      </c>
      <c r="AG88" t="e">
        <f t="shared" si="20"/>
        <v>#N/A</v>
      </c>
      <c r="AK88" s="39">
        <v>100518334</v>
      </c>
      <c r="AL88" s="38">
        <v>10928.571428571429</v>
      </c>
      <c r="AN88" s="32" t="e">
        <f t="shared" si="16"/>
        <v>#N/A</v>
      </c>
    </row>
    <row r="89" spans="1:40" x14ac:dyDescent="0.25">
      <c r="A89" s="39">
        <v>100010689</v>
      </c>
      <c r="B89" s="40" t="s">
        <v>117</v>
      </c>
      <c r="C89" s="35"/>
      <c r="D89" s="36">
        <v>22</v>
      </c>
      <c r="E89" s="37">
        <v>1</v>
      </c>
      <c r="F89" s="38">
        <f t="shared" si="17"/>
        <v>15000</v>
      </c>
      <c r="G89" s="75"/>
      <c r="H89" s="38">
        <f t="shared" si="18"/>
        <v>15000</v>
      </c>
      <c r="I89" s="38">
        <f t="shared" ref="I89:I94" si="21">+H89/E89</f>
        <v>15000</v>
      </c>
      <c r="J89" s="38">
        <f t="shared" ref="J89:J94" si="22">+I89*J$88</f>
        <v>1575</v>
      </c>
      <c r="K89" s="38">
        <f t="shared" ref="K89:K94" si="23">+I89+J89</f>
        <v>16575</v>
      </c>
      <c r="L89" s="38">
        <f t="shared" ref="L89:L94" si="24">+K89*L$88</f>
        <v>4972.5</v>
      </c>
      <c r="M89" s="38">
        <f t="shared" ref="M89:M94" si="25">+K89+L89</f>
        <v>21547.5</v>
      </c>
      <c r="N89" s="38">
        <f t="shared" ref="N89:N94" si="26">+M89*N$88</f>
        <v>8619</v>
      </c>
      <c r="O89" s="28">
        <f t="shared" ref="O89:O94" si="27">+M89+N89</f>
        <v>30166.5</v>
      </c>
      <c r="P89" s="27">
        <f t="shared" si="15"/>
        <v>5.0000000000000044E-2</v>
      </c>
      <c r="Q89" s="28">
        <v>14285.714285714286</v>
      </c>
      <c r="S89" s="1"/>
      <c r="T89" s="1"/>
      <c r="U89" s="1"/>
      <c r="V89" s="1"/>
      <c r="W89" s="1"/>
      <c r="X89" s="1"/>
      <c r="AF89">
        <v>14255.102040816328</v>
      </c>
      <c r="AG89">
        <f t="shared" si="20"/>
        <v>5.2254831782390758E-2</v>
      </c>
      <c r="AK89" s="39">
        <v>100518227</v>
      </c>
      <c r="AL89" s="122">
        <v>12895.714285714286</v>
      </c>
      <c r="AN89" s="32">
        <f t="shared" si="16"/>
        <v>0.95238095238095244</v>
      </c>
    </row>
    <row r="90" spans="1:40" x14ac:dyDescent="0.25">
      <c r="A90" s="39">
        <v>100518335</v>
      </c>
      <c r="B90" s="40" t="s">
        <v>118</v>
      </c>
      <c r="C90" s="35"/>
      <c r="D90" s="36">
        <v>22.5</v>
      </c>
      <c r="E90" s="37">
        <v>1</v>
      </c>
      <c r="F90" s="38">
        <f t="shared" si="17"/>
        <v>10714.285714285714</v>
      </c>
      <c r="G90" s="75"/>
      <c r="H90" s="38">
        <f t="shared" si="18"/>
        <v>10714.285714285714</v>
      </c>
      <c r="I90" s="38">
        <f t="shared" si="21"/>
        <v>10714.285714285714</v>
      </c>
      <c r="J90" s="38">
        <f t="shared" si="22"/>
        <v>1125</v>
      </c>
      <c r="K90" s="38">
        <f t="shared" si="23"/>
        <v>11839.285714285714</v>
      </c>
      <c r="L90" s="38">
        <f t="shared" si="24"/>
        <v>3551.7857142857142</v>
      </c>
      <c r="M90" s="38">
        <f t="shared" si="25"/>
        <v>15391.071428571428</v>
      </c>
      <c r="N90" s="38">
        <f t="shared" si="26"/>
        <v>6156.4285714285716</v>
      </c>
      <c r="O90" s="28">
        <f t="shared" si="27"/>
        <v>21547.5</v>
      </c>
      <c r="P90" s="27">
        <f t="shared" si="15"/>
        <v>4.9999999999999822E-2</v>
      </c>
      <c r="Q90" s="28">
        <v>10204.081632653062</v>
      </c>
      <c r="S90" s="1"/>
      <c r="T90" s="1"/>
      <c r="U90" s="1"/>
      <c r="V90" s="1"/>
      <c r="W90" s="1"/>
      <c r="X90" s="1"/>
      <c r="Y90" s="72"/>
      <c r="AF90">
        <v>9029.5918367346949</v>
      </c>
      <c r="AG90">
        <f t="shared" si="20"/>
        <v>0.186574754209515</v>
      </c>
      <c r="AK90" s="101"/>
      <c r="AL90" s="38"/>
      <c r="AN90" s="32">
        <f t="shared" si="16"/>
        <v>0.95238095238095255</v>
      </c>
    </row>
    <row r="91" spans="1:40" x14ac:dyDescent="0.25">
      <c r="A91" s="39">
        <v>100518332</v>
      </c>
      <c r="B91" s="40" t="s">
        <v>119</v>
      </c>
      <c r="C91" s="35"/>
      <c r="D91" s="36">
        <v>21.5</v>
      </c>
      <c r="E91" s="37">
        <v>1</v>
      </c>
      <c r="F91" s="38">
        <f t="shared" si="17"/>
        <v>12321.428571428572</v>
      </c>
      <c r="G91" s="75"/>
      <c r="H91" s="38">
        <f t="shared" si="18"/>
        <v>12321.428571428572</v>
      </c>
      <c r="I91" s="38">
        <f t="shared" si="21"/>
        <v>12321.428571428572</v>
      </c>
      <c r="J91" s="38">
        <f t="shared" si="22"/>
        <v>1293.75</v>
      </c>
      <c r="K91" s="38">
        <f t="shared" si="23"/>
        <v>13615.178571428572</v>
      </c>
      <c r="L91" s="38">
        <f t="shared" si="24"/>
        <v>4084.5535714285716</v>
      </c>
      <c r="M91" s="38">
        <f t="shared" si="25"/>
        <v>17699.732142857145</v>
      </c>
      <c r="N91" s="38">
        <f t="shared" si="26"/>
        <v>7079.8928571428587</v>
      </c>
      <c r="O91" s="28">
        <f t="shared" si="27"/>
        <v>24779.625000000004</v>
      </c>
      <c r="P91" s="27">
        <f t="shared" si="15"/>
        <v>5.0000000000000266E-2</v>
      </c>
      <c r="Q91" s="28">
        <v>11734.693877551019</v>
      </c>
      <c r="S91" s="1"/>
      <c r="T91" s="1"/>
      <c r="U91" s="1"/>
      <c r="V91" s="1"/>
      <c r="W91" s="1"/>
      <c r="X91" s="1"/>
      <c r="Y91" s="72">
        <f>+R100*72+R4*144</f>
        <v>0</v>
      </c>
      <c r="AF91">
        <v>9717.3469387755104</v>
      </c>
      <c r="AG91">
        <f t="shared" si="20"/>
        <v>0.26798277853617564</v>
      </c>
      <c r="AK91" s="81">
        <v>100520837</v>
      </c>
      <c r="AL91" s="38">
        <v>33805.838700484463</v>
      </c>
      <c r="AN91" s="32">
        <f t="shared" si="16"/>
        <v>0.95238095238095222</v>
      </c>
    </row>
    <row r="92" spans="1:40" x14ac:dyDescent="0.25">
      <c r="A92" s="39">
        <v>100518334</v>
      </c>
      <c r="B92" s="40" t="s">
        <v>120</v>
      </c>
      <c r="C92" s="35"/>
      <c r="D92" s="36">
        <v>22.5</v>
      </c>
      <c r="E92" s="37">
        <v>1</v>
      </c>
      <c r="F92" s="38">
        <f t="shared" si="17"/>
        <v>10928.571428571429</v>
      </c>
      <c r="G92" s="75"/>
      <c r="H92" s="38">
        <f t="shared" si="18"/>
        <v>10928.571428571429</v>
      </c>
      <c r="I92" s="38">
        <f t="shared" si="21"/>
        <v>10928.571428571429</v>
      </c>
      <c r="J92" s="38">
        <f t="shared" si="22"/>
        <v>1147.5</v>
      </c>
      <c r="K92" s="38">
        <f t="shared" si="23"/>
        <v>12076.071428571429</v>
      </c>
      <c r="L92" s="38">
        <f t="shared" si="24"/>
        <v>3622.8214285714289</v>
      </c>
      <c r="M92" s="38">
        <f t="shared" si="25"/>
        <v>15698.892857142859</v>
      </c>
      <c r="N92" s="38">
        <f t="shared" si="26"/>
        <v>6279.5571428571438</v>
      </c>
      <c r="O92" s="28">
        <f t="shared" si="27"/>
        <v>21978.450000000004</v>
      </c>
      <c r="P92" s="27">
        <f t="shared" si="15"/>
        <v>5.0000000000000044E-2</v>
      </c>
      <c r="Q92" s="28">
        <v>10408.163265306122</v>
      </c>
      <c r="S92" s="1"/>
      <c r="T92" s="1"/>
      <c r="U92" s="1"/>
      <c r="V92" s="1"/>
      <c r="W92" s="1"/>
      <c r="X92" s="1"/>
      <c r="Y92" s="72">
        <f>+R96*24+R4*144</f>
        <v>0</v>
      </c>
      <c r="AF92">
        <v>7997.9591836734699</v>
      </c>
      <c r="AG92">
        <f t="shared" si="20"/>
        <v>0.36642000510334272</v>
      </c>
      <c r="AK92" s="81">
        <v>100522395</v>
      </c>
      <c r="AL92" s="38">
        <v>34481.948800000006</v>
      </c>
      <c r="AN92" s="32">
        <f t="shared" si="16"/>
        <v>0.95238095238095233</v>
      </c>
    </row>
    <row r="93" spans="1:40" x14ac:dyDescent="0.25">
      <c r="A93" s="39">
        <v>100518227</v>
      </c>
      <c r="B93" s="40" t="s">
        <v>121</v>
      </c>
      <c r="C93" s="35"/>
      <c r="D93" s="36">
        <v>22.5</v>
      </c>
      <c r="E93" s="37">
        <v>1</v>
      </c>
      <c r="F93" s="38">
        <f t="shared" si="17"/>
        <v>12895.714285714286</v>
      </c>
      <c r="G93" s="75"/>
      <c r="H93" s="38">
        <f t="shared" si="18"/>
        <v>12895.714285714286</v>
      </c>
      <c r="I93" s="38">
        <f t="shared" si="21"/>
        <v>12895.714285714286</v>
      </c>
      <c r="J93" s="38">
        <f t="shared" si="22"/>
        <v>1354.05</v>
      </c>
      <c r="K93" s="38">
        <f t="shared" si="23"/>
        <v>14249.764285714286</v>
      </c>
      <c r="L93" s="38">
        <f t="shared" si="24"/>
        <v>4274.9292857142855</v>
      </c>
      <c r="M93" s="38">
        <f t="shared" si="25"/>
        <v>18524.693571428572</v>
      </c>
      <c r="N93" s="38">
        <f t="shared" si="26"/>
        <v>7409.8774285714289</v>
      </c>
      <c r="O93" s="28">
        <f t="shared" si="27"/>
        <v>25934.571</v>
      </c>
      <c r="P93" s="27">
        <f t="shared" si="15"/>
        <v>7.1000000000000174E-2</v>
      </c>
      <c r="Q93" s="28">
        <v>12040.81632653061</v>
      </c>
      <c r="S93" s="1"/>
      <c r="T93" s="1"/>
      <c r="U93" s="1"/>
      <c r="V93" s="1"/>
      <c r="W93" s="1"/>
      <c r="X93" s="1"/>
      <c r="AF93">
        <v>7997.9591836734699</v>
      </c>
      <c r="AG93">
        <f t="shared" si="20"/>
        <v>0.6123756060219443</v>
      </c>
      <c r="AK93" s="81">
        <v>100522561</v>
      </c>
      <c r="AL93" s="38">
        <v>6824.5523666666677</v>
      </c>
      <c r="AN93" s="32">
        <f t="shared" si="16"/>
        <v>0.93370681605975703</v>
      </c>
    </row>
    <row r="94" spans="1:40" hidden="1" x14ac:dyDescent="0.25">
      <c r="A94" s="139">
        <v>100027726</v>
      </c>
      <c r="B94" s="140" t="s">
        <v>122</v>
      </c>
      <c r="C94" s="141"/>
      <c r="D94" s="142">
        <v>22.5</v>
      </c>
      <c r="E94" s="37">
        <v>1</v>
      </c>
      <c r="F94" s="38" t="e">
        <f t="shared" si="17"/>
        <v>#N/A</v>
      </c>
      <c r="G94" s="75"/>
      <c r="H94" s="38" t="e">
        <f t="shared" si="18"/>
        <v>#N/A</v>
      </c>
      <c r="I94" s="38" t="e">
        <f t="shared" si="21"/>
        <v>#N/A</v>
      </c>
      <c r="J94" s="38" t="e">
        <f t="shared" si="22"/>
        <v>#N/A</v>
      </c>
      <c r="K94" s="38" t="e">
        <f t="shared" si="23"/>
        <v>#N/A</v>
      </c>
      <c r="L94" s="38" t="e">
        <f t="shared" si="24"/>
        <v>#N/A</v>
      </c>
      <c r="M94" s="38" t="e">
        <f t="shared" si="25"/>
        <v>#N/A</v>
      </c>
      <c r="N94" s="38" t="e">
        <f t="shared" si="26"/>
        <v>#N/A</v>
      </c>
      <c r="O94" s="28" t="e">
        <f t="shared" si="27"/>
        <v>#N/A</v>
      </c>
      <c r="P94" s="27" t="e">
        <f t="shared" si="15"/>
        <v>#N/A</v>
      </c>
      <c r="Q94" s="28">
        <v>6195</v>
      </c>
      <c r="S94" s="1"/>
      <c r="T94" s="1"/>
      <c r="U94" s="1"/>
      <c r="V94" s="1"/>
      <c r="W94" s="1"/>
      <c r="X94" s="1"/>
      <c r="AK94" s="101"/>
      <c r="AL94" s="38"/>
      <c r="AN94" s="32" t="e">
        <f t="shared" si="16"/>
        <v>#N/A</v>
      </c>
    </row>
    <row r="95" spans="1:40" x14ac:dyDescent="0.25">
      <c r="A95" s="101"/>
      <c r="B95" s="119"/>
      <c r="C95" s="120"/>
      <c r="D95" s="119"/>
      <c r="E95" s="121"/>
      <c r="F95" s="122" t="e">
        <f t="shared" si="17"/>
        <v>#N/A</v>
      </c>
      <c r="G95" s="123"/>
      <c r="H95" s="122" t="e">
        <f t="shared" si="18"/>
        <v>#N/A</v>
      </c>
      <c r="I95" s="122"/>
      <c r="J95" s="137">
        <v>0.21</v>
      </c>
      <c r="K95" s="137"/>
      <c r="L95" s="137">
        <v>0.3</v>
      </c>
      <c r="M95" s="137"/>
      <c r="N95" s="137">
        <v>0.4</v>
      </c>
      <c r="O95" s="138"/>
      <c r="P95" s="27" t="e">
        <f t="shared" si="15"/>
        <v>#N/A</v>
      </c>
      <c r="Q95" s="28" t="e">
        <v>#N/A</v>
      </c>
      <c r="S95" s="1"/>
      <c r="T95" s="1"/>
      <c r="U95" s="1"/>
      <c r="V95" s="1"/>
      <c r="W95" s="1"/>
      <c r="X95" s="1"/>
      <c r="AF95" t="e">
        <v>#N/A</v>
      </c>
      <c r="AG95" t="e">
        <f t="shared" si="20"/>
        <v>#N/A</v>
      </c>
      <c r="AK95" s="81">
        <v>100520902</v>
      </c>
      <c r="AL95" s="38">
        <v>30287.433583483747</v>
      </c>
      <c r="AN95" s="32" t="e">
        <f t="shared" si="16"/>
        <v>#N/A</v>
      </c>
    </row>
    <row r="96" spans="1:40" x14ac:dyDescent="0.25">
      <c r="A96" s="81">
        <v>100520837</v>
      </c>
      <c r="B96" s="82" t="s">
        <v>123</v>
      </c>
      <c r="C96" s="83">
        <v>7790360980625</v>
      </c>
      <c r="D96" s="142">
        <v>4.8</v>
      </c>
      <c r="E96" s="37">
        <v>12</v>
      </c>
      <c r="F96" s="38">
        <f t="shared" si="17"/>
        <v>33805.838700484463</v>
      </c>
      <c r="G96" s="75"/>
      <c r="H96" s="38">
        <f t="shared" si="18"/>
        <v>33805.838700484463</v>
      </c>
      <c r="I96" s="38">
        <f>+H96/E96</f>
        <v>2817.153225040372</v>
      </c>
      <c r="J96" s="38">
        <f>+I96*J$95</f>
        <v>591.60217725847815</v>
      </c>
      <c r="K96" s="38">
        <f>+I96+J96</f>
        <v>3408.7554022988502</v>
      </c>
      <c r="L96" s="38">
        <f>+K96*L$95</f>
        <v>1022.6266206896551</v>
      </c>
      <c r="M96" s="38">
        <f>+K96+L96</f>
        <v>4431.382022988505</v>
      </c>
      <c r="N96" s="38">
        <f>+M96*N$95</f>
        <v>1772.552809195402</v>
      </c>
      <c r="O96" s="28">
        <f>+M96+N96</f>
        <v>6203.934832183907</v>
      </c>
      <c r="P96" s="27">
        <f t="shared" si="15"/>
        <v>4.0000000000000036E-2</v>
      </c>
      <c r="Q96" s="28">
        <v>32505.614135081214</v>
      </c>
      <c r="S96" s="143"/>
      <c r="T96" s="143"/>
      <c r="U96" s="143"/>
      <c r="V96" s="143"/>
      <c r="W96" s="143"/>
      <c r="X96" s="143"/>
      <c r="Y96" s="144">
        <v>0.1</v>
      </c>
      <c r="Z96" s="72">
        <f>+H96*(1-Y96)</f>
        <v>30425.254830436017</v>
      </c>
      <c r="AA96" s="72">
        <f>+Z96/E96</f>
        <v>2535.4379025363346</v>
      </c>
      <c r="AB96" s="72">
        <f>+AA96*1.21*1.3*1.4</f>
        <v>5583.5413489655157</v>
      </c>
      <c r="AC96" s="29" t="s">
        <v>124</v>
      </c>
      <c r="AD96" t="s">
        <v>125</v>
      </c>
      <c r="AF96">
        <v>30957.727747696394</v>
      </c>
      <c r="AG96">
        <f t="shared" si="20"/>
        <v>9.2000000000000026E-2</v>
      </c>
      <c r="AK96" s="81">
        <v>100522698</v>
      </c>
      <c r="AL96" s="122">
        <v>38419.724940101121</v>
      </c>
      <c r="AN96" s="32">
        <f t="shared" si="16"/>
        <v>0.96153846153846156</v>
      </c>
    </row>
    <row r="97" spans="1:40" x14ac:dyDescent="0.25">
      <c r="A97" s="89">
        <v>100522395</v>
      </c>
      <c r="B97" s="90" t="s">
        <v>126</v>
      </c>
      <c r="C97" s="145">
        <v>7790360980625</v>
      </c>
      <c r="D97" s="146">
        <v>4.8</v>
      </c>
      <c r="E97" s="23">
        <v>12</v>
      </c>
      <c r="F97" s="24">
        <f t="shared" si="17"/>
        <v>34481.948800000006</v>
      </c>
      <c r="G97" s="147">
        <v>0.33</v>
      </c>
      <c r="H97" s="24">
        <f t="shared" si="18"/>
        <v>23102.905696000002</v>
      </c>
      <c r="I97" s="24">
        <f>+H97/E97</f>
        <v>1925.2421413333334</v>
      </c>
      <c r="J97" s="24">
        <f>+I97*J$95</f>
        <v>404.30084968</v>
      </c>
      <c r="K97" s="24">
        <f>+I97+J97</f>
        <v>2329.5429910133334</v>
      </c>
      <c r="L97" s="24">
        <f>+K97*L$95</f>
        <v>698.86289730400006</v>
      </c>
      <c r="M97" s="24">
        <f>+K97+L97</f>
        <v>3028.4058883173334</v>
      </c>
      <c r="N97" s="24">
        <f>+M97*N$95</f>
        <v>1211.3623553269333</v>
      </c>
      <c r="O97" s="26">
        <f>+M97+N97</f>
        <v>4239.7682436442665</v>
      </c>
      <c r="P97" s="27">
        <f t="shared" si="15"/>
        <v>-0.30320000000000003</v>
      </c>
      <c r="Q97" s="28">
        <v>33155.72</v>
      </c>
      <c r="S97" s="1" t="s">
        <v>127</v>
      </c>
      <c r="T97" s="143"/>
      <c r="U97" s="143"/>
      <c r="V97" s="143"/>
      <c r="W97" s="143"/>
      <c r="X97" s="143"/>
      <c r="Y97" s="144"/>
      <c r="Z97" s="72"/>
      <c r="AA97" s="72"/>
      <c r="AB97" s="72"/>
      <c r="AC97" s="29"/>
      <c r="AK97" s="101"/>
      <c r="AL97" s="38"/>
      <c r="AN97" s="32"/>
    </row>
    <row r="98" spans="1:40" x14ac:dyDescent="0.25">
      <c r="A98" s="89">
        <v>100522561</v>
      </c>
      <c r="B98" s="90" t="s">
        <v>128</v>
      </c>
      <c r="C98" s="145"/>
      <c r="D98" s="146">
        <v>16</v>
      </c>
      <c r="E98" s="23">
        <v>8</v>
      </c>
      <c r="F98" s="24">
        <f t="shared" si="17"/>
        <v>6824.5523666666677</v>
      </c>
      <c r="G98" s="147">
        <v>0.33</v>
      </c>
      <c r="H98" s="24">
        <f t="shared" si="18"/>
        <v>4572.4500856666673</v>
      </c>
      <c r="I98" s="24">
        <f>+H98*2</f>
        <v>9144.9001713333346</v>
      </c>
      <c r="J98" s="24">
        <f>+I98*J$95</f>
        <v>1920.4290359800002</v>
      </c>
      <c r="K98" s="24">
        <f>+I98+J98</f>
        <v>11065.329207313334</v>
      </c>
      <c r="L98" s="24">
        <f>+K98*L$95</f>
        <v>3319.5987621940003</v>
      </c>
      <c r="M98" s="24">
        <f>+K98+L98</f>
        <v>14384.927969507335</v>
      </c>
      <c r="N98" s="24">
        <f>+M98*N$95</f>
        <v>5753.9711878029339</v>
      </c>
      <c r="O98" s="26">
        <f>+M98+N98</f>
        <v>20138.899157310268</v>
      </c>
      <c r="P98" s="27" t="e">
        <f t="shared" si="15"/>
        <v>#N/A</v>
      </c>
      <c r="Q98" s="28" t="e">
        <v>#N/A</v>
      </c>
      <c r="S98" s="1" t="s">
        <v>129</v>
      </c>
      <c r="T98" s="143"/>
      <c r="U98" s="143"/>
      <c r="V98" s="143"/>
      <c r="W98" s="143"/>
      <c r="X98" s="143"/>
      <c r="Y98" s="144"/>
      <c r="Z98" s="72"/>
      <c r="AA98" s="72"/>
      <c r="AB98" s="72"/>
      <c r="AC98" s="29"/>
      <c r="AK98" s="81">
        <v>100521457</v>
      </c>
      <c r="AL98" s="38">
        <v>34485.72242804218</v>
      </c>
      <c r="AN98" s="32"/>
    </row>
    <row r="99" spans="1:40" x14ac:dyDescent="0.25">
      <c r="A99" s="101"/>
      <c r="B99" s="119"/>
      <c r="C99" s="120"/>
      <c r="D99" s="119"/>
      <c r="E99" s="121"/>
      <c r="F99" s="122" t="e">
        <f t="shared" si="17"/>
        <v>#N/A</v>
      </c>
      <c r="G99" s="123"/>
      <c r="H99" s="122" t="e">
        <f t="shared" si="18"/>
        <v>#N/A</v>
      </c>
      <c r="I99" s="122"/>
      <c r="J99" s="137">
        <v>0.21</v>
      </c>
      <c r="K99" s="137"/>
      <c r="L99" s="137">
        <v>0.35</v>
      </c>
      <c r="M99" s="137"/>
      <c r="N99" s="137">
        <v>0.45</v>
      </c>
      <c r="O99" s="138"/>
      <c r="P99" s="27" t="e">
        <f t="shared" si="15"/>
        <v>#N/A</v>
      </c>
      <c r="Q99" s="28" t="e">
        <v>#N/A</v>
      </c>
      <c r="Z99" s="148"/>
      <c r="AA99" s="148"/>
      <c r="AB99" s="148"/>
      <c r="AF99" t="e">
        <v>#N/A</v>
      </c>
      <c r="AG99" t="e">
        <f t="shared" si="20"/>
        <v>#N/A</v>
      </c>
      <c r="AK99" s="81">
        <v>100521455</v>
      </c>
      <c r="AL99" s="149">
        <v>34485.72242804218</v>
      </c>
      <c r="AN99" s="32" t="e">
        <f t="shared" si="16"/>
        <v>#N/A</v>
      </c>
    </row>
    <row r="100" spans="1:40" x14ac:dyDescent="0.25">
      <c r="A100" s="89">
        <v>100520902</v>
      </c>
      <c r="B100" s="90" t="s">
        <v>130</v>
      </c>
      <c r="C100" s="145">
        <v>7790360981042</v>
      </c>
      <c r="D100" s="146">
        <v>9.8000000000000007</v>
      </c>
      <c r="E100" s="23">
        <v>14</v>
      </c>
      <c r="F100" s="24">
        <f t="shared" si="17"/>
        <v>30287.433583483747</v>
      </c>
      <c r="G100" s="150">
        <v>0.125</v>
      </c>
      <c r="H100" s="24">
        <f t="shared" si="18"/>
        <v>26501.50438554828</v>
      </c>
      <c r="I100" s="24">
        <f>+H100/E100</f>
        <v>1892.9645989677342</v>
      </c>
      <c r="J100" s="24">
        <f>+I100*J$99</f>
        <v>397.5225657832242</v>
      </c>
      <c r="K100" s="24">
        <f>+I100+J100</f>
        <v>2290.4871647509585</v>
      </c>
      <c r="L100" s="24">
        <f>+K100*L$99</f>
        <v>801.67050766283546</v>
      </c>
      <c r="M100" s="24">
        <f>+K100+L100</f>
        <v>3092.157672413794</v>
      </c>
      <c r="N100" s="24">
        <f>+M100*N$99</f>
        <v>1391.4709525862074</v>
      </c>
      <c r="O100" s="26">
        <f>+M100+N100</f>
        <v>4483.6286250000012</v>
      </c>
      <c r="P100" s="27">
        <f t="shared" si="15"/>
        <v>3.0000000000000027E-2</v>
      </c>
      <c r="Q100" s="28">
        <v>25729.6159082993</v>
      </c>
      <c r="S100" s="49" t="s">
        <v>131</v>
      </c>
      <c r="Y100" s="144">
        <v>0.1</v>
      </c>
      <c r="Z100" s="72">
        <f>+H100*(1-Y100)</f>
        <v>23851.353946993451</v>
      </c>
      <c r="AA100" s="72">
        <f>+Z100/E100</f>
        <v>1703.6681390709607</v>
      </c>
      <c r="AB100" s="72">
        <f>+AA100*1.21*1.3*1.4</f>
        <v>3751.817975862069</v>
      </c>
      <c r="AC100" s="29" t="s">
        <v>124</v>
      </c>
      <c r="AD100" t="s">
        <v>132</v>
      </c>
      <c r="AF100">
        <v>25729.6159082993</v>
      </c>
      <c r="AG100">
        <f t="shared" si="20"/>
        <v>3.0000000000000041E-2</v>
      </c>
      <c r="AK100" s="81">
        <v>100521453</v>
      </c>
      <c r="AL100" s="122">
        <v>33300.27571957824</v>
      </c>
      <c r="AN100" s="32">
        <f t="shared" si="16"/>
        <v>0.970873786407767</v>
      </c>
    </row>
    <row r="101" spans="1:40" x14ac:dyDescent="0.25">
      <c r="A101" s="89">
        <v>100522698</v>
      </c>
      <c r="B101" s="90" t="s">
        <v>133</v>
      </c>
      <c r="C101" s="145">
        <v>7790360986511</v>
      </c>
      <c r="D101" s="146">
        <v>14</v>
      </c>
      <c r="E101" s="23">
        <v>7</v>
      </c>
      <c r="F101" s="24">
        <v>44823.004959617152</v>
      </c>
      <c r="G101" s="151">
        <f>1/7</f>
        <v>0.14285714285714285</v>
      </c>
      <c r="H101" s="24">
        <f t="shared" si="18"/>
        <v>38419.718536814704</v>
      </c>
      <c r="I101" s="24">
        <f>+H101/E101</f>
        <v>5488.5312195449578</v>
      </c>
      <c r="J101" s="24">
        <f>+I101*J$99</f>
        <v>1152.591556104441</v>
      </c>
      <c r="K101" s="24">
        <f>+I101+J101</f>
        <v>6641.122775649399</v>
      </c>
      <c r="L101" s="24">
        <f>+K101*L$99</f>
        <v>2324.3929714772894</v>
      </c>
      <c r="M101" s="24">
        <f>+K101+L101</f>
        <v>8965.5157471266884</v>
      </c>
      <c r="N101" s="24">
        <f>+M101*N$99</f>
        <v>4034.4820862070101</v>
      </c>
      <c r="O101" s="26">
        <f>+M101+N101</f>
        <v>12999.997833333699</v>
      </c>
      <c r="P101" s="27"/>
      <c r="Q101" s="28" t="e">
        <v>#N/A</v>
      </c>
      <c r="S101" s="152" t="s">
        <v>134</v>
      </c>
      <c r="Y101" s="144"/>
      <c r="Z101" s="72"/>
      <c r="AA101" s="72"/>
      <c r="AB101" s="72"/>
      <c r="AC101" s="29"/>
      <c r="AK101" s="81">
        <v>100521454</v>
      </c>
      <c r="AL101" s="38">
        <v>33300.27571957824</v>
      </c>
      <c r="AN101" s="32"/>
    </row>
    <row r="102" spans="1:40" x14ac:dyDescent="0.25">
      <c r="A102" s="101"/>
      <c r="B102" s="119"/>
      <c r="C102" s="120"/>
      <c r="D102" s="119"/>
      <c r="E102" s="121"/>
      <c r="F102" s="122" t="e">
        <f>+VLOOKUP(A102,$AK$4:$AL$110,2,FALSE)</f>
        <v>#N/A</v>
      </c>
      <c r="G102" s="121"/>
      <c r="H102" s="122"/>
      <c r="I102" s="122"/>
      <c r="J102" s="137">
        <v>0.21</v>
      </c>
      <c r="K102" s="137"/>
      <c r="L102" s="137">
        <v>0.35</v>
      </c>
      <c r="M102" s="137"/>
      <c r="N102" s="137">
        <v>0.45</v>
      </c>
      <c r="O102" s="138"/>
      <c r="P102" s="27" t="e">
        <f t="shared" si="15"/>
        <v>#DIV/0!</v>
      </c>
      <c r="Q102" s="28"/>
      <c r="AK102" s="153"/>
      <c r="AL102" s="149"/>
      <c r="AN102" s="32" t="e">
        <f t="shared" si="16"/>
        <v>#DIV/0!</v>
      </c>
    </row>
    <row r="103" spans="1:40" x14ac:dyDescent="0.25">
      <c r="A103" s="89">
        <v>100521457</v>
      </c>
      <c r="B103" s="90" t="s">
        <v>135</v>
      </c>
      <c r="C103" s="145">
        <v>7790360982254</v>
      </c>
      <c r="D103" s="146">
        <v>4.8</v>
      </c>
      <c r="E103" s="23">
        <v>16</v>
      </c>
      <c r="F103" s="24">
        <f>+VLOOKUP(A103,$AK$4:$AL$110,2,FALSE)</f>
        <v>34485.72242804218</v>
      </c>
      <c r="G103" s="154">
        <v>0.05</v>
      </c>
      <c r="H103" s="24">
        <f t="shared" si="18"/>
        <v>32761.436306640069</v>
      </c>
      <c r="I103" s="24">
        <f>+H103/E103</f>
        <v>2047.5897691650043</v>
      </c>
      <c r="J103" s="24">
        <f>+I103*J$102</f>
        <v>429.99385152465089</v>
      </c>
      <c r="K103" s="24">
        <f t="shared" ref="K103:K106" si="28">+I103+J103</f>
        <v>2477.5836206896552</v>
      </c>
      <c r="L103" s="24">
        <f>+K103*L$102</f>
        <v>867.15426724137922</v>
      </c>
      <c r="M103" s="24">
        <f t="shared" ref="M103:M106" si="29">+K103+L103</f>
        <v>3344.7378879310345</v>
      </c>
      <c r="N103" s="24">
        <f>+M103*0.4126</f>
        <v>1380.0388525603448</v>
      </c>
      <c r="O103" s="26">
        <f t="shared" ref="O103:O106" si="30">+M103+N103</f>
        <v>4724.7767404913793</v>
      </c>
      <c r="P103" s="27">
        <f t="shared" si="15"/>
        <v>7.8378378378378466E-2</v>
      </c>
      <c r="Q103" s="28">
        <v>30380.279281846681</v>
      </c>
      <c r="S103" s="1" t="s">
        <v>136</v>
      </c>
      <c r="Y103" s="144">
        <v>0.15</v>
      </c>
      <c r="Z103" s="72">
        <f>+H103*(1-Y103)</f>
        <v>27847.220860644058</v>
      </c>
      <c r="AA103" s="72">
        <f>+Z103/E103</f>
        <v>1740.4513037902536</v>
      </c>
      <c r="AB103" s="72">
        <f>+AA103*1.21*1.3*1.4</f>
        <v>3832.8218612068963</v>
      </c>
      <c r="AC103" s="29" t="s">
        <v>124</v>
      </c>
      <c r="AD103" t="s">
        <v>137</v>
      </c>
      <c r="AF103">
        <v>28151.610145340554</v>
      </c>
      <c r="AG103">
        <f t="shared" si="20"/>
        <v>0.16375000000000001</v>
      </c>
      <c r="AK103" s="101"/>
      <c r="AL103" s="122"/>
      <c r="AN103" s="32">
        <f t="shared" si="16"/>
        <v>0.92731829573934832</v>
      </c>
    </row>
    <row r="104" spans="1:40" x14ac:dyDescent="0.25">
      <c r="A104" s="89">
        <v>100521455</v>
      </c>
      <c r="B104" s="90" t="s">
        <v>138</v>
      </c>
      <c r="C104" s="145">
        <v>7790360982247</v>
      </c>
      <c r="D104" s="146">
        <v>4.8</v>
      </c>
      <c r="E104" s="23">
        <v>16</v>
      </c>
      <c r="F104" s="24">
        <f>+VLOOKUP(A104,$AK$4:$AL$110,2,FALSE)</f>
        <v>34485.72242804218</v>
      </c>
      <c r="G104" s="154">
        <v>0.05</v>
      </c>
      <c r="H104" s="24">
        <f t="shared" si="18"/>
        <v>32761.436306640069</v>
      </c>
      <c r="I104" s="24">
        <f>+H104/E104</f>
        <v>2047.5897691650043</v>
      </c>
      <c r="J104" s="24">
        <f>+I104*J$102</f>
        <v>429.99385152465089</v>
      </c>
      <c r="K104" s="24">
        <f t="shared" si="28"/>
        <v>2477.5836206896552</v>
      </c>
      <c r="L104" s="24">
        <f>+K104*L$102</f>
        <v>867.15426724137922</v>
      </c>
      <c r="M104" s="24">
        <f t="shared" si="29"/>
        <v>3344.7378879310345</v>
      </c>
      <c r="N104" s="24">
        <f>+M104*0.4126</f>
        <v>1380.0388525603448</v>
      </c>
      <c r="O104" s="26">
        <f t="shared" si="30"/>
        <v>4724.7767404913793</v>
      </c>
      <c r="P104" s="27">
        <f t="shared" si="15"/>
        <v>7.8378378378378466E-2</v>
      </c>
      <c r="Q104" s="28">
        <v>30380.279281846681</v>
      </c>
      <c r="S104" s="1" t="s">
        <v>136</v>
      </c>
      <c r="Y104" s="144">
        <v>0.15</v>
      </c>
      <c r="Z104" s="72">
        <f>+H104*(1-Y104)</f>
        <v>27847.220860644058</v>
      </c>
      <c r="AA104" s="72">
        <f>+Z104/E104</f>
        <v>1740.4513037902536</v>
      </c>
      <c r="AB104" s="72">
        <f>+AA104*1.21*1.3*1.4</f>
        <v>3832.8218612068963</v>
      </c>
      <c r="AC104" s="29" t="s">
        <v>124</v>
      </c>
      <c r="AD104" t="s">
        <v>137</v>
      </c>
      <c r="AF104">
        <v>28151.610145340554</v>
      </c>
      <c r="AG104">
        <f t="shared" si="20"/>
        <v>0.16375000000000001</v>
      </c>
      <c r="AK104" s="81">
        <v>100521457</v>
      </c>
      <c r="AL104" s="38">
        <v>32843.545169563979</v>
      </c>
      <c r="AN104" s="32">
        <f t="shared" si="16"/>
        <v>0.92731829573934832</v>
      </c>
    </row>
    <row r="105" spans="1:40" x14ac:dyDescent="0.25">
      <c r="A105" s="89">
        <v>100521453</v>
      </c>
      <c r="B105" s="90" t="s">
        <v>139</v>
      </c>
      <c r="C105" s="145">
        <v>7790360982223</v>
      </c>
      <c r="D105" s="146">
        <v>5.4</v>
      </c>
      <c r="E105" s="23">
        <v>18</v>
      </c>
      <c r="F105" s="24">
        <f>+VLOOKUP(A105,$AK$4:$AL$110,2,FALSE)</f>
        <v>33300.27571957824</v>
      </c>
      <c r="G105" s="154">
        <v>0.05</v>
      </c>
      <c r="H105" s="24">
        <f t="shared" si="18"/>
        <v>31635.261933599326</v>
      </c>
      <c r="I105" s="24">
        <f>+H105/E105</f>
        <v>1757.5145518666293</v>
      </c>
      <c r="J105" s="24">
        <f>+I105*J$102</f>
        <v>369.07805589199216</v>
      </c>
      <c r="K105" s="24">
        <f t="shared" si="28"/>
        <v>2126.5926077586214</v>
      </c>
      <c r="L105" s="24">
        <f>+K105*L$102</f>
        <v>744.30741271551744</v>
      </c>
      <c r="M105" s="24">
        <f t="shared" si="29"/>
        <v>2870.9000204741387</v>
      </c>
      <c r="N105" s="24">
        <f>+M105*0.431</f>
        <v>1237.3579088243537</v>
      </c>
      <c r="O105" s="26">
        <f t="shared" si="30"/>
        <v>4108.2579292984919</v>
      </c>
      <c r="P105" s="27">
        <f t="shared" si="15"/>
        <v>5.7837837837837913E-2</v>
      </c>
      <c r="Q105" s="28">
        <v>29905.587418067833</v>
      </c>
      <c r="S105" s="1" t="s">
        <v>140</v>
      </c>
      <c r="Y105" s="144">
        <v>0.15</v>
      </c>
      <c r="Z105" s="72">
        <f>+H105*(1-Y105)</f>
        <v>26889.972643559428</v>
      </c>
      <c r="AA105" s="72">
        <f>+Z105/E105</f>
        <v>1493.8873690866349</v>
      </c>
      <c r="AB105" s="72">
        <f>+AA105*1.21*1.3*1.4</f>
        <v>3289.8387642025873</v>
      </c>
      <c r="AC105" s="29" t="s">
        <v>124</v>
      </c>
      <c r="AD105" t="s">
        <v>137</v>
      </c>
      <c r="AF105">
        <v>28481.511826731268</v>
      </c>
      <c r="AG105">
        <f t="shared" si="20"/>
        <v>0.11072972972972984</v>
      </c>
      <c r="AK105" s="81">
        <v>100521455</v>
      </c>
      <c r="AL105" s="38">
        <v>32843.545169563979</v>
      </c>
      <c r="AN105" s="32">
        <f t="shared" si="16"/>
        <v>0.94532447623914151</v>
      </c>
    </row>
    <row r="106" spans="1:40" x14ac:dyDescent="0.25">
      <c r="A106" s="89">
        <v>100521454</v>
      </c>
      <c r="B106" s="90" t="s">
        <v>141</v>
      </c>
      <c r="C106" s="145">
        <v>7790360982230</v>
      </c>
      <c r="D106" s="146">
        <v>5.3999999999999995</v>
      </c>
      <c r="E106" s="23">
        <v>18</v>
      </c>
      <c r="F106" s="24">
        <f>+VLOOKUP(A106,$AK$4:$AL$110,2,FALSE)</f>
        <v>33300.27571957824</v>
      </c>
      <c r="G106" s="154">
        <v>0.05</v>
      </c>
      <c r="H106" s="24">
        <f t="shared" si="18"/>
        <v>31635.261933599326</v>
      </c>
      <c r="I106" s="24">
        <f>+H106/E106</f>
        <v>1757.5145518666293</v>
      </c>
      <c r="J106" s="24">
        <f>+I106*J$102</f>
        <v>369.07805589199216</v>
      </c>
      <c r="K106" s="24">
        <f t="shared" si="28"/>
        <v>2126.5926077586214</v>
      </c>
      <c r="L106" s="24">
        <f>+K106*L$102</f>
        <v>744.30741271551744</v>
      </c>
      <c r="M106" s="24">
        <f t="shared" si="29"/>
        <v>2870.9000204741387</v>
      </c>
      <c r="N106" s="24">
        <f>+M106*0.431</f>
        <v>1237.3579088243537</v>
      </c>
      <c r="O106" s="26">
        <f t="shared" si="30"/>
        <v>4108.2579292984919</v>
      </c>
      <c r="P106" s="27">
        <f t="shared" si="15"/>
        <v>5.7837837837837913E-2</v>
      </c>
      <c r="Q106" s="28">
        <v>29905.587418067833</v>
      </c>
      <c r="S106" s="1" t="s">
        <v>140</v>
      </c>
      <c r="Y106" s="144">
        <v>0.15</v>
      </c>
      <c r="Z106" s="72">
        <f>+H106*(1-Y106)</f>
        <v>26889.972643559428</v>
      </c>
      <c r="AA106" s="72">
        <f>+Z106/E106</f>
        <v>1493.8873690866349</v>
      </c>
      <c r="AB106" s="72">
        <f>+AA106*1.21*1.3*1.4</f>
        <v>3289.8387642025873</v>
      </c>
      <c r="AC106" s="29" t="s">
        <v>124</v>
      </c>
      <c r="AD106" t="s">
        <v>137</v>
      </c>
      <c r="AF106">
        <v>28481.511826731268</v>
      </c>
      <c r="AG106">
        <f t="shared" si="20"/>
        <v>0.11072972972972984</v>
      </c>
      <c r="AK106" s="81">
        <v>100521453</v>
      </c>
      <c r="AL106" s="38">
        <v>32330.364776289549</v>
      </c>
      <c r="AN106" s="32">
        <f t="shared" si="16"/>
        <v>0.94532447623914151</v>
      </c>
    </row>
    <row r="107" spans="1:40" x14ac:dyDescent="0.25">
      <c r="A107" s="101"/>
      <c r="B107" s="119"/>
      <c r="C107" s="120"/>
      <c r="D107" s="155"/>
      <c r="E107" s="121"/>
      <c r="F107" s="121"/>
      <c r="G107" s="121"/>
      <c r="H107" s="122"/>
      <c r="I107" s="122"/>
      <c r="J107" s="137">
        <v>0.21</v>
      </c>
      <c r="K107" s="137"/>
      <c r="L107" s="137">
        <v>0.22</v>
      </c>
      <c r="M107" s="137"/>
      <c r="N107" s="137">
        <v>0.35</v>
      </c>
      <c r="O107" s="138"/>
      <c r="Q107" s="3"/>
      <c r="S107" s="1"/>
      <c r="AK107" s="81">
        <v>100521454</v>
      </c>
      <c r="AL107" s="38">
        <v>32330.364776289549</v>
      </c>
      <c r="AN107" s="32" t="e">
        <f t="shared" si="16"/>
        <v>#DIV/0!</v>
      </c>
    </row>
    <row r="108" spans="1:40" x14ac:dyDescent="0.25">
      <c r="A108" s="89">
        <v>100522246</v>
      </c>
      <c r="B108" s="90" t="s">
        <v>142</v>
      </c>
      <c r="C108" s="145">
        <v>7790360984234</v>
      </c>
      <c r="D108" s="146">
        <v>8.16</v>
      </c>
      <c r="E108" s="23">
        <v>48</v>
      </c>
      <c r="F108" s="24">
        <f>+VLOOKUP(A108,$AK$4:$AL$110,2,FALSE)</f>
        <v>106193.37939755226</v>
      </c>
      <c r="G108" s="157"/>
      <c r="H108" s="24">
        <f t="shared" ref="H108:H109" si="31">+F108*(1-G108)</f>
        <v>106193.37939755226</v>
      </c>
      <c r="I108" s="24">
        <f t="shared" ref="I108:I109" si="32">+H108/E108</f>
        <v>2212.3620707823388</v>
      </c>
      <c r="J108" s="24">
        <f t="shared" ref="J108:J109" si="33">+I108*J$3</f>
        <v>464.59603486429114</v>
      </c>
      <c r="K108" s="24">
        <f t="shared" ref="K108:K109" si="34">+I108+J108</f>
        <v>2676.95810564663</v>
      </c>
      <c r="L108" s="24">
        <f t="shared" ref="L108:L109" si="35">+K108*L$39</f>
        <v>588.9307832422586</v>
      </c>
      <c r="M108" s="24">
        <f t="shared" ref="M108:M109" si="36">+K108+L108</f>
        <v>3265.8888888888887</v>
      </c>
      <c r="N108" s="24">
        <f t="shared" ref="N108:N109" si="37">+M108*N$39</f>
        <v>1143.0611111111109</v>
      </c>
      <c r="O108" s="26">
        <f t="shared" ref="O108:O109" si="38">+M108+N108</f>
        <v>4408.95</v>
      </c>
      <c r="P108" s="27">
        <f t="shared" si="15"/>
        <v>0.26315789473684159</v>
      </c>
      <c r="Q108" s="1">
        <v>84069.7586897289</v>
      </c>
      <c r="S108" s="1"/>
      <c r="Y108">
        <f>+R104*9*2+R105*8*2+R4*144</f>
        <v>0</v>
      </c>
      <c r="AK108" s="101"/>
      <c r="AL108" s="122">
        <v>0.35</v>
      </c>
      <c r="AN108" s="32">
        <f t="shared" si="16"/>
        <v>0.79166666666666696</v>
      </c>
    </row>
    <row r="109" spans="1:40" x14ac:dyDescent="0.25">
      <c r="A109" s="89">
        <v>100522247</v>
      </c>
      <c r="B109" s="90" t="s">
        <v>143</v>
      </c>
      <c r="C109" s="145">
        <v>7790360984241</v>
      </c>
      <c r="D109" s="146">
        <v>8.16</v>
      </c>
      <c r="E109" s="23">
        <v>48</v>
      </c>
      <c r="F109" s="24">
        <f>+VLOOKUP(A109,$AK$4:$AL$110,2,FALSE)</f>
        <v>106193.37939755226</v>
      </c>
      <c r="G109" s="157"/>
      <c r="H109" s="24">
        <f t="shared" si="31"/>
        <v>106193.37939755226</v>
      </c>
      <c r="I109" s="24">
        <f t="shared" si="32"/>
        <v>2212.3620707823388</v>
      </c>
      <c r="J109" s="24">
        <f t="shared" si="33"/>
        <v>464.59603486429114</v>
      </c>
      <c r="K109" s="24">
        <f t="shared" si="34"/>
        <v>2676.95810564663</v>
      </c>
      <c r="L109" s="24">
        <f t="shared" si="35"/>
        <v>588.9307832422586</v>
      </c>
      <c r="M109" s="24">
        <f t="shared" si="36"/>
        <v>3265.8888888888887</v>
      </c>
      <c r="N109" s="24">
        <f t="shared" si="37"/>
        <v>1143.0611111111109</v>
      </c>
      <c r="O109" s="26">
        <f t="shared" si="38"/>
        <v>4408.95</v>
      </c>
      <c r="P109" s="27">
        <f t="shared" si="15"/>
        <v>0.26315789473684159</v>
      </c>
      <c r="Q109" s="1">
        <v>84069.7586897289</v>
      </c>
      <c r="S109" s="1"/>
      <c r="AK109" s="81">
        <v>100522246</v>
      </c>
      <c r="AL109" s="38">
        <v>106193.37939755226</v>
      </c>
      <c r="AN109" s="32">
        <f t="shared" si="16"/>
        <v>0.79166666666666696</v>
      </c>
    </row>
    <row r="110" spans="1:40" x14ac:dyDescent="0.25">
      <c r="F110"/>
      <c r="H110"/>
      <c r="AK110" s="81">
        <v>100522247</v>
      </c>
      <c r="AL110" s="38">
        <v>106193.37939755226</v>
      </c>
    </row>
  </sheetData>
  <conditionalFormatting sqref="A20:B20">
    <cfRule type="cellIs" dxfId="32" priority="33" stopIfTrue="1" operator="equal">
      <formula>0</formula>
    </cfRule>
  </conditionalFormatting>
  <conditionalFormatting sqref="A63:C63">
    <cfRule type="cellIs" dxfId="31" priority="30" stopIfTrue="1" operator="equal">
      <formula>0</formula>
    </cfRule>
  </conditionalFormatting>
  <conditionalFormatting sqref="A16:E19">
    <cfRule type="cellIs" dxfId="30" priority="31" stopIfTrue="1" operator="equal">
      <formula>0</formula>
    </cfRule>
  </conditionalFormatting>
  <conditionalFormatting sqref="A101:F101 H101:O101">
    <cfRule type="cellIs" dxfId="29" priority="1" stopIfTrue="1" operator="equal">
      <formula>0</formula>
    </cfRule>
  </conditionalFormatting>
  <conditionalFormatting sqref="A103:F106">
    <cfRule type="cellIs" dxfId="28" priority="25" stopIfTrue="1" operator="equal">
      <formula>0</formula>
    </cfRule>
  </conditionalFormatting>
  <conditionalFormatting sqref="A69:O69">
    <cfRule type="cellIs" dxfId="27" priority="23" stopIfTrue="1" operator="equal">
      <formula>0</formula>
    </cfRule>
  </conditionalFormatting>
  <conditionalFormatting sqref="A73:O74">
    <cfRule type="cellIs" dxfId="26" priority="22" stopIfTrue="1" operator="equal">
      <formula>0</formula>
    </cfRule>
  </conditionalFormatting>
  <conditionalFormatting sqref="A96:O98">
    <cfRule type="cellIs" dxfId="25" priority="9" stopIfTrue="1" operator="equal">
      <formula>0</formula>
    </cfRule>
  </conditionalFormatting>
  <conditionalFormatting sqref="A100:O100">
    <cfRule type="cellIs" dxfId="24" priority="24" stopIfTrue="1" operator="equal">
      <formula>0</formula>
    </cfRule>
  </conditionalFormatting>
  <conditionalFormatting sqref="B28">
    <cfRule type="cellIs" dxfId="23" priority="27" stopIfTrue="1" operator="equal">
      <formula>0</formula>
    </cfRule>
  </conditionalFormatting>
  <conditionalFormatting sqref="D20:E20">
    <cfRule type="cellIs" dxfId="22" priority="32" stopIfTrue="1" operator="equal">
      <formula>0</formula>
    </cfRule>
  </conditionalFormatting>
  <conditionalFormatting sqref="D58:F61 I58:O61">
    <cfRule type="cellIs" dxfId="21" priority="29" stopIfTrue="1" operator="equal">
      <formula>0</formula>
    </cfRule>
  </conditionalFormatting>
  <conditionalFormatting sqref="D89:O94">
    <cfRule type="cellIs" dxfId="20" priority="21" stopIfTrue="1" operator="equal">
      <formula>0</formula>
    </cfRule>
  </conditionalFormatting>
  <conditionalFormatting sqref="F16 H16:O16 F17:O20">
    <cfRule type="cellIs" dxfId="19" priority="26" stopIfTrue="1" operator="equal">
      <formula>0</formula>
    </cfRule>
  </conditionalFormatting>
  <conditionalFormatting sqref="F108:H109">
    <cfRule type="cellIs" dxfId="18" priority="19" stopIfTrue="1" operator="equal">
      <formula>0</formula>
    </cfRule>
  </conditionalFormatting>
  <conditionalFormatting sqref="H103:O106">
    <cfRule type="cellIs" dxfId="17" priority="2" stopIfTrue="1" operator="equal">
      <formula>0</formula>
    </cfRule>
  </conditionalFormatting>
  <conditionalFormatting sqref="L37:L38">
    <cfRule type="cellIs" dxfId="16" priority="28" stopIfTrue="1" operator="equal">
      <formula>0</formula>
    </cfRule>
  </conditionalFormatting>
  <conditionalFormatting sqref="S12 S14 S16">
    <cfRule type="cellIs" dxfId="15" priority="20" operator="greaterThan">
      <formula>0</formula>
    </cfRule>
  </conditionalFormatting>
  <conditionalFormatting sqref="AK59">
    <cfRule type="cellIs" dxfId="14" priority="8" stopIfTrue="1" operator="equal">
      <formula>0</formula>
    </cfRule>
  </conditionalFormatting>
  <conditionalFormatting sqref="AK65">
    <cfRule type="cellIs" dxfId="13" priority="5" stopIfTrue="1" operator="equal">
      <formula>0</formula>
    </cfRule>
  </conditionalFormatting>
  <conditionalFormatting sqref="AK68:AK70">
    <cfRule type="cellIs" dxfId="12" priority="6" stopIfTrue="1" operator="equal">
      <formula>0</formula>
    </cfRule>
  </conditionalFormatting>
  <conditionalFormatting sqref="AK91:AK93">
    <cfRule type="cellIs" dxfId="11" priority="4" stopIfTrue="1" operator="equal">
      <formula>0</formula>
    </cfRule>
  </conditionalFormatting>
  <conditionalFormatting sqref="AK95:AK96">
    <cfRule type="cellIs" dxfId="10" priority="3" stopIfTrue="1" operator="equal">
      <formula>0</formula>
    </cfRule>
  </conditionalFormatting>
  <conditionalFormatting sqref="AK98:AK101">
    <cfRule type="cellIs" dxfId="9" priority="7" stopIfTrue="1" operator="equal">
      <formula>0</formula>
    </cfRule>
  </conditionalFormatting>
  <conditionalFormatting sqref="AK109:AK110">
    <cfRule type="cellIs" dxfId="8" priority="18" stopIfTrue="1" operator="equal">
      <formula>0</formula>
    </cfRule>
  </conditionalFormatting>
  <conditionalFormatting sqref="AK104:AL107">
    <cfRule type="cellIs" dxfId="7" priority="14" stopIfTrue="1" operator="equal">
      <formula>0</formula>
    </cfRule>
  </conditionalFormatting>
  <conditionalFormatting sqref="AL16:AL20">
    <cfRule type="cellIs" dxfId="6" priority="16" stopIfTrue="1" operator="equal">
      <formula>0</formula>
    </cfRule>
  </conditionalFormatting>
  <conditionalFormatting sqref="AL58:AL61">
    <cfRule type="cellIs" dxfId="5" priority="17" stopIfTrue="1" operator="equal">
      <formula>0</formula>
    </cfRule>
  </conditionalFormatting>
  <conditionalFormatting sqref="AL70">
    <cfRule type="cellIs" dxfId="4" priority="13" stopIfTrue="1" operator="equal">
      <formula>0</formula>
    </cfRule>
  </conditionalFormatting>
  <conditionalFormatting sqref="AL74:AL75">
    <cfRule type="cellIs" dxfId="3" priority="12" stopIfTrue="1" operator="equal">
      <formula>0</formula>
    </cfRule>
  </conditionalFormatting>
  <conditionalFormatting sqref="AL90:AL95">
    <cfRule type="cellIs" dxfId="2" priority="11" stopIfTrue="1" operator="equal">
      <formula>0</formula>
    </cfRule>
  </conditionalFormatting>
  <conditionalFormatting sqref="AL97:AL99">
    <cfRule type="cellIs" dxfId="1" priority="10" stopIfTrue="1" operator="equal">
      <formula>0</formula>
    </cfRule>
  </conditionalFormatting>
  <conditionalFormatting sqref="AL101 AK102:AL102">
    <cfRule type="cellIs" dxfId="0" priority="15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Gentile</dc:creator>
  <cp:lastModifiedBy>Nicolas Gentile</cp:lastModifiedBy>
  <dcterms:created xsi:type="dcterms:W3CDTF">2026-02-05T17:20:59Z</dcterms:created>
  <dcterms:modified xsi:type="dcterms:W3CDTF">2026-02-25T21:01:07Z</dcterms:modified>
</cp:coreProperties>
</file>