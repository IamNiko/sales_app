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2026-Feb/"/>
    </mc:Choice>
  </mc:AlternateContent>
  <xr:revisionPtr revIDLastSave="0" documentId="8_{5F7436B6-304B-46F3-9CCA-809F92491D63}" xr6:coauthVersionLast="47" xr6:coauthVersionMax="47" xr10:uidLastSave="{00000000-0000-0000-0000-000000000000}"/>
  <bookViews>
    <workbookView xWindow="-120" yWindow="-120" windowWidth="20730" windowHeight="11040" xr2:uid="{2EAD3241-F7B9-4951-BE2C-3131BC1C8C1E}"/>
  </bookViews>
  <sheets>
    <sheet name="MAYORISTAS REG" sheetId="1" r:id="rId1"/>
  </sheets>
  <definedNames>
    <definedName name="_xlnm._FilterDatabase" localSheetId="0" hidden="1">'MAYORISTAS REG'!$AL$9:$AR$125</definedName>
    <definedName name="_Order1" hidden="1">255</definedName>
    <definedName name="_Order2" hidden="1">255</definedName>
    <definedName name="a">"$"</definedName>
    <definedName name="D">"$"</definedName>
    <definedName name="DIV">1000000</definedName>
    <definedName name="E">"$"</definedName>
    <definedName name="escala">"$"</definedName>
    <definedName name="Payment_Needed">"Pagamento necessário"</definedName>
    <definedName name="pro">"$"</definedName>
    <definedName name="Reimbursement">"Reembolso"</definedName>
    <definedName name="U">"$"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7" i="1" l="1"/>
  <c r="P157" i="1"/>
  <c r="R157" i="1" s="1"/>
  <c r="S157" i="1" s="1"/>
  <c r="M157" i="1"/>
  <c r="L157" i="1"/>
  <c r="I157" i="1"/>
  <c r="K157" i="1" s="1"/>
  <c r="X156" i="1"/>
  <c r="W156" i="1"/>
  <c r="P156" i="1"/>
  <c r="R156" i="1" s="1"/>
  <c r="S156" i="1" s="1"/>
  <c r="M156" i="1"/>
  <c r="L156" i="1"/>
  <c r="I156" i="1"/>
  <c r="K156" i="1" s="1"/>
  <c r="AR155" i="1"/>
  <c r="X154" i="1"/>
  <c r="P154" i="1"/>
  <c r="R154" i="1" s="1"/>
  <c r="S154" i="1" s="1"/>
  <c r="M154" i="1"/>
  <c r="L154" i="1"/>
  <c r="I154" i="1" s="1"/>
  <c r="K154" i="1" s="1"/>
  <c r="J154" i="1"/>
  <c r="W153" i="1"/>
  <c r="X153" i="1"/>
  <c r="R153" i="1"/>
  <c r="S153" i="1" s="1"/>
  <c r="P153" i="1"/>
  <c r="M153" i="1"/>
  <c r="L153" i="1"/>
  <c r="K153" i="1"/>
  <c r="I153" i="1"/>
  <c r="J153" i="1" s="1"/>
  <c r="X152" i="1"/>
  <c r="W152" i="1"/>
  <c r="P152" i="1"/>
  <c r="R152" i="1" s="1"/>
  <c r="S152" i="1" s="1"/>
  <c r="M152" i="1"/>
  <c r="L152" i="1"/>
  <c r="I152" i="1" s="1"/>
  <c r="X151" i="1"/>
  <c r="W151" i="1"/>
  <c r="P151" i="1"/>
  <c r="R151" i="1" s="1"/>
  <c r="S151" i="1" s="1"/>
  <c r="M151" i="1"/>
  <c r="L151" i="1"/>
  <c r="I151" i="1" s="1"/>
  <c r="AR150" i="1"/>
  <c r="X149" i="1"/>
  <c r="P149" i="1"/>
  <c r="R149" i="1" s="1"/>
  <c r="S149" i="1" s="1"/>
  <c r="M149" i="1"/>
  <c r="L149" i="1"/>
  <c r="K149" i="1"/>
  <c r="I149" i="1"/>
  <c r="J149" i="1" s="1"/>
  <c r="P148" i="1"/>
  <c r="R148" i="1" s="1"/>
  <c r="S148" i="1" s="1"/>
  <c r="M148" i="1"/>
  <c r="L148" i="1"/>
  <c r="I148" i="1" s="1"/>
  <c r="AR147" i="1"/>
  <c r="X146" i="1"/>
  <c r="R146" i="1"/>
  <c r="S146" i="1" s="1"/>
  <c r="P146" i="1"/>
  <c r="M146" i="1"/>
  <c r="L146" i="1"/>
  <c r="I146" i="1"/>
  <c r="K146" i="1" s="1"/>
  <c r="X145" i="1"/>
  <c r="W145" i="1"/>
  <c r="P145" i="1"/>
  <c r="R145" i="1" s="1"/>
  <c r="S145" i="1" s="1"/>
  <c r="M145" i="1"/>
  <c r="L145" i="1"/>
  <c r="I145" i="1"/>
  <c r="X144" i="1"/>
  <c r="R144" i="1"/>
  <c r="S144" i="1" s="1"/>
  <c r="P144" i="1"/>
  <c r="M144" i="1"/>
  <c r="L144" i="1"/>
  <c r="K144" i="1"/>
  <c r="J144" i="1"/>
  <c r="I144" i="1"/>
  <c r="AR143" i="1"/>
  <c r="X142" i="1"/>
  <c r="P142" i="1"/>
  <c r="R142" i="1" s="1"/>
  <c r="S142" i="1" s="1"/>
  <c r="M142" i="1"/>
  <c r="L142" i="1"/>
  <c r="K142" i="1"/>
  <c r="J142" i="1"/>
  <c r="I142" i="1"/>
  <c r="W141" i="1"/>
  <c r="X141" i="1"/>
  <c r="P141" i="1"/>
  <c r="R141" i="1" s="1"/>
  <c r="S141" i="1" s="1"/>
  <c r="M141" i="1"/>
  <c r="L141" i="1"/>
  <c r="I141" i="1"/>
  <c r="K141" i="1" s="1"/>
  <c r="X140" i="1"/>
  <c r="W140" i="1"/>
  <c r="R140" i="1"/>
  <c r="S140" i="1" s="1"/>
  <c r="P140" i="1"/>
  <c r="M140" i="1"/>
  <c r="L140" i="1"/>
  <c r="I140" i="1" s="1"/>
  <c r="X139" i="1"/>
  <c r="P139" i="1"/>
  <c r="R139" i="1" s="1"/>
  <c r="S139" i="1" s="1"/>
  <c r="M139" i="1"/>
  <c r="L139" i="1"/>
  <c r="K139" i="1"/>
  <c r="I139" i="1"/>
  <c r="J139" i="1" s="1"/>
  <c r="P138" i="1"/>
  <c r="R138" i="1" s="1"/>
  <c r="S138" i="1" s="1"/>
  <c r="M138" i="1"/>
  <c r="L138" i="1"/>
  <c r="I138" i="1" s="1"/>
  <c r="X137" i="1"/>
  <c r="W137" i="1"/>
  <c r="R137" i="1"/>
  <c r="S137" i="1" s="1"/>
  <c r="P137" i="1"/>
  <c r="M137" i="1"/>
  <c r="L137" i="1"/>
  <c r="J137" i="1"/>
  <c r="I137" i="1"/>
  <c r="K137" i="1" s="1"/>
  <c r="AR136" i="1"/>
  <c r="W135" i="1"/>
  <c r="X135" i="1"/>
  <c r="P135" i="1"/>
  <c r="R135" i="1" s="1"/>
  <c r="S135" i="1" s="1"/>
  <c r="M135" i="1"/>
  <c r="L135" i="1"/>
  <c r="I135" i="1"/>
  <c r="X134" i="1"/>
  <c r="P134" i="1"/>
  <c r="R134" i="1" s="1"/>
  <c r="S134" i="1" s="1"/>
  <c r="M134" i="1"/>
  <c r="L134" i="1"/>
  <c r="K134" i="1"/>
  <c r="J134" i="1"/>
  <c r="I134" i="1"/>
  <c r="AR133" i="1"/>
  <c r="K133" i="1"/>
  <c r="X132" i="1"/>
  <c r="P132" i="1"/>
  <c r="R132" i="1" s="1"/>
  <c r="S132" i="1" s="1"/>
  <c r="M132" i="1"/>
  <c r="L132" i="1"/>
  <c r="I132" i="1"/>
  <c r="K132" i="1" s="1"/>
  <c r="X131" i="1"/>
  <c r="W131" i="1"/>
  <c r="R131" i="1"/>
  <c r="S131" i="1" s="1"/>
  <c r="P131" i="1"/>
  <c r="M131" i="1"/>
  <c r="L131" i="1"/>
  <c r="I131" i="1" s="1"/>
  <c r="AR130" i="1"/>
  <c r="AO130" i="1"/>
  <c r="K130" i="1"/>
  <c r="X129" i="1"/>
  <c r="S129" i="1"/>
  <c r="R129" i="1"/>
  <c r="P129" i="1"/>
  <c r="M129" i="1"/>
  <c r="L129" i="1"/>
  <c r="I129" i="1" s="1"/>
  <c r="X128" i="1"/>
  <c r="P128" i="1"/>
  <c r="R128" i="1" s="1"/>
  <c r="S128" i="1" s="1"/>
  <c r="M128" i="1"/>
  <c r="L128" i="1"/>
  <c r="I128" i="1"/>
  <c r="X127" i="1"/>
  <c r="P127" i="1"/>
  <c r="R127" i="1" s="1"/>
  <c r="S127" i="1" s="1"/>
  <c r="M127" i="1"/>
  <c r="L127" i="1"/>
  <c r="I127" i="1"/>
  <c r="K127" i="1" s="1"/>
  <c r="AR126" i="1"/>
  <c r="AO126" i="1"/>
  <c r="AR125" i="1"/>
  <c r="AE125" i="1"/>
  <c r="AD125" i="1"/>
  <c r="Z125" i="1"/>
  <c r="X125" i="1"/>
  <c r="W125" i="1"/>
  <c r="P125" i="1"/>
  <c r="R125" i="1" s="1"/>
  <c r="S125" i="1" s="1"/>
  <c r="M125" i="1"/>
  <c r="L125" i="1"/>
  <c r="I125" i="1" s="1"/>
  <c r="J125" i="1" s="1"/>
  <c r="AR124" i="1"/>
  <c r="AE124" i="1"/>
  <c r="AD124" i="1"/>
  <c r="Z124" i="1"/>
  <c r="AG124" i="1" s="1"/>
  <c r="AJ124" i="1" s="1"/>
  <c r="X124" i="1"/>
  <c r="W124" i="1"/>
  <c r="R124" i="1"/>
  <c r="S124" i="1" s="1"/>
  <c r="P124" i="1"/>
  <c r="M124" i="1"/>
  <c r="L124" i="1"/>
  <c r="I124" i="1" s="1"/>
  <c r="J124" i="1" s="1"/>
  <c r="AR123" i="1"/>
  <c r="AE123" i="1"/>
  <c r="AD123" i="1"/>
  <c r="AG123" i="1" s="1"/>
  <c r="X123" i="1"/>
  <c r="AR122" i="1"/>
  <c r="AE122" i="1"/>
  <c r="AD122" i="1"/>
  <c r="Z122" i="1"/>
  <c r="AG122" i="1" s="1"/>
  <c r="AJ122" i="1" s="1"/>
  <c r="AO122" i="1" s="1"/>
  <c r="AP122" i="1" s="1"/>
  <c r="X122" i="1"/>
  <c r="S122" i="1"/>
  <c r="R122" i="1"/>
  <c r="P122" i="1"/>
  <c r="M122" i="1"/>
  <c r="L122" i="1"/>
  <c r="I122" i="1" s="1"/>
  <c r="J122" i="1" s="1"/>
  <c r="AR121" i="1"/>
  <c r="AE120" i="1"/>
  <c r="AD120" i="1"/>
  <c r="Z120" i="1"/>
  <c r="AG120" i="1" s="1"/>
  <c r="AJ120" i="1" s="1"/>
  <c r="W120" i="1"/>
  <c r="X120" i="1"/>
  <c r="P120" i="1"/>
  <c r="R120" i="1" s="1"/>
  <c r="S120" i="1" s="1"/>
  <c r="M120" i="1"/>
  <c r="L120" i="1"/>
  <c r="I120" i="1" s="1"/>
  <c r="J120" i="1" s="1"/>
  <c r="AE119" i="1"/>
  <c r="AD119" i="1"/>
  <c r="Z119" i="1"/>
  <c r="AG119" i="1" s="1"/>
  <c r="X119" i="1"/>
  <c r="P119" i="1"/>
  <c r="R119" i="1" s="1"/>
  <c r="S119" i="1" s="1"/>
  <c r="M119" i="1"/>
  <c r="L119" i="1"/>
  <c r="I119" i="1"/>
  <c r="K119" i="1" s="1"/>
  <c r="X118" i="1"/>
  <c r="P118" i="1"/>
  <c r="R118" i="1" s="1"/>
  <c r="S118" i="1" s="1"/>
  <c r="M118" i="1"/>
  <c r="L118" i="1"/>
  <c r="I118" i="1"/>
  <c r="K118" i="1" s="1"/>
  <c r="AK117" i="1"/>
  <c r="AE117" i="1"/>
  <c r="AD117" i="1"/>
  <c r="Z117" i="1"/>
  <c r="AG117" i="1" s="1"/>
  <c r="AJ117" i="1" s="1"/>
  <c r="AO117" i="1" s="1"/>
  <c r="AP117" i="1" s="1"/>
  <c r="X117" i="1"/>
  <c r="S117" i="1"/>
  <c r="R117" i="1"/>
  <c r="P117" i="1"/>
  <c r="M117" i="1"/>
  <c r="L117" i="1"/>
  <c r="I117" i="1" s="1"/>
  <c r="AO116" i="1"/>
  <c r="AP116" i="1" s="1"/>
  <c r="AE116" i="1"/>
  <c r="AD116" i="1"/>
  <c r="Z116" i="1"/>
  <c r="AG116" i="1" s="1"/>
  <c r="AJ116" i="1" s="1"/>
  <c r="AK116" i="1" s="1"/>
  <c r="X116" i="1"/>
  <c r="W116" i="1"/>
  <c r="P116" i="1"/>
  <c r="R116" i="1" s="1"/>
  <c r="S116" i="1" s="1"/>
  <c r="M116" i="1"/>
  <c r="L116" i="1"/>
  <c r="I116" i="1"/>
  <c r="K116" i="1" s="1"/>
  <c r="AE115" i="1"/>
  <c r="AD115" i="1"/>
  <c r="Z115" i="1"/>
  <c r="AG115" i="1" s="1"/>
  <c r="AJ115" i="1" s="1"/>
  <c r="X115" i="1"/>
  <c r="R115" i="1"/>
  <c r="S115" i="1" s="1"/>
  <c r="P115" i="1"/>
  <c r="M115" i="1"/>
  <c r="L115" i="1"/>
  <c r="I115" i="1"/>
  <c r="X114" i="1"/>
  <c r="S114" i="1"/>
  <c r="R114" i="1"/>
  <c r="P114" i="1"/>
  <c r="M114" i="1"/>
  <c r="L114" i="1"/>
  <c r="J114" i="1"/>
  <c r="I114" i="1"/>
  <c r="K114" i="1" s="1"/>
  <c r="X113" i="1"/>
  <c r="P113" i="1"/>
  <c r="R113" i="1" s="1"/>
  <c r="S113" i="1" s="1"/>
  <c r="M113" i="1"/>
  <c r="L113" i="1"/>
  <c r="K113" i="1"/>
  <c r="J113" i="1"/>
  <c r="I113" i="1"/>
  <c r="W112" i="1"/>
  <c r="X112" i="1"/>
  <c r="P112" i="1"/>
  <c r="R112" i="1" s="1"/>
  <c r="S112" i="1" s="1"/>
  <c r="M112" i="1"/>
  <c r="L112" i="1"/>
  <c r="I112" i="1" s="1"/>
  <c r="J112" i="1" s="1"/>
  <c r="AE111" i="1"/>
  <c r="AD111" i="1"/>
  <c r="Z111" i="1"/>
  <c r="AG111" i="1" s="1"/>
  <c r="AJ111" i="1" s="1"/>
  <c r="X111" i="1"/>
  <c r="W111" i="1"/>
  <c r="P111" i="1"/>
  <c r="R111" i="1" s="1"/>
  <c r="S111" i="1" s="1"/>
  <c r="M111" i="1"/>
  <c r="L111" i="1"/>
  <c r="I111" i="1"/>
  <c r="K111" i="1" s="1"/>
  <c r="AE110" i="1"/>
  <c r="AD110" i="1"/>
  <c r="Z110" i="1"/>
  <c r="X110" i="1"/>
  <c r="W110" i="1"/>
  <c r="S110" i="1"/>
  <c r="R110" i="1"/>
  <c r="P110" i="1"/>
  <c r="M110" i="1"/>
  <c r="L110" i="1"/>
  <c r="J110" i="1"/>
  <c r="I110" i="1"/>
  <c r="K110" i="1" s="1"/>
  <c r="AD109" i="1"/>
  <c r="Z109" i="1"/>
  <c r="W109" i="1"/>
  <c r="X109" i="1"/>
  <c r="P109" i="1"/>
  <c r="R109" i="1" s="1"/>
  <c r="S109" i="1" s="1"/>
  <c r="L109" i="1"/>
  <c r="I109" i="1" s="1"/>
  <c r="F109" i="1"/>
  <c r="M109" i="1" s="1"/>
  <c r="AD108" i="1"/>
  <c r="Z108" i="1"/>
  <c r="X108" i="1"/>
  <c r="R108" i="1"/>
  <c r="S108" i="1" s="1"/>
  <c r="P108" i="1"/>
  <c r="L108" i="1"/>
  <c r="I108" i="1"/>
  <c r="F108" i="1"/>
  <c r="AR107" i="1"/>
  <c r="K107" i="1"/>
  <c r="AO106" i="1"/>
  <c r="AP106" i="1" s="1"/>
  <c r="AE106" i="1"/>
  <c r="AD106" i="1"/>
  <c r="Z106" i="1"/>
  <c r="AG106" i="1" s="1"/>
  <c r="AJ106" i="1" s="1"/>
  <c r="AK106" i="1" s="1"/>
  <c r="X106" i="1"/>
  <c r="W106" i="1"/>
  <c r="R106" i="1"/>
  <c r="S106" i="1" s="1"/>
  <c r="P106" i="1"/>
  <c r="M106" i="1"/>
  <c r="L106" i="1"/>
  <c r="I106" i="1"/>
  <c r="K106" i="1" s="1"/>
  <c r="AE105" i="1"/>
  <c r="AD105" i="1"/>
  <c r="Z105" i="1"/>
  <c r="AG105" i="1" s="1"/>
  <c r="AJ105" i="1" s="1"/>
  <c r="X105" i="1"/>
  <c r="R105" i="1"/>
  <c r="S105" i="1" s="1"/>
  <c r="P105" i="1"/>
  <c r="M105" i="1"/>
  <c r="L105" i="1"/>
  <c r="I105" i="1"/>
  <c r="AE104" i="1"/>
  <c r="AD104" i="1"/>
  <c r="Z104" i="1"/>
  <c r="W104" i="1"/>
  <c r="P104" i="1"/>
  <c r="R104" i="1" s="1"/>
  <c r="S104" i="1" s="1"/>
  <c r="M104" i="1"/>
  <c r="L104" i="1"/>
  <c r="K104" i="1"/>
  <c r="J104" i="1"/>
  <c r="I104" i="1"/>
  <c r="AG103" i="1"/>
  <c r="AE103" i="1"/>
  <c r="AD103" i="1"/>
  <c r="Z103" i="1"/>
  <c r="X103" i="1"/>
  <c r="W103" i="1"/>
  <c r="R103" i="1"/>
  <c r="S103" i="1" s="1"/>
  <c r="P103" i="1"/>
  <c r="M103" i="1"/>
  <c r="L103" i="1"/>
  <c r="I103" i="1" s="1"/>
  <c r="AR102" i="1"/>
  <c r="AE102" i="1"/>
  <c r="AD102" i="1"/>
  <c r="Z102" i="1"/>
  <c r="X102" i="1"/>
  <c r="P102" i="1"/>
  <c r="R102" i="1" s="1"/>
  <c r="S102" i="1" s="1"/>
  <c r="M102" i="1"/>
  <c r="L102" i="1"/>
  <c r="K102" i="1"/>
  <c r="I102" i="1"/>
  <c r="J102" i="1" s="1"/>
  <c r="AR101" i="1"/>
  <c r="K101" i="1"/>
  <c r="P100" i="1"/>
  <c r="R100" i="1" s="1"/>
  <c r="S100" i="1" s="1"/>
  <c r="M100" i="1"/>
  <c r="L100" i="1"/>
  <c r="I100" i="1" s="1"/>
  <c r="K100" i="1" s="1"/>
  <c r="J100" i="1"/>
  <c r="R99" i="1"/>
  <c r="S99" i="1" s="1"/>
  <c r="P99" i="1"/>
  <c r="M99" i="1"/>
  <c r="L99" i="1"/>
  <c r="I99" i="1"/>
  <c r="J99" i="1" s="1"/>
  <c r="R98" i="1"/>
  <c r="S98" i="1" s="1"/>
  <c r="P98" i="1"/>
  <c r="M98" i="1"/>
  <c r="L98" i="1"/>
  <c r="I98" i="1"/>
  <c r="X97" i="1"/>
  <c r="W97" i="1"/>
  <c r="P97" i="1"/>
  <c r="R97" i="1" s="1"/>
  <c r="S97" i="1" s="1"/>
  <c r="M97" i="1"/>
  <c r="L97" i="1"/>
  <c r="I97" i="1" s="1"/>
  <c r="K97" i="1" s="1"/>
  <c r="J97" i="1"/>
  <c r="P96" i="1"/>
  <c r="R96" i="1" s="1"/>
  <c r="S96" i="1" s="1"/>
  <c r="M96" i="1"/>
  <c r="L96" i="1"/>
  <c r="I96" i="1" s="1"/>
  <c r="S95" i="1"/>
  <c r="R95" i="1"/>
  <c r="P95" i="1"/>
  <c r="M95" i="1"/>
  <c r="L95" i="1"/>
  <c r="I95" i="1" s="1"/>
  <c r="K95" i="1" s="1"/>
  <c r="J95" i="1"/>
  <c r="AG94" i="1"/>
  <c r="AJ94" i="1" s="1"/>
  <c r="AE94" i="1"/>
  <c r="AD94" i="1"/>
  <c r="W94" i="1"/>
  <c r="S94" i="1"/>
  <c r="R94" i="1"/>
  <c r="P94" i="1"/>
  <c r="M94" i="1"/>
  <c r="L94" i="1"/>
  <c r="I94" i="1" s="1"/>
  <c r="J94" i="1" s="1"/>
  <c r="AJ93" i="1"/>
  <c r="AG93" i="1"/>
  <c r="AE93" i="1"/>
  <c r="AD93" i="1"/>
  <c r="X93" i="1"/>
  <c r="S93" i="1"/>
  <c r="R93" i="1"/>
  <c r="M93" i="1"/>
  <c r="L93" i="1"/>
  <c r="I93" i="1" s="1"/>
  <c r="J93" i="1" s="1"/>
  <c r="K93" i="1"/>
  <c r="AE92" i="1"/>
  <c r="AD92" i="1"/>
  <c r="Z92" i="1"/>
  <c r="AG92" i="1" s="1"/>
  <c r="AJ92" i="1" s="1"/>
  <c r="X92" i="1"/>
  <c r="W92" i="1"/>
  <c r="R92" i="1"/>
  <c r="P92" i="1"/>
  <c r="S92" i="1" s="1"/>
  <c r="M92" i="1"/>
  <c r="L92" i="1"/>
  <c r="I92" i="1"/>
  <c r="AJ91" i="1"/>
  <c r="AE91" i="1"/>
  <c r="AD91" i="1"/>
  <c r="Z91" i="1"/>
  <c r="AG91" i="1" s="1"/>
  <c r="R91" i="1"/>
  <c r="P91" i="1"/>
  <c r="S91" i="1" s="1"/>
  <c r="M91" i="1"/>
  <c r="L91" i="1"/>
  <c r="K91" i="1"/>
  <c r="I91" i="1"/>
  <c r="J91" i="1" s="1"/>
  <c r="AE90" i="1"/>
  <c r="AD90" i="1"/>
  <c r="Z90" i="1"/>
  <c r="AG90" i="1" s="1"/>
  <c r="X90" i="1"/>
  <c r="W90" i="1"/>
  <c r="S90" i="1"/>
  <c r="P90" i="1"/>
  <c r="R90" i="1" s="1"/>
  <c r="M90" i="1"/>
  <c r="L90" i="1"/>
  <c r="K90" i="1"/>
  <c r="J90" i="1"/>
  <c r="I90" i="1"/>
  <c r="AE89" i="1"/>
  <c r="AD89" i="1"/>
  <c r="Z89" i="1"/>
  <c r="AG89" i="1" s="1"/>
  <c r="AJ89" i="1" s="1"/>
  <c r="X89" i="1"/>
  <c r="W89" i="1"/>
  <c r="S89" i="1"/>
  <c r="R89" i="1"/>
  <c r="P89" i="1"/>
  <c r="M89" i="1"/>
  <c r="L89" i="1"/>
  <c r="I89" i="1" s="1"/>
  <c r="AE88" i="1"/>
  <c r="AD88" i="1"/>
  <c r="Z88" i="1"/>
  <c r="R88" i="1"/>
  <c r="P88" i="1"/>
  <c r="S88" i="1" s="1"/>
  <c r="M88" i="1"/>
  <c r="L88" i="1"/>
  <c r="I88" i="1"/>
  <c r="J88" i="1" s="1"/>
  <c r="AE87" i="1"/>
  <c r="AD87" i="1"/>
  <c r="Z87" i="1"/>
  <c r="AG87" i="1" s="1"/>
  <c r="AJ87" i="1" s="1"/>
  <c r="AK87" i="1" s="1"/>
  <c r="W87" i="1"/>
  <c r="S87" i="1"/>
  <c r="R87" i="1"/>
  <c r="P87" i="1"/>
  <c r="M87" i="1"/>
  <c r="L87" i="1"/>
  <c r="K87" i="1"/>
  <c r="J87" i="1"/>
  <c r="I87" i="1"/>
  <c r="AE86" i="1"/>
  <c r="AD86" i="1"/>
  <c r="Z86" i="1"/>
  <c r="AG86" i="1" s="1"/>
  <c r="AJ86" i="1" s="1"/>
  <c r="X86" i="1"/>
  <c r="W86" i="1"/>
  <c r="R86" i="1"/>
  <c r="P86" i="1"/>
  <c r="S86" i="1" s="1"/>
  <c r="M86" i="1"/>
  <c r="L86" i="1"/>
  <c r="I86" i="1"/>
  <c r="AE85" i="1"/>
  <c r="AD85" i="1"/>
  <c r="Z85" i="1"/>
  <c r="AG85" i="1" s="1"/>
  <c r="AJ85" i="1" s="1"/>
  <c r="W85" i="1"/>
  <c r="R85" i="1"/>
  <c r="P85" i="1"/>
  <c r="S85" i="1" s="1"/>
  <c r="M85" i="1"/>
  <c r="L85" i="1"/>
  <c r="K85" i="1"/>
  <c r="I85" i="1"/>
  <c r="J85" i="1" s="1"/>
  <c r="AE84" i="1"/>
  <c r="AD84" i="1"/>
  <c r="Z84" i="1"/>
  <c r="AG84" i="1" s="1"/>
  <c r="AJ84" i="1" s="1"/>
  <c r="AK84" i="1" s="1"/>
  <c r="W84" i="1"/>
  <c r="S84" i="1"/>
  <c r="R84" i="1"/>
  <c r="P84" i="1"/>
  <c r="M84" i="1"/>
  <c r="L84" i="1"/>
  <c r="K84" i="1"/>
  <c r="I84" i="1"/>
  <c r="J84" i="1" s="1"/>
  <c r="AE83" i="1"/>
  <c r="AD83" i="1"/>
  <c r="Z83" i="1"/>
  <c r="AG83" i="1" s="1"/>
  <c r="AJ83" i="1" s="1"/>
  <c r="X83" i="1"/>
  <c r="W83" i="1"/>
  <c r="S83" i="1"/>
  <c r="R83" i="1"/>
  <c r="P83" i="1"/>
  <c r="M83" i="1"/>
  <c r="L83" i="1"/>
  <c r="I83" i="1"/>
  <c r="J83" i="1" s="1"/>
  <c r="AJ82" i="1"/>
  <c r="AE82" i="1"/>
  <c r="AD82" i="1"/>
  <c r="Z82" i="1"/>
  <c r="AG82" i="1" s="1"/>
  <c r="W82" i="1"/>
  <c r="P82" i="1"/>
  <c r="S82" i="1" s="1"/>
  <c r="M82" i="1"/>
  <c r="L82" i="1"/>
  <c r="I82" i="1"/>
  <c r="J82" i="1" s="1"/>
  <c r="AE81" i="1"/>
  <c r="AD81" i="1"/>
  <c r="Z81" i="1"/>
  <c r="W81" i="1"/>
  <c r="S81" i="1"/>
  <c r="R81" i="1"/>
  <c r="P81" i="1"/>
  <c r="M81" i="1"/>
  <c r="L81" i="1"/>
  <c r="I81" i="1"/>
  <c r="J81" i="1" s="1"/>
  <c r="AE80" i="1"/>
  <c r="AD80" i="1"/>
  <c r="Z80" i="1"/>
  <c r="X80" i="1"/>
  <c r="W80" i="1"/>
  <c r="R80" i="1"/>
  <c r="P80" i="1"/>
  <c r="S80" i="1" s="1"/>
  <c r="M80" i="1"/>
  <c r="L80" i="1"/>
  <c r="I80" i="1"/>
  <c r="J80" i="1" s="1"/>
  <c r="AE79" i="1"/>
  <c r="AD79" i="1"/>
  <c r="Z79" i="1"/>
  <c r="AG79" i="1" s="1"/>
  <c r="AJ79" i="1" s="1"/>
  <c r="X79" i="1"/>
  <c r="W79" i="1"/>
  <c r="R79" i="1"/>
  <c r="P79" i="1"/>
  <c r="S79" i="1" s="1"/>
  <c r="M79" i="1"/>
  <c r="L79" i="1"/>
  <c r="K79" i="1"/>
  <c r="I79" i="1"/>
  <c r="J79" i="1" s="1"/>
  <c r="AE78" i="1"/>
  <c r="AD78" i="1"/>
  <c r="Z78" i="1"/>
  <c r="AG78" i="1" s="1"/>
  <c r="AJ78" i="1" s="1"/>
  <c r="W78" i="1"/>
  <c r="S78" i="1"/>
  <c r="R78" i="1"/>
  <c r="P78" i="1"/>
  <c r="M78" i="1"/>
  <c r="L78" i="1"/>
  <c r="K78" i="1"/>
  <c r="J78" i="1"/>
  <c r="I78" i="1"/>
  <c r="AE77" i="1"/>
  <c r="AD77" i="1"/>
  <c r="Z77" i="1"/>
  <c r="AG77" i="1" s="1"/>
  <c r="AJ77" i="1" s="1"/>
  <c r="X77" i="1"/>
  <c r="W77" i="1"/>
  <c r="S77" i="1"/>
  <c r="R77" i="1"/>
  <c r="P77" i="1"/>
  <c r="M77" i="1"/>
  <c r="L77" i="1"/>
  <c r="I77" i="1"/>
  <c r="J77" i="1" s="1"/>
  <c r="X76" i="1"/>
  <c r="W76" i="1"/>
  <c r="S76" i="1"/>
  <c r="P76" i="1"/>
  <c r="R76" i="1" s="1"/>
  <c r="M76" i="1"/>
  <c r="L76" i="1"/>
  <c r="I76" i="1" s="1"/>
  <c r="K76" i="1" s="1"/>
  <c r="J76" i="1"/>
  <c r="X75" i="1"/>
  <c r="W75" i="1"/>
  <c r="R75" i="1"/>
  <c r="P75" i="1"/>
  <c r="S75" i="1" s="1"/>
  <c r="M75" i="1"/>
  <c r="L75" i="1"/>
  <c r="I75" i="1"/>
  <c r="J75" i="1" s="1"/>
  <c r="AE74" i="1"/>
  <c r="AD74" i="1"/>
  <c r="Z74" i="1"/>
  <c r="AG74" i="1" s="1"/>
  <c r="AJ74" i="1" s="1"/>
  <c r="W74" i="1"/>
  <c r="S74" i="1"/>
  <c r="R74" i="1"/>
  <c r="P74" i="1"/>
  <c r="M74" i="1"/>
  <c r="L74" i="1"/>
  <c r="K74" i="1"/>
  <c r="I74" i="1"/>
  <c r="J74" i="1" s="1"/>
  <c r="AG73" i="1"/>
  <c r="AJ73" i="1" s="1"/>
  <c r="AE73" i="1"/>
  <c r="AD73" i="1"/>
  <c r="Z73" i="1"/>
  <c r="X73" i="1"/>
  <c r="R73" i="1"/>
  <c r="P73" i="1"/>
  <c r="S73" i="1" s="1"/>
  <c r="M73" i="1"/>
  <c r="L73" i="1"/>
  <c r="I73" i="1" s="1"/>
  <c r="AR72" i="1"/>
  <c r="K72" i="1"/>
  <c r="AE71" i="1"/>
  <c r="AD71" i="1"/>
  <c r="AG71" i="1" s="1"/>
  <c r="AJ71" i="1" s="1"/>
  <c r="X71" i="1"/>
  <c r="W71" i="1"/>
  <c r="P71" i="1"/>
  <c r="R71" i="1" s="1"/>
  <c r="S71" i="1" s="1"/>
  <c r="M71" i="1"/>
  <c r="L71" i="1"/>
  <c r="K71" i="1"/>
  <c r="I71" i="1"/>
  <c r="J71" i="1" s="1"/>
  <c r="AE70" i="1"/>
  <c r="AD70" i="1"/>
  <c r="X70" i="1"/>
  <c r="W70" i="1"/>
  <c r="P70" i="1"/>
  <c r="R70" i="1" s="1"/>
  <c r="S70" i="1" s="1"/>
  <c r="M70" i="1"/>
  <c r="AG69" i="1"/>
  <c r="AJ69" i="1" s="1"/>
  <c r="AE69" i="1"/>
  <c r="AD69" i="1"/>
  <c r="W69" i="1"/>
  <c r="S69" i="1"/>
  <c r="R69" i="1"/>
  <c r="P69" i="1"/>
  <c r="M69" i="1"/>
  <c r="L69" i="1"/>
  <c r="K69" i="1"/>
  <c r="J69" i="1"/>
  <c r="I69" i="1"/>
  <c r="AE68" i="1"/>
  <c r="AD68" i="1"/>
  <c r="AG68" i="1" s="1"/>
  <c r="AJ68" i="1" s="1"/>
  <c r="P68" i="1"/>
  <c r="R68" i="1" s="1"/>
  <c r="S68" i="1" s="1"/>
  <c r="M68" i="1"/>
  <c r="AE67" i="1"/>
  <c r="AD67" i="1"/>
  <c r="AG67" i="1" s="1"/>
  <c r="AJ67" i="1" s="1"/>
  <c r="W67" i="1"/>
  <c r="X67" i="1"/>
  <c r="R67" i="1"/>
  <c r="S67" i="1" s="1"/>
  <c r="P67" i="1"/>
  <c r="M67" i="1"/>
  <c r="L67" i="1"/>
  <c r="I67" i="1" s="1"/>
  <c r="J67" i="1" s="1"/>
  <c r="K67" i="1"/>
  <c r="AE66" i="1"/>
  <c r="AG66" i="1" s="1"/>
  <c r="AD66" i="1"/>
  <c r="X66" i="1"/>
  <c r="W66" i="1"/>
  <c r="S66" i="1"/>
  <c r="P66" i="1"/>
  <c r="R66" i="1" s="1"/>
  <c r="M66" i="1"/>
  <c r="L66" i="1"/>
  <c r="I66" i="1" s="1"/>
  <c r="AG65" i="1"/>
  <c r="AJ65" i="1" s="1"/>
  <c r="AE65" i="1"/>
  <c r="AD65" i="1"/>
  <c r="Z65" i="1"/>
  <c r="W65" i="1"/>
  <c r="X65" i="1"/>
  <c r="P65" i="1"/>
  <c r="R65" i="1" s="1"/>
  <c r="S65" i="1" s="1"/>
  <c r="M65" i="1"/>
  <c r="L65" i="1"/>
  <c r="J65" i="1"/>
  <c r="I65" i="1"/>
  <c r="K65" i="1" s="1"/>
  <c r="AE64" i="1"/>
  <c r="AD64" i="1"/>
  <c r="Z64" i="1"/>
  <c r="X64" i="1"/>
  <c r="W64" i="1"/>
  <c r="S64" i="1"/>
  <c r="R64" i="1"/>
  <c r="P64" i="1"/>
  <c r="M64" i="1"/>
  <c r="L64" i="1"/>
  <c r="I64" i="1" s="1"/>
  <c r="K64" i="1" s="1"/>
  <c r="J64" i="1"/>
  <c r="AE63" i="1"/>
  <c r="AD63" i="1"/>
  <c r="Z63" i="1"/>
  <c r="AG63" i="1" s="1"/>
  <c r="AJ63" i="1" s="1"/>
  <c r="X63" i="1"/>
  <c r="W63" i="1"/>
  <c r="S63" i="1"/>
  <c r="P63" i="1"/>
  <c r="R63" i="1" s="1"/>
  <c r="M63" i="1"/>
  <c r="L63" i="1"/>
  <c r="I63" i="1" s="1"/>
  <c r="X62" i="1"/>
  <c r="R62" i="1"/>
  <c r="S62" i="1" s="1"/>
  <c r="P62" i="1"/>
  <c r="M62" i="1"/>
  <c r="L62" i="1"/>
  <c r="K62" i="1" s="1"/>
  <c r="J62" i="1"/>
  <c r="AE61" i="1"/>
  <c r="AD61" i="1"/>
  <c r="Z61" i="1"/>
  <c r="AG61" i="1" s="1"/>
  <c r="AJ61" i="1" s="1"/>
  <c r="X61" i="1"/>
  <c r="W61" i="1"/>
  <c r="P61" i="1"/>
  <c r="R61" i="1" s="1"/>
  <c r="S61" i="1" s="1"/>
  <c r="M61" i="1"/>
  <c r="L61" i="1"/>
  <c r="I61" i="1" s="1"/>
  <c r="K61" i="1"/>
  <c r="J61" i="1"/>
  <c r="AO60" i="1"/>
  <c r="AP60" i="1" s="1"/>
  <c r="AG60" i="1"/>
  <c r="AJ60" i="1" s="1"/>
  <c r="AK60" i="1" s="1"/>
  <c r="AE60" i="1"/>
  <c r="AD60" i="1"/>
  <c r="Z60" i="1"/>
  <c r="X60" i="1"/>
  <c r="W60" i="1"/>
  <c r="R60" i="1"/>
  <c r="S60" i="1" s="1"/>
  <c r="P60" i="1"/>
  <c r="M60" i="1"/>
  <c r="L60" i="1"/>
  <c r="I60" i="1" s="1"/>
  <c r="AE59" i="1"/>
  <c r="AD59" i="1"/>
  <c r="Z59" i="1"/>
  <c r="AG59" i="1" s="1"/>
  <c r="AJ59" i="1" s="1"/>
  <c r="X59" i="1"/>
  <c r="S59" i="1"/>
  <c r="R59" i="1"/>
  <c r="P59" i="1"/>
  <c r="M59" i="1"/>
  <c r="L59" i="1"/>
  <c r="I59" i="1" s="1"/>
  <c r="K59" i="1" s="1"/>
  <c r="AE58" i="1"/>
  <c r="AD58" i="1"/>
  <c r="Z58" i="1"/>
  <c r="AG58" i="1" s="1"/>
  <c r="AJ58" i="1" s="1"/>
  <c r="X58" i="1"/>
  <c r="W58" i="1"/>
  <c r="R58" i="1"/>
  <c r="S58" i="1" s="1"/>
  <c r="P58" i="1"/>
  <c r="M58" i="1"/>
  <c r="L58" i="1"/>
  <c r="I58" i="1" s="1"/>
  <c r="K58" i="1" s="1"/>
  <c r="J58" i="1"/>
  <c r="AG57" i="1"/>
  <c r="AE57" i="1"/>
  <c r="AD57" i="1"/>
  <c r="Z57" i="1"/>
  <c r="P57" i="1"/>
  <c r="R57" i="1" s="1"/>
  <c r="S57" i="1" s="1"/>
  <c r="M57" i="1"/>
  <c r="L57" i="1"/>
  <c r="I57" i="1"/>
  <c r="AE56" i="1"/>
  <c r="AD56" i="1"/>
  <c r="Z56" i="1"/>
  <c r="X56" i="1"/>
  <c r="W56" i="1"/>
  <c r="S56" i="1"/>
  <c r="P56" i="1"/>
  <c r="R56" i="1" s="1"/>
  <c r="M56" i="1"/>
  <c r="L56" i="1"/>
  <c r="I56" i="1" s="1"/>
  <c r="J56" i="1" s="1"/>
  <c r="AK55" i="1"/>
  <c r="AE55" i="1"/>
  <c r="AD55" i="1"/>
  <c r="Z55" i="1"/>
  <c r="AG55" i="1" s="1"/>
  <c r="AJ55" i="1" s="1"/>
  <c r="X55" i="1"/>
  <c r="W55" i="1"/>
  <c r="S55" i="1"/>
  <c r="P55" i="1"/>
  <c r="R55" i="1" s="1"/>
  <c r="M55" i="1"/>
  <c r="L55" i="1"/>
  <c r="I55" i="1"/>
  <c r="AE54" i="1"/>
  <c r="AD54" i="1"/>
  <c r="Z54" i="1"/>
  <c r="AG54" i="1" s="1"/>
  <c r="AJ54" i="1" s="1"/>
  <c r="W54" i="1"/>
  <c r="X54" i="1"/>
  <c r="R54" i="1"/>
  <c r="S54" i="1" s="1"/>
  <c r="P54" i="1"/>
  <c r="M54" i="1"/>
  <c r="L54" i="1"/>
  <c r="K54" i="1"/>
  <c r="I54" i="1"/>
  <c r="J54" i="1" s="1"/>
  <c r="AR53" i="1"/>
  <c r="K53" i="1"/>
  <c r="X51" i="1"/>
  <c r="W51" i="1"/>
  <c r="S51" i="1"/>
  <c r="R51" i="1"/>
  <c r="P51" i="1"/>
  <c r="M51" i="1"/>
  <c r="L51" i="1"/>
  <c r="I51" i="1"/>
  <c r="F51" i="1"/>
  <c r="W50" i="1"/>
  <c r="X50" i="1"/>
  <c r="R50" i="1"/>
  <c r="S50" i="1" s="1"/>
  <c r="P50" i="1"/>
  <c r="L50" i="1"/>
  <c r="K50" i="1"/>
  <c r="I50" i="1"/>
  <c r="J50" i="1" s="1"/>
  <c r="F50" i="1"/>
  <c r="M50" i="1" s="1"/>
  <c r="X48" i="1"/>
  <c r="W48" i="1"/>
  <c r="R48" i="1"/>
  <c r="S48" i="1" s="1"/>
  <c r="P48" i="1"/>
  <c r="M48" i="1"/>
  <c r="L48" i="1"/>
  <c r="I48" i="1" s="1"/>
  <c r="P47" i="1"/>
  <c r="R47" i="1" s="1"/>
  <c r="S47" i="1" s="1"/>
  <c r="M47" i="1"/>
  <c r="L47" i="1"/>
  <c r="I47" i="1" s="1"/>
  <c r="K47" i="1" s="1"/>
  <c r="AG46" i="1"/>
  <c r="AE46" i="1"/>
  <c r="AD46" i="1"/>
  <c r="X46" i="1"/>
  <c r="W46" i="1"/>
  <c r="S46" i="1"/>
  <c r="R46" i="1"/>
  <c r="P46" i="1"/>
  <c r="M46" i="1"/>
  <c r="L46" i="1"/>
  <c r="K46" i="1"/>
  <c r="I46" i="1"/>
  <c r="J46" i="1" s="1"/>
  <c r="AE45" i="1"/>
  <c r="AD45" i="1"/>
  <c r="W45" i="1"/>
  <c r="S45" i="1"/>
  <c r="P45" i="1"/>
  <c r="R45" i="1" s="1"/>
  <c r="M45" i="1"/>
  <c r="L45" i="1"/>
  <c r="I45" i="1" s="1"/>
  <c r="K45" i="1" s="1"/>
  <c r="J45" i="1"/>
  <c r="AE44" i="1"/>
  <c r="AD44" i="1"/>
  <c r="AG44" i="1" s="1"/>
  <c r="AJ44" i="1" s="1"/>
  <c r="W44" i="1"/>
  <c r="X44" i="1"/>
  <c r="P44" i="1"/>
  <c r="R44" i="1" s="1"/>
  <c r="S44" i="1" s="1"/>
  <c r="M44" i="1"/>
  <c r="L44" i="1"/>
  <c r="K44" i="1"/>
  <c r="I44" i="1"/>
  <c r="J44" i="1" s="1"/>
  <c r="AE43" i="1"/>
  <c r="AD43" i="1"/>
  <c r="AG43" i="1" s="1"/>
  <c r="AJ43" i="1" s="1"/>
  <c r="X43" i="1"/>
  <c r="W43" i="1"/>
  <c r="R43" i="1"/>
  <c r="S43" i="1" s="1"/>
  <c r="P43" i="1"/>
  <c r="M43" i="1"/>
  <c r="L43" i="1"/>
  <c r="I43" i="1" s="1"/>
  <c r="AE42" i="1"/>
  <c r="AG42" i="1" s="1"/>
  <c r="AJ42" i="1" s="1"/>
  <c r="AD42" i="1"/>
  <c r="X42" i="1"/>
  <c r="W42" i="1"/>
  <c r="S42" i="1"/>
  <c r="R42" i="1"/>
  <c r="P42" i="1"/>
  <c r="M42" i="1"/>
  <c r="L42" i="1"/>
  <c r="K42" i="1"/>
  <c r="J42" i="1"/>
  <c r="I42" i="1"/>
  <c r="AJ41" i="1"/>
  <c r="AG41" i="1"/>
  <c r="AE41" i="1"/>
  <c r="AD41" i="1"/>
  <c r="X41" i="1"/>
  <c r="S41" i="1"/>
  <c r="P41" i="1"/>
  <c r="R41" i="1" s="1"/>
  <c r="M41" i="1"/>
  <c r="L41" i="1"/>
  <c r="I41" i="1" s="1"/>
  <c r="AE40" i="1"/>
  <c r="AD40" i="1"/>
  <c r="Z40" i="1"/>
  <c r="AG40" i="1" s="1"/>
  <c r="AJ40" i="1" s="1"/>
  <c r="X40" i="1"/>
  <c r="W40" i="1"/>
  <c r="P40" i="1"/>
  <c r="R40" i="1" s="1"/>
  <c r="S40" i="1" s="1"/>
  <c r="M40" i="1"/>
  <c r="L40" i="1"/>
  <c r="J40" i="1"/>
  <c r="I40" i="1"/>
  <c r="K40" i="1" s="1"/>
  <c r="AE39" i="1"/>
  <c r="AD39" i="1"/>
  <c r="Z39" i="1"/>
  <c r="AG39" i="1" s="1"/>
  <c r="AJ39" i="1" s="1"/>
  <c r="W39" i="1"/>
  <c r="X39" i="1"/>
  <c r="S39" i="1"/>
  <c r="R39" i="1"/>
  <c r="P39" i="1"/>
  <c r="M39" i="1"/>
  <c r="L39" i="1"/>
  <c r="J39" i="1"/>
  <c r="I39" i="1"/>
  <c r="K39" i="1" s="1"/>
  <c r="AJ38" i="1"/>
  <c r="AG38" i="1"/>
  <c r="AE38" i="1"/>
  <c r="AD38" i="1"/>
  <c r="Z38" i="1"/>
  <c r="X38" i="1"/>
  <c r="R38" i="1"/>
  <c r="S38" i="1" s="1"/>
  <c r="P38" i="1"/>
  <c r="M38" i="1"/>
  <c r="L38" i="1"/>
  <c r="I38" i="1" s="1"/>
  <c r="K38" i="1" s="1"/>
  <c r="AJ37" i="1"/>
  <c r="AO37" i="1" s="1"/>
  <c r="AP37" i="1" s="1"/>
  <c r="AG37" i="1"/>
  <c r="AE37" i="1"/>
  <c r="AD37" i="1"/>
  <c r="Z37" i="1"/>
  <c r="W37" i="1"/>
  <c r="P37" i="1"/>
  <c r="R37" i="1" s="1"/>
  <c r="S37" i="1" s="1"/>
  <c r="M37" i="1"/>
  <c r="L37" i="1"/>
  <c r="I37" i="1" s="1"/>
  <c r="K37" i="1" s="1"/>
  <c r="J37" i="1"/>
  <c r="AG36" i="1"/>
  <c r="AJ36" i="1" s="1"/>
  <c r="AE36" i="1"/>
  <c r="AD36" i="1"/>
  <c r="Z36" i="1"/>
  <c r="X36" i="1"/>
  <c r="R36" i="1"/>
  <c r="S36" i="1" s="1"/>
  <c r="P36" i="1"/>
  <c r="L36" i="1"/>
  <c r="I36" i="1" s="1"/>
  <c r="F36" i="1"/>
  <c r="M36" i="1" s="1"/>
  <c r="AG35" i="1"/>
  <c r="AJ35" i="1" s="1"/>
  <c r="AE35" i="1"/>
  <c r="AD35" i="1"/>
  <c r="Z35" i="1"/>
  <c r="R35" i="1"/>
  <c r="S35" i="1" s="1"/>
  <c r="P35" i="1"/>
  <c r="M35" i="1"/>
  <c r="L35" i="1"/>
  <c r="I35" i="1" s="1"/>
  <c r="AE34" i="1"/>
  <c r="AD34" i="1"/>
  <c r="Z34" i="1"/>
  <c r="AG34" i="1" s="1"/>
  <c r="AJ34" i="1" s="1"/>
  <c r="W34" i="1"/>
  <c r="P34" i="1"/>
  <c r="R34" i="1" s="1"/>
  <c r="S34" i="1" s="1"/>
  <c r="M34" i="1"/>
  <c r="L34" i="1"/>
  <c r="I34" i="1"/>
  <c r="K34" i="1" s="1"/>
  <c r="AE33" i="1"/>
  <c r="AD33" i="1"/>
  <c r="Z33" i="1"/>
  <c r="AG33" i="1" s="1"/>
  <c r="W33" i="1"/>
  <c r="P33" i="1"/>
  <c r="R33" i="1" s="1"/>
  <c r="S33" i="1" s="1"/>
  <c r="M33" i="1"/>
  <c r="L33" i="1"/>
  <c r="I33" i="1" s="1"/>
  <c r="AG32" i="1"/>
  <c r="AE32" i="1"/>
  <c r="AD32" i="1"/>
  <c r="Z32" i="1"/>
  <c r="X32" i="1"/>
  <c r="S32" i="1"/>
  <c r="P32" i="1"/>
  <c r="R32" i="1" s="1"/>
  <c r="M32" i="1"/>
  <c r="L32" i="1"/>
  <c r="I32" i="1" s="1"/>
  <c r="AE31" i="1"/>
  <c r="AD31" i="1"/>
  <c r="Z31" i="1"/>
  <c r="W31" i="1"/>
  <c r="R31" i="1"/>
  <c r="S31" i="1" s="1"/>
  <c r="P31" i="1"/>
  <c r="M31" i="1"/>
  <c r="L31" i="1"/>
  <c r="K31" i="1"/>
  <c r="I31" i="1"/>
  <c r="J31" i="1" s="1"/>
  <c r="AE30" i="1"/>
  <c r="AD30" i="1"/>
  <c r="Z30" i="1"/>
  <c r="W30" i="1"/>
  <c r="R30" i="1"/>
  <c r="S30" i="1" s="1"/>
  <c r="P30" i="1"/>
  <c r="M30" i="1"/>
  <c r="L30" i="1"/>
  <c r="K30" i="1"/>
  <c r="I30" i="1"/>
  <c r="J30" i="1" s="1"/>
  <c r="W29" i="1"/>
  <c r="R29" i="1"/>
  <c r="S29" i="1" s="1"/>
  <c r="P29" i="1"/>
  <c r="L29" i="1"/>
  <c r="I29" i="1" s="1"/>
  <c r="R28" i="1"/>
  <c r="S28" i="1" s="1"/>
  <c r="P28" i="1"/>
  <c r="M28" i="1"/>
  <c r="L28" i="1"/>
  <c r="I28" i="1" s="1"/>
  <c r="J28" i="1" s="1"/>
  <c r="K28" i="1"/>
  <c r="AG27" i="1"/>
  <c r="AJ27" i="1" s="1"/>
  <c r="AE27" i="1"/>
  <c r="AD27" i="1"/>
  <c r="Z27" i="1"/>
  <c r="W27" i="1"/>
  <c r="S27" i="1"/>
  <c r="R27" i="1"/>
  <c r="P27" i="1"/>
  <c r="M27" i="1"/>
  <c r="L27" i="1"/>
  <c r="I27" i="1" s="1"/>
  <c r="J27" i="1" s="1"/>
  <c r="K27" i="1"/>
  <c r="AJ26" i="1"/>
  <c r="AO26" i="1" s="1"/>
  <c r="AP26" i="1" s="1"/>
  <c r="AE26" i="1"/>
  <c r="AG26" i="1" s="1"/>
  <c r="AD26" i="1"/>
  <c r="Z26" i="1"/>
  <c r="X26" i="1"/>
  <c r="S26" i="1"/>
  <c r="R26" i="1"/>
  <c r="P26" i="1"/>
  <c r="M26" i="1"/>
  <c r="L26" i="1"/>
  <c r="I26" i="1" s="1"/>
  <c r="J26" i="1" s="1"/>
  <c r="AE25" i="1"/>
  <c r="AD25" i="1"/>
  <c r="Z25" i="1"/>
  <c r="AG25" i="1" s="1"/>
  <c r="AJ25" i="1" s="1"/>
  <c r="X25" i="1"/>
  <c r="R25" i="1"/>
  <c r="S25" i="1" s="1"/>
  <c r="P25" i="1"/>
  <c r="M25" i="1"/>
  <c r="L25" i="1"/>
  <c r="I25" i="1"/>
  <c r="AE24" i="1"/>
  <c r="AD24" i="1"/>
  <c r="Z24" i="1"/>
  <c r="X24" i="1"/>
  <c r="R24" i="1"/>
  <c r="S24" i="1" s="1"/>
  <c r="P24" i="1"/>
  <c r="M24" i="1"/>
  <c r="L24" i="1"/>
  <c r="K24" i="1"/>
  <c r="J24" i="1"/>
  <c r="I24" i="1"/>
  <c r="AJ23" i="1"/>
  <c r="AE23" i="1"/>
  <c r="AG23" i="1" s="1"/>
  <c r="AD23" i="1"/>
  <c r="Z23" i="1"/>
  <c r="X23" i="1"/>
  <c r="R23" i="1"/>
  <c r="S23" i="1" s="1"/>
  <c r="P23" i="1"/>
  <c r="M23" i="1"/>
  <c r="L23" i="1"/>
  <c r="I23" i="1" s="1"/>
  <c r="K23" i="1" s="1"/>
  <c r="AR22" i="1"/>
  <c r="AE22" i="1"/>
  <c r="AD22" i="1"/>
  <c r="Z22" i="1"/>
  <c r="W22" i="1"/>
  <c r="P22" i="1"/>
  <c r="R22" i="1" s="1"/>
  <c r="S22" i="1" s="1"/>
  <c r="M22" i="1"/>
  <c r="L22" i="1"/>
  <c r="K22" i="1"/>
  <c r="I22" i="1"/>
  <c r="J22" i="1" s="1"/>
  <c r="AJ21" i="1"/>
  <c r="AG21" i="1"/>
  <c r="AE21" i="1"/>
  <c r="AD21" i="1"/>
  <c r="Z21" i="1"/>
  <c r="W21" i="1"/>
  <c r="P21" i="1"/>
  <c r="R21" i="1" s="1"/>
  <c r="S21" i="1" s="1"/>
  <c r="M21" i="1"/>
  <c r="L21" i="1"/>
  <c r="K21" i="1"/>
  <c r="I21" i="1"/>
  <c r="J21" i="1" s="1"/>
  <c r="AO20" i="1"/>
  <c r="AP20" i="1" s="1"/>
  <c r="AE20" i="1"/>
  <c r="AD20" i="1"/>
  <c r="Z20" i="1"/>
  <c r="AG20" i="1" s="1"/>
  <c r="AJ20" i="1" s="1"/>
  <c r="AK20" i="1" s="1"/>
  <c r="X20" i="1"/>
  <c r="W20" i="1"/>
  <c r="P20" i="1"/>
  <c r="R20" i="1" s="1"/>
  <c r="S20" i="1" s="1"/>
  <c r="M20" i="1"/>
  <c r="L20" i="1"/>
  <c r="K20" i="1"/>
  <c r="I20" i="1"/>
  <c r="J20" i="1" s="1"/>
  <c r="W19" i="1"/>
  <c r="X19" i="1"/>
  <c r="P19" i="1"/>
  <c r="R19" i="1" s="1"/>
  <c r="S19" i="1" s="1"/>
  <c r="M19" i="1"/>
  <c r="L19" i="1"/>
  <c r="I19" i="1" s="1"/>
  <c r="AR18" i="1"/>
  <c r="AE18" i="1"/>
  <c r="AD18" i="1"/>
  <c r="Z18" i="1"/>
  <c r="AG18" i="1" s="1"/>
  <c r="AJ18" i="1" s="1"/>
  <c r="W18" i="1"/>
  <c r="X18" i="1"/>
  <c r="P18" i="1"/>
  <c r="R18" i="1" s="1"/>
  <c r="S18" i="1" s="1"/>
  <c r="M18" i="1"/>
  <c r="L18" i="1"/>
  <c r="I18" i="1" s="1"/>
  <c r="AE17" i="1"/>
  <c r="AD17" i="1"/>
  <c r="Z17" i="1"/>
  <c r="AG17" i="1" s="1"/>
  <c r="AJ17" i="1" s="1"/>
  <c r="W17" i="1"/>
  <c r="X17" i="1"/>
  <c r="P17" i="1"/>
  <c r="R17" i="1" s="1"/>
  <c r="S17" i="1" s="1"/>
  <c r="L17" i="1"/>
  <c r="K17" i="1"/>
  <c r="J17" i="1"/>
  <c r="I17" i="1"/>
  <c r="AR16" i="1"/>
  <c r="AG16" i="1"/>
  <c r="AJ16" i="1" s="1"/>
  <c r="AE16" i="1"/>
  <c r="AD16" i="1"/>
  <c r="Z16" i="1"/>
  <c r="W16" i="1"/>
  <c r="R16" i="1"/>
  <c r="S16" i="1" s="1"/>
  <c r="P16" i="1"/>
  <c r="M16" i="1"/>
  <c r="L16" i="1"/>
  <c r="I16" i="1" s="1"/>
  <c r="J16" i="1" s="1"/>
  <c r="K16" i="1"/>
  <c r="AR15" i="1"/>
  <c r="AE15" i="1"/>
  <c r="AD15" i="1"/>
  <c r="Z15" i="1"/>
  <c r="AG15" i="1" s="1"/>
  <c r="AJ15" i="1" s="1"/>
  <c r="X15" i="1"/>
  <c r="W15" i="1"/>
  <c r="R15" i="1"/>
  <c r="S15" i="1" s="1"/>
  <c r="P15" i="1"/>
  <c r="M15" i="1"/>
  <c r="L15" i="1"/>
  <c r="J15" i="1"/>
  <c r="I15" i="1"/>
  <c r="K15" i="1" s="1"/>
  <c r="AK14" i="1"/>
  <c r="AE14" i="1"/>
  <c r="AD14" i="1"/>
  <c r="AG14" i="1" s="1"/>
  <c r="AJ14" i="1" s="1"/>
  <c r="Z14" i="1"/>
  <c r="R14" i="1"/>
  <c r="S14" i="1" s="1"/>
  <c r="P14" i="1"/>
  <c r="M14" i="1"/>
  <c r="L14" i="1"/>
  <c r="K14" i="1"/>
  <c r="J14" i="1"/>
  <c r="I14" i="1"/>
  <c r="AE13" i="1"/>
  <c r="AD13" i="1"/>
  <c r="Z13" i="1"/>
  <c r="W13" i="1"/>
  <c r="R13" i="1"/>
  <c r="S13" i="1" s="1"/>
  <c r="P13" i="1"/>
  <c r="M13" i="1"/>
  <c r="L13" i="1"/>
  <c r="I13" i="1"/>
  <c r="J13" i="1" s="1"/>
  <c r="AE12" i="1"/>
  <c r="AD12" i="1"/>
  <c r="Z12" i="1"/>
  <c r="AG12" i="1" s="1"/>
  <c r="AJ12" i="1" s="1"/>
  <c r="W12" i="1"/>
  <c r="X12" i="1"/>
  <c r="P12" i="1"/>
  <c r="R12" i="1" s="1"/>
  <c r="S12" i="1" s="1"/>
  <c r="M12" i="1"/>
  <c r="L12" i="1"/>
  <c r="I12" i="1"/>
  <c r="AR11" i="1"/>
  <c r="AE11" i="1"/>
  <c r="AD11" i="1"/>
  <c r="Z11" i="1"/>
  <c r="AG11" i="1" s="1"/>
  <c r="AJ11" i="1" s="1"/>
  <c r="W11" i="1"/>
  <c r="X11" i="1"/>
  <c r="R11" i="1"/>
  <c r="S11" i="1" s="1"/>
  <c r="P11" i="1"/>
  <c r="M11" i="1"/>
  <c r="L11" i="1"/>
  <c r="J11" i="1"/>
  <c r="I11" i="1"/>
  <c r="K11" i="1" s="1"/>
  <c r="AP10" i="1"/>
  <c r="AK10" i="1"/>
  <c r="AS8" i="1"/>
  <c r="AR46" i="1" s="1"/>
  <c r="B3" i="1"/>
  <c r="AK11" i="1" l="1"/>
  <c r="AO11" i="1"/>
  <c r="AP11" i="1" s="1"/>
  <c r="AK15" i="1"/>
  <c r="AO15" i="1"/>
  <c r="AP15" i="1" s="1"/>
  <c r="AO12" i="1"/>
  <c r="AP12" i="1" s="1"/>
  <c r="AK12" i="1"/>
  <c r="K18" i="1"/>
  <c r="J18" i="1"/>
  <c r="AO25" i="1"/>
  <c r="AP25" i="1" s="1"/>
  <c r="AK25" i="1"/>
  <c r="AK17" i="1"/>
  <c r="AO17" i="1"/>
  <c r="AP17" i="1" s="1"/>
  <c r="AO18" i="1"/>
  <c r="AP18" i="1" s="1"/>
  <c r="AK18" i="1"/>
  <c r="W28" i="1"/>
  <c r="X28" i="1"/>
  <c r="AK61" i="1"/>
  <c r="AO61" i="1"/>
  <c r="AP61" i="1" s="1"/>
  <c r="AG22" i="1"/>
  <c r="AJ22" i="1" s="1"/>
  <c r="AO27" i="1"/>
  <c r="AP27" i="1" s="1"/>
  <c r="K29" i="1"/>
  <c r="J29" i="1"/>
  <c r="K36" i="1"/>
  <c r="J36" i="1"/>
  <c r="J41" i="1"/>
  <c r="K41" i="1"/>
  <c r="K13" i="1"/>
  <c r="AO21" i="1"/>
  <c r="AP21" i="1" s="1"/>
  <c r="AK21" i="1"/>
  <c r="X35" i="1"/>
  <c r="W35" i="1"/>
  <c r="AO42" i="1"/>
  <c r="AP42" i="1" s="1"/>
  <c r="AK42" i="1"/>
  <c r="K48" i="1"/>
  <c r="J48" i="1"/>
  <c r="K19" i="1"/>
  <c r="J19" i="1"/>
  <c r="AJ33" i="1"/>
  <c r="AK34" i="1"/>
  <c r="AO34" i="1"/>
  <c r="AP34" i="1" s="1"/>
  <c r="AO39" i="1"/>
  <c r="AP39" i="1" s="1"/>
  <c r="AK39" i="1"/>
  <c r="AO43" i="1"/>
  <c r="AP43" i="1" s="1"/>
  <c r="AK43" i="1"/>
  <c r="AK27" i="1"/>
  <c r="AJ32" i="1"/>
  <c r="AK54" i="1"/>
  <c r="AO54" i="1"/>
  <c r="AP54" i="1" s="1"/>
  <c r="AK58" i="1"/>
  <c r="AO58" i="1"/>
  <c r="AP58" i="1" s="1"/>
  <c r="AO44" i="1"/>
  <c r="AP44" i="1" s="1"/>
  <c r="AK44" i="1"/>
  <c r="X16" i="1"/>
  <c r="J25" i="1"/>
  <c r="K25" i="1"/>
  <c r="AO40" i="1"/>
  <c r="AP40" i="1" s="1"/>
  <c r="AK40" i="1"/>
  <c r="J32" i="1"/>
  <c r="K32" i="1"/>
  <c r="AK35" i="1"/>
  <c r="AO35" i="1"/>
  <c r="AP35" i="1" s="1"/>
  <c r="K43" i="1"/>
  <c r="J43" i="1"/>
  <c r="AO14" i="1"/>
  <c r="AP14" i="1" s="1"/>
  <c r="W14" i="1"/>
  <c r="X14" i="1"/>
  <c r="X13" i="1"/>
  <c r="AG24" i="1"/>
  <c r="AJ24" i="1" s="1"/>
  <c r="K26" i="1"/>
  <c r="AO36" i="1"/>
  <c r="AP36" i="1" s="1"/>
  <c r="AK36" i="1"/>
  <c r="J23" i="1"/>
  <c r="AK23" i="1"/>
  <c r="AO23" i="1"/>
  <c r="AP23" i="1" s="1"/>
  <c r="K33" i="1"/>
  <c r="J33" i="1"/>
  <c r="K35" i="1"/>
  <c r="J35" i="1"/>
  <c r="AK41" i="1"/>
  <c r="AO41" i="1"/>
  <c r="AP41" i="1" s="1"/>
  <c r="J12" i="1"/>
  <c r="K12" i="1"/>
  <c r="AG13" i="1"/>
  <c r="AJ13" i="1" s="1"/>
  <c r="AK16" i="1"/>
  <c r="AO16" i="1"/>
  <c r="AP16" i="1" s="1"/>
  <c r="AK26" i="1"/>
  <c r="X33" i="1"/>
  <c r="AR34" i="1"/>
  <c r="AR41" i="1"/>
  <c r="AJ46" i="1"/>
  <c r="K57" i="1"/>
  <c r="J57" i="1"/>
  <c r="AR61" i="1"/>
  <c r="K63" i="1"/>
  <c r="J63" i="1"/>
  <c r="AK77" i="1"/>
  <c r="AO77" i="1"/>
  <c r="AP77" i="1" s="1"/>
  <c r="W32" i="1"/>
  <c r="AR33" i="1"/>
  <c r="X45" i="1"/>
  <c r="AR51" i="1"/>
  <c r="K55" i="1"/>
  <c r="J55" i="1"/>
  <c r="AR59" i="1"/>
  <c r="X47" i="1"/>
  <c r="W47" i="1"/>
  <c r="K60" i="1"/>
  <c r="J60" i="1"/>
  <c r="AK85" i="1"/>
  <c r="AO85" i="1"/>
  <c r="AP85" i="1" s="1"/>
  <c r="AR28" i="1"/>
  <c r="X30" i="1"/>
  <c r="X31" i="1"/>
  <c r="AR38" i="1"/>
  <c r="AR39" i="1"/>
  <c r="AG45" i="1"/>
  <c r="AJ45" i="1" s="1"/>
  <c r="AK73" i="1"/>
  <c r="AO73" i="1"/>
  <c r="AP73" i="1" s="1"/>
  <c r="W23" i="1"/>
  <c r="W26" i="1"/>
  <c r="X27" i="1"/>
  <c r="AR40" i="1"/>
  <c r="X22" i="1"/>
  <c r="W24" i="1"/>
  <c r="W25" i="1"/>
  <c r="J34" i="1"/>
  <c r="AK37" i="1"/>
  <c r="X21" i="1"/>
  <c r="AR27" i="1"/>
  <c r="AR29" i="1"/>
  <c r="W38" i="1"/>
  <c r="AR48" i="1"/>
  <c r="K51" i="1"/>
  <c r="J51" i="1"/>
  <c r="AG56" i="1"/>
  <c r="AJ56" i="1" s="1"/>
  <c r="X57" i="1"/>
  <c r="W57" i="1"/>
  <c r="AR23" i="1"/>
  <c r="AG30" i="1"/>
  <c r="AJ30" i="1" s="1"/>
  <c r="AR30" i="1"/>
  <c r="AG31" i="1"/>
  <c r="AJ31" i="1" s="1"/>
  <c r="AO59" i="1"/>
  <c r="AP59" i="1" s="1"/>
  <c r="AK59" i="1"/>
  <c r="AO65" i="1"/>
  <c r="AP65" i="1" s="1"/>
  <c r="AK65" i="1"/>
  <c r="X68" i="1"/>
  <c r="W68" i="1"/>
  <c r="AO71" i="1"/>
  <c r="AP71" i="1" s="1"/>
  <c r="AK71" i="1"/>
  <c r="AO74" i="1"/>
  <c r="AP74" i="1" s="1"/>
  <c r="AK74" i="1"/>
  <c r="AK78" i="1"/>
  <c r="AO78" i="1"/>
  <c r="AP78" i="1" s="1"/>
  <c r="AK89" i="1"/>
  <c r="AO89" i="1"/>
  <c r="AP89" i="1" s="1"/>
  <c r="AR21" i="1"/>
  <c r="AR24" i="1"/>
  <c r="AR44" i="1"/>
  <c r="AK63" i="1"/>
  <c r="AO63" i="1"/>
  <c r="AP63" i="1" s="1"/>
  <c r="K73" i="1"/>
  <c r="J73" i="1"/>
  <c r="AK86" i="1"/>
  <c r="AO86" i="1"/>
  <c r="AP86" i="1" s="1"/>
  <c r="AK92" i="1"/>
  <c r="AO92" i="1"/>
  <c r="AP92" i="1" s="1"/>
  <c r="X37" i="1"/>
  <c r="K56" i="1"/>
  <c r="AK68" i="1"/>
  <c r="AO68" i="1"/>
  <c r="AP68" i="1" s="1"/>
  <c r="AK82" i="1"/>
  <c r="AO82" i="1"/>
  <c r="AP82" i="1" s="1"/>
  <c r="AR154" i="1"/>
  <c r="AR144" i="1"/>
  <c r="AR134" i="1"/>
  <c r="AR127" i="1"/>
  <c r="AR120" i="1"/>
  <c r="AR113" i="1"/>
  <c r="AR100" i="1"/>
  <c r="AR153" i="1"/>
  <c r="AR112" i="1"/>
  <c r="AR103" i="1"/>
  <c r="AR89" i="1"/>
  <c r="AR83" i="1"/>
  <c r="AR77" i="1"/>
  <c r="AR152" i="1"/>
  <c r="AR129" i="1"/>
  <c r="AR119" i="1"/>
  <c r="AR111" i="1"/>
  <c r="AR151" i="1"/>
  <c r="AR142" i="1"/>
  <c r="AR88" i="1"/>
  <c r="AR82" i="1"/>
  <c r="AR76" i="1"/>
  <c r="AR141" i="1"/>
  <c r="AR132" i="1"/>
  <c r="AR118" i="1"/>
  <c r="AR140" i="1"/>
  <c r="AR131" i="1"/>
  <c r="AR117" i="1"/>
  <c r="AR87" i="1"/>
  <c r="AR81" i="1"/>
  <c r="AR149" i="1"/>
  <c r="AR139" i="1"/>
  <c r="AR109" i="1"/>
  <c r="AR94" i="1"/>
  <c r="AR148" i="1"/>
  <c r="AR138" i="1"/>
  <c r="AR128" i="1"/>
  <c r="AR116" i="1"/>
  <c r="AR106" i="1"/>
  <c r="AR93" i="1"/>
  <c r="AR92" i="1"/>
  <c r="AR86" i="1"/>
  <c r="AR80" i="1"/>
  <c r="AR137" i="1"/>
  <c r="AR115" i="1"/>
  <c r="AR108" i="1"/>
  <c r="AR105" i="1"/>
  <c r="AR97" i="1"/>
  <c r="AR91" i="1"/>
  <c r="AR85" i="1"/>
  <c r="AR79" i="1"/>
  <c r="AR66" i="1"/>
  <c r="AR146" i="1"/>
  <c r="AR78" i="1"/>
  <c r="AR99" i="1"/>
  <c r="AR96" i="1"/>
  <c r="AR90" i="1"/>
  <c r="AR57" i="1"/>
  <c r="AR47" i="1"/>
  <c r="AR114" i="1"/>
  <c r="AR110" i="1"/>
  <c r="AR67" i="1"/>
  <c r="AR74" i="1"/>
  <c r="AR73" i="1"/>
  <c r="AR56" i="1"/>
  <c r="AR75" i="1"/>
  <c r="AR52" i="1"/>
  <c r="AR68" i="1"/>
  <c r="AR55" i="1"/>
  <c r="AR32" i="1"/>
  <c r="AR26" i="1"/>
  <c r="AR20" i="1"/>
  <c r="AR13" i="1"/>
  <c r="AR95" i="1"/>
  <c r="AR104" i="1"/>
  <c r="AR69" i="1"/>
  <c r="AR63" i="1"/>
  <c r="AR54" i="1"/>
  <c r="AR45" i="1"/>
  <c r="AR31" i="1"/>
  <c r="AR25" i="1"/>
  <c r="AR19" i="1"/>
  <c r="AR12" i="1"/>
  <c r="AR50" i="1"/>
  <c r="AR70" i="1"/>
  <c r="AR64" i="1"/>
  <c r="AR60" i="1"/>
  <c r="AR145" i="1"/>
  <c r="AR135" i="1"/>
  <c r="AR84" i="1"/>
  <c r="AR71" i="1"/>
  <c r="AR98" i="1"/>
  <c r="AR49" i="1"/>
  <c r="AR42" i="1"/>
  <c r="AR17" i="1"/>
  <c r="W36" i="1"/>
  <c r="AR37" i="1"/>
  <c r="J47" i="1"/>
  <c r="AJ66" i="1"/>
  <c r="AK79" i="1"/>
  <c r="AO79" i="1"/>
  <c r="AP79" i="1" s="1"/>
  <c r="AK83" i="1"/>
  <c r="AO83" i="1"/>
  <c r="AP83" i="1" s="1"/>
  <c r="K89" i="1"/>
  <c r="J89" i="1"/>
  <c r="AR43" i="1"/>
  <c r="AJ57" i="1"/>
  <c r="AR58" i="1"/>
  <c r="AO67" i="1"/>
  <c r="AP67" i="1" s="1"/>
  <c r="AK67" i="1"/>
  <c r="AO124" i="1"/>
  <c r="AP124" i="1" s="1"/>
  <c r="AK124" i="1"/>
  <c r="J38" i="1"/>
  <c r="AR14" i="1"/>
  <c r="X34" i="1"/>
  <c r="W41" i="1"/>
  <c r="AO55" i="1"/>
  <c r="AP55" i="1" s="1"/>
  <c r="J59" i="1"/>
  <c r="AG64" i="1"/>
  <c r="AJ64" i="1" s="1"/>
  <c r="AR65" i="1"/>
  <c r="K103" i="1"/>
  <c r="J103" i="1"/>
  <c r="AR35" i="1"/>
  <c r="AR36" i="1"/>
  <c r="AO38" i="1"/>
  <c r="AP38" i="1" s="1"/>
  <c r="AK38" i="1"/>
  <c r="AR62" i="1"/>
  <c r="K66" i="1"/>
  <c r="J66" i="1"/>
  <c r="AK93" i="1"/>
  <c r="AO93" i="1"/>
  <c r="AP93" i="1" s="1"/>
  <c r="AO105" i="1"/>
  <c r="AP105" i="1" s="1"/>
  <c r="AK105" i="1"/>
  <c r="L68" i="1"/>
  <c r="I68" i="1" s="1"/>
  <c r="X81" i="1"/>
  <c r="AO87" i="1"/>
  <c r="AP87" i="1" s="1"/>
  <c r="X94" i="1"/>
  <c r="K120" i="1"/>
  <c r="K140" i="1"/>
  <c r="J140" i="1"/>
  <c r="AJ90" i="1"/>
  <c r="K109" i="1"/>
  <c r="J109" i="1"/>
  <c r="K138" i="1"/>
  <c r="J138" i="1"/>
  <c r="X148" i="1"/>
  <c r="W148" i="1"/>
  <c r="AG81" i="1"/>
  <c r="AJ81" i="1" s="1"/>
  <c r="K82" i="1"/>
  <c r="X84" i="1"/>
  <c r="X87" i="1"/>
  <c r="K88" i="1"/>
  <c r="K99" i="1"/>
  <c r="X69" i="1"/>
  <c r="AG70" i="1"/>
  <c r="AJ70" i="1" s="1"/>
  <c r="AJ103" i="1"/>
  <c r="AG108" i="1"/>
  <c r="AJ108" i="1" s="1"/>
  <c r="AO111" i="1"/>
  <c r="AP111" i="1" s="1"/>
  <c r="AK111" i="1"/>
  <c r="K129" i="1"/>
  <c r="J129" i="1"/>
  <c r="X91" i="1"/>
  <c r="W91" i="1"/>
  <c r="K92" i="1"/>
  <c r="J92" i="1"/>
  <c r="K105" i="1"/>
  <c r="J105" i="1"/>
  <c r="AO115" i="1"/>
  <c r="AP115" i="1" s="1"/>
  <c r="AK115" i="1"/>
  <c r="X138" i="1"/>
  <c r="W138" i="1"/>
  <c r="K152" i="1"/>
  <c r="J152" i="1"/>
  <c r="AK94" i="1"/>
  <c r="AO94" i="1"/>
  <c r="AP94" i="1" s="1"/>
  <c r="W73" i="1"/>
  <c r="X74" i="1"/>
  <c r="K77" i="1"/>
  <c r="K81" i="1"/>
  <c r="W93" i="1"/>
  <c r="K94" i="1"/>
  <c r="K96" i="1"/>
  <c r="J96" i="1"/>
  <c r="AG102" i="1"/>
  <c r="AJ102" i="1" s="1"/>
  <c r="X104" i="1"/>
  <c r="K117" i="1"/>
  <c r="J117" i="1"/>
  <c r="AJ119" i="1"/>
  <c r="L70" i="1"/>
  <c r="I70" i="1" s="1"/>
  <c r="AG80" i="1"/>
  <c r="AJ80" i="1" s="1"/>
  <c r="R82" i="1"/>
  <c r="AO120" i="1"/>
  <c r="AP120" i="1" s="1"/>
  <c r="AK120" i="1"/>
  <c r="AK122" i="1"/>
  <c r="K128" i="1"/>
  <c r="J128" i="1"/>
  <c r="K145" i="1"/>
  <c r="J145" i="1"/>
  <c r="AO69" i="1"/>
  <c r="AP69" i="1" s="1"/>
  <c r="X88" i="1"/>
  <c r="W88" i="1"/>
  <c r="K98" i="1"/>
  <c r="J98" i="1"/>
  <c r="X99" i="1"/>
  <c r="W99" i="1"/>
  <c r="AG104" i="1"/>
  <c r="AJ104" i="1" s="1"/>
  <c r="AG125" i="1"/>
  <c r="AJ125" i="1" s="1"/>
  <c r="K135" i="1"/>
  <c r="J135" i="1"/>
  <c r="X82" i="1"/>
  <c r="M108" i="1"/>
  <c r="AE108" i="1"/>
  <c r="W59" i="1"/>
  <c r="W62" i="1"/>
  <c r="K75" i="1"/>
  <c r="K80" i="1"/>
  <c r="K83" i="1"/>
  <c r="X85" i="1"/>
  <c r="AG88" i="1"/>
  <c r="AJ88" i="1" s="1"/>
  <c r="K108" i="1"/>
  <c r="J108" i="1"/>
  <c r="K115" i="1"/>
  <c r="J115" i="1"/>
  <c r="K131" i="1"/>
  <c r="J131" i="1"/>
  <c r="AK69" i="1"/>
  <c r="K86" i="1"/>
  <c r="J86" i="1"/>
  <c r="K148" i="1"/>
  <c r="J148" i="1"/>
  <c r="K151" i="1"/>
  <c r="J151" i="1"/>
  <c r="X78" i="1"/>
  <c r="AO84" i="1"/>
  <c r="AP84" i="1" s="1"/>
  <c r="AO91" i="1"/>
  <c r="AP91" i="1" s="1"/>
  <c r="AK91" i="1"/>
  <c r="AG110" i="1"/>
  <c r="AJ110" i="1" s="1"/>
  <c r="K112" i="1"/>
  <c r="AJ123" i="1"/>
  <c r="W117" i="1"/>
  <c r="W122" i="1"/>
  <c r="W129" i="1"/>
  <c r="W139" i="1"/>
  <c r="J146" i="1"/>
  <c r="W149" i="1"/>
  <c r="J157" i="1"/>
  <c r="J156" i="1"/>
  <c r="W102" i="1"/>
  <c r="J106" i="1"/>
  <c r="J116" i="1"/>
  <c r="W118" i="1"/>
  <c r="W127" i="1"/>
  <c r="W132" i="1"/>
  <c r="W119" i="1"/>
  <c r="W142" i="1"/>
  <c r="AE109" i="1"/>
  <c r="AG109" i="1" s="1"/>
  <c r="AJ109" i="1" s="1"/>
  <c r="W113" i="1"/>
  <c r="J118" i="1"/>
  <c r="J127" i="1"/>
  <c r="J132" i="1"/>
  <c r="W134" i="1"/>
  <c r="J141" i="1"/>
  <c r="W144" i="1"/>
  <c r="W154" i="1"/>
  <c r="J111" i="1"/>
  <c r="W114" i="1"/>
  <c r="J119" i="1"/>
  <c r="W128" i="1"/>
  <c r="W105" i="1"/>
  <c r="W108" i="1"/>
  <c r="W115" i="1"/>
  <c r="W146" i="1"/>
  <c r="W157" i="1"/>
  <c r="AO108" i="1" l="1"/>
  <c r="AP108" i="1" s="1"/>
  <c r="AK108" i="1"/>
  <c r="AK64" i="1"/>
  <c r="AO64" i="1"/>
  <c r="AP64" i="1" s="1"/>
  <c r="AK80" i="1"/>
  <c r="AO80" i="1"/>
  <c r="AP80" i="1" s="1"/>
  <c r="AO110" i="1"/>
  <c r="AP110" i="1" s="1"/>
  <c r="AK110" i="1"/>
  <c r="K70" i="1"/>
  <c r="J70" i="1"/>
  <c r="AK90" i="1"/>
  <c r="AO90" i="1"/>
  <c r="AP90" i="1" s="1"/>
  <c r="AO119" i="1"/>
  <c r="AP119" i="1" s="1"/>
  <c r="AK119" i="1"/>
  <c r="AO13" i="1"/>
  <c r="AP13" i="1" s="1"/>
  <c r="AK13" i="1"/>
  <c r="AO32" i="1"/>
  <c r="AP32" i="1" s="1"/>
  <c r="AK32" i="1"/>
  <c r="AK104" i="1"/>
  <c r="AO104" i="1"/>
  <c r="AP104" i="1" s="1"/>
  <c r="K68" i="1"/>
  <c r="J68" i="1"/>
  <c r="AK103" i="1"/>
  <c r="AO103" i="1"/>
  <c r="AP103" i="1" s="1"/>
  <c r="AO31" i="1"/>
  <c r="AP31" i="1" s="1"/>
  <c r="AK31" i="1"/>
  <c r="AO102" i="1"/>
  <c r="AP102" i="1" s="1"/>
  <c r="AK102" i="1"/>
  <c r="AK45" i="1"/>
  <c r="AO45" i="1"/>
  <c r="AP45" i="1" s="1"/>
  <c r="AO24" i="1"/>
  <c r="AP24" i="1" s="1"/>
  <c r="AK24" i="1"/>
  <c r="AO123" i="1"/>
  <c r="AP123" i="1" s="1"/>
  <c r="AK123" i="1"/>
  <c r="AO70" i="1"/>
  <c r="AP70" i="1" s="1"/>
  <c r="AK70" i="1"/>
  <c r="AO57" i="1"/>
  <c r="AP57" i="1" s="1"/>
  <c r="AK57" i="1"/>
  <c r="AK109" i="1"/>
  <c r="AO109" i="1"/>
  <c r="AP109" i="1" s="1"/>
  <c r="AO81" i="1"/>
  <c r="AP81" i="1" s="1"/>
  <c r="AK81" i="1"/>
  <c r="AO88" i="1"/>
  <c r="AP88" i="1" s="1"/>
  <c r="AK88" i="1"/>
  <c r="AO125" i="1"/>
  <c r="AP125" i="1" s="1"/>
  <c r="AK125" i="1"/>
  <c r="AK66" i="1"/>
  <c r="AO66" i="1"/>
  <c r="AP66" i="1" s="1"/>
  <c r="AO30" i="1"/>
  <c r="AP30" i="1" s="1"/>
  <c r="AK30" i="1"/>
  <c r="AK22" i="1"/>
  <c r="AO22" i="1"/>
  <c r="AP22" i="1" s="1"/>
  <c r="AO46" i="1"/>
  <c r="AP46" i="1" s="1"/>
  <c r="AK46" i="1"/>
  <c r="AO56" i="1"/>
  <c r="AP56" i="1" s="1"/>
  <c r="AK56" i="1"/>
  <c r="AO33" i="1"/>
  <c r="AP33" i="1" s="1"/>
  <c r="AK33" i="1"/>
</calcChain>
</file>

<file path=xl/sharedStrings.xml><?xml version="1.0" encoding="utf-8"?>
<sst xmlns="http://schemas.openxmlformats.org/spreadsheetml/2006/main" count="500" uniqueCount="213">
  <si>
    <t>Arquitectura de precios</t>
  </si>
  <si>
    <t>Fecha</t>
  </si>
  <si>
    <t>Código Cliente</t>
  </si>
  <si>
    <t>Cadena</t>
  </si>
  <si>
    <t>N° Lista</t>
  </si>
  <si>
    <t>( - )</t>
  </si>
  <si>
    <t>( = )</t>
  </si>
  <si>
    <t>Costo</t>
  </si>
  <si>
    <t>Canal</t>
  </si>
  <si>
    <t>Mayoristas del Interior</t>
  </si>
  <si>
    <t>Ing.Brutos</t>
  </si>
  <si>
    <t>Abastos</t>
  </si>
  <si>
    <t>Rec.Neta</t>
  </si>
  <si>
    <t>Costo Marg.</t>
  </si>
  <si>
    <t>Flete</t>
  </si>
  <si>
    <t>Marg.Contrib.</t>
  </si>
  <si>
    <t>MG</t>
  </si>
  <si>
    <t>Fijo</t>
  </si>
  <si>
    <t>MKTG</t>
  </si>
  <si>
    <t>Res.Neto</t>
  </si>
  <si>
    <t>RES</t>
  </si>
  <si>
    <t>$/Cx.</t>
  </si>
  <si>
    <t>$/Cj.</t>
  </si>
  <si>
    <t>%</t>
  </si>
  <si>
    <t>MAY NAC</t>
  </si>
  <si>
    <t>Clase</t>
  </si>
  <si>
    <t>Familia</t>
  </si>
  <si>
    <t>Código</t>
  </si>
  <si>
    <t>Descripción</t>
  </si>
  <si>
    <t>EAN</t>
  </si>
  <si>
    <t>Kg. x Caja</t>
  </si>
  <si>
    <t>Cant. X Caja</t>
  </si>
  <si>
    <t>Precio Público Mayorista</t>
  </si>
  <si>
    <t>Precio Publico Mínimo c/IVA</t>
  </si>
  <si>
    <t>x estuche</t>
  </si>
  <si>
    <t>x kg</t>
  </si>
  <si>
    <t>Precio de Lista</t>
  </si>
  <si>
    <t>Acuerdo  + Escala</t>
  </si>
  <si>
    <t>$ Factura</t>
  </si>
  <si>
    <t>Bonificación en factura</t>
  </si>
  <si>
    <t>Precio de estuche en factura</t>
  </si>
  <si>
    <t>Control precio DUX</t>
  </si>
  <si>
    <t>Variación Vs $fact</t>
  </si>
  <si>
    <t>NNNnet</t>
  </si>
  <si>
    <t>Contratos</t>
  </si>
  <si>
    <t>AUMENTO</t>
  </si>
  <si>
    <t xml:space="preserve">HAMBURGUESAS - ARG                                </t>
  </si>
  <si>
    <t xml:space="preserve">HG1 - SWIFT - ARG                                 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</si>
  <si>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</si>
  <si>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</si>
  <si>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</si>
  <si>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</si>
  <si>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</si>
  <si>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</si>
  <si>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MEDALLONES 30x160g SWIFT RECETA ESPECIAL</t>
  </si>
  <si>
    <t>Hamburguesa Swift Kids 12x4x69g</t>
  </si>
  <si>
    <t>MEDALLON BURGER SWIFT MEGA 30 x 160 g</t>
  </si>
  <si>
    <t>Medallón CAJITA 12x4 69 grs</t>
  </si>
  <si>
    <t>HAMBURGUESA 8X12X69G BURGER SWIFT</t>
  </si>
  <si>
    <t>MEDALLON 42X112G DOBLE BURGER SWIFT</t>
  </si>
  <si>
    <t xml:space="preserve">MEDALLÓN DOBLE BURGER PACK PROMO 4X3 </t>
  </si>
  <si>
    <t>MEDALLON DOBLE BURGER 2X2</t>
  </si>
  <si>
    <t xml:space="preserve">HAMBURGUESA 30X250g CLASICA "XL" SWIFT </t>
  </si>
  <si>
    <t>HAMBURGUESA  CLASICA SWIFT 125g</t>
  </si>
  <si>
    <r>
      <t xml:space="preserve">HAMBURGUESA 24X2X120g </t>
    </r>
    <r>
      <rPr>
        <b/>
        <sz val="9"/>
        <rFont val="Calibri"/>
        <family val="2"/>
        <scheme val="minor"/>
      </rPr>
      <t>CASERA</t>
    </r>
    <r>
      <rPr>
        <sz val="9"/>
        <rFont val="Calibri"/>
        <family val="2"/>
        <scheme val="minor"/>
      </rPr>
      <t xml:space="preserve"> SWIFT</t>
    </r>
  </si>
  <si>
    <t>HAMBURGUESA X-TREMA 36 x 185 grs</t>
  </si>
  <si>
    <t>HAMBURGUESA 30X2X 106grs</t>
  </si>
  <si>
    <t xml:space="preserve">HG4 - EXPORTACION - ARG                           </t>
  </si>
  <si>
    <t xml:space="preserve">HAMBURGUESAS 18X2X120g CLL BRA/ARG </t>
  </si>
  <si>
    <t xml:space="preserve">HG5 - B-BRAND - ARG                               </t>
  </si>
  <si>
    <t>MEDALLON 42X112G LA BLANCA</t>
  </si>
  <si>
    <t>MEDALLON 12x4X69G LA BLANCA</t>
  </si>
  <si>
    <t xml:space="preserve">HG2 - MERCADO CALIENTE - ARG                      </t>
  </si>
  <si>
    <t>MEDALLONES 60X80g "SWIFT BURGER" PARRILLERAS FAMILY</t>
  </si>
  <si>
    <t>MEDALLONES 60X69g "SWIFT BURGER"PARRILLERAS  FAMILY</t>
  </si>
  <si>
    <t>MEDALLON 60X69G CARNE VACUNA</t>
  </si>
  <si>
    <t>MEDALLON 60x80g PARRILLERO MC SWIFT</t>
  </si>
  <si>
    <t>MEDALLON 40X109G CARNE VACUNA PARRILLERO SWIFT</t>
  </si>
  <si>
    <t>MEDALLON 60X109G CARNE VACUNA PARRILLERO SWIFT</t>
  </si>
  <si>
    <t xml:space="preserve">MEDALLON GIGANTE 48x113.5g </t>
  </si>
  <si>
    <t xml:space="preserve">MEDALLON 60x80g PROMOFIESTA  </t>
  </si>
  <si>
    <t xml:space="preserve">HG3 - MARCA PROPIA - ARG                          </t>
  </si>
  <si>
    <t>Hamburguesa Dia 18 X 4</t>
  </si>
  <si>
    <t>Hamburguesa Dia 12 X 12</t>
  </si>
  <si>
    <t>Hamburguesa Dia 6 X 20</t>
  </si>
  <si>
    <t>HAMBURGUESA 18X4X80g "LA ANONIMA"</t>
  </si>
  <si>
    <t>HAMBURGUESA 8X12X80g "LA ANONIMA"</t>
  </si>
  <si>
    <t>HAMBURGUESA 6X20X80g "LA ANONIMA"</t>
  </si>
  <si>
    <t>HAMBURGUESA 36 X 185 GRS</t>
  </si>
  <si>
    <t xml:space="preserve">Hamburguesa 30 x 80gramos. </t>
  </si>
  <si>
    <t>HAMBURGUESA 276 x 55 g GRANEL SWIFT</t>
  </si>
  <si>
    <t xml:space="preserve">MEDALLON 30x80g PROMOFIESTA  </t>
  </si>
  <si>
    <t>MEDALLON 30x80g REC</t>
  </si>
  <si>
    <t>HAMBURGUESA CLÁSICA 78 - 84 x 55gs</t>
  </si>
  <si>
    <t xml:space="preserve">SALCHICHAS - ARG                                  </t>
  </si>
  <si>
    <t xml:space="preserve">SA1 - SWIFT - ARG                                 </t>
  </si>
  <si>
    <t>SALCHICHAS 24X6 SWIFT</t>
  </si>
  <si>
    <t>SALCHICHAS 12X12 SWIFT</t>
  </si>
  <si>
    <t>SALCHICHAS 6X24 SWIFT</t>
  </si>
  <si>
    <t>SALCHICHAS SIN PIEL 24X6 "SWIFT KIDS" X 190 g</t>
  </si>
  <si>
    <t xml:space="preserve">SA2 - MERCADO CALIENTE - ARG                      </t>
  </si>
  <si>
    <t>SALCHICHAS  LARGAS  10 x 12  SWIFT  INSTITUCIONAL</t>
  </si>
  <si>
    <t>SALCHICHAS LARGAS 10 x 12 x 870g</t>
  </si>
  <si>
    <t>SALCHICHAS GASTRONÓMICAS  SWIFT  10X12X720 Grs</t>
  </si>
  <si>
    <t xml:space="preserve">SALCHICHAS CONGELADAS SWIFT 12x12x870g </t>
  </si>
  <si>
    <t xml:space="preserve">SA3 - LA BLANCA - ARG                             </t>
  </si>
  <si>
    <t>SALCHICHAS SIN PIEL "LA BLANCA"  24X6X190 Grs;</t>
  </si>
  <si>
    <t xml:space="preserve">SA4 - MARCA PROPIA - ARG                          </t>
  </si>
  <si>
    <t>SALCHICHAS 24X6 LA ANONIMA</t>
  </si>
  <si>
    <t>SALCHICHAS 12x12 LA ANONIMA</t>
  </si>
  <si>
    <t>SALCHICHAS 6x24 LA ANONIMA</t>
  </si>
  <si>
    <t>Salchichas Dia 20x6</t>
  </si>
  <si>
    <t>SALCHICHAS 12X12 DIA</t>
  </si>
  <si>
    <t>SALCHICHAS 6X24 DIA</t>
  </si>
  <si>
    <t xml:space="preserve">UNTABLES - ARG                                    </t>
  </si>
  <si>
    <t xml:space="preserve">CC1 - PATE Y PICADILLO SWIFT - ARG                </t>
  </si>
  <si>
    <t>PATE DE FOIE 24X90G SWIFT</t>
  </si>
  <si>
    <t xml:space="preserve">PICADILLO DE CARNE 24X90G SWIFT </t>
  </si>
  <si>
    <t>Picadillo de Carne Picante Chile Chipotle 24x90 g</t>
  </si>
  <si>
    <t>Pate de Foie Jalapeño 24x90 Swift</t>
  </si>
  <si>
    <t>PICADILLO DE CARNE PICANTE 24X90G SWIFT</t>
  </si>
  <si>
    <t xml:space="preserve">CC7 - VARIEDADES - ARG                            </t>
  </si>
  <si>
    <t>PATE DE FOIE A LA CREMA 24X88G SWIFT</t>
  </si>
  <si>
    <t>JAMON DEL DIABLO 24X88G SWIFT</t>
  </si>
  <si>
    <t>PATE DE FOIE DE POLLO 24X85G SWIFT</t>
  </si>
  <si>
    <t xml:space="preserve">CC8 - ESPECIALES - ARG                            </t>
  </si>
  <si>
    <t>PATE DE FOIE TIPO PROVENZAL 24X85G SWIFT GOURMET</t>
  </si>
  <si>
    <t>PATE DE FOIE C/PIMIENTA VERDE 24X85G SWIFT GOURMET</t>
  </si>
  <si>
    <t xml:space="preserve">PATE JAMON AHUMADO 24X85G </t>
  </si>
  <si>
    <t>PATE HONGOS 24X85G</t>
  </si>
  <si>
    <t>PATE DE SALMON 24X85G SWIFT GOURMET</t>
  </si>
  <si>
    <t xml:space="preserve">CC3 - LA BLANCA - ARG                             </t>
  </si>
  <si>
    <t>PICADILLO DE CARNE 24X90G LA BLANCA</t>
  </si>
  <si>
    <t>PATE DE FOIE 24X90G LA BLANCA</t>
  </si>
  <si>
    <t xml:space="preserve">CC4 - SAFRA - ARG                                 </t>
  </si>
  <si>
    <t>PICADILLO DE CARNE 24X90G SAFRA</t>
  </si>
  <si>
    <t>PATE DE FOIE 24X90G SAFRA</t>
  </si>
  <si>
    <t>PICADILLO DE CARNE 24X90G SAFRA LICITACION</t>
  </si>
  <si>
    <t xml:space="preserve">CC5 - MARCA PROPIA - ARG                          </t>
  </si>
  <si>
    <t>PATE DE FOIE 24X90G "PRIMER PRECIO"</t>
  </si>
  <si>
    <t>PICADILLO DE CARNE 24X90G "PRIMER PRECIO"</t>
  </si>
  <si>
    <t xml:space="preserve">PICADILLO DE CARNE DIA 24X90G </t>
  </si>
  <si>
    <t xml:space="preserve">PATE  DIA 24X90G </t>
  </si>
  <si>
    <t>PICADILLO DE CARNE 24X90G S&amp;P</t>
  </si>
  <si>
    <t>PATE DE FOIE 24X90G S&amp;P</t>
  </si>
  <si>
    <t>Picadillo San Remo</t>
  </si>
  <si>
    <t>Paté San Remo</t>
  </si>
  <si>
    <t>PICADILLO DE CARNE 24x90 BULNEZ</t>
  </si>
  <si>
    <t>PATE DE FOIE 24x90 BULNEZ</t>
  </si>
  <si>
    <t xml:space="preserve">REBOZADOS DE VEGETALES - ARG                      </t>
  </si>
  <si>
    <t xml:space="preserve">MILANESAS DE SOJA - ARG                           </t>
  </si>
  <si>
    <t>MILANESAS DE  SOJA CON ORÉGANO</t>
  </si>
  <si>
    <t>MILANESAS DE  SOJA CLASICAS PREFRITA</t>
  </si>
  <si>
    <t>MILANESAS DE  SOJA RELLENAS CON JAMON Y QUESO</t>
  </si>
  <si>
    <t>MILANESAS DE  SOJA RELLENAS CON ESPINACA Y QUESO</t>
  </si>
  <si>
    <t>MILANESAS DE  SOJA RELLENAS CON TOMATE Y QUESO</t>
  </si>
  <si>
    <t xml:space="preserve">REBOZADOS DE CARNE - ARG                          </t>
  </si>
  <si>
    <t xml:space="preserve">NUGGETS DE CARNE - ARG                            </t>
  </si>
  <si>
    <t>BOCADITOS DE CARNE "SWIFT" - 12x380g</t>
  </si>
  <si>
    <t xml:space="preserve">NUGGETS DE POLLO - ARG                            </t>
  </si>
  <si>
    <t>BOCADITOS DE POLLO "SWIFT" - 12x380g</t>
  </si>
  <si>
    <t>BOCADITOS DE CARNE "SWIFT" - 10x760g</t>
  </si>
  <si>
    <t/>
  </si>
  <si>
    <t>BOCADITOS DE POLLO "SWIFT" - 10x760g</t>
  </si>
  <si>
    <t>CRUNCHIES DE POLLO "SWIFT" - 12x380g</t>
  </si>
  <si>
    <t>CRUNCHIES DE POLLO "SWIFT" - 10x760g</t>
  </si>
  <si>
    <t>BOCADITOS DE POLLO "SWIFT KIDS" - 12x400g</t>
  </si>
  <si>
    <t>BOCADITOS DE POLLO GASTRONOMICOS "LA BLANCA" - x6kg</t>
  </si>
  <si>
    <t>PALITO DE POLLO "SWIFT"  12 X 260 Grs.</t>
  </si>
  <si>
    <t>PALITO DE POLLO "SWIFT"  8 X 1 Kg..</t>
  </si>
  <si>
    <t>MILANESITAS DE CARNE "SWIFT" - 12x400g</t>
  </si>
  <si>
    <t>MEDALLONES DE POLLO "SWIFT" - 12x4x80g</t>
  </si>
  <si>
    <t>MEDALLONES DE POLLO GASTRONÓMICO  8x12x80 Grs.</t>
  </si>
  <si>
    <t xml:space="preserve">FIAMBRE - ARG                                     </t>
  </si>
  <si>
    <t xml:space="preserve">FI3 - TERCEROS NACIONALES - ARG                   </t>
  </si>
  <si>
    <t>MORTADELA SWIFT 10 x 300g</t>
  </si>
  <si>
    <t xml:space="preserve">PAPAS - ARG                                       </t>
  </si>
  <si>
    <t xml:space="preserve">OUTRAS BATATAS                                    </t>
  </si>
  <si>
    <t>PAPAS PREFRITAS SUPERCONGELADAS 25x400gr</t>
  </si>
  <si>
    <t>PAPAS PREFRITAS SUPERCONGELADAS 6x2000gr</t>
  </si>
  <si>
    <t>MILANESAS DE CARNE - ARG</t>
  </si>
  <si>
    <t>MILANESA DE CARNE VACUNA CONGELADA 24un x 500grs</t>
  </si>
  <si>
    <t>MILANESA DE CARNE VACUNA CONGELADA 12un x 1000grs</t>
  </si>
  <si>
    <t>MILANESAS DE CARNE VACUNA CONG GRANEL 5 kg (CAL GR)</t>
  </si>
  <si>
    <t>GRASA VACUNA REFINADA SWIFT 10 X 500</t>
  </si>
  <si>
    <t>GRASA VACUNA REFINADA SWIFT 12x1Kg</t>
  </si>
  <si>
    <t xml:space="preserve">CHARQUEO - ARG                          </t>
  </si>
  <si>
    <t>CARNE PICADA CONGELADA 36 UN X 500 g SWIFT</t>
  </si>
  <si>
    <t>CARNE PICADA CONGELADA 20 UN X 1 kg SWIFT</t>
  </si>
  <si>
    <t>ENTRAÑA FINA ENF SWIFT</t>
  </si>
  <si>
    <t>ROAST BEEF EN PORCIONES ENF SWIFT (L)</t>
  </si>
  <si>
    <t>CARNAZA CUADRADA EN PORCIONES ENF SWIFT (L)</t>
  </si>
  <si>
    <t>TAPA DE ASADO EN PORCIONES ENF SWIFT (L)</t>
  </si>
  <si>
    <t>VACIO EN PORCIONES NOV ENFRIADO PARA VENTA LOCAL (L)</t>
  </si>
  <si>
    <t>BONDIOLA DE CERDO CONGELADA</t>
  </si>
  <si>
    <t>CHORIZO FRESCO ARG</t>
  </si>
  <si>
    <t>CHORIZO FRESCO DE CERDO</t>
  </si>
  <si>
    <t>CHORIZOS FRESCOS DE CERDO LIBRE DE GLUTEN</t>
  </si>
  <si>
    <t>CHORIZOS FRESCOS DE CERDO CONGELADOS LIBRE DE GLUTEN 12u x 400g</t>
  </si>
  <si>
    <t>CHORIZOS CONGELADOS DE CERDO LIBRE DE GLUTEN SWIFT GRANEL</t>
  </si>
  <si>
    <t>PAPAS PRE COCIDAS SUPERCONGELADAS LIBRES DE GLUTEN 700G</t>
  </si>
  <si>
    <t>PAPAS PREFRITAS SUPERCONGELADAS LIBRES DE GLUTEN 6x2000gr (BR)</t>
  </si>
  <si>
    <t xml:space="preserve">NUGGETS DE VEGETALES - ARG                            </t>
  </si>
  <si>
    <t>NUGGETS DE ESPINACA 300GR</t>
  </si>
  <si>
    <t>NUGGETS DE BRÓCOLI 300GR</t>
  </si>
  <si>
    <t xml:space="preserve">MEDALLONES DE VEGETALES - ARG                            </t>
  </si>
  <si>
    <t>MEDALLÓN DE CALABAZA Y CHOCLO 300GR</t>
  </si>
  <si>
    <t>MEDALLÓN DE ESPINACA 300GR</t>
  </si>
  <si>
    <t>OUTROS</t>
  </si>
  <si>
    <t>LOMO DE ATUN AL NATURAL</t>
  </si>
  <si>
    <t>LOMO DE ATUN AL NATURAL SWIFT 170g</t>
  </si>
  <si>
    <t>LOMO DE ATUN EN ACEITE</t>
  </si>
  <si>
    <t>LOMO DE ATUN EN ACEITE SWIFT 170g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</si>
</sst>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164" formatCode="0.0%"/>
    <numFmt numFmtId="165" formatCode="_ * #,##0.00_ ;_ * \-#,##0.00_ ;_ * &quot;-&quot;??_ ;_ @_ "/>
    <numFmt numFmtId="166" formatCode="#,##0.00_ ;[Red]\-#,##0.00\ "/>
    <numFmt numFmtId="167" formatCode="_ &quot;$&quot;\ * #,##0.00_ ;_ &quot;$&quot;\ * \-#,##0.00_ ;_ &quot;$&quot;\ * &quot;-&quot;??_ ;_ @_ "/>
    <numFmt numFmtId="168" formatCode="_-* #,##0.0000_-;\-* #,##0.0000_-;_-* &quot;-&quot;??_-;_-@_-"/>
    <numFmt numFmtId="169" formatCode="#,##0_ ;[Red]\-#,##0\ "/>
    <numFmt numFmtId="170" formatCode="#,##0.000_ ;[Red]\-#,##0.000\ "/>
    <numFmt numFmtId="171" formatCode="#,##0.0_ ;[Red]\-#,##0.0\ "/>
  </numFmts>
  <fonts count="25" x14ac:knownFonts="1">
    <font>
      <sz val="10"/>
      <name val="Arial"/>
    </font>
    <font>
      <sz val="10"/>
      <name val="Arial"/>
      <family val="2"/>
    </font>
    <font>
      <b/>
      <sz val="12"/>
      <color indexed="9"/>
      <name val="Calibri"/>
      <family val="2"/>
      <scheme val="minor"/>
    </font>
    <font>
      <sz val="10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10"/>
      <color rgb="FFC00000"/>
      <name val="Calibri"/>
      <family val="2"/>
      <scheme val="minor"/>
    </font>
    <font>
      <sz val="9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indexed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indexed="8"/>
      <name val="Calibri"/>
      <family val="2"/>
    </font>
    <font>
      <sz val="10"/>
      <color rgb="FF00B050"/>
      <name val="Calibri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9"/>
      <name val="Calibri"/>
      <family val="2"/>
      <scheme val="minor"/>
    </font>
    <font>
      <b/>
      <sz val="9"/>
      <color theme="2" tint="-0.499984740745262"/>
      <name val="Calibri"/>
      <family val="2"/>
      <scheme val="minor"/>
    </font>
    <font>
      <sz val="10"/>
      <color theme="0"/>
      <name val="Arial"/>
      <family val="2"/>
    </font>
    <font>
      <sz val="9"/>
      <name val="Calibri"/>
      <family val="2"/>
    </font>
    <font>
      <b/>
      <sz val="9"/>
      <color rgb="FF00B050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9"/>
      <color rgb="FFFF0066"/>
      <name val="Calibri"/>
      <family val="2"/>
      <scheme val="minor"/>
    </font>
    <font>
      <b/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</cellStyleXfs>
  <cellXfs count="145">
    <xf numFmtId="0" fontId="0" fillId="0" borderId="0" xfId="0"/>
    <xf numFmtId="0" fontId="3" fillId="0" borderId="0" xfId="5" applyFont="1"/>
    <xf numFmtId="164" fontId="1" fillId="0" borderId="0" xfId="3" applyNumberFormat="1"/>
    <xf numFmtId="0" fontId="4" fillId="0" borderId="0" xfId="5" applyFont="1"/>
    <xf numFmtId="0" fontId="5" fillId="0" borderId="0" xfId="5" applyFont="1"/>
    <xf numFmtId="0" fontId="6" fillId="0" borderId="0" xfId="4" applyFont="1" applyAlignment="1">
      <alignment horizontal="left"/>
    </xf>
    <xf numFmtId="0" fontId="6" fillId="0" borderId="0" xfId="4" applyFont="1" applyAlignment="1">
      <alignment horizontal="center"/>
    </xf>
    <xf numFmtId="0" fontId="3" fillId="0" borderId="0" xfId="5" applyFont="1" applyAlignment="1">
      <alignment horizontal="center"/>
    </xf>
    <xf numFmtId="0" fontId="7" fillId="0" borderId="0" xfId="5" applyFont="1"/>
    <xf numFmtId="164" fontId="8" fillId="0" borderId="0" xfId="3" applyNumberFormat="1" applyFont="1"/>
    <xf numFmtId="164" fontId="3" fillId="0" borderId="0" xfId="5" applyNumberFormat="1" applyFont="1"/>
    <xf numFmtId="0" fontId="9" fillId="2" borderId="1" xfId="4" applyFont="1" applyFill="1" applyBorder="1" applyAlignment="1">
      <alignment horizontal="left" vertical="center"/>
    </xf>
    <xf numFmtId="0" fontId="10" fillId="0" borderId="0" xfId="5" applyFont="1"/>
    <xf numFmtId="165" fontId="3" fillId="0" borderId="0" xfId="1" applyFont="1"/>
    <xf numFmtId="166" fontId="3" fillId="0" borderId="0" xfId="5" applyNumberFormat="1" applyFont="1"/>
    <xf numFmtId="0" fontId="6" fillId="0" borderId="2" xfId="5" applyFont="1" applyBorder="1" applyAlignment="1">
      <alignment horizontal="left"/>
    </xf>
    <xf numFmtId="0" fontId="6" fillId="0" borderId="3" xfId="4" applyFont="1" applyBorder="1" applyAlignment="1">
      <alignment horizontal="center"/>
    </xf>
    <xf numFmtId="165" fontId="11" fillId="0" borderId="0" xfId="1" applyFont="1"/>
    <xf numFmtId="166" fontId="7" fillId="0" borderId="0" xfId="5" applyNumberFormat="1" applyFont="1"/>
    <xf numFmtId="167" fontId="3" fillId="0" borderId="0" xfId="2" applyFont="1"/>
    <xf numFmtId="1" fontId="12" fillId="0" borderId="2" xfId="3" applyNumberFormat="1" applyFont="1" applyBorder="1" applyAlignment="1">
      <alignment horizontal="left"/>
    </xf>
    <xf numFmtId="1" fontId="12" fillId="0" borderId="3" xfId="3" applyNumberFormat="1" applyFont="1" applyBorder="1" applyAlignment="1"/>
    <xf numFmtId="0" fontId="3" fillId="0" borderId="0" xfId="5" applyFont="1" applyAlignment="1">
      <alignment horizontal="left"/>
    </xf>
    <xf numFmtId="168" fontId="7" fillId="0" borderId="0" xfId="5" applyNumberFormat="1" applyFont="1"/>
    <xf numFmtId="164" fontId="3" fillId="0" borderId="0" xfId="3" applyNumberFormat="1" applyFont="1"/>
    <xf numFmtId="0" fontId="1" fillId="0" borderId="0" xfId="6"/>
    <xf numFmtId="0" fontId="1" fillId="3" borderId="0" xfId="6" applyFill="1"/>
    <xf numFmtId="9" fontId="6" fillId="0" borderId="0" xfId="4" applyNumberFormat="1" applyFont="1" applyAlignment="1">
      <alignment horizontal="center"/>
    </xf>
    <xf numFmtId="9" fontId="7" fillId="0" borderId="0" xfId="3" applyFont="1"/>
    <xf numFmtId="0" fontId="14" fillId="0" borderId="0" xfId="5" applyFont="1" applyAlignment="1">
      <alignment horizontal="center"/>
    </xf>
    <xf numFmtId="0" fontId="15" fillId="0" borderId="0" xfId="6" applyFont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9" fillId="2" borderId="1" xfId="4" applyFont="1" applyFill="1" applyBorder="1" applyAlignment="1">
      <alignment horizontal="center" vertical="distributed"/>
    </xf>
    <xf numFmtId="0" fontId="9" fillId="2" borderId="1" xfId="4" applyFont="1" applyFill="1" applyBorder="1" applyAlignment="1">
      <alignment horizontal="center" vertical="center"/>
    </xf>
    <xf numFmtId="164" fontId="8" fillId="0" borderId="0" xfId="3" applyNumberFormat="1" applyFont="1" applyAlignment="1">
      <alignment horizontal="center"/>
    </xf>
    <xf numFmtId="0" fontId="9" fillId="2" borderId="6" xfId="4" applyFont="1" applyFill="1" applyBorder="1" applyAlignment="1">
      <alignment horizontal="center" vertical="center" wrapText="1"/>
    </xf>
    <xf numFmtId="164" fontId="9" fillId="2" borderId="6" xfId="4" applyNumberFormat="1" applyFont="1" applyFill="1" applyBorder="1" applyAlignment="1">
      <alignment horizontal="center" vertical="center" wrapText="1"/>
    </xf>
    <xf numFmtId="0" fontId="9" fillId="2" borderId="6" xfId="4" applyFont="1" applyFill="1" applyBorder="1" applyAlignment="1">
      <alignment horizontal="center" vertical="distributed"/>
    </xf>
    <xf numFmtId="164" fontId="9" fillId="2" borderId="6" xfId="3" applyNumberFormat="1" applyFont="1" applyFill="1" applyBorder="1" applyAlignment="1">
      <alignment horizontal="center" vertical="distributed"/>
    </xf>
    <xf numFmtId="0" fontId="4" fillId="0" borderId="0" xfId="5" applyFont="1" applyAlignment="1">
      <alignment horizontal="center"/>
    </xf>
    <xf numFmtId="0" fontId="5" fillId="0" borderId="0" xfId="5" applyFont="1" applyAlignment="1">
      <alignment horizontal="center"/>
    </xf>
    <xf numFmtId="164" fontId="1" fillId="0" borderId="0" xfId="7" applyNumberFormat="1" applyFill="1" applyAlignment="1">
      <alignment horizontal="center"/>
    </xf>
    <xf numFmtId="0" fontId="1" fillId="0" borderId="0" xfId="6" applyAlignment="1">
      <alignment horizontal="center"/>
    </xf>
    <xf numFmtId="0" fontId="16" fillId="4" borderId="7" xfId="6" applyFont="1" applyFill="1" applyBorder="1" applyAlignment="1">
      <alignment horizontal="center" vertical="center"/>
    </xf>
    <xf numFmtId="164" fontId="16" fillId="4" borderId="8" xfId="3" applyNumberFormat="1" applyFont="1" applyFill="1" applyBorder="1" applyAlignment="1">
      <alignment horizontal="center" vertical="center"/>
    </xf>
    <xf numFmtId="0" fontId="17" fillId="5" borderId="2" xfId="4" applyFont="1" applyFill="1" applyBorder="1" applyAlignment="1" applyProtection="1">
      <alignment horizontal="left" vertical="center"/>
      <protection hidden="1"/>
    </xf>
    <xf numFmtId="0" fontId="17" fillId="5" borderId="9" xfId="4" applyFont="1" applyFill="1" applyBorder="1" applyAlignment="1" applyProtection="1">
      <alignment horizontal="left" vertical="center"/>
      <protection hidden="1"/>
    </xf>
    <xf numFmtId="0" fontId="17" fillId="5" borderId="9" xfId="4" applyFont="1" applyFill="1" applyBorder="1" applyAlignment="1" applyProtection="1">
      <alignment horizontal="center" vertical="center"/>
      <protection hidden="1"/>
    </xf>
    <xf numFmtId="0" fontId="17" fillId="5" borderId="9" xfId="4" applyFont="1" applyFill="1" applyBorder="1" applyAlignment="1" applyProtection="1">
      <alignment vertical="center"/>
      <protection hidden="1"/>
    </xf>
    <xf numFmtId="0" fontId="17" fillId="5" borderId="3" xfId="4" applyFont="1" applyFill="1" applyBorder="1" applyAlignment="1" applyProtection="1">
      <alignment vertical="center"/>
      <protection hidden="1"/>
    </xf>
    <xf numFmtId="0" fontId="17" fillId="5" borderId="2" xfId="4" applyFont="1" applyFill="1" applyBorder="1" applyAlignment="1" applyProtection="1">
      <alignment vertical="center"/>
      <protection hidden="1"/>
    </xf>
    <xf numFmtId="0" fontId="18" fillId="5" borderId="3" xfId="4" applyFont="1" applyFill="1" applyBorder="1" applyAlignment="1" applyProtection="1">
      <alignment vertical="center"/>
      <protection hidden="1"/>
    </xf>
    <xf numFmtId="164" fontId="17" fillId="5" borderId="9" xfId="4" applyNumberFormat="1" applyFont="1" applyFill="1" applyBorder="1" applyAlignment="1" applyProtection="1">
      <alignment vertical="center"/>
      <protection hidden="1"/>
    </xf>
    <xf numFmtId="16" fontId="17" fillId="5" borderId="2" xfId="4" applyNumberFormat="1" applyFont="1" applyFill="1" applyBorder="1" applyAlignment="1" applyProtection="1">
      <alignment vertical="center"/>
      <protection hidden="1"/>
    </xf>
    <xf numFmtId="164" fontId="17" fillId="5" borderId="9" xfId="3" applyNumberFormat="1" applyFont="1" applyFill="1" applyBorder="1" applyAlignment="1" applyProtection="1">
      <alignment vertical="center"/>
      <protection hidden="1"/>
    </xf>
    <xf numFmtId="2" fontId="1" fillId="0" borderId="0" xfId="6" applyNumberFormat="1"/>
    <xf numFmtId="9" fontId="16" fillId="0" borderId="0" xfId="3" applyFont="1" applyBorder="1"/>
    <xf numFmtId="0" fontId="8" fillId="0" borderId="0" xfId="5" applyFont="1"/>
    <xf numFmtId="9" fontId="19" fillId="0" borderId="0" xfId="3" applyFont="1" applyBorder="1"/>
    <xf numFmtId="0" fontId="17" fillId="5" borderId="7" xfId="4" applyFont="1" applyFill="1" applyBorder="1" applyAlignment="1" applyProtection="1">
      <alignment vertical="center"/>
      <protection hidden="1"/>
    </xf>
    <xf numFmtId="164" fontId="17" fillId="5" borderId="8" xfId="3" applyNumberFormat="1" applyFont="1" applyFill="1" applyBorder="1" applyAlignment="1" applyProtection="1">
      <alignment horizontal="center" vertical="center"/>
      <protection hidden="1"/>
    </xf>
    <xf numFmtId="0" fontId="20" fillId="0" borderId="1" xfId="4" applyFont="1" applyBorder="1" applyAlignment="1">
      <alignment horizontal="left"/>
    </xf>
    <xf numFmtId="0" fontId="6" fillId="0" borderId="1" xfId="8" applyFont="1" applyBorder="1" applyAlignment="1">
      <alignment horizontal="center"/>
    </xf>
    <xf numFmtId="0" fontId="6" fillId="0" borderId="1" xfId="8" applyFont="1" applyBorder="1"/>
    <xf numFmtId="1" fontId="6" fillId="0" borderId="1" xfId="4" applyNumberFormat="1" applyFont="1" applyBorder="1" applyAlignment="1">
      <alignment horizontal="center"/>
    </xf>
    <xf numFmtId="166" fontId="17" fillId="0" borderId="1" xfId="4" applyNumberFormat="1" applyFont="1" applyBorder="1" applyAlignment="1">
      <alignment horizontal="center"/>
    </xf>
    <xf numFmtId="169" fontId="17" fillId="0" borderId="1" xfId="4" applyNumberFormat="1" applyFont="1" applyBorder="1" applyAlignment="1">
      <alignment horizontal="center"/>
    </xf>
    <xf numFmtId="166" fontId="17" fillId="0" borderId="10" xfId="4" applyNumberFormat="1" applyFont="1" applyBorder="1" applyAlignment="1">
      <alignment horizontal="center"/>
    </xf>
    <xf numFmtId="166" fontId="21" fillId="0" borderId="10" xfId="4" applyNumberFormat="1" applyFont="1" applyBorder="1" applyAlignment="1">
      <alignment horizontal="center"/>
    </xf>
    <xf numFmtId="164" fontId="17" fillId="0" borderId="10" xfId="3" applyNumberFormat="1" applyFont="1" applyFill="1" applyBorder="1" applyAlignment="1">
      <alignment horizontal="center"/>
    </xf>
    <xf numFmtId="165" fontId="17" fillId="0" borderId="10" xfId="1" applyFont="1" applyFill="1" applyBorder="1" applyAlignment="1">
      <alignment horizontal="center"/>
    </xf>
    <xf numFmtId="166" fontId="0" fillId="0" borderId="0" xfId="0" applyNumberFormat="1"/>
    <xf numFmtId="164" fontId="17" fillId="0" borderId="1" xfId="3" applyNumberFormat="1" applyFont="1" applyFill="1" applyBorder="1" applyAlignment="1">
      <alignment horizontal="center"/>
    </xf>
    <xf numFmtId="10" fontId="4" fillId="0" borderId="0" xfId="3" applyNumberFormat="1" applyFont="1" applyFill="1"/>
    <xf numFmtId="165" fontId="22" fillId="0" borderId="0" xfId="1" applyFont="1" applyFill="1"/>
    <xf numFmtId="167" fontId="5" fillId="0" borderId="0" xfId="2" applyFont="1"/>
    <xf numFmtId="9" fontId="1" fillId="0" borderId="0" xfId="3" applyFont="1" applyBorder="1"/>
    <xf numFmtId="8" fontId="1" fillId="0" borderId="11" xfId="6" applyNumberFormat="1" applyBorder="1"/>
    <xf numFmtId="164" fontId="1" fillId="0" borderId="12" xfId="3" applyNumberFormat="1" applyBorder="1" applyAlignment="1">
      <alignment horizontal="center"/>
    </xf>
    <xf numFmtId="166" fontId="4" fillId="0" borderId="0" xfId="5" applyNumberFormat="1" applyFont="1"/>
    <xf numFmtId="0" fontId="6" fillId="0" borderId="1" xfId="8" applyFont="1" applyFill="1" applyBorder="1" applyAlignment="1">
      <alignment horizontal="center"/>
    </xf>
    <xf numFmtId="165" fontId="17" fillId="0" borderId="1" xfId="1" applyFont="1" applyFill="1" applyBorder="1" applyAlignment="1">
      <alignment horizontal="center"/>
    </xf>
    <xf numFmtId="0" fontId="6" fillId="0" borderId="1" xfId="4" applyFont="1" applyBorder="1" applyAlignment="1">
      <alignment horizontal="center"/>
    </xf>
    <xf numFmtId="0" fontId="6" fillId="0" borderId="1" xfId="4" applyFont="1" applyBorder="1" applyAlignment="1">
      <alignment horizontal="left"/>
    </xf>
    <xf numFmtId="166" fontId="17" fillId="0" borderId="1" xfId="9" applyNumberFormat="1" applyFont="1" applyBorder="1" applyAlignment="1">
      <alignment horizontal="center"/>
    </xf>
    <xf numFmtId="169" fontId="17" fillId="0" borderId="1" xfId="9" applyNumberFormat="1" applyFont="1" applyBorder="1" applyAlignment="1">
      <alignment horizontal="center"/>
    </xf>
    <xf numFmtId="0" fontId="6" fillId="6" borderId="1" xfId="4" applyFont="1" applyFill="1" applyBorder="1" applyAlignment="1">
      <alignment horizontal="center"/>
    </xf>
    <xf numFmtId="0" fontId="6" fillId="6" borderId="1" xfId="8" applyFont="1" applyFill="1" applyBorder="1"/>
    <xf numFmtId="1" fontId="6" fillId="6" borderId="1" xfId="4" applyNumberFormat="1" applyFont="1" applyFill="1" applyBorder="1" applyAlignment="1">
      <alignment horizontal="center"/>
    </xf>
    <xf numFmtId="166" fontId="17" fillId="6" borderId="1" xfId="9" applyNumberFormat="1" applyFont="1" applyFill="1" applyBorder="1" applyAlignment="1">
      <alignment horizontal="center"/>
    </xf>
    <xf numFmtId="169" fontId="17" fillId="6" borderId="1" xfId="9" applyNumberFormat="1" applyFont="1" applyFill="1" applyBorder="1" applyAlignment="1">
      <alignment horizontal="center"/>
    </xf>
    <xf numFmtId="0" fontId="3" fillId="6" borderId="0" xfId="5" applyFont="1" applyFill="1"/>
    <xf numFmtId="166" fontId="17" fillId="6" borderId="1" xfId="4" applyNumberFormat="1" applyFont="1" applyFill="1" applyBorder="1" applyAlignment="1">
      <alignment horizontal="center"/>
    </xf>
    <xf numFmtId="164" fontId="8" fillId="6" borderId="0" xfId="3" applyNumberFormat="1" applyFont="1" applyFill="1"/>
    <xf numFmtId="164" fontId="17" fillId="6" borderId="10" xfId="3" applyNumberFormat="1" applyFont="1" applyFill="1" applyBorder="1" applyAlignment="1">
      <alignment horizontal="center"/>
    </xf>
    <xf numFmtId="164" fontId="17" fillId="6" borderId="1" xfId="3" applyNumberFormat="1" applyFont="1" applyFill="1" applyBorder="1" applyAlignment="1">
      <alignment horizontal="center"/>
    </xf>
    <xf numFmtId="166" fontId="17" fillId="3" borderId="1" xfId="4" applyNumberFormat="1" applyFont="1" applyFill="1" applyBorder="1" applyAlignment="1">
      <alignment horizontal="center"/>
    </xf>
    <xf numFmtId="164" fontId="17" fillId="3" borderId="1" xfId="3" applyNumberFormat="1" applyFont="1" applyFill="1" applyBorder="1" applyAlignment="1">
      <alignment horizontal="center"/>
    </xf>
    <xf numFmtId="0" fontId="20" fillId="0" borderId="2" xfId="4" applyFont="1" applyBorder="1" applyAlignment="1">
      <alignment horizontal="left"/>
    </xf>
    <xf numFmtId="0" fontId="20" fillId="0" borderId="9" xfId="4" applyFont="1" applyBorder="1" applyAlignment="1">
      <alignment horizontal="left"/>
    </xf>
    <xf numFmtId="0" fontId="6" fillId="0" borderId="9" xfId="4" applyFont="1" applyBorder="1" applyAlignment="1">
      <alignment horizontal="center"/>
    </xf>
    <xf numFmtId="0" fontId="6" fillId="0" borderId="9" xfId="4" applyFont="1" applyBorder="1" applyAlignment="1">
      <alignment horizontal="left"/>
    </xf>
    <xf numFmtId="1" fontId="6" fillId="0" borderId="9" xfId="4" applyNumberFormat="1" applyFont="1" applyBorder="1" applyAlignment="1">
      <alignment horizontal="center"/>
    </xf>
    <xf numFmtId="166" fontId="17" fillId="0" borderId="9" xfId="4" applyNumberFormat="1" applyFont="1" applyBorder="1" applyAlignment="1">
      <alignment horizontal="center"/>
    </xf>
    <xf numFmtId="169" fontId="17" fillId="0" borderId="3" xfId="4" applyNumberFormat="1" applyFont="1" applyBorder="1" applyAlignment="1">
      <alignment horizontal="center"/>
    </xf>
    <xf numFmtId="166" fontId="17" fillId="0" borderId="2" xfId="4" applyNumberFormat="1" applyFont="1" applyBorder="1" applyAlignment="1">
      <alignment horizontal="center"/>
    </xf>
    <xf numFmtId="166" fontId="17" fillId="0" borderId="3" xfId="4" applyNumberFormat="1" applyFont="1" applyBorder="1" applyAlignment="1">
      <alignment horizontal="center"/>
    </xf>
    <xf numFmtId="166" fontId="21" fillId="0" borderId="13" xfId="4" applyNumberFormat="1" applyFont="1" applyBorder="1" applyAlignment="1">
      <alignment horizontal="center"/>
    </xf>
    <xf numFmtId="164" fontId="17" fillId="0" borderId="9" xfId="3" applyNumberFormat="1" applyFont="1" applyFill="1" applyBorder="1" applyAlignment="1">
      <alignment horizontal="center"/>
    </xf>
    <xf numFmtId="169" fontId="17" fillId="5" borderId="3" xfId="4" applyNumberFormat="1" applyFont="1" applyFill="1" applyBorder="1" applyAlignment="1" applyProtection="1">
      <alignment vertical="center"/>
      <protection hidden="1"/>
    </xf>
    <xf numFmtId="0" fontId="17" fillId="5" borderId="11" xfId="4" applyFont="1" applyFill="1" applyBorder="1" applyAlignment="1" applyProtection="1">
      <alignment vertical="center"/>
      <protection hidden="1"/>
    </xf>
    <xf numFmtId="164" fontId="17" fillId="5" borderId="12" xfId="3" applyNumberFormat="1" applyFont="1" applyFill="1" applyBorder="1" applyAlignment="1" applyProtection="1">
      <alignment horizontal="center" vertical="center"/>
      <protection hidden="1"/>
    </xf>
    <xf numFmtId="10" fontId="3" fillId="0" borderId="0" xfId="3" applyNumberFormat="1" applyFont="1"/>
    <xf numFmtId="170" fontId="17" fillId="0" borderId="1" xfId="4" applyNumberFormat="1" applyFont="1" applyBorder="1" applyAlignment="1">
      <alignment horizontal="center"/>
    </xf>
    <xf numFmtId="164" fontId="10" fillId="0" borderId="0" xfId="3" applyNumberFormat="1" applyFont="1"/>
    <xf numFmtId="166" fontId="23" fillId="0" borderId="1" xfId="4" applyNumberFormat="1" applyFont="1" applyBorder="1" applyAlignment="1">
      <alignment horizontal="center"/>
    </xf>
    <xf numFmtId="0" fontId="6" fillId="0" borderId="2" xfId="4" applyFont="1" applyBorder="1" applyAlignment="1">
      <alignment horizontal="left"/>
    </xf>
    <xf numFmtId="164" fontId="10" fillId="0" borderId="0" xfId="3" applyNumberFormat="1" applyFont="1" applyFill="1"/>
    <xf numFmtId="0" fontId="20" fillId="0" borderId="1" xfId="4" applyFont="1" applyBorder="1" applyAlignment="1">
      <alignment horizontal="center"/>
    </xf>
    <xf numFmtId="1" fontId="20" fillId="0" borderId="1" xfId="4" applyNumberFormat="1" applyFont="1" applyBorder="1" applyAlignment="1">
      <alignment horizontal="center"/>
    </xf>
    <xf numFmtId="166" fontId="24" fillId="0" borderId="1" xfId="4" applyNumberFormat="1" applyFont="1" applyBorder="1" applyAlignment="1">
      <alignment horizontal="center"/>
    </xf>
    <xf numFmtId="169" fontId="24" fillId="0" borderId="1" xfId="4" applyNumberFormat="1" applyFont="1" applyBorder="1" applyAlignment="1">
      <alignment horizontal="center"/>
    </xf>
    <xf numFmtId="0" fontId="1" fillId="0" borderId="0" xfId="5"/>
    <xf numFmtId="164" fontId="24" fillId="0" borderId="1" xfId="3" applyNumberFormat="1" applyFont="1" applyFill="1" applyBorder="1" applyAlignment="1">
      <alignment horizontal="center"/>
    </xf>
    <xf numFmtId="164" fontId="8" fillId="0" borderId="0" xfId="3" applyNumberFormat="1" applyFont="1" applyFill="1"/>
    <xf numFmtId="1" fontId="20" fillId="0" borderId="14" xfId="4" applyNumberFormat="1" applyFont="1" applyBorder="1" applyAlignment="1">
      <alignment horizontal="left"/>
    </xf>
    <xf numFmtId="2" fontId="19" fillId="0" borderId="0" xfId="6" applyNumberFormat="1" applyFont="1"/>
    <xf numFmtId="165" fontId="4" fillId="0" borderId="0" xfId="1" applyFont="1"/>
    <xf numFmtId="9" fontId="8" fillId="0" borderId="0" xfId="3" applyFont="1" applyFill="1"/>
    <xf numFmtId="0" fontId="21" fillId="5" borderId="9" xfId="4" applyFont="1" applyFill="1" applyBorder="1" applyAlignment="1" applyProtection="1">
      <alignment vertical="center"/>
      <protection hidden="1"/>
    </xf>
    <xf numFmtId="10" fontId="17" fillId="5" borderId="9" xfId="3" applyNumberFormat="1" applyFont="1" applyFill="1" applyBorder="1" applyAlignment="1" applyProtection="1">
      <alignment vertical="center"/>
      <protection hidden="1"/>
    </xf>
    <xf numFmtId="171" fontId="17" fillId="0" borderId="1" xfId="4" applyNumberFormat="1" applyFont="1" applyBorder="1" applyAlignment="1">
      <alignment horizontal="center"/>
    </xf>
    <xf numFmtId="0" fontId="20" fillId="0" borderId="9" xfId="4" applyFont="1" applyBorder="1" applyAlignment="1">
      <alignment horizontal="center"/>
    </xf>
    <xf numFmtId="1" fontId="20" fillId="0" borderId="9" xfId="4" applyNumberFormat="1" applyFont="1" applyBorder="1" applyAlignment="1">
      <alignment horizontal="center"/>
    </xf>
    <xf numFmtId="171" fontId="17" fillId="0" borderId="9" xfId="4" applyNumberFormat="1" applyFont="1" applyBorder="1" applyAlignment="1">
      <alignment horizontal="center"/>
    </xf>
    <xf numFmtId="167" fontId="0" fillId="0" borderId="0" xfId="2" applyFont="1" applyFill="1"/>
    <xf numFmtId="9" fontId="10" fillId="0" borderId="0" xfId="3" applyFont="1" applyFill="1"/>
    <xf numFmtId="8" fontId="1" fillId="0" borderId="15" xfId="6" applyNumberFormat="1" applyBorder="1"/>
    <xf numFmtId="164" fontId="1" fillId="0" borderId="16" xfId="3" applyNumberFormat="1" applyBorder="1" applyAlignment="1">
      <alignment horizontal="center"/>
    </xf>
    <xf numFmtId="0" fontId="14" fillId="0" borderId="0" xfId="5" applyFont="1"/>
    <xf numFmtId="0" fontId="2" fillId="2" borderId="0" xfId="4" applyFont="1" applyFill="1" applyAlignment="1">
      <alignment horizontal="center" vertical="center"/>
    </xf>
    <xf numFmtId="14" fontId="6" fillId="0" borderId="2" xfId="4" applyNumberFormat="1" applyFont="1" applyBorder="1" applyAlignment="1">
      <alignment horizontal="center"/>
    </xf>
    <xf numFmtId="14" fontId="6" fillId="0" borderId="3" xfId="4" applyNumberFormat="1" applyFont="1" applyBorder="1" applyAlignment="1">
      <alignment horizontal="center"/>
    </xf>
    <xf numFmtId="9" fontId="13" fillId="0" borderId="4" xfId="3" applyFont="1" applyBorder="1" applyAlignment="1">
      <alignment horizontal="center"/>
    </xf>
    <xf numFmtId="9" fontId="13" fillId="0" borderId="5" xfId="3" applyFont="1" applyBorder="1" applyAlignment="1">
      <alignment horizontal="center"/>
    </xf>
  </cellXfs>
  <cellStyles count="10">
    <cellStyle name="Millares" xfId="1" builtinId="3"/>
    <cellStyle name="Moneda" xfId="2" builtinId="4"/>
    <cellStyle name="Normal" xfId="0" builtinId="0"/>
    <cellStyle name="Normal 2" xfId="6" xr:uid="{C8C7A046-F699-41B6-B876-CDBE76577620}"/>
    <cellStyle name="Normal 3" xfId="8" xr:uid="{4BAD47CD-56C3-431A-82D8-B07F71FD8247}"/>
    <cellStyle name="Normal_ARQUITECTURA DE PRECIOS 1 0" xfId="4" xr:uid="{8A9C0387-33EC-4F75-BE28-57869B0A2579}"/>
    <cellStyle name="Normal_ARQUITECTURA DE PRECIOS 1 0 2" xfId="9" xr:uid="{7400E3D5-E529-4F96-B9E8-F43AF67F1A74}"/>
    <cellStyle name="Normal_Precio públicos al 01-03" xfId="5" xr:uid="{5D972075-1A9E-4491-BEC2-6DD9480E621C}"/>
    <cellStyle name="Porcentaje" xfId="3" builtinId="5"/>
    <cellStyle name="Porcentaje 3" xfId="7" xr:uid="{52022701-811D-46D7-AB2B-127B82D14B1E}"/>
  </cellStyles>
  <dxfs count="222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strike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 val="0"/>
        <i val="0"/>
        <color theme="0"/>
      </font>
    </dxf>
    <dxf>
      <font>
        <color theme="0"/>
      </font>
    </dxf>
    <dxf>
      <font>
        <b/>
        <i val="0"/>
        <color rgb="FFFF0000"/>
      </font>
    </dxf>
    <dxf>
      <font>
        <b val="0"/>
        <i val="0"/>
        <color theme="0"/>
      </font>
    </dxf>
    <dxf>
      <font>
        <b/>
        <i val="0"/>
        <color rgb="FFFF0000"/>
      </font>
    </dxf>
    <dxf>
      <font>
        <color theme="0"/>
      </font>
    </dxf>
    <dxf>
      <font>
        <b val="0"/>
        <i val="0"/>
        <color theme="0"/>
      </font>
    </dxf>
    <dxf>
      <font>
        <color theme="0"/>
      </font>
    </dxf>
    <dxf>
      <font>
        <b/>
        <i val="0"/>
        <color rgb="FFFF0000"/>
      </font>
    </dxf>
    <dxf>
      <font>
        <b val="0"/>
        <i val="0"/>
        <color theme="0"/>
      </font>
    </dxf>
    <dxf>
      <font>
        <color theme="0"/>
      </font>
    </dxf>
    <dxf>
      <font>
        <b/>
        <i val="0"/>
        <color rgb="FFFF000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1060-ABC5-4BF6-92BB-57CCE56CD11F}">
  <sheetPr>
    <tabColor rgb="FF0070C0"/>
    <pageSetUpPr fitToPage="1"/>
  </sheetPr>
  <dimension ref="A1:AV218"/>
  <sheetViews>
    <sheetView showGridLines="0" tabSelected="1" topLeftCell="D5" zoomScaleNormal="100" zoomScalePageLayoutView="80" workbookViewId="0">
      <selection activeCell="N138" sqref="N138"/>
    </sheetView>
  </sheetViews>
  <sheetFormatPr baseColWidth="10" defaultColWidth="9.140625" defaultRowHeight="12.75" outlineLevelCol="1" x14ac:dyDescent="0.2"/>
  <cols>
    <col min="1" max="1" width="13.42578125" style="22" customWidth="1"/>
    <col min="2" max="2" width="15.42578125" style="22" customWidth="1"/>
    <col min="3" max="3" width="14.5703125" style="7" customWidth="1"/>
    <col min="4" max="4" width="31.7109375" style="1" customWidth="1"/>
    <col min="5" max="5" width="13.42578125" style="7" customWidth="1"/>
    <col min="6" max="6" width="6.85546875" style="1" customWidth="1"/>
    <col min="7" max="7" width="6.140625" style="1" customWidth="1"/>
    <col min="8" max="8" width="3" style="1" customWidth="1"/>
    <col min="9" max="9" width="11.7109375" style="1" bestFit="1" customWidth="1"/>
    <col min="10" max="10" width="11.7109375" style="8" bestFit="1" customWidth="1"/>
    <col min="11" max="11" width="7.28515625" style="9" customWidth="1"/>
    <col min="12" max="12" width="7.7109375" style="1" customWidth="1"/>
    <col min="13" max="13" width="9.28515625" style="1" customWidth="1"/>
    <col min="14" max="14" width="13.28515625" style="139" bestFit="1" customWidth="1"/>
    <col min="15" max="15" width="7" style="10" customWidth="1"/>
    <col min="16" max="16" width="8.28515625" style="1" customWidth="1"/>
    <col min="17" max="17" width="6.140625" style="10" customWidth="1"/>
    <col min="18" max="18" width="8.140625" style="1" customWidth="1"/>
    <col min="19" max="19" width="8.42578125" style="1" customWidth="1"/>
    <col min="20" max="20" width="9.5703125" style="1" bestFit="1" customWidth="1"/>
    <col min="21" max="21" width="7.85546875" style="1" customWidth="1"/>
    <col min="22" max="22" width="11.140625" style="1" customWidth="1"/>
    <col min="23" max="23" width="8.140625" style="2" bestFit="1" customWidth="1"/>
    <col min="24" max="24" width="8.140625" style="1" bestFit="1" customWidth="1"/>
    <col min="25" max="25" width="9.28515625" style="3" bestFit="1" customWidth="1" collapsed="1"/>
    <col min="26" max="26" width="10.28515625" style="1" customWidth="1"/>
    <col min="27" max="27" width="3.28515625" style="4" customWidth="1"/>
    <col min="28" max="28" width="6.140625" style="1" hidden="1" customWidth="1"/>
    <col min="29" max="29" width="4.28515625" style="1" hidden="1" customWidth="1"/>
    <col min="30" max="30" width="10" style="1" hidden="1" customWidth="1" outlineLevel="1"/>
    <col min="31" max="31" width="8.28515625" style="1" hidden="1" customWidth="1" outlineLevel="1"/>
    <col min="32" max="32" width="3.7109375" style="1" hidden="1" customWidth="1" outlineLevel="1"/>
    <col min="33" max="33" width="9.28515625" style="1" hidden="1" customWidth="1" outlineLevel="1"/>
    <col min="34" max="34" width="11.5703125" style="1" hidden="1" customWidth="1" outlineLevel="1"/>
    <col min="35" max="35" width="7.7109375" style="1" hidden="1" customWidth="1" outlineLevel="1"/>
    <col min="36" max="36" width="12.7109375" style="1" hidden="1" customWidth="1" outlineLevel="1"/>
    <col min="37" max="37" width="8.5703125" style="1" customWidth="1" collapsed="1"/>
    <col min="38" max="38" width="3.7109375" style="1" hidden="1" customWidth="1" outlineLevel="1"/>
    <col min="39" max="40" width="7.7109375" style="1" hidden="1" customWidth="1" outlineLevel="1"/>
    <col min="41" max="41" width="9.28515625" style="1" hidden="1" customWidth="1" outlineLevel="1"/>
    <col min="42" max="42" width="8.42578125" style="1" customWidth="1" collapsed="1"/>
    <col min="43" max="43" width="8.42578125" style="1" customWidth="1"/>
    <col min="44" max="44" width="16.42578125" style="1" bestFit="1" customWidth="1"/>
    <col min="45" max="46" width="9.140625" style="1" customWidth="1"/>
    <col min="47" max="16384" width="9.140625" style="1"/>
  </cols>
  <sheetData>
    <row r="1" spans="1:48" ht="27" customHeight="1" x14ac:dyDescent="0.2">
      <c r="A1" s="140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</row>
    <row r="2" spans="1:48" ht="11.25" customHeight="1" x14ac:dyDescent="0.2">
      <c r="A2" s="5"/>
      <c r="B2" s="5"/>
      <c r="C2" s="6"/>
      <c r="N2" s="1"/>
    </row>
    <row r="3" spans="1:48" x14ac:dyDescent="0.2">
      <c r="A3" s="11" t="s">
        <v>1</v>
      </c>
      <c r="B3" s="141">
        <f ca="1">++TODAY()</f>
        <v>46062</v>
      </c>
      <c r="C3" s="142"/>
      <c r="N3" s="12"/>
      <c r="O3" s="13"/>
    </row>
    <row r="4" spans="1:48" x14ac:dyDescent="0.2">
      <c r="A4" s="5" t="s">
        <v>2</v>
      </c>
      <c r="B4" s="5"/>
      <c r="C4" s="6"/>
      <c r="N4" s="1"/>
      <c r="O4" s="13"/>
      <c r="T4" s="14"/>
    </row>
    <row r="5" spans="1:48" x14ac:dyDescent="0.2">
      <c r="A5" s="11" t="s">
        <v>3</v>
      </c>
      <c r="B5" s="15"/>
      <c r="C5" s="16"/>
      <c r="I5" s="17"/>
      <c r="J5" s="18"/>
      <c r="N5" s="1">
        <v>1.0840000000000001</v>
      </c>
      <c r="O5" s="19"/>
      <c r="Q5" s="19"/>
    </row>
    <row r="6" spans="1:48" x14ac:dyDescent="0.2">
      <c r="A6" s="11" t="s">
        <v>4</v>
      </c>
      <c r="B6" s="20">
        <v>325103862</v>
      </c>
      <c r="C6" s="21"/>
      <c r="D6" s="22"/>
      <c r="J6" s="23"/>
      <c r="N6" s="1"/>
      <c r="T6" s="24"/>
      <c r="AD6" s="25" t="s">
        <v>5</v>
      </c>
      <c r="AE6" s="25" t="s">
        <v>5</v>
      </c>
      <c r="AF6" s="25"/>
      <c r="AG6" s="25" t="s">
        <v>6</v>
      </c>
      <c r="AH6" s="25" t="s">
        <v>5</v>
      </c>
      <c r="AI6" s="25" t="s">
        <v>5</v>
      </c>
      <c r="AJ6" s="25" t="s">
        <v>6</v>
      </c>
      <c r="AK6" s="25"/>
      <c r="AL6" s="25"/>
      <c r="AM6" s="25" t="s">
        <v>7</v>
      </c>
      <c r="AN6" s="25" t="s">
        <v>7</v>
      </c>
      <c r="AO6" s="25" t="s">
        <v>6</v>
      </c>
      <c r="AP6" s="25"/>
      <c r="AQ6" s="25"/>
      <c r="AR6" s="25"/>
      <c r="AS6" s="25"/>
    </row>
    <row r="7" spans="1:48" x14ac:dyDescent="0.2">
      <c r="A7" s="11" t="s">
        <v>8</v>
      </c>
      <c r="B7" s="143" t="s">
        <v>9</v>
      </c>
      <c r="C7" s="144"/>
      <c r="D7" s="6"/>
      <c r="E7" s="6"/>
      <c r="N7" s="1"/>
      <c r="AD7" s="25" t="s">
        <v>10</v>
      </c>
      <c r="AE7" s="25" t="s">
        <v>11</v>
      </c>
      <c r="AF7" s="25"/>
      <c r="AG7" s="25" t="s">
        <v>12</v>
      </c>
      <c r="AH7" s="26" t="s">
        <v>13</v>
      </c>
      <c r="AI7" s="26" t="s">
        <v>14</v>
      </c>
      <c r="AJ7" s="25" t="s">
        <v>15</v>
      </c>
      <c r="AK7" s="25" t="s">
        <v>16</v>
      </c>
      <c r="AL7" s="25"/>
      <c r="AM7" s="26" t="s">
        <v>17</v>
      </c>
      <c r="AN7" s="26" t="s">
        <v>18</v>
      </c>
      <c r="AO7" s="25" t="s">
        <v>19</v>
      </c>
      <c r="AP7" s="25" t="s">
        <v>20</v>
      </c>
      <c r="AQ7" s="25"/>
      <c r="AR7" s="25"/>
      <c r="AS7" s="25"/>
    </row>
    <row r="8" spans="1:48" ht="13.5" thickBot="1" x14ac:dyDescent="0.25">
      <c r="B8" s="5"/>
      <c r="C8" s="27"/>
      <c r="D8" s="27"/>
      <c r="E8" s="27"/>
      <c r="J8" s="28"/>
      <c r="N8" s="29"/>
      <c r="AD8" s="25" t="s">
        <v>21</v>
      </c>
      <c r="AE8" s="25" t="s">
        <v>21</v>
      </c>
      <c r="AF8" s="25"/>
      <c r="AG8" s="25" t="s">
        <v>22</v>
      </c>
      <c r="AH8" s="25" t="s">
        <v>22</v>
      </c>
      <c r="AI8" s="25" t="s">
        <v>21</v>
      </c>
      <c r="AJ8" s="25" t="s">
        <v>22</v>
      </c>
      <c r="AK8" s="25" t="s">
        <v>23</v>
      </c>
      <c r="AL8" s="25"/>
      <c r="AM8" s="25" t="s">
        <v>22</v>
      </c>
      <c r="AN8" s="25" t="s">
        <v>22</v>
      </c>
      <c r="AO8" s="25" t="s">
        <v>22</v>
      </c>
      <c r="AP8" s="25" t="s">
        <v>23</v>
      </c>
      <c r="AQ8" s="25"/>
      <c r="AR8" s="30" t="s">
        <v>24</v>
      </c>
      <c r="AS8" s="31">
        <f>+IF(AR8="SPM",3,+IF(AR8="MAY NAC",4,+IF(AR8="DIST",5)))</f>
        <v>4</v>
      </c>
    </row>
    <row r="9" spans="1:48" s="7" customFormat="1" ht="34.5" customHeight="1" thickBot="1" x14ac:dyDescent="0.25">
      <c r="A9" s="32" t="s">
        <v>25</v>
      </c>
      <c r="B9" s="32" t="s">
        <v>26</v>
      </c>
      <c r="C9" s="32" t="s">
        <v>27</v>
      </c>
      <c r="D9" s="33" t="s">
        <v>28</v>
      </c>
      <c r="E9" s="32" t="s">
        <v>29</v>
      </c>
      <c r="F9" s="32" t="s">
        <v>30</v>
      </c>
      <c r="G9" s="32" t="s">
        <v>31</v>
      </c>
      <c r="I9" s="32" t="s">
        <v>32</v>
      </c>
      <c r="J9" s="32" t="s">
        <v>33</v>
      </c>
      <c r="K9" s="34"/>
      <c r="L9" s="35" t="s">
        <v>34</v>
      </c>
      <c r="M9" s="35" t="s">
        <v>35</v>
      </c>
      <c r="N9" s="35" t="s">
        <v>36</v>
      </c>
      <c r="O9" s="36" t="s">
        <v>37</v>
      </c>
      <c r="P9" s="35" t="s">
        <v>38</v>
      </c>
      <c r="Q9" s="36" t="s">
        <v>39</v>
      </c>
      <c r="R9" s="35" t="s">
        <v>36</v>
      </c>
      <c r="S9" s="35" t="s">
        <v>40</v>
      </c>
      <c r="V9" s="37" t="s">
        <v>41</v>
      </c>
      <c r="W9" s="38" t="s">
        <v>42</v>
      </c>
      <c r="X9" s="37" t="s">
        <v>43</v>
      </c>
      <c r="Y9" s="39" t="s">
        <v>44</v>
      </c>
      <c r="Z9" s="37" t="s">
        <v>43</v>
      </c>
      <c r="AA9" s="40"/>
      <c r="AD9" s="41">
        <v>0.02</v>
      </c>
      <c r="AE9" s="42">
        <v>-0.93</v>
      </c>
      <c r="AF9" s="42"/>
      <c r="AG9" s="42"/>
      <c r="AH9" s="42"/>
      <c r="AI9" s="42"/>
      <c r="AJ9" s="42"/>
      <c r="AK9" s="42" t="s">
        <v>16</v>
      </c>
      <c r="AL9" s="42"/>
      <c r="AM9" s="42"/>
      <c r="AN9" s="42"/>
      <c r="AO9" s="42"/>
      <c r="AP9" s="42" t="s">
        <v>20</v>
      </c>
      <c r="AQ9" s="42"/>
      <c r="AR9" s="43" t="s">
        <v>45</v>
      </c>
      <c r="AS9" s="44" t="s">
        <v>23</v>
      </c>
    </row>
    <row r="10" spans="1:48" x14ac:dyDescent="0.2">
      <c r="A10" s="45"/>
      <c r="B10" s="46"/>
      <c r="C10" s="47"/>
      <c r="D10" s="48"/>
      <c r="E10" s="47"/>
      <c r="F10" s="48"/>
      <c r="G10" s="49"/>
      <c r="I10" s="50"/>
      <c r="J10" s="51"/>
      <c r="L10" s="50"/>
      <c r="M10" s="48"/>
      <c r="N10" s="48"/>
      <c r="O10" s="52"/>
      <c r="P10" s="48"/>
      <c r="Q10" s="52"/>
      <c r="R10" s="48"/>
      <c r="S10" s="49"/>
      <c r="U10"/>
      <c r="V10" s="53">
        <v>46051</v>
      </c>
      <c r="W10" s="54"/>
      <c r="X10" s="49"/>
      <c r="AD10" s="55"/>
      <c r="AE10" s="55"/>
      <c r="AF10" s="55"/>
      <c r="AG10" s="55"/>
      <c r="AH10" s="55"/>
      <c r="AI10" s="55"/>
      <c r="AJ10" s="55"/>
      <c r="AK10" s="56" t="e">
        <f t="shared" ref="AK10:AK18" si="0">AJ10/$AG10</f>
        <v>#DIV/0!</v>
      </c>
      <c r="AL10" s="57"/>
      <c r="AM10" s="57"/>
      <c r="AN10" s="57"/>
      <c r="AO10" s="57"/>
      <c r="AP10" s="58" t="e">
        <f t="shared" ref="AP10:AP18" si="1">AO10/$AG10</f>
        <v>#DIV/0!</v>
      </c>
      <c r="AQ10" s="58"/>
      <c r="AR10" s="59"/>
      <c r="AS10" s="60"/>
    </row>
    <row r="11" spans="1:48" s="3" customFormat="1" x14ac:dyDescent="0.2">
      <c r="A11" s="61" t="s">
        <v>46</v>
      </c>
      <c r="B11" s="61" t="s">
        <v>47</v>
      </c>
      <c r="C11" s="62">
        <v>100021632</v>
      </c>
      <c r="D11" s="63" t="s">
        <v>48</v>
      </c>
      <c r="E11" s="64">
        <v>7790360026606</v>
      </c>
      <c r="F11" s="65">
        <v>4.8</v>
      </c>
      <c r="G11" s="66">
        <v>30</v>
      </c>
      <c r="I11" s="65">
        <f t="shared" ref="I11:I48" si="2">IFERROR(L11*1.35*1.21,)</f>
        <v>3132.2368465542008</v>
      </c>
      <c r="J11" s="65">
        <f>+I11*0.9</f>
        <v>2819.0131618987807</v>
      </c>
      <c r="K11" s="9">
        <f t="shared" ref="K11:K48" si="3">IFERROR(((I11/1.21)-L11)/(I11/1.21),)</f>
        <v>0.25925925925925936</v>
      </c>
      <c r="L11" s="67">
        <f t="shared" ref="L11:L48" si="4">+IF(ISERROR(N11/G11),"",(N11/G11))</f>
        <v>1917.5003652000003</v>
      </c>
      <c r="M11" s="67">
        <f t="shared" ref="M11:M16" si="5">+N11/F11</f>
        <v>11984.377282500001</v>
      </c>
      <c r="N11" s="68">
        <v>57525.010956000006</v>
      </c>
      <c r="O11" s="69"/>
      <c r="P11" s="67">
        <f t="shared" ref="P11:P48" si="6">+IF(ISERROR(N11/(1-O11)),"",(N11/(1-O11)))</f>
        <v>57525.010956000006</v>
      </c>
      <c r="Q11" s="70"/>
      <c r="R11" s="67">
        <f t="shared" ref="R11:R48" si="7">+IF(ISERROR(P11/(1-Q11)),"",(P11/(1-Q11)))</f>
        <v>57525.010956000006</v>
      </c>
      <c r="S11" s="67">
        <f t="shared" ref="S11:S48" si="8">+IF(ISERROR(R11/G11),"",(R11/G11))</f>
        <v>1917.5003652000003</v>
      </c>
      <c r="T11" s="14"/>
      <c r="U11" s="71"/>
      <c r="V11" s="67">
        <v>54785.73</v>
      </c>
      <c r="W11" s="72">
        <f t="shared" ref="W11:W48" si="9">+IF(ISERROR(N11/V11-1),"",(N11/V11-1))</f>
        <v>4.9999898805765719E-2</v>
      </c>
      <c r="X11" s="67">
        <f t="shared" ref="X11:X28" si="10">+IF(ISERROR(V11*(1-O11)),"",(V11*(1-O11)))</f>
        <v>54785.73</v>
      </c>
      <c r="Y11" s="73">
        <v>0</v>
      </c>
      <c r="Z11" s="74">
        <f t="shared" ref="Z11:Z18" si="11">+N11*(1-Y11)</f>
        <v>57525.010956000006</v>
      </c>
      <c r="AA11" s="75"/>
      <c r="AB11" s="1"/>
      <c r="AD11" s="55">
        <f t="shared" ref="AD11:AD18" si="12">-IFERROR(N11*AD$9,)</f>
        <v>-1150.5002191200001</v>
      </c>
      <c r="AE11" s="55">
        <f t="shared" ref="AE11:AE18" si="13">$AE$9*F11</f>
        <v>-4.4640000000000004</v>
      </c>
      <c r="AF11" s="55"/>
      <c r="AG11" s="55">
        <f t="shared" ref="AG11:AG18" si="14">+Z11+AD11+AE11</f>
        <v>56370.046736880009</v>
      </c>
      <c r="AH11" s="55">
        <v>-19092.021153174519</v>
      </c>
      <c r="AI11" s="55">
        <v>-1352.2756551156431</v>
      </c>
      <c r="AJ11" s="55">
        <f t="shared" ref="AJ11:AJ18" si="15">AG11+AH11+AI11</f>
        <v>35925.749928589845</v>
      </c>
      <c r="AK11" s="76">
        <f t="shared" si="0"/>
        <v>0.63731985350804199</v>
      </c>
      <c r="AL11" s="55"/>
      <c r="AM11" s="55">
        <v>-3175.6270343133651</v>
      </c>
      <c r="AN11" s="55">
        <v>-1224.838790628155</v>
      </c>
      <c r="AO11" s="55">
        <f t="shared" ref="AO11:AO18" si="16">+AJ11+AM11+AN11</f>
        <v>31525.284103648322</v>
      </c>
      <c r="AP11" s="76">
        <f t="shared" si="1"/>
        <v>0.55925595114014615</v>
      </c>
      <c r="AQ11" s="76"/>
      <c r="AR11" s="77">
        <f t="shared" ref="AR11:AR74" si="17">+IFERROR(N11*(1+AS11),"")</f>
        <v>60401.261503800008</v>
      </c>
      <c r="AS11" s="78">
        <v>0.05</v>
      </c>
      <c r="AV11" s="79"/>
    </row>
    <row r="12" spans="1:48" x14ac:dyDescent="0.2">
      <c r="A12" s="61" t="s">
        <v>46</v>
      </c>
      <c r="B12" s="61" t="s">
        <v>47</v>
      </c>
      <c r="C12" s="80">
        <v>100021652</v>
      </c>
      <c r="D12" s="63" t="s">
        <v>49</v>
      </c>
      <c r="E12" s="64">
        <v>7790360026576</v>
      </c>
      <c r="F12" s="65">
        <v>5.76</v>
      </c>
      <c r="G12" s="66">
        <v>18</v>
      </c>
      <c r="I12" s="65">
        <f t="shared" si="2"/>
        <v>7285.5102639486759</v>
      </c>
      <c r="J12" s="65">
        <f t="shared" ref="J12:J47" si="18">+I12*0.9</f>
        <v>6556.9592375538086</v>
      </c>
      <c r="K12" s="9">
        <f t="shared" si="3"/>
        <v>0.2592592592592593</v>
      </c>
      <c r="L12" s="65">
        <f t="shared" si="4"/>
        <v>4460.0613798277782</v>
      </c>
      <c r="M12" s="65">
        <f t="shared" si="5"/>
        <v>13937.691811961808</v>
      </c>
      <c r="N12" s="68">
        <v>80281.104836900005</v>
      </c>
      <c r="O12" s="69"/>
      <c r="P12" s="65">
        <f t="shared" si="6"/>
        <v>80281.104836900005</v>
      </c>
      <c r="Q12" s="81"/>
      <c r="R12" s="65">
        <f t="shared" si="7"/>
        <v>80281.104836900005</v>
      </c>
      <c r="S12" s="65">
        <f t="shared" si="8"/>
        <v>4460.0613798277782</v>
      </c>
      <c r="T12" s="14"/>
      <c r="U12" s="71"/>
      <c r="V12" s="67">
        <v>72982.820000000007</v>
      </c>
      <c r="W12" s="72">
        <f t="shared" si="9"/>
        <v>0.10000003887079179</v>
      </c>
      <c r="X12" s="65">
        <f t="shared" si="10"/>
        <v>72982.820000000007</v>
      </c>
      <c r="Y12" s="73">
        <v>0</v>
      </c>
      <c r="Z12" s="74">
        <f t="shared" si="11"/>
        <v>80281.104836900005</v>
      </c>
      <c r="AA12" s="75"/>
      <c r="AC12" s="3"/>
      <c r="AD12" s="55">
        <f t="shared" si="12"/>
        <v>-1605.6220967380002</v>
      </c>
      <c r="AE12" s="55">
        <f t="shared" si="13"/>
        <v>-5.3567999999999998</v>
      </c>
      <c r="AF12" s="55"/>
      <c r="AG12" s="55">
        <f t="shared" si="14"/>
        <v>78670.125940162005</v>
      </c>
      <c r="AH12" s="55">
        <v>-23962.484222322229</v>
      </c>
      <c r="AI12" s="55">
        <v>-2316.295549528897</v>
      </c>
      <c r="AJ12" s="55">
        <f t="shared" si="15"/>
        <v>52391.346168310876</v>
      </c>
      <c r="AK12" s="76">
        <f t="shared" si="0"/>
        <v>0.66596240367227488</v>
      </c>
      <c r="AL12" s="55"/>
      <c r="AM12" s="55">
        <v>-3655.0881880345632</v>
      </c>
      <c r="AN12" s="55">
        <v>-1469.8065487537865</v>
      </c>
      <c r="AO12" s="55">
        <f t="shared" si="16"/>
        <v>47266.451431522524</v>
      </c>
      <c r="AP12" s="76">
        <f t="shared" si="1"/>
        <v>0.60081830131394842</v>
      </c>
      <c r="AQ12" s="76"/>
      <c r="AR12" s="77">
        <f t="shared" si="17"/>
        <v>84295.160078745015</v>
      </c>
      <c r="AS12" s="78">
        <v>0.05</v>
      </c>
      <c r="AT12" s="3"/>
      <c r="AU12" s="3"/>
      <c r="AV12" s="79"/>
    </row>
    <row r="13" spans="1:48" x14ac:dyDescent="0.2">
      <c r="A13" s="61" t="s">
        <v>46</v>
      </c>
      <c r="B13" s="61" t="s">
        <v>47</v>
      </c>
      <c r="C13" s="80">
        <v>100021631</v>
      </c>
      <c r="D13" s="63" t="s">
        <v>50</v>
      </c>
      <c r="E13" s="64">
        <v>7790360026590</v>
      </c>
      <c r="F13" s="65">
        <v>7.68</v>
      </c>
      <c r="G13" s="66">
        <v>8</v>
      </c>
      <c r="I13" s="65">
        <f t="shared" si="2"/>
        <v>21126.32299791709</v>
      </c>
      <c r="J13" s="65">
        <f t="shared" si="18"/>
        <v>19013.690698125381</v>
      </c>
      <c r="K13" s="9">
        <f t="shared" si="3"/>
        <v>0.2592592592592593</v>
      </c>
      <c r="L13" s="65">
        <f t="shared" si="4"/>
        <v>12933.163757525002</v>
      </c>
      <c r="M13" s="65">
        <f t="shared" si="5"/>
        <v>13472.045580755212</v>
      </c>
      <c r="N13" s="68">
        <v>103465.31006020002</v>
      </c>
      <c r="O13" s="69"/>
      <c r="P13" s="65">
        <f t="shared" si="6"/>
        <v>103465.31006020002</v>
      </c>
      <c r="Q13" s="81"/>
      <c r="R13" s="65">
        <f t="shared" si="7"/>
        <v>103465.31006020002</v>
      </c>
      <c r="S13" s="65">
        <f t="shared" si="8"/>
        <v>12933.163757525002</v>
      </c>
      <c r="T13" s="14"/>
      <c r="U13" s="71"/>
      <c r="V13" s="67">
        <v>94059.38</v>
      </c>
      <c r="W13" s="72">
        <f t="shared" si="9"/>
        <v>9.9999915587366317E-2</v>
      </c>
      <c r="X13" s="65">
        <f t="shared" si="10"/>
        <v>94059.38</v>
      </c>
      <c r="Y13" s="73">
        <v>0</v>
      </c>
      <c r="Z13" s="74">
        <f t="shared" si="11"/>
        <v>103465.31006020002</v>
      </c>
      <c r="AA13" s="75"/>
      <c r="AC13" s="3"/>
      <c r="AD13" s="55">
        <f t="shared" si="12"/>
        <v>-2069.3062012040004</v>
      </c>
      <c r="AE13" s="55">
        <f t="shared" si="13"/>
        <v>-7.1424000000000003</v>
      </c>
      <c r="AF13" s="55"/>
      <c r="AG13" s="55">
        <f t="shared" si="14"/>
        <v>101388.86145899602</v>
      </c>
      <c r="AH13" s="55">
        <v>-33029.436032793325</v>
      </c>
      <c r="AI13" s="55">
        <v>-2839.0342807588981</v>
      </c>
      <c r="AJ13" s="55">
        <f t="shared" si="15"/>
        <v>65520.391145443798</v>
      </c>
      <c r="AK13" s="76">
        <f t="shared" si="0"/>
        <v>0.64622869023873741</v>
      </c>
      <c r="AL13" s="55"/>
      <c r="AM13" s="55">
        <v>-5081.003254901384</v>
      </c>
      <c r="AN13" s="55">
        <v>-1959.7420650050483</v>
      </c>
      <c r="AO13" s="55">
        <f t="shared" si="16"/>
        <v>58479.645825537365</v>
      </c>
      <c r="AP13" s="76">
        <f t="shared" si="1"/>
        <v>0.57678570391273087</v>
      </c>
      <c r="AQ13" s="76"/>
      <c r="AR13" s="77">
        <f t="shared" si="17"/>
        <v>108638.57556321002</v>
      </c>
      <c r="AS13" s="78">
        <v>0.05</v>
      </c>
      <c r="AT13" s="3"/>
      <c r="AU13" s="3"/>
      <c r="AV13" s="79"/>
    </row>
    <row r="14" spans="1:48" x14ac:dyDescent="0.2">
      <c r="A14" s="61" t="s">
        <v>46</v>
      </c>
      <c r="B14" s="61" t="s">
        <v>47</v>
      </c>
      <c r="C14" s="80">
        <v>100021630</v>
      </c>
      <c r="D14" s="63" t="s">
        <v>51</v>
      </c>
      <c r="E14" s="64">
        <v>7790360026583</v>
      </c>
      <c r="F14" s="65">
        <v>9.6</v>
      </c>
      <c r="G14" s="66">
        <v>6</v>
      </c>
      <c r="I14" s="65">
        <f t="shared" si="2"/>
        <v>35210.530387036131</v>
      </c>
      <c r="J14" s="65">
        <f t="shared" si="18"/>
        <v>31689.477348332519</v>
      </c>
      <c r="K14" s="9">
        <f t="shared" si="3"/>
        <v>0.2592592592592593</v>
      </c>
      <c r="L14" s="65">
        <f t="shared" si="4"/>
        <v>21555.268066750003</v>
      </c>
      <c r="M14" s="65">
        <f t="shared" si="5"/>
        <v>13472.042541718753</v>
      </c>
      <c r="N14" s="68">
        <v>129331.60840050002</v>
      </c>
      <c r="O14" s="69"/>
      <c r="P14" s="65">
        <f t="shared" si="6"/>
        <v>129331.60840050002</v>
      </c>
      <c r="Q14" s="81"/>
      <c r="R14" s="65">
        <f t="shared" si="7"/>
        <v>129331.60840050002</v>
      </c>
      <c r="S14" s="65">
        <f t="shared" si="8"/>
        <v>21555.268066750003</v>
      </c>
      <c r="T14" s="14"/>
      <c r="U14" s="71"/>
      <c r="V14" s="67">
        <v>117574.19</v>
      </c>
      <c r="W14" s="72">
        <f t="shared" si="9"/>
        <v>9.9999994901091904E-2</v>
      </c>
      <c r="X14" s="65">
        <f t="shared" si="10"/>
        <v>117574.19</v>
      </c>
      <c r="Y14" s="73">
        <v>0</v>
      </c>
      <c r="Z14" s="74">
        <f t="shared" si="11"/>
        <v>129331.60840050002</v>
      </c>
      <c r="AA14" s="75"/>
      <c r="AC14" s="3"/>
      <c r="AD14" s="55">
        <f t="shared" si="12"/>
        <v>-2586.6321680100004</v>
      </c>
      <c r="AE14" s="55">
        <f t="shared" si="13"/>
        <v>-8.9280000000000008</v>
      </c>
      <c r="AF14" s="55"/>
      <c r="AG14" s="55">
        <f t="shared" si="14"/>
        <v>126736.04823249002</v>
      </c>
      <c r="AH14" s="55">
        <v>-40203.833591251947</v>
      </c>
      <c r="AI14" s="55">
        <v>-3096.4900954771856</v>
      </c>
      <c r="AJ14" s="55">
        <f t="shared" si="15"/>
        <v>83435.724545760881</v>
      </c>
      <c r="AK14" s="76">
        <f t="shared" si="0"/>
        <v>0.65834248194880451</v>
      </c>
      <c r="AL14" s="55"/>
      <c r="AM14" s="55">
        <v>-6351.2540686267303</v>
      </c>
      <c r="AN14" s="55">
        <v>-2449.6775812563105</v>
      </c>
      <c r="AO14" s="55">
        <f t="shared" si="16"/>
        <v>74634.792895877836</v>
      </c>
      <c r="AP14" s="76">
        <f t="shared" si="1"/>
        <v>0.58889947995667802</v>
      </c>
      <c r="AQ14" s="76"/>
      <c r="AR14" s="77">
        <f t="shared" si="17"/>
        <v>135798.18882052501</v>
      </c>
      <c r="AS14" s="78">
        <v>0.05</v>
      </c>
      <c r="AT14" s="3"/>
      <c r="AU14" s="3"/>
      <c r="AV14" s="79"/>
    </row>
    <row r="15" spans="1:48" x14ac:dyDescent="0.2">
      <c r="A15" s="61" t="s">
        <v>46</v>
      </c>
      <c r="B15" s="61" t="s">
        <v>47</v>
      </c>
      <c r="C15" s="82">
        <v>100021653</v>
      </c>
      <c r="D15" s="83" t="s">
        <v>52</v>
      </c>
      <c r="E15" s="64">
        <v>7790360026682</v>
      </c>
      <c r="F15" s="65">
        <v>5.76</v>
      </c>
      <c r="G15" s="66">
        <v>18</v>
      </c>
      <c r="I15" s="65">
        <f t="shared" si="2"/>
        <v>6568.1488111800008</v>
      </c>
      <c r="J15" s="65">
        <f t="shared" si="18"/>
        <v>5911.3339300620009</v>
      </c>
      <c r="K15" s="9">
        <f t="shared" si="3"/>
        <v>0.2592592592592593</v>
      </c>
      <c r="L15" s="65">
        <f t="shared" si="4"/>
        <v>4020.9053022222224</v>
      </c>
      <c r="M15" s="65">
        <f t="shared" si="5"/>
        <v>12565.329069444446</v>
      </c>
      <c r="N15" s="68">
        <v>72376.295440000002</v>
      </c>
      <c r="O15" s="69"/>
      <c r="P15" s="65">
        <f t="shared" si="6"/>
        <v>72376.295440000002</v>
      </c>
      <c r="Q15" s="81"/>
      <c r="R15" s="65">
        <f t="shared" si="7"/>
        <v>72376.295440000002</v>
      </c>
      <c r="S15" s="65">
        <f t="shared" si="8"/>
        <v>4020.9053022222224</v>
      </c>
      <c r="T15" s="14"/>
      <c r="U15" s="71"/>
      <c r="V15" s="67">
        <v>72376.3</v>
      </c>
      <c r="W15" s="72">
        <f t="shared" si="9"/>
        <v>-6.300404964409978E-8</v>
      </c>
      <c r="X15" s="65">
        <f t="shared" si="10"/>
        <v>72376.3</v>
      </c>
      <c r="Y15" s="73">
        <v>0</v>
      </c>
      <c r="Z15" s="74">
        <f t="shared" si="11"/>
        <v>72376.295440000002</v>
      </c>
      <c r="AA15" s="75"/>
      <c r="AC15" s="3"/>
      <c r="AD15" s="55">
        <f t="shared" si="12"/>
        <v>-1447.5259088</v>
      </c>
      <c r="AE15" s="55">
        <f t="shared" si="13"/>
        <v>-5.3567999999999998</v>
      </c>
      <c r="AF15" s="55"/>
      <c r="AG15" s="55">
        <f t="shared" si="14"/>
        <v>70923.412731200006</v>
      </c>
      <c r="AH15" s="55">
        <v>-22512.27719890865</v>
      </c>
      <c r="AI15" s="55">
        <v>-2006.4282318155617</v>
      </c>
      <c r="AJ15" s="55">
        <f t="shared" si="15"/>
        <v>46404.707300475799</v>
      </c>
      <c r="AK15" s="76">
        <f t="shared" si="0"/>
        <v>0.65429320887800213</v>
      </c>
      <c r="AL15" s="55"/>
      <c r="AM15" s="55">
        <v>-3655.0881880345632</v>
      </c>
      <c r="AN15" s="55">
        <v>-1469.8065487537863</v>
      </c>
      <c r="AO15" s="55">
        <f t="shared" si="16"/>
        <v>41279.812563687447</v>
      </c>
      <c r="AP15" s="76">
        <f t="shared" si="1"/>
        <v>0.58203364691626003</v>
      </c>
      <c r="AQ15" s="76"/>
      <c r="AR15" s="77">
        <f t="shared" si="17"/>
        <v>75995.110212</v>
      </c>
      <c r="AS15" s="78">
        <v>0.05</v>
      </c>
      <c r="AT15" s="3"/>
      <c r="AU15" s="3"/>
      <c r="AV15" s="79"/>
    </row>
    <row r="16" spans="1:48" x14ac:dyDescent="0.2">
      <c r="A16" s="61" t="s">
        <v>46</v>
      </c>
      <c r="B16" s="61" t="s">
        <v>47</v>
      </c>
      <c r="C16" s="82">
        <v>100516169</v>
      </c>
      <c r="D16" s="63" t="s">
        <v>53</v>
      </c>
      <c r="E16" s="64">
        <v>7790360967961</v>
      </c>
      <c r="F16" s="84">
        <v>5.76</v>
      </c>
      <c r="G16" s="85">
        <v>18</v>
      </c>
      <c r="I16" s="65">
        <f t="shared" si="2"/>
        <v>5761.72286541225</v>
      </c>
      <c r="J16" s="65">
        <f t="shared" si="18"/>
        <v>5185.5505788710252</v>
      </c>
      <c r="K16" s="9">
        <f t="shared" si="3"/>
        <v>0.2592592592592593</v>
      </c>
      <c r="L16" s="65">
        <f t="shared" si="4"/>
        <v>3527.2255068333334</v>
      </c>
      <c r="M16" s="65">
        <f t="shared" si="5"/>
        <v>11022.579708854168</v>
      </c>
      <c r="N16" s="68">
        <v>63490.059122999999</v>
      </c>
      <c r="O16" s="69"/>
      <c r="P16" s="65">
        <f t="shared" si="6"/>
        <v>63490.059122999999</v>
      </c>
      <c r="Q16" s="72"/>
      <c r="R16" s="65">
        <f t="shared" si="7"/>
        <v>63490.059122999999</v>
      </c>
      <c r="S16" s="65">
        <f t="shared" si="8"/>
        <v>3527.2255068333334</v>
      </c>
      <c r="T16" s="14"/>
      <c r="U16" s="71"/>
      <c r="V16" s="67">
        <v>63490.06</v>
      </c>
      <c r="W16" s="72">
        <f t="shared" si="9"/>
        <v>-1.3813185817390661E-8</v>
      </c>
      <c r="X16" s="65">
        <f t="shared" si="10"/>
        <v>63490.06</v>
      </c>
      <c r="Y16" s="73">
        <v>0</v>
      </c>
      <c r="Z16" s="74">
        <f t="shared" si="11"/>
        <v>63490.059122999999</v>
      </c>
      <c r="AA16" s="75"/>
      <c r="AC16" s="3"/>
      <c r="AD16" s="55">
        <f t="shared" si="12"/>
        <v>-1269.8011824600001</v>
      </c>
      <c r="AE16" s="55">
        <f t="shared" si="13"/>
        <v>-5.3567999999999998</v>
      </c>
      <c r="AF16" s="55"/>
      <c r="AG16" s="55">
        <f t="shared" si="14"/>
        <v>62214.901140539994</v>
      </c>
      <c r="AH16" s="55">
        <v>-27678.685773416197</v>
      </c>
      <c r="AI16" s="55">
        <v>-1815.3231463244922</v>
      </c>
      <c r="AJ16" s="55">
        <f t="shared" si="15"/>
        <v>32720.892220799306</v>
      </c>
      <c r="AK16" s="76">
        <f t="shared" si="0"/>
        <v>0.52593336356646514</v>
      </c>
      <c r="AL16" s="55"/>
      <c r="AM16" s="55">
        <v>-3655.0881880345632</v>
      </c>
      <c r="AN16" s="55">
        <v>-1469.8065487537863</v>
      </c>
      <c r="AO16" s="55">
        <f t="shared" si="16"/>
        <v>27595.997484010957</v>
      </c>
      <c r="AP16" s="76">
        <f t="shared" si="1"/>
        <v>0.44355929171490827</v>
      </c>
      <c r="AQ16" s="76"/>
      <c r="AR16" s="77">
        <f t="shared" si="17"/>
        <v>66664.562079149997</v>
      </c>
      <c r="AS16" s="78">
        <v>0.05</v>
      </c>
      <c r="AT16" s="3"/>
      <c r="AU16" s="3"/>
      <c r="AV16" s="79"/>
    </row>
    <row r="17" spans="1:48" x14ac:dyDescent="0.2">
      <c r="A17" s="61" t="s">
        <v>46</v>
      </c>
      <c r="B17" s="61" t="s">
        <v>47</v>
      </c>
      <c r="C17" s="82">
        <v>100516170</v>
      </c>
      <c r="D17" s="63" t="s">
        <v>54</v>
      </c>
      <c r="E17" s="64">
        <v>7790360967954</v>
      </c>
      <c r="F17" s="84">
        <v>4.8</v>
      </c>
      <c r="G17" s="85">
        <v>30</v>
      </c>
      <c r="I17" s="65">
        <f t="shared" si="2"/>
        <v>0</v>
      </c>
      <c r="J17" s="65">
        <f t="shared" si="18"/>
        <v>0</v>
      </c>
      <c r="K17" s="9">
        <f t="shared" si="3"/>
        <v>0</v>
      </c>
      <c r="L17" s="65">
        <f t="shared" si="4"/>
        <v>0</v>
      </c>
      <c r="M17" s="65"/>
      <c r="N17" s="68">
        <v>0</v>
      </c>
      <c r="O17" s="69"/>
      <c r="P17" s="65">
        <f t="shared" si="6"/>
        <v>0</v>
      </c>
      <c r="Q17" s="72"/>
      <c r="R17" s="65">
        <f t="shared" si="7"/>
        <v>0</v>
      </c>
      <c r="S17" s="65">
        <f t="shared" si="8"/>
        <v>0</v>
      </c>
      <c r="T17" s="14"/>
      <c r="U17" s="71"/>
      <c r="V17" s="67" t="s">
        <v>162</v>
      </c>
      <c r="W17" s="72" t="str">
        <f t="shared" si="9"/>
        <v/>
      </c>
      <c r="X17" s="65" t="str">
        <f t="shared" si="10"/>
        <v/>
      </c>
      <c r="Y17" s="73">
        <v>0</v>
      </c>
      <c r="Z17" s="74">
        <f t="shared" si="11"/>
        <v>0</v>
      </c>
      <c r="AA17" s="75"/>
      <c r="AC17" s="3"/>
      <c r="AD17" s="55">
        <f t="shared" si="12"/>
        <v>0</v>
      </c>
      <c r="AE17" s="55">
        <f t="shared" si="13"/>
        <v>-4.4640000000000004</v>
      </c>
      <c r="AF17" s="55"/>
      <c r="AG17" s="55">
        <f t="shared" si="14"/>
        <v>-4.4640000000000004</v>
      </c>
      <c r="AH17" s="55" t="e">
        <v>#N/A</v>
      </c>
      <c r="AI17" s="55" t="e">
        <v>#N/A</v>
      </c>
      <c r="AJ17" s="55" t="e">
        <f t="shared" si="15"/>
        <v>#N/A</v>
      </c>
      <c r="AK17" s="76" t="e">
        <f t="shared" si="0"/>
        <v>#N/A</v>
      </c>
      <c r="AL17" s="55"/>
      <c r="AM17" s="55" t="e">
        <v>#N/A</v>
      </c>
      <c r="AN17" s="55" t="e">
        <v>#N/A</v>
      </c>
      <c r="AO17" s="55" t="e">
        <f t="shared" si="16"/>
        <v>#N/A</v>
      </c>
      <c r="AP17" s="76" t="e">
        <f t="shared" si="1"/>
        <v>#N/A</v>
      </c>
      <c r="AQ17" s="76"/>
      <c r="AR17" s="77">
        <f t="shared" si="17"/>
        <v>0</v>
      </c>
      <c r="AS17" s="78">
        <v>0.05</v>
      </c>
      <c r="AT17" s="3"/>
      <c r="AU17" s="3"/>
      <c r="AV17" s="79"/>
    </row>
    <row r="18" spans="1:48" x14ac:dyDescent="0.2">
      <c r="A18" s="61" t="s">
        <v>46</v>
      </c>
      <c r="B18" s="61" t="s">
        <v>47</v>
      </c>
      <c r="C18" s="82">
        <v>100517438</v>
      </c>
      <c r="D18" s="63" t="s">
        <v>55</v>
      </c>
      <c r="E18" s="64">
        <v>7790360972149</v>
      </c>
      <c r="F18" s="84">
        <v>3.3119999999999998</v>
      </c>
      <c r="G18" s="85">
        <v>12</v>
      </c>
      <c r="I18" s="65">
        <f t="shared" si="2"/>
        <v>0</v>
      </c>
      <c r="J18" s="65">
        <f t="shared" si="18"/>
        <v>0</v>
      </c>
      <c r="K18" s="9">
        <f t="shared" si="3"/>
        <v>0</v>
      </c>
      <c r="L18" s="65">
        <f t="shared" si="4"/>
        <v>0</v>
      </c>
      <c r="M18" s="65">
        <f t="shared" ref="M18:M28" si="19">+IF(ISERROR(N18/F18),"",(N18/F18))</f>
        <v>0</v>
      </c>
      <c r="N18" s="68">
        <v>0</v>
      </c>
      <c r="O18" s="69"/>
      <c r="P18" s="65">
        <f t="shared" si="6"/>
        <v>0</v>
      </c>
      <c r="Q18" s="72"/>
      <c r="R18" s="65">
        <f t="shared" si="7"/>
        <v>0</v>
      </c>
      <c r="S18" s="65">
        <f t="shared" si="8"/>
        <v>0</v>
      </c>
      <c r="T18" s="14"/>
      <c r="U18" s="71"/>
      <c r="V18" s="67" t="s">
        <v>162</v>
      </c>
      <c r="W18" s="72" t="str">
        <f t="shared" si="9"/>
        <v/>
      </c>
      <c r="X18" s="65" t="str">
        <f t="shared" si="10"/>
        <v/>
      </c>
      <c r="Y18" s="73">
        <v>0</v>
      </c>
      <c r="Z18" s="74">
        <f t="shared" si="11"/>
        <v>0</v>
      </c>
      <c r="AA18" s="75"/>
      <c r="AC18" s="3"/>
      <c r="AD18" s="55">
        <f t="shared" si="12"/>
        <v>0</v>
      </c>
      <c r="AE18" s="55">
        <f t="shared" si="13"/>
        <v>-3.0801599999999998</v>
      </c>
      <c r="AF18" s="55"/>
      <c r="AG18" s="55">
        <f t="shared" si="14"/>
        <v>-3.0801599999999998</v>
      </c>
      <c r="AH18" s="55" t="e">
        <v>#N/A</v>
      </c>
      <c r="AI18" s="55" t="e">
        <v>#N/A</v>
      </c>
      <c r="AJ18" s="55" t="e">
        <f t="shared" si="15"/>
        <v>#N/A</v>
      </c>
      <c r="AK18" s="76" t="e">
        <f t="shared" si="0"/>
        <v>#N/A</v>
      </c>
      <c r="AL18" s="55"/>
      <c r="AM18" s="55" t="e">
        <v>#N/A</v>
      </c>
      <c r="AN18" s="55" t="e">
        <v>#N/A</v>
      </c>
      <c r="AO18" s="55" t="e">
        <f t="shared" si="16"/>
        <v>#N/A</v>
      </c>
      <c r="AP18" s="76" t="e">
        <f t="shared" si="1"/>
        <v>#N/A</v>
      </c>
      <c r="AQ18" s="76"/>
      <c r="AR18" s="77">
        <f t="shared" si="17"/>
        <v>0</v>
      </c>
      <c r="AS18" s="78">
        <v>0.05</v>
      </c>
      <c r="AT18" s="3"/>
      <c r="AU18" s="3"/>
      <c r="AV18" s="79"/>
    </row>
    <row r="19" spans="1:48" x14ac:dyDescent="0.2">
      <c r="A19" s="61" t="s">
        <v>46</v>
      </c>
      <c r="B19" s="61" t="s">
        <v>47</v>
      </c>
      <c r="C19" s="82">
        <v>100520337</v>
      </c>
      <c r="D19" s="63" t="s">
        <v>56</v>
      </c>
      <c r="E19" s="64">
        <v>7790360977960</v>
      </c>
      <c r="F19" s="84">
        <v>4.8</v>
      </c>
      <c r="G19" s="85">
        <v>30</v>
      </c>
      <c r="I19" s="65">
        <f t="shared" si="2"/>
        <v>2071.2335269088926</v>
      </c>
      <c r="J19" s="65">
        <f t="shared" si="18"/>
        <v>1864.1101742180033</v>
      </c>
      <c r="K19" s="9">
        <f t="shared" si="3"/>
        <v>0.25925925925925919</v>
      </c>
      <c r="L19" s="65">
        <f t="shared" si="4"/>
        <v>1267.9727743550002</v>
      </c>
      <c r="M19" s="65">
        <f t="shared" si="19"/>
        <v>7924.8298397187518</v>
      </c>
      <c r="N19" s="68">
        <v>38039.183230650007</v>
      </c>
      <c r="O19" s="69"/>
      <c r="P19" s="65">
        <f t="shared" si="6"/>
        <v>38039.183230650007</v>
      </c>
      <c r="Q19" s="72"/>
      <c r="R19" s="65">
        <f t="shared" si="7"/>
        <v>38039.183230650007</v>
      </c>
      <c r="S19" s="65">
        <f t="shared" si="8"/>
        <v>1267.9727743550002</v>
      </c>
      <c r="T19" s="14"/>
      <c r="U19" s="71"/>
      <c r="V19" s="67">
        <v>36227.79</v>
      </c>
      <c r="W19" s="72">
        <f t="shared" si="9"/>
        <v>5.0000102977576288E-2</v>
      </c>
      <c r="X19" s="65">
        <f t="shared" si="10"/>
        <v>36227.79</v>
      </c>
      <c r="Y19" s="73"/>
      <c r="Z19" s="74"/>
      <c r="AA19" s="75"/>
      <c r="AC19" s="3"/>
      <c r="AD19" s="55"/>
      <c r="AE19" s="55"/>
      <c r="AF19" s="55"/>
      <c r="AG19" s="55"/>
      <c r="AH19" s="55"/>
      <c r="AI19" s="55"/>
      <c r="AJ19" s="55"/>
      <c r="AK19" s="76"/>
      <c r="AL19" s="55"/>
      <c r="AM19" s="55"/>
      <c r="AN19" s="55"/>
      <c r="AO19" s="55"/>
      <c r="AP19" s="76"/>
      <c r="AQ19" s="76"/>
      <c r="AR19" s="77">
        <f t="shared" si="17"/>
        <v>39941.142392182512</v>
      </c>
      <c r="AS19" s="78">
        <v>0.05</v>
      </c>
      <c r="AT19" s="3"/>
      <c r="AU19" s="3"/>
      <c r="AV19" s="79"/>
    </row>
    <row r="20" spans="1:48" x14ac:dyDescent="0.2">
      <c r="A20" s="61" t="s">
        <v>46</v>
      </c>
      <c r="B20" s="61" t="s">
        <v>47</v>
      </c>
      <c r="C20" s="82">
        <v>100021503</v>
      </c>
      <c r="D20" s="63" t="s">
        <v>57</v>
      </c>
      <c r="E20" s="64">
        <v>7790360966841</v>
      </c>
      <c r="F20" s="84">
        <v>3.3119999999999998</v>
      </c>
      <c r="G20" s="85">
        <v>12</v>
      </c>
      <c r="I20" s="65">
        <f t="shared" si="2"/>
        <v>4622.5616499909002</v>
      </c>
      <c r="J20" s="65">
        <f t="shared" si="18"/>
        <v>4160.3054849918099</v>
      </c>
      <c r="K20" s="9">
        <f t="shared" si="3"/>
        <v>0.25925925925925941</v>
      </c>
      <c r="L20" s="65">
        <f t="shared" si="4"/>
        <v>2829.8510253999998</v>
      </c>
      <c r="M20" s="65">
        <f t="shared" si="19"/>
        <v>10253.08342536232</v>
      </c>
      <c r="N20" s="68">
        <v>33958.212304799999</v>
      </c>
      <c r="O20" s="69"/>
      <c r="P20" s="65">
        <f t="shared" si="6"/>
        <v>33958.212304799999</v>
      </c>
      <c r="Q20" s="72"/>
      <c r="R20" s="65">
        <f t="shared" si="7"/>
        <v>33958.212304799999</v>
      </c>
      <c r="S20" s="65">
        <f t="shared" si="8"/>
        <v>2829.8510253999998</v>
      </c>
      <c r="T20" s="14"/>
      <c r="U20" s="71"/>
      <c r="V20" s="67">
        <v>32341.15</v>
      </c>
      <c r="W20" s="72">
        <f t="shared" si="9"/>
        <v>5.000014856614543E-2</v>
      </c>
      <c r="X20" s="65">
        <f t="shared" si="10"/>
        <v>32341.15</v>
      </c>
      <c r="Y20" s="73">
        <v>0</v>
      </c>
      <c r="Z20" s="74">
        <f t="shared" ref="Z20:Z27" si="20">+N20*(1-Y20)</f>
        <v>33958.212304799999</v>
      </c>
      <c r="AA20" s="75"/>
      <c r="AC20" s="3"/>
      <c r="AD20" s="55">
        <f t="shared" ref="AD20:AD27" si="21">-IFERROR(N20*AD$9,)</f>
        <v>-679.16424609600006</v>
      </c>
      <c r="AE20" s="55">
        <f t="shared" ref="AE20:AE27" si="22">$AE$9*F20</f>
        <v>-3.0801599999999998</v>
      </c>
      <c r="AF20" s="55"/>
      <c r="AG20" s="55">
        <f t="shared" ref="AG20:AG27" si="23">+Z20+AD20+AE20</f>
        <v>33275.967898704002</v>
      </c>
      <c r="AH20" s="55">
        <v>-9161.183051146505</v>
      </c>
      <c r="AI20" s="55">
        <v>-1220.9891959670954</v>
      </c>
      <c r="AJ20" s="55">
        <f t="shared" ref="AJ20:AJ27" si="24">AG20+AH20+AI20</f>
        <v>22893.795651590401</v>
      </c>
      <c r="AK20" s="76">
        <f t="shared" ref="AK20:AK27" si="25">AJ20/$AG20</f>
        <v>0.68799788848462151</v>
      </c>
      <c r="AL20" s="55"/>
      <c r="AM20" s="55">
        <v>-2101.6757081198739</v>
      </c>
      <c r="AN20" s="55">
        <v>-845.1387655334272</v>
      </c>
      <c r="AO20" s="55">
        <f t="shared" ref="AO20:AO27" si="26">+AJ20+AM20+AN20</f>
        <v>19946.981177937101</v>
      </c>
      <c r="AP20" s="76">
        <f t="shared" ref="AP20:AP27" si="27">AO20/$AG20</f>
        <v>0.59944105123126934</v>
      </c>
      <c r="AQ20" s="76"/>
      <c r="AR20" s="77">
        <f t="shared" si="17"/>
        <v>35656.122920039998</v>
      </c>
      <c r="AS20" s="78">
        <v>0.05</v>
      </c>
      <c r="AT20" s="3"/>
      <c r="AU20" s="3"/>
      <c r="AV20" s="79"/>
    </row>
    <row r="21" spans="1:48" x14ac:dyDescent="0.2">
      <c r="A21" s="61" t="s">
        <v>46</v>
      </c>
      <c r="B21" s="61" t="s">
        <v>47</v>
      </c>
      <c r="C21" s="82">
        <v>100516201</v>
      </c>
      <c r="D21" s="63" t="s">
        <v>58</v>
      </c>
      <c r="E21" s="64">
        <v>7790360968548</v>
      </c>
      <c r="F21" s="84">
        <v>6.6239999999999997</v>
      </c>
      <c r="G21" s="85">
        <v>8</v>
      </c>
      <c r="I21" s="65">
        <f t="shared" si="2"/>
        <v>12067.198291209603</v>
      </c>
      <c r="J21" s="65">
        <f t="shared" si="18"/>
        <v>10860.478462088642</v>
      </c>
      <c r="K21" s="9">
        <f t="shared" si="3"/>
        <v>0.2592592592592593</v>
      </c>
      <c r="L21" s="65">
        <f t="shared" si="4"/>
        <v>7387.3267776000012</v>
      </c>
      <c r="M21" s="65">
        <f t="shared" si="19"/>
        <v>8921.8922434782635</v>
      </c>
      <c r="N21" s="68">
        <v>59098.614220800009</v>
      </c>
      <c r="O21" s="69"/>
      <c r="P21" s="65">
        <f t="shared" si="6"/>
        <v>59098.614220800009</v>
      </c>
      <c r="Q21" s="72"/>
      <c r="R21" s="65">
        <f t="shared" si="7"/>
        <v>59098.614220800009</v>
      </c>
      <c r="S21" s="65">
        <f t="shared" si="8"/>
        <v>7387.3267776000012</v>
      </c>
      <c r="T21" s="14"/>
      <c r="U21" s="71"/>
      <c r="V21" s="67">
        <v>56284.39</v>
      </c>
      <c r="W21" s="72">
        <f t="shared" si="9"/>
        <v>5.0000083874054857E-2</v>
      </c>
      <c r="X21" s="65">
        <f t="shared" si="10"/>
        <v>56284.39</v>
      </c>
      <c r="Y21" s="73">
        <v>0</v>
      </c>
      <c r="Z21" s="74">
        <f t="shared" si="20"/>
        <v>59098.614220800009</v>
      </c>
      <c r="AA21" s="75"/>
      <c r="AC21" s="3"/>
      <c r="AD21" s="55">
        <f t="shared" si="21"/>
        <v>-1181.9722844160003</v>
      </c>
      <c r="AE21" s="55">
        <f t="shared" si="22"/>
        <v>-6.1603199999999996</v>
      </c>
      <c r="AF21" s="55"/>
      <c r="AG21" s="55">
        <f t="shared" si="23"/>
        <v>57910.481616384008</v>
      </c>
      <c r="AH21" s="55">
        <v>-18141.324653693951</v>
      </c>
      <c r="AI21" s="55">
        <v>-1902.8876683831538</v>
      </c>
      <c r="AJ21" s="55">
        <f t="shared" si="24"/>
        <v>37866.269294306905</v>
      </c>
      <c r="AK21" s="76">
        <f t="shared" si="25"/>
        <v>0.65387591740549089</v>
      </c>
      <c r="AL21" s="55"/>
      <c r="AM21" s="55">
        <v>-4601.4835727200661</v>
      </c>
      <c r="AN21" s="55">
        <v>-1690.2775310668542</v>
      </c>
      <c r="AO21" s="55">
        <f t="shared" si="26"/>
        <v>31574.508190519988</v>
      </c>
      <c r="AP21" s="76">
        <f t="shared" si="27"/>
        <v>0.54522959072726729</v>
      </c>
      <c r="AQ21" s="76"/>
      <c r="AR21" s="77">
        <f t="shared" si="17"/>
        <v>62053.544931840013</v>
      </c>
      <c r="AS21" s="78">
        <v>0.05</v>
      </c>
      <c r="AT21" s="3"/>
      <c r="AU21" s="3"/>
      <c r="AV21" s="79"/>
    </row>
    <row r="22" spans="1:48" x14ac:dyDescent="0.2">
      <c r="A22" s="61" t="s">
        <v>46</v>
      </c>
      <c r="B22" s="61" t="s">
        <v>47</v>
      </c>
      <c r="C22" s="82">
        <v>100021643</v>
      </c>
      <c r="D22" s="63" t="s">
        <v>59</v>
      </c>
      <c r="E22" s="64">
        <v>7790360966797</v>
      </c>
      <c r="F22" s="84">
        <v>4.7039999999999997</v>
      </c>
      <c r="G22" s="85">
        <v>42</v>
      </c>
      <c r="I22" s="65">
        <f t="shared" si="2"/>
        <v>1981.2620498653132</v>
      </c>
      <c r="J22" s="65">
        <f t="shared" si="18"/>
        <v>1783.1358448787819</v>
      </c>
      <c r="K22" s="9">
        <f t="shared" si="3"/>
        <v>0.25925925925925936</v>
      </c>
      <c r="L22" s="65">
        <f t="shared" si="4"/>
        <v>1212.8938168750003</v>
      </c>
      <c r="M22" s="65">
        <f t="shared" si="19"/>
        <v>10829.409079241073</v>
      </c>
      <c r="N22" s="68">
        <v>50941.540308750009</v>
      </c>
      <c r="O22" s="69"/>
      <c r="P22" s="65">
        <f t="shared" si="6"/>
        <v>50941.540308750009</v>
      </c>
      <c r="Q22" s="72"/>
      <c r="R22" s="65">
        <f t="shared" si="7"/>
        <v>50941.540308750009</v>
      </c>
      <c r="S22" s="65">
        <f t="shared" si="8"/>
        <v>1212.8938168750003</v>
      </c>
      <c r="T22" s="14"/>
      <c r="U22" s="71"/>
      <c r="V22" s="67">
        <v>48515.75</v>
      </c>
      <c r="W22" s="72">
        <f t="shared" si="9"/>
        <v>5.0000057893570871E-2</v>
      </c>
      <c r="X22" s="65">
        <f t="shared" si="10"/>
        <v>48515.75</v>
      </c>
      <c r="Y22" s="73">
        <v>0</v>
      </c>
      <c r="Z22" s="74">
        <f t="shared" si="20"/>
        <v>50941.540308750009</v>
      </c>
      <c r="AA22" s="75"/>
      <c r="AC22" s="3"/>
      <c r="AD22" s="55">
        <f t="shared" si="21"/>
        <v>-1018.8308061750002</v>
      </c>
      <c r="AE22" s="55">
        <f t="shared" si="22"/>
        <v>-4.3747199999999999</v>
      </c>
      <c r="AF22" s="55"/>
      <c r="AG22" s="55">
        <f t="shared" si="23"/>
        <v>49918.33478257501</v>
      </c>
      <c r="AH22" s="55">
        <v>-12018.274198109595</v>
      </c>
      <c r="AI22" s="55">
        <v>-1820.44403826389</v>
      </c>
      <c r="AJ22" s="55">
        <f t="shared" si="24"/>
        <v>36079.61654620152</v>
      </c>
      <c r="AK22" s="76">
        <f t="shared" si="25"/>
        <v>0.72277283894485655</v>
      </c>
      <c r="AL22" s="55"/>
      <c r="AM22" s="55">
        <v>-3485.5682328623498</v>
      </c>
      <c r="AN22" s="55">
        <v>-1200.3420148155922</v>
      </c>
      <c r="AO22" s="55">
        <f t="shared" si="26"/>
        <v>31393.706298523575</v>
      </c>
      <c r="AP22" s="76">
        <f t="shared" si="27"/>
        <v>0.62890131322013121</v>
      </c>
      <c r="AQ22" s="76"/>
      <c r="AR22" s="77">
        <f t="shared" si="17"/>
        <v>53488.617324187515</v>
      </c>
      <c r="AS22" s="78">
        <v>0.05</v>
      </c>
      <c r="AT22" s="3"/>
      <c r="AU22" s="3"/>
      <c r="AV22" s="79"/>
    </row>
    <row r="23" spans="1:48" hidden="1" x14ac:dyDescent="0.2">
      <c r="A23" s="61" t="s">
        <v>46</v>
      </c>
      <c r="B23" s="61" t="s">
        <v>47</v>
      </c>
      <c r="C23" s="86">
        <v>100516075</v>
      </c>
      <c r="D23" s="87" t="s">
        <v>60</v>
      </c>
      <c r="E23" s="88">
        <v>7790360968470</v>
      </c>
      <c r="F23" s="89">
        <v>4.7039999999999997</v>
      </c>
      <c r="G23" s="90">
        <v>21</v>
      </c>
      <c r="H23" s="91"/>
      <c r="I23" s="92">
        <f t="shared" si="2"/>
        <v>0</v>
      </c>
      <c r="J23" s="65">
        <f t="shared" si="18"/>
        <v>0</v>
      </c>
      <c r="K23" s="93">
        <f t="shared" si="3"/>
        <v>0</v>
      </c>
      <c r="L23" s="92">
        <f t="shared" si="4"/>
        <v>0</v>
      </c>
      <c r="M23" s="92">
        <f t="shared" si="19"/>
        <v>0</v>
      </c>
      <c r="N23" s="68">
        <v>0</v>
      </c>
      <c r="O23" s="94"/>
      <c r="P23" s="92">
        <f t="shared" si="6"/>
        <v>0</v>
      </c>
      <c r="Q23" s="95"/>
      <c r="R23" s="92">
        <f t="shared" si="7"/>
        <v>0</v>
      </c>
      <c r="S23" s="92">
        <f t="shared" si="8"/>
        <v>0</v>
      </c>
      <c r="T23" s="14"/>
      <c r="U23" s="71"/>
      <c r="V23" s="67" t="s">
        <v>162</v>
      </c>
      <c r="W23" s="95" t="str">
        <f t="shared" si="9"/>
        <v/>
      </c>
      <c r="X23" s="92" t="str">
        <f t="shared" si="10"/>
        <v/>
      </c>
      <c r="Y23" s="73">
        <v>0</v>
      </c>
      <c r="Z23" s="74">
        <f t="shared" si="20"/>
        <v>0</v>
      </c>
      <c r="AA23" s="75"/>
      <c r="AC23" s="3"/>
      <c r="AD23" s="55">
        <f t="shared" si="21"/>
        <v>0</v>
      </c>
      <c r="AE23" s="55">
        <f t="shared" si="22"/>
        <v>-4.3747199999999999</v>
      </c>
      <c r="AF23" s="55"/>
      <c r="AG23" s="55">
        <f t="shared" si="23"/>
        <v>-4.3747199999999999</v>
      </c>
      <c r="AH23" s="55" t="e">
        <v>#N/A</v>
      </c>
      <c r="AI23" s="55" t="e">
        <v>#N/A</v>
      </c>
      <c r="AJ23" s="55" t="e">
        <f t="shared" si="24"/>
        <v>#N/A</v>
      </c>
      <c r="AK23" s="76" t="e">
        <f t="shared" si="25"/>
        <v>#N/A</v>
      </c>
      <c r="AL23" s="55"/>
      <c r="AM23" s="55" t="e">
        <v>#N/A</v>
      </c>
      <c r="AN23" s="55" t="e">
        <v>#N/A</v>
      </c>
      <c r="AO23" s="55" t="e">
        <f t="shared" si="26"/>
        <v>#N/A</v>
      </c>
      <c r="AP23" s="76" t="e">
        <f t="shared" si="27"/>
        <v>#N/A</v>
      </c>
      <c r="AQ23" s="76"/>
      <c r="AR23" s="77">
        <f t="shared" si="17"/>
        <v>0</v>
      </c>
      <c r="AS23" s="78">
        <v>0.05</v>
      </c>
      <c r="AT23" s="3"/>
      <c r="AU23" s="79"/>
      <c r="AV23" s="79"/>
    </row>
    <row r="24" spans="1:48" x14ac:dyDescent="0.2">
      <c r="A24" s="61" t="s">
        <v>46</v>
      </c>
      <c r="B24" s="61" t="s">
        <v>47</v>
      </c>
      <c r="C24" s="82">
        <v>100516325</v>
      </c>
      <c r="D24" s="63" t="s">
        <v>61</v>
      </c>
      <c r="E24" s="64">
        <v>7790360967763</v>
      </c>
      <c r="F24" s="84">
        <v>4.7039999999999997</v>
      </c>
      <c r="G24" s="85">
        <v>21</v>
      </c>
      <c r="I24" s="65">
        <f t="shared" si="2"/>
        <v>3233.0287050583502</v>
      </c>
      <c r="J24" s="65">
        <f t="shared" si="18"/>
        <v>2909.7258345525152</v>
      </c>
      <c r="K24" s="9">
        <f t="shared" si="3"/>
        <v>0.2592592592592593</v>
      </c>
      <c r="L24" s="65">
        <f t="shared" si="4"/>
        <v>1979.2033701000003</v>
      </c>
      <c r="M24" s="65">
        <f t="shared" si="19"/>
        <v>8835.7293308035732</v>
      </c>
      <c r="N24" s="68">
        <v>41563.270772100004</v>
      </c>
      <c r="O24" s="69"/>
      <c r="P24" s="65">
        <f t="shared" si="6"/>
        <v>41563.270772100004</v>
      </c>
      <c r="Q24" s="72"/>
      <c r="R24" s="65">
        <f t="shared" si="7"/>
        <v>41563.270772100004</v>
      </c>
      <c r="S24" s="65">
        <f t="shared" si="8"/>
        <v>1979.2033701000003</v>
      </c>
      <c r="T24" s="14"/>
      <c r="U24" s="71"/>
      <c r="V24" s="67">
        <v>39584.07</v>
      </c>
      <c r="W24" s="72">
        <f t="shared" si="9"/>
        <v>4.9999931085914273E-2</v>
      </c>
      <c r="X24" s="65">
        <f t="shared" si="10"/>
        <v>39584.07</v>
      </c>
      <c r="Y24" s="73">
        <v>0</v>
      </c>
      <c r="Z24" s="74">
        <f t="shared" si="20"/>
        <v>41563.270772100004</v>
      </c>
      <c r="AA24" s="75"/>
      <c r="AC24" s="3"/>
      <c r="AD24" s="55">
        <f t="shared" si="21"/>
        <v>-831.26541544200006</v>
      </c>
      <c r="AE24" s="55">
        <f t="shared" si="22"/>
        <v>-4.3747199999999999</v>
      </c>
      <c r="AF24" s="55"/>
      <c r="AG24" s="55">
        <f t="shared" si="23"/>
        <v>40727.630636658003</v>
      </c>
      <c r="AH24" s="55">
        <v>-12009.226237446539</v>
      </c>
      <c r="AI24" s="55">
        <v>-1642.9315378750241</v>
      </c>
      <c r="AJ24" s="55">
        <f t="shared" si="24"/>
        <v>27075.472861336439</v>
      </c>
      <c r="AK24" s="76">
        <f t="shared" si="25"/>
        <v>0.66479371468681581</v>
      </c>
      <c r="AL24" s="55"/>
      <c r="AM24" s="55">
        <v>-3044.6884606327917</v>
      </c>
      <c r="AN24" s="55">
        <v>-1200.3420148155922</v>
      </c>
      <c r="AO24" s="55">
        <f t="shared" si="26"/>
        <v>22830.442385888055</v>
      </c>
      <c r="AP24" s="76">
        <f t="shared" si="27"/>
        <v>0.56056397165758276</v>
      </c>
      <c r="AQ24" s="76"/>
      <c r="AR24" s="77">
        <f t="shared" si="17"/>
        <v>43641.434310705008</v>
      </c>
      <c r="AS24" s="78">
        <v>0.05</v>
      </c>
      <c r="AT24" s="3"/>
      <c r="AU24" s="3"/>
      <c r="AV24" s="79"/>
    </row>
    <row r="25" spans="1:48" x14ac:dyDescent="0.2">
      <c r="A25" s="61" t="s">
        <v>46</v>
      </c>
      <c r="B25" s="61" t="s">
        <v>47</v>
      </c>
      <c r="C25" s="82">
        <v>100021676</v>
      </c>
      <c r="D25" s="63" t="s">
        <v>62</v>
      </c>
      <c r="E25" s="64">
        <v>7790360967411</v>
      </c>
      <c r="F25" s="84">
        <v>7.5</v>
      </c>
      <c r="G25" s="85">
        <v>30</v>
      </c>
      <c r="I25" s="65">
        <f t="shared" si="2"/>
        <v>4862.2195185547507</v>
      </c>
      <c r="J25" s="65">
        <f t="shared" si="18"/>
        <v>4375.9975666992759</v>
      </c>
      <c r="K25" s="9">
        <f t="shared" si="3"/>
        <v>0.25925925925925936</v>
      </c>
      <c r="L25" s="65">
        <f t="shared" si="4"/>
        <v>2976.5653618333336</v>
      </c>
      <c r="M25" s="65">
        <f t="shared" si="19"/>
        <v>11906.261447333334</v>
      </c>
      <c r="N25" s="68">
        <v>89296.960855000012</v>
      </c>
      <c r="O25" s="69"/>
      <c r="P25" s="65">
        <f t="shared" si="6"/>
        <v>89296.960855000012</v>
      </c>
      <c r="Q25" s="72"/>
      <c r="R25" s="65">
        <f t="shared" si="7"/>
        <v>89296.960855000012</v>
      </c>
      <c r="S25" s="65">
        <f t="shared" si="8"/>
        <v>2976.5653618333336</v>
      </c>
      <c r="T25" s="14"/>
      <c r="U25" s="71"/>
      <c r="V25" s="67">
        <v>89296.960000000006</v>
      </c>
      <c r="W25" s="72">
        <f t="shared" si="9"/>
        <v>9.5747940687118671E-9</v>
      </c>
      <c r="X25" s="65">
        <f t="shared" si="10"/>
        <v>89296.960000000006</v>
      </c>
      <c r="Y25" s="73">
        <v>0</v>
      </c>
      <c r="Z25" s="74">
        <f t="shared" si="20"/>
        <v>89296.960855000012</v>
      </c>
      <c r="AA25" s="75"/>
      <c r="AC25" s="3"/>
      <c r="AD25" s="55">
        <f t="shared" si="21"/>
        <v>-1785.9392171000002</v>
      </c>
      <c r="AE25" s="55">
        <f t="shared" si="22"/>
        <v>-6.9750000000000005</v>
      </c>
      <c r="AF25" s="55"/>
      <c r="AG25" s="55">
        <f t="shared" si="23"/>
        <v>87504.046637899999</v>
      </c>
      <c r="AH25" s="55">
        <v>-29776.456490489862</v>
      </c>
      <c r="AI25" s="55">
        <v>-2331.5142665844614</v>
      </c>
      <c r="AJ25" s="55">
        <f t="shared" si="24"/>
        <v>55396.07588082568</v>
      </c>
      <c r="AK25" s="76">
        <f t="shared" si="25"/>
        <v>0.6330687323531432</v>
      </c>
      <c r="AL25" s="55"/>
      <c r="AM25" s="55">
        <v>-4961.9172411146328</v>
      </c>
      <c r="AN25" s="55">
        <v>-1913.8106103564928</v>
      </c>
      <c r="AO25" s="55">
        <f t="shared" si="26"/>
        <v>48520.348029354551</v>
      </c>
      <c r="AP25" s="76">
        <f t="shared" si="27"/>
        <v>0.55449261941149219</v>
      </c>
      <c r="AQ25" s="76"/>
      <c r="AR25" s="77">
        <f t="shared" si="17"/>
        <v>93761.808897750016</v>
      </c>
      <c r="AS25" s="78">
        <v>0.05</v>
      </c>
      <c r="AT25" s="3"/>
      <c r="AU25" s="3"/>
      <c r="AV25" s="79"/>
    </row>
    <row r="26" spans="1:48" x14ac:dyDescent="0.2">
      <c r="A26" s="61" t="s">
        <v>46</v>
      </c>
      <c r="B26" s="61" t="s">
        <v>47</v>
      </c>
      <c r="C26" s="82">
        <v>100021664</v>
      </c>
      <c r="D26" s="63" t="s">
        <v>63</v>
      </c>
      <c r="E26" s="64">
        <v>7790360027870</v>
      </c>
      <c r="F26" s="84">
        <v>7.5</v>
      </c>
      <c r="G26" s="85">
        <v>30</v>
      </c>
      <c r="I26" s="65">
        <f t="shared" si="2"/>
        <v>0</v>
      </c>
      <c r="J26" s="65">
        <f t="shared" si="18"/>
        <v>0</v>
      </c>
      <c r="K26" s="9">
        <f t="shared" si="3"/>
        <v>0</v>
      </c>
      <c r="L26" s="65">
        <f t="shared" si="4"/>
        <v>0</v>
      </c>
      <c r="M26" s="65">
        <f t="shared" si="19"/>
        <v>0</v>
      </c>
      <c r="N26" s="68">
        <v>0</v>
      </c>
      <c r="O26" s="69"/>
      <c r="P26" s="65">
        <f t="shared" si="6"/>
        <v>0</v>
      </c>
      <c r="Q26" s="72"/>
      <c r="R26" s="65">
        <f t="shared" si="7"/>
        <v>0</v>
      </c>
      <c r="S26" s="65">
        <f t="shared" si="8"/>
        <v>0</v>
      </c>
      <c r="T26" s="14"/>
      <c r="U26" s="71"/>
      <c r="V26" s="67" t="s">
        <v>162</v>
      </c>
      <c r="W26" s="72" t="str">
        <f t="shared" si="9"/>
        <v/>
      </c>
      <c r="X26" s="65" t="str">
        <f t="shared" si="10"/>
        <v/>
      </c>
      <c r="Y26" s="73">
        <v>0</v>
      </c>
      <c r="Z26" s="74">
        <f t="shared" si="20"/>
        <v>0</v>
      </c>
      <c r="AA26" s="75"/>
      <c r="AC26" s="3"/>
      <c r="AD26" s="55">
        <f t="shared" si="21"/>
        <v>0</v>
      </c>
      <c r="AE26" s="55">
        <f t="shared" si="22"/>
        <v>-6.9750000000000005</v>
      </c>
      <c r="AF26" s="55"/>
      <c r="AG26" s="55">
        <f t="shared" si="23"/>
        <v>-6.9750000000000005</v>
      </c>
      <c r="AH26" s="55" t="e">
        <v>#N/A</v>
      </c>
      <c r="AI26" s="55" t="e">
        <v>#N/A</v>
      </c>
      <c r="AJ26" s="55" t="e">
        <f t="shared" si="24"/>
        <v>#N/A</v>
      </c>
      <c r="AK26" s="76" t="e">
        <f t="shared" si="25"/>
        <v>#N/A</v>
      </c>
      <c r="AL26" s="55"/>
      <c r="AM26" s="55" t="e">
        <v>#N/A</v>
      </c>
      <c r="AN26" s="55" t="e">
        <v>#N/A</v>
      </c>
      <c r="AO26" s="55" t="e">
        <f t="shared" si="26"/>
        <v>#N/A</v>
      </c>
      <c r="AP26" s="76" t="e">
        <f t="shared" si="27"/>
        <v>#N/A</v>
      </c>
      <c r="AQ26" s="76"/>
      <c r="AR26" s="77">
        <f t="shared" si="17"/>
        <v>0</v>
      </c>
      <c r="AS26" s="78">
        <v>0.05</v>
      </c>
      <c r="AT26" s="3"/>
      <c r="AU26" s="3"/>
      <c r="AV26" s="79"/>
    </row>
    <row r="27" spans="1:48" x14ac:dyDescent="0.2">
      <c r="A27" s="61" t="s">
        <v>46</v>
      </c>
      <c r="B27" s="61" t="s">
        <v>47</v>
      </c>
      <c r="C27" s="82">
        <v>100516008</v>
      </c>
      <c r="D27" s="63" t="s">
        <v>64</v>
      </c>
      <c r="E27" s="64">
        <v>7790360967701</v>
      </c>
      <c r="F27" s="84">
        <v>5.76</v>
      </c>
      <c r="G27" s="85">
        <v>24</v>
      </c>
      <c r="I27" s="65">
        <f t="shared" si="2"/>
        <v>5065.2518625534376</v>
      </c>
      <c r="J27" s="65">
        <f t="shared" si="18"/>
        <v>4558.7266762980944</v>
      </c>
      <c r="K27" s="9">
        <f t="shared" si="3"/>
        <v>0.2592592592592593</v>
      </c>
      <c r="L27" s="65">
        <f t="shared" si="4"/>
        <v>3100.858195625</v>
      </c>
      <c r="M27" s="65">
        <f t="shared" si="19"/>
        <v>12920.242481770834</v>
      </c>
      <c r="N27" s="68">
        <v>74420.596695</v>
      </c>
      <c r="O27" s="69"/>
      <c r="P27" s="65">
        <f t="shared" si="6"/>
        <v>74420.596695</v>
      </c>
      <c r="Q27" s="72"/>
      <c r="R27" s="65">
        <f t="shared" si="7"/>
        <v>74420.596695</v>
      </c>
      <c r="S27" s="65">
        <f t="shared" si="8"/>
        <v>3100.858195625</v>
      </c>
      <c r="T27" s="14"/>
      <c r="U27" s="71"/>
      <c r="V27" s="67">
        <v>74420.59</v>
      </c>
      <c r="W27" s="72">
        <f t="shared" si="9"/>
        <v>8.9961662563808886E-8</v>
      </c>
      <c r="X27" s="65">
        <f t="shared" si="10"/>
        <v>74420.59</v>
      </c>
      <c r="Y27" s="73">
        <v>0</v>
      </c>
      <c r="Z27" s="74">
        <f t="shared" si="20"/>
        <v>74420.596695</v>
      </c>
      <c r="AA27" s="75"/>
      <c r="AC27" s="3"/>
      <c r="AD27" s="55">
        <f t="shared" si="21"/>
        <v>-1488.4119339000001</v>
      </c>
      <c r="AE27" s="55">
        <f t="shared" si="22"/>
        <v>-5.3567999999999998</v>
      </c>
      <c r="AF27" s="55"/>
      <c r="AG27" s="55">
        <f t="shared" si="23"/>
        <v>72926.827961100003</v>
      </c>
      <c r="AH27" s="55">
        <v>-26391.961426936556</v>
      </c>
      <c r="AI27" s="55">
        <v>-2382.1665510073913</v>
      </c>
      <c r="AJ27" s="55">
        <f t="shared" si="24"/>
        <v>44152.699983156053</v>
      </c>
      <c r="AK27" s="76">
        <f t="shared" si="25"/>
        <v>0.60543837182535354</v>
      </c>
      <c r="AL27" s="55"/>
      <c r="AM27" s="55">
        <v>-4191.8276852936415</v>
      </c>
      <c r="AN27" s="55">
        <v>-1469.8065487537863</v>
      </c>
      <c r="AO27" s="55">
        <f t="shared" si="26"/>
        <v>38491.065749108624</v>
      </c>
      <c r="AP27" s="76">
        <f t="shared" si="27"/>
        <v>0.52780392107058594</v>
      </c>
      <c r="AQ27" s="76"/>
      <c r="AR27" s="77">
        <f t="shared" si="17"/>
        <v>78141.626529750007</v>
      </c>
      <c r="AS27" s="78">
        <v>0.05</v>
      </c>
      <c r="AT27" s="3"/>
      <c r="AU27" s="3"/>
      <c r="AV27" s="79"/>
    </row>
    <row r="28" spans="1:48" x14ac:dyDescent="0.2">
      <c r="A28" s="61" t="s">
        <v>46</v>
      </c>
      <c r="B28" s="61" t="s">
        <v>47</v>
      </c>
      <c r="C28" s="82">
        <v>100520834</v>
      </c>
      <c r="D28" s="63" t="s">
        <v>65</v>
      </c>
      <c r="E28" s="64">
        <v>7790360980618</v>
      </c>
      <c r="F28" s="84">
        <v>6.66</v>
      </c>
      <c r="G28" s="85">
        <v>36</v>
      </c>
      <c r="I28" s="65">
        <f t="shared" si="2"/>
        <v>3256.3606833078757</v>
      </c>
      <c r="J28" s="65">
        <f t="shared" si="18"/>
        <v>2930.7246149770881</v>
      </c>
      <c r="K28" s="9">
        <f t="shared" si="3"/>
        <v>0.25925925925925924</v>
      </c>
      <c r="L28" s="65">
        <f t="shared" si="4"/>
        <v>1993.4867972500006</v>
      </c>
      <c r="M28" s="65">
        <f t="shared" si="19"/>
        <v>10775.604309459462</v>
      </c>
      <c r="N28" s="68">
        <v>71765.524701000017</v>
      </c>
      <c r="O28" s="69"/>
      <c r="P28" s="65">
        <f t="shared" si="6"/>
        <v>71765.524701000017</v>
      </c>
      <c r="Q28" s="72"/>
      <c r="R28" s="65">
        <f t="shared" si="7"/>
        <v>71765.524701000017</v>
      </c>
      <c r="S28" s="65">
        <f t="shared" si="8"/>
        <v>1993.4867972500006</v>
      </c>
      <c r="T28" s="14"/>
      <c r="U28" s="71"/>
      <c r="V28" s="67">
        <v>71765.52</v>
      </c>
      <c r="W28" s="72">
        <f t="shared" si="9"/>
        <v>6.5504994761766966E-8</v>
      </c>
      <c r="X28" s="65">
        <f t="shared" si="10"/>
        <v>71765.52</v>
      </c>
      <c r="Y28" s="73"/>
      <c r="Z28" s="74"/>
      <c r="AA28" s="75"/>
      <c r="AC28" s="3"/>
      <c r="AD28" s="55"/>
      <c r="AE28" s="55"/>
      <c r="AF28" s="55"/>
      <c r="AG28" s="55"/>
      <c r="AH28" s="55"/>
      <c r="AI28" s="55"/>
      <c r="AJ28" s="55"/>
      <c r="AK28" s="76"/>
      <c r="AL28" s="55"/>
      <c r="AM28" s="55"/>
      <c r="AN28" s="55"/>
      <c r="AO28" s="55"/>
      <c r="AP28" s="76"/>
      <c r="AQ28" s="76"/>
      <c r="AR28" s="77">
        <f t="shared" si="17"/>
        <v>75353.800936050015</v>
      </c>
      <c r="AS28" s="78">
        <v>0.05</v>
      </c>
      <c r="AT28" s="3"/>
      <c r="AU28" s="3"/>
      <c r="AV28" s="79"/>
    </row>
    <row r="29" spans="1:48" x14ac:dyDescent="0.2">
      <c r="A29" s="61" t="s">
        <v>46</v>
      </c>
      <c r="B29" s="61" t="s">
        <v>47</v>
      </c>
      <c r="C29" s="82">
        <v>100518223</v>
      </c>
      <c r="D29" s="63" t="s">
        <v>66</v>
      </c>
      <c r="E29" s="64">
        <v>7790360975065</v>
      </c>
      <c r="F29" s="84">
        <v>6.36</v>
      </c>
      <c r="G29" s="85">
        <v>30</v>
      </c>
      <c r="I29" s="65">
        <f t="shared" si="2"/>
        <v>3645.5218829221503</v>
      </c>
      <c r="J29" s="65">
        <f t="shared" si="18"/>
        <v>3280.9696946299355</v>
      </c>
      <c r="K29" s="9">
        <f t="shared" si="3"/>
        <v>0.25925925925925936</v>
      </c>
      <c r="L29" s="65">
        <f t="shared" si="4"/>
        <v>2231.7244462333333</v>
      </c>
      <c r="M29" s="65">
        <v>1010.8489934025401</v>
      </c>
      <c r="N29" s="68">
        <v>66951.733387</v>
      </c>
      <c r="O29" s="69"/>
      <c r="P29" s="65">
        <f t="shared" si="6"/>
        <v>66951.733387</v>
      </c>
      <c r="Q29" s="72"/>
      <c r="R29" s="65">
        <f t="shared" si="7"/>
        <v>66951.733387</v>
      </c>
      <c r="S29" s="65">
        <f t="shared" si="8"/>
        <v>2231.7244462333333</v>
      </c>
      <c r="T29" s="14"/>
      <c r="U29" s="71"/>
      <c r="V29" s="67">
        <v>66951.73</v>
      </c>
      <c r="W29" s="72">
        <f t="shared" si="9"/>
        <v>5.0588685462926719E-8</v>
      </c>
      <c r="X29" s="65"/>
      <c r="Y29" s="73"/>
      <c r="Z29" s="74"/>
      <c r="AA29" s="75"/>
      <c r="AC29" s="3"/>
      <c r="AD29" s="55"/>
      <c r="AE29" s="55"/>
      <c r="AF29" s="55"/>
      <c r="AG29" s="55"/>
      <c r="AH29" s="55">
        <v>-22243.783108368978</v>
      </c>
      <c r="AI29" s="55">
        <v>-1462.649455333001</v>
      </c>
      <c r="AJ29" s="55"/>
      <c r="AK29" s="76"/>
      <c r="AL29" s="55"/>
      <c r="AM29" s="55">
        <v>-4207.7058204652085</v>
      </c>
      <c r="AN29" s="55">
        <v>0</v>
      </c>
      <c r="AO29" s="55"/>
      <c r="AP29" s="76"/>
      <c r="AQ29" s="76"/>
      <c r="AR29" s="77">
        <f t="shared" si="17"/>
        <v>70299.32005635</v>
      </c>
      <c r="AS29" s="78">
        <v>0.05</v>
      </c>
      <c r="AT29" s="3"/>
      <c r="AU29" s="3"/>
      <c r="AV29" s="79"/>
    </row>
    <row r="30" spans="1:48" x14ac:dyDescent="0.2">
      <c r="A30" s="61" t="s">
        <v>46</v>
      </c>
      <c r="B30" s="61" t="s">
        <v>67</v>
      </c>
      <c r="C30" s="82">
        <v>100021680</v>
      </c>
      <c r="D30" s="63" t="s">
        <v>68</v>
      </c>
      <c r="E30" s="64">
        <v>7790360967688</v>
      </c>
      <c r="F30" s="84">
        <v>4.32</v>
      </c>
      <c r="G30" s="85">
        <v>18</v>
      </c>
      <c r="I30" s="65">
        <f t="shared" si="2"/>
        <v>6110.4620141977512</v>
      </c>
      <c r="J30" s="65">
        <f t="shared" si="18"/>
        <v>5499.4158127779765</v>
      </c>
      <c r="K30" s="9">
        <f t="shared" si="3"/>
        <v>0.25925925925925936</v>
      </c>
      <c r="L30" s="65">
        <f t="shared" si="4"/>
        <v>3740.7174865000002</v>
      </c>
      <c r="M30" s="65">
        <f t="shared" ref="M30:M48" si="28">+IF(ISERROR(N30/F30),"",(N30/F30))</f>
        <v>15586.322860416667</v>
      </c>
      <c r="N30" s="68">
        <v>67332.914757000006</v>
      </c>
      <c r="O30" s="69"/>
      <c r="P30" s="65">
        <f t="shared" si="6"/>
        <v>67332.914757000006</v>
      </c>
      <c r="Q30" s="72"/>
      <c r="R30" s="65">
        <f t="shared" si="7"/>
        <v>67332.914757000006</v>
      </c>
      <c r="S30" s="65">
        <f t="shared" si="8"/>
        <v>3740.7174865000002</v>
      </c>
      <c r="T30" s="14"/>
      <c r="U30" s="71"/>
      <c r="V30" s="67">
        <v>67332.91</v>
      </c>
      <c r="W30" s="72">
        <f t="shared" si="9"/>
        <v>7.0648959127339594E-8</v>
      </c>
      <c r="X30" s="65">
        <f t="shared" ref="X30:X48" si="29">+IF(ISERROR(V30*(1-O30)),"",(V30*(1-O30)))</f>
        <v>67332.91</v>
      </c>
      <c r="Y30" s="73">
        <v>0</v>
      </c>
      <c r="Z30" s="74">
        <f t="shared" ref="Z30:Z40" si="30">+N30*(1-Y30)</f>
        <v>67332.914757000006</v>
      </c>
      <c r="AA30" s="75"/>
      <c r="AC30" s="3"/>
      <c r="AD30" s="55">
        <f t="shared" ref="AD30:AD46" si="31">-IFERROR(N30*AD$9,)</f>
        <v>-1346.6582951400001</v>
      </c>
      <c r="AE30" s="55">
        <f t="shared" ref="AE30:AE46" si="32">$AE$9*F30</f>
        <v>-4.0176000000000007</v>
      </c>
      <c r="AF30" s="55"/>
      <c r="AG30" s="55">
        <f t="shared" ref="AG30:AG46" si="33">+Z30+AD30+AE30</f>
        <v>65982.238861859994</v>
      </c>
      <c r="AH30" s="55" t="e">
        <v>#N/A</v>
      </c>
      <c r="AI30" s="55" t="e">
        <v>#N/A</v>
      </c>
      <c r="AJ30" s="55" t="e">
        <f t="shared" ref="AJ30:AJ46" si="34">AG30+AH30+AI30</f>
        <v>#N/A</v>
      </c>
      <c r="AK30" s="76" t="e">
        <f t="shared" ref="AK30:AK46" si="35">AJ30/$AG30</f>
        <v>#N/A</v>
      </c>
      <c r="AL30" s="55"/>
      <c r="AM30" s="55" t="e">
        <v>#N/A</v>
      </c>
      <c r="AN30" s="55" t="e">
        <v>#N/A</v>
      </c>
      <c r="AO30" s="55" t="e">
        <f t="shared" ref="AO30:AO46" si="36">+AJ30+AM30+AN30</f>
        <v>#N/A</v>
      </c>
      <c r="AP30" s="76" t="e">
        <f t="shared" ref="AP30:AP46" si="37">AO30/$AG30</f>
        <v>#N/A</v>
      </c>
      <c r="AQ30" s="76"/>
      <c r="AR30" s="77">
        <f t="shared" si="17"/>
        <v>70699.560494850011</v>
      </c>
      <c r="AS30" s="78">
        <v>0.05</v>
      </c>
      <c r="AT30" s="3"/>
      <c r="AU30" s="3"/>
      <c r="AV30" s="79"/>
    </row>
    <row r="31" spans="1:48" x14ac:dyDescent="0.2">
      <c r="A31" s="61" t="s">
        <v>46</v>
      </c>
      <c r="B31" s="61" t="s">
        <v>69</v>
      </c>
      <c r="C31" s="82">
        <v>100021644</v>
      </c>
      <c r="D31" s="63" t="s">
        <v>70</v>
      </c>
      <c r="E31" s="64">
        <v>7790360008541</v>
      </c>
      <c r="F31" s="84">
        <v>4.7039999999999997</v>
      </c>
      <c r="G31" s="85">
        <v>42</v>
      </c>
      <c r="I31" s="65">
        <f t="shared" si="2"/>
        <v>1204.1509831308965</v>
      </c>
      <c r="J31" s="65">
        <f t="shared" si="18"/>
        <v>1083.7358848178069</v>
      </c>
      <c r="K31" s="9">
        <f t="shared" si="3"/>
        <v>0.2592592592592593</v>
      </c>
      <c r="L31" s="65">
        <f t="shared" si="4"/>
        <v>737.16007537857149</v>
      </c>
      <c r="M31" s="65">
        <f t="shared" si="28"/>
        <v>6581.7863873086744</v>
      </c>
      <c r="N31" s="68">
        <v>30960.723165900003</v>
      </c>
      <c r="O31" s="69"/>
      <c r="P31" s="65">
        <f t="shared" si="6"/>
        <v>30960.723165900003</v>
      </c>
      <c r="Q31" s="72"/>
      <c r="R31" s="65">
        <f t="shared" si="7"/>
        <v>30960.723165900003</v>
      </c>
      <c r="S31" s="65">
        <f t="shared" si="8"/>
        <v>737.16007537857149</v>
      </c>
      <c r="T31" s="14"/>
      <c r="U31" s="71"/>
      <c r="V31" s="67">
        <v>28146.11</v>
      </c>
      <c r="W31" s="72">
        <f t="shared" si="9"/>
        <v>0.10000007695201929</v>
      </c>
      <c r="X31" s="65">
        <f t="shared" si="29"/>
        <v>28146.11</v>
      </c>
      <c r="Y31" s="73">
        <v>0</v>
      </c>
      <c r="Z31" s="74">
        <f t="shared" si="30"/>
        <v>30960.723165900003</v>
      </c>
      <c r="AA31" s="75"/>
      <c r="AC31" s="3"/>
      <c r="AD31" s="55">
        <f t="shared" si="31"/>
        <v>-619.21446331800007</v>
      </c>
      <c r="AE31" s="55">
        <f t="shared" si="32"/>
        <v>-4.3747199999999999</v>
      </c>
      <c r="AF31" s="55"/>
      <c r="AG31" s="55">
        <f t="shared" si="33"/>
        <v>30337.133982582003</v>
      </c>
      <c r="AH31" s="55">
        <v>-9539.8975336033291</v>
      </c>
      <c r="AI31" s="55">
        <v>-1660.7971119472181</v>
      </c>
      <c r="AJ31" s="55">
        <f t="shared" si="34"/>
        <v>19136.439337031457</v>
      </c>
      <c r="AK31" s="76">
        <f t="shared" si="35"/>
        <v>0.63079259062568671</v>
      </c>
      <c r="AL31" s="55"/>
      <c r="AM31" s="55">
        <v>-3044.6884606327912</v>
      </c>
      <c r="AN31" s="55">
        <v>-847.36433204425566</v>
      </c>
      <c r="AO31" s="55">
        <f t="shared" si="36"/>
        <v>15244.386544354411</v>
      </c>
      <c r="AP31" s="76">
        <f t="shared" si="37"/>
        <v>0.50249923256122153</v>
      </c>
      <c r="AQ31" s="76"/>
      <c r="AR31" s="77">
        <f t="shared" si="17"/>
        <v>32508.759324195005</v>
      </c>
      <c r="AS31" s="78">
        <v>0.05</v>
      </c>
      <c r="AT31" s="3"/>
      <c r="AU31" s="3"/>
      <c r="AV31" s="79"/>
    </row>
    <row r="32" spans="1:48" x14ac:dyDescent="0.2">
      <c r="A32" s="61" t="s">
        <v>46</v>
      </c>
      <c r="B32" s="61" t="s">
        <v>69</v>
      </c>
      <c r="C32" s="82">
        <v>100021677</v>
      </c>
      <c r="D32" s="63" t="s">
        <v>71</v>
      </c>
      <c r="E32" s="64">
        <v>7790360967404</v>
      </c>
      <c r="F32" s="84">
        <v>3.3119999999999998</v>
      </c>
      <c r="G32" s="85">
        <v>12</v>
      </c>
      <c r="I32" s="65">
        <f t="shared" si="2"/>
        <v>3594.3176628451129</v>
      </c>
      <c r="J32" s="65">
        <f t="shared" si="18"/>
        <v>3234.8858965606019</v>
      </c>
      <c r="K32" s="9">
        <f t="shared" si="3"/>
        <v>0.25925925925925936</v>
      </c>
      <c r="L32" s="65">
        <f t="shared" si="4"/>
        <v>2200.3781223416668</v>
      </c>
      <c r="M32" s="65">
        <f t="shared" si="28"/>
        <v>7972.3845012379243</v>
      </c>
      <c r="N32" s="68">
        <v>26404.537468100003</v>
      </c>
      <c r="O32" s="69"/>
      <c r="P32" s="65">
        <f t="shared" si="6"/>
        <v>26404.537468100003</v>
      </c>
      <c r="Q32" s="72"/>
      <c r="R32" s="65">
        <f t="shared" si="7"/>
        <v>26404.537468100003</v>
      </c>
      <c r="S32" s="65">
        <f t="shared" si="8"/>
        <v>2200.3781223416668</v>
      </c>
      <c r="T32" s="14"/>
      <c r="U32" s="71"/>
      <c r="V32" s="67">
        <v>24004.13</v>
      </c>
      <c r="W32" s="72">
        <f t="shared" si="9"/>
        <v>9.9999769543824391E-2</v>
      </c>
      <c r="X32" s="65">
        <f t="shared" si="29"/>
        <v>24004.13</v>
      </c>
      <c r="Y32" s="73">
        <v>0</v>
      </c>
      <c r="Z32" s="74">
        <f t="shared" si="30"/>
        <v>26404.537468100003</v>
      </c>
      <c r="AA32" s="75"/>
      <c r="AC32" s="3"/>
      <c r="AD32" s="55">
        <f t="shared" si="31"/>
        <v>-528.09074936200011</v>
      </c>
      <c r="AE32" s="55">
        <f t="shared" si="32"/>
        <v>-3.0801599999999998</v>
      </c>
      <c r="AF32" s="55"/>
      <c r="AG32" s="55">
        <f t="shared" si="33"/>
        <v>25873.366558738002</v>
      </c>
      <c r="AH32" s="55">
        <v>-7650.0293701946966</v>
      </c>
      <c r="AI32" s="55">
        <v>-1135.8434311566066</v>
      </c>
      <c r="AJ32" s="55">
        <f t="shared" si="34"/>
        <v>17087.493757386699</v>
      </c>
      <c r="AK32" s="76">
        <f t="shared" si="35"/>
        <v>0.66042792377228854</v>
      </c>
      <c r="AL32" s="55"/>
      <c r="AM32" s="55">
        <v>-2101.6757081198743</v>
      </c>
      <c r="AN32" s="55">
        <v>-596.61366235769026</v>
      </c>
      <c r="AO32" s="55">
        <f t="shared" si="36"/>
        <v>14389.204386909136</v>
      </c>
      <c r="AP32" s="76">
        <f t="shared" si="37"/>
        <v>0.55613962544234841</v>
      </c>
      <c r="AQ32" s="76"/>
      <c r="AR32" s="77">
        <f t="shared" si="17"/>
        <v>27724.764341505004</v>
      </c>
      <c r="AS32" s="78">
        <v>0.05</v>
      </c>
      <c r="AT32" s="3"/>
      <c r="AU32" s="3"/>
      <c r="AV32" s="79"/>
    </row>
    <row r="33" spans="1:48" x14ac:dyDescent="0.2">
      <c r="A33" s="61" t="s">
        <v>46</v>
      </c>
      <c r="B33" s="61" t="s">
        <v>72</v>
      </c>
      <c r="C33" s="82">
        <v>100021638</v>
      </c>
      <c r="D33" s="63" t="s">
        <v>73</v>
      </c>
      <c r="E33" s="64">
        <v>7790360026699</v>
      </c>
      <c r="F33" s="84">
        <v>4.8</v>
      </c>
      <c r="G33" s="85">
        <v>60</v>
      </c>
      <c r="I33" s="65">
        <f t="shared" si="2"/>
        <v>1642.0734991014747</v>
      </c>
      <c r="J33" s="65">
        <f t="shared" si="18"/>
        <v>1477.8661491913272</v>
      </c>
      <c r="K33" s="9">
        <f t="shared" si="3"/>
        <v>0.25925925925925924</v>
      </c>
      <c r="L33" s="65">
        <f t="shared" si="4"/>
        <v>1005.2485455166666</v>
      </c>
      <c r="M33" s="65">
        <f t="shared" si="28"/>
        <v>12565.606818958333</v>
      </c>
      <c r="N33" s="68">
        <v>60314.912730999997</v>
      </c>
      <c r="O33" s="69"/>
      <c r="P33" s="65">
        <f t="shared" si="6"/>
        <v>60314.912730999997</v>
      </c>
      <c r="Q33" s="72"/>
      <c r="R33" s="65">
        <f t="shared" si="7"/>
        <v>60314.912730999997</v>
      </c>
      <c r="S33" s="65">
        <f t="shared" si="8"/>
        <v>1005.2485455166666</v>
      </c>
      <c r="T33" s="14"/>
      <c r="U33" s="71"/>
      <c r="V33" s="67">
        <v>60314.91</v>
      </c>
      <c r="W33" s="72">
        <f t="shared" si="9"/>
        <v>4.5279019644794971E-8</v>
      </c>
      <c r="X33" s="65">
        <f t="shared" si="29"/>
        <v>60314.91</v>
      </c>
      <c r="Y33" s="73">
        <v>0</v>
      </c>
      <c r="Z33" s="74">
        <f t="shared" si="30"/>
        <v>60314.912730999997</v>
      </c>
      <c r="AA33" s="75"/>
      <c r="AC33" s="3"/>
      <c r="AD33" s="55">
        <f t="shared" si="31"/>
        <v>-1206.2982546199999</v>
      </c>
      <c r="AE33" s="55">
        <f t="shared" si="32"/>
        <v>-4.4640000000000004</v>
      </c>
      <c r="AF33" s="55"/>
      <c r="AG33" s="55">
        <f t="shared" si="33"/>
        <v>59104.150476379997</v>
      </c>
      <c r="AH33" s="55">
        <v>-17549.782622301409</v>
      </c>
      <c r="AI33" s="55">
        <v>-1710.0778550940781</v>
      </c>
      <c r="AJ33" s="55">
        <f t="shared" si="34"/>
        <v>39844.28999898451</v>
      </c>
      <c r="AK33" s="76">
        <f t="shared" si="35"/>
        <v>0.67413692063652331</v>
      </c>
      <c r="AL33" s="55"/>
      <c r="AM33" s="55">
        <v>-3175.6270343133651</v>
      </c>
      <c r="AN33" s="55">
        <v>-1224.8387906281553</v>
      </c>
      <c r="AO33" s="55">
        <f t="shared" si="36"/>
        <v>35443.824174042988</v>
      </c>
      <c r="AP33" s="76">
        <f t="shared" si="37"/>
        <v>0.59968418272431701</v>
      </c>
      <c r="AQ33" s="76"/>
      <c r="AR33" s="77">
        <f t="shared" si="17"/>
        <v>63330.658367550001</v>
      </c>
      <c r="AS33" s="78">
        <v>0.05</v>
      </c>
      <c r="AT33" s="3"/>
      <c r="AU33" s="3"/>
      <c r="AV33" s="79"/>
    </row>
    <row r="34" spans="1:48" x14ac:dyDescent="0.2">
      <c r="A34" s="61" t="s">
        <v>46</v>
      </c>
      <c r="B34" s="61" t="s">
        <v>72</v>
      </c>
      <c r="C34" s="82">
        <v>100021575</v>
      </c>
      <c r="D34" s="63" t="s">
        <v>74</v>
      </c>
      <c r="E34" s="64">
        <v>7790360007032</v>
      </c>
      <c r="F34" s="84">
        <v>4.1399999999999997</v>
      </c>
      <c r="G34" s="85">
        <v>60</v>
      </c>
      <c r="I34" s="65">
        <f t="shared" si="2"/>
        <v>1346.7612618504002</v>
      </c>
      <c r="J34" s="65">
        <f t="shared" si="18"/>
        <v>1212.0851356653602</v>
      </c>
      <c r="K34" s="9">
        <f t="shared" si="3"/>
        <v>0.25925925925925936</v>
      </c>
      <c r="L34" s="65">
        <f t="shared" si="4"/>
        <v>824.46358240000006</v>
      </c>
      <c r="M34" s="65">
        <f t="shared" si="28"/>
        <v>11948.747571014495</v>
      </c>
      <c r="N34" s="68">
        <v>49467.814944000005</v>
      </c>
      <c r="O34" s="69"/>
      <c r="P34" s="65">
        <f t="shared" si="6"/>
        <v>49467.814944000005</v>
      </c>
      <c r="Q34" s="72"/>
      <c r="R34" s="65">
        <f t="shared" si="7"/>
        <v>49467.814944000005</v>
      </c>
      <c r="S34" s="65">
        <f t="shared" si="8"/>
        <v>824.46358240000006</v>
      </c>
      <c r="T34" s="14"/>
      <c r="U34" s="71"/>
      <c r="V34" s="67">
        <v>49467.82</v>
      </c>
      <c r="W34" s="72">
        <f t="shared" si="9"/>
        <v>-1.0220785950920686E-7</v>
      </c>
      <c r="X34" s="65">
        <f t="shared" si="29"/>
        <v>49467.82</v>
      </c>
      <c r="Y34" s="73">
        <v>0</v>
      </c>
      <c r="Z34" s="74">
        <f t="shared" si="30"/>
        <v>49467.814944000005</v>
      </c>
      <c r="AA34" s="75"/>
      <c r="AC34" s="3"/>
      <c r="AD34" s="55">
        <f t="shared" si="31"/>
        <v>-989.35629888000017</v>
      </c>
      <c r="AE34" s="55">
        <f t="shared" si="32"/>
        <v>-3.8502000000000001</v>
      </c>
      <c r="AF34" s="55"/>
      <c r="AG34" s="55">
        <f t="shared" si="33"/>
        <v>48474.608445120008</v>
      </c>
      <c r="AH34" s="55">
        <v>-15007.334856281717</v>
      </c>
      <c r="AI34" s="55">
        <v>-1400.529829380102</v>
      </c>
      <c r="AJ34" s="55">
        <f t="shared" si="34"/>
        <v>32066.743759458186</v>
      </c>
      <c r="AK34" s="76">
        <f t="shared" si="35"/>
        <v>0.66151630282402785</v>
      </c>
      <c r="AL34" s="55"/>
      <c r="AM34" s="55">
        <v>-2875.9272329500409</v>
      </c>
      <c r="AN34" s="55">
        <v>-1056.4234569167841</v>
      </c>
      <c r="AO34" s="55">
        <f t="shared" si="36"/>
        <v>28134.393069591359</v>
      </c>
      <c r="AP34" s="76">
        <f t="shared" si="37"/>
        <v>0.58039443684095771</v>
      </c>
      <c r="AQ34" s="76"/>
      <c r="AR34" s="77">
        <f t="shared" si="17"/>
        <v>51941.205691200004</v>
      </c>
      <c r="AS34" s="78">
        <v>0.05</v>
      </c>
      <c r="AT34" s="3"/>
      <c r="AU34" s="3"/>
      <c r="AV34" s="79"/>
    </row>
    <row r="35" spans="1:48" x14ac:dyDescent="0.2">
      <c r="A35" s="61" t="s">
        <v>46</v>
      </c>
      <c r="B35" s="61" t="s">
        <v>72</v>
      </c>
      <c r="C35" s="82">
        <v>100021514</v>
      </c>
      <c r="D35" s="63" t="s">
        <v>75</v>
      </c>
      <c r="E35" s="64">
        <v>7790360006943</v>
      </c>
      <c r="F35" s="84">
        <v>4.1399999999999997</v>
      </c>
      <c r="G35" s="85">
        <v>60</v>
      </c>
      <c r="I35" s="65">
        <f t="shared" si="2"/>
        <v>1225.5450769584002</v>
      </c>
      <c r="J35" s="65">
        <f t="shared" si="18"/>
        <v>1102.9905692625603</v>
      </c>
      <c r="K35" s="9">
        <f t="shared" si="3"/>
        <v>0.2592592592592593</v>
      </c>
      <c r="L35" s="65">
        <f t="shared" si="4"/>
        <v>750.25716373333341</v>
      </c>
      <c r="M35" s="65">
        <f t="shared" si="28"/>
        <v>10873.292228019325</v>
      </c>
      <c r="N35" s="68">
        <v>45015.429824000006</v>
      </c>
      <c r="O35" s="69"/>
      <c r="P35" s="65">
        <f t="shared" si="6"/>
        <v>45015.429824000006</v>
      </c>
      <c r="Q35" s="72"/>
      <c r="R35" s="65">
        <f t="shared" si="7"/>
        <v>45015.429824000006</v>
      </c>
      <c r="S35" s="65">
        <f t="shared" si="8"/>
        <v>750.25716373333341</v>
      </c>
      <c r="T35" s="14"/>
      <c r="U35" s="71"/>
      <c r="V35" s="67">
        <v>45015.43</v>
      </c>
      <c r="W35" s="72">
        <f t="shared" si="9"/>
        <v>-3.9097703963264507E-9</v>
      </c>
      <c r="X35" s="65">
        <f t="shared" si="29"/>
        <v>45015.43</v>
      </c>
      <c r="Y35" s="73">
        <v>0</v>
      </c>
      <c r="Z35" s="74">
        <f t="shared" si="30"/>
        <v>45015.429824000006</v>
      </c>
      <c r="AA35" s="75"/>
      <c r="AC35" s="3"/>
      <c r="AD35" s="55">
        <f t="shared" si="31"/>
        <v>-900.30859648000012</v>
      </c>
      <c r="AE35" s="55">
        <f t="shared" si="32"/>
        <v>-3.8502000000000001</v>
      </c>
      <c r="AF35" s="55"/>
      <c r="AG35" s="55">
        <f t="shared" si="33"/>
        <v>44111.271027520008</v>
      </c>
      <c r="AH35" s="55" t="e">
        <v>#N/A</v>
      </c>
      <c r="AI35" s="55" t="e">
        <v>#N/A</v>
      </c>
      <c r="AJ35" s="55" t="e">
        <f t="shared" si="34"/>
        <v>#N/A</v>
      </c>
      <c r="AK35" s="76" t="e">
        <f t="shared" si="35"/>
        <v>#N/A</v>
      </c>
      <c r="AL35" s="55"/>
      <c r="AM35" s="55" t="e">
        <v>#N/A</v>
      </c>
      <c r="AN35" s="55" t="e">
        <v>#N/A</v>
      </c>
      <c r="AO35" s="55" t="e">
        <f t="shared" si="36"/>
        <v>#N/A</v>
      </c>
      <c r="AP35" s="76" t="e">
        <f t="shared" si="37"/>
        <v>#N/A</v>
      </c>
      <c r="AQ35" s="76"/>
      <c r="AR35" s="77">
        <f t="shared" si="17"/>
        <v>47266.201315200007</v>
      </c>
      <c r="AS35" s="78">
        <v>0.05</v>
      </c>
      <c r="AT35" s="3"/>
      <c r="AU35" s="3"/>
      <c r="AV35" s="79"/>
    </row>
    <row r="36" spans="1:48" x14ac:dyDescent="0.2">
      <c r="A36" s="61" t="s">
        <v>46</v>
      </c>
      <c r="B36" s="61" t="s">
        <v>72</v>
      </c>
      <c r="C36" s="82">
        <v>100516208</v>
      </c>
      <c r="D36" s="63" t="s">
        <v>76</v>
      </c>
      <c r="E36" s="64">
        <v>7790360968203</v>
      </c>
      <c r="F36" s="84">
        <f>60*0.08</f>
        <v>4.8</v>
      </c>
      <c r="G36" s="85">
        <v>60</v>
      </c>
      <c r="I36" s="65">
        <f t="shared" si="2"/>
        <v>1420.9221255594753</v>
      </c>
      <c r="J36" s="65">
        <f t="shared" si="18"/>
        <v>1278.8299130035277</v>
      </c>
      <c r="K36" s="9">
        <f t="shared" si="3"/>
        <v>0.2592592592592593</v>
      </c>
      <c r="L36" s="65">
        <f t="shared" si="4"/>
        <v>869.86356018333345</v>
      </c>
      <c r="M36" s="65">
        <f t="shared" si="28"/>
        <v>10873.294502291668</v>
      </c>
      <c r="N36" s="68">
        <v>52191.813611000005</v>
      </c>
      <c r="O36" s="69"/>
      <c r="P36" s="65">
        <f t="shared" si="6"/>
        <v>52191.813611000005</v>
      </c>
      <c r="Q36" s="72"/>
      <c r="R36" s="65">
        <f t="shared" si="7"/>
        <v>52191.813611000005</v>
      </c>
      <c r="S36" s="65">
        <f t="shared" si="8"/>
        <v>869.86356018333345</v>
      </c>
      <c r="T36" s="14"/>
      <c r="U36" s="71"/>
      <c r="V36" s="67">
        <v>52191.81</v>
      </c>
      <c r="W36" s="72">
        <f t="shared" si="9"/>
        <v>6.918710049319543E-8</v>
      </c>
      <c r="X36" s="65">
        <f t="shared" si="29"/>
        <v>52191.81</v>
      </c>
      <c r="Y36" s="73">
        <v>0</v>
      </c>
      <c r="Z36" s="74">
        <f t="shared" si="30"/>
        <v>52191.813611000005</v>
      </c>
      <c r="AA36" s="75"/>
      <c r="AC36" s="3"/>
      <c r="AD36" s="55">
        <f t="shared" si="31"/>
        <v>-1043.8362722200002</v>
      </c>
      <c r="AE36" s="55">
        <f t="shared" si="32"/>
        <v>-4.4640000000000004</v>
      </c>
      <c r="AF36" s="55"/>
      <c r="AG36" s="55">
        <f t="shared" si="33"/>
        <v>51143.513338780002</v>
      </c>
      <c r="AH36" s="55">
        <v>-9824.8317464990378</v>
      </c>
      <c r="AI36" s="55">
        <v>-1334.9156567428372</v>
      </c>
      <c r="AJ36" s="55">
        <f t="shared" si="34"/>
        <v>39983.765935538126</v>
      </c>
      <c r="AK36" s="76">
        <f t="shared" si="35"/>
        <v>0.78179544824543945</v>
      </c>
      <c r="AL36" s="55"/>
      <c r="AM36" s="55">
        <v>-3175.6270343133651</v>
      </c>
      <c r="AN36" s="55">
        <v>-1224.8387906281553</v>
      </c>
      <c r="AO36" s="55">
        <f t="shared" si="36"/>
        <v>35583.300110596603</v>
      </c>
      <c r="AP36" s="76">
        <f t="shared" si="37"/>
        <v>0.69575392435183492</v>
      </c>
      <c r="AQ36" s="76"/>
      <c r="AR36" s="77">
        <f t="shared" si="17"/>
        <v>54801.40429155001</v>
      </c>
      <c r="AS36" s="78">
        <v>0.05</v>
      </c>
      <c r="AT36" s="3"/>
      <c r="AU36" s="3"/>
      <c r="AV36" s="79"/>
    </row>
    <row r="37" spans="1:48" x14ac:dyDescent="0.2">
      <c r="A37" s="61" t="s">
        <v>46</v>
      </c>
      <c r="B37" s="61" t="s">
        <v>72</v>
      </c>
      <c r="C37" s="82">
        <v>100021530</v>
      </c>
      <c r="D37" s="63" t="s">
        <v>77</v>
      </c>
      <c r="E37" s="64">
        <v>7790360006998</v>
      </c>
      <c r="F37" s="84">
        <v>4.3600000000000003</v>
      </c>
      <c r="G37" s="85">
        <v>40</v>
      </c>
      <c r="I37" s="65">
        <f t="shared" si="2"/>
        <v>0</v>
      </c>
      <c r="J37" s="65">
        <f t="shared" si="18"/>
        <v>0</v>
      </c>
      <c r="K37" s="9">
        <f t="shared" si="3"/>
        <v>0</v>
      </c>
      <c r="L37" s="65">
        <f t="shared" si="4"/>
        <v>0</v>
      </c>
      <c r="M37" s="65">
        <f t="shared" si="28"/>
        <v>0</v>
      </c>
      <c r="N37" s="68">
        <v>0</v>
      </c>
      <c r="O37" s="69"/>
      <c r="P37" s="65">
        <f t="shared" si="6"/>
        <v>0</v>
      </c>
      <c r="Q37" s="72"/>
      <c r="R37" s="65">
        <f t="shared" si="7"/>
        <v>0</v>
      </c>
      <c r="S37" s="65">
        <f t="shared" si="8"/>
        <v>0</v>
      </c>
      <c r="T37" s="14"/>
      <c r="U37" s="71"/>
      <c r="V37" s="67" t="s">
        <v>162</v>
      </c>
      <c r="W37" s="72" t="str">
        <f t="shared" si="9"/>
        <v/>
      </c>
      <c r="X37" s="65" t="str">
        <f t="shared" si="29"/>
        <v/>
      </c>
      <c r="Y37" s="73">
        <v>0</v>
      </c>
      <c r="Z37" s="74">
        <f t="shared" si="30"/>
        <v>0</v>
      </c>
      <c r="AA37" s="75"/>
      <c r="AC37" s="3"/>
      <c r="AD37" s="55">
        <f t="shared" si="31"/>
        <v>0</v>
      </c>
      <c r="AE37" s="55">
        <f t="shared" si="32"/>
        <v>-4.0548000000000002</v>
      </c>
      <c r="AF37" s="55"/>
      <c r="AG37" s="55">
        <f t="shared" si="33"/>
        <v>-4.0548000000000002</v>
      </c>
      <c r="AH37" s="55" t="e">
        <v>#N/A</v>
      </c>
      <c r="AI37" s="55" t="e">
        <v>#N/A</v>
      </c>
      <c r="AJ37" s="55" t="e">
        <f t="shared" si="34"/>
        <v>#N/A</v>
      </c>
      <c r="AK37" s="76" t="e">
        <f t="shared" si="35"/>
        <v>#N/A</v>
      </c>
      <c r="AL37" s="55"/>
      <c r="AM37" s="55" t="e">
        <v>#N/A</v>
      </c>
      <c r="AN37" s="55" t="e">
        <v>#N/A</v>
      </c>
      <c r="AO37" s="55" t="e">
        <f t="shared" si="36"/>
        <v>#N/A</v>
      </c>
      <c r="AP37" s="76" t="e">
        <f t="shared" si="37"/>
        <v>#N/A</v>
      </c>
      <c r="AQ37" s="76"/>
      <c r="AR37" s="77">
        <f t="shared" si="17"/>
        <v>0</v>
      </c>
      <c r="AS37" s="78">
        <v>0.05</v>
      </c>
      <c r="AT37" s="3"/>
      <c r="AU37" s="3"/>
      <c r="AV37" s="79"/>
    </row>
    <row r="38" spans="1:48" x14ac:dyDescent="0.2">
      <c r="A38" s="61" t="s">
        <v>46</v>
      </c>
      <c r="B38" s="61" t="s">
        <v>72</v>
      </c>
      <c r="C38" s="82">
        <v>100518346</v>
      </c>
      <c r="D38" s="83" t="s">
        <v>78</v>
      </c>
      <c r="E38" s="64">
        <v>7790360975478</v>
      </c>
      <c r="F38" s="65">
        <v>6.54</v>
      </c>
      <c r="G38" s="66">
        <v>60</v>
      </c>
      <c r="I38" s="65">
        <f t="shared" si="2"/>
        <v>2030.9097649376254</v>
      </c>
      <c r="J38" s="65">
        <f t="shared" si="18"/>
        <v>1827.8187884438628</v>
      </c>
      <c r="K38" s="9">
        <f t="shared" si="3"/>
        <v>0.2592592592592593</v>
      </c>
      <c r="L38" s="65">
        <f t="shared" si="4"/>
        <v>1243.2872757500002</v>
      </c>
      <c r="M38" s="65">
        <f t="shared" si="28"/>
        <v>11406.305282110092</v>
      </c>
      <c r="N38" s="68">
        <v>74597.236545000007</v>
      </c>
      <c r="O38" s="69"/>
      <c r="P38" s="65">
        <f t="shared" si="6"/>
        <v>74597.236545000007</v>
      </c>
      <c r="Q38" s="72"/>
      <c r="R38" s="65">
        <f t="shared" si="7"/>
        <v>74597.236545000007</v>
      </c>
      <c r="S38" s="65">
        <f t="shared" si="8"/>
        <v>1243.2872757500002</v>
      </c>
      <c r="T38" s="14"/>
      <c r="U38" s="71"/>
      <c r="V38" s="67">
        <v>74597.23</v>
      </c>
      <c r="W38" s="72">
        <f t="shared" si="9"/>
        <v>8.7737842324742132E-8</v>
      </c>
      <c r="X38" s="65">
        <f t="shared" si="29"/>
        <v>74597.23</v>
      </c>
      <c r="Y38" s="73">
        <v>0</v>
      </c>
      <c r="Z38" s="74">
        <f t="shared" si="30"/>
        <v>74597.236545000007</v>
      </c>
      <c r="AA38" s="75"/>
      <c r="AC38" s="3"/>
      <c r="AD38" s="55">
        <f t="shared" si="31"/>
        <v>-1491.9447309000002</v>
      </c>
      <c r="AE38" s="55">
        <f t="shared" si="32"/>
        <v>-6.0822000000000003</v>
      </c>
      <c r="AF38" s="55"/>
      <c r="AG38" s="55">
        <f t="shared" si="33"/>
        <v>73099.209614100007</v>
      </c>
      <c r="AH38" s="55">
        <v>-15307.682517148713</v>
      </c>
      <c r="AI38" s="55">
        <v>-1862.5408724580889</v>
      </c>
      <c r="AJ38" s="55">
        <f t="shared" si="34"/>
        <v>55928.986224493201</v>
      </c>
      <c r="AK38" s="76">
        <f t="shared" si="35"/>
        <v>0.76511068340888233</v>
      </c>
      <c r="AL38" s="55"/>
      <c r="AM38" s="55">
        <v>-4499.863507622038</v>
      </c>
      <c r="AN38" s="55">
        <v>-1178.095818786019</v>
      </c>
      <c r="AO38" s="55">
        <f t="shared" si="36"/>
        <v>50251.026898085147</v>
      </c>
      <c r="AP38" s="76">
        <f t="shared" si="37"/>
        <v>0.68743598136514317</v>
      </c>
      <c r="AQ38" s="76"/>
      <c r="AR38" s="77">
        <f t="shared" si="17"/>
        <v>78327.09837225001</v>
      </c>
      <c r="AS38" s="78">
        <v>0.05</v>
      </c>
      <c r="AT38" s="3"/>
      <c r="AU38" s="3"/>
      <c r="AV38" s="79"/>
    </row>
    <row r="39" spans="1:48" x14ac:dyDescent="0.2">
      <c r="A39" s="61" t="s">
        <v>46</v>
      </c>
      <c r="B39" s="61" t="s">
        <v>72</v>
      </c>
      <c r="C39" s="82">
        <v>100516259</v>
      </c>
      <c r="D39" s="63" t="s">
        <v>79</v>
      </c>
      <c r="E39" s="64">
        <v>7790360968340</v>
      </c>
      <c r="F39" s="84">
        <v>18.16</v>
      </c>
      <c r="G39" s="85">
        <v>48</v>
      </c>
      <c r="I39" s="65">
        <f t="shared" si="2"/>
        <v>5873.6192274725618</v>
      </c>
      <c r="J39" s="65">
        <f t="shared" si="18"/>
        <v>5286.2573047253054</v>
      </c>
      <c r="K39" s="9">
        <f t="shared" si="3"/>
        <v>0.25925925925925924</v>
      </c>
      <c r="L39" s="65">
        <f t="shared" si="4"/>
        <v>3595.7264937083332</v>
      </c>
      <c r="M39" s="65">
        <f t="shared" si="28"/>
        <v>9504.122890859031</v>
      </c>
      <c r="N39" s="68">
        <v>172594.871698</v>
      </c>
      <c r="O39" s="69"/>
      <c r="P39" s="65">
        <f t="shared" si="6"/>
        <v>172594.871698</v>
      </c>
      <c r="Q39" s="72"/>
      <c r="R39" s="65">
        <f t="shared" si="7"/>
        <v>172594.871698</v>
      </c>
      <c r="S39" s="65">
        <f t="shared" si="8"/>
        <v>3595.7264937083332</v>
      </c>
      <c r="T39" s="14"/>
      <c r="U39" s="71"/>
      <c r="V39" s="67">
        <v>172594.88</v>
      </c>
      <c r="W39" s="72">
        <f t="shared" si="9"/>
        <v>-4.8101079230811195E-8</v>
      </c>
      <c r="X39" s="65">
        <f t="shared" si="29"/>
        <v>172594.88</v>
      </c>
      <c r="Y39" s="73">
        <v>0</v>
      </c>
      <c r="Z39" s="74">
        <f t="shared" si="30"/>
        <v>172594.871698</v>
      </c>
      <c r="AA39" s="75"/>
      <c r="AC39" s="3"/>
      <c r="AD39" s="55">
        <f t="shared" si="31"/>
        <v>-3451.8974339599999</v>
      </c>
      <c r="AE39" s="55">
        <f t="shared" si="32"/>
        <v>-16.8888</v>
      </c>
      <c r="AF39" s="55"/>
      <c r="AG39" s="55">
        <f t="shared" si="33"/>
        <v>169126.08546404002</v>
      </c>
      <c r="AH39" s="55" t="e">
        <v>#N/A</v>
      </c>
      <c r="AI39" s="55" t="e">
        <v>#N/A</v>
      </c>
      <c r="AJ39" s="55" t="e">
        <f t="shared" si="34"/>
        <v>#N/A</v>
      </c>
      <c r="AK39" s="76" t="e">
        <f t="shared" si="35"/>
        <v>#N/A</v>
      </c>
      <c r="AL39" s="55"/>
      <c r="AM39" s="55" t="e">
        <v>#N/A</v>
      </c>
      <c r="AN39" s="55" t="e">
        <v>#N/A</v>
      </c>
      <c r="AO39" s="55" t="e">
        <f t="shared" si="36"/>
        <v>#N/A</v>
      </c>
      <c r="AP39" s="76" t="e">
        <f t="shared" si="37"/>
        <v>#N/A</v>
      </c>
      <c r="AQ39" s="76"/>
      <c r="AR39" s="77">
        <f t="shared" si="17"/>
        <v>181224.61528290002</v>
      </c>
      <c r="AS39" s="78">
        <v>0.05</v>
      </c>
      <c r="AT39" s="3"/>
      <c r="AU39" s="3"/>
      <c r="AV39" s="79"/>
    </row>
    <row r="40" spans="1:48" x14ac:dyDescent="0.2">
      <c r="A40" s="61" t="s">
        <v>46</v>
      </c>
      <c r="B40" s="61" t="s">
        <v>72</v>
      </c>
      <c r="C40" s="82">
        <v>100516191</v>
      </c>
      <c r="D40" s="83" t="s">
        <v>80</v>
      </c>
      <c r="E40" s="64">
        <v>7790360008428</v>
      </c>
      <c r="F40" s="65">
        <v>4.9800000000000004</v>
      </c>
      <c r="G40" s="66">
        <v>60</v>
      </c>
      <c r="I40" s="65">
        <f t="shared" si="2"/>
        <v>0</v>
      </c>
      <c r="J40" s="65">
        <f t="shared" si="18"/>
        <v>0</v>
      </c>
      <c r="K40" s="9">
        <f t="shared" si="3"/>
        <v>0</v>
      </c>
      <c r="L40" s="65">
        <f t="shared" si="4"/>
        <v>0</v>
      </c>
      <c r="M40" s="65">
        <f t="shared" si="28"/>
        <v>0</v>
      </c>
      <c r="N40" s="68">
        <v>0</v>
      </c>
      <c r="O40" s="72"/>
      <c r="P40" s="65">
        <f t="shared" si="6"/>
        <v>0</v>
      </c>
      <c r="Q40" s="72"/>
      <c r="R40" s="65">
        <f t="shared" si="7"/>
        <v>0</v>
      </c>
      <c r="S40" s="65">
        <f t="shared" si="8"/>
        <v>0</v>
      </c>
      <c r="T40" s="14"/>
      <c r="U40" s="71"/>
      <c r="V40" s="65" t="s">
        <v>162</v>
      </c>
      <c r="W40" s="72" t="str">
        <f t="shared" si="9"/>
        <v/>
      </c>
      <c r="X40" s="65" t="str">
        <f t="shared" si="29"/>
        <v/>
      </c>
      <c r="Y40" s="73">
        <v>0</v>
      </c>
      <c r="Z40" s="74">
        <f t="shared" si="30"/>
        <v>0</v>
      </c>
      <c r="AA40" s="75"/>
      <c r="AC40" s="3"/>
      <c r="AD40" s="55">
        <f t="shared" si="31"/>
        <v>0</v>
      </c>
      <c r="AE40" s="55">
        <f t="shared" si="32"/>
        <v>-4.6314000000000011</v>
      </c>
      <c r="AF40" s="55"/>
      <c r="AG40" s="55">
        <f t="shared" si="33"/>
        <v>-4.6314000000000011</v>
      </c>
      <c r="AH40" s="55">
        <v>-9847.0652319524543</v>
      </c>
      <c r="AI40" s="55">
        <v>-1211.9498326934238</v>
      </c>
      <c r="AJ40" s="55">
        <f t="shared" si="34"/>
        <v>-11063.646464645879</v>
      </c>
      <c r="AK40" s="76">
        <f t="shared" si="35"/>
        <v>2388.8341461860077</v>
      </c>
      <c r="AL40" s="55"/>
      <c r="AM40" s="55">
        <v>-3175.6270343133651</v>
      </c>
      <c r="AN40" s="55">
        <v>0</v>
      </c>
      <c r="AO40" s="55">
        <f t="shared" si="36"/>
        <v>-14239.273498959245</v>
      </c>
      <c r="AP40" s="76">
        <f t="shared" si="37"/>
        <v>3074.5073841514964</v>
      </c>
      <c r="AQ40" s="76"/>
      <c r="AR40" s="77">
        <f t="shared" si="17"/>
        <v>0</v>
      </c>
      <c r="AS40" s="78">
        <v>0.05</v>
      </c>
      <c r="AT40" s="3"/>
    </row>
    <row r="41" spans="1:48" hidden="1" x14ac:dyDescent="0.2">
      <c r="A41" s="61" t="s">
        <v>46</v>
      </c>
      <c r="B41" s="61" t="s">
        <v>81</v>
      </c>
      <c r="C41" s="82">
        <v>100021669</v>
      </c>
      <c r="D41" s="83" t="s">
        <v>82</v>
      </c>
      <c r="E41" s="64">
        <v>8480017241375</v>
      </c>
      <c r="F41" s="65">
        <v>5.9749999999999996</v>
      </c>
      <c r="G41" s="66">
        <v>18</v>
      </c>
      <c r="I41" s="65">
        <f t="shared" si="2"/>
        <v>0</v>
      </c>
      <c r="J41" s="65">
        <f t="shared" si="18"/>
        <v>0</v>
      </c>
      <c r="K41" s="9">
        <f t="shared" si="3"/>
        <v>0</v>
      </c>
      <c r="L41" s="65">
        <f t="shared" si="4"/>
        <v>0</v>
      </c>
      <c r="M41" s="65">
        <f t="shared" si="28"/>
        <v>0</v>
      </c>
      <c r="N41" s="68">
        <v>0</v>
      </c>
      <c r="O41" s="72"/>
      <c r="P41" s="65">
        <f t="shared" si="6"/>
        <v>0</v>
      </c>
      <c r="Q41" s="72"/>
      <c r="R41" s="65">
        <f t="shared" si="7"/>
        <v>0</v>
      </c>
      <c r="S41" s="65">
        <f t="shared" si="8"/>
        <v>0</v>
      </c>
      <c r="T41" s="14"/>
      <c r="U41" s="71"/>
      <c r="V41" s="65" t="s">
        <v>162</v>
      </c>
      <c r="W41" s="72" t="str">
        <f t="shared" si="9"/>
        <v/>
      </c>
      <c r="X41" s="65" t="str">
        <f t="shared" si="29"/>
        <v/>
      </c>
      <c r="Y41" s="73">
        <v>0</v>
      </c>
      <c r="Z41" s="74"/>
      <c r="AA41" s="75"/>
      <c r="AC41" s="3"/>
      <c r="AD41" s="55">
        <f t="shared" si="31"/>
        <v>0</v>
      </c>
      <c r="AE41" s="55">
        <f t="shared" si="32"/>
        <v>-5.5567500000000001</v>
      </c>
      <c r="AF41" s="55"/>
      <c r="AG41" s="55">
        <f t="shared" si="33"/>
        <v>-5.5567500000000001</v>
      </c>
      <c r="AH41" s="55">
        <v>0</v>
      </c>
      <c r="AI41" s="55">
        <v>0</v>
      </c>
      <c r="AJ41" s="55">
        <f t="shared" si="34"/>
        <v>-5.5567500000000001</v>
      </c>
      <c r="AK41" s="76">
        <f t="shared" si="35"/>
        <v>1</v>
      </c>
      <c r="AL41" s="55"/>
      <c r="AM41" s="55">
        <v>-3850.1857676159998</v>
      </c>
      <c r="AN41" s="55">
        <v>0</v>
      </c>
      <c r="AO41" s="55">
        <f t="shared" si="36"/>
        <v>-3855.742517616</v>
      </c>
      <c r="AP41" s="76">
        <f t="shared" si="37"/>
        <v>693.88446801025782</v>
      </c>
      <c r="AQ41" s="76"/>
      <c r="AR41" s="77">
        <f t="shared" si="17"/>
        <v>0</v>
      </c>
      <c r="AS41" s="78">
        <v>0.05</v>
      </c>
      <c r="AT41" s="3"/>
    </row>
    <row r="42" spans="1:48" hidden="1" x14ac:dyDescent="0.2">
      <c r="A42" s="61" t="s">
        <v>46</v>
      </c>
      <c r="B42" s="61" t="s">
        <v>81</v>
      </c>
      <c r="C42" s="82">
        <v>100021670</v>
      </c>
      <c r="D42" s="83" t="s">
        <v>83</v>
      </c>
      <c r="E42" s="64">
        <v>8480017241382</v>
      </c>
      <c r="F42" s="65">
        <v>11.95</v>
      </c>
      <c r="G42" s="66">
        <v>12</v>
      </c>
      <c r="I42" s="65">
        <f t="shared" si="2"/>
        <v>0</v>
      </c>
      <c r="J42" s="65">
        <f t="shared" si="18"/>
        <v>0</v>
      </c>
      <c r="K42" s="9">
        <f t="shared" si="3"/>
        <v>0</v>
      </c>
      <c r="L42" s="65">
        <f t="shared" si="4"/>
        <v>0</v>
      </c>
      <c r="M42" s="65">
        <f t="shared" si="28"/>
        <v>0</v>
      </c>
      <c r="N42" s="68">
        <v>0</v>
      </c>
      <c r="O42" s="72"/>
      <c r="P42" s="65">
        <f t="shared" si="6"/>
        <v>0</v>
      </c>
      <c r="Q42" s="72"/>
      <c r="R42" s="65">
        <f t="shared" si="7"/>
        <v>0</v>
      </c>
      <c r="S42" s="65">
        <f t="shared" si="8"/>
        <v>0</v>
      </c>
      <c r="T42" s="14"/>
      <c r="U42" s="71"/>
      <c r="V42" s="65" t="s">
        <v>162</v>
      </c>
      <c r="W42" s="72" t="str">
        <f t="shared" si="9"/>
        <v/>
      </c>
      <c r="X42" s="65" t="str">
        <f t="shared" si="29"/>
        <v/>
      </c>
      <c r="Y42" s="73">
        <v>0</v>
      </c>
      <c r="Z42" s="74"/>
      <c r="AA42" s="75"/>
      <c r="AC42" s="3"/>
      <c r="AD42" s="55">
        <f t="shared" si="31"/>
        <v>0</v>
      </c>
      <c r="AE42" s="55">
        <f t="shared" si="32"/>
        <v>-11.1135</v>
      </c>
      <c r="AF42" s="55"/>
      <c r="AG42" s="55">
        <f t="shared" si="33"/>
        <v>-11.1135</v>
      </c>
      <c r="AH42" s="55" t="e">
        <v>#N/A</v>
      </c>
      <c r="AI42" s="55" t="e">
        <v>#N/A</v>
      </c>
      <c r="AJ42" s="55" t="e">
        <f t="shared" si="34"/>
        <v>#N/A</v>
      </c>
      <c r="AK42" s="76" t="e">
        <f t="shared" si="35"/>
        <v>#N/A</v>
      </c>
      <c r="AL42" s="55"/>
      <c r="AM42" s="55" t="e">
        <v>#N/A</v>
      </c>
      <c r="AN42" s="55" t="e">
        <v>#N/A</v>
      </c>
      <c r="AO42" s="55" t="e">
        <f t="shared" si="36"/>
        <v>#N/A</v>
      </c>
      <c r="AP42" s="76" t="e">
        <f t="shared" si="37"/>
        <v>#N/A</v>
      </c>
      <c r="AQ42" s="76"/>
      <c r="AR42" s="77">
        <f t="shared" si="17"/>
        <v>0</v>
      </c>
      <c r="AS42" s="78">
        <v>0.05</v>
      </c>
      <c r="AT42" s="3"/>
    </row>
    <row r="43" spans="1:48" hidden="1" x14ac:dyDescent="0.2">
      <c r="A43" s="61" t="s">
        <v>46</v>
      </c>
      <c r="B43" s="61" t="s">
        <v>81</v>
      </c>
      <c r="C43" s="82">
        <v>100021671</v>
      </c>
      <c r="D43" s="83" t="s">
        <v>84</v>
      </c>
      <c r="E43" s="64">
        <v>8480017241399</v>
      </c>
      <c r="F43" s="65">
        <v>9.9600000000000009</v>
      </c>
      <c r="G43" s="66">
        <v>6</v>
      </c>
      <c r="I43" s="65">
        <f t="shared" si="2"/>
        <v>0</v>
      </c>
      <c r="J43" s="65">
        <f t="shared" si="18"/>
        <v>0</v>
      </c>
      <c r="K43" s="9">
        <f t="shared" si="3"/>
        <v>0</v>
      </c>
      <c r="L43" s="65">
        <f t="shared" si="4"/>
        <v>0</v>
      </c>
      <c r="M43" s="65">
        <f t="shared" si="28"/>
        <v>0</v>
      </c>
      <c r="N43" s="68">
        <v>0</v>
      </c>
      <c r="O43" s="72"/>
      <c r="P43" s="65">
        <f t="shared" si="6"/>
        <v>0</v>
      </c>
      <c r="Q43" s="72"/>
      <c r="R43" s="65">
        <f t="shared" si="7"/>
        <v>0</v>
      </c>
      <c r="S43" s="65">
        <f t="shared" si="8"/>
        <v>0</v>
      </c>
      <c r="T43" s="14"/>
      <c r="U43" s="71"/>
      <c r="V43" s="65" t="s">
        <v>162</v>
      </c>
      <c r="W43" s="72" t="str">
        <f t="shared" si="9"/>
        <v/>
      </c>
      <c r="X43" s="65" t="str">
        <f t="shared" si="29"/>
        <v/>
      </c>
      <c r="Y43" s="73">
        <v>0</v>
      </c>
      <c r="Z43" s="74"/>
      <c r="AA43" s="75"/>
      <c r="AC43" s="3"/>
      <c r="AD43" s="55">
        <f t="shared" si="31"/>
        <v>0</v>
      </c>
      <c r="AE43" s="55">
        <f t="shared" si="32"/>
        <v>-9.2628000000000021</v>
      </c>
      <c r="AF43" s="55"/>
      <c r="AG43" s="55">
        <f t="shared" si="33"/>
        <v>-9.2628000000000021</v>
      </c>
      <c r="AH43" s="55" t="e">
        <v>#N/A</v>
      </c>
      <c r="AI43" s="55" t="e">
        <v>#N/A</v>
      </c>
      <c r="AJ43" s="55" t="e">
        <f t="shared" si="34"/>
        <v>#N/A</v>
      </c>
      <c r="AK43" s="76" t="e">
        <f t="shared" si="35"/>
        <v>#N/A</v>
      </c>
      <c r="AL43" s="55"/>
      <c r="AM43" s="55" t="e">
        <v>#N/A</v>
      </c>
      <c r="AN43" s="55" t="e">
        <v>#N/A</v>
      </c>
      <c r="AO43" s="55" t="e">
        <f t="shared" si="36"/>
        <v>#N/A</v>
      </c>
      <c r="AP43" s="76" t="e">
        <f t="shared" si="37"/>
        <v>#N/A</v>
      </c>
      <c r="AQ43" s="76"/>
      <c r="AR43" s="77">
        <f t="shared" si="17"/>
        <v>0</v>
      </c>
      <c r="AS43" s="78">
        <v>0.05</v>
      </c>
      <c r="AT43" s="3"/>
    </row>
    <row r="44" spans="1:48" hidden="1" x14ac:dyDescent="0.2">
      <c r="A44" s="61" t="s">
        <v>46</v>
      </c>
      <c r="B44" s="61" t="s">
        <v>81</v>
      </c>
      <c r="C44" s="82">
        <v>100021647</v>
      </c>
      <c r="D44" s="83" t="s">
        <v>85</v>
      </c>
      <c r="E44" s="64">
        <v>7798158708925</v>
      </c>
      <c r="F44" s="65">
        <v>5.76</v>
      </c>
      <c r="G44" s="66">
        <v>18</v>
      </c>
      <c r="I44" s="65">
        <f t="shared" si="2"/>
        <v>0</v>
      </c>
      <c r="J44" s="65">
        <f t="shared" si="18"/>
        <v>0</v>
      </c>
      <c r="K44" s="9">
        <f t="shared" si="3"/>
        <v>0</v>
      </c>
      <c r="L44" s="65">
        <f t="shared" si="4"/>
        <v>0</v>
      </c>
      <c r="M44" s="65">
        <f t="shared" si="28"/>
        <v>0</v>
      </c>
      <c r="N44" s="68">
        <v>0</v>
      </c>
      <c r="O44" s="72"/>
      <c r="P44" s="65">
        <f t="shared" si="6"/>
        <v>0</v>
      </c>
      <c r="Q44" s="72"/>
      <c r="R44" s="65">
        <f t="shared" si="7"/>
        <v>0</v>
      </c>
      <c r="S44" s="65">
        <f t="shared" si="8"/>
        <v>0</v>
      </c>
      <c r="T44" s="14"/>
      <c r="U44" s="71"/>
      <c r="V44" s="65" t="s">
        <v>162</v>
      </c>
      <c r="W44" s="72" t="str">
        <f t="shared" si="9"/>
        <v/>
      </c>
      <c r="X44" s="65" t="str">
        <f t="shared" si="29"/>
        <v/>
      </c>
      <c r="Y44" s="73">
        <v>0</v>
      </c>
      <c r="Z44" s="74"/>
      <c r="AA44" s="75"/>
      <c r="AC44" s="3"/>
      <c r="AD44" s="55">
        <f t="shared" si="31"/>
        <v>0</v>
      </c>
      <c r="AE44" s="55">
        <f t="shared" si="32"/>
        <v>-5.3567999999999998</v>
      </c>
      <c r="AF44" s="55"/>
      <c r="AG44" s="55">
        <f t="shared" si="33"/>
        <v>-5.3567999999999998</v>
      </c>
      <c r="AH44" s="55">
        <v>-26451.447936260458</v>
      </c>
      <c r="AI44" s="55">
        <v>-891.63348049216461</v>
      </c>
      <c r="AJ44" s="55">
        <f t="shared" si="34"/>
        <v>-27348.438216752624</v>
      </c>
      <c r="AK44" s="76">
        <f t="shared" si="35"/>
        <v>5105.3685440473091</v>
      </c>
      <c r="AL44" s="55"/>
      <c r="AM44" s="55">
        <v>-3810.7524411760378</v>
      </c>
      <c r="AN44" s="55">
        <v>0</v>
      </c>
      <c r="AO44" s="55">
        <f t="shared" si="36"/>
        <v>-31159.190657928662</v>
      </c>
      <c r="AP44" s="76">
        <f t="shared" si="37"/>
        <v>5816.7545284365042</v>
      </c>
      <c r="AQ44" s="76"/>
      <c r="AR44" s="77">
        <f t="shared" si="17"/>
        <v>0</v>
      </c>
      <c r="AS44" s="78">
        <v>0.05</v>
      </c>
      <c r="AT44" s="3"/>
    </row>
    <row r="45" spans="1:48" hidden="1" x14ac:dyDescent="0.2">
      <c r="A45" s="61" t="s">
        <v>46</v>
      </c>
      <c r="B45" s="61" t="s">
        <v>81</v>
      </c>
      <c r="C45" s="82">
        <v>100021648</v>
      </c>
      <c r="D45" s="83" t="s">
        <v>86</v>
      </c>
      <c r="E45" s="64">
        <v>7798158708932</v>
      </c>
      <c r="F45" s="65">
        <v>7.68</v>
      </c>
      <c r="G45" s="66">
        <v>8</v>
      </c>
      <c r="I45" s="65">
        <f t="shared" si="2"/>
        <v>0</v>
      </c>
      <c r="J45" s="65">
        <f t="shared" si="18"/>
        <v>0</v>
      </c>
      <c r="K45" s="9">
        <f t="shared" si="3"/>
        <v>0</v>
      </c>
      <c r="L45" s="65">
        <f t="shared" si="4"/>
        <v>0</v>
      </c>
      <c r="M45" s="65">
        <f t="shared" si="28"/>
        <v>0</v>
      </c>
      <c r="N45" s="68">
        <v>0</v>
      </c>
      <c r="O45" s="72"/>
      <c r="P45" s="65">
        <f t="shared" si="6"/>
        <v>0</v>
      </c>
      <c r="Q45" s="72"/>
      <c r="R45" s="65">
        <f t="shared" si="7"/>
        <v>0</v>
      </c>
      <c r="S45" s="65">
        <f t="shared" si="8"/>
        <v>0</v>
      </c>
      <c r="T45" s="14"/>
      <c r="U45" s="71"/>
      <c r="V45" s="65" t="s">
        <v>162</v>
      </c>
      <c r="W45" s="72" t="str">
        <f t="shared" si="9"/>
        <v/>
      </c>
      <c r="X45" s="65" t="str">
        <f t="shared" si="29"/>
        <v/>
      </c>
      <c r="Y45" s="73">
        <v>0</v>
      </c>
      <c r="Z45" s="74"/>
      <c r="AA45" s="75"/>
      <c r="AC45" s="3"/>
      <c r="AD45" s="55">
        <f t="shared" si="31"/>
        <v>0</v>
      </c>
      <c r="AE45" s="55">
        <f t="shared" si="32"/>
        <v>-7.1424000000000003</v>
      </c>
      <c r="AF45" s="55"/>
      <c r="AG45" s="55">
        <f t="shared" si="33"/>
        <v>-7.1424000000000003</v>
      </c>
      <c r="AH45" s="55">
        <v>-34886.993490148314</v>
      </c>
      <c r="AI45" s="55">
        <v>-1188.8446406562196</v>
      </c>
      <c r="AJ45" s="55">
        <f t="shared" si="34"/>
        <v>-36082.980530804532</v>
      </c>
      <c r="AK45" s="76">
        <f t="shared" si="35"/>
        <v>5051.9405985109388</v>
      </c>
      <c r="AL45" s="55"/>
      <c r="AM45" s="55">
        <v>-5081.003254901384</v>
      </c>
      <c r="AN45" s="55">
        <v>0</v>
      </c>
      <c r="AO45" s="55">
        <f t="shared" si="36"/>
        <v>-41163.983785705917</v>
      </c>
      <c r="AP45" s="76">
        <f t="shared" si="37"/>
        <v>5763.3265829001339</v>
      </c>
      <c r="AQ45" s="76"/>
      <c r="AR45" s="77">
        <f t="shared" si="17"/>
        <v>0</v>
      </c>
      <c r="AS45" s="78">
        <v>0.05</v>
      </c>
      <c r="AT45" s="3"/>
    </row>
    <row r="46" spans="1:48" hidden="1" x14ac:dyDescent="0.2">
      <c r="A46" s="61" t="s">
        <v>46</v>
      </c>
      <c r="B46" s="61" t="s">
        <v>81</v>
      </c>
      <c r="C46" s="82">
        <v>100021649</v>
      </c>
      <c r="D46" s="83" t="s">
        <v>87</v>
      </c>
      <c r="E46" s="64">
        <v>7798158708949</v>
      </c>
      <c r="F46" s="65">
        <v>9.6</v>
      </c>
      <c r="G46" s="66">
        <v>6</v>
      </c>
      <c r="I46" s="65">
        <f t="shared" si="2"/>
        <v>0</v>
      </c>
      <c r="J46" s="65">
        <f t="shared" si="18"/>
        <v>0</v>
      </c>
      <c r="K46" s="9">
        <f t="shared" si="3"/>
        <v>0</v>
      </c>
      <c r="L46" s="65">
        <f t="shared" si="4"/>
        <v>0</v>
      </c>
      <c r="M46" s="65">
        <f t="shared" si="28"/>
        <v>0</v>
      </c>
      <c r="N46" s="68">
        <v>0</v>
      </c>
      <c r="O46" s="72"/>
      <c r="P46" s="65">
        <f t="shared" si="6"/>
        <v>0</v>
      </c>
      <c r="Q46" s="72"/>
      <c r="R46" s="65">
        <f t="shared" si="7"/>
        <v>0</v>
      </c>
      <c r="S46" s="65">
        <f t="shared" si="8"/>
        <v>0</v>
      </c>
      <c r="T46" s="14"/>
      <c r="U46" s="71"/>
      <c r="V46" s="65" t="s">
        <v>162</v>
      </c>
      <c r="W46" s="72" t="str">
        <f t="shared" si="9"/>
        <v/>
      </c>
      <c r="X46" s="65" t="str">
        <f t="shared" si="29"/>
        <v/>
      </c>
      <c r="Y46" s="73">
        <v>0</v>
      </c>
      <c r="Z46" s="74"/>
      <c r="AA46" s="75"/>
      <c r="AC46" s="3"/>
      <c r="AD46" s="55">
        <f t="shared" si="31"/>
        <v>0</v>
      </c>
      <c r="AE46" s="55">
        <f t="shared" si="32"/>
        <v>-8.9280000000000008</v>
      </c>
      <c r="AF46" s="55"/>
      <c r="AG46" s="55">
        <f t="shared" si="33"/>
        <v>-8.9280000000000008</v>
      </c>
      <c r="AH46" s="55">
        <v>-42995.555777725596</v>
      </c>
      <c r="AI46" s="55">
        <v>-1486.0558008202743</v>
      </c>
      <c r="AJ46" s="55">
        <f t="shared" si="34"/>
        <v>-44490.539578545868</v>
      </c>
      <c r="AK46" s="76">
        <f t="shared" si="35"/>
        <v>4983.2593613962663</v>
      </c>
      <c r="AL46" s="55"/>
      <c r="AM46" s="55">
        <v>-6351.2540686267303</v>
      </c>
      <c r="AN46" s="55">
        <v>0</v>
      </c>
      <c r="AO46" s="55">
        <f t="shared" si="36"/>
        <v>-50841.793647172599</v>
      </c>
      <c r="AP46" s="76">
        <f t="shared" si="37"/>
        <v>5694.6453457854604</v>
      </c>
      <c r="AQ46" s="76"/>
      <c r="AR46" s="77">
        <f t="shared" si="17"/>
        <v>0</v>
      </c>
      <c r="AS46" s="78">
        <v>0.05</v>
      </c>
      <c r="AT46" s="3"/>
    </row>
    <row r="47" spans="1:48" x14ac:dyDescent="0.2">
      <c r="A47" s="61" t="s">
        <v>46</v>
      </c>
      <c r="B47" s="61" t="s">
        <v>47</v>
      </c>
      <c r="C47" s="82">
        <v>100518095</v>
      </c>
      <c r="D47" s="63" t="s">
        <v>88</v>
      </c>
      <c r="E47" s="64">
        <v>7790360974785</v>
      </c>
      <c r="F47" s="84">
        <v>6.66</v>
      </c>
      <c r="G47" s="85">
        <v>36</v>
      </c>
      <c r="I47" s="65">
        <f t="shared" si="2"/>
        <v>3902.0146908765</v>
      </c>
      <c r="J47" s="65">
        <f t="shared" si="18"/>
        <v>3511.8132217888501</v>
      </c>
      <c r="K47" s="9">
        <f t="shared" si="3"/>
        <v>0.25925925925925924</v>
      </c>
      <c r="L47" s="96">
        <f t="shared" si="4"/>
        <v>2388.7448367777779</v>
      </c>
      <c r="M47" s="96">
        <f t="shared" si="28"/>
        <v>12912.134252852855</v>
      </c>
      <c r="N47" s="68">
        <v>85994.814124000011</v>
      </c>
      <c r="O47" s="97"/>
      <c r="P47" s="96">
        <f t="shared" si="6"/>
        <v>85994.814124000011</v>
      </c>
      <c r="Q47" s="97"/>
      <c r="R47" s="96">
        <f t="shared" si="7"/>
        <v>85994.814124000011</v>
      </c>
      <c r="S47" s="96">
        <f t="shared" si="8"/>
        <v>2388.7448367777779</v>
      </c>
      <c r="T47" s="14"/>
      <c r="U47" s="71"/>
      <c r="V47" s="65">
        <v>85994.81</v>
      </c>
      <c r="W47" s="72">
        <f t="shared" si="9"/>
        <v>4.7956382642766471E-8</v>
      </c>
      <c r="X47" s="65">
        <f t="shared" si="29"/>
        <v>85994.81</v>
      </c>
      <c r="Y47" s="73"/>
      <c r="Z47" s="74"/>
      <c r="AA47" s="75"/>
      <c r="AC47" s="3"/>
      <c r="AD47" s="55"/>
      <c r="AE47" s="55"/>
      <c r="AF47" s="55"/>
      <c r="AG47" s="55"/>
      <c r="AH47" s="55">
        <v>-28681.931669245503</v>
      </c>
      <c r="AI47" s="55">
        <v>-1977.5607792298713</v>
      </c>
      <c r="AJ47" s="55"/>
      <c r="AK47" s="76"/>
      <c r="AL47" s="55"/>
      <c r="AM47" s="55">
        <v>-4451.7772938059998</v>
      </c>
      <c r="AN47" s="55">
        <v>0</v>
      </c>
      <c r="AO47" s="55"/>
      <c r="AP47" s="76"/>
      <c r="AQ47" s="76"/>
      <c r="AR47" s="77">
        <f t="shared" si="17"/>
        <v>90294.55483020001</v>
      </c>
      <c r="AS47" s="78">
        <v>0.05</v>
      </c>
      <c r="AT47" s="3"/>
      <c r="AU47" s="3"/>
      <c r="AV47" s="79"/>
    </row>
    <row r="48" spans="1:48" ht="12.6" hidden="1" customHeight="1" x14ac:dyDescent="0.2">
      <c r="A48" s="61" t="s">
        <v>46</v>
      </c>
      <c r="B48" s="61" t="s">
        <v>47</v>
      </c>
      <c r="C48" s="82">
        <v>100518163</v>
      </c>
      <c r="D48" s="83" t="s">
        <v>89</v>
      </c>
      <c r="E48" s="64"/>
      <c r="F48" s="65">
        <v>4.8</v>
      </c>
      <c r="G48" s="66">
        <v>30</v>
      </c>
      <c r="I48" s="65">
        <f t="shared" si="2"/>
        <v>0</v>
      </c>
      <c r="J48" s="65">
        <f>+I48*0.8</f>
        <v>0</v>
      </c>
      <c r="K48" s="9">
        <f t="shared" si="3"/>
        <v>0</v>
      </c>
      <c r="L48" s="65">
        <f t="shared" si="4"/>
        <v>0</v>
      </c>
      <c r="M48" s="65">
        <f t="shared" si="28"/>
        <v>0</v>
      </c>
      <c r="N48" s="68"/>
      <c r="O48" s="72"/>
      <c r="P48" s="65">
        <f t="shared" si="6"/>
        <v>0</v>
      </c>
      <c r="Q48" s="72"/>
      <c r="R48" s="65">
        <f t="shared" si="7"/>
        <v>0</v>
      </c>
      <c r="S48" s="65">
        <f t="shared" si="8"/>
        <v>0</v>
      </c>
      <c r="T48" s="14"/>
      <c r="U48"/>
      <c r="V48" s="65" t="s">
        <v>162</v>
      </c>
      <c r="W48" s="72" t="str">
        <f t="shared" si="9"/>
        <v/>
      </c>
      <c r="X48" s="65" t="str">
        <f t="shared" si="29"/>
        <v/>
      </c>
      <c r="Y48" s="73"/>
      <c r="Z48" s="74"/>
      <c r="AA48" s="75"/>
      <c r="AC48" s="3"/>
      <c r="AD48" s="55"/>
      <c r="AE48" s="55"/>
      <c r="AF48" s="55"/>
      <c r="AG48" s="55"/>
      <c r="AH48" s="55"/>
      <c r="AI48" s="55"/>
      <c r="AJ48" s="55"/>
      <c r="AK48" s="76"/>
      <c r="AL48" s="55"/>
      <c r="AM48" s="55"/>
      <c r="AN48" s="55"/>
      <c r="AO48" s="55"/>
      <c r="AP48" s="76"/>
      <c r="AQ48" s="76"/>
      <c r="AR48" s="77">
        <f t="shared" si="17"/>
        <v>0</v>
      </c>
      <c r="AS48" s="78">
        <v>0.05</v>
      </c>
      <c r="AT48" s="3"/>
      <c r="AU48" s="3"/>
      <c r="AV48" s="79"/>
    </row>
    <row r="49" spans="1:48" ht="12.6" hidden="1" customHeight="1" x14ac:dyDescent="0.2">
      <c r="A49" s="98" t="s">
        <v>46</v>
      </c>
      <c r="B49" s="99" t="s">
        <v>47</v>
      </c>
      <c r="C49" s="100">
        <v>100520851</v>
      </c>
      <c r="D49" s="101" t="s">
        <v>90</v>
      </c>
      <c r="E49" s="102"/>
      <c r="F49" s="103">
        <v>15.18</v>
      </c>
      <c r="G49" s="104">
        <v>276</v>
      </c>
      <c r="I49" s="105"/>
      <c r="J49" s="106"/>
      <c r="L49" s="105"/>
      <c r="M49" s="103"/>
      <c r="N49" s="107"/>
      <c r="O49" s="108"/>
      <c r="P49" s="103"/>
      <c r="Q49" s="108"/>
      <c r="R49" s="103"/>
      <c r="S49" s="106"/>
      <c r="T49" s="14"/>
      <c r="U49"/>
      <c r="V49" s="103"/>
      <c r="W49" s="108"/>
      <c r="X49" s="106"/>
      <c r="Y49" s="73"/>
      <c r="Z49" s="74"/>
      <c r="AA49" s="75"/>
      <c r="AC49" s="3"/>
      <c r="AD49" s="55"/>
      <c r="AE49" s="55"/>
      <c r="AF49" s="55"/>
      <c r="AG49" s="55"/>
      <c r="AH49" s="55"/>
      <c r="AI49" s="55"/>
      <c r="AJ49" s="55"/>
      <c r="AK49" s="76"/>
      <c r="AL49" s="55"/>
      <c r="AM49" s="55"/>
      <c r="AN49" s="55"/>
      <c r="AO49" s="55"/>
      <c r="AP49" s="76"/>
      <c r="AQ49" s="76"/>
      <c r="AR49" s="77">
        <f t="shared" si="17"/>
        <v>0</v>
      </c>
      <c r="AS49" s="78">
        <v>0.05</v>
      </c>
      <c r="AT49" s="3"/>
      <c r="AU49" s="3"/>
      <c r="AV49" s="79"/>
    </row>
    <row r="50" spans="1:48" ht="12.6" hidden="1" customHeight="1" x14ac:dyDescent="0.2">
      <c r="A50" s="61" t="s">
        <v>46</v>
      </c>
      <c r="B50" s="61" t="s">
        <v>72</v>
      </c>
      <c r="C50" s="100">
        <v>100521169</v>
      </c>
      <c r="D50" s="101" t="s">
        <v>91</v>
      </c>
      <c r="E50" s="102"/>
      <c r="F50" s="103">
        <f>30*0.08</f>
        <v>2.4</v>
      </c>
      <c r="G50" s="104">
        <v>30</v>
      </c>
      <c r="I50" s="65">
        <f>IFERROR(L50*1.35*1.21,)</f>
        <v>0</v>
      </c>
      <c r="J50" s="65">
        <f>+I50*0.8</f>
        <v>0</v>
      </c>
      <c r="K50" s="9">
        <f>IFERROR(((I50/1.21)-L50)/(I50/1.21),)</f>
        <v>0</v>
      </c>
      <c r="L50" s="65">
        <f>+IF(ISERROR(N50/G50),"",(N50/G50))</f>
        <v>0</v>
      </c>
      <c r="M50" s="65">
        <f>+IF(ISERROR(N50/F50),"",(N50/F50))</f>
        <v>0</v>
      </c>
      <c r="N50" s="68"/>
      <c r="O50" s="72"/>
      <c r="P50" s="65">
        <f>+IF(ISERROR(N50/(1-O50)),"",(N50/(1-O50)))</f>
        <v>0</v>
      </c>
      <c r="Q50" s="72"/>
      <c r="R50" s="65">
        <f>+IF(ISERROR(P50/(1-Q50)),"",(P50/(1-Q50)))</f>
        <v>0</v>
      </c>
      <c r="S50" s="65">
        <f>+IF(ISERROR(R50/G50),"",(R50/G50))</f>
        <v>0</v>
      </c>
      <c r="T50" s="14"/>
      <c r="U50"/>
      <c r="V50" s="65" t="s">
        <v>162</v>
      </c>
      <c r="W50" s="72" t="str">
        <f>+IF(ISERROR(N50/V50-1),"",(N50/V50-1))</f>
        <v/>
      </c>
      <c r="X50" s="65" t="str">
        <f>+IF(ISERROR(V50*(1-O50)),"",(V50*(1-O50)))</f>
        <v/>
      </c>
      <c r="Y50" s="73"/>
      <c r="Z50" s="74"/>
      <c r="AA50" s="75"/>
      <c r="AC50" s="3"/>
      <c r="AD50" s="55"/>
      <c r="AE50" s="55"/>
      <c r="AF50" s="55"/>
      <c r="AG50" s="55"/>
      <c r="AH50" s="55"/>
      <c r="AI50" s="55"/>
      <c r="AJ50" s="55"/>
      <c r="AK50" s="76"/>
      <c r="AL50" s="55"/>
      <c r="AM50" s="55"/>
      <c r="AN50" s="55"/>
      <c r="AO50" s="55"/>
      <c r="AP50" s="76"/>
      <c r="AQ50" s="76"/>
      <c r="AR50" s="77">
        <f t="shared" si="17"/>
        <v>0</v>
      </c>
      <c r="AS50" s="78">
        <v>0.05</v>
      </c>
      <c r="AT50" s="3"/>
      <c r="AU50" s="3"/>
      <c r="AV50" s="79"/>
    </row>
    <row r="51" spans="1:48" ht="12.6" hidden="1" customHeight="1" x14ac:dyDescent="0.2">
      <c r="A51" s="61" t="s">
        <v>46</v>
      </c>
      <c r="B51" s="61" t="s">
        <v>72</v>
      </c>
      <c r="C51" s="100">
        <v>100521173</v>
      </c>
      <c r="D51" s="101" t="s">
        <v>92</v>
      </c>
      <c r="E51" s="102"/>
      <c r="F51" s="103">
        <f>30*0.08</f>
        <v>2.4</v>
      </c>
      <c r="G51" s="104">
        <v>30</v>
      </c>
      <c r="I51" s="65">
        <f>IFERROR(L51*1.35*1.21,)</f>
        <v>0</v>
      </c>
      <c r="J51" s="65">
        <f>+I51*0.8</f>
        <v>0</v>
      </c>
      <c r="K51" s="9">
        <f>IFERROR(((I51/1.21)-L51)/(I51/1.21),)</f>
        <v>0</v>
      </c>
      <c r="L51" s="65">
        <f>+IF(ISERROR(N51/G51),"",(N51/G51))</f>
        <v>0</v>
      </c>
      <c r="M51" s="65">
        <f>+IF(ISERROR(N51/F51),"",(N51/F51))</f>
        <v>0</v>
      </c>
      <c r="N51" s="68"/>
      <c r="O51" s="72"/>
      <c r="P51" s="65">
        <f>+IF(ISERROR(N51/(1-O51)),"",(N51/(1-O51)))</f>
        <v>0</v>
      </c>
      <c r="Q51" s="72"/>
      <c r="R51" s="65">
        <f>+IF(ISERROR(P51/(1-Q51)),"",(P51/(1-Q51)))</f>
        <v>0</v>
      </c>
      <c r="S51" s="65">
        <f>+IF(ISERROR(R51/G51),"",(R51/G51))</f>
        <v>0</v>
      </c>
      <c r="T51" s="14"/>
      <c r="U51"/>
      <c r="V51" s="65" t="s">
        <v>162</v>
      </c>
      <c r="W51" s="72" t="str">
        <f>+IF(ISERROR(N51/V51-1),"",(N51/V51-1))</f>
        <v/>
      </c>
      <c r="X51" s="65" t="str">
        <f>+IF(ISERROR(V51*(1-O51)),"",(V51*(1-O51)))</f>
        <v/>
      </c>
      <c r="Y51" s="73"/>
      <c r="Z51" s="74"/>
      <c r="AA51" s="75"/>
      <c r="AC51" s="3"/>
      <c r="AD51" s="55"/>
      <c r="AE51" s="55"/>
      <c r="AF51" s="55"/>
      <c r="AG51" s="55"/>
      <c r="AH51" s="55"/>
      <c r="AI51" s="55"/>
      <c r="AJ51" s="55"/>
      <c r="AK51" s="76"/>
      <c r="AL51" s="55"/>
      <c r="AM51" s="55"/>
      <c r="AN51" s="55"/>
      <c r="AO51" s="55"/>
      <c r="AP51" s="76"/>
      <c r="AQ51" s="76"/>
      <c r="AR51" s="77">
        <f t="shared" si="17"/>
        <v>0</v>
      </c>
      <c r="AS51" s="78">
        <v>0.05</v>
      </c>
      <c r="AT51" s="3"/>
      <c r="AU51" s="3"/>
      <c r="AV51" s="79"/>
    </row>
    <row r="52" spans="1:48" ht="12.6" hidden="1" customHeight="1" x14ac:dyDescent="0.2">
      <c r="A52" s="61" t="s">
        <v>46</v>
      </c>
      <c r="B52" s="61" t="s">
        <v>72</v>
      </c>
      <c r="C52" s="100">
        <v>100522168</v>
      </c>
      <c r="D52" s="101" t="s">
        <v>93</v>
      </c>
      <c r="E52" s="102"/>
      <c r="F52" s="103">
        <v>4.62</v>
      </c>
      <c r="G52" s="104">
        <v>48</v>
      </c>
      <c r="I52" s="105"/>
      <c r="J52" s="106"/>
      <c r="L52" s="105"/>
      <c r="M52" s="103"/>
      <c r="N52" s="107"/>
      <c r="O52" s="108"/>
      <c r="P52" s="103"/>
      <c r="Q52" s="108"/>
      <c r="R52" s="103"/>
      <c r="S52" s="106"/>
      <c r="T52" s="14"/>
      <c r="U52"/>
      <c r="V52" s="103"/>
      <c r="W52" s="108"/>
      <c r="X52" s="106"/>
      <c r="Y52" s="73"/>
      <c r="Z52" s="74"/>
      <c r="AA52" s="75"/>
      <c r="AC52" s="3"/>
      <c r="AD52" s="55"/>
      <c r="AE52" s="55"/>
      <c r="AF52" s="55"/>
      <c r="AG52" s="55"/>
      <c r="AH52" s="55"/>
      <c r="AI52" s="55"/>
      <c r="AJ52" s="55"/>
      <c r="AK52" s="76"/>
      <c r="AL52" s="55"/>
      <c r="AM52" s="55"/>
      <c r="AN52" s="55"/>
      <c r="AO52" s="55"/>
      <c r="AP52" s="76"/>
      <c r="AQ52" s="76"/>
      <c r="AR52" s="77">
        <f t="shared" si="17"/>
        <v>0</v>
      </c>
      <c r="AS52" s="78">
        <v>0.05</v>
      </c>
      <c r="AT52" s="3"/>
      <c r="AU52" s="3"/>
      <c r="AV52" s="79"/>
    </row>
    <row r="53" spans="1:48" x14ac:dyDescent="0.2">
      <c r="A53" s="45"/>
      <c r="B53" s="46"/>
      <c r="C53" s="47"/>
      <c r="D53" s="48"/>
      <c r="E53" s="47"/>
      <c r="F53" s="48"/>
      <c r="G53" s="109"/>
      <c r="I53" s="50"/>
      <c r="J53" s="51"/>
      <c r="K53" s="9">
        <f t="shared" ref="K53:K116" si="38">IFERROR(((I53/1.21)-L53)/(I53/1.21),)</f>
        <v>0</v>
      </c>
      <c r="L53" s="50"/>
      <c r="M53" s="48"/>
      <c r="N53" s="48"/>
      <c r="O53" s="52"/>
      <c r="P53" s="48"/>
      <c r="Q53" s="52"/>
      <c r="R53" s="48"/>
      <c r="S53" s="49"/>
      <c r="T53" s="14"/>
      <c r="U53"/>
      <c r="V53" s="48"/>
      <c r="W53" s="54"/>
      <c r="X53" s="49"/>
      <c r="Y53" s="73"/>
      <c r="AA53" s="75"/>
      <c r="AC53" s="3"/>
      <c r="AD53" s="55"/>
      <c r="AE53" s="55"/>
      <c r="AF53" s="55"/>
      <c r="AG53" s="55"/>
      <c r="AH53" s="55">
        <v>0</v>
      </c>
      <c r="AI53" s="55">
        <v>0</v>
      </c>
      <c r="AJ53" s="55"/>
      <c r="AK53" s="76"/>
      <c r="AL53" s="55"/>
      <c r="AM53" s="55">
        <v>0</v>
      </c>
      <c r="AN53" s="55">
        <v>0</v>
      </c>
      <c r="AO53" s="55"/>
      <c r="AP53" s="76"/>
      <c r="AQ53" s="76"/>
      <c r="AR53" s="110" t="str">
        <f t="shared" si="17"/>
        <v/>
      </c>
      <c r="AS53" s="111" t="s">
        <v>162</v>
      </c>
      <c r="AT53" s="3"/>
    </row>
    <row r="54" spans="1:48" x14ac:dyDescent="0.2">
      <c r="A54" s="83" t="s">
        <v>94</v>
      </c>
      <c r="B54" s="61" t="s">
        <v>95</v>
      </c>
      <c r="C54" s="82">
        <v>100022085</v>
      </c>
      <c r="D54" s="83" t="s">
        <v>96</v>
      </c>
      <c r="E54" s="64">
        <v>7790360000132</v>
      </c>
      <c r="F54" s="65">
        <v>5.4</v>
      </c>
      <c r="G54" s="66">
        <v>24</v>
      </c>
      <c r="H54" s="112"/>
      <c r="I54" s="65">
        <f t="shared" ref="I54:I61" si="39">IFERROR(L54*1.35*1.21,)</f>
        <v>3096.1621513659384</v>
      </c>
      <c r="J54" s="65">
        <f t="shared" ref="J54:J65" si="40">+I54*0.9</f>
        <v>2786.5459362293445</v>
      </c>
      <c r="K54" s="9">
        <f t="shared" si="38"/>
        <v>0.2592592592592593</v>
      </c>
      <c r="L54" s="65">
        <f t="shared" ref="L54:L65" si="41">+IF(ISERROR(N54/G54),"",(N54/G54))</f>
        <v>1895.4160706250004</v>
      </c>
      <c r="M54" s="65">
        <f t="shared" ref="M54:M71" si="42">+IF(ISERROR(N54/F54),"",(N54/F54))</f>
        <v>8424.0714250000019</v>
      </c>
      <c r="N54" s="68">
        <v>45489.98569500001</v>
      </c>
      <c r="O54" s="72"/>
      <c r="P54" s="65">
        <f t="shared" ref="P54:P71" si="43">+IF(ISERROR(N54/(1-O54)),"",(N54/(1-O54)))</f>
        <v>45489.98569500001</v>
      </c>
      <c r="Q54" s="72"/>
      <c r="R54" s="65">
        <f t="shared" ref="R54:R71" si="44">+IF(ISERROR(P54/(1-Q54)),"",(P54/(1-Q54)))</f>
        <v>45489.98569500001</v>
      </c>
      <c r="S54" s="65">
        <f t="shared" ref="S54:S71" si="45">+IF(ISERROR(R54/G54),"",(R54/G54))</f>
        <v>1895.4160706250004</v>
      </c>
      <c r="T54" s="14"/>
      <c r="U54" s="71"/>
      <c r="V54" s="67">
        <v>43323.8</v>
      </c>
      <c r="W54" s="72">
        <f t="shared" ref="W54:W71" si="46">+IF(ISERROR(N54/V54-1),"",(N54/V54-1))</f>
        <v>4.9999900631985339E-2</v>
      </c>
      <c r="X54" s="65">
        <f t="shared" ref="X54:X71" si="47">+IF(ISERROR(V54*(1-O54)),"",(V54*(1-O54)))</f>
        <v>43323.8</v>
      </c>
      <c r="Y54" s="73">
        <v>0</v>
      </c>
      <c r="Z54" s="74">
        <f t="shared" ref="Z54:Z61" si="48">+N54*(1-Y54)</f>
        <v>45489.98569500001</v>
      </c>
      <c r="AA54" s="75"/>
      <c r="AC54" s="3"/>
      <c r="AD54" s="55">
        <f t="shared" ref="AD54:AD61" si="49">-IFERROR(N54*AD$9,)</f>
        <v>-909.79971390000026</v>
      </c>
      <c r="AE54" s="55">
        <f t="shared" ref="AE54:AE61" si="50">$AE$9*F54</f>
        <v>-5.0220000000000002</v>
      </c>
      <c r="AF54" s="55"/>
      <c r="AG54" s="55">
        <f t="shared" ref="AG54:AG61" si="51">+Z54+AD54+AE54</f>
        <v>44575.163981100013</v>
      </c>
      <c r="AH54" s="55">
        <v>-9747.9876685424206</v>
      </c>
      <c r="AI54" s="55">
        <v>-1981.8450595829277</v>
      </c>
      <c r="AJ54" s="55">
        <f t="shared" ref="AJ54:AJ61" si="52">AG54+AH54+AI54</f>
        <v>32845.331252974669</v>
      </c>
      <c r="AK54" s="76">
        <f t="shared" ref="AK54:AK61" si="53">AJ54/$AG54</f>
        <v>0.73685272962542947</v>
      </c>
      <c r="AL54" s="55"/>
      <c r="AM54" s="55">
        <v>-2721.2860062957398</v>
      </c>
      <c r="AN54" s="55">
        <v>-547.61818257998596</v>
      </c>
      <c r="AO54" s="55">
        <f t="shared" ref="AO54:AO61" si="54">+AJ54+AM54+AN54</f>
        <v>29576.427064098942</v>
      </c>
      <c r="AP54" s="76">
        <f t="shared" ref="AP54:AP61" si="55">AO54/$AG54</f>
        <v>0.66351807649298666</v>
      </c>
      <c r="AQ54" s="76"/>
      <c r="AR54" s="77">
        <f t="shared" si="17"/>
        <v>47764.484979750014</v>
      </c>
      <c r="AS54" s="78">
        <v>0.05</v>
      </c>
      <c r="AT54" s="3"/>
      <c r="AU54" s="3"/>
      <c r="AV54" s="79"/>
    </row>
    <row r="55" spans="1:48" x14ac:dyDescent="0.2">
      <c r="A55" s="83" t="s">
        <v>94</v>
      </c>
      <c r="B55" s="61" t="s">
        <v>95</v>
      </c>
      <c r="C55" s="82">
        <v>100522204</v>
      </c>
      <c r="D55" s="83" t="s">
        <v>96</v>
      </c>
      <c r="E55" s="64">
        <v>7790360983947</v>
      </c>
      <c r="F55" s="65">
        <v>5.4</v>
      </c>
      <c r="G55" s="66">
        <v>24</v>
      </c>
      <c r="H55" s="112"/>
      <c r="I55" s="65">
        <f t="shared" si="39"/>
        <v>3096.1621513659384</v>
      </c>
      <c r="J55" s="65">
        <f t="shared" si="40"/>
        <v>2786.5459362293445</v>
      </c>
      <c r="K55" s="9">
        <f t="shared" si="38"/>
        <v>0.2592592592592593</v>
      </c>
      <c r="L55" s="65">
        <f t="shared" si="41"/>
        <v>1895.4160706250004</v>
      </c>
      <c r="M55" s="65">
        <f t="shared" si="42"/>
        <v>8424.0714250000019</v>
      </c>
      <c r="N55" s="68">
        <v>45489.98569500001</v>
      </c>
      <c r="O55" s="72"/>
      <c r="P55" s="65">
        <f t="shared" si="43"/>
        <v>45489.98569500001</v>
      </c>
      <c r="Q55" s="72"/>
      <c r="R55" s="65">
        <f t="shared" si="44"/>
        <v>45489.98569500001</v>
      </c>
      <c r="S55" s="65">
        <f t="shared" si="45"/>
        <v>1895.4160706250004</v>
      </c>
      <c r="T55" s="14"/>
      <c r="U55" s="71"/>
      <c r="V55" s="67">
        <v>43323.8</v>
      </c>
      <c r="W55" s="72">
        <f t="shared" si="46"/>
        <v>4.9999900631985339E-2</v>
      </c>
      <c r="X55" s="65">
        <f t="shared" si="47"/>
        <v>43323.8</v>
      </c>
      <c r="Y55" s="73">
        <v>0</v>
      </c>
      <c r="Z55" s="74">
        <f t="shared" si="48"/>
        <v>45489.98569500001</v>
      </c>
      <c r="AA55" s="75"/>
      <c r="AC55" s="3"/>
      <c r="AD55" s="55">
        <f t="shared" si="49"/>
        <v>-909.79971390000026</v>
      </c>
      <c r="AE55" s="55">
        <f t="shared" si="50"/>
        <v>-5.0220000000000002</v>
      </c>
      <c r="AF55" s="55"/>
      <c r="AG55" s="55">
        <f t="shared" si="51"/>
        <v>44575.163981100013</v>
      </c>
      <c r="AH55" s="55" t="e">
        <v>#N/A</v>
      </c>
      <c r="AI55" s="55" t="e">
        <v>#N/A</v>
      </c>
      <c r="AJ55" s="55" t="e">
        <f t="shared" si="52"/>
        <v>#N/A</v>
      </c>
      <c r="AK55" s="76" t="e">
        <f t="shared" si="53"/>
        <v>#N/A</v>
      </c>
      <c r="AL55" s="55"/>
      <c r="AM55" s="55" t="e">
        <v>#N/A</v>
      </c>
      <c r="AN55" s="55" t="e">
        <v>#N/A</v>
      </c>
      <c r="AO55" s="55" t="e">
        <f t="shared" si="54"/>
        <v>#N/A</v>
      </c>
      <c r="AP55" s="76" t="e">
        <f t="shared" si="55"/>
        <v>#N/A</v>
      </c>
      <c r="AQ55" s="76"/>
      <c r="AR55" s="77">
        <f t="shared" si="17"/>
        <v>47764.484979750014</v>
      </c>
      <c r="AS55" s="78">
        <v>0.05</v>
      </c>
      <c r="AT55" s="3"/>
      <c r="AU55" s="3"/>
      <c r="AV55" s="79"/>
    </row>
    <row r="56" spans="1:48" x14ac:dyDescent="0.2">
      <c r="A56" s="83" t="s">
        <v>94</v>
      </c>
      <c r="B56" s="61" t="s">
        <v>95</v>
      </c>
      <c r="C56" s="82">
        <v>100022072</v>
      </c>
      <c r="D56" s="83" t="s">
        <v>97</v>
      </c>
      <c r="E56" s="64">
        <v>7790360024541</v>
      </c>
      <c r="F56" s="65">
        <v>5.4</v>
      </c>
      <c r="G56" s="66">
        <v>12</v>
      </c>
      <c r="H56" s="112"/>
      <c r="I56" s="65">
        <f t="shared" si="39"/>
        <v>5475.5828358721892</v>
      </c>
      <c r="J56" s="65">
        <f t="shared" si="40"/>
        <v>4928.02455228497</v>
      </c>
      <c r="K56" s="9">
        <f t="shared" si="38"/>
        <v>0.2592592592592593</v>
      </c>
      <c r="L56" s="65">
        <f t="shared" si="41"/>
        <v>3352.0556081250011</v>
      </c>
      <c r="M56" s="65">
        <f t="shared" si="42"/>
        <v>7449.0124625000017</v>
      </c>
      <c r="N56" s="68">
        <v>40224.667297500011</v>
      </c>
      <c r="O56" s="72"/>
      <c r="P56" s="65">
        <f t="shared" si="43"/>
        <v>40224.667297500011</v>
      </c>
      <c r="Q56" s="72"/>
      <c r="R56" s="65">
        <f t="shared" si="44"/>
        <v>40224.667297500011</v>
      </c>
      <c r="S56" s="65">
        <f t="shared" si="45"/>
        <v>3352.0556081250011</v>
      </c>
      <c r="T56" s="14"/>
      <c r="U56" s="71"/>
      <c r="V56" s="67">
        <v>38309.21</v>
      </c>
      <c r="W56" s="72">
        <f t="shared" si="46"/>
        <v>4.9999916403914657E-2</v>
      </c>
      <c r="X56" s="65">
        <f t="shared" si="47"/>
        <v>38309.21</v>
      </c>
      <c r="Y56" s="73">
        <v>0</v>
      </c>
      <c r="Z56" s="74">
        <f t="shared" si="48"/>
        <v>40224.667297500011</v>
      </c>
      <c r="AA56" s="75"/>
      <c r="AC56" s="3"/>
      <c r="AD56" s="55">
        <f t="shared" si="49"/>
        <v>-804.49334595000028</v>
      </c>
      <c r="AE56" s="55">
        <f t="shared" si="50"/>
        <v>-5.0220000000000002</v>
      </c>
      <c r="AF56" s="55"/>
      <c r="AG56" s="55">
        <f t="shared" si="51"/>
        <v>39415.151951550011</v>
      </c>
      <c r="AH56" s="55">
        <v>-9653.7112464062302</v>
      </c>
      <c r="AI56" s="55">
        <v>-1646.413863887354</v>
      </c>
      <c r="AJ56" s="55">
        <f t="shared" si="52"/>
        <v>28115.026841256426</v>
      </c>
      <c r="AK56" s="76">
        <f t="shared" si="53"/>
        <v>0.71330504765822156</v>
      </c>
      <c r="AL56" s="55"/>
      <c r="AM56" s="55">
        <v>-2639.6474261068674</v>
      </c>
      <c r="AN56" s="55">
        <v>-547.61818257998596</v>
      </c>
      <c r="AO56" s="55">
        <f t="shared" si="54"/>
        <v>24927.76123256957</v>
      </c>
      <c r="AP56" s="76">
        <f t="shared" si="55"/>
        <v>0.63244107908581282</v>
      </c>
      <c r="AQ56" s="76"/>
      <c r="AR56" s="77">
        <f t="shared" si="17"/>
        <v>42235.90066237501</v>
      </c>
      <c r="AS56" s="78">
        <v>0.05</v>
      </c>
      <c r="AT56" s="3"/>
      <c r="AU56" s="3"/>
      <c r="AV56" s="79"/>
    </row>
    <row r="57" spans="1:48" x14ac:dyDescent="0.2">
      <c r="A57" s="83" t="s">
        <v>94</v>
      </c>
      <c r="B57" s="61" t="s">
        <v>95</v>
      </c>
      <c r="C57" s="82">
        <v>100522205</v>
      </c>
      <c r="D57" s="83" t="s">
        <v>97</v>
      </c>
      <c r="E57" s="64">
        <v>7790360983954</v>
      </c>
      <c r="F57" s="65">
        <v>5.4</v>
      </c>
      <c r="G57" s="66">
        <v>12</v>
      </c>
      <c r="H57" s="112"/>
      <c r="I57" s="65">
        <f t="shared" si="39"/>
        <v>5475.5828358721892</v>
      </c>
      <c r="J57" s="65">
        <f t="shared" si="40"/>
        <v>4928.02455228497</v>
      </c>
      <c r="K57" s="9">
        <f t="shared" si="38"/>
        <v>0.2592592592592593</v>
      </c>
      <c r="L57" s="65">
        <f t="shared" si="41"/>
        <v>3352.0556081250011</v>
      </c>
      <c r="M57" s="65">
        <f t="shared" si="42"/>
        <v>7449.0124625000017</v>
      </c>
      <c r="N57" s="68">
        <v>40224.667297500011</v>
      </c>
      <c r="O57" s="72"/>
      <c r="P57" s="65">
        <f t="shared" si="43"/>
        <v>40224.667297500011</v>
      </c>
      <c r="Q57" s="72"/>
      <c r="R57" s="65">
        <f t="shared" si="44"/>
        <v>40224.667297500011</v>
      </c>
      <c r="S57" s="65">
        <f t="shared" si="45"/>
        <v>3352.0556081250011</v>
      </c>
      <c r="T57" s="14"/>
      <c r="U57" s="71"/>
      <c r="V57" s="67">
        <v>38309.21</v>
      </c>
      <c r="W57" s="72">
        <f t="shared" si="46"/>
        <v>4.9999916403914657E-2</v>
      </c>
      <c r="X57" s="65">
        <f t="shared" si="47"/>
        <v>38309.21</v>
      </c>
      <c r="Y57" s="73">
        <v>0</v>
      </c>
      <c r="Z57" s="74">
        <f t="shared" si="48"/>
        <v>40224.667297500011</v>
      </c>
      <c r="AA57" s="75"/>
      <c r="AC57" s="3"/>
      <c r="AD57" s="55">
        <f t="shared" si="49"/>
        <v>-804.49334595000028</v>
      </c>
      <c r="AE57" s="55">
        <f t="shared" si="50"/>
        <v>-5.0220000000000002</v>
      </c>
      <c r="AF57" s="55"/>
      <c r="AG57" s="55">
        <f t="shared" si="51"/>
        <v>39415.151951550011</v>
      </c>
      <c r="AH57" s="55" t="e">
        <v>#N/A</v>
      </c>
      <c r="AI57" s="55" t="e">
        <v>#N/A</v>
      </c>
      <c r="AJ57" s="55" t="e">
        <f t="shared" si="52"/>
        <v>#N/A</v>
      </c>
      <c r="AK57" s="76" t="e">
        <f t="shared" si="53"/>
        <v>#N/A</v>
      </c>
      <c r="AL57" s="55"/>
      <c r="AM57" s="55" t="e">
        <v>#N/A</v>
      </c>
      <c r="AN57" s="55" t="e">
        <v>#N/A</v>
      </c>
      <c r="AO57" s="55" t="e">
        <f t="shared" si="54"/>
        <v>#N/A</v>
      </c>
      <c r="AP57" s="76" t="e">
        <f t="shared" si="55"/>
        <v>#N/A</v>
      </c>
      <c r="AQ57" s="76"/>
      <c r="AR57" s="77">
        <f t="shared" si="17"/>
        <v>42235.90066237501</v>
      </c>
      <c r="AS57" s="78">
        <v>0.05</v>
      </c>
      <c r="AT57" s="3"/>
      <c r="AU57" s="3"/>
      <c r="AV57" s="79"/>
    </row>
    <row r="58" spans="1:48" hidden="1" x14ac:dyDescent="0.2">
      <c r="A58" s="83" t="s">
        <v>94</v>
      </c>
      <c r="B58" s="61" t="s">
        <v>95</v>
      </c>
      <c r="C58" s="82">
        <v>100022073</v>
      </c>
      <c r="D58" s="83" t="s">
        <v>98</v>
      </c>
      <c r="E58" s="64">
        <v>7790360024558</v>
      </c>
      <c r="F58" s="65">
        <v>5.4</v>
      </c>
      <c r="G58" s="66">
        <v>6</v>
      </c>
      <c r="H58" s="112"/>
      <c r="I58" s="65">
        <f t="shared" si="39"/>
        <v>0</v>
      </c>
      <c r="J58" s="65">
        <f t="shared" si="40"/>
        <v>0</v>
      </c>
      <c r="K58" s="9">
        <f t="shared" si="38"/>
        <v>0</v>
      </c>
      <c r="L58" s="65" t="str">
        <f t="shared" si="41"/>
        <v/>
      </c>
      <c r="M58" s="65" t="str">
        <f t="shared" si="42"/>
        <v/>
      </c>
      <c r="N58" s="68" t="e">
        <v>#VALUE!</v>
      </c>
      <c r="O58" s="72"/>
      <c r="P58" s="65" t="str">
        <f t="shared" si="43"/>
        <v/>
      </c>
      <c r="Q58" s="72"/>
      <c r="R58" s="65" t="str">
        <f t="shared" si="44"/>
        <v/>
      </c>
      <c r="S58" s="65" t="str">
        <f t="shared" si="45"/>
        <v/>
      </c>
      <c r="T58" s="14"/>
      <c r="U58" s="71"/>
      <c r="V58" s="67" t="s">
        <v>162</v>
      </c>
      <c r="W58" s="72" t="str">
        <f t="shared" si="46"/>
        <v/>
      </c>
      <c r="X58" s="65" t="str">
        <f t="shared" si="47"/>
        <v/>
      </c>
      <c r="Y58" s="73">
        <v>0</v>
      </c>
      <c r="Z58" s="74" t="e">
        <f t="shared" si="48"/>
        <v>#VALUE!</v>
      </c>
      <c r="AA58" s="75"/>
      <c r="AC58" s="3"/>
      <c r="AD58" s="55">
        <f t="shared" si="49"/>
        <v>0</v>
      </c>
      <c r="AE58" s="55">
        <f t="shared" si="50"/>
        <v>-5.0220000000000002</v>
      </c>
      <c r="AF58" s="55"/>
      <c r="AG58" s="55" t="e">
        <f t="shared" si="51"/>
        <v>#VALUE!</v>
      </c>
      <c r="AH58" s="55" t="e">
        <v>#N/A</v>
      </c>
      <c r="AI58" s="55" t="e">
        <v>#N/A</v>
      </c>
      <c r="AJ58" s="55" t="e">
        <f t="shared" si="52"/>
        <v>#VALUE!</v>
      </c>
      <c r="AK58" s="76" t="e">
        <f t="shared" si="53"/>
        <v>#VALUE!</v>
      </c>
      <c r="AL58" s="55"/>
      <c r="AM58" s="55" t="e">
        <v>#N/A</v>
      </c>
      <c r="AN58" s="55" t="e">
        <v>#N/A</v>
      </c>
      <c r="AO58" s="55" t="e">
        <f t="shared" si="54"/>
        <v>#VALUE!</v>
      </c>
      <c r="AP58" s="76" t="e">
        <f t="shared" si="55"/>
        <v>#VALUE!</v>
      </c>
      <c r="AQ58" s="76"/>
      <c r="AR58" s="77" t="str">
        <f t="shared" si="17"/>
        <v/>
      </c>
      <c r="AS58" s="78">
        <v>0.05</v>
      </c>
      <c r="AT58" s="3"/>
      <c r="AU58" s="3"/>
      <c r="AV58" s="79"/>
    </row>
    <row r="59" spans="1:48" x14ac:dyDescent="0.2">
      <c r="A59" s="83" t="s">
        <v>94</v>
      </c>
      <c r="B59" s="61" t="s">
        <v>95</v>
      </c>
      <c r="C59" s="82">
        <v>100516849</v>
      </c>
      <c r="D59" s="83" t="s">
        <v>99</v>
      </c>
      <c r="E59" s="64">
        <v>7790360970053</v>
      </c>
      <c r="F59" s="65">
        <v>4.5599999990400004</v>
      </c>
      <c r="G59" s="66">
        <v>24</v>
      </c>
      <c r="H59" s="112"/>
      <c r="I59" s="65">
        <f t="shared" si="39"/>
        <v>2586.7020809798451</v>
      </c>
      <c r="J59" s="65">
        <f t="shared" si="40"/>
        <v>2328.0318728818606</v>
      </c>
      <c r="K59" s="9">
        <f t="shared" si="38"/>
        <v>0.25925925925925924</v>
      </c>
      <c r="L59" s="65">
        <f t="shared" si="41"/>
        <v>1583.5335665625007</v>
      </c>
      <c r="M59" s="65">
        <f t="shared" si="42"/>
        <v>8334.387194188821</v>
      </c>
      <c r="N59" s="68">
        <v>38004.805597500017</v>
      </c>
      <c r="O59" s="72"/>
      <c r="P59" s="65">
        <f t="shared" si="43"/>
        <v>38004.805597500017</v>
      </c>
      <c r="Q59" s="72"/>
      <c r="R59" s="65">
        <f t="shared" si="44"/>
        <v>38004.805597500017</v>
      </c>
      <c r="S59" s="65">
        <f t="shared" si="45"/>
        <v>1583.5335665625007</v>
      </c>
      <c r="T59" s="14"/>
      <c r="U59" s="71"/>
      <c r="V59" s="67">
        <v>36195.050000000003</v>
      </c>
      <c r="W59" s="72">
        <f t="shared" si="46"/>
        <v>5.000008557800073E-2</v>
      </c>
      <c r="X59" s="65">
        <f t="shared" si="47"/>
        <v>36195.050000000003</v>
      </c>
      <c r="Y59" s="73">
        <v>0</v>
      </c>
      <c r="Z59" s="74">
        <f t="shared" si="48"/>
        <v>38004.805597500017</v>
      </c>
      <c r="AA59" s="75"/>
      <c r="AC59" s="3"/>
      <c r="AD59" s="55">
        <f t="shared" si="49"/>
        <v>-760.09611195000036</v>
      </c>
      <c r="AE59" s="55">
        <f t="shared" si="50"/>
        <v>-4.2407999991072005</v>
      </c>
      <c r="AF59" s="55"/>
      <c r="AG59" s="55">
        <f t="shared" si="51"/>
        <v>37240.468685550914</v>
      </c>
      <c r="AH59" s="55">
        <v>-8482.3288509767481</v>
      </c>
      <c r="AI59" s="55">
        <v>-2204.2953047132555</v>
      </c>
      <c r="AJ59" s="55">
        <f t="shared" si="52"/>
        <v>26553.844529860911</v>
      </c>
      <c r="AK59" s="76">
        <f t="shared" si="53"/>
        <v>0.71303733457478347</v>
      </c>
      <c r="AL59" s="55"/>
      <c r="AM59" s="55">
        <v>-2297.9748497608471</v>
      </c>
      <c r="AN59" s="55">
        <v>-462.43313195643259</v>
      </c>
      <c r="AO59" s="55">
        <f t="shared" si="54"/>
        <v>23793.436548143629</v>
      </c>
      <c r="AP59" s="76">
        <f t="shared" si="55"/>
        <v>0.63891345592477322</v>
      </c>
      <c r="AQ59" s="76"/>
      <c r="AR59" s="77">
        <f t="shared" si="17"/>
        <v>39905.045877375022</v>
      </c>
      <c r="AS59" s="78">
        <v>0.05</v>
      </c>
      <c r="AT59" s="3"/>
      <c r="AU59" s="79"/>
      <c r="AV59" s="79"/>
    </row>
    <row r="60" spans="1:48" x14ac:dyDescent="0.2">
      <c r="A60" s="83" t="s">
        <v>94</v>
      </c>
      <c r="B60" s="61" t="s">
        <v>100</v>
      </c>
      <c r="C60" s="82">
        <v>100022039</v>
      </c>
      <c r="D60" s="83" t="s">
        <v>101</v>
      </c>
      <c r="E60" s="64">
        <v>7790360007063</v>
      </c>
      <c r="F60" s="65">
        <v>8.6999999999999993</v>
      </c>
      <c r="G60" s="66">
        <v>10</v>
      </c>
      <c r="H60" s="112"/>
      <c r="I60" s="65">
        <f t="shared" si="39"/>
        <v>12086.207139222566</v>
      </c>
      <c r="J60" s="65">
        <f t="shared" si="40"/>
        <v>10877.586425300309</v>
      </c>
      <c r="K60" s="9">
        <f t="shared" si="38"/>
        <v>0.2592592592592593</v>
      </c>
      <c r="L60" s="65">
        <f t="shared" si="41"/>
        <v>7398.9636603750014</v>
      </c>
      <c r="M60" s="65">
        <f t="shared" si="42"/>
        <v>8504.5559314655202</v>
      </c>
      <c r="N60" s="68">
        <v>73989.636603750012</v>
      </c>
      <c r="O60" s="72"/>
      <c r="P60" s="65">
        <f t="shared" si="43"/>
        <v>73989.636603750012</v>
      </c>
      <c r="Q60" s="72"/>
      <c r="R60" s="65">
        <f t="shared" si="44"/>
        <v>73989.636603750012</v>
      </c>
      <c r="S60" s="65">
        <f t="shared" si="45"/>
        <v>7398.9636603750014</v>
      </c>
      <c r="T60" s="14"/>
      <c r="U60" s="71"/>
      <c r="V60" s="67">
        <v>70466.320000000007</v>
      </c>
      <c r="W60" s="72">
        <f t="shared" si="46"/>
        <v>5.0000008567923082E-2</v>
      </c>
      <c r="X60" s="65">
        <f t="shared" si="47"/>
        <v>70466.320000000007</v>
      </c>
      <c r="Y60" s="73">
        <v>0</v>
      </c>
      <c r="Z60" s="74">
        <f t="shared" si="48"/>
        <v>73989.636603750012</v>
      </c>
      <c r="AA60" s="75"/>
      <c r="AC60" s="3"/>
      <c r="AD60" s="55">
        <f t="shared" si="49"/>
        <v>-1479.7927320750002</v>
      </c>
      <c r="AE60" s="55">
        <f t="shared" si="50"/>
        <v>-8.0909999999999993</v>
      </c>
      <c r="AF60" s="55"/>
      <c r="AG60" s="55">
        <f t="shared" si="51"/>
        <v>72501.752871675009</v>
      </c>
      <c r="AH60" s="55">
        <v>-15352.14027697748</v>
      </c>
      <c r="AI60" s="55">
        <v>-2680.7780096286228</v>
      </c>
      <c r="AJ60" s="55">
        <f t="shared" si="52"/>
        <v>54468.834585068907</v>
      </c>
      <c r="AK60" s="76">
        <f t="shared" si="53"/>
        <v>0.75127610613051532</v>
      </c>
      <c r="AL60" s="55"/>
      <c r="AM60" s="55">
        <v>-4384.2941212542464</v>
      </c>
      <c r="AN60" s="55">
        <v>0</v>
      </c>
      <c r="AO60" s="55">
        <f t="shared" si="54"/>
        <v>50084.540463814657</v>
      </c>
      <c r="AP60" s="76">
        <f t="shared" si="55"/>
        <v>0.69080454582197681</v>
      </c>
      <c r="AQ60" s="76"/>
      <c r="AR60" s="77">
        <f t="shared" si="17"/>
        <v>77689.118433937518</v>
      </c>
      <c r="AS60" s="78">
        <v>0.05</v>
      </c>
      <c r="AT60" s="3"/>
      <c r="AU60" s="3"/>
      <c r="AV60" s="79"/>
    </row>
    <row r="61" spans="1:48" x14ac:dyDescent="0.2">
      <c r="A61" s="83" t="s">
        <v>94</v>
      </c>
      <c r="B61" s="61" t="s">
        <v>100</v>
      </c>
      <c r="C61" s="82">
        <v>100522206</v>
      </c>
      <c r="D61" s="83" t="s">
        <v>101</v>
      </c>
      <c r="E61" s="64">
        <v>7790360983961</v>
      </c>
      <c r="F61" s="65">
        <v>8.6999999999999993</v>
      </c>
      <c r="G61" s="66">
        <v>10</v>
      </c>
      <c r="H61" s="112"/>
      <c r="I61" s="65">
        <f t="shared" si="39"/>
        <v>12086.207139222566</v>
      </c>
      <c r="J61" s="65">
        <f t="shared" si="40"/>
        <v>10877.586425300309</v>
      </c>
      <c r="K61" s="9">
        <f t="shared" si="38"/>
        <v>0.2592592592592593</v>
      </c>
      <c r="L61" s="65">
        <f t="shared" si="41"/>
        <v>7398.9636603750014</v>
      </c>
      <c r="M61" s="65">
        <f t="shared" si="42"/>
        <v>8504.5559314655202</v>
      </c>
      <c r="N61" s="68">
        <v>73989.636603750012</v>
      </c>
      <c r="O61" s="72"/>
      <c r="P61" s="65">
        <f t="shared" si="43"/>
        <v>73989.636603750012</v>
      </c>
      <c r="Q61" s="72"/>
      <c r="R61" s="65">
        <f t="shared" si="44"/>
        <v>73989.636603750012</v>
      </c>
      <c r="S61" s="65">
        <f t="shared" si="45"/>
        <v>7398.9636603750014</v>
      </c>
      <c r="T61" s="14"/>
      <c r="U61" s="71"/>
      <c r="V61" s="67">
        <v>70466.320000000007</v>
      </c>
      <c r="W61" s="72">
        <f t="shared" si="46"/>
        <v>5.0000008567923082E-2</v>
      </c>
      <c r="X61" s="65">
        <f t="shared" si="47"/>
        <v>70466.320000000007</v>
      </c>
      <c r="Y61" s="73">
        <v>0</v>
      </c>
      <c r="Z61" s="74">
        <f t="shared" si="48"/>
        <v>73989.636603750012</v>
      </c>
      <c r="AA61" s="75"/>
      <c r="AC61" s="3"/>
      <c r="AD61" s="55">
        <f t="shared" si="49"/>
        <v>-1479.7927320750002</v>
      </c>
      <c r="AE61" s="55">
        <f t="shared" si="50"/>
        <v>-8.0909999999999993</v>
      </c>
      <c r="AF61" s="55"/>
      <c r="AG61" s="55">
        <f t="shared" si="51"/>
        <v>72501.752871675009</v>
      </c>
      <c r="AH61" s="55" t="e">
        <v>#N/A</v>
      </c>
      <c r="AI61" s="55" t="e">
        <v>#N/A</v>
      </c>
      <c r="AJ61" s="55" t="e">
        <f t="shared" si="52"/>
        <v>#N/A</v>
      </c>
      <c r="AK61" s="76" t="e">
        <f t="shared" si="53"/>
        <v>#N/A</v>
      </c>
      <c r="AL61" s="55"/>
      <c r="AM61" s="55" t="e">
        <v>#N/A</v>
      </c>
      <c r="AN61" s="55" t="e">
        <v>#N/A</v>
      </c>
      <c r="AO61" s="55" t="e">
        <f t="shared" si="54"/>
        <v>#N/A</v>
      </c>
      <c r="AP61" s="76" t="e">
        <f t="shared" si="55"/>
        <v>#N/A</v>
      </c>
      <c r="AQ61" s="76"/>
      <c r="AR61" s="77">
        <f t="shared" si="17"/>
        <v>77689.118433937518</v>
      </c>
      <c r="AS61" s="78">
        <v>0.05</v>
      </c>
      <c r="AT61" s="3"/>
      <c r="AU61" s="3"/>
      <c r="AV61" s="79"/>
    </row>
    <row r="62" spans="1:48" x14ac:dyDescent="0.2">
      <c r="A62" s="83" t="s">
        <v>94</v>
      </c>
      <c r="B62" s="61" t="s">
        <v>100</v>
      </c>
      <c r="C62" s="82">
        <v>100518151</v>
      </c>
      <c r="D62" s="83" t="s">
        <v>102</v>
      </c>
      <c r="E62" s="64">
        <v>7790360974990</v>
      </c>
      <c r="F62" s="65">
        <v>10.44</v>
      </c>
      <c r="G62" s="66">
        <v>12</v>
      </c>
      <c r="H62" s="112"/>
      <c r="I62" s="65">
        <v>637.24506161542024</v>
      </c>
      <c r="J62" s="65">
        <f t="shared" si="40"/>
        <v>573.52055545387827</v>
      </c>
      <c r="K62" s="9">
        <f t="shared" si="38"/>
        <v>-6.2570088398400152</v>
      </c>
      <c r="L62" s="65">
        <f t="shared" si="41"/>
        <v>3821.8950787500003</v>
      </c>
      <c r="M62" s="65">
        <f t="shared" si="42"/>
        <v>4392.9828491379321</v>
      </c>
      <c r="N62" s="68">
        <v>45862.740945000005</v>
      </c>
      <c r="O62" s="72"/>
      <c r="P62" s="65">
        <f t="shared" si="43"/>
        <v>45862.740945000005</v>
      </c>
      <c r="Q62" s="72"/>
      <c r="R62" s="65">
        <f t="shared" si="44"/>
        <v>45862.740945000005</v>
      </c>
      <c r="S62" s="65">
        <f t="shared" si="45"/>
        <v>3821.8950787500003</v>
      </c>
      <c r="T62" s="14"/>
      <c r="U62" s="71"/>
      <c r="V62" s="67">
        <v>43678.8</v>
      </c>
      <c r="W62" s="72">
        <f t="shared" si="46"/>
        <v>5.000002163520989E-2</v>
      </c>
      <c r="X62" s="65">
        <f t="shared" si="47"/>
        <v>43678.8</v>
      </c>
      <c r="Y62" s="73"/>
      <c r="Z62" s="74"/>
      <c r="AA62" s="75"/>
      <c r="AC62" s="3"/>
      <c r="AD62" s="55"/>
      <c r="AE62" s="55"/>
      <c r="AF62" s="55"/>
      <c r="AG62" s="55"/>
      <c r="AH62" s="55">
        <v>-19355.893099036908</v>
      </c>
      <c r="AI62" s="55">
        <v>-1970.6801545562905</v>
      </c>
      <c r="AJ62" s="55"/>
      <c r="AK62" s="76"/>
      <c r="AL62" s="55"/>
      <c r="AM62" s="55">
        <v>-4384.2941212542464</v>
      </c>
      <c r="AN62" s="55">
        <v>0</v>
      </c>
      <c r="AO62" s="55"/>
      <c r="AP62" s="76"/>
      <c r="AQ62" s="76"/>
      <c r="AR62" s="77">
        <f t="shared" si="17"/>
        <v>48155.877992250011</v>
      </c>
      <c r="AS62" s="78">
        <v>0.05</v>
      </c>
      <c r="AT62" s="3"/>
      <c r="AU62" s="3"/>
      <c r="AV62" s="79"/>
    </row>
    <row r="63" spans="1:48" hidden="1" x14ac:dyDescent="0.2">
      <c r="A63" s="83" t="s">
        <v>94</v>
      </c>
      <c r="B63" s="61" t="s">
        <v>100</v>
      </c>
      <c r="C63" s="82">
        <v>100022057</v>
      </c>
      <c r="D63" s="83" t="s">
        <v>103</v>
      </c>
      <c r="E63" s="64">
        <v>7790360025944</v>
      </c>
      <c r="F63" s="65">
        <v>7.1999999999999993</v>
      </c>
      <c r="G63" s="66">
        <v>10</v>
      </c>
      <c r="H63" s="112"/>
      <c r="I63" s="65">
        <f t="shared" ref="I63:I71" si="56">IFERROR(L63*1.35*1.21,)</f>
        <v>0</v>
      </c>
      <c r="J63" s="65">
        <f t="shared" si="40"/>
        <v>0</v>
      </c>
      <c r="K63" s="9">
        <f t="shared" si="38"/>
        <v>0</v>
      </c>
      <c r="L63" s="65" t="str">
        <f t="shared" si="41"/>
        <v/>
      </c>
      <c r="M63" s="65" t="str">
        <f t="shared" si="42"/>
        <v/>
      </c>
      <c r="N63" s="68" t="e">
        <v>#VALUE!</v>
      </c>
      <c r="O63" s="72"/>
      <c r="P63" s="65" t="str">
        <f t="shared" si="43"/>
        <v/>
      </c>
      <c r="Q63" s="72"/>
      <c r="R63" s="65" t="str">
        <f t="shared" si="44"/>
        <v/>
      </c>
      <c r="S63" s="65" t="str">
        <f t="shared" si="45"/>
        <v/>
      </c>
      <c r="T63" s="14"/>
      <c r="U63" s="71"/>
      <c r="V63" s="67" t="s">
        <v>162</v>
      </c>
      <c r="W63" s="72" t="str">
        <f t="shared" si="46"/>
        <v/>
      </c>
      <c r="X63" s="65" t="str">
        <f t="shared" si="47"/>
        <v/>
      </c>
      <c r="Y63" s="73">
        <v>0</v>
      </c>
      <c r="Z63" s="74" t="e">
        <f>+N63*(1-Y63)</f>
        <v>#VALUE!</v>
      </c>
      <c r="AA63" s="75"/>
      <c r="AC63" s="3"/>
      <c r="AD63" s="55">
        <f t="shared" ref="AD63:AD71" si="57">-IFERROR(N63*AD$9,)</f>
        <v>0</v>
      </c>
      <c r="AE63" s="55">
        <f t="shared" ref="AE63:AE71" si="58">$AE$9*F63</f>
        <v>-6.6959999999999997</v>
      </c>
      <c r="AF63" s="55"/>
      <c r="AG63" s="55" t="e">
        <f t="shared" ref="AG63:AG71" si="59">+Z63+AD63+AE63</f>
        <v>#VALUE!</v>
      </c>
      <c r="AH63" s="55">
        <v>-11890.506667458465</v>
      </c>
      <c r="AI63" s="55">
        <v>0</v>
      </c>
      <c r="AJ63" s="55" t="e">
        <f t="shared" ref="AJ63:AJ71" si="60">AG63+AH63+AI63</f>
        <v>#VALUE!</v>
      </c>
      <c r="AK63" s="76" t="e">
        <f t="shared" ref="AK63:AK71" si="61">AJ63/$AG63</f>
        <v>#VALUE!</v>
      </c>
      <c r="AL63" s="55"/>
      <c r="AM63" s="55">
        <v>-3696.2433547199994</v>
      </c>
      <c r="AN63" s="55">
        <v>0</v>
      </c>
      <c r="AO63" s="55" t="e">
        <f t="shared" ref="AO63:AO71" si="62">+AJ63+AM63+AN63</f>
        <v>#VALUE!</v>
      </c>
      <c r="AP63" s="76" t="e">
        <f t="shared" ref="AP63:AP71" si="63">AO63/$AG63</f>
        <v>#VALUE!</v>
      </c>
      <c r="AQ63" s="76"/>
      <c r="AR63" s="77" t="str">
        <f t="shared" si="17"/>
        <v/>
      </c>
      <c r="AS63" s="78">
        <v>0.05</v>
      </c>
      <c r="AT63" s="3"/>
      <c r="AU63" s="79"/>
      <c r="AV63" s="79"/>
    </row>
    <row r="64" spans="1:48" hidden="1" x14ac:dyDescent="0.2">
      <c r="A64" s="83" t="s">
        <v>94</v>
      </c>
      <c r="B64" s="61" t="s">
        <v>100</v>
      </c>
      <c r="C64" s="82">
        <v>100516731</v>
      </c>
      <c r="D64" s="83" t="s">
        <v>104</v>
      </c>
      <c r="E64" s="64"/>
      <c r="F64" s="65">
        <v>10.44</v>
      </c>
      <c r="G64" s="66">
        <v>12</v>
      </c>
      <c r="H64" s="112"/>
      <c r="I64" s="65">
        <f t="shared" si="56"/>
        <v>0</v>
      </c>
      <c r="J64" s="65">
        <f t="shared" si="40"/>
        <v>0</v>
      </c>
      <c r="K64" s="9">
        <f t="shared" si="38"/>
        <v>0</v>
      </c>
      <c r="L64" s="65" t="str">
        <f t="shared" si="41"/>
        <v/>
      </c>
      <c r="M64" s="65" t="str">
        <f t="shared" si="42"/>
        <v/>
      </c>
      <c r="N64" s="68" t="e">
        <v>#VALUE!</v>
      </c>
      <c r="O64" s="72"/>
      <c r="P64" s="65" t="str">
        <f t="shared" si="43"/>
        <v/>
      </c>
      <c r="Q64" s="72"/>
      <c r="R64" s="65" t="str">
        <f t="shared" si="44"/>
        <v/>
      </c>
      <c r="S64" s="65" t="str">
        <f t="shared" si="45"/>
        <v/>
      </c>
      <c r="T64" s="14"/>
      <c r="U64" s="71"/>
      <c r="V64" s="67" t="s">
        <v>162</v>
      </c>
      <c r="W64" s="72" t="str">
        <f t="shared" si="46"/>
        <v/>
      </c>
      <c r="X64" s="65" t="str">
        <f t="shared" si="47"/>
        <v/>
      </c>
      <c r="Y64" s="73">
        <v>0</v>
      </c>
      <c r="Z64" s="74" t="e">
        <f>+N64*(1-Y64)</f>
        <v>#VALUE!</v>
      </c>
      <c r="AA64" s="75"/>
      <c r="AC64" s="3"/>
      <c r="AD64" s="55">
        <f t="shared" si="57"/>
        <v>0</v>
      </c>
      <c r="AE64" s="55">
        <f t="shared" si="58"/>
        <v>-9.7091999999999992</v>
      </c>
      <c r="AF64" s="55"/>
      <c r="AG64" s="55" t="e">
        <f t="shared" si="59"/>
        <v>#VALUE!</v>
      </c>
      <c r="AH64" s="55" t="e">
        <v>#N/A</v>
      </c>
      <c r="AI64" s="55" t="e">
        <v>#N/A</v>
      </c>
      <c r="AJ64" s="55" t="e">
        <f t="shared" si="60"/>
        <v>#VALUE!</v>
      </c>
      <c r="AK64" s="76" t="e">
        <f t="shared" si="61"/>
        <v>#VALUE!</v>
      </c>
      <c r="AL64" s="55"/>
      <c r="AM64" s="55" t="e">
        <v>#N/A</v>
      </c>
      <c r="AN64" s="55" t="e">
        <v>#N/A</v>
      </c>
      <c r="AO64" s="55" t="e">
        <f t="shared" si="62"/>
        <v>#VALUE!</v>
      </c>
      <c r="AP64" s="76" t="e">
        <f t="shared" si="63"/>
        <v>#VALUE!</v>
      </c>
      <c r="AQ64" s="76"/>
      <c r="AR64" s="77" t="str">
        <f t="shared" si="17"/>
        <v/>
      </c>
      <c r="AS64" s="78">
        <v>0.05</v>
      </c>
      <c r="AT64" s="3"/>
      <c r="AU64" s="79"/>
      <c r="AV64" s="79"/>
    </row>
    <row r="65" spans="1:48" x14ac:dyDescent="0.2">
      <c r="A65" s="83" t="s">
        <v>94</v>
      </c>
      <c r="B65" s="61" t="s">
        <v>105</v>
      </c>
      <c r="C65" s="82">
        <v>100022058</v>
      </c>
      <c r="D65" s="83" t="s">
        <v>106</v>
      </c>
      <c r="E65" s="64">
        <v>7790360026002</v>
      </c>
      <c r="F65" s="65">
        <v>4.5599999990400004</v>
      </c>
      <c r="G65" s="66">
        <v>24</v>
      </c>
      <c r="H65" s="112"/>
      <c r="I65" s="65">
        <f t="shared" si="56"/>
        <v>1637.8270072467192</v>
      </c>
      <c r="J65" s="65">
        <f t="shared" si="40"/>
        <v>1474.0443065220472</v>
      </c>
      <c r="K65" s="9">
        <f t="shared" si="38"/>
        <v>0.25925925925925936</v>
      </c>
      <c r="L65" s="65">
        <f t="shared" si="41"/>
        <v>1002.6489178125001</v>
      </c>
      <c r="M65" s="65">
        <f t="shared" si="42"/>
        <v>5277.099568545179</v>
      </c>
      <c r="N65" s="68">
        <v>24063.574027500003</v>
      </c>
      <c r="O65" s="72"/>
      <c r="P65" s="65">
        <f t="shared" si="43"/>
        <v>24063.574027500003</v>
      </c>
      <c r="Q65" s="72"/>
      <c r="R65" s="65">
        <f t="shared" si="44"/>
        <v>24063.574027500003</v>
      </c>
      <c r="S65" s="65">
        <f t="shared" si="45"/>
        <v>1002.6489178125001</v>
      </c>
      <c r="T65" s="14"/>
      <c r="U65" s="71"/>
      <c r="V65" s="67">
        <v>22917.69</v>
      </c>
      <c r="W65" s="72">
        <f t="shared" si="46"/>
        <v>4.9999979382739035E-2</v>
      </c>
      <c r="X65" s="65">
        <f t="shared" si="47"/>
        <v>22917.69</v>
      </c>
      <c r="Y65" s="73">
        <v>0</v>
      </c>
      <c r="Z65" s="74">
        <f>+N65*(1-Y65)</f>
        <v>24063.574027500003</v>
      </c>
      <c r="AA65" s="75"/>
      <c r="AC65" s="3"/>
      <c r="AD65" s="55">
        <f t="shared" si="57"/>
        <v>-481.27148055000004</v>
      </c>
      <c r="AE65" s="55">
        <f t="shared" si="58"/>
        <v>-4.2407999991072005</v>
      </c>
      <c r="AF65" s="55"/>
      <c r="AG65" s="55">
        <f t="shared" si="59"/>
        <v>23578.061746950894</v>
      </c>
      <c r="AH65" s="55">
        <v>-7377.4939770505898</v>
      </c>
      <c r="AI65" s="55">
        <v>-1185.1311093260649</v>
      </c>
      <c r="AJ65" s="55">
        <f t="shared" si="60"/>
        <v>15015.43666057424</v>
      </c>
      <c r="AK65" s="76">
        <f t="shared" si="61"/>
        <v>0.6368393136690309</v>
      </c>
      <c r="AL65" s="55"/>
      <c r="AM65" s="55">
        <v>-2412.8735917409163</v>
      </c>
      <c r="AN65" s="55">
        <v>-306.9102953005065</v>
      </c>
      <c r="AO65" s="55">
        <f t="shared" si="62"/>
        <v>12295.652773532818</v>
      </c>
      <c r="AP65" s="76">
        <f t="shared" si="63"/>
        <v>0.52148700370262147</v>
      </c>
      <c r="AQ65" s="76"/>
      <c r="AR65" s="77">
        <f t="shared" si="17"/>
        <v>25266.752728875003</v>
      </c>
      <c r="AS65" s="78">
        <v>0.05</v>
      </c>
      <c r="AT65" s="3"/>
      <c r="AU65" s="3"/>
      <c r="AV65" s="79"/>
    </row>
    <row r="66" spans="1:48" hidden="1" x14ac:dyDescent="0.2">
      <c r="A66" s="83" t="s">
        <v>94</v>
      </c>
      <c r="B66" s="61" t="s">
        <v>107</v>
      </c>
      <c r="C66" s="82">
        <v>100022089</v>
      </c>
      <c r="D66" s="83" t="s">
        <v>108</v>
      </c>
      <c r="E66" s="64">
        <v>7798024390315</v>
      </c>
      <c r="F66" s="65">
        <v>5.4</v>
      </c>
      <c r="G66" s="66">
        <v>24</v>
      </c>
      <c r="I66" s="65">
        <f t="shared" si="56"/>
        <v>0</v>
      </c>
      <c r="J66" s="65">
        <f t="shared" ref="J66:J71" si="64">+I66*0.8</f>
        <v>0</v>
      </c>
      <c r="K66" s="9">
        <f t="shared" si="38"/>
        <v>0</v>
      </c>
      <c r="L66" s="65">
        <f>+IF(ISERROR(P66/G66),"",(P66/G66))</f>
        <v>0</v>
      </c>
      <c r="M66" s="65">
        <f t="shared" si="42"/>
        <v>0</v>
      </c>
      <c r="N66" s="68"/>
      <c r="O66" s="72"/>
      <c r="P66" s="65">
        <f t="shared" si="43"/>
        <v>0</v>
      </c>
      <c r="Q66" s="72"/>
      <c r="R66" s="65">
        <f t="shared" si="44"/>
        <v>0</v>
      </c>
      <c r="S66" s="65">
        <f t="shared" si="45"/>
        <v>0</v>
      </c>
      <c r="T66" s="14"/>
      <c r="U66"/>
      <c r="V66" s="65" t="s">
        <v>162</v>
      </c>
      <c r="W66" s="72" t="str">
        <f t="shared" si="46"/>
        <v/>
      </c>
      <c r="X66" s="65" t="str">
        <f t="shared" si="47"/>
        <v/>
      </c>
      <c r="Y66" s="73">
        <v>0</v>
      </c>
      <c r="Z66" s="74"/>
      <c r="AA66" s="75"/>
      <c r="AC66" s="3"/>
      <c r="AD66" s="55">
        <f t="shared" si="57"/>
        <v>0</v>
      </c>
      <c r="AE66" s="55">
        <f t="shared" si="58"/>
        <v>-5.0220000000000002</v>
      </c>
      <c r="AF66" s="55"/>
      <c r="AG66" s="55">
        <f t="shared" si="59"/>
        <v>-5.0220000000000002</v>
      </c>
      <c r="AH66" s="55">
        <v>-12321.649383685186</v>
      </c>
      <c r="AI66" s="55">
        <v>-748.88474981734225</v>
      </c>
      <c r="AJ66" s="55">
        <f t="shared" si="60"/>
        <v>-13075.556133502529</v>
      </c>
      <c r="AK66" s="76">
        <f t="shared" si="61"/>
        <v>2603.6551440666126</v>
      </c>
      <c r="AL66" s="55"/>
      <c r="AM66" s="55">
        <v>-2721.2860062957388</v>
      </c>
      <c r="AN66" s="55">
        <v>0</v>
      </c>
      <c r="AO66" s="55">
        <f t="shared" si="62"/>
        <v>-15796.842139798267</v>
      </c>
      <c r="AP66" s="76">
        <f t="shared" si="63"/>
        <v>3145.5281043007303</v>
      </c>
      <c r="AQ66" s="76"/>
      <c r="AR66" s="77">
        <f t="shared" si="17"/>
        <v>0</v>
      </c>
      <c r="AS66" s="78">
        <v>0.05</v>
      </c>
      <c r="AT66" s="3"/>
    </row>
    <row r="67" spans="1:48" hidden="1" x14ac:dyDescent="0.2">
      <c r="A67" s="83" t="s">
        <v>94</v>
      </c>
      <c r="B67" s="61" t="s">
        <v>107</v>
      </c>
      <c r="C67" s="82">
        <v>100022080</v>
      </c>
      <c r="D67" s="83" t="s">
        <v>109</v>
      </c>
      <c r="E67" s="64">
        <v>7798158706778</v>
      </c>
      <c r="F67" s="65">
        <v>5.4</v>
      </c>
      <c r="G67" s="66">
        <v>12</v>
      </c>
      <c r="I67" s="65">
        <f t="shared" si="56"/>
        <v>0</v>
      </c>
      <c r="J67" s="65">
        <f t="shared" si="64"/>
        <v>0</v>
      </c>
      <c r="K67" s="9">
        <f t="shared" si="38"/>
        <v>0</v>
      </c>
      <c r="L67" s="65">
        <f>+IF(ISERROR(P67/G67),"",(P67/G67))</f>
        <v>0</v>
      </c>
      <c r="M67" s="65">
        <f t="shared" si="42"/>
        <v>0</v>
      </c>
      <c r="N67" s="68"/>
      <c r="O67" s="72"/>
      <c r="P67" s="65">
        <f t="shared" si="43"/>
        <v>0</v>
      </c>
      <c r="Q67" s="72"/>
      <c r="R67" s="65">
        <f t="shared" si="44"/>
        <v>0</v>
      </c>
      <c r="S67" s="65">
        <f t="shared" si="45"/>
        <v>0</v>
      </c>
      <c r="T67" s="14"/>
      <c r="U67"/>
      <c r="V67" s="65" t="s">
        <v>162</v>
      </c>
      <c r="W67" s="72" t="str">
        <f t="shared" si="46"/>
        <v/>
      </c>
      <c r="X67" s="65" t="str">
        <f t="shared" si="47"/>
        <v/>
      </c>
      <c r="Y67" s="73">
        <v>0</v>
      </c>
      <c r="Z67" s="74"/>
      <c r="AA67" s="75"/>
      <c r="AC67" s="3"/>
      <c r="AD67" s="55">
        <f t="shared" si="57"/>
        <v>0</v>
      </c>
      <c r="AE67" s="55">
        <f t="shared" si="58"/>
        <v>-5.0220000000000002</v>
      </c>
      <c r="AF67" s="55"/>
      <c r="AG67" s="55">
        <f t="shared" si="59"/>
        <v>-5.0220000000000002</v>
      </c>
      <c r="AH67" s="55">
        <v>-12187.961192187417</v>
      </c>
      <c r="AI67" s="55">
        <v>-727.60010583900316</v>
      </c>
      <c r="AJ67" s="55">
        <f t="shared" si="60"/>
        <v>-12920.58329802642</v>
      </c>
      <c r="AK67" s="76">
        <f t="shared" si="61"/>
        <v>2572.7963556404661</v>
      </c>
      <c r="AL67" s="55"/>
      <c r="AM67" s="55">
        <v>-2639.6474261068674</v>
      </c>
      <c r="AN67" s="55">
        <v>0</v>
      </c>
      <c r="AO67" s="55">
        <f t="shared" si="62"/>
        <v>-15560.230724133287</v>
      </c>
      <c r="AP67" s="76">
        <f t="shared" si="63"/>
        <v>3098.4131270675603</v>
      </c>
      <c r="AQ67" s="76"/>
      <c r="AR67" s="77">
        <f t="shared" si="17"/>
        <v>0</v>
      </c>
      <c r="AS67" s="78">
        <v>0.05</v>
      </c>
      <c r="AT67" s="3"/>
    </row>
    <row r="68" spans="1:48" hidden="1" x14ac:dyDescent="0.2">
      <c r="A68" s="83" t="s">
        <v>94</v>
      </c>
      <c r="B68" s="61" t="s">
        <v>107</v>
      </c>
      <c r="C68" s="82">
        <v>100022081</v>
      </c>
      <c r="D68" s="83" t="s">
        <v>110</v>
      </c>
      <c r="E68" s="64">
        <v>7798158706785</v>
      </c>
      <c r="F68" s="65">
        <v>5.4</v>
      </c>
      <c r="G68" s="66">
        <v>6</v>
      </c>
      <c r="I68" s="65">
        <f t="shared" si="56"/>
        <v>0</v>
      </c>
      <c r="J68" s="65">
        <f t="shared" si="64"/>
        <v>0</v>
      </c>
      <c r="K68" s="9">
        <f t="shared" si="38"/>
        <v>0</v>
      </c>
      <c r="L68" s="65">
        <f>+IF(ISERROR(P68/G68),"",(P68/G68))</f>
        <v>0</v>
      </c>
      <c r="M68" s="65">
        <f t="shared" si="42"/>
        <v>0</v>
      </c>
      <c r="N68" s="68"/>
      <c r="O68" s="72"/>
      <c r="P68" s="65">
        <f t="shared" si="43"/>
        <v>0</v>
      </c>
      <c r="Q68" s="72"/>
      <c r="R68" s="65">
        <f t="shared" si="44"/>
        <v>0</v>
      </c>
      <c r="S68" s="65">
        <f t="shared" si="45"/>
        <v>0</v>
      </c>
      <c r="T68" s="14"/>
      <c r="U68"/>
      <c r="V68" s="65" t="s">
        <v>162</v>
      </c>
      <c r="W68" s="72" t="str">
        <f t="shared" si="46"/>
        <v/>
      </c>
      <c r="X68" s="65" t="str">
        <f t="shared" si="47"/>
        <v/>
      </c>
      <c r="Y68" s="73">
        <v>0</v>
      </c>
      <c r="Z68" s="74"/>
      <c r="AA68" s="75"/>
      <c r="AC68" s="3"/>
      <c r="AD68" s="55">
        <f t="shared" si="57"/>
        <v>0</v>
      </c>
      <c r="AE68" s="55">
        <f t="shared" si="58"/>
        <v>-5.0220000000000002</v>
      </c>
      <c r="AF68" s="55"/>
      <c r="AG68" s="55">
        <f t="shared" si="59"/>
        <v>-5.0220000000000002</v>
      </c>
      <c r="AH68" s="55">
        <v>-11770.923026968585</v>
      </c>
      <c r="AI68" s="55">
        <v>0</v>
      </c>
      <c r="AJ68" s="55">
        <f t="shared" si="60"/>
        <v>-11775.945026968586</v>
      </c>
      <c r="AK68" s="76">
        <f t="shared" si="61"/>
        <v>2344.871570483589</v>
      </c>
      <c r="AL68" s="55"/>
      <c r="AM68" s="55">
        <v>-2772.1825160399999</v>
      </c>
      <c r="AN68" s="55">
        <v>0</v>
      </c>
      <c r="AO68" s="55">
        <f t="shared" si="62"/>
        <v>-14548.127543008586</v>
      </c>
      <c r="AP68" s="76">
        <f t="shared" si="63"/>
        <v>2896.8792399459549</v>
      </c>
      <c r="AQ68" s="76"/>
      <c r="AR68" s="77">
        <f t="shared" si="17"/>
        <v>0</v>
      </c>
      <c r="AS68" s="78">
        <v>0.05</v>
      </c>
      <c r="AT68" s="3"/>
    </row>
    <row r="69" spans="1:48" hidden="1" x14ac:dyDescent="0.2">
      <c r="A69" s="83" t="s">
        <v>94</v>
      </c>
      <c r="B69" s="61" t="s">
        <v>107</v>
      </c>
      <c r="C69" s="82">
        <v>100022014</v>
      </c>
      <c r="D69" s="83" t="s">
        <v>111</v>
      </c>
      <c r="E69" s="64">
        <v>8480017244512</v>
      </c>
      <c r="F69" s="65">
        <v>4.5</v>
      </c>
      <c r="G69" s="66">
        <v>20</v>
      </c>
      <c r="I69" s="65">
        <f t="shared" si="56"/>
        <v>0</v>
      </c>
      <c r="J69" s="65">
        <f t="shared" si="64"/>
        <v>0</v>
      </c>
      <c r="K69" s="9">
        <f t="shared" si="38"/>
        <v>0</v>
      </c>
      <c r="L69" s="65">
        <f>+IF(ISERROR(P69/G69),"",(P69/G69))</f>
        <v>0</v>
      </c>
      <c r="M69" s="65">
        <f t="shared" si="42"/>
        <v>0</v>
      </c>
      <c r="N69" s="68"/>
      <c r="O69" s="72"/>
      <c r="P69" s="65">
        <f t="shared" si="43"/>
        <v>0</v>
      </c>
      <c r="Q69" s="72"/>
      <c r="R69" s="65">
        <f t="shared" si="44"/>
        <v>0</v>
      </c>
      <c r="S69" s="65">
        <f t="shared" si="45"/>
        <v>0</v>
      </c>
      <c r="T69" s="14"/>
      <c r="U69"/>
      <c r="V69" s="65" t="s">
        <v>162</v>
      </c>
      <c r="W69" s="72" t="str">
        <f t="shared" si="46"/>
        <v/>
      </c>
      <c r="X69" s="65" t="str">
        <f t="shared" si="47"/>
        <v/>
      </c>
      <c r="Y69" s="73">
        <v>0</v>
      </c>
      <c r="Z69" s="74"/>
      <c r="AA69" s="75"/>
      <c r="AC69" s="3"/>
      <c r="AD69" s="55">
        <f t="shared" si="57"/>
        <v>0</v>
      </c>
      <c r="AE69" s="55">
        <f t="shared" si="58"/>
        <v>-4.1850000000000005</v>
      </c>
      <c r="AF69" s="55"/>
      <c r="AG69" s="55">
        <f t="shared" si="59"/>
        <v>-4.1850000000000005</v>
      </c>
      <c r="AH69" s="55">
        <v>-9491.0751074798154</v>
      </c>
      <c r="AI69" s="55">
        <v>-9</v>
      </c>
      <c r="AJ69" s="55">
        <f t="shared" si="60"/>
        <v>-9504.2601074798149</v>
      </c>
      <c r="AK69" s="76">
        <f t="shared" si="61"/>
        <v>2271.0298942604095</v>
      </c>
      <c r="AL69" s="55"/>
      <c r="AM69" s="55">
        <v>-2310.1520967000001</v>
      </c>
      <c r="AN69" s="55">
        <v>0</v>
      </c>
      <c r="AO69" s="55">
        <f t="shared" si="62"/>
        <v>-11814.412204179815</v>
      </c>
      <c r="AP69" s="76">
        <f t="shared" si="63"/>
        <v>2823.0375637227748</v>
      </c>
      <c r="AQ69" s="76"/>
      <c r="AR69" s="77">
        <f t="shared" si="17"/>
        <v>0</v>
      </c>
      <c r="AS69" s="78">
        <v>0.05</v>
      </c>
      <c r="AT69" s="3"/>
    </row>
    <row r="70" spans="1:48" hidden="1" x14ac:dyDescent="0.2">
      <c r="A70" s="83" t="s">
        <v>94</v>
      </c>
      <c r="B70" s="61" t="s">
        <v>107</v>
      </c>
      <c r="C70" s="82">
        <v>100022086</v>
      </c>
      <c r="D70" s="83" t="s">
        <v>112</v>
      </c>
      <c r="E70" s="64">
        <v>8480017090058</v>
      </c>
      <c r="F70" s="65">
        <v>5.4</v>
      </c>
      <c r="G70" s="66">
        <v>12</v>
      </c>
      <c r="I70" s="65">
        <f t="shared" si="56"/>
        <v>0</v>
      </c>
      <c r="J70" s="65">
        <f t="shared" si="64"/>
        <v>0</v>
      </c>
      <c r="K70" s="9">
        <f t="shared" si="38"/>
        <v>0</v>
      </c>
      <c r="L70" s="65">
        <f>+IF(ISERROR(P70/G70),"",(P70/G70))</f>
        <v>0</v>
      </c>
      <c r="M70" s="65">
        <f t="shared" si="42"/>
        <v>0</v>
      </c>
      <c r="N70" s="68"/>
      <c r="O70" s="72"/>
      <c r="P70" s="65">
        <f t="shared" si="43"/>
        <v>0</v>
      </c>
      <c r="Q70" s="72"/>
      <c r="R70" s="65">
        <f t="shared" si="44"/>
        <v>0</v>
      </c>
      <c r="S70" s="113">
        <f t="shared" si="45"/>
        <v>0</v>
      </c>
      <c r="T70" s="14"/>
      <c r="U70"/>
      <c r="V70" s="65" t="s">
        <v>162</v>
      </c>
      <c r="W70" s="72" t="str">
        <f t="shared" si="46"/>
        <v/>
      </c>
      <c r="X70" s="65" t="str">
        <f t="shared" si="47"/>
        <v/>
      </c>
      <c r="Y70" s="73">
        <v>0</v>
      </c>
      <c r="Z70" s="74"/>
      <c r="AA70" s="75"/>
      <c r="AC70" s="3"/>
      <c r="AD70" s="55">
        <f t="shared" si="57"/>
        <v>0</v>
      </c>
      <c r="AE70" s="55">
        <f t="shared" si="58"/>
        <v>-5.0220000000000002</v>
      </c>
      <c r="AF70" s="55"/>
      <c r="AG70" s="55">
        <f t="shared" si="59"/>
        <v>-5.0220000000000002</v>
      </c>
      <c r="AH70" s="55">
        <v>-11602.488731028934</v>
      </c>
      <c r="AI70" s="55">
        <v>0</v>
      </c>
      <c r="AJ70" s="55">
        <f t="shared" si="60"/>
        <v>-11607.510731028935</v>
      </c>
      <c r="AK70" s="76">
        <f t="shared" si="61"/>
        <v>2311.3322841555027</v>
      </c>
      <c r="AL70" s="55"/>
      <c r="AM70" s="55">
        <v>-2772.1825160399999</v>
      </c>
      <c r="AN70" s="55">
        <v>0</v>
      </c>
      <c r="AO70" s="55">
        <f t="shared" si="62"/>
        <v>-14379.693247068935</v>
      </c>
      <c r="AP70" s="76">
        <f t="shared" si="63"/>
        <v>2863.3399536178681</v>
      </c>
      <c r="AQ70" s="76"/>
      <c r="AR70" s="77">
        <f t="shared" si="17"/>
        <v>0</v>
      </c>
      <c r="AS70" s="78">
        <v>0.05</v>
      </c>
      <c r="AT70" s="3"/>
    </row>
    <row r="71" spans="1:48" hidden="1" x14ac:dyDescent="0.2">
      <c r="A71" s="83" t="s">
        <v>94</v>
      </c>
      <c r="B71" s="61" t="s">
        <v>107</v>
      </c>
      <c r="C71" s="82">
        <v>100022087</v>
      </c>
      <c r="D71" s="83" t="s">
        <v>113</v>
      </c>
      <c r="E71" s="64">
        <v>8480017048141</v>
      </c>
      <c r="F71" s="65">
        <v>5.4</v>
      </c>
      <c r="G71" s="66">
        <v>6</v>
      </c>
      <c r="I71" s="65">
        <f t="shared" si="56"/>
        <v>0</v>
      </c>
      <c r="J71" s="65">
        <f t="shared" si="64"/>
        <v>0</v>
      </c>
      <c r="K71" s="9">
        <f t="shared" si="38"/>
        <v>0</v>
      </c>
      <c r="L71" s="65">
        <f>+IF(ISERROR(N71/G71),"",(N71/G71))</f>
        <v>0</v>
      </c>
      <c r="M71" s="65">
        <f t="shared" si="42"/>
        <v>0</v>
      </c>
      <c r="N71" s="68"/>
      <c r="O71" s="72"/>
      <c r="P71" s="65">
        <f t="shared" si="43"/>
        <v>0</v>
      </c>
      <c r="Q71" s="72"/>
      <c r="R71" s="65">
        <f t="shared" si="44"/>
        <v>0</v>
      </c>
      <c r="S71" s="113">
        <f t="shared" si="45"/>
        <v>0</v>
      </c>
      <c r="T71" s="14"/>
      <c r="U71"/>
      <c r="V71" s="65" t="s">
        <v>162</v>
      </c>
      <c r="W71" s="72" t="str">
        <f t="shared" si="46"/>
        <v/>
      </c>
      <c r="X71" s="65" t="str">
        <f t="shared" si="47"/>
        <v/>
      </c>
      <c r="Y71" s="73">
        <v>0</v>
      </c>
      <c r="Z71" s="74"/>
      <c r="AA71" s="75"/>
      <c r="AC71" s="3"/>
      <c r="AD71" s="55">
        <f t="shared" si="57"/>
        <v>0</v>
      </c>
      <c r="AE71" s="55">
        <f t="shared" si="58"/>
        <v>-5.0220000000000002</v>
      </c>
      <c r="AF71" s="55"/>
      <c r="AG71" s="55">
        <f t="shared" si="59"/>
        <v>-5.0220000000000002</v>
      </c>
      <c r="AH71" s="55">
        <v>-11601.26845808526</v>
      </c>
      <c r="AI71" s="55">
        <v>0</v>
      </c>
      <c r="AJ71" s="55">
        <f t="shared" si="60"/>
        <v>-11606.290458085261</v>
      </c>
      <c r="AK71" s="76">
        <f t="shared" si="61"/>
        <v>2311.0892987027601</v>
      </c>
      <c r="AL71" s="55"/>
      <c r="AM71" s="55">
        <v>-2772.1825160399999</v>
      </c>
      <c r="AN71" s="55">
        <v>0</v>
      </c>
      <c r="AO71" s="55">
        <f t="shared" si="62"/>
        <v>-14378.472974125261</v>
      </c>
      <c r="AP71" s="76">
        <f t="shared" si="63"/>
        <v>2863.0969681651254</v>
      </c>
      <c r="AQ71" s="76"/>
      <c r="AR71" s="77">
        <f t="shared" si="17"/>
        <v>0</v>
      </c>
      <c r="AS71" s="78">
        <v>0.05</v>
      </c>
      <c r="AT71" s="3"/>
    </row>
    <row r="72" spans="1:48" x14ac:dyDescent="0.2">
      <c r="A72" s="45"/>
      <c r="B72" s="46"/>
      <c r="C72" s="47"/>
      <c r="D72" s="48"/>
      <c r="E72" s="47"/>
      <c r="F72" s="48"/>
      <c r="G72" s="109"/>
      <c r="I72" s="50"/>
      <c r="J72" s="51"/>
      <c r="K72" s="9">
        <f t="shared" si="38"/>
        <v>0</v>
      </c>
      <c r="L72" s="50"/>
      <c r="M72" s="48"/>
      <c r="N72" s="48"/>
      <c r="O72" s="52"/>
      <c r="P72" s="48"/>
      <c r="Q72" s="52"/>
      <c r="R72" s="48"/>
      <c r="S72" s="49"/>
      <c r="T72" s="14"/>
      <c r="U72"/>
      <c r="V72" s="48"/>
      <c r="W72" s="54"/>
      <c r="X72" s="49"/>
      <c r="Y72" s="73"/>
      <c r="AA72" s="75"/>
      <c r="AC72" s="3"/>
      <c r="AD72" s="55"/>
      <c r="AE72" s="55"/>
      <c r="AF72" s="55"/>
      <c r="AG72" s="55"/>
      <c r="AH72" s="55">
        <v>0</v>
      </c>
      <c r="AI72" s="55">
        <v>0</v>
      </c>
      <c r="AJ72" s="55"/>
      <c r="AK72" s="76"/>
      <c r="AL72" s="55"/>
      <c r="AM72" s="55">
        <v>0</v>
      </c>
      <c r="AN72" s="55">
        <v>0</v>
      </c>
      <c r="AO72" s="55"/>
      <c r="AP72" s="76"/>
      <c r="AQ72" s="76"/>
      <c r="AR72" s="110" t="str">
        <f t="shared" si="17"/>
        <v/>
      </c>
      <c r="AS72" s="111" t="s">
        <v>162</v>
      </c>
      <c r="AT72" s="3"/>
    </row>
    <row r="73" spans="1:48" x14ac:dyDescent="0.2">
      <c r="A73" s="83" t="s">
        <v>114</v>
      </c>
      <c r="B73" s="61" t="s">
        <v>115</v>
      </c>
      <c r="C73" s="82">
        <v>100021000</v>
      </c>
      <c r="D73" s="83" t="s">
        <v>116</v>
      </c>
      <c r="E73" s="64">
        <v>7790360720382</v>
      </c>
      <c r="F73" s="65">
        <v>2.16</v>
      </c>
      <c r="G73" s="66">
        <v>24</v>
      </c>
      <c r="I73" s="65">
        <f t="shared" ref="I73:I98" si="65">IFERROR(L73*1.35*1.21,)</f>
        <v>1328.3565848437497</v>
      </c>
      <c r="J73" s="65">
        <f t="shared" ref="J73:J100" si="66">+I73*0.9</f>
        <v>1195.5209263593747</v>
      </c>
      <c r="K73" s="9">
        <f t="shared" si="38"/>
        <v>0.25925925925925924</v>
      </c>
      <c r="L73" s="65">
        <f t="shared" ref="L73:L98" si="67">+IF(ISERROR(N73/G73),"",(N73/G73))</f>
        <v>813.19656249999991</v>
      </c>
      <c r="M73" s="65">
        <f t="shared" ref="M73:M98" si="68">+IF(ISERROR(N73/F73),"",(N73/F73))</f>
        <v>9035.5173611111095</v>
      </c>
      <c r="N73" s="68">
        <v>19516.717499999999</v>
      </c>
      <c r="O73" s="72"/>
      <c r="P73" s="65">
        <f t="shared" ref="P73:P92" si="69">+IF(ISERROR(N73/(1-O73)),"",(N73/(1-O73)))</f>
        <v>19516.717499999999</v>
      </c>
      <c r="Q73" s="72"/>
      <c r="R73" s="65">
        <f t="shared" ref="R73:R98" si="70">+IF(ISERROR(P73/(1-Q73)),"",(P73/(1-Q73)))</f>
        <v>19516.717499999999</v>
      </c>
      <c r="S73" s="65">
        <f t="shared" ref="S73:S93" si="71">+IF(ISERROR(P73/G73),"",(P73/G73))</f>
        <v>813.19656249999991</v>
      </c>
      <c r="T73" s="14"/>
      <c r="U73"/>
      <c r="V73" s="67">
        <v>18587.349999999999</v>
      </c>
      <c r="W73" s="72">
        <f t="shared" ref="W73:W94" si="72">+IF(ISERROR(N73/V73-1),"",(N73/V73-1))</f>
        <v>5.0000000000000044E-2</v>
      </c>
      <c r="X73" s="65">
        <f t="shared" ref="X73:X94" si="73">+IF(ISERROR(V73*(1-O73)),"",(V73*(1-O73)))</f>
        <v>18587.349999999999</v>
      </c>
      <c r="Y73" s="73">
        <v>0</v>
      </c>
      <c r="Z73" s="74">
        <f t="shared" ref="Z73:Z92" si="74">+N73*(1-Y73)</f>
        <v>19516.717499999999</v>
      </c>
      <c r="AA73" s="75"/>
      <c r="AC73" s="3"/>
      <c r="AD73" s="55">
        <f t="shared" ref="AD73:AD94" si="75">-IFERROR(N73*AD$9,)</f>
        <v>-390.33434999999997</v>
      </c>
      <c r="AE73" s="55">
        <f t="shared" ref="AE73:AE94" si="76">$AE$9*F73</f>
        <v>-2.0088000000000004</v>
      </c>
      <c r="AF73" s="55"/>
      <c r="AG73" s="55">
        <f t="shared" ref="AG73:AG94" si="77">+Z73+AD73+AE73</f>
        <v>19124.374349999998</v>
      </c>
      <c r="AH73" s="55">
        <v>-4126.0757179577195</v>
      </c>
      <c r="AI73" s="55">
        <v>-561.9854226720023</v>
      </c>
      <c r="AJ73" s="55">
        <f t="shared" ref="AJ73:AJ94" si="78">AG73+AH73+AI73</f>
        <v>14436.313209370277</v>
      </c>
      <c r="AK73" s="76">
        <f t="shared" ref="AK73:AK94" si="79">AJ73/$AG73</f>
        <v>0.75486460080563511</v>
      </c>
      <c r="AL73" s="55"/>
      <c r="AM73" s="55">
        <v>-1422.3340435489893</v>
      </c>
      <c r="AN73" s="55">
        <v>-328.05976846558377</v>
      </c>
      <c r="AO73" s="55">
        <f t="shared" ref="AO73:AO94" si="80">+AJ73+AM73+AN73</f>
        <v>12685.919397355703</v>
      </c>
      <c r="AP73" s="76">
        <f t="shared" ref="AP73:AP94" si="81">AO73/$AG73</f>
        <v>0.66333774716952787</v>
      </c>
      <c r="AQ73" s="76"/>
      <c r="AR73" s="77">
        <f t="shared" si="17"/>
        <v>20492.553375</v>
      </c>
      <c r="AS73" s="78">
        <v>0.05</v>
      </c>
      <c r="AT73" s="3"/>
      <c r="AU73" s="3"/>
      <c r="AV73" s="79"/>
    </row>
    <row r="74" spans="1:48" x14ac:dyDescent="0.2">
      <c r="A74" s="83" t="s">
        <v>114</v>
      </c>
      <c r="B74" s="61" t="s">
        <v>115</v>
      </c>
      <c r="C74" s="82">
        <v>100021001</v>
      </c>
      <c r="D74" s="83" t="s">
        <v>117</v>
      </c>
      <c r="E74" s="64">
        <v>7790360720115</v>
      </c>
      <c r="F74" s="65">
        <v>2.16</v>
      </c>
      <c r="G74" s="66">
        <v>24</v>
      </c>
      <c r="I74" s="65">
        <f t="shared" si="65"/>
        <v>1328.3565848437497</v>
      </c>
      <c r="J74" s="65">
        <f t="shared" si="66"/>
        <v>1195.5209263593747</v>
      </c>
      <c r="K74" s="9">
        <f t="shared" si="38"/>
        <v>0.25925925925925924</v>
      </c>
      <c r="L74" s="65">
        <f t="shared" si="67"/>
        <v>813.19656249999991</v>
      </c>
      <c r="M74" s="65">
        <f t="shared" si="68"/>
        <v>9035.5173611111095</v>
      </c>
      <c r="N74" s="68">
        <v>19516.717499999999</v>
      </c>
      <c r="O74" s="72"/>
      <c r="P74" s="65">
        <f t="shared" si="69"/>
        <v>19516.717499999999</v>
      </c>
      <c r="Q74" s="72"/>
      <c r="R74" s="65">
        <f t="shared" si="70"/>
        <v>19516.717499999999</v>
      </c>
      <c r="S74" s="65">
        <f t="shared" si="71"/>
        <v>813.19656249999991</v>
      </c>
      <c r="T74" s="14"/>
      <c r="U74"/>
      <c r="V74" s="67">
        <v>18587.349999999999</v>
      </c>
      <c r="W74" s="72">
        <f t="shared" si="72"/>
        <v>5.0000000000000044E-2</v>
      </c>
      <c r="X74" s="65">
        <f t="shared" si="73"/>
        <v>18587.349999999999</v>
      </c>
      <c r="Y74" s="73">
        <v>0</v>
      </c>
      <c r="Z74" s="74">
        <f t="shared" si="74"/>
        <v>19516.717499999999</v>
      </c>
      <c r="AA74" s="75"/>
      <c r="AC74" s="3"/>
      <c r="AD74" s="55">
        <f t="shared" si="75"/>
        <v>-390.33434999999997</v>
      </c>
      <c r="AE74" s="55">
        <f t="shared" si="76"/>
        <v>-2.0088000000000004</v>
      </c>
      <c r="AF74" s="55"/>
      <c r="AG74" s="55">
        <f t="shared" si="77"/>
        <v>19124.374349999998</v>
      </c>
      <c r="AH74" s="55">
        <v>-4028.0968430250969</v>
      </c>
      <c r="AI74" s="55">
        <v>-485.20860286217743</v>
      </c>
      <c r="AJ74" s="55">
        <f t="shared" si="78"/>
        <v>14611.068904112723</v>
      </c>
      <c r="AK74" s="76">
        <f t="shared" si="79"/>
        <v>0.76400245240507558</v>
      </c>
      <c r="AL74" s="55"/>
      <c r="AM74" s="55">
        <v>-1422.3340435489893</v>
      </c>
      <c r="AN74" s="55">
        <v>-328.05976846558377</v>
      </c>
      <c r="AO74" s="55">
        <f t="shared" si="80"/>
        <v>12860.675092098149</v>
      </c>
      <c r="AP74" s="76">
        <f t="shared" si="81"/>
        <v>0.67247559876896834</v>
      </c>
      <c r="AQ74" s="76"/>
      <c r="AR74" s="77">
        <f t="shared" si="17"/>
        <v>20492.553375</v>
      </c>
      <c r="AS74" s="78">
        <v>0.05</v>
      </c>
      <c r="AT74" s="3"/>
      <c r="AU74" s="3"/>
      <c r="AV74" s="79"/>
    </row>
    <row r="75" spans="1:48" x14ac:dyDescent="0.2">
      <c r="A75" s="83" t="s">
        <v>114</v>
      </c>
      <c r="B75" s="61" t="s">
        <v>115</v>
      </c>
      <c r="C75" s="82">
        <v>100522277</v>
      </c>
      <c r="D75" s="83" t="s">
        <v>118</v>
      </c>
      <c r="E75" s="64"/>
      <c r="F75" s="65">
        <v>2.16</v>
      </c>
      <c r="G75" s="66">
        <v>24</v>
      </c>
      <c r="I75" s="65">
        <f>IFERROR(L75*1.35*1.21,)</f>
        <v>1328.3565848437497</v>
      </c>
      <c r="J75" s="65">
        <f t="shared" si="66"/>
        <v>1195.5209263593747</v>
      </c>
      <c r="K75" s="9">
        <f>IFERROR(((I75/1.21)-L75)/(I75/1.21),)</f>
        <v>0.25925925925925924</v>
      </c>
      <c r="L75" s="65">
        <f>+IF(ISERROR(N75/G75),"",(N75/G75))</f>
        <v>813.19656249999991</v>
      </c>
      <c r="M75" s="65">
        <f>+IF(ISERROR(N75/F75),"",(N75/F75))</f>
        <v>9035.5173611111095</v>
      </c>
      <c r="N75" s="68">
        <v>19516.717499999999</v>
      </c>
      <c r="O75" s="72"/>
      <c r="P75" s="65">
        <f>+IF(ISERROR(N75/(1-O75)),"",(N75/(1-O75)))</f>
        <v>19516.717499999999</v>
      </c>
      <c r="Q75" s="72"/>
      <c r="R75" s="65">
        <f>+IF(ISERROR(P75/(1-Q75)),"",(P75/(1-Q75)))</f>
        <v>19516.717499999999</v>
      </c>
      <c r="S75" s="65">
        <f>+IF(ISERROR(P75/G75),"",(P75/G75))</f>
        <v>813.19656249999991</v>
      </c>
      <c r="T75" s="14"/>
      <c r="U75"/>
      <c r="V75" s="67">
        <v>18587.349999999999</v>
      </c>
      <c r="W75" s="72">
        <f>+IF(ISERROR(N75/V75-1),"",(N75/V75-1))</f>
        <v>5.0000000000000044E-2</v>
      </c>
      <c r="X75" s="65">
        <f>+IF(ISERROR(V75*(1-O75)),"",(V75*(1-O75)))</f>
        <v>18587.349999999999</v>
      </c>
      <c r="Y75" s="73"/>
      <c r="Z75" s="74"/>
      <c r="AA75" s="75"/>
      <c r="AC75" s="3"/>
      <c r="AD75" s="55"/>
      <c r="AE75" s="55"/>
      <c r="AF75" s="55"/>
      <c r="AG75" s="55"/>
      <c r="AH75" s="55"/>
      <c r="AI75" s="55"/>
      <c r="AJ75" s="55"/>
      <c r="AK75" s="76"/>
      <c r="AL75" s="55"/>
      <c r="AM75" s="55"/>
      <c r="AN75" s="55"/>
      <c r="AO75" s="55"/>
      <c r="AP75" s="76"/>
      <c r="AQ75" s="76"/>
      <c r="AR75" s="77">
        <f t="shared" ref="AR75:AR138" si="82">+IFERROR(N75*(1+AS75),"")</f>
        <v>20492.553375</v>
      </c>
      <c r="AS75" s="78">
        <v>0.05</v>
      </c>
      <c r="AT75" s="3"/>
      <c r="AU75" s="3"/>
      <c r="AV75" s="79"/>
    </row>
    <row r="76" spans="1:48" x14ac:dyDescent="0.2">
      <c r="A76" s="83" t="s">
        <v>114</v>
      </c>
      <c r="B76" s="61" t="s">
        <v>115</v>
      </c>
      <c r="C76" s="82">
        <v>100522333</v>
      </c>
      <c r="D76" s="83" t="s">
        <v>119</v>
      </c>
      <c r="E76" s="64"/>
      <c r="F76" s="65">
        <v>2.16</v>
      </c>
      <c r="G76" s="66">
        <v>24</v>
      </c>
      <c r="I76" s="65">
        <f>IFERROR(L76*1.35*1.21,)</f>
        <v>1328.3565848437497</v>
      </c>
      <c r="J76" s="65">
        <f t="shared" si="66"/>
        <v>1195.5209263593747</v>
      </c>
      <c r="K76" s="9">
        <f>IFERROR(((I76/1.21)-L76)/(I76/1.21),)</f>
        <v>0.25925925925925924</v>
      </c>
      <c r="L76" s="65">
        <f>+IF(ISERROR(N76/G76),"",(N76/G76))</f>
        <v>813.19656249999991</v>
      </c>
      <c r="M76" s="65">
        <f>+IF(ISERROR(N76/F76),"",(N76/F76))</f>
        <v>9035.5173611111095</v>
      </c>
      <c r="N76" s="68">
        <v>19516.717499999999</v>
      </c>
      <c r="O76" s="72"/>
      <c r="P76" s="65">
        <f>+IF(ISERROR(N76/(1-O76)),"",(N76/(1-O76)))</f>
        <v>19516.717499999999</v>
      </c>
      <c r="Q76" s="72"/>
      <c r="R76" s="65">
        <f>+IF(ISERROR(P76/(1-Q76)),"",(P76/(1-Q76)))</f>
        <v>19516.717499999999</v>
      </c>
      <c r="S76" s="65">
        <f>+IF(ISERROR(P76/G76),"",(P76/G76))</f>
        <v>813.19656249999991</v>
      </c>
      <c r="T76" s="14"/>
      <c r="U76"/>
      <c r="V76" s="67">
        <v>18587.349999999999</v>
      </c>
      <c r="W76" s="72">
        <f>+IF(ISERROR(N76/V76-1),"",(N76/V76-1))</f>
        <v>5.0000000000000044E-2</v>
      </c>
      <c r="X76" s="65">
        <f>+IF(ISERROR(V76*(1-O76)),"",(V76*(1-O76)))</f>
        <v>18587.349999999999</v>
      </c>
      <c r="Y76" s="73"/>
      <c r="Z76" s="74"/>
      <c r="AA76" s="75"/>
      <c r="AC76" s="3"/>
      <c r="AD76" s="55"/>
      <c r="AE76" s="55"/>
      <c r="AF76" s="55"/>
      <c r="AG76" s="55"/>
      <c r="AH76" s="55"/>
      <c r="AI76" s="55"/>
      <c r="AJ76" s="55"/>
      <c r="AK76" s="76"/>
      <c r="AL76" s="55"/>
      <c r="AM76" s="55"/>
      <c r="AN76" s="55"/>
      <c r="AO76" s="55"/>
      <c r="AP76" s="76"/>
      <c r="AQ76" s="76"/>
      <c r="AR76" s="77">
        <f t="shared" si="82"/>
        <v>20492.553375</v>
      </c>
      <c r="AS76" s="78">
        <v>0.05</v>
      </c>
      <c r="AT76" s="3"/>
      <c r="AU76" s="3"/>
      <c r="AV76" s="79"/>
    </row>
    <row r="77" spans="1:48" x14ac:dyDescent="0.2">
      <c r="A77" s="83" t="s">
        <v>114</v>
      </c>
      <c r="B77" s="61" t="s">
        <v>115</v>
      </c>
      <c r="C77" s="82">
        <v>100021045</v>
      </c>
      <c r="D77" s="83" t="s">
        <v>120</v>
      </c>
      <c r="E77" s="64">
        <v>7790360966582</v>
      </c>
      <c r="F77" s="65">
        <v>2.16</v>
      </c>
      <c r="G77" s="66">
        <v>24</v>
      </c>
      <c r="I77" s="65">
        <f t="shared" si="65"/>
        <v>1328.3565848437497</v>
      </c>
      <c r="J77" s="65">
        <f t="shared" si="66"/>
        <v>1195.5209263593747</v>
      </c>
      <c r="K77" s="9">
        <f t="shared" si="38"/>
        <v>0.25925925925925924</v>
      </c>
      <c r="L77" s="65">
        <f t="shared" si="67"/>
        <v>813.19656249999991</v>
      </c>
      <c r="M77" s="65">
        <f t="shared" si="68"/>
        <v>9035.5173611111095</v>
      </c>
      <c r="N77" s="68">
        <v>19516.717499999999</v>
      </c>
      <c r="O77" s="72"/>
      <c r="P77" s="65">
        <f t="shared" si="69"/>
        <v>19516.717499999999</v>
      </c>
      <c r="Q77" s="72"/>
      <c r="R77" s="65">
        <f t="shared" si="70"/>
        <v>19516.717499999999</v>
      </c>
      <c r="S77" s="65">
        <f t="shared" si="71"/>
        <v>813.19656249999991</v>
      </c>
      <c r="T77" s="14"/>
      <c r="U77"/>
      <c r="V77" s="67">
        <v>18587.349999999999</v>
      </c>
      <c r="W77" s="72">
        <f t="shared" si="72"/>
        <v>5.0000000000000044E-2</v>
      </c>
      <c r="X77" s="65">
        <f t="shared" si="73"/>
        <v>18587.349999999999</v>
      </c>
      <c r="Y77" s="73">
        <v>0</v>
      </c>
      <c r="Z77" s="74">
        <f t="shared" si="74"/>
        <v>19516.717499999999</v>
      </c>
      <c r="AA77" s="75"/>
      <c r="AC77" s="3"/>
      <c r="AD77" s="55">
        <f t="shared" si="75"/>
        <v>-390.33434999999997</v>
      </c>
      <c r="AE77" s="55">
        <f t="shared" si="76"/>
        <v>-2.0088000000000004</v>
      </c>
      <c r="AF77" s="55"/>
      <c r="AG77" s="55">
        <f t="shared" si="77"/>
        <v>19124.374349999998</v>
      </c>
      <c r="AH77" s="55">
        <v>-4830.0102771192505</v>
      </c>
      <c r="AI77" s="55">
        <v>-417.50764883373205</v>
      </c>
      <c r="AJ77" s="55">
        <f t="shared" si="78"/>
        <v>13876.856424047015</v>
      </c>
      <c r="AK77" s="76">
        <f t="shared" si="79"/>
        <v>0.7256110014415722</v>
      </c>
      <c r="AL77" s="55"/>
      <c r="AM77" s="55">
        <v>-1422.3340435489893</v>
      </c>
      <c r="AN77" s="55">
        <v>-328.05976846558377</v>
      </c>
      <c r="AO77" s="55">
        <f t="shared" si="80"/>
        <v>12126.462612032441</v>
      </c>
      <c r="AP77" s="76">
        <f t="shared" si="81"/>
        <v>0.63408414780546496</v>
      </c>
      <c r="AQ77" s="76"/>
      <c r="AR77" s="77">
        <f t="shared" si="82"/>
        <v>20492.553375</v>
      </c>
      <c r="AS77" s="78">
        <v>0.05</v>
      </c>
      <c r="AT77" s="3"/>
      <c r="AU77" s="3"/>
      <c r="AV77" s="79"/>
    </row>
    <row r="78" spans="1:48" x14ac:dyDescent="0.2">
      <c r="A78" s="83" t="s">
        <v>114</v>
      </c>
      <c r="B78" s="61" t="s">
        <v>121</v>
      </c>
      <c r="C78" s="82">
        <v>100021004</v>
      </c>
      <c r="D78" s="83" t="s">
        <v>122</v>
      </c>
      <c r="E78" s="64">
        <v>7790360964526</v>
      </c>
      <c r="F78" s="65">
        <v>2.1120000000000001</v>
      </c>
      <c r="G78" s="66">
        <v>24</v>
      </c>
      <c r="I78" s="65">
        <f t="shared" si="65"/>
        <v>1328.3565848437497</v>
      </c>
      <c r="J78" s="65">
        <f t="shared" si="66"/>
        <v>1195.5209263593747</v>
      </c>
      <c r="K78" s="9">
        <f t="shared" si="38"/>
        <v>0.25925925925925924</v>
      </c>
      <c r="L78" s="65">
        <f t="shared" si="67"/>
        <v>813.19656249999991</v>
      </c>
      <c r="M78" s="65">
        <f t="shared" si="68"/>
        <v>9240.8700284090901</v>
      </c>
      <c r="N78" s="68">
        <v>19516.717499999999</v>
      </c>
      <c r="O78" s="72"/>
      <c r="P78" s="65">
        <f t="shared" si="69"/>
        <v>19516.717499999999</v>
      </c>
      <c r="Q78" s="72"/>
      <c r="R78" s="65">
        <f t="shared" si="70"/>
        <v>19516.717499999999</v>
      </c>
      <c r="S78" s="65">
        <f t="shared" si="71"/>
        <v>813.19656249999991</v>
      </c>
      <c r="T78" s="14"/>
      <c r="U78"/>
      <c r="V78" s="67">
        <v>18587.349999999999</v>
      </c>
      <c r="W78" s="72">
        <f t="shared" si="72"/>
        <v>5.0000000000000044E-2</v>
      </c>
      <c r="X78" s="65">
        <f t="shared" si="73"/>
        <v>18587.349999999999</v>
      </c>
      <c r="Y78" s="73">
        <v>0</v>
      </c>
      <c r="Z78" s="74">
        <f t="shared" si="74"/>
        <v>19516.717499999999</v>
      </c>
      <c r="AA78" s="75"/>
      <c r="AC78" s="3"/>
      <c r="AD78" s="55">
        <f t="shared" si="75"/>
        <v>-390.33434999999997</v>
      </c>
      <c r="AE78" s="55">
        <f t="shared" si="76"/>
        <v>-1.9641600000000001</v>
      </c>
      <c r="AF78" s="55"/>
      <c r="AG78" s="55">
        <f t="shared" si="77"/>
        <v>19124.418989999998</v>
      </c>
      <c r="AH78" s="55">
        <v>-5560.7343361801222</v>
      </c>
      <c r="AI78" s="55">
        <v>-434.76265156887712</v>
      </c>
      <c r="AJ78" s="55">
        <f t="shared" si="78"/>
        <v>13128.922002251</v>
      </c>
      <c r="AK78" s="76">
        <f t="shared" si="79"/>
        <v>0.6865004374311191</v>
      </c>
      <c r="AL78" s="55"/>
      <c r="AM78" s="55">
        <v>-1418.5411527661918</v>
      </c>
      <c r="AN78" s="55">
        <v>-320.76955138857073</v>
      </c>
      <c r="AO78" s="55">
        <f t="shared" si="80"/>
        <v>11389.611298096239</v>
      </c>
      <c r="AP78" s="76">
        <f t="shared" si="81"/>
        <v>0.59555332394943727</v>
      </c>
      <c r="AQ78" s="76"/>
      <c r="AR78" s="77">
        <f t="shared" si="82"/>
        <v>20492.553375</v>
      </c>
      <c r="AS78" s="78">
        <v>0.05</v>
      </c>
      <c r="AT78" s="3"/>
      <c r="AU78" s="3"/>
      <c r="AV78" s="79"/>
    </row>
    <row r="79" spans="1:48" x14ac:dyDescent="0.2">
      <c r="A79" s="83" t="s">
        <v>114</v>
      </c>
      <c r="B79" s="61" t="s">
        <v>121</v>
      </c>
      <c r="C79" s="82">
        <v>100021006</v>
      </c>
      <c r="D79" s="83" t="s">
        <v>123</v>
      </c>
      <c r="E79" s="64">
        <v>7790360964557</v>
      </c>
      <c r="F79" s="65">
        <v>2.1120000000000001</v>
      </c>
      <c r="G79" s="66">
        <v>24</v>
      </c>
      <c r="I79" s="65">
        <f t="shared" si="65"/>
        <v>1328.3565848437497</v>
      </c>
      <c r="J79" s="65">
        <f t="shared" si="66"/>
        <v>1195.5209263593747</v>
      </c>
      <c r="K79" s="9">
        <f t="shared" si="38"/>
        <v>0.25925925925925924</v>
      </c>
      <c r="L79" s="65">
        <f t="shared" si="67"/>
        <v>813.19656249999991</v>
      </c>
      <c r="M79" s="65">
        <f t="shared" si="68"/>
        <v>9240.8700284090901</v>
      </c>
      <c r="N79" s="68">
        <v>19516.717499999999</v>
      </c>
      <c r="O79" s="72"/>
      <c r="P79" s="65">
        <f t="shared" si="69"/>
        <v>19516.717499999999</v>
      </c>
      <c r="Q79" s="72"/>
      <c r="R79" s="65">
        <f t="shared" si="70"/>
        <v>19516.717499999999</v>
      </c>
      <c r="S79" s="65">
        <f t="shared" si="71"/>
        <v>813.19656249999991</v>
      </c>
      <c r="T79" s="14"/>
      <c r="U79"/>
      <c r="V79" s="67">
        <v>18587.349999999999</v>
      </c>
      <c r="W79" s="72">
        <f t="shared" si="72"/>
        <v>5.0000000000000044E-2</v>
      </c>
      <c r="X79" s="65">
        <f t="shared" si="73"/>
        <v>18587.349999999999</v>
      </c>
      <c r="Y79" s="73">
        <v>0</v>
      </c>
      <c r="Z79" s="74">
        <f t="shared" si="74"/>
        <v>19516.717499999999</v>
      </c>
      <c r="AA79" s="75"/>
      <c r="AC79" s="3"/>
      <c r="AD79" s="55">
        <f t="shared" si="75"/>
        <v>-390.33434999999997</v>
      </c>
      <c r="AE79" s="55">
        <f t="shared" si="76"/>
        <v>-1.9641600000000001</v>
      </c>
      <c r="AF79" s="55"/>
      <c r="AG79" s="55">
        <f t="shared" si="77"/>
        <v>19124.418989999998</v>
      </c>
      <c r="AH79" s="55">
        <v>-7019.7917135755551</v>
      </c>
      <c r="AI79" s="55">
        <v>-486.6703868808562</v>
      </c>
      <c r="AJ79" s="55">
        <f t="shared" si="78"/>
        <v>11617.956889543586</v>
      </c>
      <c r="AK79" s="76">
        <f t="shared" si="79"/>
        <v>0.60749332545048929</v>
      </c>
      <c r="AL79" s="55"/>
      <c r="AM79" s="55">
        <v>-1418.5411527661918</v>
      </c>
      <c r="AN79" s="55">
        <v>-320.76955138857079</v>
      </c>
      <c r="AO79" s="55">
        <f t="shared" si="80"/>
        <v>9878.646185388825</v>
      </c>
      <c r="AP79" s="76">
        <f t="shared" si="81"/>
        <v>0.51654621196880746</v>
      </c>
      <c r="AQ79" s="76"/>
      <c r="AR79" s="77">
        <f t="shared" si="82"/>
        <v>20492.553375</v>
      </c>
      <c r="AS79" s="78">
        <v>0.05</v>
      </c>
      <c r="AT79" s="3"/>
      <c r="AU79" s="3"/>
      <c r="AV79" s="79"/>
    </row>
    <row r="80" spans="1:48" x14ac:dyDescent="0.2">
      <c r="A80" s="83" t="s">
        <v>114</v>
      </c>
      <c r="B80" s="61" t="s">
        <v>121</v>
      </c>
      <c r="C80" s="82">
        <v>100021007</v>
      </c>
      <c r="D80" s="83" t="s">
        <v>124</v>
      </c>
      <c r="E80" s="64">
        <v>7790360964540</v>
      </c>
      <c r="F80" s="65">
        <v>2.04</v>
      </c>
      <c r="G80" s="66">
        <v>24</v>
      </c>
      <c r="I80" s="65">
        <f t="shared" si="65"/>
        <v>1724.2318386562501</v>
      </c>
      <c r="J80" s="65">
        <f t="shared" si="66"/>
        <v>1551.8086547906253</v>
      </c>
      <c r="K80" s="9">
        <f t="shared" si="38"/>
        <v>0.25925925925925936</v>
      </c>
      <c r="L80" s="65">
        <f t="shared" si="67"/>
        <v>1055.5444375</v>
      </c>
      <c r="M80" s="65">
        <f t="shared" si="68"/>
        <v>12418.169852941177</v>
      </c>
      <c r="N80" s="68">
        <v>25333.066500000001</v>
      </c>
      <c r="O80" s="72"/>
      <c r="P80" s="65">
        <f t="shared" si="69"/>
        <v>25333.066500000001</v>
      </c>
      <c r="Q80" s="72"/>
      <c r="R80" s="65">
        <f t="shared" si="70"/>
        <v>25333.066500000001</v>
      </c>
      <c r="S80" s="65">
        <f t="shared" si="71"/>
        <v>1055.5444375</v>
      </c>
      <c r="T80" s="14"/>
      <c r="U80"/>
      <c r="V80" s="67">
        <v>24126.73</v>
      </c>
      <c r="W80" s="72">
        <f t="shared" si="72"/>
        <v>5.0000000000000044E-2</v>
      </c>
      <c r="X80" s="65">
        <f t="shared" si="73"/>
        <v>24126.73</v>
      </c>
      <c r="Y80" s="73">
        <v>0</v>
      </c>
      <c r="Z80" s="74">
        <f t="shared" si="74"/>
        <v>25333.066500000001</v>
      </c>
      <c r="AA80" s="75"/>
      <c r="AC80" s="3"/>
      <c r="AD80" s="55">
        <f t="shared" si="75"/>
        <v>-506.66133000000002</v>
      </c>
      <c r="AE80" s="55">
        <f t="shared" si="76"/>
        <v>-1.8972000000000002</v>
      </c>
      <c r="AF80" s="55"/>
      <c r="AG80" s="55">
        <f t="shared" si="77"/>
        <v>24824.507970000002</v>
      </c>
      <c r="AH80" s="55">
        <v>-6168.9175994190518</v>
      </c>
      <c r="AI80" s="55">
        <v>-424.1216125488636</v>
      </c>
      <c r="AJ80" s="55">
        <f t="shared" si="78"/>
        <v>18231.468758032086</v>
      </c>
      <c r="AK80" s="76">
        <f t="shared" si="79"/>
        <v>0.73441410319449263</v>
      </c>
      <c r="AL80" s="55"/>
      <c r="AM80" s="55">
        <v>-2619.4651968693884</v>
      </c>
      <c r="AN80" s="55">
        <v>-309.83422577305123</v>
      </c>
      <c r="AO80" s="55">
        <f t="shared" si="80"/>
        <v>15302.169335389646</v>
      </c>
      <c r="AP80" s="76">
        <f t="shared" si="81"/>
        <v>0.61641380179144167</v>
      </c>
      <c r="AQ80" s="76"/>
      <c r="AR80" s="77">
        <f t="shared" si="82"/>
        <v>26599.719825000004</v>
      </c>
      <c r="AS80" s="78">
        <v>0.05</v>
      </c>
      <c r="AT80" s="3"/>
      <c r="AU80" s="3"/>
      <c r="AV80" s="79"/>
    </row>
    <row r="81" spans="1:48" x14ac:dyDescent="0.2">
      <c r="A81" s="83" t="s">
        <v>114</v>
      </c>
      <c r="B81" s="61" t="s">
        <v>125</v>
      </c>
      <c r="C81" s="82">
        <v>100021013</v>
      </c>
      <c r="D81" s="83" t="s">
        <v>126</v>
      </c>
      <c r="E81" s="64">
        <v>7790360965714</v>
      </c>
      <c r="F81" s="65">
        <v>2.04</v>
      </c>
      <c r="G81" s="66">
        <v>24</v>
      </c>
      <c r="I81" s="65">
        <f t="shared" si="65"/>
        <v>1724.2318386562501</v>
      </c>
      <c r="J81" s="65">
        <f t="shared" si="66"/>
        <v>1551.8086547906253</v>
      </c>
      <c r="K81" s="9">
        <f t="shared" si="38"/>
        <v>0.25925925925925936</v>
      </c>
      <c r="L81" s="65">
        <f t="shared" si="67"/>
        <v>1055.5444375</v>
      </c>
      <c r="M81" s="65">
        <f t="shared" si="68"/>
        <v>12418.169852941177</v>
      </c>
      <c r="N81" s="68">
        <v>25333.066500000001</v>
      </c>
      <c r="O81" s="72"/>
      <c r="P81" s="65">
        <f t="shared" si="69"/>
        <v>25333.066500000001</v>
      </c>
      <c r="Q81" s="72"/>
      <c r="R81" s="65">
        <f t="shared" si="70"/>
        <v>25333.066500000001</v>
      </c>
      <c r="S81" s="65">
        <f t="shared" si="71"/>
        <v>1055.5444375</v>
      </c>
      <c r="T81" s="14"/>
      <c r="U81"/>
      <c r="V81" s="67">
        <v>24126.73</v>
      </c>
      <c r="W81" s="72">
        <f t="shared" si="72"/>
        <v>5.0000000000000044E-2</v>
      </c>
      <c r="X81" s="65">
        <f t="shared" si="73"/>
        <v>24126.73</v>
      </c>
      <c r="Y81" s="73">
        <v>0</v>
      </c>
      <c r="Z81" s="74">
        <f t="shared" si="74"/>
        <v>25333.066500000001</v>
      </c>
      <c r="AA81" s="75"/>
      <c r="AC81" s="3"/>
      <c r="AD81" s="55">
        <f t="shared" si="75"/>
        <v>-506.66133000000002</v>
      </c>
      <c r="AE81" s="55">
        <f t="shared" si="76"/>
        <v>-1.8972000000000002</v>
      </c>
      <c r="AF81" s="55"/>
      <c r="AG81" s="55">
        <f t="shared" si="77"/>
        <v>24824.507970000002</v>
      </c>
      <c r="AH81" s="55">
        <v>-6610.597251797014</v>
      </c>
      <c r="AI81" s="55">
        <v>-1062.6213801153649</v>
      </c>
      <c r="AJ81" s="55">
        <f t="shared" si="78"/>
        <v>17151.289338087623</v>
      </c>
      <c r="AK81" s="76">
        <f t="shared" si="79"/>
        <v>0.69090148166540366</v>
      </c>
      <c r="AL81" s="55"/>
      <c r="AM81" s="55">
        <v>-2619.4651968693884</v>
      </c>
      <c r="AN81" s="55">
        <v>-309.83422577305123</v>
      </c>
      <c r="AO81" s="55">
        <f t="shared" si="80"/>
        <v>14221.989915445183</v>
      </c>
      <c r="AP81" s="76">
        <f t="shared" si="81"/>
        <v>0.5729011802623527</v>
      </c>
      <c r="AQ81" s="76"/>
      <c r="AR81" s="77">
        <f t="shared" si="82"/>
        <v>26599.719825000004</v>
      </c>
      <c r="AS81" s="78">
        <v>0.05</v>
      </c>
      <c r="AT81" s="3"/>
      <c r="AU81" s="3"/>
      <c r="AV81" s="79"/>
    </row>
    <row r="82" spans="1:48" x14ac:dyDescent="0.2">
      <c r="A82" s="83" t="s">
        <v>114</v>
      </c>
      <c r="B82" s="61" t="s">
        <v>125</v>
      </c>
      <c r="C82" s="82">
        <v>100021014</v>
      </c>
      <c r="D82" s="83" t="s">
        <v>127</v>
      </c>
      <c r="E82" s="64">
        <v>7790360965721</v>
      </c>
      <c r="F82" s="65">
        <v>2.04</v>
      </c>
      <c r="G82" s="66">
        <v>24</v>
      </c>
      <c r="I82" s="65">
        <f t="shared" si="65"/>
        <v>1724.2318386562501</v>
      </c>
      <c r="J82" s="65">
        <f t="shared" si="66"/>
        <v>1551.8086547906253</v>
      </c>
      <c r="K82" s="9">
        <f t="shared" si="38"/>
        <v>0.25925925925925936</v>
      </c>
      <c r="L82" s="65">
        <f t="shared" si="67"/>
        <v>1055.5444375</v>
      </c>
      <c r="M82" s="65">
        <f t="shared" si="68"/>
        <v>12418.169852941177</v>
      </c>
      <c r="N82" s="68">
        <v>25333.066500000001</v>
      </c>
      <c r="O82" s="72"/>
      <c r="P82" s="65">
        <f t="shared" si="69"/>
        <v>25333.066500000001</v>
      </c>
      <c r="Q82" s="72"/>
      <c r="R82" s="65">
        <f t="shared" si="70"/>
        <v>25333.066500000001</v>
      </c>
      <c r="S82" s="65">
        <f t="shared" si="71"/>
        <v>1055.5444375</v>
      </c>
      <c r="T82" s="14"/>
      <c r="U82"/>
      <c r="V82" s="67">
        <v>24126.73</v>
      </c>
      <c r="W82" s="72">
        <f t="shared" si="72"/>
        <v>5.0000000000000044E-2</v>
      </c>
      <c r="X82" s="65">
        <f t="shared" si="73"/>
        <v>24126.73</v>
      </c>
      <c r="Y82" s="73">
        <v>0</v>
      </c>
      <c r="Z82" s="74">
        <f t="shared" si="74"/>
        <v>25333.066500000001</v>
      </c>
      <c r="AA82" s="75"/>
      <c r="AC82" s="3"/>
      <c r="AD82" s="55">
        <f t="shared" si="75"/>
        <v>-506.66133000000002</v>
      </c>
      <c r="AE82" s="55">
        <f t="shared" si="76"/>
        <v>-1.8972000000000002</v>
      </c>
      <c r="AF82" s="55"/>
      <c r="AG82" s="55">
        <f t="shared" si="77"/>
        <v>24824.507970000002</v>
      </c>
      <c r="AH82" s="55">
        <v>-6606.9962989110245</v>
      </c>
      <c r="AI82" s="55">
        <v>-1075.5763002130589</v>
      </c>
      <c r="AJ82" s="55">
        <f t="shared" si="78"/>
        <v>17141.935370875919</v>
      </c>
      <c r="AK82" s="76">
        <f t="shared" si="79"/>
        <v>0.69052467793487216</v>
      </c>
      <c r="AL82" s="55"/>
      <c r="AM82" s="55">
        <v>-2619.4651968693884</v>
      </c>
      <c r="AN82" s="55">
        <v>-309.83422577305123</v>
      </c>
      <c r="AO82" s="55">
        <f t="shared" si="80"/>
        <v>14212.635948233479</v>
      </c>
      <c r="AP82" s="76">
        <f t="shared" si="81"/>
        <v>0.57252437653182131</v>
      </c>
      <c r="AQ82" s="76"/>
      <c r="AR82" s="77">
        <f t="shared" si="82"/>
        <v>26599.719825000004</v>
      </c>
      <c r="AS82" s="78">
        <v>0.05</v>
      </c>
      <c r="AT82" s="3"/>
      <c r="AU82" s="3"/>
      <c r="AV82" s="79"/>
    </row>
    <row r="83" spans="1:48" x14ac:dyDescent="0.2">
      <c r="A83" s="83" t="s">
        <v>114</v>
      </c>
      <c r="B83" s="61" t="s">
        <v>125</v>
      </c>
      <c r="C83" s="82">
        <v>100021054</v>
      </c>
      <c r="D83" s="83" t="s">
        <v>128</v>
      </c>
      <c r="E83" s="64">
        <v>7790360965707</v>
      </c>
      <c r="F83" s="65">
        <v>2.04</v>
      </c>
      <c r="G83" s="66">
        <v>24</v>
      </c>
      <c r="I83" s="65">
        <f t="shared" si="65"/>
        <v>1724.2318386562501</v>
      </c>
      <c r="J83" s="65">
        <f t="shared" si="66"/>
        <v>1551.8086547906253</v>
      </c>
      <c r="K83" s="114">
        <f t="shared" si="38"/>
        <v>0.25925925925925936</v>
      </c>
      <c r="L83" s="65">
        <f t="shared" si="67"/>
        <v>1055.5444375</v>
      </c>
      <c r="M83" s="65">
        <f t="shared" si="68"/>
        <v>12418.169852941177</v>
      </c>
      <c r="N83" s="68">
        <v>25333.066500000001</v>
      </c>
      <c r="O83" s="72"/>
      <c r="P83" s="65">
        <f t="shared" si="69"/>
        <v>25333.066500000001</v>
      </c>
      <c r="Q83" s="72"/>
      <c r="R83" s="65">
        <f t="shared" si="70"/>
        <v>25333.066500000001</v>
      </c>
      <c r="S83" s="65">
        <f t="shared" si="71"/>
        <v>1055.5444375</v>
      </c>
      <c r="T83" s="14"/>
      <c r="U83"/>
      <c r="V83" s="67">
        <v>24126.73</v>
      </c>
      <c r="W83" s="72">
        <f t="shared" si="72"/>
        <v>5.0000000000000044E-2</v>
      </c>
      <c r="X83" s="65">
        <f t="shared" si="73"/>
        <v>24126.73</v>
      </c>
      <c r="Y83" s="73">
        <v>0</v>
      </c>
      <c r="Z83" s="74">
        <f t="shared" si="74"/>
        <v>25333.066500000001</v>
      </c>
      <c r="AA83" s="75"/>
      <c r="AC83" s="3"/>
      <c r="AD83" s="55">
        <f t="shared" si="75"/>
        <v>-506.66133000000002</v>
      </c>
      <c r="AE83" s="55">
        <f t="shared" si="76"/>
        <v>-1.8972000000000002</v>
      </c>
      <c r="AF83" s="55"/>
      <c r="AG83" s="55">
        <f t="shared" si="77"/>
        <v>24824.507970000002</v>
      </c>
      <c r="AH83" s="55">
        <v>-7461.4788159382579</v>
      </c>
      <c r="AI83" s="55">
        <v>-1303.4630593513107</v>
      </c>
      <c r="AJ83" s="55">
        <f t="shared" si="78"/>
        <v>16059.566094710433</v>
      </c>
      <c r="AK83" s="76">
        <f t="shared" si="79"/>
        <v>0.64692384292643978</v>
      </c>
      <c r="AL83" s="55"/>
      <c r="AM83" s="55">
        <v>-2619.4651968693884</v>
      </c>
      <c r="AN83" s="55">
        <v>-309.83422577305123</v>
      </c>
      <c r="AO83" s="55">
        <f t="shared" si="80"/>
        <v>13130.266672067994</v>
      </c>
      <c r="AP83" s="76">
        <f t="shared" si="81"/>
        <v>0.52892354152338883</v>
      </c>
      <c r="AQ83" s="76"/>
      <c r="AR83" s="77">
        <f t="shared" si="82"/>
        <v>26599.719825000004</v>
      </c>
      <c r="AS83" s="78">
        <v>0.05</v>
      </c>
      <c r="AT83" s="3"/>
      <c r="AU83" s="3"/>
      <c r="AV83" s="79"/>
    </row>
    <row r="84" spans="1:48" x14ac:dyDescent="0.2">
      <c r="A84" s="83" t="s">
        <v>114</v>
      </c>
      <c r="B84" s="61" t="s">
        <v>125</v>
      </c>
      <c r="C84" s="82">
        <v>100021055</v>
      </c>
      <c r="D84" s="83" t="s">
        <v>129</v>
      </c>
      <c r="E84" s="64">
        <v>7790360965189</v>
      </c>
      <c r="F84" s="65">
        <v>2.04</v>
      </c>
      <c r="G84" s="66">
        <v>24</v>
      </c>
      <c r="I84" s="65">
        <f t="shared" si="65"/>
        <v>1724.2318386562501</v>
      </c>
      <c r="J84" s="65">
        <f t="shared" si="66"/>
        <v>1551.8086547906253</v>
      </c>
      <c r="K84" s="9">
        <f t="shared" si="38"/>
        <v>0.25925925925925936</v>
      </c>
      <c r="L84" s="65">
        <f t="shared" si="67"/>
        <v>1055.5444375</v>
      </c>
      <c r="M84" s="65">
        <f t="shared" si="68"/>
        <v>12418.169852941177</v>
      </c>
      <c r="N84" s="68">
        <v>25333.066500000001</v>
      </c>
      <c r="O84" s="72"/>
      <c r="P84" s="65">
        <f t="shared" si="69"/>
        <v>25333.066500000001</v>
      </c>
      <c r="Q84" s="72"/>
      <c r="R84" s="65">
        <f t="shared" si="70"/>
        <v>25333.066500000001</v>
      </c>
      <c r="S84" s="65">
        <f t="shared" si="71"/>
        <v>1055.5444375</v>
      </c>
      <c r="T84" s="14"/>
      <c r="U84"/>
      <c r="V84" s="67">
        <v>24126.73</v>
      </c>
      <c r="W84" s="72">
        <f t="shared" si="72"/>
        <v>5.0000000000000044E-2</v>
      </c>
      <c r="X84" s="65">
        <f t="shared" si="73"/>
        <v>24126.73</v>
      </c>
      <c r="Y84" s="73">
        <v>0</v>
      </c>
      <c r="Z84" s="74">
        <f t="shared" si="74"/>
        <v>25333.066500000001</v>
      </c>
      <c r="AA84" s="75"/>
      <c r="AC84" s="3"/>
      <c r="AD84" s="55">
        <f t="shared" si="75"/>
        <v>-506.66133000000002</v>
      </c>
      <c r="AE84" s="55">
        <f t="shared" si="76"/>
        <v>-1.8972000000000002</v>
      </c>
      <c r="AF84" s="55"/>
      <c r="AG84" s="55">
        <f t="shared" si="77"/>
        <v>24824.507970000002</v>
      </c>
      <c r="AH84" s="55">
        <v>-6677.3471362039891</v>
      </c>
      <c r="AI84" s="55">
        <v>-886.65707845349164</v>
      </c>
      <c r="AJ84" s="55">
        <f t="shared" si="78"/>
        <v>17260.503755342521</v>
      </c>
      <c r="AK84" s="76">
        <f t="shared" si="79"/>
        <v>0.69530094115869479</v>
      </c>
      <c r="AL84" s="55"/>
      <c r="AM84" s="55">
        <v>-2619.4651968693884</v>
      </c>
      <c r="AN84" s="55">
        <v>-309.83422577305123</v>
      </c>
      <c r="AO84" s="55">
        <f t="shared" si="80"/>
        <v>14331.204332700081</v>
      </c>
      <c r="AP84" s="76">
        <f t="shared" si="81"/>
        <v>0.57730063975564383</v>
      </c>
      <c r="AQ84" s="76"/>
      <c r="AR84" s="77">
        <f t="shared" si="82"/>
        <v>26599.719825000004</v>
      </c>
      <c r="AS84" s="78">
        <v>0.05</v>
      </c>
      <c r="AT84" s="3"/>
      <c r="AU84" s="3"/>
      <c r="AV84" s="79"/>
    </row>
    <row r="85" spans="1:48" x14ac:dyDescent="0.2">
      <c r="A85" s="83" t="s">
        <v>114</v>
      </c>
      <c r="B85" s="61" t="s">
        <v>125</v>
      </c>
      <c r="C85" s="82">
        <v>100021015</v>
      </c>
      <c r="D85" s="83" t="s">
        <v>130</v>
      </c>
      <c r="E85" s="64">
        <v>7790360965202</v>
      </c>
      <c r="F85" s="65">
        <v>2.04</v>
      </c>
      <c r="G85" s="66">
        <v>24</v>
      </c>
      <c r="I85" s="65">
        <f t="shared" si="65"/>
        <v>1847.3914088437505</v>
      </c>
      <c r="J85" s="65">
        <f t="shared" si="66"/>
        <v>1662.6522679593754</v>
      </c>
      <c r="K85" s="9">
        <f t="shared" si="38"/>
        <v>0.25925925925925936</v>
      </c>
      <c r="L85" s="65">
        <f t="shared" si="67"/>
        <v>1130.9405625000002</v>
      </c>
      <c r="M85" s="65">
        <f t="shared" si="68"/>
        <v>13305.183088235295</v>
      </c>
      <c r="N85" s="68">
        <v>27142.573500000002</v>
      </c>
      <c r="O85" s="72"/>
      <c r="P85" s="65">
        <f t="shared" si="69"/>
        <v>27142.573500000002</v>
      </c>
      <c r="Q85" s="72"/>
      <c r="R85" s="65">
        <f t="shared" si="70"/>
        <v>27142.573500000002</v>
      </c>
      <c r="S85" s="65">
        <f t="shared" si="71"/>
        <v>1130.9405625000002</v>
      </c>
      <c r="T85" s="14"/>
      <c r="U85"/>
      <c r="V85" s="67">
        <v>25850.07</v>
      </c>
      <c r="W85" s="72">
        <f t="shared" si="72"/>
        <v>5.0000000000000044E-2</v>
      </c>
      <c r="X85" s="65">
        <f t="shared" si="73"/>
        <v>25850.07</v>
      </c>
      <c r="Y85" s="73">
        <v>0</v>
      </c>
      <c r="Z85" s="74">
        <f t="shared" si="74"/>
        <v>27142.573500000002</v>
      </c>
      <c r="AA85" s="75"/>
      <c r="AC85" s="3"/>
      <c r="AD85" s="55">
        <f t="shared" si="75"/>
        <v>-542.85147000000006</v>
      </c>
      <c r="AE85" s="55">
        <f t="shared" si="76"/>
        <v>-1.8972000000000002</v>
      </c>
      <c r="AF85" s="55"/>
      <c r="AG85" s="55">
        <f t="shared" si="77"/>
        <v>26597.824830000001</v>
      </c>
      <c r="AH85" s="55">
        <v>-12138.364844646512</v>
      </c>
      <c r="AI85" s="55">
        <v>-771.54348752979035</v>
      </c>
      <c r="AJ85" s="55">
        <f t="shared" si="78"/>
        <v>13687.916497823699</v>
      </c>
      <c r="AK85" s="76">
        <f t="shared" si="79"/>
        <v>0.51462540960811709</v>
      </c>
      <c r="AL85" s="55"/>
      <c r="AM85" s="55">
        <v>-2619.4651968693884</v>
      </c>
      <c r="AN85" s="55">
        <v>-309.83422577305123</v>
      </c>
      <c r="AO85" s="55">
        <f t="shared" si="80"/>
        <v>10758.617075181259</v>
      </c>
      <c r="AP85" s="76">
        <f t="shared" si="81"/>
        <v>0.40449236521952303</v>
      </c>
      <c r="AQ85" s="76"/>
      <c r="AR85" s="77">
        <f t="shared" si="82"/>
        <v>28499.702175000002</v>
      </c>
      <c r="AS85" s="78">
        <v>0.05</v>
      </c>
      <c r="AT85" s="3"/>
      <c r="AU85" s="3"/>
      <c r="AV85" s="79"/>
    </row>
    <row r="86" spans="1:48" x14ac:dyDescent="0.2">
      <c r="A86" s="83" t="s">
        <v>114</v>
      </c>
      <c r="B86" s="61" t="s">
        <v>131</v>
      </c>
      <c r="C86" s="82">
        <v>100021008</v>
      </c>
      <c r="D86" s="83" t="s">
        <v>132</v>
      </c>
      <c r="E86" s="64">
        <v>7790360720122</v>
      </c>
      <c r="F86" s="65">
        <v>2.16</v>
      </c>
      <c r="G86" s="66">
        <v>24</v>
      </c>
      <c r="I86" s="65">
        <f t="shared" si="65"/>
        <v>1046.3660924062501</v>
      </c>
      <c r="J86" s="65">
        <f t="shared" si="66"/>
        <v>941.72948316562508</v>
      </c>
      <c r="K86" s="114">
        <f t="shared" si="38"/>
        <v>0.25925925925925919</v>
      </c>
      <c r="L86" s="65">
        <f t="shared" si="67"/>
        <v>640.56693750000011</v>
      </c>
      <c r="M86" s="65">
        <f t="shared" si="68"/>
        <v>7117.4104166666666</v>
      </c>
      <c r="N86" s="68">
        <v>15373.606500000002</v>
      </c>
      <c r="O86" s="72"/>
      <c r="P86" s="65">
        <f t="shared" si="69"/>
        <v>15373.606500000002</v>
      </c>
      <c r="Q86" s="72"/>
      <c r="R86" s="65">
        <f t="shared" si="70"/>
        <v>15373.606500000002</v>
      </c>
      <c r="S86" s="65">
        <f t="shared" si="71"/>
        <v>640.56693750000011</v>
      </c>
      <c r="T86" s="14"/>
      <c r="U86"/>
      <c r="V86" s="67">
        <v>14641.53</v>
      </c>
      <c r="W86" s="72">
        <f t="shared" si="72"/>
        <v>5.0000000000000044E-2</v>
      </c>
      <c r="X86" s="65">
        <f t="shared" si="73"/>
        <v>14641.53</v>
      </c>
      <c r="Y86" s="73">
        <v>0</v>
      </c>
      <c r="Z86" s="74">
        <f t="shared" si="74"/>
        <v>15373.606500000002</v>
      </c>
      <c r="AA86" s="75"/>
      <c r="AC86" s="3"/>
      <c r="AD86" s="55">
        <f t="shared" si="75"/>
        <v>-307.47213000000005</v>
      </c>
      <c r="AE86" s="55">
        <f t="shared" si="76"/>
        <v>-2.0088000000000004</v>
      </c>
      <c r="AF86" s="55"/>
      <c r="AG86" s="55">
        <f t="shared" si="77"/>
        <v>15064.125570000002</v>
      </c>
      <c r="AH86" s="55">
        <v>-3811.043706157976</v>
      </c>
      <c r="AI86" s="55">
        <v>-450.50445375246437</v>
      </c>
      <c r="AJ86" s="55">
        <f t="shared" si="78"/>
        <v>10802.577410089561</v>
      </c>
      <c r="AK86" s="76">
        <f t="shared" si="79"/>
        <v>0.71710617120735809</v>
      </c>
      <c r="AL86" s="55"/>
      <c r="AM86" s="55">
        <v>-1422.3340435489893</v>
      </c>
      <c r="AN86" s="55">
        <v>-301.28732398377451</v>
      </c>
      <c r="AO86" s="55">
        <f t="shared" si="80"/>
        <v>9078.9560425567979</v>
      </c>
      <c r="AP86" s="76">
        <f t="shared" si="81"/>
        <v>0.60268722537983976</v>
      </c>
      <c r="AQ86" s="76"/>
      <c r="AR86" s="77">
        <f t="shared" si="82"/>
        <v>16142.286825000003</v>
      </c>
      <c r="AS86" s="78">
        <v>0.05</v>
      </c>
      <c r="AT86" s="3"/>
      <c r="AU86" s="3"/>
      <c r="AV86" s="79"/>
    </row>
    <row r="87" spans="1:48" x14ac:dyDescent="0.2">
      <c r="A87" s="83" t="s">
        <v>114</v>
      </c>
      <c r="B87" s="61" t="s">
        <v>131</v>
      </c>
      <c r="C87" s="82">
        <v>100021009</v>
      </c>
      <c r="D87" s="83" t="s">
        <v>133</v>
      </c>
      <c r="E87" s="64">
        <v>7790360965127</v>
      </c>
      <c r="F87" s="65">
        <v>2.16</v>
      </c>
      <c r="G87" s="66">
        <v>24</v>
      </c>
      <c r="I87" s="65">
        <f t="shared" si="65"/>
        <v>1046.3660924062501</v>
      </c>
      <c r="J87" s="65">
        <f t="shared" si="66"/>
        <v>941.72948316562508</v>
      </c>
      <c r="K87" s="9">
        <f t="shared" si="38"/>
        <v>0.25925925925925919</v>
      </c>
      <c r="L87" s="65">
        <f t="shared" si="67"/>
        <v>640.56693750000011</v>
      </c>
      <c r="M87" s="65">
        <f t="shared" si="68"/>
        <v>7117.4104166666666</v>
      </c>
      <c r="N87" s="68">
        <v>15373.606500000002</v>
      </c>
      <c r="O87" s="72"/>
      <c r="P87" s="65">
        <f t="shared" si="69"/>
        <v>15373.606500000002</v>
      </c>
      <c r="Q87" s="72"/>
      <c r="R87" s="65">
        <f t="shared" si="70"/>
        <v>15373.606500000002</v>
      </c>
      <c r="S87" s="65">
        <f t="shared" si="71"/>
        <v>640.56693750000011</v>
      </c>
      <c r="T87" s="14"/>
      <c r="U87"/>
      <c r="V87" s="67">
        <v>14641.53</v>
      </c>
      <c r="W87" s="72">
        <f t="shared" si="72"/>
        <v>5.0000000000000044E-2</v>
      </c>
      <c r="X87" s="65">
        <f t="shared" si="73"/>
        <v>14641.53</v>
      </c>
      <c r="Y87" s="73">
        <v>0</v>
      </c>
      <c r="Z87" s="74">
        <f t="shared" si="74"/>
        <v>15373.606500000002</v>
      </c>
      <c r="AA87" s="75"/>
      <c r="AC87" s="3"/>
      <c r="AD87" s="55">
        <f t="shared" si="75"/>
        <v>-307.47213000000005</v>
      </c>
      <c r="AE87" s="55">
        <f t="shared" si="76"/>
        <v>-2.0088000000000004</v>
      </c>
      <c r="AF87" s="55"/>
      <c r="AG87" s="55">
        <f t="shared" si="77"/>
        <v>15064.125570000002</v>
      </c>
      <c r="AH87" s="55">
        <v>-3915.988652002271</v>
      </c>
      <c r="AI87" s="55">
        <v>-415.29277983075002</v>
      </c>
      <c r="AJ87" s="55">
        <f t="shared" si="78"/>
        <v>10732.84413816698</v>
      </c>
      <c r="AK87" s="76">
        <f t="shared" si="79"/>
        <v>0.7124770759705622</v>
      </c>
      <c r="AL87" s="55"/>
      <c r="AM87" s="55">
        <v>-1422.3340435489893</v>
      </c>
      <c r="AN87" s="55">
        <v>-301.28732398377451</v>
      </c>
      <c r="AO87" s="55">
        <f t="shared" si="80"/>
        <v>9009.2227706342164</v>
      </c>
      <c r="AP87" s="76">
        <f t="shared" si="81"/>
        <v>0.59805813014304388</v>
      </c>
      <c r="AQ87" s="76"/>
      <c r="AR87" s="77">
        <f t="shared" si="82"/>
        <v>16142.286825000003</v>
      </c>
      <c r="AS87" s="78">
        <v>0.05</v>
      </c>
      <c r="AT87" s="3"/>
      <c r="AU87" s="3"/>
      <c r="AV87" s="79"/>
    </row>
    <row r="88" spans="1:48" x14ac:dyDescent="0.2">
      <c r="A88" s="83" t="s">
        <v>114</v>
      </c>
      <c r="B88" s="61" t="s">
        <v>134</v>
      </c>
      <c r="C88" s="82">
        <v>100021010</v>
      </c>
      <c r="D88" s="83" t="s">
        <v>135</v>
      </c>
      <c r="E88" s="64">
        <v>7790920008707</v>
      </c>
      <c r="F88" s="65">
        <v>2.16</v>
      </c>
      <c r="G88" s="66">
        <v>24</v>
      </c>
      <c r="I88" s="65">
        <f t="shared" si="65"/>
        <v>1046.3660924062501</v>
      </c>
      <c r="J88" s="65">
        <f t="shared" si="66"/>
        <v>941.72948316562508</v>
      </c>
      <c r="K88" s="9">
        <f t="shared" si="38"/>
        <v>0.25925925925925919</v>
      </c>
      <c r="L88" s="65">
        <f t="shared" si="67"/>
        <v>640.56693750000011</v>
      </c>
      <c r="M88" s="65">
        <f t="shared" si="68"/>
        <v>7117.4104166666666</v>
      </c>
      <c r="N88" s="68">
        <v>15373.606500000002</v>
      </c>
      <c r="O88" s="72"/>
      <c r="P88" s="65">
        <f t="shared" si="69"/>
        <v>15373.606500000002</v>
      </c>
      <c r="Q88" s="72"/>
      <c r="R88" s="65">
        <f t="shared" si="70"/>
        <v>15373.606500000002</v>
      </c>
      <c r="S88" s="65">
        <f t="shared" si="71"/>
        <v>640.56693750000011</v>
      </c>
      <c r="T88" s="14"/>
      <c r="U88"/>
      <c r="V88" s="67">
        <v>14641.53</v>
      </c>
      <c r="W88" s="72">
        <f t="shared" si="72"/>
        <v>5.0000000000000044E-2</v>
      </c>
      <c r="X88" s="65">
        <f t="shared" si="73"/>
        <v>14641.53</v>
      </c>
      <c r="Y88" s="73">
        <v>0</v>
      </c>
      <c r="Z88" s="74">
        <f t="shared" si="74"/>
        <v>15373.606500000002</v>
      </c>
      <c r="AA88" s="75"/>
      <c r="AC88" s="3"/>
      <c r="AD88" s="55">
        <f t="shared" si="75"/>
        <v>-307.47213000000005</v>
      </c>
      <c r="AE88" s="55">
        <f t="shared" si="76"/>
        <v>-2.0088000000000004</v>
      </c>
      <c r="AF88" s="55"/>
      <c r="AG88" s="55">
        <f t="shared" si="77"/>
        <v>15064.125570000002</v>
      </c>
      <c r="AH88" s="55">
        <v>-3852.1728919692541</v>
      </c>
      <c r="AI88" s="55">
        <v>-459.22817520453793</v>
      </c>
      <c r="AJ88" s="55">
        <f t="shared" si="78"/>
        <v>10752.72450282621</v>
      </c>
      <c r="AK88" s="76">
        <f t="shared" si="79"/>
        <v>0.71379679177927935</v>
      </c>
      <c r="AL88" s="55"/>
      <c r="AM88" s="55">
        <v>-1422.3340435489893</v>
      </c>
      <c r="AN88" s="55">
        <v>0</v>
      </c>
      <c r="AO88" s="55">
        <f t="shared" si="80"/>
        <v>9330.3904592772196</v>
      </c>
      <c r="AP88" s="76">
        <f t="shared" si="81"/>
        <v>0.61937816542491941</v>
      </c>
      <c r="AQ88" s="76"/>
      <c r="AR88" s="77">
        <f t="shared" si="82"/>
        <v>16142.286825000003</v>
      </c>
      <c r="AS88" s="78">
        <v>0.05</v>
      </c>
      <c r="AT88" s="3"/>
      <c r="AU88" s="3"/>
      <c r="AV88" s="79"/>
    </row>
    <row r="89" spans="1:48" x14ac:dyDescent="0.2">
      <c r="A89" s="83" t="s">
        <v>114</v>
      </c>
      <c r="B89" s="61" t="s">
        <v>134</v>
      </c>
      <c r="C89" s="82">
        <v>100021011</v>
      </c>
      <c r="D89" s="83" t="s">
        <v>136</v>
      </c>
      <c r="E89" s="64">
        <v>7790920008714</v>
      </c>
      <c r="F89" s="65">
        <v>2.16</v>
      </c>
      <c r="G89" s="66">
        <v>24</v>
      </c>
      <c r="I89" s="65">
        <f t="shared" si="65"/>
        <v>1046.3660924062501</v>
      </c>
      <c r="J89" s="65">
        <f t="shared" si="66"/>
        <v>941.72948316562508</v>
      </c>
      <c r="K89" s="9">
        <f t="shared" si="38"/>
        <v>0.25925925925925919</v>
      </c>
      <c r="L89" s="65">
        <f t="shared" si="67"/>
        <v>640.56693750000011</v>
      </c>
      <c r="M89" s="65">
        <f t="shared" si="68"/>
        <v>7117.4104166666666</v>
      </c>
      <c r="N89" s="68">
        <v>15373.606500000002</v>
      </c>
      <c r="O89" s="72"/>
      <c r="P89" s="65">
        <f t="shared" si="69"/>
        <v>15373.606500000002</v>
      </c>
      <c r="Q89" s="72"/>
      <c r="R89" s="65">
        <f t="shared" si="70"/>
        <v>15373.606500000002</v>
      </c>
      <c r="S89" s="65">
        <f t="shared" si="71"/>
        <v>640.56693750000011</v>
      </c>
      <c r="T89" s="14"/>
      <c r="U89"/>
      <c r="V89" s="67">
        <v>14641.53</v>
      </c>
      <c r="W89" s="72">
        <f t="shared" si="72"/>
        <v>5.0000000000000044E-2</v>
      </c>
      <c r="X89" s="65">
        <f t="shared" si="73"/>
        <v>14641.53</v>
      </c>
      <c r="Y89" s="73">
        <v>0</v>
      </c>
      <c r="Z89" s="74">
        <f t="shared" si="74"/>
        <v>15373.606500000002</v>
      </c>
      <c r="AA89" s="75"/>
      <c r="AC89" s="3"/>
      <c r="AD89" s="55">
        <f t="shared" si="75"/>
        <v>-307.47213000000005</v>
      </c>
      <c r="AE89" s="55">
        <f t="shared" si="76"/>
        <v>-2.0088000000000004</v>
      </c>
      <c r="AF89" s="55"/>
      <c r="AG89" s="55">
        <f t="shared" si="77"/>
        <v>15064.125570000002</v>
      </c>
      <c r="AH89" s="55">
        <v>-3892.9396398428662</v>
      </c>
      <c r="AI89" s="55">
        <v>-782.71161701687629</v>
      </c>
      <c r="AJ89" s="55">
        <f t="shared" si="78"/>
        <v>10388.474313140259</v>
      </c>
      <c r="AK89" s="76">
        <f t="shared" si="79"/>
        <v>0.68961681611501979</v>
      </c>
      <c r="AL89" s="55"/>
      <c r="AM89" s="55">
        <v>-1467.0860526036001</v>
      </c>
      <c r="AN89" s="55">
        <v>0</v>
      </c>
      <c r="AO89" s="55">
        <f t="shared" si="80"/>
        <v>8921.3882605366598</v>
      </c>
      <c r="AP89" s="76">
        <f t="shared" si="81"/>
        <v>0.59222742263271366</v>
      </c>
      <c r="AQ89" s="76"/>
      <c r="AR89" s="77">
        <f t="shared" si="82"/>
        <v>16142.286825000003</v>
      </c>
      <c r="AS89" s="78">
        <v>0.05</v>
      </c>
      <c r="AT89" s="3"/>
      <c r="AU89" s="3"/>
      <c r="AV89" s="79"/>
    </row>
    <row r="90" spans="1:48" hidden="1" x14ac:dyDescent="0.2">
      <c r="A90" s="83" t="s">
        <v>114</v>
      </c>
      <c r="B90" s="61" t="s">
        <v>134</v>
      </c>
      <c r="C90" s="82">
        <v>100021044</v>
      </c>
      <c r="D90" s="83" t="s">
        <v>137</v>
      </c>
      <c r="E90" s="64"/>
      <c r="F90" s="65">
        <v>2.16</v>
      </c>
      <c r="G90" s="66">
        <v>24</v>
      </c>
      <c r="I90" s="65">
        <f t="shared" si="65"/>
        <v>0</v>
      </c>
      <c r="J90" s="65">
        <f t="shared" si="66"/>
        <v>0</v>
      </c>
      <c r="K90" s="9">
        <f t="shared" si="38"/>
        <v>0</v>
      </c>
      <c r="L90" s="65">
        <f t="shared" si="67"/>
        <v>0</v>
      </c>
      <c r="M90" s="65">
        <f t="shared" si="68"/>
        <v>0</v>
      </c>
      <c r="N90" s="68"/>
      <c r="O90" s="72"/>
      <c r="P90" s="65">
        <f t="shared" si="69"/>
        <v>0</v>
      </c>
      <c r="Q90" s="72"/>
      <c r="R90" s="65">
        <f t="shared" si="70"/>
        <v>0</v>
      </c>
      <c r="S90" s="65">
        <f t="shared" si="71"/>
        <v>0</v>
      </c>
      <c r="T90" s="14"/>
      <c r="U90"/>
      <c r="V90" s="67" t="s">
        <v>162</v>
      </c>
      <c r="W90" s="72" t="str">
        <f t="shared" si="72"/>
        <v/>
      </c>
      <c r="X90" s="65" t="str">
        <f t="shared" si="73"/>
        <v/>
      </c>
      <c r="Y90" s="73">
        <v>0</v>
      </c>
      <c r="Z90" s="74">
        <f t="shared" si="74"/>
        <v>0</v>
      </c>
      <c r="AA90" s="75"/>
      <c r="AC90" s="3"/>
      <c r="AD90" s="55">
        <f t="shared" si="75"/>
        <v>0</v>
      </c>
      <c r="AE90" s="55">
        <f t="shared" si="76"/>
        <v>-2.0088000000000004</v>
      </c>
      <c r="AF90" s="55"/>
      <c r="AG90" s="55">
        <f t="shared" si="77"/>
        <v>-2.0088000000000004</v>
      </c>
      <c r="AH90" s="55">
        <v>-3917.9650905174676</v>
      </c>
      <c r="AI90" s="55">
        <v>0</v>
      </c>
      <c r="AJ90" s="55">
        <f t="shared" si="78"/>
        <v>-3919.9738905174677</v>
      </c>
      <c r="AK90" s="76">
        <f t="shared" si="79"/>
        <v>1951.400781818731</v>
      </c>
      <c r="AL90" s="55"/>
      <c r="AM90" s="55">
        <v>-1467.0860526036001</v>
      </c>
      <c r="AN90" s="55">
        <v>0</v>
      </c>
      <c r="AO90" s="55">
        <f t="shared" si="80"/>
        <v>-5387.0599431210676</v>
      </c>
      <c r="AP90" s="76">
        <f t="shared" si="81"/>
        <v>2681.7303579853974</v>
      </c>
      <c r="AQ90" s="76"/>
      <c r="AR90" s="77">
        <f t="shared" si="82"/>
        <v>0</v>
      </c>
      <c r="AS90" s="78">
        <v>0.05</v>
      </c>
      <c r="AT90" s="3"/>
    </row>
    <row r="91" spans="1:48" x14ac:dyDescent="0.2">
      <c r="A91" s="83" t="s">
        <v>114</v>
      </c>
      <c r="B91" s="61" t="s">
        <v>138</v>
      </c>
      <c r="C91" s="82">
        <v>100021027</v>
      </c>
      <c r="D91" s="83" t="s">
        <v>139</v>
      </c>
      <c r="E91" s="64">
        <v>7790920008707</v>
      </c>
      <c r="F91" s="65">
        <v>2.16</v>
      </c>
      <c r="G91" s="66">
        <v>24</v>
      </c>
      <c r="I91" s="65">
        <f t="shared" si="65"/>
        <v>0</v>
      </c>
      <c r="J91" s="65">
        <f t="shared" si="66"/>
        <v>0</v>
      </c>
      <c r="K91" s="9">
        <f t="shared" si="38"/>
        <v>0</v>
      </c>
      <c r="L91" s="65">
        <f t="shared" si="67"/>
        <v>0</v>
      </c>
      <c r="M91" s="65">
        <f t="shared" si="68"/>
        <v>0</v>
      </c>
      <c r="N91" s="68"/>
      <c r="O91" s="72"/>
      <c r="P91" s="65">
        <f t="shared" si="69"/>
        <v>0</v>
      </c>
      <c r="Q91" s="72"/>
      <c r="R91" s="65">
        <f t="shared" si="70"/>
        <v>0</v>
      </c>
      <c r="S91" s="65">
        <f t="shared" si="71"/>
        <v>0</v>
      </c>
      <c r="T91" s="14"/>
      <c r="U91"/>
      <c r="V91" s="67" t="s">
        <v>162</v>
      </c>
      <c r="W91" s="72" t="str">
        <f t="shared" si="72"/>
        <v/>
      </c>
      <c r="X91" s="65" t="str">
        <f t="shared" si="73"/>
        <v/>
      </c>
      <c r="Y91" s="73">
        <v>0</v>
      </c>
      <c r="Z91" s="74">
        <f t="shared" si="74"/>
        <v>0</v>
      </c>
      <c r="AA91" s="75"/>
      <c r="AC91" s="3"/>
      <c r="AD91" s="55">
        <f t="shared" si="75"/>
        <v>0</v>
      </c>
      <c r="AE91" s="55">
        <f t="shared" si="76"/>
        <v>-2.0088000000000004</v>
      </c>
      <c r="AF91" s="55"/>
      <c r="AG91" s="55">
        <f t="shared" si="77"/>
        <v>-2.0088000000000004</v>
      </c>
      <c r="AH91" s="55">
        <v>-3795.1956540135116</v>
      </c>
      <c r="AI91" s="55">
        <v>0</v>
      </c>
      <c r="AJ91" s="55">
        <f t="shared" si="78"/>
        <v>-3797.2044540135116</v>
      </c>
      <c r="AK91" s="76">
        <f t="shared" si="79"/>
        <v>1890.2849731250055</v>
      </c>
      <c r="AL91" s="55"/>
      <c r="AM91" s="55">
        <v>-1467.0860526036001</v>
      </c>
      <c r="AN91" s="55">
        <v>0</v>
      </c>
      <c r="AO91" s="55">
        <f t="shared" si="80"/>
        <v>-5264.2905066171115</v>
      </c>
      <c r="AP91" s="76">
        <f t="shared" si="81"/>
        <v>2620.6145492916721</v>
      </c>
      <c r="AQ91" s="76"/>
      <c r="AR91" s="77">
        <f t="shared" si="82"/>
        <v>0</v>
      </c>
      <c r="AS91" s="78">
        <v>0.05</v>
      </c>
      <c r="AT91" s="3"/>
    </row>
    <row r="92" spans="1:48" x14ac:dyDescent="0.2">
      <c r="A92" s="83" t="s">
        <v>114</v>
      </c>
      <c r="B92" s="61" t="s">
        <v>138</v>
      </c>
      <c r="C92" s="82">
        <v>100021028</v>
      </c>
      <c r="D92" s="83" t="s">
        <v>140</v>
      </c>
      <c r="E92" s="64">
        <v>7790920008714</v>
      </c>
      <c r="F92" s="65">
        <v>2.16</v>
      </c>
      <c r="G92" s="66">
        <v>24</v>
      </c>
      <c r="I92" s="65">
        <f t="shared" si="65"/>
        <v>0</v>
      </c>
      <c r="J92" s="65">
        <f t="shared" si="66"/>
        <v>0</v>
      </c>
      <c r="K92" s="9">
        <f t="shared" si="38"/>
        <v>0</v>
      </c>
      <c r="L92" s="65">
        <f t="shared" si="67"/>
        <v>0</v>
      </c>
      <c r="M92" s="65">
        <f t="shared" si="68"/>
        <v>0</v>
      </c>
      <c r="N92" s="68"/>
      <c r="O92" s="72"/>
      <c r="P92" s="65">
        <f t="shared" si="69"/>
        <v>0</v>
      </c>
      <c r="Q92" s="72"/>
      <c r="R92" s="65">
        <f t="shared" si="70"/>
        <v>0</v>
      </c>
      <c r="S92" s="65">
        <f t="shared" si="71"/>
        <v>0</v>
      </c>
      <c r="T92" s="14"/>
      <c r="U92"/>
      <c r="V92" s="67" t="s">
        <v>162</v>
      </c>
      <c r="W92" s="72" t="str">
        <f t="shared" si="72"/>
        <v/>
      </c>
      <c r="X92" s="65" t="str">
        <f t="shared" si="73"/>
        <v/>
      </c>
      <c r="Y92" s="73">
        <v>0</v>
      </c>
      <c r="Z92" s="74">
        <f t="shared" si="74"/>
        <v>0</v>
      </c>
      <c r="AA92" s="75"/>
      <c r="AC92" s="3"/>
      <c r="AD92" s="55">
        <f t="shared" si="75"/>
        <v>0</v>
      </c>
      <c r="AE92" s="55">
        <f t="shared" si="76"/>
        <v>-2.0088000000000004</v>
      </c>
      <c r="AF92" s="55"/>
      <c r="AG92" s="55">
        <f t="shared" si="77"/>
        <v>-2.0088000000000004</v>
      </c>
      <c r="AH92" s="55">
        <v>-3965.8145857047975</v>
      </c>
      <c r="AI92" s="55">
        <v>-773.83877208668457</v>
      </c>
      <c r="AJ92" s="55">
        <f t="shared" si="78"/>
        <v>-4741.6621577914821</v>
      </c>
      <c r="AK92" s="76">
        <f t="shared" si="79"/>
        <v>2360.4451203661297</v>
      </c>
      <c r="AL92" s="55"/>
      <c r="AM92" s="55">
        <v>-1467.0860526036001</v>
      </c>
      <c r="AN92" s="55">
        <v>0</v>
      </c>
      <c r="AO92" s="55">
        <f t="shared" si="80"/>
        <v>-6208.7482103950824</v>
      </c>
      <c r="AP92" s="76">
        <f t="shared" si="81"/>
        <v>3090.7746965327965</v>
      </c>
      <c r="AQ92" s="76"/>
      <c r="AR92" s="77">
        <f t="shared" si="82"/>
        <v>0</v>
      </c>
      <c r="AS92" s="78">
        <v>0.05</v>
      </c>
      <c r="AT92" s="3"/>
    </row>
    <row r="93" spans="1:48" x14ac:dyDescent="0.2">
      <c r="A93" s="83" t="s">
        <v>114</v>
      </c>
      <c r="B93" s="61" t="s">
        <v>138</v>
      </c>
      <c r="C93" s="82">
        <v>100021133</v>
      </c>
      <c r="D93" s="83" t="s">
        <v>141</v>
      </c>
      <c r="E93" s="64">
        <v>8480017344335</v>
      </c>
      <c r="F93" s="65">
        <v>2.16</v>
      </c>
      <c r="G93" s="66">
        <v>24</v>
      </c>
      <c r="I93" s="65">
        <f t="shared" si="65"/>
        <v>0</v>
      </c>
      <c r="J93" s="65">
        <f t="shared" si="66"/>
        <v>0</v>
      </c>
      <c r="K93" s="9">
        <f t="shared" si="38"/>
        <v>0</v>
      </c>
      <c r="L93" s="65">
        <f t="shared" si="67"/>
        <v>0</v>
      </c>
      <c r="M93" s="65">
        <f t="shared" si="68"/>
        <v>0</v>
      </c>
      <c r="N93" s="68"/>
      <c r="O93" s="72"/>
      <c r="P93" s="65"/>
      <c r="Q93" s="72"/>
      <c r="R93" s="65">
        <f t="shared" si="70"/>
        <v>0</v>
      </c>
      <c r="S93" s="115">
        <f t="shared" si="71"/>
        <v>0</v>
      </c>
      <c r="T93" s="14"/>
      <c r="U93"/>
      <c r="V93" s="65" t="s">
        <v>162</v>
      </c>
      <c r="W93" s="72" t="str">
        <f t="shared" si="72"/>
        <v/>
      </c>
      <c r="X93" s="65" t="str">
        <f t="shared" si="73"/>
        <v/>
      </c>
      <c r="Y93" s="73">
        <v>0</v>
      </c>
      <c r="Z93" s="74"/>
      <c r="AA93" s="75"/>
      <c r="AC93" s="3"/>
      <c r="AD93" s="55">
        <f t="shared" si="75"/>
        <v>0</v>
      </c>
      <c r="AE93" s="55">
        <f t="shared" si="76"/>
        <v>-2.0088000000000004</v>
      </c>
      <c r="AF93" s="55"/>
      <c r="AG93" s="55">
        <f t="shared" si="77"/>
        <v>-2.0088000000000004</v>
      </c>
      <c r="AH93" s="55">
        <v>-3774.4403202327048</v>
      </c>
      <c r="AI93" s="55">
        <v>-257.69601564607655</v>
      </c>
      <c r="AJ93" s="55">
        <f t="shared" si="78"/>
        <v>-4034.1451358787813</v>
      </c>
      <c r="AK93" s="76">
        <f t="shared" si="79"/>
        <v>2008.2363280957688</v>
      </c>
      <c r="AL93" s="55"/>
      <c r="AM93" s="55">
        <v>-1422.3340435489893</v>
      </c>
      <c r="AN93" s="55">
        <v>0</v>
      </c>
      <c r="AO93" s="55">
        <f t="shared" si="80"/>
        <v>-5456.4791794277708</v>
      </c>
      <c r="AP93" s="76">
        <f t="shared" si="81"/>
        <v>2716.2879228533302</v>
      </c>
      <c r="AQ93" s="76"/>
      <c r="AR93" s="77">
        <f t="shared" si="82"/>
        <v>0</v>
      </c>
      <c r="AS93" s="78">
        <v>0.05</v>
      </c>
      <c r="AT93" s="3"/>
    </row>
    <row r="94" spans="1:48" x14ac:dyDescent="0.2">
      <c r="A94" s="83" t="s">
        <v>114</v>
      </c>
      <c r="B94" s="61" t="s">
        <v>138</v>
      </c>
      <c r="C94" s="82">
        <v>100021134</v>
      </c>
      <c r="D94" s="83" t="s">
        <v>142</v>
      </c>
      <c r="E94" s="64">
        <v>8480017344342</v>
      </c>
      <c r="F94" s="65">
        <v>2.16</v>
      </c>
      <c r="G94" s="66">
        <v>24</v>
      </c>
      <c r="I94" s="65">
        <f t="shared" si="65"/>
        <v>0</v>
      </c>
      <c r="J94" s="65">
        <f t="shared" si="66"/>
        <v>0</v>
      </c>
      <c r="K94" s="9">
        <f t="shared" si="38"/>
        <v>0</v>
      </c>
      <c r="L94" s="65">
        <f t="shared" si="67"/>
        <v>0</v>
      </c>
      <c r="M94" s="65">
        <f t="shared" si="68"/>
        <v>0</v>
      </c>
      <c r="N94" s="68"/>
      <c r="O94" s="72"/>
      <c r="P94" s="65">
        <f t="shared" ref="P94:P100" si="83">+IF(ISERROR(N94/(1-O94)),"",(N94/(1-O94)))</f>
        <v>0</v>
      </c>
      <c r="Q94" s="72"/>
      <c r="R94" s="65">
        <f t="shared" si="70"/>
        <v>0</v>
      </c>
      <c r="S94" s="65">
        <f t="shared" ref="S94:S100" si="84">+IF(ISERROR(R94/G94),"",(R94/G94))</f>
        <v>0</v>
      </c>
      <c r="T94" s="14"/>
      <c r="U94"/>
      <c r="V94" s="65" t="s">
        <v>162</v>
      </c>
      <c r="W94" s="72" t="str">
        <f t="shared" si="72"/>
        <v/>
      </c>
      <c r="X94" s="65" t="str">
        <f t="shared" si="73"/>
        <v/>
      </c>
      <c r="Y94" s="73">
        <v>0</v>
      </c>
      <c r="Z94" s="74"/>
      <c r="AA94" s="75"/>
      <c r="AC94" s="3"/>
      <c r="AD94" s="55">
        <f t="shared" si="75"/>
        <v>0</v>
      </c>
      <c r="AE94" s="55">
        <f t="shared" si="76"/>
        <v>-2.0088000000000004</v>
      </c>
      <c r="AF94" s="55"/>
      <c r="AG94" s="55">
        <f t="shared" si="77"/>
        <v>-2.0088000000000004</v>
      </c>
      <c r="AH94" s="55">
        <v>-3903.9886316000488</v>
      </c>
      <c r="AI94" s="55">
        <v>-260.40666577630759</v>
      </c>
      <c r="AJ94" s="55">
        <f t="shared" si="78"/>
        <v>-4166.4040973763567</v>
      </c>
      <c r="AK94" s="76">
        <f t="shared" si="79"/>
        <v>2074.0761137875129</v>
      </c>
      <c r="AL94" s="55"/>
      <c r="AM94" s="55">
        <v>-1422.3340435489893</v>
      </c>
      <c r="AN94" s="55">
        <v>0</v>
      </c>
      <c r="AO94" s="55">
        <f t="shared" si="80"/>
        <v>-5588.7381409253458</v>
      </c>
      <c r="AP94" s="76">
        <f t="shared" si="81"/>
        <v>2782.1277085450743</v>
      </c>
      <c r="AQ94" s="76"/>
      <c r="AR94" s="77">
        <f t="shared" si="82"/>
        <v>0</v>
      </c>
      <c r="AS94" s="78">
        <v>0.05</v>
      </c>
      <c r="AT94" s="3"/>
    </row>
    <row r="95" spans="1:48" x14ac:dyDescent="0.2">
      <c r="A95" s="83" t="s">
        <v>114</v>
      </c>
      <c r="B95" s="61" t="s">
        <v>138</v>
      </c>
      <c r="C95" s="82">
        <v>100518544</v>
      </c>
      <c r="D95" s="83" t="s">
        <v>143</v>
      </c>
      <c r="E95" s="64">
        <v>7798023696609</v>
      </c>
      <c r="F95" s="65">
        <v>2.16</v>
      </c>
      <c r="G95" s="66">
        <v>24</v>
      </c>
      <c r="I95" s="65">
        <f t="shared" si="65"/>
        <v>0</v>
      </c>
      <c r="J95" s="65">
        <f t="shared" si="66"/>
        <v>0</v>
      </c>
      <c r="K95" s="9">
        <f t="shared" si="38"/>
        <v>0</v>
      </c>
      <c r="L95" s="65">
        <f t="shared" si="67"/>
        <v>0</v>
      </c>
      <c r="M95" s="65">
        <f t="shared" si="68"/>
        <v>0</v>
      </c>
      <c r="N95" s="68"/>
      <c r="O95" s="72"/>
      <c r="P95" s="65">
        <f t="shared" si="83"/>
        <v>0</v>
      </c>
      <c r="Q95" s="72"/>
      <c r="R95" s="65">
        <f t="shared" si="70"/>
        <v>0</v>
      </c>
      <c r="S95" s="65">
        <f t="shared" si="84"/>
        <v>0</v>
      </c>
      <c r="T95" s="14"/>
      <c r="U95"/>
      <c r="V95" s="65"/>
      <c r="W95" s="72"/>
      <c r="X95" s="65"/>
      <c r="Y95" s="73"/>
      <c r="Z95" s="74"/>
      <c r="AA95" s="75"/>
      <c r="AC95" s="3"/>
      <c r="AD95" s="55"/>
      <c r="AE95" s="55"/>
      <c r="AF95" s="55"/>
      <c r="AG95" s="55"/>
      <c r="AH95" s="55"/>
      <c r="AI95" s="55"/>
      <c r="AJ95" s="55"/>
      <c r="AK95" s="76"/>
      <c r="AL95" s="55"/>
      <c r="AM95" s="55"/>
      <c r="AN95" s="55"/>
      <c r="AO95" s="55"/>
      <c r="AP95" s="76"/>
      <c r="AQ95" s="76"/>
      <c r="AR95" s="77">
        <f t="shared" si="82"/>
        <v>0</v>
      </c>
      <c r="AS95" s="78">
        <v>0.05</v>
      </c>
      <c r="AT95" s="3"/>
    </row>
    <row r="96" spans="1:48" x14ac:dyDescent="0.2">
      <c r="A96" s="83" t="s">
        <v>114</v>
      </c>
      <c r="B96" s="61" t="s">
        <v>138</v>
      </c>
      <c r="C96" s="82">
        <v>100518545</v>
      </c>
      <c r="D96" s="83" t="s">
        <v>144</v>
      </c>
      <c r="E96" s="64">
        <v>7798023696593</v>
      </c>
      <c r="F96" s="65">
        <v>2.16</v>
      </c>
      <c r="G96" s="66">
        <v>24</v>
      </c>
      <c r="I96" s="65">
        <f t="shared" si="65"/>
        <v>0</v>
      </c>
      <c r="J96" s="65">
        <f t="shared" si="66"/>
        <v>0</v>
      </c>
      <c r="K96" s="9">
        <f t="shared" si="38"/>
        <v>0</v>
      </c>
      <c r="L96" s="65">
        <f t="shared" si="67"/>
        <v>0</v>
      </c>
      <c r="M96" s="65">
        <f t="shared" si="68"/>
        <v>0</v>
      </c>
      <c r="N96" s="68"/>
      <c r="O96" s="72"/>
      <c r="P96" s="65">
        <f t="shared" si="83"/>
        <v>0</v>
      </c>
      <c r="Q96" s="72"/>
      <c r="R96" s="65">
        <f t="shared" si="70"/>
        <v>0</v>
      </c>
      <c r="S96" s="65">
        <f t="shared" si="84"/>
        <v>0</v>
      </c>
      <c r="T96" s="14"/>
      <c r="U96"/>
      <c r="V96" s="65"/>
      <c r="W96" s="72"/>
      <c r="X96" s="65"/>
      <c r="Y96" s="73"/>
      <c r="Z96" s="74"/>
      <c r="AA96" s="75"/>
      <c r="AC96" s="3"/>
      <c r="AD96" s="55"/>
      <c r="AE96" s="55"/>
      <c r="AF96" s="55"/>
      <c r="AG96" s="55"/>
      <c r="AH96" s="55"/>
      <c r="AI96" s="55"/>
      <c r="AJ96" s="55"/>
      <c r="AK96" s="76"/>
      <c r="AL96" s="55"/>
      <c r="AM96" s="55"/>
      <c r="AN96" s="55"/>
      <c r="AO96" s="55"/>
      <c r="AP96" s="76"/>
      <c r="AQ96" s="76"/>
      <c r="AR96" s="77">
        <f t="shared" si="82"/>
        <v>0</v>
      </c>
      <c r="AS96" s="78">
        <v>0.05</v>
      </c>
      <c r="AT96" s="3"/>
    </row>
    <row r="97" spans="1:48" x14ac:dyDescent="0.2">
      <c r="A97" s="116" t="s">
        <v>114</v>
      </c>
      <c r="B97" s="99" t="s">
        <v>138</v>
      </c>
      <c r="C97" s="100">
        <v>100520326</v>
      </c>
      <c r="D97" s="101" t="s">
        <v>145</v>
      </c>
      <c r="E97" s="102">
        <v>7798022224162</v>
      </c>
      <c r="F97" s="103">
        <v>2.16</v>
      </c>
      <c r="G97" s="104">
        <v>24</v>
      </c>
      <c r="I97" s="65">
        <f t="shared" si="65"/>
        <v>0</v>
      </c>
      <c r="J97" s="65">
        <f t="shared" si="66"/>
        <v>0</v>
      </c>
      <c r="K97" s="9">
        <f t="shared" si="38"/>
        <v>0</v>
      </c>
      <c r="L97" s="65">
        <f t="shared" si="67"/>
        <v>0</v>
      </c>
      <c r="M97" s="65">
        <f t="shared" si="68"/>
        <v>0</v>
      </c>
      <c r="N97" s="68"/>
      <c r="O97" s="72"/>
      <c r="P97" s="65">
        <f t="shared" si="83"/>
        <v>0</v>
      </c>
      <c r="Q97" s="72"/>
      <c r="R97" s="65">
        <f t="shared" si="70"/>
        <v>0</v>
      </c>
      <c r="S97" s="65">
        <f t="shared" si="84"/>
        <v>0</v>
      </c>
      <c r="T97" s="14"/>
      <c r="U97"/>
      <c r="V97" s="65" t="s">
        <v>162</v>
      </c>
      <c r="W97" s="72" t="str">
        <f>+IF(ISERROR(N97/V97-1),"",(N97/V97-1))</f>
        <v/>
      </c>
      <c r="X97" s="65" t="str">
        <f>+IF(ISERROR(V97*(1-O97)),"",(V97*(1-O97)))</f>
        <v/>
      </c>
      <c r="Y97" s="73"/>
      <c r="Z97" s="74"/>
      <c r="AA97" s="75"/>
      <c r="AC97" s="3"/>
      <c r="AD97" s="55"/>
      <c r="AE97" s="55"/>
      <c r="AF97" s="55"/>
      <c r="AG97" s="55"/>
      <c r="AH97" s="55"/>
      <c r="AI97" s="55"/>
      <c r="AJ97" s="55"/>
      <c r="AK97" s="76"/>
      <c r="AL97" s="55"/>
      <c r="AM97" s="55"/>
      <c r="AN97" s="55"/>
      <c r="AO97" s="55"/>
      <c r="AP97" s="76"/>
      <c r="AQ97" s="76"/>
      <c r="AR97" s="77">
        <f t="shared" si="82"/>
        <v>0</v>
      </c>
      <c r="AS97" s="78">
        <v>0.05</v>
      </c>
      <c r="AT97" s="3"/>
    </row>
    <row r="98" spans="1:48" x14ac:dyDescent="0.2">
      <c r="A98" s="116" t="s">
        <v>114</v>
      </c>
      <c r="B98" s="99" t="s">
        <v>138</v>
      </c>
      <c r="C98" s="100">
        <v>100520325</v>
      </c>
      <c r="D98" s="101" t="s">
        <v>146</v>
      </c>
      <c r="E98" s="102">
        <v>7798022224179</v>
      </c>
      <c r="F98" s="103">
        <v>2.16</v>
      </c>
      <c r="G98" s="104">
        <v>24</v>
      </c>
      <c r="I98" s="65">
        <f t="shared" si="65"/>
        <v>0</v>
      </c>
      <c r="J98" s="65">
        <f t="shared" si="66"/>
        <v>0</v>
      </c>
      <c r="K98" s="9">
        <f t="shared" si="38"/>
        <v>0</v>
      </c>
      <c r="L98" s="65">
        <f t="shared" si="67"/>
        <v>0</v>
      </c>
      <c r="M98" s="65">
        <f t="shared" si="68"/>
        <v>0</v>
      </c>
      <c r="N98" s="68"/>
      <c r="O98" s="72"/>
      <c r="P98" s="65">
        <f t="shared" si="83"/>
        <v>0</v>
      </c>
      <c r="Q98" s="72"/>
      <c r="R98" s="65">
        <f t="shared" si="70"/>
        <v>0</v>
      </c>
      <c r="S98" s="65">
        <f t="shared" si="84"/>
        <v>0</v>
      </c>
      <c r="T98" s="14"/>
      <c r="U98"/>
      <c r="V98" s="65"/>
      <c r="W98" s="72"/>
      <c r="X98" s="65"/>
      <c r="Y98" s="73"/>
      <c r="Z98" s="74"/>
      <c r="AA98" s="75"/>
      <c r="AC98" s="3"/>
      <c r="AD98" s="55"/>
      <c r="AE98" s="55"/>
      <c r="AF98" s="55"/>
      <c r="AG98" s="55"/>
      <c r="AH98" s="55"/>
      <c r="AI98" s="55"/>
      <c r="AJ98" s="55"/>
      <c r="AK98" s="76"/>
      <c r="AL98" s="55"/>
      <c r="AM98" s="55"/>
      <c r="AN98" s="55"/>
      <c r="AO98" s="55"/>
      <c r="AP98" s="76"/>
      <c r="AQ98" s="76"/>
      <c r="AR98" s="77">
        <f t="shared" si="82"/>
        <v>0</v>
      </c>
      <c r="AS98" s="78">
        <v>0.05</v>
      </c>
      <c r="AT98" s="3"/>
    </row>
    <row r="99" spans="1:48" x14ac:dyDescent="0.2">
      <c r="A99" s="83" t="s">
        <v>114</v>
      </c>
      <c r="B99" s="61" t="s">
        <v>138</v>
      </c>
      <c r="C99" s="82">
        <v>100522425</v>
      </c>
      <c r="D99" s="83" t="s">
        <v>147</v>
      </c>
      <c r="E99" s="64">
        <v>7791720045992</v>
      </c>
      <c r="F99" s="65">
        <v>2.16</v>
      </c>
      <c r="G99" s="66">
        <v>24</v>
      </c>
      <c r="I99" s="65">
        <f>IFERROR(L99*1.35*1.21,)</f>
        <v>0</v>
      </c>
      <c r="J99" s="65">
        <f t="shared" si="66"/>
        <v>0</v>
      </c>
      <c r="K99" s="9">
        <f>IFERROR(((I99/1.21)-L99)/(I99/1.21),)</f>
        <v>0</v>
      </c>
      <c r="L99" s="65">
        <f>+IF(ISERROR(N99/G99),"",(N99/G99))</f>
        <v>0</v>
      </c>
      <c r="M99" s="65">
        <f>+IF(ISERROR(N99/F99),"",(N99/F99))</f>
        <v>0</v>
      </c>
      <c r="N99" s="68"/>
      <c r="O99" s="72"/>
      <c r="P99" s="65">
        <f t="shared" si="83"/>
        <v>0</v>
      </c>
      <c r="Q99" s="72"/>
      <c r="R99" s="65">
        <f>+IF(ISERROR(P99/(1-Q99)),"",(P99/(1-Q99)))</f>
        <v>0</v>
      </c>
      <c r="S99" s="65">
        <f t="shared" si="84"/>
        <v>0</v>
      </c>
      <c r="T99" s="14"/>
      <c r="U99"/>
      <c r="V99" s="65" t="s">
        <v>162</v>
      </c>
      <c r="W99" s="72" t="str">
        <f>+IF(ISERROR(N99/V99-1),"",(N99/V99-1))</f>
        <v/>
      </c>
      <c r="X99" s="65" t="str">
        <f>+IF(ISERROR(V99*(1-O99)),"",(V99*(1-O99)))</f>
        <v/>
      </c>
      <c r="Y99" s="73"/>
      <c r="Z99" s="74"/>
      <c r="AA99" s="75"/>
      <c r="AC99" s="3"/>
      <c r="AD99" s="55"/>
      <c r="AE99" s="55"/>
      <c r="AF99" s="55"/>
      <c r="AG99" s="55"/>
      <c r="AH99" s="55"/>
      <c r="AI99" s="55"/>
      <c r="AJ99" s="55"/>
      <c r="AK99" s="76"/>
      <c r="AL99" s="55"/>
      <c r="AM99" s="55"/>
      <c r="AN99" s="55"/>
      <c r="AO99" s="55"/>
      <c r="AP99" s="76"/>
      <c r="AQ99" s="76"/>
      <c r="AR99" s="77">
        <f t="shared" si="82"/>
        <v>0</v>
      </c>
      <c r="AS99" s="78">
        <v>0.05</v>
      </c>
      <c r="AT99" s="3"/>
    </row>
    <row r="100" spans="1:48" x14ac:dyDescent="0.2">
      <c r="A100" s="83" t="s">
        <v>114</v>
      </c>
      <c r="B100" s="61" t="s">
        <v>138</v>
      </c>
      <c r="C100" s="82">
        <v>100522428</v>
      </c>
      <c r="D100" s="83" t="s">
        <v>148</v>
      </c>
      <c r="E100" s="64">
        <v>7791720045985</v>
      </c>
      <c r="F100" s="65">
        <v>2.16</v>
      </c>
      <c r="G100" s="66">
        <v>24</v>
      </c>
      <c r="I100" s="65">
        <f>IFERROR(L100*1.35*1.21,)</f>
        <v>0</v>
      </c>
      <c r="J100" s="65">
        <f t="shared" si="66"/>
        <v>0</v>
      </c>
      <c r="K100" s="9">
        <f>IFERROR(((I100/1.21)-L100)/(I100/1.21),)</f>
        <v>0</v>
      </c>
      <c r="L100" s="65">
        <f>+IF(ISERROR(N100/G100),"",(N100/G100))</f>
        <v>0</v>
      </c>
      <c r="M100" s="65">
        <f>+IF(ISERROR(N100/F100),"",(N100/F100))</f>
        <v>0</v>
      </c>
      <c r="N100" s="68"/>
      <c r="O100" s="72"/>
      <c r="P100" s="65">
        <f t="shared" si="83"/>
        <v>0</v>
      </c>
      <c r="Q100" s="72"/>
      <c r="R100" s="65">
        <f>+IF(ISERROR(P100/(1-Q100)),"",(P100/(1-Q100)))</f>
        <v>0</v>
      </c>
      <c r="S100" s="65">
        <f t="shared" si="84"/>
        <v>0</v>
      </c>
      <c r="T100" s="14"/>
      <c r="U100"/>
      <c r="V100" s="65"/>
      <c r="W100" s="72"/>
      <c r="X100" s="65"/>
      <c r="Y100" s="73"/>
      <c r="Z100" s="74"/>
      <c r="AA100" s="75"/>
      <c r="AC100" s="3"/>
      <c r="AD100" s="55"/>
      <c r="AE100" s="55"/>
      <c r="AF100" s="55"/>
      <c r="AG100" s="55"/>
      <c r="AH100" s="55"/>
      <c r="AI100" s="55"/>
      <c r="AJ100" s="55"/>
      <c r="AK100" s="76"/>
      <c r="AL100" s="55"/>
      <c r="AM100" s="55"/>
      <c r="AN100" s="55"/>
      <c r="AO100" s="55"/>
      <c r="AP100" s="76"/>
      <c r="AQ100" s="76"/>
      <c r="AR100" s="77">
        <f t="shared" si="82"/>
        <v>0</v>
      </c>
      <c r="AS100" s="78">
        <v>0.05</v>
      </c>
      <c r="AT100" s="3"/>
    </row>
    <row r="101" spans="1:48" x14ac:dyDescent="0.2">
      <c r="A101" s="45"/>
      <c r="B101" s="46"/>
      <c r="C101" s="47"/>
      <c r="D101" s="48"/>
      <c r="E101" s="47"/>
      <c r="F101" s="48"/>
      <c r="G101" s="109"/>
      <c r="I101" s="50"/>
      <c r="J101" s="51"/>
      <c r="K101" s="114">
        <f t="shared" si="38"/>
        <v>0</v>
      </c>
      <c r="L101" s="50"/>
      <c r="M101" s="48"/>
      <c r="N101" s="48"/>
      <c r="O101" s="52"/>
      <c r="P101" s="48"/>
      <c r="Q101" s="52"/>
      <c r="R101" s="48"/>
      <c r="S101" s="49"/>
      <c r="T101" s="14"/>
      <c r="U101"/>
      <c r="V101" s="48"/>
      <c r="W101" s="54"/>
      <c r="X101" s="49"/>
      <c r="Y101" s="73"/>
      <c r="AA101" s="75"/>
      <c r="AC101" s="3"/>
      <c r="AD101" s="55"/>
      <c r="AE101" s="55"/>
      <c r="AF101" s="55"/>
      <c r="AG101" s="55"/>
      <c r="AH101" s="55">
        <v>0</v>
      </c>
      <c r="AI101" s="55">
        <v>0</v>
      </c>
      <c r="AJ101" s="55"/>
      <c r="AK101" s="76"/>
      <c r="AL101" s="55"/>
      <c r="AM101" s="55">
        <v>0</v>
      </c>
      <c r="AN101" s="55">
        <v>0</v>
      </c>
      <c r="AO101" s="55"/>
      <c r="AP101" s="76"/>
      <c r="AQ101" s="76"/>
      <c r="AR101" s="110" t="str">
        <f t="shared" si="82"/>
        <v/>
      </c>
      <c r="AS101" s="111" t="s">
        <v>162</v>
      </c>
      <c r="AT101" s="3"/>
    </row>
    <row r="102" spans="1:48" hidden="1" x14ac:dyDescent="0.2">
      <c r="A102" s="83" t="s">
        <v>149</v>
      </c>
      <c r="B102" s="61" t="s">
        <v>150</v>
      </c>
      <c r="C102" s="82">
        <v>100021701</v>
      </c>
      <c r="D102" s="83" t="s">
        <v>151</v>
      </c>
      <c r="E102" s="64">
        <v>7790360023889</v>
      </c>
      <c r="F102" s="65">
        <v>6.6</v>
      </c>
      <c r="G102" s="66">
        <v>20</v>
      </c>
      <c r="I102" s="65">
        <f>IFERROR(L102*1.35*1.21,)</f>
        <v>0</v>
      </c>
      <c r="J102" s="65">
        <f>+I102*0.8</f>
        <v>0</v>
      </c>
      <c r="K102" s="114">
        <f t="shared" si="38"/>
        <v>0</v>
      </c>
      <c r="L102" s="65">
        <f>+IF(ISERROR(N102/G102),"",(N102/G102))</f>
        <v>0</v>
      </c>
      <c r="M102" s="65">
        <f>+IF(ISERROR(N102/F102),"",(N102/F102))</f>
        <v>0</v>
      </c>
      <c r="N102" s="68"/>
      <c r="O102" s="72"/>
      <c r="P102" s="65">
        <f>+IF(ISERROR(N102/(1-O102)),"",(N102/(1-O102)))</f>
        <v>0</v>
      </c>
      <c r="Q102" s="72"/>
      <c r="R102" s="65">
        <f>+IF(ISERROR(P102/(1-Q102)),"",(P102/(1-Q102)))</f>
        <v>0</v>
      </c>
      <c r="S102" s="65">
        <f>+IF(ISERROR(R102/G102),"",(R102/G102))</f>
        <v>0</v>
      </c>
      <c r="T102" s="14"/>
      <c r="U102"/>
      <c r="V102" s="67" t="s">
        <v>162</v>
      </c>
      <c r="W102" s="72" t="str">
        <f>+IF(ISERROR(N102/V102-1),"",(N102/V102-1))</f>
        <v/>
      </c>
      <c r="X102" s="65" t="str">
        <f>+IF(ISERROR(V102*(1-O102)),"",(V102*(1-O102)))</f>
        <v/>
      </c>
      <c r="Y102" s="73">
        <v>0</v>
      </c>
      <c r="Z102" s="74">
        <f>IFERROR(U102*(1-Y102),)</f>
        <v>0</v>
      </c>
      <c r="AA102" s="75"/>
      <c r="AC102" s="3"/>
      <c r="AD102" s="55">
        <f>-IFERROR(N102*AD$9,)</f>
        <v>0</v>
      </c>
      <c r="AE102" s="55">
        <f>$AE$9*F102</f>
        <v>-6.1379999999999999</v>
      </c>
      <c r="AF102" s="55"/>
      <c r="AG102" s="55">
        <f>+Z102+AD102+AE102</f>
        <v>-6.1379999999999999</v>
      </c>
      <c r="AH102" s="55" t="e">
        <v>#N/A</v>
      </c>
      <c r="AI102" s="55" t="e">
        <v>#N/A</v>
      </c>
      <c r="AJ102" s="55" t="e">
        <f>AG102+AH102+AI102</f>
        <v>#N/A</v>
      </c>
      <c r="AK102" s="76" t="e">
        <f>AJ102/$AG102</f>
        <v>#N/A</v>
      </c>
      <c r="AL102" s="55"/>
      <c r="AM102" s="55" t="e">
        <v>#N/A</v>
      </c>
      <c r="AN102" s="55" t="e">
        <v>#N/A</v>
      </c>
      <c r="AO102" s="55" t="e">
        <f>+AJ102+AM102+AN102</f>
        <v>#N/A</v>
      </c>
      <c r="AP102" s="76" t="e">
        <f>AO102/$AG102</f>
        <v>#N/A</v>
      </c>
      <c r="AQ102" s="76"/>
      <c r="AR102" s="77" t="str">
        <f t="shared" si="82"/>
        <v/>
      </c>
      <c r="AS102" s="78" t="s">
        <v>162</v>
      </c>
      <c r="AT102" s="3"/>
      <c r="AU102" s="79"/>
    </row>
    <row r="103" spans="1:48" x14ac:dyDescent="0.2">
      <c r="A103" s="83" t="s">
        <v>149</v>
      </c>
      <c r="B103" s="61" t="s">
        <v>150</v>
      </c>
      <c r="C103" s="82">
        <v>100516217</v>
      </c>
      <c r="D103" s="83" t="s">
        <v>152</v>
      </c>
      <c r="E103" s="64">
        <v>7790360967824</v>
      </c>
      <c r="F103" s="65">
        <v>5.8</v>
      </c>
      <c r="G103" s="66">
        <v>20</v>
      </c>
      <c r="I103" s="65">
        <f>IFERROR(L103*1.35*1.21,)</f>
        <v>2598.8148893025004</v>
      </c>
      <c r="J103" s="65">
        <f t="shared" ref="J103:J120" si="85">+I103*0.9</f>
        <v>2338.9334003722506</v>
      </c>
      <c r="K103" s="114">
        <f t="shared" si="38"/>
        <v>0.25925925925925936</v>
      </c>
      <c r="L103" s="65">
        <f>+IF(ISERROR(N103/G103),"",(N103/G103))</f>
        <v>1590.948815</v>
      </c>
      <c r="M103" s="65">
        <f>+IF(ISERROR(N103/F103),"",(N103/F103))</f>
        <v>5486.0303965517242</v>
      </c>
      <c r="N103" s="68">
        <v>31818.976299999998</v>
      </c>
      <c r="O103" s="72"/>
      <c r="P103" s="65">
        <f>+IF(ISERROR(N103/(1-O103)),"",(N103/(1-O103)))</f>
        <v>31818.976299999998</v>
      </c>
      <c r="Q103" s="72"/>
      <c r="R103" s="65">
        <f>+IF(ISERROR(P103/(1-Q103)),"",(P103/(1-Q103)))</f>
        <v>31818.976299999998</v>
      </c>
      <c r="S103" s="65">
        <f>+IF(ISERROR(R103/G103),"",(R103/G103))</f>
        <v>1590.948815</v>
      </c>
      <c r="T103" s="14"/>
      <c r="U103" s="71"/>
      <c r="V103" s="67">
        <v>30892.21</v>
      </c>
      <c r="W103" s="72">
        <f>+IF(ISERROR(N103/V103-1),"",(N103/V103-1))</f>
        <v>3.0000000000000027E-2</v>
      </c>
      <c r="X103" s="65">
        <f>+IF(ISERROR(V103*(1-O103)),"",(V103*(1-O103)))</f>
        <v>30892.21</v>
      </c>
      <c r="Y103" s="73">
        <v>0</v>
      </c>
      <c r="Z103" s="74">
        <f>+N103*(1-Y103)</f>
        <v>31818.976299999998</v>
      </c>
      <c r="AA103" s="75"/>
      <c r="AC103" s="3"/>
      <c r="AD103" s="55">
        <f>-IFERROR(N103*AD$9,)</f>
        <v>-636.37952599999994</v>
      </c>
      <c r="AE103" s="55">
        <f>$AE$9*F103</f>
        <v>-5.3940000000000001</v>
      </c>
      <c r="AF103" s="55"/>
      <c r="AG103" s="55">
        <f>+Z103+AD103+AE103</f>
        <v>31177.202773999998</v>
      </c>
      <c r="AH103" s="55">
        <v>-15529.5</v>
      </c>
      <c r="AI103" s="55">
        <v>-1641.0689081365015</v>
      </c>
      <c r="AJ103" s="55">
        <f>AG103+AH103+AI103</f>
        <v>14006.633865863496</v>
      </c>
      <c r="AK103" s="76">
        <f>AJ103/$AG103</f>
        <v>0.44925883721499948</v>
      </c>
      <c r="AL103" s="55"/>
      <c r="AM103" s="55">
        <v>-502.10470082094861</v>
      </c>
      <c r="AN103" s="55">
        <v>-425.45543665046745</v>
      </c>
      <c r="AO103" s="55">
        <f>+AJ103+AM103+AN103</f>
        <v>13079.073728392081</v>
      </c>
      <c r="AP103" s="76">
        <f>AO103/$AG103</f>
        <v>0.41950760699094147</v>
      </c>
      <c r="AQ103" s="76"/>
      <c r="AR103" s="77">
        <f t="shared" si="82"/>
        <v>33409.925114999998</v>
      </c>
      <c r="AS103" s="78">
        <v>0.05</v>
      </c>
      <c r="AT103" s="3"/>
      <c r="AU103" s="3"/>
      <c r="AV103" s="79"/>
    </row>
    <row r="104" spans="1:48" x14ac:dyDescent="0.2">
      <c r="A104" s="83" t="s">
        <v>149</v>
      </c>
      <c r="B104" s="61" t="s">
        <v>150</v>
      </c>
      <c r="C104" s="82">
        <v>100516214</v>
      </c>
      <c r="D104" s="83" t="s">
        <v>153</v>
      </c>
      <c r="E104" s="64">
        <v>7790360967794</v>
      </c>
      <c r="F104" s="65">
        <v>7</v>
      </c>
      <c r="G104" s="66">
        <v>20</v>
      </c>
      <c r="I104" s="65">
        <f>IFERROR(L104*1.35*1.21,)</f>
        <v>3531.9349147499997</v>
      </c>
      <c r="J104" s="65">
        <f t="shared" si="85"/>
        <v>3178.7414232749998</v>
      </c>
      <c r="K104" s="117">
        <f t="shared" si="38"/>
        <v>0.25925925925925936</v>
      </c>
      <c r="L104" s="65">
        <f>+IF(ISERROR(N104/G104),"",(N104/G104))</f>
        <v>2162.1884999999997</v>
      </c>
      <c r="M104" s="65">
        <f>+IF(ISERROR(N104/F104),"",(N104/F104))</f>
        <v>6177.6814285714281</v>
      </c>
      <c r="N104" s="68">
        <v>43243.77</v>
      </c>
      <c r="O104" s="72"/>
      <c r="P104" s="65">
        <f>+IF(ISERROR(N104/(1-O104)),"",(N104/(1-O104)))</f>
        <v>43243.77</v>
      </c>
      <c r="Q104" s="72"/>
      <c r="R104" s="65">
        <f>+IF(ISERROR(P104/(1-Q104)),"",(P104/(1-Q104)))</f>
        <v>43243.77</v>
      </c>
      <c r="S104" s="65">
        <f>+IF(ISERROR(R104/G104),"",(R104/G104))</f>
        <v>2162.1884999999997</v>
      </c>
      <c r="T104" s="14"/>
      <c r="U104" s="71"/>
      <c r="V104" s="67">
        <v>43243.77</v>
      </c>
      <c r="W104" s="72">
        <f>+IF(ISERROR(N104/V104-1),"",(N104/V104-1))</f>
        <v>0</v>
      </c>
      <c r="X104" s="65">
        <f>+IF(ISERROR(V104*(1-O104)),"",(V104*(1-O104)))</f>
        <v>43243.77</v>
      </c>
      <c r="Y104" s="73">
        <v>0</v>
      </c>
      <c r="Z104" s="74">
        <f>+N104*(1-Y104)</f>
        <v>43243.77</v>
      </c>
      <c r="AA104" s="75"/>
      <c r="AC104" s="3"/>
      <c r="AD104" s="55">
        <f>-IFERROR(N104*AD$9,)</f>
        <v>-864.8753999999999</v>
      </c>
      <c r="AE104" s="55">
        <f>$AE$9*F104</f>
        <v>-6.5100000000000007</v>
      </c>
      <c r="AF104" s="55"/>
      <c r="AG104" s="55">
        <f>+Z104+AD104+AE104</f>
        <v>42372.384599999998</v>
      </c>
      <c r="AH104" s="55">
        <v>-22289.4</v>
      </c>
      <c r="AI104" s="55">
        <v>-2076.199091126321</v>
      </c>
      <c r="AJ104" s="55">
        <f>AG104+AH104+AI104</f>
        <v>18006.785508873676</v>
      </c>
      <c r="AK104" s="76">
        <f>AJ104/$AG104</f>
        <v>0.42496512006250592</v>
      </c>
      <c r="AL104" s="55"/>
      <c r="AM104" s="55">
        <v>-605.9884320252828</v>
      </c>
      <c r="AN104" s="55">
        <v>-513.48069940573657</v>
      </c>
      <c r="AO104" s="55">
        <f>+AJ104+AM104+AN104</f>
        <v>16887.316377442658</v>
      </c>
      <c r="AP104" s="76">
        <f>AO104/$AG104</f>
        <v>0.39854533883001381</v>
      </c>
      <c r="AQ104" s="76"/>
      <c r="AR104" s="77">
        <f t="shared" si="82"/>
        <v>43243.77</v>
      </c>
      <c r="AS104" s="78">
        <v>0</v>
      </c>
      <c r="AT104" s="3"/>
      <c r="AU104" s="3"/>
      <c r="AV104" s="79"/>
    </row>
    <row r="105" spans="1:48" x14ac:dyDescent="0.2">
      <c r="A105" s="83" t="s">
        <v>149</v>
      </c>
      <c r="B105" s="61" t="s">
        <v>150</v>
      </c>
      <c r="C105" s="82">
        <v>100516215</v>
      </c>
      <c r="D105" s="83" t="s">
        <v>154</v>
      </c>
      <c r="E105" s="64">
        <v>7790360967800</v>
      </c>
      <c r="F105" s="65">
        <v>7</v>
      </c>
      <c r="G105" s="66">
        <v>20</v>
      </c>
      <c r="I105" s="65">
        <f>IFERROR(L105*1.35*1.21,)</f>
        <v>3531.9349147499997</v>
      </c>
      <c r="J105" s="65">
        <f t="shared" si="85"/>
        <v>3178.7414232749998</v>
      </c>
      <c r="K105" s="117">
        <f t="shared" si="38"/>
        <v>0.25925925925925936</v>
      </c>
      <c r="L105" s="65">
        <f>+IF(ISERROR(N105/G105),"",(N105/G105))</f>
        <v>2162.1884999999997</v>
      </c>
      <c r="M105" s="65">
        <f>+IF(ISERROR(N105/F105),"",(N105/F105))</f>
        <v>6177.6814285714281</v>
      </c>
      <c r="N105" s="68">
        <v>43243.77</v>
      </c>
      <c r="O105" s="72"/>
      <c r="P105" s="65">
        <f>+IF(ISERROR(N105/(1-O105)),"",(N105/(1-O105)))</f>
        <v>43243.77</v>
      </c>
      <c r="Q105" s="72"/>
      <c r="R105" s="65">
        <f>+IF(ISERROR(P105/(1-Q105)),"",(P105/(1-Q105)))</f>
        <v>43243.77</v>
      </c>
      <c r="S105" s="65">
        <f>+IF(ISERROR(R105/G105),"",(R105/G105))</f>
        <v>2162.1884999999997</v>
      </c>
      <c r="T105" s="14"/>
      <c r="U105" s="71"/>
      <c r="V105" s="67">
        <v>43243.77</v>
      </c>
      <c r="W105" s="72">
        <f>+IF(ISERROR(N105/V105-1),"",(N105/V105-1))</f>
        <v>0</v>
      </c>
      <c r="X105" s="65">
        <f>+IF(ISERROR(V105*(1-O105)),"",(V105*(1-O105)))</f>
        <v>43243.77</v>
      </c>
      <c r="Y105" s="73">
        <v>0</v>
      </c>
      <c r="Z105" s="74">
        <f>+N105*(1-Y105)</f>
        <v>43243.77</v>
      </c>
      <c r="AA105" s="75"/>
      <c r="AC105" s="3"/>
      <c r="AD105" s="55">
        <f>-IFERROR(N105*AD$9,)</f>
        <v>-864.8753999999999</v>
      </c>
      <c r="AE105" s="55">
        <f>$AE$9*F105</f>
        <v>-6.5100000000000007</v>
      </c>
      <c r="AF105" s="55"/>
      <c r="AG105" s="55">
        <f>+Z105+AD105+AE105</f>
        <v>42372.384599999998</v>
      </c>
      <c r="AH105" s="55">
        <v>-22289.4</v>
      </c>
      <c r="AI105" s="55">
        <v>-1937.7839293502261</v>
      </c>
      <c r="AJ105" s="55">
        <f>AG105+AH105+AI105</f>
        <v>18145.20067064977</v>
      </c>
      <c r="AK105" s="76">
        <f>AJ105/$AG105</f>
        <v>0.42823175617663423</v>
      </c>
      <c r="AL105" s="55"/>
      <c r="AM105" s="55">
        <v>-605.9884320252828</v>
      </c>
      <c r="AN105" s="55">
        <v>-513.48069940573657</v>
      </c>
      <c r="AO105" s="55">
        <f>+AJ105+AM105+AN105</f>
        <v>17025.731539218752</v>
      </c>
      <c r="AP105" s="76">
        <f>AO105/$AG105</f>
        <v>0.40181197494414211</v>
      </c>
      <c r="AQ105" s="76"/>
      <c r="AR105" s="77">
        <f t="shared" si="82"/>
        <v>43243.77</v>
      </c>
      <c r="AS105" s="78">
        <v>0</v>
      </c>
      <c r="AT105" s="3"/>
      <c r="AU105" s="3"/>
      <c r="AV105" s="79"/>
    </row>
    <row r="106" spans="1:48" x14ac:dyDescent="0.2">
      <c r="A106" s="83" t="s">
        <v>149</v>
      </c>
      <c r="B106" s="61" t="s">
        <v>150</v>
      </c>
      <c r="C106" s="82">
        <v>100516216</v>
      </c>
      <c r="D106" s="83" t="s">
        <v>155</v>
      </c>
      <c r="E106" s="64">
        <v>7790360967817</v>
      </c>
      <c r="F106" s="65">
        <v>7</v>
      </c>
      <c r="G106" s="66">
        <v>20</v>
      </c>
      <c r="I106" s="65">
        <f>IFERROR(L106*1.35*1.21,)</f>
        <v>3531.9346860599999</v>
      </c>
      <c r="J106" s="65">
        <f t="shared" si="85"/>
        <v>3178.741217454</v>
      </c>
      <c r="K106" s="117">
        <f t="shared" si="38"/>
        <v>0.25925925925925924</v>
      </c>
      <c r="L106" s="65">
        <f>+IF(ISERROR(N106/G106),"",(N106/G106))</f>
        <v>2162.1883600000001</v>
      </c>
      <c r="M106" s="65">
        <f>+IF(ISERROR(N106/F106),"",(N106/F106))</f>
        <v>6177.6810285714291</v>
      </c>
      <c r="N106" s="68">
        <v>43243.767200000002</v>
      </c>
      <c r="O106" s="72"/>
      <c r="P106" s="65">
        <f>+IF(ISERROR(N106/(1-O106)),"",(N106/(1-O106)))</f>
        <v>43243.767200000002</v>
      </c>
      <c r="Q106" s="72"/>
      <c r="R106" s="65">
        <f>+IF(ISERROR(P106/(1-Q106)),"",(P106/(1-Q106)))</f>
        <v>43243.767200000002</v>
      </c>
      <c r="S106" s="65">
        <f>+IF(ISERROR(R106/G106),"",(R106/G106))</f>
        <v>2162.1883600000001</v>
      </c>
      <c r="T106" s="14"/>
      <c r="U106" s="71"/>
      <c r="V106" s="67">
        <v>43243.77</v>
      </c>
      <c r="W106" s="72">
        <f>+IF(ISERROR(N106/V106-1),"",(N106/V106-1))</f>
        <v>-6.4749211103887205E-8</v>
      </c>
      <c r="X106" s="65">
        <f>+IF(ISERROR(V106*(1-O106)),"",(V106*(1-O106)))</f>
        <v>43243.77</v>
      </c>
      <c r="Y106" s="73">
        <v>0</v>
      </c>
      <c r="Z106" s="74">
        <f>+N106*(1-Y106)</f>
        <v>43243.767200000002</v>
      </c>
      <c r="AA106" s="75"/>
      <c r="AC106" s="3"/>
      <c r="AD106" s="55">
        <f>-IFERROR(N106*AD$9,)</f>
        <v>-864.87534400000004</v>
      </c>
      <c r="AE106" s="55">
        <f>$AE$9*F106</f>
        <v>-6.5100000000000007</v>
      </c>
      <c r="AF106" s="55"/>
      <c r="AG106" s="55">
        <f>+Z106+AD106+AE106</f>
        <v>42372.381856</v>
      </c>
      <c r="AH106" s="55">
        <v>-22289.4</v>
      </c>
      <c r="AI106" s="55">
        <v>-1994.6678586521041</v>
      </c>
      <c r="AJ106" s="55">
        <f>AG106+AH106+AI106</f>
        <v>18088.313997347894</v>
      </c>
      <c r="AK106" s="76">
        <f>AJ106/$AG106</f>
        <v>0.42688924259249678</v>
      </c>
      <c r="AL106" s="55"/>
      <c r="AM106" s="55">
        <v>-605.9884320252828</v>
      </c>
      <c r="AN106" s="55">
        <v>-513.48069940573669</v>
      </c>
      <c r="AO106" s="55">
        <f>+AJ106+AM106+AN106</f>
        <v>16968.844865916875</v>
      </c>
      <c r="AP106" s="76">
        <f>AO106/$AG106</f>
        <v>0.40046945964908176</v>
      </c>
      <c r="AQ106" s="76"/>
      <c r="AR106" s="77">
        <f t="shared" si="82"/>
        <v>43243.767200000002</v>
      </c>
      <c r="AS106" s="78">
        <v>0</v>
      </c>
      <c r="AT106" s="3"/>
      <c r="AU106" s="3"/>
      <c r="AV106" s="79"/>
    </row>
    <row r="107" spans="1:48" x14ac:dyDescent="0.2">
      <c r="A107" s="45"/>
      <c r="B107" s="46"/>
      <c r="C107" s="47"/>
      <c r="D107" s="48"/>
      <c r="E107" s="47"/>
      <c r="F107" s="48"/>
      <c r="G107" s="109"/>
      <c r="I107" s="50"/>
      <c r="J107" s="51"/>
      <c r="K107" s="114">
        <f t="shared" si="38"/>
        <v>0</v>
      </c>
      <c r="L107" s="50"/>
      <c r="M107" s="48"/>
      <c r="N107" s="48"/>
      <c r="O107" s="52"/>
      <c r="P107" s="48"/>
      <c r="Q107" s="52"/>
      <c r="R107" s="48"/>
      <c r="S107" s="49"/>
      <c r="T107" s="14"/>
      <c r="U107"/>
      <c r="V107" s="48"/>
      <c r="W107" s="54"/>
      <c r="X107" s="49"/>
      <c r="Y107" s="73"/>
      <c r="AA107" s="75"/>
      <c r="AC107" s="3"/>
      <c r="AD107" s="55"/>
      <c r="AE107" s="55"/>
      <c r="AF107" s="55"/>
      <c r="AG107" s="55"/>
      <c r="AH107" s="55">
        <v>0</v>
      </c>
      <c r="AI107" s="55">
        <v>0</v>
      </c>
      <c r="AJ107" s="55"/>
      <c r="AK107" s="76"/>
      <c r="AL107" s="55"/>
      <c r="AM107" s="55">
        <v>0</v>
      </c>
      <c r="AN107" s="55">
        <v>0</v>
      </c>
      <c r="AO107" s="55"/>
      <c r="AP107" s="76"/>
      <c r="AQ107" s="76"/>
      <c r="AR107" s="110" t="str">
        <f t="shared" si="82"/>
        <v/>
      </c>
      <c r="AS107" s="111" t="s">
        <v>162</v>
      </c>
      <c r="AT107" s="3"/>
    </row>
    <row r="108" spans="1:48" x14ac:dyDescent="0.2">
      <c r="A108" s="83" t="s">
        <v>156</v>
      </c>
      <c r="B108" s="61" t="s">
        <v>157</v>
      </c>
      <c r="C108" s="82">
        <v>100021704</v>
      </c>
      <c r="D108" s="83" t="s">
        <v>158</v>
      </c>
      <c r="E108" s="64">
        <v>7790360023902</v>
      </c>
      <c r="F108" s="65">
        <f>12*0.38</f>
        <v>4.5600000000000005</v>
      </c>
      <c r="G108" s="66">
        <v>12</v>
      </c>
      <c r="I108" s="65">
        <f t="shared" ref="I108:I120" si="86">IFERROR(L108*1.35*1.21,)</f>
        <v>6322.8388162499996</v>
      </c>
      <c r="J108" s="65">
        <f t="shared" si="85"/>
        <v>5690.554934625</v>
      </c>
      <c r="K108" s="117">
        <f t="shared" si="38"/>
        <v>0.25925925925925924</v>
      </c>
      <c r="L108" s="65">
        <f t="shared" ref="L108:L120" si="87">+IF(ISERROR(N108/G108),"",(N108/G108))</f>
        <v>3870.7308333333331</v>
      </c>
      <c r="M108" s="65">
        <f t="shared" ref="M108:M120" si="88">+IF(ISERROR(N108/F108),"",(N108/F108))</f>
        <v>10186.133771929823</v>
      </c>
      <c r="N108" s="68">
        <v>46448.77</v>
      </c>
      <c r="O108" s="72"/>
      <c r="P108" s="65">
        <f t="shared" ref="P108:P120" si="89">+IF(ISERROR(N108/(1-O108)),"",(N108/(1-O108)))</f>
        <v>46448.77</v>
      </c>
      <c r="Q108" s="72"/>
      <c r="R108" s="65">
        <f t="shared" ref="R108:R120" si="90">+IF(ISERROR(P108/(1-Q108)),"",(P108/(1-Q108)))</f>
        <v>46448.77</v>
      </c>
      <c r="S108" s="65">
        <f t="shared" ref="S108:S120" si="91">+IF(ISERROR(R108/G108),"",(R108/G108))</f>
        <v>3870.7308333333331</v>
      </c>
      <c r="T108" s="14"/>
      <c r="U108"/>
      <c r="V108" s="67">
        <v>46448.77</v>
      </c>
      <c r="W108" s="72">
        <f t="shared" ref="W108:W120" si="92">+IF(ISERROR(N108/V108-1),"",(N108/V108-1))</f>
        <v>0</v>
      </c>
      <c r="X108" s="65">
        <f t="shared" ref="X108:X120" si="93">+IF(ISERROR(V108*(1-O108)),"",(V108*(1-O108)))</f>
        <v>46448.77</v>
      </c>
      <c r="Y108" s="73">
        <v>0</v>
      </c>
      <c r="Z108" s="74">
        <f t="shared" ref="Z108:Z120" si="94">+N108*(1-Y108)</f>
        <v>46448.77</v>
      </c>
      <c r="AA108" s="75"/>
      <c r="AC108" s="3"/>
      <c r="AD108" s="55">
        <f t="shared" ref="AD108:AD120" si="95">-IFERROR(N108*AD$9,)</f>
        <v>-928.97539999999992</v>
      </c>
      <c r="AE108" s="55">
        <f t="shared" ref="AE108:AE120" si="96">$AE$9*F108</f>
        <v>-4.240800000000001</v>
      </c>
      <c r="AF108" s="55"/>
      <c r="AG108" s="55">
        <f t="shared" ref="AG108:AG120" si="97">+Z108+AD108+AE108</f>
        <v>45515.553799999994</v>
      </c>
      <c r="AH108" s="55">
        <v>-12226.040851672837</v>
      </c>
      <c r="AI108" s="55">
        <v>-1907.0478483789927</v>
      </c>
      <c r="AJ108" s="55">
        <f t="shared" ref="AJ108:AJ120" si="98">AG108+AH108+AI108</f>
        <v>31382.465099948167</v>
      </c>
      <c r="AK108" s="76">
        <f t="shared" ref="AK108:AK120" si="99">AJ108/$AG108</f>
        <v>0.68948881162351516</v>
      </c>
      <c r="AL108" s="55"/>
      <c r="AM108" s="55">
        <v>-1215.9966986301238</v>
      </c>
      <c r="AN108" s="55">
        <v>-689.70706065968432</v>
      </c>
      <c r="AO108" s="55">
        <f t="shared" ref="AO108:AO120" si="100">+AJ108+AM108+AN108</f>
        <v>29476.761340658362</v>
      </c>
      <c r="AP108" s="76">
        <f t="shared" ref="AP108:AP120" si="101">AO108/$AG108</f>
        <v>0.64761952518873589</v>
      </c>
      <c r="AQ108" s="76"/>
      <c r="AR108" s="77">
        <f t="shared" si="82"/>
        <v>46448.77</v>
      </c>
      <c r="AS108" s="78">
        <v>0</v>
      </c>
      <c r="AT108" s="3"/>
      <c r="AU108" s="3"/>
      <c r="AV108" s="79"/>
    </row>
    <row r="109" spans="1:48" x14ac:dyDescent="0.2">
      <c r="A109" s="83" t="s">
        <v>156</v>
      </c>
      <c r="B109" s="61" t="s">
        <v>159</v>
      </c>
      <c r="C109" s="82">
        <v>100021705</v>
      </c>
      <c r="D109" s="83" t="s">
        <v>160</v>
      </c>
      <c r="E109" s="64">
        <v>7790360024336</v>
      </c>
      <c r="F109" s="65">
        <f>12*0.38</f>
        <v>4.5600000000000005</v>
      </c>
      <c r="G109" s="66">
        <v>12</v>
      </c>
      <c r="I109" s="65">
        <f t="shared" si="86"/>
        <v>5747.6085974999996</v>
      </c>
      <c r="J109" s="65">
        <f t="shared" si="85"/>
        <v>5172.8477377499994</v>
      </c>
      <c r="K109" s="117">
        <f t="shared" si="38"/>
        <v>0.25925925925925936</v>
      </c>
      <c r="L109" s="65">
        <f t="shared" si="87"/>
        <v>3518.5849999999996</v>
      </c>
      <c r="M109" s="65">
        <f t="shared" si="88"/>
        <v>9259.4342105263149</v>
      </c>
      <c r="N109" s="68">
        <v>42223.02</v>
      </c>
      <c r="O109" s="72"/>
      <c r="P109" s="65">
        <f t="shared" si="89"/>
        <v>42223.02</v>
      </c>
      <c r="Q109" s="72"/>
      <c r="R109" s="65">
        <f t="shared" si="90"/>
        <v>42223.02</v>
      </c>
      <c r="S109" s="65">
        <f t="shared" si="91"/>
        <v>3518.5849999999996</v>
      </c>
      <c r="T109" s="14"/>
      <c r="U109"/>
      <c r="V109" s="67">
        <v>42223.02</v>
      </c>
      <c r="W109" s="72">
        <f t="shared" si="92"/>
        <v>0</v>
      </c>
      <c r="X109" s="65">
        <f t="shared" si="93"/>
        <v>42223.02</v>
      </c>
      <c r="Y109" s="73">
        <v>0</v>
      </c>
      <c r="Z109" s="74">
        <f t="shared" si="94"/>
        <v>42223.02</v>
      </c>
      <c r="AA109" s="75"/>
      <c r="AC109" s="3"/>
      <c r="AD109" s="55">
        <f t="shared" si="95"/>
        <v>-844.46039999999994</v>
      </c>
      <c r="AE109" s="55">
        <f t="shared" si="96"/>
        <v>-4.240800000000001</v>
      </c>
      <c r="AF109" s="55"/>
      <c r="AG109" s="55">
        <f t="shared" si="97"/>
        <v>41374.318799999994</v>
      </c>
      <c r="AH109" s="55">
        <v>-10824.728618507554</v>
      </c>
      <c r="AI109" s="55">
        <v>-1671.4615570597434</v>
      </c>
      <c r="AJ109" s="55">
        <f t="shared" si="98"/>
        <v>28878.128624432698</v>
      </c>
      <c r="AK109" s="76">
        <f t="shared" si="99"/>
        <v>0.69797230412486455</v>
      </c>
      <c r="AL109" s="55"/>
      <c r="AM109" s="55">
        <v>-2188.7940575342227</v>
      </c>
      <c r="AN109" s="55">
        <v>-689.70706065968432</v>
      </c>
      <c r="AO109" s="55">
        <f t="shared" si="100"/>
        <v>25999.627506238794</v>
      </c>
      <c r="AP109" s="76">
        <f t="shared" si="101"/>
        <v>0.62840013468061739</v>
      </c>
      <c r="AQ109" s="76"/>
      <c r="AR109" s="77">
        <f t="shared" si="82"/>
        <v>42223.02</v>
      </c>
      <c r="AS109" s="78">
        <v>0</v>
      </c>
      <c r="AT109" s="3"/>
      <c r="AU109" s="3"/>
      <c r="AV109" s="79"/>
    </row>
    <row r="110" spans="1:48" x14ac:dyDescent="0.2">
      <c r="A110" s="83" t="s">
        <v>156</v>
      </c>
      <c r="B110" s="61" t="s">
        <v>157</v>
      </c>
      <c r="C110" s="82">
        <v>100021707</v>
      </c>
      <c r="D110" s="83" t="s">
        <v>161</v>
      </c>
      <c r="E110" s="64">
        <v>7790360024695</v>
      </c>
      <c r="F110" s="65">
        <v>7.6</v>
      </c>
      <c r="G110" s="66">
        <v>10</v>
      </c>
      <c r="I110" s="65">
        <f t="shared" si="86"/>
        <v>0</v>
      </c>
      <c r="J110" s="65">
        <f t="shared" si="85"/>
        <v>0</v>
      </c>
      <c r="K110" s="117">
        <f t="shared" si="38"/>
        <v>0</v>
      </c>
      <c r="L110" s="65" t="str">
        <f t="shared" si="87"/>
        <v/>
      </c>
      <c r="M110" s="65" t="str">
        <f t="shared" si="88"/>
        <v/>
      </c>
      <c r="N110" s="68" t="s">
        <v>162</v>
      </c>
      <c r="O110" s="72"/>
      <c r="P110" s="65" t="str">
        <f t="shared" si="89"/>
        <v/>
      </c>
      <c r="Q110" s="72"/>
      <c r="R110" s="65" t="str">
        <f t="shared" si="90"/>
        <v/>
      </c>
      <c r="S110" s="65" t="str">
        <f t="shared" si="91"/>
        <v/>
      </c>
      <c r="T110" s="14"/>
      <c r="U110"/>
      <c r="V110" s="67" t="s">
        <v>162</v>
      </c>
      <c r="W110" s="72" t="str">
        <f t="shared" si="92"/>
        <v/>
      </c>
      <c r="X110" s="65" t="str">
        <f t="shared" si="93"/>
        <v/>
      </c>
      <c r="Y110" s="73">
        <v>0</v>
      </c>
      <c r="Z110" s="74" t="e">
        <f t="shared" si="94"/>
        <v>#VALUE!</v>
      </c>
      <c r="AA110" s="75"/>
      <c r="AC110" s="3"/>
      <c r="AD110" s="55">
        <f t="shared" si="95"/>
        <v>0</v>
      </c>
      <c r="AE110" s="55">
        <f t="shared" si="96"/>
        <v>-7.0679999999999996</v>
      </c>
      <c r="AF110" s="55"/>
      <c r="AG110" s="55" t="e">
        <f t="shared" si="97"/>
        <v>#VALUE!</v>
      </c>
      <c r="AH110" s="55">
        <v>-19397.785327674461</v>
      </c>
      <c r="AI110" s="55">
        <v>0</v>
      </c>
      <c r="AJ110" s="55" t="e">
        <f t="shared" si="98"/>
        <v>#VALUE!</v>
      </c>
      <c r="AK110" s="76" t="e">
        <f t="shared" si="99"/>
        <v>#VALUE!</v>
      </c>
      <c r="AL110" s="55"/>
      <c r="AM110" s="55">
        <v>-2740.4644831999999</v>
      </c>
      <c r="AN110" s="55">
        <v>0</v>
      </c>
      <c r="AO110" s="55" t="e">
        <f t="shared" si="100"/>
        <v>#VALUE!</v>
      </c>
      <c r="AP110" s="76" t="e">
        <f t="shared" si="101"/>
        <v>#VALUE!</v>
      </c>
      <c r="AQ110" s="76"/>
      <c r="AR110" s="77" t="str">
        <f t="shared" si="82"/>
        <v/>
      </c>
      <c r="AS110" s="78">
        <v>0</v>
      </c>
      <c r="AT110" s="3"/>
      <c r="AU110" s="3"/>
      <c r="AV110" s="79"/>
    </row>
    <row r="111" spans="1:48" x14ac:dyDescent="0.2">
      <c r="A111" s="83" t="s">
        <v>156</v>
      </c>
      <c r="B111" s="61" t="s">
        <v>159</v>
      </c>
      <c r="C111" s="82">
        <v>100021709</v>
      </c>
      <c r="D111" s="83" t="s">
        <v>163</v>
      </c>
      <c r="E111" s="64">
        <v>7790360024701</v>
      </c>
      <c r="F111" s="65">
        <v>7.6</v>
      </c>
      <c r="G111" s="66">
        <v>10</v>
      </c>
      <c r="I111" s="65">
        <f t="shared" si="86"/>
        <v>11067.48522</v>
      </c>
      <c r="J111" s="65">
        <f t="shared" si="85"/>
        <v>9960.7366980000006</v>
      </c>
      <c r="K111" s="117">
        <f t="shared" si="38"/>
        <v>0.25925925925925936</v>
      </c>
      <c r="L111" s="65">
        <f t="shared" si="87"/>
        <v>6775.32</v>
      </c>
      <c r="M111" s="65">
        <f t="shared" si="88"/>
        <v>8914.894736842105</v>
      </c>
      <c r="N111" s="68">
        <v>67753.2</v>
      </c>
      <c r="O111" s="72"/>
      <c r="P111" s="65">
        <f t="shared" si="89"/>
        <v>67753.2</v>
      </c>
      <c r="Q111" s="72"/>
      <c r="R111" s="65">
        <f t="shared" si="90"/>
        <v>67753.2</v>
      </c>
      <c r="S111" s="65">
        <f t="shared" si="91"/>
        <v>6775.32</v>
      </c>
      <c r="T111" s="14"/>
      <c r="U111"/>
      <c r="V111" s="67">
        <v>67753.2</v>
      </c>
      <c r="W111" s="72">
        <f t="shared" si="92"/>
        <v>0</v>
      </c>
      <c r="X111" s="65">
        <f t="shared" si="93"/>
        <v>67753.2</v>
      </c>
      <c r="Y111" s="73">
        <v>0</v>
      </c>
      <c r="Z111" s="74">
        <f t="shared" si="94"/>
        <v>67753.2</v>
      </c>
      <c r="AA111" s="75"/>
      <c r="AC111" s="3"/>
      <c r="AD111" s="55">
        <f t="shared" si="95"/>
        <v>-1355.0640000000001</v>
      </c>
      <c r="AE111" s="55">
        <f t="shared" si="96"/>
        <v>-7.0679999999999996</v>
      </c>
      <c r="AF111" s="55"/>
      <c r="AG111" s="55">
        <f t="shared" si="97"/>
        <v>66391.067999999999</v>
      </c>
      <c r="AH111" s="55">
        <v>-17318.405783047474</v>
      </c>
      <c r="AI111" s="55">
        <v>-3133.4443765492188</v>
      </c>
      <c r="AJ111" s="55">
        <f t="shared" si="98"/>
        <v>45939.217840403304</v>
      </c>
      <c r="AK111" s="76">
        <f t="shared" si="99"/>
        <v>0.69194876998218047</v>
      </c>
      <c r="AL111" s="55"/>
      <c r="AM111" s="55">
        <v>-1965.8613294520333</v>
      </c>
      <c r="AN111" s="55">
        <v>-1149.5117677661403</v>
      </c>
      <c r="AO111" s="55">
        <f t="shared" si="100"/>
        <v>42823.844743185131</v>
      </c>
      <c r="AP111" s="76">
        <f t="shared" si="101"/>
        <v>0.64502418824148355</v>
      </c>
      <c r="AQ111" s="76"/>
      <c r="AR111" s="77">
        <f t="shared" si="82"/>
        <v>67753.2</v>
      </c>
      <c r="AS111" s="78">
        <v>0</v>
      </c>
      <c r="AT111" s="3"/>
      <c r="AU111" s="3"/>
      <c r="AV111" s="79"/>
    </row>
    <row r="112" spans="1:48" x14ac:dyDescent="0.2">
      <c r="A112" s="83" t="s">
        <v>156</v>
      </c>
      <c r="B112" s="61" t="s">
        <v>159</v>
      </c>
      <c r="C112" s="82">
        <v>100521357</v>
      </c>
      <c r="D112" s="83" t="s">
        <v>164</v>
      </c>
      <c r="E112" s="64">
        <v>7790360982018</v>
      </c>
      <c r="F112" s="65">
        <v>4.5599999999999996</v>
      </c>
      <c r="G112" s="66">
        <v>12</v>
      </c>
      <c r="I112" s="65">
        <f>IFERROR(L112*1.35*1.21,)</f>
        <v>6458.5037137500003</v>
      </c>
      <c r="J112" s="65">
        <f t="shared" si="85"/>
        <v>5812.6533423750006</v>
      </c>
      <c r="K112" s="117">
        <f>IFERROR(((I112/1.21)-L112)/(I112/1.21),)</f>
        <v>0.25925925925925936</v>
      </c>
      <c r="L112" s="65">
        <f>+IF(ISERROR(N112/G112),"",(N112/G112))</f>
        <v>3953.7824999999998</v>
      </c>
      <c r="M112" s="65">
        <f>+IF(ISERROR(N112/F112),"",(N112/F112))</f>
        <v>10404.690789473685</v>
      </c>
      <c r="N112" s="68">
        <v>47445.39</v>
      </c>
      <c r="O112" s="72"/>
      <c r="P112" s="65">
        <f>+IF(ISERROR(N112/(1-O112)),"",(N112/(1-O112)))</f>
        <v>47445.39</v>
      </c>
      <c r="Q112" s="72"/>
      <c r="R112" s="65">
        <f>+IF(ISERROR(P112/(1-Q112)),"",(P112/(1-Q112)))</f>
        <v>47445.39</v>
      </c>
      <c r="S112" s="65">
        <f>+IF(ISERROR(R112/G112),"",(R112/G112))</f>
        <v>3953.7824999999998</v>
      </c>
      <c r="T112" s="14"/>
      <c r="U112"/>
      <c r="V112" s="67">
        <v>47445.39</v>
      </c>
      <c r="W112" s="72">
        <f>+IF(ISERROR(N112/V112-1),"",(N112/V112-1))</f>
        <v>0</v>
      </c>
      <c r="X112" s="65">
        <f>+IF(ISERROR(V112*(1-O112)),"",(V112*(1-O112)))</f>
        <v>47445.39</v>
      </c>
      <c r="Y112" s="73"/>
      <c r="Z112" s="74"/>
      <c r="AA112" s="75"/>
      <c r="AC112" s="3"/>
      <c r="AD112" s="55"/>
      <c r="AE112" s="55"/>
      <c r="AF112" s="55"/>
      <c r="AG112" s="55"/>
      <c r="AH112" s="55"/>
      <c r="AI112" s="55"/>
      <c r="AJ112" s="55"/>
      <c r="AK112" s="76"/>
      <c r="AL112" s="55"/>
      <c r="AM112" s="55"/>
      <c r="AN112" s="55"/>
      <c r="AO112" s="55"/>
      <c r="AP112" s="76"/>
      <c r="AQ112" s="76"/>
      <c r="AR112" s="77">
        <f t="shared" si="82"/>
        <v>47445.39</v>
      </c>
      <c r="AS112" s="78">
        <v>0</v>
      </c>
      <c r="AT112" s="3"/>
      <c r="AU112" s="3"/>
      <c r="AV112" s="79"/>
    </row>
    <row r="113" spans="1:48" x14ac:dyDescent="0.2">
      <c r="A113" s="83" t="s">
        <v>156</v>
      </c>
      <c r="B113" s="61" t="s">
        <v>159</v>
      </c>
      <c r="C113" s="82">
        <v>100521358</v>
      </c>
      <c r="D113" s="83" t="s">
        <v>165</v>
      </c>
      <c r="E113" s="64">
        <v>7790360982025</v>
      </c>
      <c r="F113" s="65">
        <v>7.6</v>
      </c>
      <c r="G113" s="66">
        <v>10</v>
      </c>
      <c r="I113" s="65">
        <f>IFERROR(L113*1.35*1.21,)</f>
        <v>11625.305867999999</v>
      </c>
      <c r="J113" s="65">
        <f t="shared" si="85"/>
        <v>10462.7752812</v>
      </c>
      <c r="K113" s="117">
        <f>IFERROR(((I113/1.21)-L113)/(I113/1.21),)</f>
        <v>0.2592592592592593</v>
      </c>
      <c r="L113" s="65">
        <f>+IF(ISERROR(N113/G113),"",(N113/G113))</f>
        <v>7116.808</v>
      </c>
      <c r="M113" s="65">
        <f>+IF(ISERROR(N113/F113),"",(N113/F113))</f>
        <v>9364.2210526315794</v>
      </c>
      <c r="N113" s="68">
        <v>71168.08</v>
      </c>
      <c r="O113" s="72"/>
      <c r="P113" s="65">
        <f>+IF(ISERROR(N113/(1-O113)),"",(N113/(1-O113)))</f>
        <v>71168.08</v>
      </c>
      <c r="Q113" s="72"/>
      <c r="R113" s="65">
        <f>+IF(ISERROR(P113/(1-Q113)),"",(P113/(1-Q113)))</f>
        <v>71168.08</v>
      </c>
      <c r="S113" s="65">
        <f>+IF(ISERROR(R113/G113),"",(R113/G113))</f>
        <v>7116.808</v>
      </c>
      <c r="T113" s="14"/>
      <c r="U113"/>
      <c r="V113" s="67">
        <v>71168.08</v>
      </c>
      <c r="W113" s="72">
        <f>+IF(ISERROR(N113/V113-1),"",(N113/V113-1))</f>
        <v>0</v>
      </c>
      <c r="X113" s="65">
        <f>+IF(ISERROR(V113*(1-O113)),"",(V113*(1-O113)))</f>
        <v>71168.08</v>
      </c>
      <c r="Y113" s="73"/>
      <c r="Z113" s="74"/>
      <c r="AA113" s="75"/>
      <c r="AC113" s="3"/>
      <c r="AD113" s="55"/>
      <c r="AE113" s="55"/>
      <c r="AF113" s="55"/>
      <c r="AG113" s="55"/>
      <c r="AH113" s="55"/>
      <c r="AI113" s="55"/>
      <c r="AJ113" s="55"/>
      <c r="AK113" s="76"/>
      <c r="AL113" s="55"/>
      <c r="AM113" s="55"/>
      <c r="AN113" s="55"/>
      <c r="AO113" s="55"/>
      <c r="AP113" s="76"/>
      <c r="AQ113" s="76"/>
      <c r="AR113" s="77">
        <f t="shared" si="82"/>
        <v>71168.08</v>
      </c>
      <c r="AS113" s="78">
        <v>0</v>
      </c>
      <c r="AT113" s="3"/>
      <c r="AU113" s="3"/>
      <c r="AV113" s="79"/>
    </row>
    <row r="114" spans="1:48" x14ac:dyDescent="0.2">
      <c r="A114" s="83" t="s">
        <v>156</v>
      </c>
      <c r="B114" s="61" t="s">
        <v>159</v>
      </c>
      <c r="C114" s="82">
        <v>100522130</v>
      </c>
      <c r="D114" s="83" t="s">
        <v>166</v>
      </c>
      <c r="E114" s="64">
        <v>7790360982445</v>
      </c>
      <c r="F114" s="65">
        <v>4.8</v>
      </c>
      <c r="G114" s="66">
        <v>12</v>
      </c>
      <c r="I114" s="65">
        <f>IFERROR(L114*1.35*1.21,)</f>
        <v>5070.8491391250009</v>
      </c>
      <c r="J114" s="65">
        <f t="shared" si="85"/>
        <v>4563.7642252125006</v>
      </c>
      <c r="K114" s="117">
        <f>IFERROR(((I114/1.21)-L114)/(I114/1.21),)</f>
        <v>0.25925925925925941</v>
      </c>
      <c r="L114" s="65">
        <f>+IF(ISERROR(N114/G114),"",(N114/G114))</f>
        <v>3104.2847500000003</v>
      </c>
      <c r="M114" s="65">
        <f>+IF(ISERROR(N114/F114),"",(N114/F114))</f>
        <v>7760.7118750000009</v>
      </c>
      <c r="N114" s="68">
        <v>37251.417000000001</v>
      </c>
      <c r="O114" s="72"/>
      <c r="P114" s="65">
        <f>+IF(ISERROR(N114/(1-O114)),"",(N114/(1-O114)))</f>
        <v>37251.417000000001</v>
      </c>
      <c r="Q114" s="72"/>
      <c r="R114" s="65">
        <f>+IF(ISERROR(P114/(1-Q114)),"",(P114/(1-Q114)))</f>
        <v>37251.417000000001</v>
      </c>
      <c r="S114" s="65">
        <f>+IF(ISERROR(R114/G114),"",(R114/G114))</f>
        <v>3104.2847500000003</v>
      </c>
      <c r="T114" s="14"/>
      <c r="U114"/>
      <c r="V114" s="67">
        <v>35477.54</v>
      </c>
      <c r="W114" s="72">
        <f>+IF(ISERROR(N114/V114-1),"",(N114/V114-1))</f>
        <v>5.0000000000000044E-2</v>
      </c>
      <c r="X114" s="65">
        <f>+IF(ISERROR(V114*(1-O114)),"",(V114*(1-O114)))</f>
        <v>35477.54</v>
      </c>
      <c r="Y114" s="73"/>
      <c r="Z114" s="74"/>
      <c r="AA114" s="75"/>
      <c r="AC114" s="3"/>
      <c r="AD114" s="55"/>
      <c r="AE114" s="55"/>
      <c r="AF114" s="55"/>
      <c r="AG114" s="55"/>
      <c r="AH114" s="55"/>
      <c r="AI114" s="55"/>
      <c r="AJ114" s="55"/>
      <c r="AK114" s="76"/>
      <c r="AL114" s="55"/>
      <c r="AM114" s="55"/>
      <c r="AN114" s="55"/>
      <c r="AO114" s="55"/>
      <c r="AP114" s="76"/>
      <c r="AQ114" s="76"/>
      <c r="AR114" s="77">
        <f t="shared" si="82"/>
        <v>40976.558700000001</v>
      </c>
      <c r="AS114" s="78">
        <v>0.1</v>
      </c>
      <c r="AT114" s="3"/>
      <c r="AU114" s="3"/>
      <c r="AV114" s="79"/>
    </row>
    <row r="115" spans="1:48" s="122" customFormat="1" x14ac:dyDescent="0.2">
      <c r="A115" s="83" t="s">
        <v>156</v>
      </c>
      <c r="B115" s="61" t="s">
        <v>159</v>
      </c>
      <c r="C115" s="118">
        <v>100021725</v>
      </c>
      <c r="D115" s="61" t="s">
        <v>167</v>
      </c>
      <c r="E115" s="119">
        <v>7790360027009</v>
      </c>
      <c r="F115" s="120">
        <v>6</v>
      </c>
      <c r="G115" s="121">
        <v>4</v>
      </c>
      <c r="I115" s="65">
        <f t="shared" si="86"/>
        <v>14301.472185000001</v>
      </c>
      <c r="J115" s="65">
        <f t="shared" si="85"/>
        <v>12871.3249665</v>
      </c>
      <c r="K115" s="117">
        <f t="shared" si="38"/>
        <v>0.2592592592592593</v>
      </c>
      <c r="L115" s="120">
        <f t="shared" si="87"/>
        <v>8755.11</v>
      </c>
      <c r="M115" s="120">
        <f t="shared" si="88"/>
        <v>5836.7400000000007</v>
      </c>
      <c r="N115" s="68">
        <v>35020.44</v>
      </c>
      <c r="O115" s="72"/>
      <c r="P115" s="65">
        <f t="shared" si="89"/>
        <v>35020.44</v>
      </c>
      <c r="Q115" s="123"/>
      <c r="R115" s="65">
        <f t="shared" si="90"/>
        <v>35020.44</v>
      </c>
      <c r="S115" s="120">
        <f t="shared" si="91"/>
        <v>8755.11</v>
      </c>
      <c r="T115" s="14"/>
      <c r="U115"/>
      <c r="V115" s="67">
        <v>35020.44</v>
      </c>
      <c r="W115" s="123">
        <f t="shared" si="92"/>
        <v>0</v>
      </c>
      <c r="X115" s="120">
        <f t="shared" si="93"/>
        <v>35020.44</v>
      </c>
      <c r="Y115" s="73">
        <v>0</v>
      </c>
      <c r="Z115" s="74">
        <f t="shared" si="94"/>
        <v>35020.44</v>
      </c>
      <c r="AA115" s="75"/>
      <c r="AB115" s="1"/>
      <c r="AC115" s="3"/>
      <c r="AD115" s="55">
        <f t="shared" si="95"/>
        <v>-700.40880000000004</v>
      </c>
      <c r="AE115" s="55">
        <f t="shared" si="96"/>
        <v>-5.58</v>
      </c>
      <c r="AF115" s="55"/>
      <c r="AG115" s="55">
        <f t="shared" si="97"/>
        <v>34314.451200000003</v>
      </c>
      <c r="AH115" s="55">
        <v>-6503.4235799404751</v>
      </c>
      <c r="AI115" s="55">
        <v>-1961.5003064524985</v>
      </c>
      <c r="AJ115" s="55">
        <f t="shared" si="98"/>
        <v>25849.527313607032</v>
      </c>
      <c r="AK115" s="76">
        <f t="shared" si="99"/>
        <v>0.75331314969732144</v>
      </c>
      <c r="AL115" s="55"/>
      <c r="AM115" s="55">
        <v>-1551.9957864094999</v>
      </c>
      <c r="AN115" s="55">
        <v>-907.50929034168962</v>
      </c>
      <c r="AO115" s="55">
        <f t="shared" si="100"/>
        <v>23390.022236855842</v>
      </c>
      <c r="AP115" s="76">
        <f t="shared" si="101"/>
        <v>0.68163766048678176</v>
      </c>
      <c r="AQ115" s="76"/>
      <c r="AR115" s="77">
        <f t="shared" si="82"/>
        <v>35020.44</v>
      </c>
      <c r="AS115" s="78">
        <v>0</v>
      </c>
      <c r="AT115" s="3"/>
      <c r="AU115" s="3"/>
      <c r="AV115" s="79"/>
    </row>
    <row r="116" spans="1:48" x14ac:dyDescent="0.2">
      <c r="A116" s="83" t="s">
        <v>156</v>
      </c>
      <c r="B116" s="61" t="s">
        <v>159</v>
      </c>
      <c r="C116" s="82">
        <v>100517055</v>
      </c>
      <c r="D116" s="83" t="s">
        <v>168</v>
      </c>
      <c r="E116" s="64">
        <v>7790360971135</v>
      </c>
      <c r="F116" s="65">
        <v>3.12</v>
      </c>
      <c r="G116" s="66">
        <v>12</v>
      </c>
      <c r="I116" s="65">
        <f t="shared" si="86"/>
        <v>4760.7595200000005</v>
      </c>
      <c r="J116" s="65">
        <f t="shared" si="85"/>
        <v>4284.6835680000004</v>
      </c>
      <c r="K116" s="117">
        <f t="shared" si="38"/>
        <v>0.25925925925925936</v>
      </c>
      <c r="L116" s="120">
        <f t="shared" si="87"/>
        <v>2914.4533333333334</v>
      </c>
      <c r="M116" s="120">
        <f t="shared" si="88"/>
        <v>11209.435897435898</v>
      </c>
      <c r="N116" s="68">
        <v>34973.440000000002</v>
      </c>
      <c r="O116" s="72"/>
      <c r="P116" s="65">
        <f t="shared" si="89"/>
        <v>34973.440000000002</v>
      </c>
      <c r="Q116" s="123"/>
      <c r="R116" s="65">
        <f t="shared" si="90"/>
        <v>34973.440000000002</v>
      </c>
      <c r="S116" s="120">
        <f t="shared" si="91"/>
        <v>2914.4533333333334</v>
      </c>
      <c r="T116" s="14"/>
      <c r="U116"/>
      <c r="V116" s="67">
        <v>34973.440000000002</v>
      </c>
      <c r="W116" s="123">
        <f t="shared" si="92"/>
        <v>0</v>
      </c>
      <c r="X116" s="120">
        <f t="shared" si="93"/>
        <v>34973.440000000002</v>
      </c>
      <c r="Y116" s="73">
        <v>0</v>
      </c>
      <c r="Z116" s="74">
        <f t="shared" si="94"/>
        <v>34973.440000000002</v>
      </c>
      <c r="AA116" s="75"/>
      <c r="AC116" s="3"/>
      <c r="AD116" s="55">
        <f t="shared" si="95"/>
        <v>-699.4688000000001</v>
      </c>
      <c r="AE116" s="55">
        <f t="shared" si="96"/>
        <v>-2.9016000000000002</v>
      </c>
      <c r="AF116" s="55"/>
      <c r="AG116" s="55">
        <f t="shared" si="97"/>
        <v>34271.069600000003</v>
      </c>
      <c r="AH116" s="55">
        <v>-8012.989381807156</v>
      </c>
      <c r="AI116" s="55">
        <v>-1323.4693946690718</v>
      </c>
      <c r="AJ116" s="55">
        <f t="shared" si="98"/>
        <v>24934.610823523773</v>
      </c>
      <c r="AK116" s="76">
        <f t="shared" si="99"/>
        <v>0.72757025428595823</v>
      </c>
      <c r="AL116" s="55"/>
      <c r="AM116" s="55">
        <v>-1331.196385868767</v>
      </c>
      <c r="AN116" s="55">
        <v>-471.90483097767867</v>
      </c>
      <c r="AO116" s="55">
        <f t="shared" si="100"/>
        <v>23131.509606677329</v>
      </c>
      <c r="AP116" s="76">
        <f t="shared" si="101"/>
        <v>0.67495732921850005</v>
      </c>
      <c r="AQ116" s="76"/>
      <c r="AR116" s="77">
        <f t="shared" si="82"/>
        <v>34973.440000000002</v>
      </c>
      <c r="AS116" s="78">
        <v>0</v>
      </c>
      <c r="AT116" s="3"/>
      <c r="AU116" s="3"/>
      <c r="AV116" s="79"/>
    </row>
    <row r="117" spans="1:48" x14ac:dyDescent="0.2">
      <c r="A117" s="83" t="s">
        <v>156</v>
      </c>
      <c r="B117" s="61" t="s">
        <v>159</v>
      </c>
      <c r="C117" s="82">
        <v>100517186</v>
      </c>
      <c r="D117" s="83" t="s">
        <v>169</v>
      </c>
      <c r="E117" s="64">
        <v>7790360971395</v>
      </c>
      <c r="F117" s="65">
        <v>8</v>
      </c>
      <c r="G117" s="66">
        <v>8</v>
      </c>
      <c r="I117" s="65">
        <f t="shared" si="86"/>
        <v>18044.433247500001</v>
      </c>
      <c r="J117" s="65">
        <f t="shared" si="85"/>
        <v>16239.989922750001</v>
      </c>
      <c r="K117" s="124">
        <f t="shared" ref="K117:K120" si="102">IFERROR(((I117/1.21)-L117)/(I117/1.21),)</f>
        <v>0.2592592592592593</v>
      </c>
      <c r="L117" s="120">
        <f t="shared" si="87"/>
        <v>11046.485000000001</v>
      </c>
      <c r="M117" s="120">
        <f t="shared" si="88"/>
        <v>11046.485000000001</v>
      </c>
      <c r="N117" s="68">
        <v>88371.88</v>
      </c>
      <c r="O117" s="72"/>
      <c r="P117" s="65">
        <f t="shared" si="89"/>
        <v>88371.88</v>
      </c>
      <c r="Q117" s="123"/>
      <c r="R117" s="65">
        <f t="shared" si="90"/>
        <v>88371.88</v>
      </c>
      <c r="S117" s="120">
        <f t="shared" si="91"/>
        <v>11046.485000000001</v>
      </c>
      <c r="T117" s="14"/>
      <c r="U117"/>
      <c r="V117" s="67">
        <v>88371.88</v>
      </c>
      <c r="W117" s="123">
        <f t="shared" si="92"/>
        <v>0</v>
      </c>
      <c r="X117" s="120">
        <f t="shared" si="93"/>
        <v>88371.88</v>
      </c>
      <c r="Y117" s="73">
        <v>0</v>
      </c>
      <c r="Z117" s="74">
        <f t="shared" si="94"/>
        <v>88371.88</v>
      </c>
      <c r="AA117" s="75"/>
      <c r="AC117" s="3"/>
      <c r="AD117" s="55">
        <f t="shared" si="95"/>
        <v>-1767.4376000000002</v>
      </c>
      <c r="AE117" s="55">
        <f t="shared" si="96"/>
        <v>-7.44</v>
      </c>
      <c r="AF117" s="55"/>
      <c r="AG117" s="55">
        <f t="shared" si="97"/>
        <v>86597.002399999998</v>
      </c>
      <c r="AH117" s="55">
        <v>-19375.068734315635</v>
      </c>
      <c r="AI117" s="55">
        <v>-3220.0410384997444</v>
      </c>
      <c r="AJ117" s="55">
        <f t="shared" si="98"/>
        <v>64001.892627184621</v>
      </c>
      <c r="AK117" s="76">
        <f t="shared" si="99"/>
        <v>0.73907746057483192</v>
      </c>
      <c r="AL117" s="55"/>
      <c r="AM117" s="55">
        <v>-3413.3240663301717</v>
      </c>
      <c r="AN117" s="55">
        <v>-1210.0123871222531</v>
      </c>
      <c r="AO117" s="55">
        <f t="shared" si="100"/>
        <v>59378.556173732199</v>
      </c>
      <c r="AP117" s="76">
        <f t="shared" si="101"/>
        <v>0.68568835557906338</v>
      </c>
      <c r="AQ117" s="76"/>
      <c r="AR117" s="77">
        <f t="shared" si="82"/>
        <v>88371.88</v>
      </c>
      <c r="AS117" s="78">
        <v>0</v>
      </c>
      <c r="AT117" s="3"/>
      <c r="AU117" s="3"/>
      <c r="AV117" s="79"/>
    </row>
    <row r="118" spans="1:48" x14ac:dyDescent="0.2">
      <c r="A118" s="83" t="s">
        <v>156</v>
      </c>
      <c r="B118" s="61" t="s">
        <v>159</v>
      </c>
      <c r="C118" s="82">
        <v>100521663</v>
      </c>
      <c r="D118" s="83" t="s">
        <v>170</v>
      </c>
      <c r="E118" s="64">
        <v>7790360982537</v>
      </c>
      <c r="F118" s="65">
        <v>4.8</v>
      </c>
      <c r="G118" s="66">
        <v>12</v>
      </c>
      <c r="I118" s="65">
        <f>IFERROR(L118*1.35*1.21,)</f>
        <v>6561.6469875000003</v>
      </c>
      <c r="J118" s="65">
        <f t="shared" si="85"/>
        <v>5905.4822887500004</v>
      </c>
      <c r="K118" s="117">
        <f>IFERROR(((I118/1.21)-L118)/(I118/1.21),)</f>
        <v>0.2592592592592593</v>
      </c>
      <c r="L118" s="65">
        <f>+IF(ISERROR(N118/G118),"",(N118/G118))</f>
        <v>4016.9249999999997</v>
      </c>
      <c r="M118" s="65">
        <f>+IF(ISERROR(N118/F118),"",(N118/F118))</f>
        <v>10042.3125</v>
      </c>
      <c r="N118" s="68">
        <v>48203.1</v>
      </c>
      <c r="O118" s="72"/>
      <c r="P118" s="65">
        <f>+IF(ISERROR(N118/(1-O118)),"",(N118/(1-O118)))</f>
        <v>48203.1</v>
      </c>
      <c r="Q118" s="72"/>
      <c r="R118" s="65">
        <f>+IF(ISERROR(P118/(1-Q118)),"",(P118/(1-Q118)))</f>
        <v>48203.1</v>
      </c>
      <c r="S118" s="65">
        <f>+IF(ISERROR(R118/G118),"",(R118/G118))</f>
        <v>4016.9249999999997</v>
      </c>
      <c r="T118" s="14"/>
      <c r="U118"/>
      <c r="V118" s="67">
        <v>48203.1</v>
      </c>
      <c r="W118" s="72">
        <f>+IF(ISERROR(N118/V118-1),"",(N118/V118-1))</f>
        <v>0</v>
      </c>
      <c r="X118" s="65">
        <f>+IF(ISERROR(V118*(1-O118)),"",(V118*(1-O118)))</f>
        <v>48203.1</v>
      </c>
      <c r="Y118" s="73"/>
      <c r="Z118" s="74"/>
      <c r="AA118" s="75"/>
      <c r="AC118" s="3"/>
      <c r="AD118" s="55"/>
      <c r="AE118" s="55"/>
      <c r="AF118" s="55"/>
      <c r="AG118" s="55"/>
      <c r="AH118" s="55"/>
      <c r="AI118" s="55"/>
      <c r="AJ118" s="55"/>
      <c r="AK118" s="76"/>
      <c r="AL118" s="55"/>
      <c r="AM118" s="55"/>
      <c r="AN118" s="55"/>
      <c r="AO118" s="55"/>
      <c r="AP118" s="76"/>
      <c r="AQ118" s="76"/>
      <c r="AR118" s="77">
        <f t="shared" si="82"/>
        <v>48203.1</v>
      </c>
      <c r="AS118" s="78">
        <v>0</v>
      </c>
      <c r="AT118" s="3"/>
      <c r="AU118" s="3"/>
      <c r="AV118" s="79"/>
    </row>
    <row r="119" spans="1:48" s="122" customFormat="1" x14ac:dyDescent="0.2">
      <c r="A119" s="83" t="s">
        <v>156</v>
      </c>
      <c r="B119" s="61" t="s">
        <v>159</v>
      </c>
      <c r="C119" s="118">
        <v>100021728</v>
      </c>
      <c r="D119" s="61" t="s">
        <v>171</v>
      </c>
      <c r="E119" s="119">
        <v>7790360967558</v>
      </c>
      <c r="F119" s="120">
        <v>3.84</v>
      </c>
      <c r="G119" s="121">
        <v>12</v>
      </c>
      <c r="I119" s="65">
        <f t="shared" si="86"/>
        <v>5984.4783487500008</v>
      </c>
      <c r="J119" s="65">
        <f t="shared" si="85"/>
        <v>5386.0305138750009</v>
      </c>
      <c r="K119" s="124">
        <f t="shared" si="102"/>
        <v>0.25925925925925936</v>
      </c>
      <c r="L119" s="120">
        <f t="shared" si="87"/>
        <v>3663.5925000000002</v>
      </c>
      <c r="M119" s="120">
        <f t="shared" si="88"/>
        <v>11448.7265625</v>
      </c>
      <c r="N119" s="68">
        <v>43963.11</v>
      </c>
      <c r="O119" s="72"/>
      <c r="P119" s="65">
        <f t="shared" si="89"/>
        <v>43963.11</v>
      </c>
      <c r="Q119" s="123"/>
      <c r="R119" s="65">
        <f t="shared" si="90"/>
        <v>43963.11</v>
      </c>
      <c r="S119" s="120">
        <f t="shared" si="91"/>
        <v>3663.5925000000002</v>
      </c>
      <c r="T119" s="14"/>
      <c r="U119"/>
      <c r="V119" s="67">
        <v>43963.11</v>
      </c>
      <c r="W119" s="123">
        <f t="shared" si="92"/>
        <v>0</v>
      </c>
      <c r="X119" s="120">
        <f t="shared" si="93"/>
        <v>43963.11</v>
      </c>
      <c r="Y119" s="73">
        <v>0</v>
      </c>
      <c r="Z119" s="74">
        <f t="shared" si="94"/>
        <v>43963.11</v>
      </c>
      <c r="AA119" s="75"/>
      <c r="AB119" s="1"/>
      <c r="AC119" s="3"/>
      <c r="AD119" s="55">
        <f t="shared" si="95"/>
        <v>-879.26220000000001</v>
      </c>
      <c r="AE119" s="55">
        <f t="shared" si="96"/>
        <v>-3.5712000000000002</v>
      </c>
      <c r="AF119" s="55"/>
      <c r="AG119" s="55">
        <f t="shared" si="97"/>
        <v>43080.276600000005</v>
      </c>
      <c r="AH119" s="55">
        <v>-9850.1117409164235</v>
      </c>
      <c r="AI119" s="55">
        <v>-1708.7159976014336</v>
      </c>
      <c r="AJ119" s="55">
        <f t="shared" si="98"/>
        <v>31521.448861482149</v>
      </c>
      <c r="AK119" s="76">
        <f t="shared" si="99"/>
        <v>0.73169095811892126</v>
      </c>
      <c r="AL119" s="55"/>
      <c r="AM119" s="55">
        <v>-1095.677025291985</v>
      </c>
      <c r="AN119" s="55">
        <v>-580.80594581868138</v>
      </c>
      <c r="AO119" s="55">
        <f t="shared" si="100"/>
        <v>29844.965890371484</v>
      </c>
      <c r="AP119" s="76">
        <f t="shared" si="101"/>
        <v>0.69277563297658773</v>
      </c>
      <c r="AQ119" s="76"/>
      <c r="AR119" s="77">
        <f t="shared" si="82"/>
        <v>43963.11</v>
      </c>
      <c r="AS119" s="78">
        <v>0</v>
      </c>
      <c r="AT119" s="3"/>
      <c r="AU119" s="3"/>
      <c r="AV119" s="79"/>
    </row>
    <row r="120" spans="1:48" s="122" customFormat="1" x14ac:dyDescent="0.2">
      <c r="A120" s="83" t="s">
        <v>156</v>
      </c>
      <c r="B120" s="61" t="s">
        <v>159</v>
      </c>
      <c r="C120" s="118">
        <v>100517679</v>
      </c>
      <c r="D120" s="61" t="s">
        <v>172</v>
      </c>
      <c r="E120" s="119">
        <v>7790360973498</v>
      </c>
      <c r="F120" s="120">
        <v>7.68</v>
      </c>
      <c r="G120" s="121">
        <v>8</v>
      </c>
      <c r="I120" s="65">
        <f t="shared" si="86"/>
        <v>9017.154815625001</v>
      </c>
      <c r="J120" s="65">
        <f t="shared" si="85"/>
        <v>8115.4393340625011</v>
      </c>
      <c r="K120" s="124">
        <f t="shared" si="102"/>
        <v>0.2592592592592593</v>
      </c>
      <c r="L120" s="120">
        <f t="shared" si="87"/>
        <v>5520.1437500000002</v>
      </c>
      <c r="M120" s="120">
        <f t="shared" si="88"/>
        <v>5750.1497395833339</v>
      </c>
      <c r="N120" s="68">
        <v>44161.15</v>
      </c>
      <c r="O120" s="72"/>
      <c r="P120" s="65">
        <f t="shared" si="89"/>
        <v>44161.15</v>
      </c>
      <c r="Q120" s="123"/>
      <c r="R120" s="65">
        <f t="shared" si="90"/>
        <v>44161.15</v>
      </c>
      <c r="S120" s="120">
        <f t="shared" si="91"/>
        <v>5520.1437500000002</v>
      </c>
      <c r="T120" s="14"/>
      <c r="U120"/>
      <c r="V120" s="67">
        <v>44161.15</v>
      </c>
      <c r="W120" s="123">
        <f t="shared" si="92"/>
        <v>0</v>
      </c>
      <c r="X120" s="120">
        <f t="shared" si="93"/>
        <v>44161.15</v>
      </c>
      <c r="Y120" s="73">
        <v>0</v>
      </c>
      <c r="Z120" s="74">
        <f t="shared" si="94"/>
        <v>44161.15</v>
      </c>
      <c r="AA120" s="75"/>
      <c r="AB120" s="1"/>
      <c r="AC120" s="3"/>
      <c r="AD120" s="55">
        <f t="shared" si="95"/>
        <v>-883.22300000000007</v>
      </c>
      <c r="AE120" s="55">
        <f t="shared" si="96"/>
        <v>-7.1424000000000003</v>
      </c>
      <c r="AF120" s="55"/>
      <c r="AG120" s="55">
        <f t="shared" si="97"/>
        <v>43270.784600000006</v>
      </c>
      <c r="AH120" s="55">
        <v>-12713.38249544897</v>
      </c>
      <c r="AI120" s="55">
        <v>-2280.4304481209324</v>
      </c>
      <c r="AJ120" s="55">
        <f t="shared" si="98"/>
        <v>28276.971656430105</v>
      </c>
      <c r="AK120" s="76">
        <f t="shared" si="99"/>
        <v>0.65348876656214139</v>
      </c>
      <c r="AL120" s="55"/>
      <c r="AM120" s="55">
        <v>-1986.5546066041597</v>
      </c>
      <c r="AN120" s="55">
        <v>-1161.6118916373628</v>
      </c>
      <c r="AO120" s="55">
        <f t="shared" si="100"/>
        <v>25128.805158188581</v>
      </c>
      <c r="AP120" s="76">
        <f t="shared" si="101"/>
        <v>0.58073375351249301</v>
      </c>
      <c r="AQ120" s="76"/>
      <c r="AR120" s="77">
        <f t="shared" si="82"/>
        <v>44161.15</v>
      </c>
      <c r="AS120" s="78">
        <v>0</v>
      </c>
      <c r="AT120" s="3"/>
      <c r="AU120" s="3"/>
      <c r="AV120" s="79"/>
    </row>
    <row r="121" spans="1:48" hidden="1" x14ac:dyDescent="0.2">
      <c r="A121" s="45"/>
      <c r="B121" s="46"/>
      <c r="C121" s="47"/>
      <c r="D121" s="48"/>
      <c r="E121" s="47"/>
      <c r="F121" s="48"/>
      <c r="G121" s="109"/>
      <c r="I121" s="50"/>
      <c r="J121" s="51"/>
      <c r="L121" s="50"/>
      <c r="M121" s="48"/>
      <c r="N121" s="68"/>
      <c r="O121" s="52"/>
      <c r="P121" s="48"/>
      <c r="Q121" s="52"/>
      <c r="R121" s="48"/>
      <c r="S121" s="49"/>
      <c r="T121" s="14"/>
      <c r="U121"/>
      <c r="V121" s="48"/>
      <c r="W121" s="54"/>
      <c r="X121" s="49"/>
      <c r="Y121" s="73"/>
      <c r="AA121" s="75"/>
      <c r="AC121" s="3"/>
      <c r="AD121" s="55"/>
      <c r="AE121" s="55"/>
      <c r="AF121" s="55"/>
      <c r="AG121" s="55"/>
      <c r="AH121" s="55">
        <v>0</v>
      </c>
      <c r="AI121" s="55">
        <v>0</v>
      </c>
      <c r="AJ121" s="55"/>
      <c r="AK121" s="76"/>
      <c r="AL121" s="55"/>
      <c r="AM121" s="55">
        <v>0</v>
      </c>
      <c r="AN121" s="55">
        <v>0</v>
      </c>
      <c r="AO121" s="55"/>
      <c r="AP121" s="76"/>
      <c r="AQ121" s="76"/>
      <c r="AR121" s="110" t="str">
        <f t="shared" si="82"/>
        <v/>
      </c>
      <c r="AS121" s="111" t="s">
        <v>162</v>
      </c>
      <c r="AT121" s="3"/>
    </row>
    <row r="122" spans="1:48" hidden="1" x14ac:dyDescent="0.2">
      <c r="A122" s="83" t="s">
        <v>173</v>
      </c>
      <c r="B122" s="83" t="s">
        <v>174</v>
      </c>
      <c r="C122" s="82">
        <v>100022200</v>
      </c>
      <c r="D122" s="83" t="s">
        <v>175</v>
      </c>
      <c r="E122" s="125">
        <v>7790360027085</v>
      </c>
      <c r="F122" s="65">
        <v>3</v>
      </c>
      <c r="G122" s="66">
        <v>10</v>
      </c>
      <c r="I122" s="65">
        <f>IFERROR(L122*1.35*1.21,)</f>
        <v>0</v>
      </c>
      <c r="J122" s="65">
        <f>+I122*0.8</f>
        <v>0</v>
      </c>
      <c r="L122" s="65">
        <f>+IF(ISERROR(N122/G122),"",(N122/G122))</f>
        <v>0</v>
      </c>
      <c r="M122" s="65">
        <f>+IF(ISERROR(N122/F122),"",(N122/F122))</f>
        <v>0</v>
      </c>
      <c r="N122" s="68"/>
      <c r="O122" s="72"/>
      <c r="P122" s="65">
        <f>+IF(ISERROR(N122/(1-O122)),"",(N122/(1-O122)))</f>
        <v>0</v>
      </c>
      <c r="Q122" s="72"/>
      <c r="R122" s="65">
        <f>+IF(ISERROR(P122/(1-Q122)),"",(P122/(1-Q122)))</f>
        <v>0</v>
      </c>
      <c r="S122" s="65">
        <f>+IF(ISERROR(R122/G122),"",(R122/G122))</f>
        <v>0</v>
      </c>
      <c r="T122" s="14"/>
      <c r="U122"/>
      <c r="V122" s="67" t="s">
        <v>162</v>
      </c>
      <c r="W122" s="72" t="str">
        <f>+IF(ISERROR(N122/V122-1),"",(N122/V122-1))</f>
        <v/>
      </c>
      <c r="X122" s="65" t="str">
        <f>+IF(ISERROR(V122*(1-O122)),"",(V122*(1-O122)))</f>
        <v/>
      </c>
      <c r="Y122" s="73">
        <v>0</v>
      </c>
      <c r="Z122" s="74">
        <f>+N122*(1-Y122)</f>
        <v>0</v>
      </c>
      <c r="AA122" s="75"/>
      <c r="AC122" s="3"/>
      <c r="AD122" s="55">
        <f>-IFERROR(N122*AD$9,)</f>
        <v>0</v>
      </c>
      <c r="AE122" s="55">
        <f>$AE$9*F122</f>
        <v>-2.79</v>
      </c>
      <c r="AF122" s="55"/>
      <c r="AG122" s="55">
        <f>+Z122+AD122+AE122</f>
        <v>-2.79</v>
      </c>
      <c r="AH122" s="55" t="e">
        <v>#N/A</v>
      </c>
      <c r="AI122" s="55" t="e">
        <v>#N/A</v>
      </c>
      <c r="AJ122" s="55" t="e">
        <f>AG122+AH122+AI122</f>
        <v>#N/A</v>
      </c>
      <c r="AK122" s="76" t="e">
        <f>AJ122/$AG122</f>
        <v>#N/A</v>
      </c>
      <c r="AL122" s="55"/>
      <c r="AM122" s="55" t="e">
        <v>#N/A</v>
      </c>
      <c r="AN122" s="55" t="e">
        <v>#N/A</v>
      </c>
      <c r="AO122" s="55" t="e">
        <f>+AJ122+AM122+AN122</f>
        <v>#N/A</v>
      </c>
      <c r="AP122" s="76" t="e">
        <f>AO122/$AG122</f>
        <v>#N/A</v>
      </c>
      <c r="AQ122" s="76"/>
      <c r="AR122" s="77" t="str">
        <f t="shared" si="82"/>
        <v/>
      </c>
      <c r="AS122" s="78" t="s">
        <v>162</v>
      </c>
      <c r="AT122" s="3"/>
      <c r="AU122" s="3"/>
      <c r="AV122" s="79"/>
    </row>
    <row r="123" spans="1:48" hidden="1" x14ac:dyDescent="0.2">
      <c r="A123" s="45"/>
      <c r="B123" s="46"/>
      <c r="C123" s="47"/>
      <c r="D123" s="48"/>
      <c r="E123" s="47"/>
      <c r="F123" s="48"/>
      <c r="G123" s="109"/>
      <c r="I123" s="50"/>
      <c r="J123" s="51"/>
      <c r="L123" s="50"/>
      <c r="M123" s="48"/>
      <c r="N123" s="68"/>
      <c r="O123" s="52"/>
      <c r="P123" s="48"/>
      <c r="Q123" s="52"/>
      <c r="R123" s="48"/>
      <c r="S123" s="49"/>
      <c r="T123" s="14"/>
      <c r="U123"/>
      <c r="V123" s="48" t="s">
        <v>162</v>
      </c>
      <c r="W123" s="54"/>
      <c r="X123" s="49" t="str">
        <f>+IF(ISERROR(V123*(1-O123)),"",(V123*(1-O123)))</f>
        <v/>
      </c>
      <c r="Y123" s="73"/>
      <c r="AA123" s="75"/>
      <c r="AC123" s="3"/>
      <c r="AD123" s="55">
        <f>-IFERROR(N123*AD$9,)</f>
        <v>0</v>
      </c>
      <c r="AE123" s="55">
        <f>$AE$9*F123</f>
        <v>0</v>
      </c>
      <c r="AF123" s="55"/>
      <c r="AG123" s="55">
        <f>+Z123+AD123+AE123</f>
        <v>0</v>
      </c>
      <c r="AH123" s="55">
        <v>0</v>
      </c>
      <c r="AI123" s="55">
        <v>0</v>
      </c>
      <c r="AJ123" s="55">
        <f>AG123+AH123+AI123</f>
        <v>0</v>
      </c>
      <c r="AK123" s="76" t="e">
        <f>AJ123/$AG123</f>
        <v>#DIV/0!</v>
      </c>
      <c r="AL123" s="55"/>
      <c r="AM123" s="55">
        <v>0</v>
      </c>
      <c r="AN123" s="55">
        <v>0</v>
      </c>
      <c r="AO123" s="55">
        <f>+AJ123+AM123+AN123</f>
        <v>0</v>
      </c>
      <c r="AP123" s="76" t="e">
        <f>AO123/$AG123</f>
        <v>#DIV/0!</v>
      </c>
      <c r="AQ123" s="76"/>
      <c r="AR123" s="110" t="str">
        <f t="shared" si="82"/>
        <v/>
      </c>
      <c r="AS123" s="111" t="s">
        <v>162</v>
      </c>
      <c r="AT123" s="3"/>
    </row>
    <row r="124" spans="1:48" hidden="1" x14ac:dyDescent="0.2">
      <c r="A124" s="83" t="s">
        <v>176</v>
      </c>
      <c r="B124" s="83" t="s">
        <v>177</v>
      </c>
      <c r="C124" s="82">
        <v>100516219</v>
      </c>
      <c r="D124" s="83" t="s">
        <v>178</v>
      </c>
      <c r="E124" s="125">
        <v>7790360967770</v>
      </c>
      <c r="F124" s="65">
        <v>10</v>
      </c>
      <c r="G124" s="66">
        <v>25</v>
      </c>
      <c r="I124" s="65">
        <f>IFERROR(L124*1.35*1.21,)</f>
        <v>0</v>
      </c>
      <c r="J124" s="65">
        <f>+I124*0.8</f>
        <v>0</v>
      </c>
      <c r="K124" s="124"/>
      <c r="L124" s="65">
        <f>+IF(ISERROR(N124/G124),"",(N124/G124))</f>
        <v>0</v>
      </c>
      <c r="M124" s="65">
        <f>+IF(ISERROR(N124/F124),"",(N124/F124))</f>
        <v>0</v>
      </c>
      <c r="N124" s="68"/>
      <c r="O124" s="72"/>
      <c r="P124" s="65">
        <f>+IF(ISERROR(N124/(1-O124)),"",(N124/(1-O124)))</f>
        <v>0</v>
      </c>
      <c r="Q124" s="72"/>
      <c r="R124" s="65">
        <f>+IF(ISERROR(P124/(1-Q124)),"",(P124/(1-Q124)))</f>
        <v>0</v>
      </c>
      <c r="S124" s="65">
        <f>+IF(ISERROR(R124/G124),"",(R124/G124))</f>
        <v>0</v>
      </c>
      <c r="T124" s="14"/>
      <c r="U124"/>
      <c r="V124" s="67" t="s">
        <v>162</v>
      </c>
      <c r="W124" s="72" t="str">
        <f>+IF(ISERROR(N124/V124-1),"",(N124/V124-1))</f>
        <v/>
      </c>
      <c r="X124" s="65" t="str">
        <f>+IF(ISERROR(V124*(1-O124)),"",(V124*(1-O124)))</f>
        <v/>
      </c>
      <c r="Y124" s="73">
        <v>0</v>
      </c>
      <c r="Z124" s="74">
        <f>+N124*(1-Y124)</f>
        <v>0</v>
      </c>
      <c r="AA124" s="75"/>
      <c r="AC124" s="3"/>
      <c r="AD124" s="55">
        <f>-IFERROR(N124*AD$9,)</f>
        <v>0</v>
      </c>
      <c r="AE124" s="55">
        <f>$AE$9*F124</f>
        <v>-9.3000000000000007</v>
      </c>
      <c r="AF124" s="55"/>
      <c r="AG124" s="55">
        <f>+Z124+AD124+AE124</f>
        <v>-9.3000000000000007</v>
      </c>
      <c r="AH124" s="55" t="e">
        <v>#N/A</v>
      </c>
      <c r="AI124" s="55" t="e">
        <v>#N/A</v>
      </c>
      <c r="AJ124" s="55" t="e">
        <f>AG124+AH124+AI124</f>
        <v>#N/A</v>
      </c>
      <c r="AK124" s="76" t="e">
        <f>AJ124/$AG124</f>
        <v>#N/A</v>
      </c>
      <c r="AL124" s="55"/>
      <c r="AM124" s="55" t="e">
        <v>#N/A</v>
      </c>
      <c r="AN124" s="55" t="e">
        <v>#N/A</v>
      </c>
      <c r="AO124" s="55" t="e">
        <f>+AJ124+AM124+AN124</f>
        <v>#N/A</v>
      </c>
      <c r="AP124" s="76" t="e">
        <f>AO124/$AG124</f>
        <v>#N/A</v>
      </c>
      <c r="AQ124" s="76"/>
      <c r="AR124" s="77" t="str">
        <f t="shared" si="82"/>
        <v/>
      </c>
      <c r="AS124" s="78" t="s">
        <v>162</v>
      </c>
      <c r="AT124" s="3"/>
      <c r="AU124" s="3"/>
      <c r="AV124" s="79"/>
    </row>
    <row r="125" spans="1:48" hidden="1" x14ac:dyDescent="0.2">
      <c r="A125" s="83" t="s">
        <v>176</v>
      </c>
      <c r="B125" s="83" t="s">
        <v>177</v>
      </c>
      <c r="C125" s="82">
        <v>100516220</v>
      </c>
      <c r="D125" s="83" t="s">
        <v>179</v>
      </c>
      <c r="E125" s="125">
        <v>7790360967787</v>
      </c>
      <c r="F125" s="65">
        <v>12</v>
      </c>
      <c r="G125" s="66">
        <v>6</v>
      </c>
      <c r="I125" s="65">
        <f>IFERROR(L125*1.35*1.21,)</f>
        <v>0</v>
      </c>
      <c r="J125" s="65">
        <f>+I125*0.8</f>
        <v>0</v>
      </c>
      <c r="K125" s="124"/>
      <c r="L125" s="65">
        <f>+IF(ISERROR(N125/G125),"",(N125/G125))</f>
        <v>0</v>
      </c>
      <c r="M125" s="65">
        <f>+IF(ISERROR(N125/F125),"",(N125/F125))</f>
        <v>0</v>
      </c>
      <c r="N125" s="68"/>
      <c r="O125" s="72"/>
      <c r="P125" s="65">
        <f>+IF(ISERROR(N125/(1-O125)),"",(N125/(1-O125)))</f>
        <v>0</v>
      </c>
      <c r="Q125" s="72"/>
      <c r="R125" s="65">
        <f>+IF(ISERROR(P125/(1-Q125)),"",(P125/(1-Q125)))</f>
        <v>0</v>
      </c>
      <c r="S125" s="65">
        <f>+IF(ISERROR(R125/G125),"",(R125/G125))</f>
        <v>0</v>
      </c>
      <c r="T125" s="14"/>
      <c r="U125"/>
      <c r="V125" s="67" t="s">
        <v>162</v>
      </c>
      <c r="W125" s="72" t="str">
        <f>+IF(ISERROR(N125/V125-1),"",(N125/V125-1))</f>
        <v/>
      </c>
      <c r="X125" s="65" t="str">
        <f>+IF(ISERROR(V125*(1-O125)),"",(V125*(1-O125)))</f>
        <v/>
      </c>
      <c r="Y125" s="73">
        <v>0</v>
      </c>
      <c r="Z125" s="74">
        <f>+N125*(1-Y125)</f>
        <v>0</v>
      </c>
      <c r="AA125" s="75"/>
      <c r="AC125" s="3"/>
      <c r="AD125" s="55">
        <f>-IFERROR(N125*AD$9,)</f>
        <v>0</v>
      </c>
      <c r="AE125" s="55">
        <f>$AE$9*F125</f>
        <v>-11.16</v>
      </c>
      <c r="AF125" s="55"/>
      <c r="AG125" s="55">
        <f>+Z125+AD125+AE125</f>
        <v>-11.16</v>
      </c>
      <c r="AH125" s="55" t="e">
        <v>#N/A</v>
      </c>
      <c r="AI125" s="55" t="e">
        <v>#N/A</v>
      </c>
      <c r="AJ125" s="55" t="e">
        <f>AG125+AH125+AI125</f>
        <v>#N/A</v>
      </c>
      <c r="AK125" s="76" t="e">
        <f>AJ125/$AG125</f>
        <v>#N/A</v>
      </c>
      <c r="AL125" s="55"/>
      <c r="AM125" s="55" t="e">
        <v>#N/A</v>
      </c>
      <c r="AN125" s="55" t="e">
        <v>#N/A</v>
      </c>
      <c r="AO125" s="55" t="e">
        <f>+AJ125+AM125+AN125</f>
        <v>#N/A</v>
      </c>
      <c r="AP125" s="76" t="e">
        <f>AO125/$AG125</f>
        <v>#N/A</v>
      </c>
      <c r="AQ125" s="76"/>
      <c r="AR125" s="77" t="str">
        <f t="shared" si="82"/>
        <v/>
      </c>
      <c r="AS125" s="78" t="s">
        <v>162</v>
      </c>
      <c r="AT125" s="3"/>
      <c r="AU125" s="3"/>
      <c r="AV125" s="79"/>
    </row>
    <row r="126" spans="1:48" x14ac:dyDescent="0.2">
      <c r="A126" s="45"/>
      <c r="B126" s="46"/>
      <c r="C126" s="47"/>
      <c r="D126" s="48"/>
      <c r="E126" s="47"/>
      <c r="F126" s="48"/>
      <c r="G126" s="109"/>
      <c r="I126" s="50"/>
      <c r="J126" s="51"/>
      <c r="L126" s="50"/>
      <c r="M126" s="48"/>
      <c r="N126" s="48"/>
      <c r="O126" s="52"/>
      <c r="P126" s="48"/>
      <c r="Q126" s="52"/>
      <c r="R126" s="48"/>
      <c r="S126" s="49"/>
      <c r="T126" s="14"/>
      <c r="U126"/>
      <c r="V126" s="48"/>
      <c r="W126" s="54"/>
      <c r="X126" s="49"/>
      <c r="Y126" s="79"/>
      <c r="AA126" s="75"/>
      <c r="AH126" s="1">
        <v>0</v>
      </c>
      <c r="AI126" s="1">
        <v>0</v>
      </c>
      <c r="AK126" s="56"/>
      <c r="AL126" s="126"/>
      <c r="AM126" s="126">
        <v>0</v>
      </c>
      <c r="AN126" s="126">
        <v>0</v>
      </c>
      <c r="AO126" s="126">
        <f>+AJ126+AM126+AN126</f>
        <v>0</v>
      </c>
      <c r="AP126" s="58"/>
      <c r="AQ126" s="58"/>
      <c r="AR126" s="110" t="str">
        <f t="shared" si="82"/>
        <v/>
      </c>
      <c r="AS126" s="111" t="s">
        <v>162</v>
      </c>
    </row>
    <row r="127" spans="1:48" x14ac:dyDescent="0.2">
      <c r="A127" s="83" t="s">
        <v>180</v>
      </c>
      <c r="B127" s="83" t="s">
        <v>180</v>
      </c>
      <c r="C127" s="82">
        <v>100518158</v>
      </c>
      <c r="D127" s="83" t="s">
        <v>181</v>
      </c>
      <c r="E127" s="125">
        <v>7790360974280</v>
      </c>
      <c r="F127" s="65">
        <v>12</v>
      </c>
      <c r="G127" s="66">
        <v>24</v>
      </c>
      <c r="I127" s="65">
        <f>IFERROR(L127*1.35*1.21,)</f>
        <v>5745.4687125000009</v>
      </c>
      <c r="J127" s="65">
        <f t="shared" ref="J127:J154" si="103">+I127*0.9</f>
        <v>5170.9218412500013</v>
      </c>
      <c r="K127" s="117">
        <f t="shared" ref="K127:K133" si="104">IFERROR(((I127/1.21)-L127)/(I127/1.21),)</f>
        <v>0.25925925925925936</v>
      </c>
      <c r="L127" s="65">
        <f>+IF(ISERROR(N127/G127),"",(N127/G127))</f>
        <v>3517.2750000000001</v>
      </c>
      <c r="M127" s="65">
        <f>+IF(ISERROR(N127/F127),"",(N127/F127))</f>
        <v>7034.55</v>
      </c>
      <c r="N127" s="68">
        <v>84414.6</v>
      </c>
      <c r="O127" s="72"/>
      <c r="P127" s="65">
        <f>+IF(ISERROR(N127/(1-O127)),"",(N127/(1-O127)))</f>
        <v>84414.6</v>
      </c>
      <c r="Q127" s="72"/>
      <c r="R127" s="65">
        <f>+IF(ISERROR(P127/(1-Q127)),"",(P127/(1-Q127)))</f>
        <v>84414.6</v>
      </c>
      <c r="S127" s="65">
        <f>+IF(ISERROR(R127/G127),"",(R127/G127))</f>
        <v>3517.2750000000001</v>
      </c>
      <c r="T127" s="14"/>
      <c r="U127"/>
      <c r="V127" s="67">
        <v>84414.6</v>
      </c>
      <c r="W127" s="72">
        <f>+IF(ISERROR(N127/V127-1),"",(N127/V127-1))</f>
        <v>0</v>
      </c>
      <c r="X127" s="65">
        <f>+IF(ISERROR(V127*(1-O127)),"",(V127*(1-O127)))</f>
        <v>84414.6</v>
      </c>
      <c r="Y127" s="73"/>
      <c r="Z127" s="74"/>
      <c r="AA127" s="75"/>
      <c r="AC127" s="3"/>
      <c r="AD127" s="55"/>
      <c r="AE127" s="55"/>
      <c r="AF127" s="55"/>
      <c r="AG127" s="55"/>
      <c r="AH127" s="55">
        <v>-52800</v>
      </c>
      <c r="AI127" s="55">
        <v>-5599.68713937962</v>
      </c>
      <c r="AJ127" s="55"/>
      <c r="AK127" s="76"/>
      <c r="AL127" s="55"/>
      <c r="AM127" s="55">
        <v>-1019.8663384325873</v>
      </c>
      <c r="AN127" s="55">
        <v>-726.7198957768918</v>
      </c>
      <c r="AO127" s="55"/>
      <c r="AP127" s="76"/>
      <c r="AQ127" s="76"/>
      <c r="AR127" s="77">
        <f t="shared" si="82"/>
        <v>84414.6</v>
      </c>
      <c r="AS127" s="78">
        <v>0</v>
      </c>
      <c r="AT127" s="3"/>
      <c r="AU127" s="3"/>
      <c r="AV127" s="79"/>
    </row>
    <row r="128" spans="1:48" x14ac:dyDescent="0.2">
      <c r="A128" s="83" t="s">
        <v>180</v>
      </c>
      <c r="B128" s="83" t="s">
        <v>180</v>
      </c>
      <c r="C128" s="82">
        <v>100518160</v>
      </c>
      <c r="D128" s="83" t="s">
        <v>182</v>
      </c>
      <c r="E128" s="125">
        <v>7790360974686</v>
      </c>
      <c r="F128" s="65">
        <v>12</v>
      </c>
      <c r="G128" s="66">
        <v>12</v>
      </c>
      <c r="I128" s="65">
        <f>IFERROR(L128*1.35*1.21,)</f>
        <v>11490.937425000002</v>
      </c>
      <c r="J128" s="65">
        <f t="shared" si="103"/>
        <v>10341.843682500003</v>
      </c>
      <c r="K128" s="117">
        <f t="shared" si="104"/>
        <v>0.25925925925925936</v>
      </c>
      <c r="L128" s="65">
        <f>+IF(ISERROR(N128/G128),"",(N128/G128))</f>
        <v>7034.55</v>
      </c>
      <c r="M128" s="65">
        <f>+IF(ISERROR(N128/F128),"",(N128/F128))</f>
        <v>7034.55</v>
      </c>
      <c r="N128" s="68">
        <v>84414.6</v>
      </c>
      <c r="O128" s="72"/>
      <c r="P128" s="65">
        <f>+IF(ISERROR(N128/(1-O128)),"",(N128/(1-O128)))</f>
        <v>84414.6</v>
      </c>
      <c r="Q128" s="72"/>
      <c r="R128" s="65">
        <f>+IF(ISERROR(P128/(1-Q128)),"",(P128/(1-Q128)))</f>
        <v>84414.6</v>
      </c>
      <c r="S128" s="65">
        <f>+IF(ISERROR(R128/G128),"",(R128/G128))</f>
        <v>7034.55</v>
      </c>
      <c r="T128" s="14"/>
      <c r="U128"/>
      <c r="V128" s="67">
        <v>84414.6</v>
      </c>
      <c r="W128" s="72">
        <f>+IF(ISERROR(N128/V128-1),"",(N128/V128-1))</f>
        <v>0</v>
      </c>
      <c r="X128" s="65">
        <f>+IF(ISERROR(V128*(1-O128)),"",(V128*(1-O128)))</f>
        <v>84414.6</v>
      </c>
      <c r="Y128" s="73"/>
      <c r="Z128" s="74"/>
      <c r="AA128" s="75"/>
      <c r="AC128" s="3"/>
      <c r="AD128" s="55"/>
      <c r="AE128" s="55"/>
      <c r="AF128" s="55"/>
      <c r="AG128" s="55"/>
      <c r="AH128" s="55">
        <v>-52800</v>
      </c>
      <c r="AI128" s="55">
        <v>-5138.1970890234625</v>
      </c>
      <c r="AJ128" s="55"/>
      <c r="AK128" s="76"/>
      <c r="AL128" s="55"/>
      <c r="AM128" s="55">
        <v>-1019.8663384325873</v>
      </c>
      <c r="AN128" s="55">
        <v>-726.7198957768918</v>
      </c>
      <c r="AO128" s="55"/>
      <c r="AP128" s="76"/>
      <c r="AQ128" s="76"/>
      <c r="AR128" s="77">
        <f t="shared" si="82"/>
        <v>84414.6</v>
      </c>
      <c r="AS128" s="78">
        <v>0</v>
      </c>
      <c r="AT128" s="3"/>
      <c r="AU128" s="3"/>
      <c r="AV128" s="79"/>
    </row>
    <row r="129" spans="1:48" x14ac:dyDescent="0.2">
      <c r="A129" s="83" t="s">
        <v>180</v>
      </c>
      <c r="B129" s="83" t="s">
        <v>180</v>
      </c>
      <c r="C129" s="82">
        <v>100518463</v>
      </c>
      <c r="D129" s="83" t="s">
        <v>183</v>
      </c>
      <c r="E129" s="125">
        <v>7790360975188</v>
      </c>
      <c r="F129" s="65">
        <v>5</v>
      </c>
      <c r="G129" s="66">
        <v>1</v>
      </c>
      <c r="I129" s="65">
        <f>IFERROR(L129*1.35*1.21,)</f>
        <v>67158.314190000005</v>
      </c>
      <c r="J129" s="65">
        <f t="shared" si="103"/>
        <v>60442.482771000003</v>
      </c>
      <c r="K129" s="117">
        <f t="shared" si="104"/>
        <v>0.25925925925925941</v>
      </c>
      <c r="L129" s="65">
        <f>+IF(ISERROR(N129/G129),"",(N129/G129))</f>
        <v>41113.14</v>
      </c>
      <c r="M129" s="65">
        <f>+IF(ISERROR(N129/F129),"",(N129/F129))</f>
        <v>8222.6280000000006</v>
      </c>
      <c r="N129" s="68">
        <v>41113.14</v>
      </c>
      <c r="O129" s="72"/>
      <c r="P129" s="65">
        <f>+IF(ISERROR(N129/(1-O129)),"",(N129/(1-O129)))</f>
        <v>41113.14</v>
      </c>
      <c r="Q129" s="72"/>
      <c r="R129" s="65">
        <f>+IF(ISERROR(P129/(1-Q129)),"",(P129/(1-Q129)))</f>
        <v>41113.14</v>
      </c>
      <c r="S129" s="65">
        <f>+IF(ISERROR(R129/G129),"",(R129/G129))</f>
        <v>41113.14</v>
      </c>
      <c r="T129" s="14"/>
      <c r="U129"/>
      <c r="V129" s="67">
        <v>41113.14</v>
      </c>
      <c r="W129" s="72">
        <f>+IF(ISERROR(N129/V129-1),"",(N129/V129-1))</f>
        <v>0</v>
      </c>
      <c r="X129" s="65">
        <f>+IF(ISERROR(V129*(1-O129)),"",(V129*(1-O129)))</f>
        <v>41113.14</v>
      </c>
      <c r="Y129" s="73"/>
      <c r="Z129" s="74"/>
      <c r="AA129" s="75"/>
      <c r="AC129" s="3"/>
      <c r="AD129" s="55"/>
      <c r="AE129" s="55"/>
      <c r="AF129" s="55"/>
      <c r="AG129" s="55"/>
      <c r="AH129" s="55">
        <v>-22000</v>
      </c>
      <c r="AI129" s="55">
        <v>-2140.915453759776</v>
      </c>
      <c r="AJ129" s="55"/>
      <c r="AK129" s="76"/>
      <c r="AL129" s="55"/>
      <c r="AM129" s="55">
        <v>-424.94430768024472</v>
      </c>
      <c r="AN129" s="55">
        <v>-302.79995657370489</v>
      </c>
      <c r="AO129" s="55"/>
      <c r="AP129" s="76"/>
      <c r="AQ129" s="76"/>
      <c r="AR129" s="77">
        <f t="shared" si="82"/>
        <v>41113.14</v>
      </c>
      <c r="AS129" s="78">
        <v>0</v>
      </c>
      <c r="AT129" s="3"/>
      <c r="AU129" s="3"/>
      <c r="AV129" s="79"/>
    </row>
    <row r="130" spans="1:48" x14ac:dyDescent="0.2">
      <c r="A130" s="45"/>
      <c r="B130" s="46"/>
      <c r="C130" s="47"/>
      <c r="D130" s="48"/>
      <c r="E130" s="47"/>
      <c r="F130" s="48"/>
      <c r="G130" s="109"/>
      <c r="I130" s="50"/>
      <c r="J130" s="51"/>
      <c r="K130" s="117">
        <f t="shared" si="104"/>
        <v>0</v>
      </c>
      <c r="L130" s="50"/>
      <c r="M130" s="48"/>
      <c r="N130" s="48"/>
      <c r="O130" s="52"/>
      <c r="P130" s="48"/>
      <c r="Q130" s="52"/>
      <c r="R130" s="48"/>
      <c r="S130" s="49"/>
      <c r="T130" s="14"/>
      <c r="U130"/>
      <c r="V130" s="48"/>
      <c r="W130" s="54"/>
      <c r="X130" s="49"/>
      <c r="Y130" s="79"/>
      <c r="AA130" s="75"/>
      <c r="AH130" s="1">
        <v>0</v>
      </c>
      <c r="AI130" s="1">
        <v>0</v>
      </c>
      <c r="AK130" s="56"/>
      <c r="AL130" s="126"/>
      <c r="AM130" s="126">
        <v>0</v>
      </c>
      <c r="AN130" s="126">
        <v>0</v>
      </c>
      <c r="AO130" s="126">
        <f>+AJ130+AM130+AN130</f>
        <v>0</v>
      </c>
      <c r="AP130" s="58"/>
      <c r="AQ130" s="58"/>
      <c r="AR130" s="110" t="str">
        <f t="shared" si="82"/>
        <v/>
      </c>
      <c r="AS130" s="111" t="s">
        <v>162</v>
      </c>
    </row>
    <row r="131" spans="1:48" x14ac:dyDescent="0.2">
      <c r="A131" s="83"/>
      <c r="B131" s="83"/>
      <c r="C131" s="82">
        <v>100518291</v>
      </c>
      <c r="D131" s="83" t="s">
        <v>184</v>
      </c>
      <c r="E131" s="125">
        <v>7790360975195</v>
      </c>
      <c r="F131" s="65">
        <v>5</v>
      </c>
      <c r="G131" s="66">
        <v>10</v>
      </c>
      <c r="I131" s="65">
        <f>IFERROR(L131*1.35*1.21,)</f>
        <v>2849.9699819249995</v>
      </c>
      <c r="J131" s="65">
        <f t="shared" si="103"/>
        <v>2564.9729837324994</v>
      </c>
      <c r="K131" s="117">
        <f t="shared" si="104"/>
        <v>0.25925925925925924</v>
      </c>
      <c r="L131" s="65">
        <f>+IF(ISERROR(N131/G131),"",(N131/G131))</f>
        <v>1744.7015499999998</v>
      </c>
      <c r="M131" s="65">
        <f>+IF(ISERROR(N131/F131),"",(N131/F131))</f>
        <v>3489.4030999999995</v>
      </c>
      <c r="N131" s="68">
        <v>17447.015499999998</v>
      </c>
      <c r="O131" s="72"/>
      <c r="P131" s="65">
        <f>+IF(ISERROR(N131/(1-O131)),"",(N131/(1-O131)))</f>
        <v>17447.015499999998</v>
      </c>
      <c r="Q131" s="72"/>
      <c r="R131" s="65">
        <f>+IF(ISERROR(P131/(1-Q131)),"",(P131/(1-Q131)))</f>
        <v>17447.015499999998</v>
      </c>
      <c r="S131" s="65">
        <f>+IF(ISERROR(R131/G131),"",(R131/G131))</f>
        <v>1744.7015499999998</v>
      </c>
      <c r="T131" s="14"/>
      <c r="U131" s="71"/>
      <c r="V131" s="67">
        <v>16938.849999999999</v>
      </c>
      <c r="W131" s="72">
        <f>+IF(ISERROR(N131/V131-1),"",(N131/V131-1))</f>
        <v>3.0000000000000027E-2</v>
      </c>
      <c r="X131" s="65">
        <f>+IF(ISERROR(V131*(1-O131)),"",(V131*(1-O131)))</f>
        <v>16938.849999999999</v>
      </c>
      <c r="Y131" s="73"/>
      <c r="Z131" s="74"/>
      <c r="AA131" s="75"/>
      <c r="AC131" s="3"/>
      <c r="AD131" s="55"/>
      <c r="AE131" s="55"/>
      <c r="AF131" s="55"/>
      <c r="AG131" s="55"/>
      <c r="AH131" s="55"/>
      <c r="AI131" s="55"/>
      <c r="AJ131" s="55"/>
      <c r="AK131" s="76"/>
      <c r="AL131" s="55"/>
      <c r="AM131" s="55"/>
      <c r="AN131" s="55"/>
      <c r="AO131" s="55"/>
      <c r="AP131" s="76"/>
      <c r="AQ131" s="76"/>
      <c r="AR131" s="77">
        <f t="shared" si="82"/>
        <v>18319.366274999997</v>
      </c>
      <c r="AS131" s="78">
        <v>0.05</v>
      </c>
      <c r="AT131" s="3"/>
      <c r="AU131" s="3"/>
      <c r="AV131" s="79"/>
    </row>
    <row r="132" spans="1:48" x14ac:dyDescent="0.2">
      <c r="A132" s="83"/>
      <c r="B132" s="83"/>
      <c r="C132" s="82">
        <v>100518292</v>
      </c>
      <c r="D132" s="83" t="s">
        <v>185</v>
      </c>
      <c r="E132" s="125">
        <v>7790360975201</v>
      </c>
      <c r="F132" s="65">
        <v>12</v>
      </c>
      <c r="G132" s="66">
        <v>12</v>
      </c>
      <c r="I132" s="65">
        <f>IFERROR(L132*1.35*1.21,)</f>
        <v>5604.0932623500012</v>
      </c>
      <c r="J132" s="65">
        <f t="shared" si="103"/>
        <v>5043.6839361150014</v>
      </c>
      <c r="K132" s="117">
        <f t="shared" si="104"/>
        <v>0.25925925925925936</v>
      </c>
      <c r="L132" s="65">
        <f>+IF(ISERROR(N132/G132),"",(N132/G132))</f>
        <v>3430.7274333333335</v>
      </c>
      <c r="M132" s="65">
        <f>+IF(ISERROR(N132/F132),"",(N132/F132))</f>
        <v>3430.7274333333335</v>
      </c>
      <c r="N132" s="68">
        <v>41168.729200000002</v>
      </c>
      <c r="O132" s="72"/>
      <c r="P132" s="65">
        <f>+IF(ISERROR(N132/(1-O132)),"",(N132/(1-O132)))</f>
        <v>41168.729200000002</v>
      </c>
      <c r="Q132" s="72"/>
      <c r="R132" s="65">
        <f>+IF(ISERROR(P132/(1-Q132)),"",(P132/(1-Q132)))</f>
        <v>41168.729200000002</v>
      </c>
      <c r="S132" s="65">
        <f>+IF(ISERROR(R132/G132),"",(R132/G132))</f>
        <v>3430.7274333333335</v>
      </c>
      <c r="T132" s="14"/>
      <c r="U132" s="71"/>
      <c r="V132" s="67">
        <v>39969.64</v>
      </c>
      <c r="W132" s="72">
        <f>+IF(ISERROR(N132/V132-1),"",(N132/V132-1))</f>
        <v>3.0000000000000027E-2</v>
      </c>
      <c r="X132" s="65">
        <f>+IF(ISERROR(V132*(1-O132)),"",(V132*(1-O132)))</f>
        <v>39969.64</v>
      </c>
      <c r="Y132" s="73"/>
      <c r="Z132" s="74"/>
      <c r="AA132" s="75"/>
      <c r="AC132" s="3"/>
      <c r="AD132" s="55"/>
      <c r="AE132" s="55"/>
      <c r="AF132" s="55"/>
      <c r="AG132" s="55"/>
      <c r="AH132" s="55"/>
      <c r="AI132" s="55"/>
      <c r="AJ132" s="55"/>
      <c r="AK132" s="76"/>
      <c r="AL132" s="55"/>
      <c r="AM132" s="55"/>
      <c r="AN132" s="55"/>
      <c r="AO132" s="55"/>
      <c r="AP132" s="76"/>
      <c r="AQ132" s="76"/>
      <c r="AR132" s="77">
        <f t="shared" si="82"/>
        <v>43227.165660000006</v>
      </c>
      <c r="AS132" s="78">
        <v>0.05</v>
      </c>
      <c r="AT132" s="3"/>
      <c r="AU132" s="3"/>
      <c r="AV132" s="79"/>
    </row>
    <row r="133" spans="1:48" x14ac:dyDescent="0.2">
      <c r="A133" s="45"/>
      <c r="B133" s="46"/>
      <c r="C133" s="47"/>
      <c r="D133" s="48"/>
      <c r="E133" s="47"/>
      <c r="F133" s="48"/>
      <c r="G133" s="109"/>
      <c r="I133" s="50"/>
      <c r="J133" s="51"/>
      <c r="K133" s="117">
        <f t="shared" si="104"/>
        <v>0</v>
      </c>
      <c r="L133" s="50"/>
      <c r="M133" s="48"/>
      <c r="N133" s="48"/>
      <c r="O133" s="52"/>
      <c r="P133" s="48"/>
      <c r="Q133" s="52"/>
      <c r="R133" s="48"/>
      <c r="S133" s="49"/>
      <c r="T133" s="14"/>
      <c r="U133"/>
      <c r="V133" s="48"/>
      <c r="W133" s="54"/>
      <c r="X133" s="49"/>
      <c r="Y133" s="79"/>
      <c r="AA133" s="75"/>
      <c r="AK133" s="56"/>
      <c r="AL133" s="126"/>
      <c r="AM133" s="126"/>
      <c r="AN133" s="126"/>
      <c r="AO133" s="126"/>
      <c r="AP133" s="58"/>
      <c r="AQ133" s="58"/>
      <c r="AR133" s="110" t="str">
        <f t="shared" si="82"/>
        <v/>
      </c>
      <c r="AS133" s="111" t="s">
        <v>162</v>
      </c>
    </row>
    <row r="134" spans="1:48" x14ac:dyDescent="0.2">
      <c r="A134" s="83" t="s">
        <v>186</v>
      </c>
      <c r="B134" s="83" t="s">
        <v>186</v>
      </c>
      <c r="C134" s="82">
        <v>100517915</v>
      </c>
      <c r="D134" s="83" t="s">
        <v>187</v>
      </c>
      <c r="E134" s="125">
        <v>7790360974020</v>
      </c>
      <c r="F134" s="65">
        <v>18</v>
      </c>
      <c r="G134" s="66">
        <v>36</v>
      </c>
      <c r="I134" s="65">
        <f>IFERROR(L134*(1+0.25)*1.105,)</f>
        <v>6106.4755555555557</v>
      </c>
      <c r="J134" s="65">
        <f t="shared" si="103"/>
        <v>5495.8280000000004</v>
      </c>
      <c r="K134" s="117">
        <f>IFERROR(((I134/1.105)-L134)/(I134/1.105),)</f>
        <v>0.2</v>
      </c>
      <c r="L134" s="65">
        <f>+IF(ISERROR(N134/G134),"",(N134/G134))</f>
        <v>4420.9777777777781</v>
      </c>
      <c r="M134" s="65">
        <f>+IF(ISERROR(N134/F134),"",(N134/F134))</f>
        <v>8841.9555555555562</v>
      </c>
      <c r="N134" s="68">
        <v>159155.20000000001</v>
      </c>
      <c r="O134" s="72"/>
      <c r="P134" s="65">
        <f>+IF(ISERROR(N134/(1-O134)),"",(N134/(1-O134)))</f>
        <v>159155.20000000001</v>
      </c>
      <c r="Q134" s="72"/>
      <c r="R134" s="65">
        <f>+IF(ISERROR(P134/(1-Q134)),"",(P134/(1-Q134)))</f>
        <v>159155.20000000001</v>
      </c>
      <c r="S134" s="65">
        <f>+IF(ISERROR(R134/G134),"",(R134/G134))</f>
        <v>4420.9777777777781</v>
      </c>
      <c r="T134" s="14"/>
      <c r="U134" s="71"/>
      <c r="V134" s="67">
        <v>159155.20000000001</v>
      </c>
      <c r="W134" s="72">
        <f>+IF(ISERROR(N134/V134-1),"",(N134/V134-1))</f>
        <v>0</v>
      </c>
      <c r="X134" s="65">
        <f>+IF(ISERROR(V134*(1-O134)),"",(V134*(1-O134)))</f>
        <v>159155.20000000001</v>
      </c>
      <c r="Y134" s="73"/>
      <c r="Z134" s="74"/>
      <c r="AA134" s="75"/>
      <c r="AC134" s="3"/>
      <c r="AD134" s="55"/>
      <c r="AE134" s="55"/>
      <c r="AF134" s="55"/>
      <c r="AG134" s="55"/>
      <c r="AH134" s="55"/>
      <c r="AI134" s="55"/>
      <c r="AJ134" s="55"/>
      <c r="AK134" s="76"/>
      <c r="AL134" s="55"/>
      <c r="AM134" s="55"/>
      <c r="AN134" s="55"/>
      <c r="AO134" s="55"/>
      <c r="AP134" s="76"/>
      <c r="AQ134" s="76"/>
      <c r="AR134" s="77">
        <f t="shared" si="82"/>
        <v>159155.20000000001</v>
      </c>
      <c r="AS134" s="78">
        <v>0</v>
      </c>
      <c r="AU134" s="127"/>
      <c r="AV134" s="79"/>
    </row>
    <row r="135" spans="1:48" x14ac:dyDescent="0.2">
      <c r="A135" s="83" t="s">
        <v>186</v>
      </c>
      <c r="B135" s="83" t="s">
        <v>186</v>
      </c>
      <c r="C135" s="82">
        <v>100517914</v>
      </c>
      <c r="D135" s="83" t="s">
        <v>188</v>
      </c>
      <c r="E135" s="125">
        <v>7790360974037</v>
      </c>
      <c r="F135" s="65">
        <v>20</v>
      </c>
      <c r="G135" s="66">
        <v>20</v>
      </c>
      <c r="I135" s="65">
        <f>IFERROR(L135*(1+0.25)*1.105,)</f>
        <v>11994.337143750003</v>
      </c>
      <c r="J135" s="65">
        <f t="shared" si="103"/>
        <v>10794.903429375003</v>
      </c>
      <c r="K135" s="117">
        <f>IFERROR(((I135/1.105)-L135)/(I135/1.105),)</f>
        <v>0.20000000000000007</v>
      </c>
      <c r="L135" s="65">
        <f>+IF(ISERROR(N135/G135),"",(N135/G135))</f>
        <v>8683.6830000000009</v>
      </c>
      <c r="M135" s="65">
        <f>+IF(ISERROR(N135/F135),"",(N135/F135))</f>
        <v>8683.6830000000009</v>
      </c>
      <c r="N135" s="68">
        <v>173673.66</v>
      </c>
      <c r="O135" s="72"/>
      <c r="P135" s="65">
        <f>+IF(ISERROR(N135/(1-O135)),"",(N135/(1-O135)))</f>
        <v>173673.66</v>
      </c>
      <c r="Q135" s="72"/>
      <c r="R135" s="65">
        <f>+IF(ISERROR(P135/(1-Q135)),"",(P135/(1-Q135)))</f>
        <v>173673.66</v>
      </c>
      <c r="S135" s="65">
        <f>+IF(ISERROR(R135/G135),"",(R135/G135))</f>
        <v>8683.6830000000009</v>
      </c>
      <c r="T135" s="14"/>
      <c r="U135" s="71"/>
      <c r="V135" s="67">
        <v>173673.66</v>
      </c>
      <c r="W135" s="72">
        <f>+IF(ISERROR(N135/V135-1),"",(N135/V135-1))</f>
        <v>0</v>
      </c>
      <c r="X135" s="65">
        <f>+IF(ISERROR(V135*(1-O135)),"",(V135*(1-O135)))</f>
        <v>173673.66</v>
      </c>
      <c r="Y135" s="73"/>
      <c r="Z135" s="74"/>
      <c r="AA135" s="75"/>
      <c r="AC135" s="3"/>
      <c r="AD135" s="55"/>
      <c r="AE135" s="55"/>
      <c r="AF135" s="55"/>
      <c r="AG135" s="55"/>
      <c r="AH135" s="55"/>
      <c r="AI135" s="55"/>
      <c r="AJ135" s="55"/>
      <c r="AK135" s="76"/>
      <c r="AL135" s="55"/>
      <c r="AM135" s="55"/>
      <c r="AN135" s="55"/>
      <c r="AO135" s="55"/>
      <c r="AP135" s="76"/>
      <c r="AQ135" s="76"/>
      <c r="AR135" s="77">
        <f t="shared" si="82"/>
        <v>173673.66</v>
      </c>
      <c r="AS135" s="78">
        <v>0</v>
      </c>
      <c r="AU135" s="127"/>
      <c r="AV135" s="79"/>
    </row>
    <row r="136" spans="1:48" x14ac:dyDescent="0.2">
      <c r="A136" s="45"/>
      <c r="B136" s="46"/>
      <c r="C136" s="47"/>
      <c r="D136" s="48"/>
      <c r="E136" s="47"/>
      <c r="F136" s="48"/>
      <c r="G136" s="109"/>
      <c r="I136" s="50">
        <v>0.33333333333333331</v>
      </c>
      <c r="J136" s="51"/>
      <c r="K136" s="128"/>
      <c r="L136" s="50"/>
      <c r="M136" s="48"/>
      <c r="N136" s="129"/>
      <c r="O136" s="52"/>
      <c r="P136" s="48"/>
      <c r="Q136" s="52"/>
      <c r="R136" s="48"/>
      <c r="S136" s="49"/>
      <c r="T136" s="14"/>
      <c r="U136"/>
      <c r="V136" s="48"/>
      <c r="W136" s="130"/>
      <c r="X136" s="49"/>
      <c r="AR136" s="110" t="str">
        <f t="shared" si="82"/>
        <v/>
      </c>
      <c r="AS136" s="111" t="s">
        <v>162</v>
      </c>
    </row>
    <row r="137" spans="1:48" x14ac:dyDescent="0.2">
      <c r="A137" s="83"/>
      <c r="B137" s="61"/>
      <c r="C137" s="118">
        <v>100010689</v>
      </c>
      <c r="D137" s="61" t="s">
        <v>189</v>
      </c>
      <c r="E137" s="119"/>
      <c r="F137" s="131">
        <v>22</v>
      </c>
      <c r="G137" s="66">
        <v>1</v>
      </c>
      <c r="H137" s="122"/>
      <c r="I137" s="65">
        <f t="shared" ref="I137:I142" si="105">IFERROR(L137*(1+$I$136)*1.105,)</f>
        <v>24420.5</v>
      </c>
      <c r="J137" s="65">
        <f t="shared" si="103"/>
        <v>21978.45</v>
      </c>
      <c r="K137" s="117">
        <f t="shared" ref="K137:K142" si="106">IFERROR(((I137/1.105)-L137)/(I137/1.105),)</f>
        <v>0.25</v>
      </c>
      <c r="L137" s="65">
        <f t="shared" ref="L137:L142" si="107">+IF(ISERROR(N137/G137),"",(N137/G137))</f>
        <v>16575</v>
      </c>
      <c r="M137" s="65">
        <f t="shared" ref="M137:M142" si="108">+IF(ISERROR(N137/G137),"",(N137/G137))</f>
        <v>16575</v>
      </c>
      <c r="N137" s="68">
        <v>16575</v>
      </c>
      <c r="O137" s="72"/>
      <c r="P137" s="65">
        <f t="shared" ref="P137:P142" si="109">+IF(ISERROR(N137/(1-O137)),"",(N137/(1-O137)))</f>
        <v>16575</v>
      </c>
      <c r="Q137" s="72"/>
      <c r="R137" s="65">
        <f t="shared" ref="R137:R142" si="110">+IF(ISERROR(P137/(1-Q137)),"",(P137/(1-Q137)))</f>
        <v>16575</v>
      </c>
      <c r="S137" s="65">
        <f t="shared" ref="S137:S142" si="111">+IF(ISERROR(R137/G137),"",(R137/G137))</f>
        <v>16575</v>
      </c>
      <c r="T137" s="14"/>
      <c r="U137"/>
      <c r="V137" s="67">
        <v>16575</v>
      </c>
      <c r="W137" s="72">
        <f t="shared" ref="W137:W142" si="112">+IF(ISERROR(N137/V137-1),"",(N137/V137-1))</f>
        <v>0</v>
      </c>
      <c r="X137" s="65">
        <f t="shared" ref="X137:X142" si="113">+IF(ISERROR(V137*(1-O137)),"",(V137*(1-O137)))</f>
        <v>16575</v>
      </c>
      <c r="AR137" s="77">
        <f t="shared" si="82"/>
        <v>16575</v>
      </c>
      <c r="AS137" s="78">
        <v>0</v>
      </c>
    </row>
    <row r="138" spans="1:48" x14ac:dyDescent="0.2">
      <c r="A138" s="83"/>
      <c r="B138" s="61"/>
      <c r="C138" s="118">
        <v>100518335</v>
      </c>
      <c r="D138" s="61" t="s">
        <v>190</v>
      </c>
      <c r="E138" s="119"/>
      <c r="F138" s="131">
        <v>22.5</v>
      </c>
      <c r="G138" s="66">
        <v>1</v>
      </c>
      <c r="H138" s="122"/>
      <c r="I138" s="65">
        <f t="shared" si="105"/>
        <v>17443.214285714283</v>
      </c>
      <c r="J138" s="65">
        <f t="shared" si="103"/>
        <v>15698.892857142855</v>
      </c>
      <c r="K138" s="117">
        <f t="shared" si="106"/>
        <v>0.24999999999999989</v>
      </c>
      <c r="L138" s="65">
        <f t="shared" si="107"/>
        <v>11839.285714285714</v>
      </c>
      <c r="M138" s="65">
        <f t="shared" si="108"/>
        <v>11839.285714285714</v>
      </c>
      <c r="N138" s="68">
        <v>11839.285714285714</v>
      </c>
      <c r="O138" s="72"/>
      <c r="P138" s="65">
        <f t="shared" si="109"/>
        <v>11839.285714285714</v>
      </c>
      <c r="Q138" s="72"/>
      <c r="R138" s="65">
        <f t="shared" si="110"/>
        <v>11839.285714285714</v>
      </c>
      <c r="S138" s="65">
        <f t="shared" si="111"/>
        <v>11839.285714285714</v>
      </c>
      <c r="T138" s="14"/>
      <c r="U138"/>
      <c r="V138" s="67">
        <v>11839.29</v>
      </c>
      <c r="W138" s="72">
        <f t="shared" si="112"/>
        <v>-3.6199081931975741E-7</v>
      </c>
      <c r="X138" s="65">
        <f t="shared" si="113"/>
        <v>11839.29</v>
      </c>
      <c r="AR138" s="77">
        <f t="shared" si="82"/>
        <v>11839.285714285714</v>
      </c>
      <c r="AS138" s="78">
        <v>0</v>
      </c>
    </row>
    <row r="139" spans="1:48" x14ac:dyDescent="0.2">
      <c r="A139" s="83"/>
      <c r="B139" s="61"/>
      <c r="C139" s="118">
        <v>100518332</v>
      </c>
      <c r="D139" s="61" t="s">
        <v>191</v>
      </c>
      <c r="E139" s="119"/>
      <c r="F139" s="131">
        <v>21.5</v>
      </c>
      <c r="G139" s="66">
        <v>1</v>
      </c>
      <c r="H139" s="122"/>
      <c r="I139" s="65">
        <f t="shared" si="105"/>
        <v>20059.696428571428</v>
      </c>
      <c r="J139" s="65">
        <f t="shared" si="103"/>
        <v>18053.726785714287</v>
      </c>
      <c r="K139" s="117">
        <f t="shared" si="106"/>
        <v>0.25</v>
      </c>
      <c r="L139" s="65">
        <f t="shared" si="107"/>
        <v>13615.178571428571</v>
      </c>
      <c r="M139" s="65">
        <f t="shared" si="108"/>
        <v>13615.178571428571</v>
      </c>
      <c r="N139" s="68">
        <v>13615.178571428571</v>
      </c>
      <c r="O139" s="72"/>
      <c r="P139" s="65">
        <f t="shared" si="109"/>
        <v>13615.178571428571</v>
      </c>
      <c r="Q139" s="72"/>
      <c r="R139" s="65">
        <f t="shared" si="110"/>
        <v>13615.178571428571</v>
      </c>
      <c r="S139" s="65">
        <f t="shared" si="111"/>
        <v>13615.178571428571</v>
      </c>
      <c r="T139" s="14"/>
      <c r="U139"/>
      <c r="V139" s="67">
        <v>13615.18</v>
      </c>
      <c r="W139" s="72">
        <f t="shared" si="112"/>
        <v>-1.0492490221114537E-7</v>
      </c>
      <c r="X139" s="65">
        <f t="shared" si="113"/>
        <v>13615.18</v>
      </c>
      <c r="AR139" s="77">
        <f t="shared" ref="AR139:AR155" si="114">+IFERROR(N139*(1+AS139),"")</f>
        <v>13615.178571428571</v>
      </c>
      <c r="AS139" s="78">
        <v>0</v>
      </c>
    </row>
    <row r="140" spans="1:48" x14ac:dyDescent="0.2">
      <c r="A140" s="83"/>
      <c r="B140" s="61"/>
      <c r="C140" s="118">
        <v>100518334</v>
      </c>
      <c r="D140" s="61" t="s">
        <v>192</v>
      </c>
      <c r="E140" s="119"/>
      <c r="F140" s="131">
        <v>22.5</v>
      </c>
      <c r="G140" s="66">
        <v>1</v>
      </c>
      <c r="H140" s="122"/>
      <c r="I140" s="65">
        <f t="shared" si="105"/>
        <v>17792.078571428574</v>
      </c>
      <c r="J140" s="65">
        <f t="shared" si="103"/>
        <v>16012.870714285717</v>
      </c>
      <c r="K140" s="117">
        <f t="shared" si="106"/>
        <v>0.24999999999999997</v>
      </c>
      <c r="L140" s="65">
        <f t="shared" si="107"/>
        <v>12076.071428571431</v>
      </c>
      <c r="M140" s="65">
        <f t="shared" si="108"/>
        <v>12076.071428571431</v>
      </c>
      <c r="N140" s="68">
        <v>12076.071428571431</v>
      </c>
      <c r="O140" s="72"/>
      <c r="P140" s="65">
        <f t="shared" si="109"/>
        <v>12076.071428571431</v>
      </c>
      <c r="Q140" s="72"/>
      <c r="R140" s="65">
        <f t="shared" si="110"/>
        <v>12076.071428571431</v>
      </c>
      <c r="S140" s="65">
        <f t="shared" si="111"/>
        <v>12076.071428571431</v>
      </c>
      <c r="T140" s="14"/>
      <c r="U140"/>
      <c r="V140" s="67">
        <v>12076.07</v>
      </c>
      <c r="W140" s="72">
        <f t="shared" si="112"/>
        <v>1.1829771029425729E-7</v>
      </c>
      <c r="X140" s="65">
        <f t="shared" si="113"/>
        <v>12076.07</v>
      </c>
      <c r="AR140" s="77">
        <f t="shared" si="114"/>
        <v>12076.071428571431</v>
      </c>
      <c r="AS140" s="78">
        <v>0</v>
      </c>
    </row>
    <row r="141" spans="1:48" x14ac:dyDescent="0.2">
      <c r="A141" s="83"/>
      <c r="B141" s="61"/>
      <c r="C141" s="118">
        <v>100518227</v>
      </c>
      <c r="D141" s="61" t="s">
        <v>193</v>
      </c>
      <c r="E141" s="119"/>
      <c r="F141" s="131">
        <v>22.5</v>
      </c>
      <c r="G141" s="66">
        <v>1</v>
      </c>
      <c r="H141" s="122"/>
      <c r="I141" s="65">
        <f t="shared" si="105"/>
        <v>20582.992857142857</v>
      </c>
      <c r="J141" s="65">
        <f t="shared" si="103"/>
        <v>18524.693571428572</v>
      </c>
      <c r="K141" s="117">
        <f t="shared" si="106"/>
        <v>0.24999999999999994</v>
      </c>
      <c r="L141" s="65">
        <f t="shared" si="107"/>
        <v>13970.357142857145</v>
      </c>
      <c r="M141" s="65">
        <f t="shared" si="108"/>
        <v>13970.357142857145</v>
      </c>
      <c r="N141" s="68">
        <v>13970.357142857145</v>
      </c>
      <c r="O141" s="72"/>
      <c r="P141" s="65">
        <f t="shared" si="109"/>
        <v>13970.357142857145</v>
      </c>
      <c r="Q141" s="72"/>
      <c r="R141" s="65">
        <f t="shared" si="110"/>
        <v>13970.357142857145</v>
      </c>
      <c r="S141" s="65">
        <f t="shared" si="111"/>
        <v>13970.357142857145</v>
      </c>
      <c r="T141" s="14"/>
      <c r="U141"/>
      <c r="V141" s="67">
        <v>13970.36</v>
      </c>
      <c r="W141" s="72">
        <f t="shared" si="112"/>
        <v>-2.0451461923975955E-7</v>
      </c>
      <c r="X141" s="65">
        <f t="shared" si="113"/>
        <v>13970.36</v>
      </c>
      <c r="AR141" s="77">
        <f t="shared" si="114"/>
        <v>13970.357142857145</v>
      </c>
      <c r="AS141" s="78">
        <v>0</v>
      </c>
    </row>
    <row r="142" spans="1:48" x14ac:dyDescent="0.2">
      <c r="A142" s="83"/>
      <c r="B142" s="61"/>
      <c r="C142" s="118">
        <v>100027726</v>
      </c>
      <c r="D142" s="61" t="s">
        <v>194</v>
      </c>
      <c r="E142" s="119"/>
      <c r="F142" s="131">
        <v>22.5</v>
      </c>
      <c r="G142" s="66">
        <v>1</v>
      </c>
      <c r="H142" s="122"/>
      <c r="I142" s="65">
        <f t="shared" si="105"/>
        <v>11295.943533333333</v>
      </c>
      <c r="J142" s="65">
        <f>+I142*0.9</f>
        <v>10166.349179999999</v>
      </c>
      <c r="K142" s="117">
        <f t="shared" si="106"/>
        <v>0.25</v>
      </c>
      <c r="L142" s="65">
        <f t="shared" si="107"/>
        <v>7666.93</v>
      </c>
      <c r="M142" s="65">
        <f t="shared" si="108"/>
        <v>7666.93</v>
      </c>
      <c r="N142" s="68">
        <v>7666.93</v>
      </c>
      <c r="O142" s="72"/>
      <c r="P142" s="65">
        <f t="shared" si="109"/>
        <v>7666.93</v>
      </c>
      <c r="Q142" s="72"/>
      <c r="R142" s="65">
        <f t="shared" si="110"/>
        <v>7666.93</v>
      </c>
      <c r="S142" s="65">
        <f t="shared" si="111"/>
        <v>7666.93</v>
      </c>
      <c r="T142" s="14"/>
      <c r="U142"/>
      <c r="V142" s="67">
        <v>7666.93</v>
      </c>
      <c r="W142" s="72">
        <f t="shared" si="112"/>
        <v>0</v>
      </c>
      <c r="X142" s="65">
        <f t="shared" si="113"/>
        <v>7666.93</v>
      </c>
      <c r="AR142" s="77">
        <f t="shared" si="114"/>
        <v>7666.93</v>
      </c>
      <c r="AS142" s="78">
        <v>0</v>
      </c>
    </row>
    <row r="143" spans="1:48" x14ac:dyDescent="0.2">
      <c r="A143" s="45"/>
      <c r="B143" s="46"/>
      <c r="C143" s="47"/>
      <c r="D143" s="48"/>
      <c r="E143" s="47"/>
      <c r="F143" s="48"/>
      <c r="G143" s="109"/>
      <c r="I143" s="50"/>
      <c r="J143" s="51"/>
      <c r="K143" s="128"/>
      <c r="L143" s="50"/>
      <c r="M143" s="48"/>
      <c r="N143" s="129"/>
      <c r="O143" s="52"/>
      <c r="P143" s="48"/>
      <c r="Q143" s="52"/>
      <c r="R143" s="48"/>
      <c r="S143" s="49"/>
      <c r="T143" s="14"/>
      <c r="U143"/>
      <c r="V143" s="48"/>
      <c r="W143" s="130"/>
      <c r="X143" s="49"/>
      <c r="AR143" s="110" t="str">
        <f t="shared" si="114"/>
        <v/>
      </c>
      <c r="AS143" s="111" t="s">
        <v>162</v>
      </c>
    </row>
    <row r="144" spans="1:48" x14ac:dyDescent="0.2">
      <c r="A144" s="83" t="s">
        <v>195</v>
      </c>
      <c r="B144" s="61" t="s">
        <v>196</v>
      </c>
      <c r="C144" s="118">
        <v>100520837</v>
      </c>
      <c r="D144" s="61" t="s">
        <v>197</v>
      </c>
      <c r="E144" s="119">
        <v>7790360980625</v>
      </c>
      <c r="F144" s="131">
        <v>4.8</v>
      </c>
      <c r="G144" s="66">
        <v>12</v>
      </c>
      <c r="H144" s="122"/>
      <c r="I144" s="65">
        <f>IFERROR(L144*1.35*1.21,)</f>
        <v>5805.1953531000008</v>
      </c>
      <c r="J144" s="65">
        <f t="shared" si="103"/>
        <v>5224.675817790001</v>
      </c>
      <c r="K144" s="117">
        <f>IFERROR(((I144/1.21)-L144)/(I144/1.21),)</f>
        <v>0.25925925925925924</v>
      </c>
      <c r="L144" s="65">
        <f>+IF(ISERROR(N144/G144),"",(N144/G144))</f>
        <v>3553.8386000000005</v>
      </c>
      <c r="M144" s="65">
        <f>+IF(ISERROR(N144/F144),"",(N144/F144))</f>
        <v>8884.5965000000015</v>
      </c>
      <c r="N144" s="68">
        <v>42646.063200000004</v>
      </c>
      <c r="O144" s="72"/>
      <c r="P144" s="65">
        <f>+IF(ISERROR(N144/(1-O144)),"",(N144/(1-O144)))</f>
        <v>42646.063200000004</v>
      </c>
      <c r="Q144" s="72"/>
      <c r="R144" s="65">
        <f>+IF(ISERROR(P144/(1-Q144)),"",(P144/(1-Q144)))</f>
        <v>42646.063200000004</v>
      </c>
      <c r="S144" s="65">
        <f>+IF(ISERROR(R144/G144),"",(R144/G144))</f>
        <v>3553.8386000000005</v>
      </c>
      <c r="T144" s="14"/>
      <c r="U144" s="71"/>
      <c r="V144" s="67">
        <v>41005.83</v>
      </c>
      <c r="W144" s="72">
        <f>+IF(ISERROR(N144/V144-1),"",(N144/V144-1))</f>
        <v>4.0000000000000036E-2</v>
      </c>
      <c r="X144" s="65">
        <f>+IF(ISERROR(V144*(1-O144)),"",(V144*(1-O144)))</f>
        <v>41005.83</v>
      </c>
      <c r="AR144" s="77">
        <f t="shared" si="114"/>
        <v>44351.905728000005</v>
      </c>
      <c r="AS144" s="78">
        <v>0.04</v>
      </c>
    </row>
    <row r="145" spans="1:45" x14ac:dyDescent="0.2">
      <c r="A145" s="83" t="s">
        <v>195</v>
      </c>
      <c r="B145" s="61" t="s">
        <v>196</v>
      </c>
      <c r="C145" s="118">
        <v>100522395</v>
      </c>
      <c r="D145" s="61" t="s">
        <v>198</v>
      </c>
      <c r="E145" s="119">
        <v>7790360985101</v>
      </c>
      <c r="F145" s="131">
        <v>4.8</v>
      </c>
      <c r="G145" s="66">
        <v>12</v>
      </c>
      <c r="H145" s="122"/>
      <c r="I145" s="65">
        <f>IFERROR(L145*1.35*1.21,)</f>
        <v>5921.2997415</v>
      </c>
      <c r="J145" s="65">
        <f>+I145*0.9</f>
        <v>5329.1697673500003</v>
      </c>
      <c r="K145" s="117">
        <f>IFERROR(((I145/1.21)-L145)/(I145/1.21),)</f>
        <v>0.25925925925925936</v>
      </c>
      <c r="L145" s="65">
        <f>+IF(ISERROR(N145/G145),"",(N145/G145))</f>
        <v>3624.9156666666663</v>
      </c>
      <c r="M145" s="65">
        <f>+IF(ISERROR(N145/F145),"",(N145/F145))</f>
        <v>9062.2891666666674</v>
      </c>
      <c r="N145" s="68">
        <v>43498.987999999998</v>
      </c>
      <c r="O145" s="72"/>
      <c r="P145" s="65">
        <f>+IF(ISERROR(N145/(1-O145)),"",(N145/(1-O145)))</f>
        <v>43498.987999999998</v>
      </c>
      <c r="Q145" s="72"/>
      <c r="R145" s="65">
        <f>+IF(ISERROR(P145/(1-Q145)),"",(P145/(1-Q145)))</f>
        <v>43498.987999999998</v>
      </c>
      <c r="S145" s="65">
        <f>+IF(ISERROR(R145/G145),"",(R145/G145))</f>
        <v>3624.9156666666663</v>
      </c>
      <c r="T145" s="14"/>
      <c r="U145" s="71"/>
      <c r="V145" s="67">
        <v>41825.949999999997</v>
      </c>
      <c r="W145" s="72">
        <f>+IF(ISERROR(N145/V145-1),"",(N145/V145-1))</f>
        <v>4.0000000000000036E-2</v>
      </c>
      <c r="X145" s="65">
        <f>+IF(ISERROR(V145*(1-O145)),"",(V145*(1-O145)))</f>
        <v>41825.949999999997</v>
      </c>
      <c r="AR145" s="77">
        <f t="shared" si="114"/>
        <v>45238.947520000002</v>
      </c>
      <c r="AS145" s="78">
        <v>0.04</v>
      </c>
    </row>
    <row r="146" spans="1:45" x14ac:dyDescent="0.2">
      <c r="A146" s="116" t="s">
        <v>195</v>
      </c>
      <c r="B146" s="99" t="s">
        <v>196</v>
      </c>
      <c r="C146" s="132">
        <v>100522561</v>
      </c>
      <c r="D146" s="99" t="s">
        <v>199</v>
      </c>
      <c r="E146" s="133"/>
      <c r="F146" s="134">
        <v>16</v>
      </c>
      <c r="G146" s="104">
        <v>8</v>
      </c>
      <c r="H146" s="122"/>
      <c r="I146" s="65">
        <f>IFERROR(L146*1.35*1.21,)</f>
        <v>1757.8853077499996</v>
      </c>
      <c r="J146" s="65">
        <f>+I146*0.9</f>
        <v>1582.0967769749996</v>
      </c>
      <c r="K146" s="117">
        <f>IFERROR(((I146/1.21)-L146)/(I146/1.21),)</f>
        <v>0.25925925925925924</v>
      </c>
      <c r="L146" s="65">
        <f>+IF(ISERROR(N146/G146),"",(N146/G146))</f>
        <v>1076.1464999999998</v>
      </c>
      <c r="M146" s="65">
        <f>+IF(ISERROR(N146/F146),"",(N146/F146))</f>
        <v>538.07324999999992</v>
      </c>
      <c r="N146" s="107">
        <v>8609.1719999999987</v>
      </c>
      <c r="O146" s="72"/>
      <c r="P146" s="65">
        <f>+IF(ISERROR(N146/(1-O146)),"",(N146/(1-O146)))</f>
        <v>8609.1719999999987</v>
      </c>
      <c r="Q146" s="72"/>
      <c r="R146" s="65">
        <f>+IF(ISERROR(P146/(1-Q146)),"",(P146/(1-Q146)))</f>
        <v>8609.1719999999987</v>
      </c>
      <c r="S146" s="65">
        <f>+IF(ISERROR(R146/G146),"",(R146/G146))</f>
        <v>1076.1464999999998</v>
      </c>
      <c r="T146" s="14"/>
      <c r="U146" s="71"/>
      <c r="V146" s="67">
        <v>8278.0499999999993</v>
      </c>
      <c r="W146" s="72">
        <f>+IF(ISERROR(N146/V146-1),"",(N146/V146-1))</f>
        <v>4.0000000000000036E-2</v>
      </c>
      <c r="X146" s="65">
        <f>+IF(ISERROR(V146*(1-O146)),"",(V146*(1-O146)))</f>
        <v>8278.0499999999993</v>
      </c>
      <c r="AR146" s="77">
        <f t="shared" si="114"/>
        <v>8953.5388799999982</v>
      </c>
      <c r="AS146" s="78">
        <v>0.04</v>
      </c>
    </row>
    <row r="147" spans="1:45" x14ac:dyDescent="0.2">
      <c r="A147" s="45"/>
      <c r="B147" s="46"/>
      <c r="C147" s="47"/>
      <c r="D147" s="48"/>
      <c r="E147" s="47"/>
      <c r="F147" s="48"/>
      <c r="G147" s="109"/>
      <c r="I147" s="50"/>
      <c r="J147" s="51"/>
      <c r="K147" s="128"/>
      <c r="L147" s="50"/>
      <c r="M147" s="48"/>
      <c r="N147" s="129"/>
      <c r="O147" s="52"/>
      <c r="P147" s="48"/>
      <c r="Q147" s="52"/>
      <c r="R147" s="48"/>
      <c r="S147" s="49"/>
      <c r="T147" s="14"/>
      <c r="U147"/>
      <c r="V147" s="48"/>
      <c r="W147" s="130"/>
      <c r="X147" s="49"/>
      <c r="AR147" s="110" t="str">
        <f t="shared" si="114"/>
        <v/>
      </c>
      <c r="AS147" s="111" t="s">
        <v>162</v>
      </c>
    </row>
    <row r="148" spans="1:45" x14ac:dyDescent="0.2">
      <c r="A148" s="83"/>
      <c r="B148" s="61"/>
      <c r="C148" s="118">
        <v>100520902</v>
      </c>
      <c r="D148" s="61" t="s">
        <v>200</v>
      </c>
      <c r="E148" s="119">
        <v>7790360981042</v>
      </c>
      <c r="F148" s="131">
        <v>9.8000000000000007</v>
      </c>
      <c r="G148" s="66">
        <v>14</v>
      </c>
      <c r="H148" s="122"/>
      <c r="I148" s="65">
        <f>IFERROR(L148*1.35*1.21,)</f>
        <v>4233.2366605178577</v>
      </c>
      <c r="J148" s="65">
        <f t="shared" si="103"/>
        <v>3809.9129944660722</v>
      </c>
      <c r="K148" s="117">
        <f>IFERROR(((I148/1.21)-L148)/(I148/1.21),)</f>
        <v>0.25925925925925936</v>
      </c>
      <c r="L148" s="65">
        <f>+IF(ISERROR(N148/G148),"",(N148/G148))</f>
        <v>2591.5131071428573</v>
      </c>
      <c r="M148" s="65">
        <f>+IF(ISERROR(N148/F148),"",(N148/F148))</f>
        <v>3702.1615816326525</v>
      </c>
      <c r="N148" s="68">
        <v>36281.183499999999</v>
      </c>
      <c r="O148" s="72"/>
      <c r="P148" s="65">
        <f>+IF(ISERROR(N148/(1-O148)),"",(N148/(1-O148)))</f>
        <v>36281.183499999999</v>
      </c>
      <c r="Q148" s="72"/>
      <c r="R148" s="65">
        <f>+IF(ISERROR(P148/(1-Q148)),"",(P148/(1-Q148)))</f>
        <v>36281.183499999999</v>
      </c>
      <c r="S148" s="65">
        <f>+IF(ISERROR(R148/G148),"",(R148/G148))</f>
        <v>2591.5131071428573</v>
      </c>
      <c r="T148" s="14"/>
      <c r="U148" s="71"/>
      <c r="V148" s="67">
        <v>35224.449999999997</v>
      </c>
      <c r="W148" s="72">
        <f>+IF(ISERROR(N148/V148-1),"",(N148/V148-1))</f>
        <v>3.0000000000000027E-2</v>
      </c>
      <c r="X148" s="65">
        <f>+IF(ISERROR(V148*(1-O148)),"",(V148*(1-O148)))</f>
        <v>35224.449999999997</v>
      </c>
      <c r="AR148" s="77">
        <f t="shared" si="114"/>
        <v>38095.242675000001</v>
      </c>
      <c r="AS148" s="78">
        <v>0.05</v>
      </c>
    </row>
    <row r="149" spans="1:45" x14ac:dyDescent="0.2">
      <c r="A149" s="116"/>
      <c r="B149" s="99"/>
      <c r="C149" s="132">
        <v>100522698</v>
      </c>
      <c r="D149" s="99" t="s">
        <v>201</v>
      </c>
      <c r="E149" s="133">
        <v>7790360986511</v>
      </c>
      <c r="F149" s="134">
        <v>14</v>
      </c>
      <c r="G149" s="104">
        <v>7</v>
      </c>
      <c r="H149" s="122"/>
      <c r="I149" s="65">
        <f>IFERROR(L149*1.35*1.21,)</f>
        <v>10500.000319285715</v>
      </c>
      <c r="J149" s="65">
        <f t="shared" si="103"/>
        <v>9450.000287357143</v>
      </c>
      <c r="K149" s="117">
        <f>IFERROR(((I149/1.21)-L149)/(I149/1.21),)</f>
        <v>0.2592592592592593</v>
      </c>
      <c r="L149" s="65">
        <f>+IF(ISERROR(N149/G149),"",(N149/G149))</f>
        <v>6427.9157142857148</v>
      </c>
      <c r="M149" s="65">
        <f>+IF(ISERROR(N149/F149),"",(N149/F149))</f>
        <v>3213.9578571428574</v>
      </c>
      <c r="N149" s="68">
        <v>44995.41</v>
      </c>
      <c r="O149" s="108"/>
      <c r="P149" s="65">
        <f>+IF(ISERROR(N149/(1-O149)),"",(N149/(1-O149)))</f>
        <v>44995.41</v>
      </c>
      <c r="Q149" s="72"/>
      <c r="R149" s="65">
        <f>+IF(ISERROR(P149/(1-Q149)),"",(P149/(1-Q149)))</f>
        <v>44995.41</v>
      </c>
      <c r="S149" s="65">
        <f>+IF(ISERROR(R149/G149),"",(R149/G149))</f>
        <v>6427.9157142857148</v>
      </c>
      <c r="T149" s="14"/>
      <c r="U149"/>
      <c r="V149" s="67">
        <v>44995.41</v>
      </c>
      <c r="W149" s="72">
        <f>+IF(ISERROR(N149/V149-1),"",(N149/V149-1))</f>
        <v>0</v>
      </c>
      <c r="X149" s="65">
        <f>+IF(ISERROR(V149*(1-O149)),"",(V149*(1-O149)))</f>
        <v>44995.41</v>
      </c>
      <c r="AR149" s="77">
        <f t="shared" si="114"/>
        <v>44995.41</v>
      </c>
      <c r="AS149" s="78">
        <v>0</v>
      </c>
    </row>
    <row r="150" spans="1:45" x14ac:dyDescent="0.2">
      <c r="A150" s="45"/>
      <c r="B150" s="46"/>
      <c r="C150" s="47"/>
      <c r="D150" s="48"/>
      <c r="E150" s="47"/>
      <c r="F150" s="48"/>
      <c r="G150" s="109"/>
      <c r="I150" s="50"/>
      <c r="J150" s="51"/>
      <c r="K150" s="128"/>
      <c r="L150" s="50"/>
      <c r="M150" s="48"/>
      <c r="N150" s="129"/>
      <c r="O150" s="52"/>
      <c r="P150" s="48"/>
      <c r="Q150" s="52"/>
      <c r="R150" s="48"/>
      <c r="S150" s="49"/>
      <c r="T150" s="14"/>
      <c r="U150" s="135"/>
      <c r="V150" s="48"/>
      <c r="W150" s="130"/>
      <c r="X150" s="49"/>
      <c r="AR150" s="110" t="str">
        <f t="shared" si="114"/>
        <v/>
      </c>
      <c r="AS150" s="111" t="s">
        <v>162</v>
      </c>
    </row>
    <row r="151" spans="1:45" x14ac:dyDescent="0.2">
      <c r="A151" s="83" t="s">
        <v>149</v>
      </c>
      <c r="B151" s="83" t="s">
        <v>202</v>
      </c>
      <c r="C151" s="118">
        <v>100521457</v>
      </c>
      <c r="D151" s="61" t="s">
        <v>203</v>
      </c>
      <c r="E151" s="119">
        <v>7790360982254</v>
      </c>
      <c r="F151" s="131">
        <v>4.8</v>
      </c>
      <c r="G151" s="66">
        <v>16</v>
      </c>
      <c r="H151" s="122"/>
      <c r="I151" s="65">
        <f>IFERROR(L151*1.35*1.21,)</f>
        <v>4340.8763763750003</v>
      </c>
      <c r="J151" s="65">
        <f t="shared" si="103"/>
        <v>3906.7887387375004</v>
      </c>
      <c r="K151" s="136">
        <f>IFERROR(((I151/1.21)-L151)/(I151/1.21),)</f>
        <v>0.25925925925925936</v>
      </c>
      <c r="L151" s="65">
        <f>+IF(ISERROR(N151/G151),"",(N151/G151))</f>
        <v>2657.40825</v>
      </c>
      <c r="M151" s="65">
        <f>+IF(ISERROR(N151/F151),"",(N151/F151))</f>
        <v>8858.0275000000001</v>
      </c>
      <c r="N151" s="68">
        <v>42518.531999999999</v>
      </c>
      <c r="O151" s="72"/>
      <c r="P151" s="65">
        <f>+IF(ISERROR(N151/(1-O151)),"",(N151/(1-O151)))</f>
        <v>42518.531999999999</v>
      </c>
      <c r="Q151" s="72"/>
      <c r="R151" s="65">
        <f>+IF(ISERROR(P151/(1-Q151)),"",(P151/(1-Q151)))</f>
        <v>42518.531999999999</v>
      </c>
      <c r="S151" s="65">
        <f>+IF(ISERROR(R151/G151),"",(R151/G151))</f>
        <v>2657.40825</v>
      </c>
      <c r="T151" s="14"/>
      <c r="U151" s="71"/>
      <c r="V151" s="67">
        <v>40493.839999999997</v>
      </c>
      <c r="W151" s="123">
        <f>+IF(ISERROR(N151/V151-1),"",(N151/V151-1))</f>
        <v>5.0000000000000044E-2</v>
      </c>
      <c r="X151" s="120">
        <f>+IF(ISERROR(V151*(1-O151)),"",(V151*(1-O151)))</f>
        <v>40493.839999999997</v>
      </c>
      <c r="AR151" s="77">
        <f t="shared" si="114"/>
        <v>44644.458599999998</v>
      </c>
      <c r="AS151" s="78">
        <v>0.05</v>
      </c>
    </row>
    <row r="152" spans="1:45" x14ac:dyDescent="0.2">
      <c r="A152" s="83" t="s">
        <v>149</v>
      </c>
      <c r="B152" s="83" t="s">
        <v>202</v>
      </c>
      <c r="C152" s="118">
        <v>100521455</v>
      </c>
      <c r="D152" s="61" t="s">
        <v>204</v>
      </c>
      <c r="E152" s="119">
        <v>7790360982247</v>
      </c>
      <c r="F152" s="131">
        <v>4.8</v>
      </c>
      <c r="G152" s="66">
        <v>16</v>
      </c>
      <c r="H152" s="122"/>
      <c r="I152" s="65">
        <f>IFERROR(L152*1.35*1.21,)</f>
        <v>4340.8763763750003</v>
      </c>
      <c r="J152" s="65">
        <f t="shared" si="103"/>
        <v>3906.7887387375004</v>
      </c>
      <c r="K152" s="136">
        <f>IFERROR(((I152/1.21)-L152)/(I152/1.21),)</f>
        <v>0.25925925925925936</v>
      </c>
      <c r="L152" s="65">
        <f>+IF(ISERROR(N152/G152),"",(N152/G152))</f>
        <v>2657.40825</v>
      </c>
      <c r="M152" s="65">
        <f>+IF(ISERROR(N152/F152),"",(N152/F152))</f>
        <v>8858.0275000000001</v>
      </c>
      <c r="N152" s="68">
        <v>42518.531999999999</v>
      </c>
      <c r="O152" s="72"/>
      <c r="P152" s="65">
        <f>+IF(ISERROR(N152/(1-O152)),"",(N152/(1-O152)))</f>
        <v>42518.531999999999</v>
      </c>
      <c r="Q152" s="72"/>
      <c r="R152" s="65">
        <f>+IF(ISERROR(P152/(1-Q152)),"",(P152/(1-Q152)))</f>
        <v>42518.531999999999</v>
      </c>
      <c r="S152" s="65">
        <f>+IF(ISERROR(R152/G152),"",(R152/G152))</f>
        <v>2657.40825</v>
      </c>
      <c r="T152" s="14"/>
      <c r="U152" s="71"/>
      <c r="V152" s="67">
        <v>40493.839999999997</v>
      </c>
      <c r="W152" s="123">
        <f>+IF(ISERROR(N152/V152-1),"",(N152/V152-1))</f>
        <v>5.0000000000000044E-2</v>
      </c>
      <c r="X152" s="120">
        <f>+IF(ISERROR(V152*(1-O152)),"",(V152*(1-O152)))</f>
        <v>40493.839999999997</v>
      </c>
      <c r="AR152" s="77">
        <f t="shared" si="114"/>
        <v>44644.458599999998</v>
      </c>
      <c r="AS152" s="78">
        <v>0.05</v>
      </c>
    </row>
    <row r="153" spans="1:45" x14ac:dyDescent="0.2">
      <c r="A153" s="83" t="s">
        <v>149</v>
      </c>
      <c r="B153" s="83" t="s">
        <v>205</v>
      </c>
      <c r="C153" s="118">
        <v>100521453</v>
      </c>
      <c r="D153" s="61" t="s">
        <v>206</v>
      </c>
      <c r="E153" s="119">
        <v>7790360982223</v>
      </c>
      <c r="F153" s="131">
        <v>5.4</v>
      </c>
      <c r="G153" s="66">
        <v>18</v>
      </c>
      <c r="H153" s="122"/>
      <c r="I153" s="65">
        <f>IFERROR(L153*1.35*1.21,)</f>
        <v>3725.9185392000004</v>
      </c>
      <c r="J153" s="65">
        <f t="shared" si="103"/>
        <v>3353.3266852800002</v>
      </c>
      <c r="K153" s="136">
        <f>IFERROR(((I153/1.21)-L153)/(I153/1.21),)</f>
        <v>0.25925925925925936</v>
      </c>
      <c r="L153" s="65">
        <f>+IF(ISERROR(N153/G153),"",(N153/G153))</f>
        <v>2280.9418666666666</v>
      </c>
      <c r="M153" s="65">
        <f>+IF(ISERROR(N153/F153),"",(N153/F153))</f>
        <v>7603.1395555555555</v>
      </c>
      <c r="N153" s="68">
        <v>41056.953600000001</v>
      </c>
      <c r="O153" s="72"/>
      <c r="P153" s="65">
        <f>+IF(ISERROR(N153/(1-O153)),"",(N153/(1-O153)))</f>
        <v>41056.953600000001</v>
      </c>
      <c r="Q153" s="72"/>
      <c r="R153" s="65">
        <f>+IF(ISERROR(P153/(1-Q153)),"",(P153/(1-Q153)))</f>
        <v>41056.953600000001</v>
      </c>
      <c r="S153" s="65">
        <f>+IF(ISERROR(R153/G153),"",(R153/G153))</f>
        <v>2280.9418666666666</v>
      </c>
      <c r="T153" s="14"/>
      <c r="U153" s="71"/>
      <c r="V153" s="67">
        <v>39861.120000000003</v>
      </c>
      <c r="W153" s="123">
        <f>+IF(ISERROR(N153/V153-1),"",(N153/V153-1))</f>
        <v>3.0000000000000027E-2</v>
      </c>
      <c r="X153" s="120">
        <f>+IF(ISERROR(V153*(1-O153)),"",(V153*(1-O153)))</f>
        <v>39861.120000000003</v>
      </c>
      <c r="AR153" s="77">
        <f t="shared" si="114"/>
        <v>42288.662208000002</v>
      </c>
      <c r="AS153" s="78">
        <v>0.03</v>
      </c>
    </row>
    <row r="154" spans="1:45" ht="13.5" thickBot="1" x14ac:dyDescent="0.25">
      <c r="A154" s="83" t="s">
        <v>149</v>
      </c>
      <c r="B154" s="83" t="s">
        <v>205</v>
      </c>
      <c r="C154" s="118">
        <v>100521454</v>
      </c>
      <c r="D154" s="61" t="s">
        <v>207</v>
      </c>
      <c r="E154" s="119">
        <v>7790360982230</v>
      </c>
      <c r="F154" s="131">
        <v>5.3999999999999995</v>
      </c>
      <c r="G154" s="66">
        <v>18</v>
      </c>
      <c r="H154" s="122"/>
      <c r="I154" s="65">
        <f>IFERROR(L154*1.35*1.21,)</f>
        <v>3725.9185392000004</v>
      </c>
      <c r="J154" s="65">
        <f t="shared" si="103"/>
        <v>3353.3266852800002</v>
      </c>
      <c r="K154" s="136">
        <f>IFERROR(((I154/1.21)-L154)/(I154/1.21),)</f>
        <v>0.25925925925925936</v>
      </c>
      <c r="L154" s="65">
        <f>+IF(ISERROR(N154/G154),"",(N154/G154))</f>
        <v>2280.9418666666666</v>
      </c>
      <c r="M154" s="65">
        <f>+IF(ISERROR(N154/F154),"",(N154/F154))</f>
        <v>7603.1395555555564</v>
      </c>
      <c r="N154" s="68">
        <v>41056.953600000001</v>
      </c>
      <c r="O154" s="72"/>
      <c r="P154" s="65">
        <f>+IF(ISERROR(N154/(1-O154)),"",(N154/(1-O154)))</f>
        <v>41056.953600000001</v>
      </c>
      <c r="Q154" s="72"/>
      <c r="R154" s="65">
        <f>+IF(ISERROR(P154/(1-Q154)),"",(P154/(1-Q154)))</f>
        <v>41056.953600000001</v>
      </c>
      <c r="S154" s="65">
        <f>+IF(ISERROR(R154/G154),"",(R154/G154))</f>
        <v>2280.9418666666666</v>
      </c>
      <c r="T154" s="14"/>
      <c r="U154" s="71"/>
      <c r="V154" s="67">
        <v>39861.120000000003</v>
      </c>
      <c r="W154" s="123">
        <f>+IF(ISERROR(N154/V154-1),"",(N154/V154-1))</f>
        <v>3.0000000000000027E-2</v>
      </c>
      <c r="X154" s="120">
        <f>+IF(ISERROR(V154*(1-O154)),"",(V154*(1-O154)))</f>
        <v>39861.120000000003</v>
      </c>
      <c r="AR154" s="137">
        <f t="shared" si="114"/>
        <v>42288.662208000002</v>
      </c>
      <c r="AS154" s="138">
        <v>0.03</v>
      </c>
    </row>
    <row r="155" spans="1:45" x14ac:dyDescent="0.2">
      <c r="A155" s="45"/>
      <c r="B155" s="46"/>
      <c r="C155" s="47"/>
      <c r="D155" s="48"/>
      <c r="E155" s="47"/>
      <c r="F155" s="48"/>
      <c r="G155" s="109"/>
      <c r="I155" s="50"/>
      <c r="J155" s="51"/>
      <c r="K155" s="128"/>
      <c r="L155" s="50"/>
      <c r="M155" s="48"/>
      <c r="N155" s="129"/>
      <c r="O155" s="52"/>
      <c r="P155" s="48"/>
      <c r="Q155" s="52"/>
      <c r="R155" s="48"/>
      <c r="S155" s="49"/>
      <c r="T155" s="14"/>
      <c r="U155" s="135"/>
      <c r="V155" s="48"/>
      <c r="W155" s="130"/>
      <c r="X155" s="49"/>
      <c r="AR155" s="110" t="str">
        <f t="shared" si="114"/>
        <v/>
      </c>
      <c r="AS155" s="111" t="s">
        <v>162</v>
      </c>
    </row>
    <row r="156" spans="1:45" x14ac:dyDescent="0.2">
      <c r="A156" s="83" t="s">
        <v>208</v>
      </c>
      <c r="B156" s="61" t="s">
        <v>209</v>
      </c>
      <c r="C156" s="118">
        <v>100522246</v>
      </c>
      <c r="D156" s="61" t="s">
        <v>210</v>
      </c>
      <c r="E156" s="119">
        <v>7790360984234</v>
      </c>
      <c r="F156" s="131">
        <v>8.16</v>
      </c>
      <c r="G156" s="66">
        <v>48</v>
      </c>
      <c r="I156" s="65">
        <f>IFERROR(L156*1.25*1.21,)</f>
        <v>2676.8625000000002</v>
      </c>
      <c r="J156" s="65">
        <f t="shared" ref="J156:J157" si="115">+I156*0.9</f>
        <v>2409.1762500000004</v>
      </c>
      <c r="K156" s="136">
        <f>IFERROR(((I156/1.21)-L156)/(I156/1.21),)</f>
        <v>0.2</v>
      </c>
      <c r="L156" s="65">
        <f>+IF(ISERROR(N156/G156),"",(N156/G156))</f>
        <v>1769.8264462809918</v>
      </c>
      <c r="M156" s="65">
        <f>+IF(ISERROR(N156/F156),"",(N156/F156))</f>
        <v>10410.743801652892</v>
      </c>
      <c r="N156" s="68">
        <v>84951.669421487604</v>
      </c>
      <c r="O156" s="72"/>
      <c r="P156" s="65">
        <f>+IF(ISERROR(N156/(1-O156)),"",(N156/(1-O156)))</f>
        <v>84951.669421487604</v>
      </c>
      <c r="Q156" s="72"/>
      <c r="R156" s="65">
        <f>+IF(ISERROR(P156/(1-Q156)),"",(P156/(1-Q156)))</f>
        <v>84951.669421487604</v>
      </c>
      <c r="S156" s="65">
        <f>+IF(ISERROR(R156/G156),"",(R156/G156))</f>
        <v>1769.8264462809918</v>
      </c>
      <c r="T156" s="14"/>
      <c r="U156" s="71"/>
      <c r="V156" s="67">
        <v>84951.67</v>
      </c>
      <c r="W156" s="123">
        <f>+IF(ISERROR(N156/V156-1),"",(N156/V156-1))</f>
        <v>-6.8099001993005004E-9</v>
      </c>
      <c r="X156" s="120">
        <f>+IF(ISERROR(V156*(1-O156)),"",(V156*(1-O156)))</f>
        <v>84951.67</v>
      </c>
    </row>
    <row r="157" spans="1:45" x14ac:dyDescent="0.2">
      <c r="A157" s="83" t="s">
        <v>208</v>
      </c>
      <c r="B157" s="61" t="s">
        <v>211</v>
      </c>
      <c r="C157" s="118">
        <v>100522247</v>
      </c>
      <c r="D157" s="61" t="s">
        <v>212</v>
      </c>
      <c r="E157" s="119">
        <v>7790360984241</v>
      </c>
      <c r="F157" s="131">
        <v>8.16</v>
      </c>
      <c r="G157" s="66">
        <v>48</v>
      </c>
      <c r="I157" s="65">
        <f>IFERROR(L157*1.25*1.21,)</f>
        <v>2676.8625000000002</v>
      </c>
      <c r="J157" s="65">
        <f t="shared" si="115"/>
        <v>2409.1762500000004</v>
      </c>
      <c r="K157" s="136">
        <f>IFERROR(((I157/1.21)-L157)/(I157/1.21),)</f>
        <v>0.2</v>
      </c>
      <c r="L157" s="65">
        <f>+IF(ISERROR(N157/G157),"",(N157/G157))</f>
        <v>1769.8264462809918</v>
      </c>
      <c r="M157" s="65">
        <f>+IF(ISERROR(N157/F157),"",(N157/F157))</f>
        <v>10410.743801652892</v>
      </c>
      <c r="N157" s="68">
        <v>84951.669421487604</v>
      </c>
      <c r="O157" s="72"/>
      <c r="P157" s="65">
        <f>+IF(ISERROR(N157/(1-O157)),"",(N157/(1-O157)))</f>
        <v>84951.669421487604</v>
      </c>
      <c r="Q157" s="72"/>
      <c r="R157" s="65">
        <f>+IF(ISERROR(P157/(1-Q157)),"",(P157/(1-Q157)))</f>
        <v>84951.669421487604</v>
      </c>
      <c r="S157" s="65">
        <f>+IF(ISERROR(R157/G157),"",(R157/G157))</f>
        <v>1769.8264462809918</v>
      </c>
      <c r="T157" s="14"/>
      <c r="U157" s="71"/>
      <c r="V157" s="67">
        <v>84951.67</v>
      </c>
      <c r="W157" s="123">
        <f>+IF(ISERROR(N157/V157-1),"",(N157/V157-1))</f>
        <v>-6.8099001993005004E-9</v>
      </c>
      <c r="X157" s="120">
        <f>+IF(ISERROR(V157*(1-O157)),"",(V157*(1-O157)))</f>
        <v>84951.67</v>
      </c>
    </row>
    <row r="158" spans="1:45" x14ac:dyDescent="0.2">
      <c r="D158" s="8"/>
      <c r="E158" s="8"/>
      <c r="F158" s="8"/>
      <c r="N158" s="10"/>
    </row>
    <row r="159" spans="1:45" x14ac:dyDescent="0.2">
      <c r="D159" s="8"/>
      <c r="E159" s="8"/>
      <c r="F159" s="8"/>
      <c r="N159" s="10"/>
    </row>
    <row r="160" spans="1:45" x14ac:dyDescent="0.2">
      <c r="D160" s="8"/>
      <c r="E160" s="8"/>
      <c r="F160" s="8"/>
      <c r="N160" s="10"/>
    </row>
    <row r="161" spans="14:14" x14ac:dyDescent="0.2">
      <c r="N161" s="10"/>
    </row>
    <row r="162" spans="14:14" x14ac:dyDescent="0.2">
      <c r="N162" s="10"/>
    </row>
    <row r="163" spans="14:14" x14ac:dyDescent="0.2">
      <c r="N163" s="10"/>
    </row>
    <row r="164" spans="14:14" x14ac:dyDescent="0.2">
      <c r="N164" s="10"/>
    </row>
    <row r="165" spans="14:14" x14ac:dyDescent="0.2">
      <c r="N165" s="10"/>
    </row>
    <row r="166" spans="14:14" x14ac:dyDescent="0.2">
      <c r="N166" s="10"/>
    </row>
    <row r="167" spans="14:14" x14ac:dyDescent="0.2">
      <c r="N167" s="10"/>
    </row>
    <row r="168" spans="14:14" x14ac:dyDescent="0.2">
      <c r="N168" s="10"/>
    </row>
    <row r="169" spans="14:14" x14ac:dyDescent="0.2">
      <c r="N169" s="10"/>
    </row>
    <row r="170" spans="14:14" x14ac:dyDescent="0.2">
      <c r="N170" s="10"/>
    </row>
    <row r="171" spans="14:14" x14ac:dyDescent="0.2">
      <c r="N171" s="10"/>
    </row>
    <row r="172" spans="14:14" x14ac:dyDescent="0.2">
      <c r="N172" s="10"/>
    </row>
    <row r="173" spans="14:14" x14ac:dyDescent="0.2">
      <c r="N173" s="10"/>
    </row>
    <row r="174" spans="14:14" x14ac:dyDescent="0.2">
      <c r="N174" s="10"/>
    </row>
    <row r="175" spans="14:14" x14ac:dyDescent="0.2">
      <c r="N175" s="10"/>
    </row>
    <row r="176" spans="14:14" x14ac:dyDescent="0.2">
      <c r="N176" s="10"/>
    </row>
    <row r="177" spans="14:14" x14ac:dyDescent="0.2">
      <c r="N177" s="10"/>
    </row>
    <row r="178" spans="14:14" x14ac:dyDescent="0.2">
      <c r="N178" s="10"/>
    </row>
    <row r="179" spans="14:14" x14ac:dyDescent="0.2">
      <c r="N179" s="10"/>
    </row>
    <row r="180" spans="14:14" x14ac:dyDescent="0.2">
      <c r="N180" s="10"/>
    </row>
    <row r="181" spans="14:14" x14ac:dyDescent="0.2">
      <c r="N181" s="10"/>
    </row>
    <row r="182" spans="14:14" x14ac:dyDescent="0.2">
      <c r="N182" s="10"/>
    </row>
    <row r="183" spans="14:14" x14ac:dyDescent="0.2">
      <c r="N183" s="10"/>
    </row>
    <row r="184" spans="14:14" x14ac:dyDescent="0.2">
      <c r="N184" s="10"/>
    </row>
    <row r="185" spans="14:14" x14ac:dyDescent="0.2">
      <c r="N185" s="10"/>
    </row>
    <row r="186" spans="14:14" x14ac:dyDescent="0.2">
      <c r="N186" s="10"/>
    </row>
    <row r="187" spans="14:14" x14ac:dyDescent="0.2">
      <c r="N187" s="10"/>
    </row>
    <row r="188" spans="14:14" x14ac:dyDescent="0.2">
      <c r="N188" s="10"/>
    </row>
    <row r="189" spans="14:14" x14ac:dyDescent="0.2">
      <c r="N189" s="10"/>
    </row>
    <row r="190" spans="14:14" x14ac:dyDescent="0.2">
      <c r="N190" s="10"/>
    </row>
    <row r="191" spans="14:14" x14ac:dyDescent="0.2">
      <c r="N191" s="10"/>
    </row>
    <row r="192" spans="14:14" x14ac:dyDescent="0.2">
      <c r="N192" s="10"/>
    </row>
    <row r="193" spans="14:14" x14ac:dyDescent="0.2">
      <c r="N193" s="10"/>
    </row>
    <row r="194" spans="14:14" x14ac:dyDescent="0.2">
      <c r="N194" s="10"/>
    </row>
    <row r="195" spans="14:14" x14ac:dyDescent="0.2">
      <c r="N195" s="10"/>
    </row>
    <row r="196" spans="14:14" x14ac:dyDescent="0.2">
      <c r="N196" s="10"/>
    </row>
    <row r="197" spans="14:14" x14ac:dyDescent="0.2">
      <c r="N197" s="10"/>
    </row>
    <row r="198" spans="14:14" x14ac:dyDescent="0.2">
      <c r="N198" s="10"/>
    </row>
    <row r="199" spans="14:14" x14ac:dyDescent="0.2">
      <c r="N199" s="10"/>
    </row>
    <row r="200" spans="14:14" x14ac:dyDescent="0.2">
      <c r="N200" s="10"/>
    </row>
    <row r="201" spans="14:14" x14ac:dyDescent="0.2">
      <c r="N201" s="10"/>
    </row>
    <row r="202" spans="14:14" x14ac:dyDescent="0.2">
      <c r="N202" s="10"/>
    </row>
    <row r="203" spans="14:14" x14ac:dyDescent="0.2">
      <c r="N203" s="10"/>
    </row>
    <row r="204" spans="14:14" x14ac:dyDescent="0.2">
      <c r="N204" s="10"/>
    </row>
    <row r="205" spans="14:14" x14ac:dyDescent="0.2">
      <c r="N205" s="10"/>
    </row>
    <row r="206" spans="14:14" x14ac:dyDescent="0.2">
      <c r="N206" s="10"/>
    </row>
    <row r="207" spans="14:14" x14ac:dyDescent="0.2">
      <c r="N207" s="10"/>
    </row>
    <row r="208" spans="14:14" x14ac:dyDescent="0.2">
      <c r="N208" s="10"/>
    </row>
    <row r="209" spans="14:14" x14ac:dyDescent="0.2">
      <c r="N209" s="10"/>
    </row>
    <row r="210" spans="14:14" x14ac:dyDescent="0.2">
      <c r="N210" s="10"/>
    </row>
    <row r="211" spans="14:14" x14ac:dyDescent="0.2">
      <c r="N211" s="10"/>
    </row>
    <row r="212" spans="14:14" x14ac:dyDescent="0.2">
      <c r="N212" s="10"/>
    </row>
    <row r="213" spans="14:14" x14ac:dyDescent="0.2">
      <c r="N213" s="10"/>
    </row>
    <row r="214" spans="14:14" x14ac:dyDescent="0.2">
      <c r="N214" s="10"/>
    </row>
    <row r="215" spans="14:14" x14ac:dyDescent="0.2">
      <c r="N215" s="10"/>
    </row>
    <row r="216" spans="14:14" x14ac:dyDescent="0.2">
      <c r="N216" s="10"/>
    </row>
    <row r="217" spans="14:14" x14ac:dyDescent="0.2">
      <c r="N217" s="10"/>
    </row>
    <row r="218" spans="14:14" x14ac:dyDescent="0.2">
      <c r="N218" s="10"/>
    </row>
  </sheetData>
  <autoFilter ref="AL9:AR125" xr:uid="{00000000-0009-0000-0000-000022000000}"/>
  <mergeCells count="3">
    <mergeCell ref="A1:S1"/>
    <mergeCell ref="B3:C3"/>
    <mergeCell ref="B7:C7"/>
  </mergeCells>
  <conditionalFormatting sqref="A32:D32">
    <cfRule type="cellIs" dxfId="221" priority="525" stopIfTrue="1" operator="equal">
      <formula>0</formula>
    </cfRule>
  </conditionalFormatting>
  <conditionalFormatting sqref="A156:G157">
    <cfRule type="cellIs" dxfId="220" priority="49" stopIfTrue="1" operator="equal">
      <formula>0</formula>
    </cfRule>
  </conditionalFormatting>
  <conditionalFormatting sqref="A151:H154">
    <cfRule type="cellIs" dxfId="219" priority="116" stopIfTrue="1" operator="equal">
      <formula>0</formula>
    </cfRule>
  </conditionalFormatting>
  <conditionalFormatting sqref="A137:I142">
    <cfRule type="cellIs" dxfId="218" priority="82" stopIfTrue="1" operator="equal">
      <formula>0</formula>
    </cfRule>
  </conditionalFormatting>
  <conditionalFormatting sqref="A144:I146">
    <cfRule type="cellIs" dxfId="217" priority="24" stopIfTrue="1" operator="equal">
      <formula>0</formula>
    </cfRule>
  </conditionalFormatting>
  <conditionalFormatting sqref="A148:I149">
    <cfRule type="cellIs" dxfId="216" priority="11" stopIfTrue="1" operator="equal">
      <formula>0</formula>
    </cfRule>
  </conditionalFormatting>
  <conditionalFormatting sqref="B29">
    <cfRule type="cellIs" dxfId="215" priority="305" stopIfTrue="1" operator="equal">
      <formula>0</formula>
    </cfRule>
  </conditionalFormatting>
  <conditionalFormatting sqref="B52">
    <cfRule type="cellIs" dxfId="214" priority="115" stopIfTrue="1" operator="equal">
      <formula>0</formula>
    </cfRule>
  </conditionalFormatting>
  <conditionalFormatting sqref="B23:G28">
    <cfRule type="cellIs" dxfId="213" priority="450" stopIfTrue="1" operator="equal">
      <formula>0</formula>
    </cfRule>
  </conditionalFormatting>
  <conditionalFormatting sqref="B30:G37">
    <cfRule type="cellIs" dxfId="212" priority="522" stopIfTrue="1" operator="equal">
      <formula>0</formula>
    </cfRule>
  </conditionalFormatting>
  <conditionalFormatting sqref="B47:H47">
    <cfRule type="cellIs" dxfId="211" priority="307" stopIfTrue="1" operator="equal">
      <formula>0</formula>
    </cfRule>
  </conditionalFormatting>
  <conditionalFormatting sqref="B16:I22">
    <cfRule type="cellIs" dxfId="210" priority="163" stopIfTrue="1" operator="equal">
      <formula>0</formula>
    </cfRule>
  </conditionalFormatting>
  <conditionalFormatting sqref="C108:D108">
    <cfRule type="cellIs" dxfId="209" priority="519" stopIfTrue="1" operator="equal">
      <formula>0</formula>
    </cfRule>
  </conditionalFormatting>
  <conditionalFormatting sqref="C120:D120">
    <cfRule type="cellIs" dxfId="208" priority="348" stopIfTrue="1" operator="equal">
      <formula>0</formula>
    </cfRule>
  </conditionalFormatting>
  <conditionalFormatting sqref="C27:H29">
    <cfRule type="cellIs" dxfId="207" priority="521" stopIfTrue="1" operator="equal">
      <formula>0</formula>
    </cfRule>
  </conditionalFormatting>
  <conditionalFormatting sqref="E108:E120">
    <cfRule type="cellIs" dxfId="206" priority="104" stopIfTrue="1" operator="equal">
      <formula>0</formula>
    </cfRule>
  </conditionalFormatting>
  <conditionalFormatting sqref="F32:G32">
    <cfRule type="cellIs" dxfId="205" priority="524" stopIfTrue="1" operator="equal">
      <formula>0</formula>
    </cfRule>
  </conditionalFormatting>
  <conditionalFormatting sqref="F103:G106">
    <cfRule type="cellIs" dxfId="204" priority="520" stopIfTrue="1" operator="equal">
      <formula>0</formula>
    </cfRule>
  </conditionalFormatting>
  <conditionalFormatting sqref="I31:I32">
    <cfRule type="cellIs" dxfId="203" priority="470" stopIfTrue="1" operator="equal">
      <formula>0</formula>
    </cfRule>
  </conditionalFormatting>
  <conditionalFormatting sqref="I134:I135">
    <cfRule type="cellIs" dxfId="202" priority="160" stopIfTrue="1" operator="equal">
      <formula>0</formula>
    </cfRule>
  </conditionalFormatting>
  <conditionalFormatting sqref="I122:K122">
    <cfRule type="cellIs" dxfId="201" priority="498" stopIfTrue="1" operator="equal">
      <formula>0</formula>
    </cfRule>
  </conditionalFormatting>
  <conditionalFormatting sqref="K10:K19">
    <cfRule type="cellIs" dxfId="200" priority="166" stopIfTrue="1" operator="equal">
      <formula>0</formula>
    </cfRule>
  </conditionalFormatting>
  <conditionalFormatting sqref="K23:K24">
    <cfRule type="cellIs" dxfId="199" priority="442" stopIfTrue="1" operator="equal">
      <formula>0</formula>
    </cfRule>
  </conditionalFormatting>
  <conditionalFormatting sqref="K54:K65">
    <cfRule type="cellIs" dxfId="198" priority="32" stopIfTrue="1" operator="equal">
      <formula>0</formula>
    </cfRule>
  </conditionalFormatting>
  <conditionalFormatting sqref="K73:K92">
    <cfRule type="cellIs" dxfId="197" priority="473" stopIfTrue="1" operator="equal">
      <formula>0</formula>
    </cfRule>
  </conditionalFormatting>
  <conditionalFormatting sqref="K102:K106">
    <cfRule type="cellIs" dxfId="196" priority="557" stopIfTrue="1" operator="equal">
      <formula>0</formula>
    </cfRule>
  </conditionalFormatting>
  <conditionalFormatting sqref="K108:K114">
    <cfRule type="cellIs" dxfId="195" priority="114" stopIfTrue="1" operator="equal">
      <formula>0</formula>
    </cfRule>
  </conditionalFormatting>
  <conditionalFormatting sqref="K118">
    <cfRule type="cellIs" dxfId="194" priority="113" stopIfTrue="1" operator="equal">
      <formula>0</formula>
    </cfRule>
  </conditionalFormatting>
  <conditionalFormatting sqref="K124:K125">
    <cfRule type="cellIs" dxfId="193" priority="546" stopIfTrue="1" operator="equal">
      <formula>0</formula>
    </cfRule>
  </conditionalFormatting>
  <conditionalFormatting sqref="K127:K157">
    <cfRule type="cellIs" dxfId="192" priority="10" stopIfTrue="1" operator="equal">
      <formula>0</formula>
    </cfRule>
  </conditionalFormatting>
  <conditionalFormatting sqref="K20:M22">
    <cfRule type="cellIs" dxfId="191" priority="212" stopIfTrue="1" operator="equal">
      <formula>0</formula>
    </cfRule>
  </conditionalFormatting>
  <conditionalFormatting sqref="K24:M37">
    <cfRule type="cellIs" dxfId="190" priority="515" stopIfTrue="1" operator="equal">
      <formula>0</formula>
    </cfRule>
  </conditionalFormatting>
  <conditionalFormatting sqref="K38:M39">
    <cfRule type="cellIs" dxfId="189" priority="298" stopIfTrue="1" operator="equal">
      <formula>0</formula>
    </cfRule>
  </conditionalFormatting>
  <conditionalFormatting sqref="K115:M117 K119:M120">
    <cfRule type="cellIs" dxfId="188" priority="211" stopIfTrue="1" operator="equal">
      <formula>0</formula>
    </cfRule>
  </conditionalFormatting>
  <conditionalFormatting sqref="L16:M19">
    <cfRule type="cellIs" dxfId="187" priority="173" stopIfTrue="1" operator="equal">
      <formula>0</formula>
    </cfRule>
  </conditionalFormatting>
  <conditionalFormatting sqref="L23:M23">
    <cfRule type="cellIs" dxfId="186" priority="449" stopIfTrue="1" operator="equal">
      <formula>0</formula>
    </cfRule>
  </conditionalFormatting>
  <conditionalFormatting sqref="M31">
    <cfRule type="cellIs" dxfId="185" priority="514" stopIfTrue="1" operator="lessThan">
      <formula>30</formula>
    </cfRule>
  </conditionalFormatting>
  <conditionalFormatting sqref="M53 M59 M72 M101 M107">
    <cfRule type="cellIs" dxfId="184" priority="518" stopIfTrue="1" operator="lessThan">
      <formula>30</formula>
    </cfRule>
  </conditionalFormatting>
  <conditionalFormatting sqref="M64:M65">
    <cfRule type="cellIs" dxfId="183" priority="478" stopIfTrue="1" operator="lessThan">
      <formula>30</formula>
    </cfRule>
  </conditionalFormatting>
  <conditionalFormatting sqref="N11:N52">
    <cfRule type="cellIs" dxfId="182" priority="132" stopIfTrue="1" operator="equal">
      <formula>0</formula>
    </cfRule>
  </conditionalFormatting>
  <conditionalFormatting sqref="N54:N71">
    <cfRule type="cellIs" dxfId="181" priority="26" stopIfTrue="1" operator="equal">
      <formula>0</formula>
    </cfRule>
  </conditionalFormatting>
  <conditionalFormatting sqref="N73:N100">
    <cfRule type="cellIs" dxfId="180" priority="100" stopIfTrue="1" operator="equal">
      <formula>0</formula>
    </cfRule>
  </conditionalFormatting>
  <conditionalFormatting sqref="N102:N106 N108:N125 N127:N129">
    <cfRule type="cellIs" dxfId="179" priority="246" stopIfTrue="1" operator="equal">
      <formula>0</formula>
    </cfRule>
  </conditionalFormatting>
  <conditionalFormatting sqref="N131:N132">
    <cfRule type="cellIs" dxfId="178" priority="245" stopIfTrue="1" operator="equal">
      <formula>0</formula>
    </cfRule>
  </conditionalFormatting>
  <conditionalFormatting sqref="N134:N135">
    <cfRule type="cellIs" dxfId="177" priority="102" stopIfTrue="1" operator="equal">
      <formula>0</formula>
    </cfRule>
  </conditionalFormatting>
  <conditionalFormatting sqref="N137:O142">
    <cfRule type="cellIs" dxfId="176" priority="80" stopIfTrue="1" operator="equal">
      <formula>0</formula>
    </cfRule>
  </conditionalFormatting>
  <conditionalFormatting sqref="N144:O146">
    <cfRule type="cellIs" dxfId="175" priority="21" stopIfTrue="1" operator="equal">
      <formula>0</formula>
    </cfRule>
  </conditionalFormatting>
  <conditionalFormatting sqref="N148:O149">
    <cfRule type="cellIs" dxfId="174" priority="147" stopIfTrue="1" operator="equal">
      <formula>0</formula>
    </cfRule>
  </conditionalFormatting>
  <conditionalFormatting sqref="N151:O154">
    <cfRule type="cellIs" dxfId="173" priority="120" stopIfTrue="1" operator="equal">
      <formula>0</formula>
    </cfRule>
  </conditionalFormatting>
  <conditionalFormatting sqref="N156:O157">
    <cfRule type="cellIs" dxfId="172" priority="36" stopIfTrue="1" operator="equal">
      <formula>0</formula>
    </cfRule>
  </conditionalFormatting>
  <conditionalFormatting sqref="O11:O24">
    <cfRule type="cellIs" dxfId="171" priority="165" stopIfTrue="1" operator="equal">
      <formula>0</formula>
    </cfRule>
  </conditionalFormatting>
  <conditionalFormatting sqref="O24:O37">
    <cfRule type="cellIs" dxfId="170" priority="511" stopIfTrue="1" operator="equal">
      <formula>0</formula>
    </cfRule>
  </conditionalFormatting>
  <conditionalFormatting sqref="O31">
    <cfRule type="cellIs" dxfId="169" priority="510" stopIfTrue="1" operator="equal">
      <formula>0</formula>
    </cfRule>
  </conditionalFormatting>
  <conditionalFormatting sqref="O31:O32">
    <cfRule type="cellIs" dxfId="168" priority="499" stopIfTrue="1" operator="equal">
      <formula>0</formula>
    </cfRule>
  </conditionalFormatting>
  <conditionalFormatting sqref="O36:O52">
    <cfRule type="cellIs" dxfId="167" priority="133" stopIfTrue="1" operator="equal">
      <formula>0</formula>
    </cfRule>
  </conditionalFormatting>
  <conditionalFormatting sqref="O54:O146">
    <cfRule type="cellIs" dxfId="166" priority="20" stopIfTrue="1" operator="equal">
      <formula>0</formula>
    </cfRule>
  </conditionalFormatting>
  <conditionalFormatting sqref="O115 A115:D115 F115:I115 AT115 AW115:IV115 Q115:Q117 S115:S117 I116:I117">
    <cfRule type="cellIs" dxfId="165" priority="587" stopIfTrue="1" operator="equal">
      <formula>0</formula>
    </cfRule>
  </conditionalFormatting>
  <conditionalFormatting sqref="O119:O120 A119:D120 F119:I120 Q119:Q120 S119:S120 V119:X120 AT119:AT120 AW119:IV120">
    <cfRule type="cellIs" dxfId="164" priority="350" stopIfTrue="1" operator="equal">
      <formula>0</formula>
    </cfRule>
  </conditionalFormatting>
  <conditionalFormatting sqref="O147:O156">
    <cfRule type="cellIs" dxfId="163" priority="128" stopIfTrue="1" operator="equal">
      <formula>0</formula>
    </cfRule>
  </conditionalFormatting>
  <conditionalFormatting sqref="O157">
    <cfRule type="cellIs" dxfId="162" priority="45" stopIfTrue="1" operator="equal">
      <formula>0</formula>
    </cfRule>
  </conditionalFormatting>
  <conditionalFormatting sqref="P47">
    <cfRule type="cellIs" dxfId="161" priority="306" stopIfTrue="1" operator="equal">
      <formula>0</formula>
    </cfRule>
  </conditionalFormatting>
  <conditionalFormatting sqref="P16:S39">
    <cfRule type="cellIs" dxfId="160" priority="170" stopIfTrue="1" operator="equal">
      <formula>0</formula>
    </cfRule>
  </conditionalFormatting>
  <conditionalFormatting sqref="Q27:Q29 R27:S30">
    <cfRule type="cellIs" dxfId="159" priority="509" stopIfTrue="1" operator="equal">
      <formula>0</formula>
    </cfRule>
  </conditionalFormatting>
  <conditionalFormatting sqref="V72:V114">
    <cfRule type="cellIs" dxfId="158" priority="96" stopIfTrue="1" operator="equal">
      <formula>0</formula>
    </cfRule>
  </conditionalFormatting>
  <conditionalFormatting sqref="V118">
    <cfRule type="cellIs" dxfId="157" priority="105" stopIfTrue="1" operator="equal">
      <formula>0</formula>
    </cfRule>
  </conditionalFormatting>
  <conditionalFormatting sqref="V120:V157">
    <cfRule type="cellIs" dxfId="156" priority="6" stopIfTrue="1" operator="equal">
      <formula>0</formula>
    </cfRule>
  </conditionalFormatting>
  <conditionalFormatting sqref="V18:X18">
    <cfRule type="cellIs" dxfId="155" priority="412" stopIfTrue="1" operator="equal">
      <formula>0</formula>
    </cfRule>
  </conditionalFormatting>
  <conditionalFormatting sqref="V19:X19">
    <cfRule type="cellIs" dxfId="154" priority="177" stopIfTrue="1" operator="equal">
      <formula>0</formula>
    </cfRule>
  </conditionalFormatting>
  <conditionalFormatting sqref="V20:X20 W22:X22 W24:X30 V31:X37 V16:X17">
    <cfRule type="cellIs" dxfId="153" priority="580" stopIfTrue="1" operator="equal">
      <formula>0</formula>
    </cfRule>
  </conditionalFormatting>
  <conditionalFormatting sqref="V32:X32">
    <cfRule type="cellIs" dxfId="152" priority="584" stopIfTrue="1" operator="equal">
      <formula>0</formula>
    </cfRule>
  </conditionalFormatting>
  <conditionalFormatting sqref="V38:X39 B38:I39">
    <cfRule type="cellIs" dxfId="151" priority="302" stopIfTrue="1" operator="equal">
      <formula>0</formula>
    </cfRule>
  </conditionalFormatting>
  <conditionalFormatting sqref="V115:X117">
    <cfRule type="cellIs" dxfId="150" priority="341" stopIfTrue="1" operator="equal">
      <formula>0</formula>
    </cfRule>
  </conditionalFormatting>
  <conditionalFormatting sqref="W1:W17 W20 W26 W32:W35 W39:W47 W63:W89">
    <cfRule type="cellIs" dxfId="149" priority="589" stopIfTrue="1" operator="between">
      <formula>-0.01</formula>
      <formula>0.01</formula>
    </cfRule>
  </conditionalFormatting>
  <conditionalFormatting sqref="W8 W11:W17 W20 W26 W32:W35 W39:W47 W63:W71 W73:W89 W108:W110 W122 W54">
    <cfRule type="cellIs" dxfId="148" priority="591" stopIfTrue="1" operator="notBetween">
      <formula>-0.001</formula>
      <formula>0.001</formula>
    </cfRule>
  </conditionalFormatting>
  <conditionalFormatting sqref="W10 W72 W101 W107 W121 W53">
    <cfRule type="cellIs" dxfId="147" priority="590" stopIfTrue="1" operator="notBetween">
      <formula>-0.001</formula>
      <formula>0.001</formula>
    </cfRule>
  </conditionalFormatting>
  <conditionalFormatting sqref="W16:W17 W20 W22 W24:W37">
    <cfRule type="cellIs" dxfId="146" priority="581" stopIfTrue="1" operator="notBetween">
      <formula>-0.001</formula>
      <formula>0.001</formula>
    </cfRule>
  </conditionalFormatting>
  <conditionalFormatting sqref="W16:W18">
    <cfRule type="cellIs" dxfId="145" priority="416" stopIfTrue="1" operator="between">
      <formula>-0.01</formula>
      <formula>0.01</formula>
    </cfRule>
    <cfRule type="cellIs" dxfId="144" priority="415" stopIfTrue="1" operator="between">
      <formula>-0.0001</formula>
      <formula>0.0001</formula>
    </cfRule>
  </conditionalFormatting>
  <conditionalFormatting sqref="W18">
    <cfRule type="cellIs" dxfId="143" priority="411" stopIfTrue="1" operator="between">
      <formula>-0.01</formula>
      <formula>0.01</formula>
    </cfRule>
    <cfRule type="cellIs" dxfId="142" priority="410" stopIfTrue="1" operator="between">
      <formula>-0.0001</formula>
      <formula>0.0001</formula>
    </cfRule>
    <cfRule type="cellIs" dxfId="141" priority="417" stopIfTrue="1" operator="notBetween">
      <formula>-0.001</formula>
      <formula>0.001</formula>
    </cfRule>
    <cfRule type="cellIs" dxfId="140" priority="413" stopIfTrue="1" operator="notBetween">
      <formula>-0.001</formula>
      <formula>0.001</formula>
    </cfRule>
  </conditionalFormatting>
  <conditionalFormatting sqref="W18:W19">
    <cfRule type="cellIs" dxfId="139" priority="182" stopIfTrue="1" operator="notBetween">
      <formula>-0.001</formula>
      <formula>0.001</formula>
    </cfRule>
    <cfRule type="cellIs" dxfId="138" priority="180" stopIfTrue="1" operator="between">
      <formula>-0.0001</formula>
      <formula>0.0001</formula>
    </cfRule>
    <cfRule type="cellIs" dxfId="137" priority="181" stopIfTrue="1" operator="between">
      <formula>-0.01</formula>
      <formula>0.01</formula>
    </cfRule>
  </conditionalFormatting>
  <conditionalFormatting sqref="W19">
    <cfRule type="cellIs" dxfId="136" priority="167" stopIfTrue="1" operator="between">
      <formula>-0.0001</formula>
      <formula>0.0001</formula>
    </cfRule>
    <cfRule type="cellIs" dxfId="135" priority="178" stopIfTrue="1" operator="notBetween">
      <formula>-0.001</formula>
      <formula>0.001</formula>
    </cfRule>
    <cfRule type="cellIs" dxfId="134" priority="168" stopIfTrue="1" operator="between">
      <formula>-0.01</formula>
      <formula>0.01</formula>
    </cfRule>
    <cfRule type="cellIs" dxfId="133" priority="176" stopIfTrue="1" operator="between">
      <formula>-0.01</formula>
      <formula>0.01</formula>
    </cfRule>
    <cfRule type="cellIs" dxfId="132" priority="169" stopIfTrue="1" operator="notBetween">
      <formula>-0.001</formula>
      <formula>0.001</formula>
    </cfRule>
    <cfRule type="cellIs" dxfId="131" priority="175" stopIfTrue="1" operator="between">
      <formula>-0.0001</formula>
      <formula>0.0001</formula>
    </cfRule>
  </conditionalFormatting>
  <conditionalFormatting sqref="W20 W22 W24:W37">
    <cfRule type="cellIs" dxfId="130" priority="579" stopIfTrue="1" operator="between">
      <formula>-0.01</formula>
      <formula>0.01</formula>
    </cfRule>
  </conditionalFormatting>
  <conditionalFormatting sqref="W20:W21">
    <cfRule type="cellIs" dxfId="129" priority="324" stopIfTrue="1" operator="between">
      <formula>-0.01</formula>
      <formula>0.01</formula>
    </cfRule>
    <cfRule type="cellIs" dxfId="128" priority="326" stopIfTrue="1" operator="notBetween">
      <formula>-0.001</formula>
      <formula>0.001</formula>
    </cfRule>
    <cfRule type="cellIs" dxfId="127" priority="323" stopIfTrue="1" operator="between">
      <formula>-0.0001</formula>
      <formula>0.0001</formula>
    </cfRule>
  </conditionalFormatting>
  <conditionalFormatting sqref="W21">
    <cfRule type="cellIs" dxfId="126" priority="320" stopIfTrue="1" operator="between">
      <formula>-0.01</formula>
      <formula>0.01</formula>
    </cfRule>
    <cfRule type="cellIs" dxfId="125" priority="319" stopIfTrue="1" operator="between">
      <formula>-0.0001</formula>
      <formula>0.0001</formula>
    </cfRule>
    <cfRule type="cellIs" dxfId="124" priority="321" stopIfTrue="1" operator="notBetween">
      <formula>-0.001</formula>
      <formula>0.001</formula>
    </cfRule>
  </conditionalFormatting>
  <conditionalFormatting sqref="W22:W25">
    <cfRule type="cellIs" dxfId="123" priority="455" stopIfTrue="1" operator="notBetween">
      <formula>-0.001</formula>
      <formula>0.001</formula>
    </cfRule>
    <cfRule type="cellIs" dxfId="122" priority="453" stopIfTrue="1" operator="between">
      <formula>-0.01</formula>
      <formula>0.01</formula>
    </cfRule>
    <cfRule type="cellIs" dxfId="121" priority="452" stopIfTrue="1" operator="between">
      <formula>-0.0001</formula>
      <formula>0.0001</formula>
    </cfRule>
  </conditionalFormatting>
  <conditionalFormatting sqref="W23">
    <cfRule type="cellIs" dxfId="120" priority="444" stopIfTrue="1" operator="between">
      <formula>-0.01</formula>
      <formula>0.01</formula>
    </cfRule>
    <cfRule type="cellIs" dxfId="119" priority="445" stopIfTrue="1" operator="notBetween">
      <formula>-0.001</formula>
      <formula>0.001</formula>
    </cfRule>
    <cfRule type="cellIs" dxfId="118" priority="443" stopIfTrue="1" operator="between">
      <formula>-0.0001</formula>
      <formula>0.0001</formula>
    </cfRule>
  </conditionalFormatting>
  <conditionalFormatting sqref="W24:W37 W22 W20">
    <cfRule type="cellIs" dxfId="117" priority="578" stopIfTrue="1" operator="between">
      <formula>-0.0001</formula>
      <formula>0.0001</formula>
    </cfRule>
  </conditionalFormatting>
  <conditionalFormatting sqref="W27:W29">
    <cfRule type="cellIs" dxfId="116" priority="575" stopIfTrue="1" operator="notBetween">
      <formula>-0.001</formula>
      <formula>0.001</formula>
    </cfRule>
    <cfRule type="cellIs" dxfId="115" priority="572" stopIfTrue="1" operator="between">
      <formula>-0.0001</formula>
      <formula>0.0001</formula>
    </cfRule>
    <cfRule type="cellIs" dxfId="114" priority="573" stopIfTrue="1" operator="between">
      <formula>-0.01</formula>
      <formula>0.01</formula>
    </cfRule>
  </conditionalFormatting>
  <conditionalFormatting sqref="W31">
    <cfRule type="cellIs" dxfId="113" priority="531" stopIfTrue="1" operator="between">
      <formula>-0.0001</formula>
      <formula>0.0001</formula>
    </cfRule>
    <cfRule type="cellIs" dxfId="112" priority="532" stopIfTrue="1" operator="between">
      <formula>-0.01</formula>
      <formula>0.01</formula>
    </cfRule>
    <cfRule type="cellIs" dxfId="111" priority="533" stopIfTrue="1" operator="notBetween">
      <formula>-0.001</formula>
      <formula>0.001</formula>
    </cfRule>
  </conditionalFormatting>
  <conditionalFormatting sqref="W32">
    <cfRule type="cellIs" dxfId="110" priority="583" stopIfTrue="1" operator="between">
      <formula>-0.01</formula>
      <formula>0.01</formula>
    </cfRule>
    <cfRule type="cellIs" dxfId="109" priority="585" stopIfTrue="1" operator="notBetween">
      <formula>-0.001</formula>
      <formula>0.001</formula>
    </cfRule>
    <cfRule type="cellIs" dxfId="108" priority="582" stopIfTrue="1" operator="between">
      <formula>-0.0001</formula>
      <formula>0.0001</formula>
    </cfRule>
  </conditionalFormatting>
  <conditionalFormatting sqref="W32:W35 W1:W17 W20 W26 W39:W47 W63:W89">
    <cfRule type="cellIs" dxfId="107" priority="588" stopIfTrue="1" operator="between">
      <formula>-0.0001</formula>
      <formula>0.0001</formula>
    </cfRule>
  </conditionalFormatting>
  <conditionalFormatting sqref="W36">
    <cfRule type="cellIs" dxfId="106" priority="544" stopIfTrue="1" operator="between">
      <formula>-0.01</formula>
      <formula>0.01</formula>
    </cfRule>
    <cfRule type="cellIs" dxfId="105" priority="545" stopIfTrue="1" operator="notBetween">
      <formula>-0.001</formula>
      <formula>0.001</formula>
    </cfRule>
    <cfRule type="cellIs" dxfId="104" priority="543" stopIfTrue="1" operator="between">
      <formula>-0.0001</formula>
      <formula>0.0001</formula>
    </cfRule>
  </conditionalFormatting>
  <conditionalFormatting sqref="W36:W39">
    <cfRule type="cellIs" dxfId="103" priority="301" stopIfTrue="1" operator="between">
      <formula>-0.01</formula>
      <formula>0.01</formula>
    </cfRule>
    <cfRule type="cellIs" dxfId="102" priority="300" stopIfTrue="1" operator="between">
      <formula>-0.0001</formula>
      <formula>0.0001</formula>
    </cfRule>
    <cfRule type="cellIs" dxfId="101" priority="303" stopIfTrue="1" operator="notBetween">
      <formula>-0.001</formula>
      <formula>0.001</formula>
    </cfRule>
  </conditionalFormatting>
  <conditionalFormatting sqref="W38">
    <cfRule type="cellIs" dxfId="100" priority="292" stopIfTrue="1" operator="between">
      <formula>-0.0001</formula>
      <formula>0.0001</formula>
    </cfRule>
    <cfRule type="cellIs" dxfId="99" priority="293" stopIfTrue="1" operator="between">
      <formula>-0.01</formula>
      <formula>0.01</formula>
    </cfRule>
    <cfRule type="cellIs" dxfId="98" priority="294" stopIfTrue="1" operator="notBetween">
      <formula>-0.001</formula>
      <formula>0.001</formula>
    </cfRule>
  </conditionalFormatting>
  <conditionalFormatting sqref="W48:W50">
    <cfRule type="cellIs" dxfId="97" priority="139" stopIfTrue="1" operator="notBetween">
      <formula>-0.001</formula>
      <formula>0.001</formula>
    </cfRule>
  </conditionalFormatting>
  <conditionalFormatting sqref="W48:W54">
    <cfRule type="cellIs" dxfId="96" priority="137" stopIfTrue="1" operator="between">
      <formula>-0.0001</formula>
      <formula>0.0001</formula>
    </cfRule>
    <cfRule type="cellIs" dxfId="95" priority="138" stopIfTrue="1" operator="between">
      <formula>-0.01</formula>
      <formula>0.01</formula>
    </cfRule>
  </conditionalFormatting>
  <conditionalFormatting sqref="W51:W52">
    <cfRule type="cellIs" dxfId="94" priority="134" stopIfTrue="1" operator="notBetween">
      <formula>-0.001</formula>
      <formula>0.001</formula>
    </cfRule>
  </conditionalFormatting>
  <conditionalFormatting sqref="W55:W65">
    <cfRule type="cellIs" dxfId="93" priority="34" stopIfTrue="1" operator="between">
      <formula>-0.01</formula>
      <formula>0.01</formula>
    </cfRule>
    <cfRule type="cellIs" dxfId="92" priority="33" stopIfTrue="1" operator="between">
      <formula>-0.0001</formula>
      <formula>0.0001</formula>
    </cfRule>
    <cfRule type="cellIs" dxfId="91" priority="35" stopIfTrue="1" operator="notBetween">
      <formula>-0.001</formula>
      <formula>0.001</formula>
    </cfRule>
  </conditionalFormatting>
  <conditionalFormatting sqref="W87:W100">
    <cfRule type="cellIs" dxfId="90" priority="98" stopIfTrue="1" operator="between">
      <formula>-0.01</formula>
      <formula>0.01</formula>
    </cfRule>
    <cfRule type="cellIs" dxfId="89" priority="99" stopIfTrue="1" operator="notBetween">
      <formula>-0.001</formula>
      <formula>0.001</formula>
    </cfRule>
    <cfRule type="cellIs" dxfId="88" priority="97" stopIfTrue="1" operator="between">
      <formula>-0.0001</formula>
      <formula>0.0001</formula>
    </cfRule>
  </conditionalFormatting>
  <conditionalFormatting sqref="W101:W110">
    <cfRule type="cellIs" dxfId="87" priority="560" stopIfTrue="1" operator="between">
      <formula>-0.01</formula>
      <formula>0.01</formula>
    </cfRule>
    <cfRule type="cellIs" dxfId="86" priority="559" stopIfTrue="1" operator="between">
      <formula>-0.0001</formula>
      <formula>0.0001</formula>
    </cfRule>
  </conditionalFormatting>
  <conditionalFormatting sqref="W102:W103">
    <cfRule type="cellIs" dxfId="85" priority="456" stopIfTrue="1" operator="notBetween">
      <formula>-0.001</formula>
      <formula>0.001</formula>
    </cfRule>
  </conditionalFormatting>
  <conditionalFormatting sqref="W102:W106">
    <cfRule type="cellIs" dxfId="84" priority="561" stopIfTrue="1" operator="notBetween">
      <formula>-0.001</formula>
      <formula>0.001</formula>
    </cfRule>
  </conditionalFormatting>
  <conditionalFormatting sqref="W108">
    <cfRule type="cellIs" dxfId="83" priority="535" stopIfTrue="1" operator="between">
      <formula>-0.0001</formula>
      <formula>0.0001</formula>
    </cfRule>
    <cfRule type="cellIs" dxfId="82" priority="536" stopIfTrue="1" operator="between">
      <formula>-0.01</formula>
      <formula>0.01</formula>
    </cfRule>
    <cfRule type="cellIs" dxfId="81" priority="537" stopIfTrue="1" operator="notBetween">
      <formula>-0.001</formula>
      <formula>0.001</formula>
    </cfRule>
  </conditionalFormatting>
  <conditionalFormatting sqref="W111:W114">
    <cfRule type="cellIs" dxfId="80" priority="110" stopIfTrue="1" operator="between">
      <formula>-0.0001</formula>
      <formula>0.0001</formula>
    </cfRule>
    <cfRule type="cellIs" dxfId="79" priority="111" stopIfTrue="1" operator="between">
      <formula>-0.01</formula>
      <formula>0.01</formula>
    </cfRule>
    <cfRule type="cellIs" dxfId="78" priority="112" stopIfTrue="1" operator="notBetween">
      <formula>-0.001</formula>
      <formula>0.001</formula>
    </cfRule>
  </conditionalFormatting>
  <conditionalFormatting sqref="W115:W117">
    <cfRule type="cellIs" dxfId="77" priority="423" stopIfTrue="1" operator="notBetween">
      <formula>-0.001</formula>
      <formula>0.001</formula>
    </cfRule>
    <cfRule type="cellIs" dxfId="76" priority="422" stopIfTrue="1" operator="between">
      <formula>-0.01</formula>
      <formula>0.01</formula>
    </cfRule>
    <cfRule type="cellIs" dxfId="75" priority="421" stopIfTrue="1" operator="between">
      <formula>-0.0001</formula>
      <formula>0.0001</formula>
    </cfRule>
  </conditionalFormatting>
  <conditionalFormatting sqref="W118">
    <cfRule type="cellIs" dxfId="74" priority="108" stopIfTrue="1" operator="notBetween">
      <formula>-0.001</formula>
      <formula>0.001</formula>
    </cfRule>
    <cfRule type="cellIs" dxfId="73" priority="107" stopIfTrue="1" operator="between">
      <formula>-0.01</formula>
      <formula>0.01</formula>
    </cfRule>
    <cfRule type="cellIs" dxfId="72" priority="106" stopIfTrue="1" operator="between">
      <formula>-0.0001</formula>
      <formula>0.0001</formula>
    </cfRule>
  </conditionalFormatting>
  <conditionalFormatting sqref="W119:W120">
    <cfRule type="cellIs" dxfId="71" priority="353" stopIfTrue="1" operator="notBetween">
      <formula>-0.001</formula>
      <formula>0.001</formula>
    </cfRule>
  </conditionalFormatting>
  <conditionalFormatting sqref="W119:W125">
    <cfRule type="cellIs" dxfId="70" priority="351" stopIfTrue="1" operator="between">
      <formula>-0.0001</formula>
      <formula>0.0001</formula>
    </cfRule>
    <cfRule type="cellIs" dxfId="69" priority="352" stopIfTrue="1" operator="between">
      <formula>-0.01</formula>
      <formula>0.01</formula>
    </cfRule>
  </conditionalFormatting>
  <conditionalFormatting sqref="W123">
    <cfRule type="cellIs" dxfId="68" priority="555" stopIfTrue="1" operator="notBetween">
      <formula>-0.001</formula>
      <formula>0.001</formula>
    </cfRule>
  </conditionalFormatting>
  <conditionalFormatting sqref="W124:W125">
    <cfRule type="cellIs" dxfId="67" priority="550" stopIfTrue="1" operator="notBetween">
      <formula>-0.001</formula>
      <formula>0.001</formula>
    </cfRule>
  </conditionalFormatting>
  <conditionalFormatting sqref="W126">
    <cfRule type="cellIs" dxfId="66" priority="462" operator="lessThanOrEqual">
      <formula>0.1</formula>
    </cfRule>
  </conditionalFormatting>
  <conditionalFormatting sqref="W127:W129">
    <cfRule type="cellIs" dxfId="65" priority="274" stopIfTrue="1" operator="between">
      <formula>-0.0001</formula>
      <formula>0.0001</formula>
    </cfRule>
    <cfRule type="cellIs" dxfId="64" priority="275" stopIfTrue="1" operator="between">
      <formula>-0.01</formula>
      <formula>0.01</formula>
    </cfRule>
    <cfRule type="cellIs" dxfId="63" priority="276" stopIfTrue="1" operator="notBetween">
      <formula>-0.001</formula>
      <formula>0.001</formula>
    </cfRule>
  </conditionalFormatting>
  <conditionalFormatting sqref="W130">
    <cfRule type="cellIs" dxfId="62" priority="269" operator="lessThanOrEqual">
      <formula>0.1</formula>
    </cfRule>
  </conditionalFormatting>
  <conditionalFormatting sqref="W131:W132">
    <cfRule type="cellIs" dxfId="61" priority="250" stopIfTrue="1" operator="notBetween">
      <formula>-0.001</formula>
      <formula>0.001</formula>
    </cfRule>
    <cfRule type="cellIs" dxfId="60" priority="249" stopIfTrue="1" operator="between">
      <formula>-0.01</formula>
      <formula>0.01</formula>
    </cfRule>
    <cfRule type="cellIs" dxfId="59" priority="248" stopIfTrue="1" operator="between">
      <formula>-0.0001</formula>
      <formula>0.0001</formula>
    </cfRule>
  </conditionalFormatting>
  <conditionalFormatting sqref="W133">
    <cfRule type="cellIs" dxfId="58" priority="254" operator="lessThanOrEqual">
      <formula>0.1</formula>
    </cfRule>
  </conditionalFormatting>
  <conditionalFormatting sqref="W134:W135">
    <cfRule type="cellIs" dxfId="57" priority="216" stopIfTrue="1" operator="between">
      <formula>-0.01</formula>
      <formula>0.01</formula>
    </cfRule>
    <cfRule type="cellIs" dxfId="56" priority="217" stopIfTrue="1" operator="notBetween">
      <formula>-0.001</formula>
      <formula>0.001</formula>
    </cfRule>
    <cfRule type="cellIs" dxfId="55" priority="215" stopIfTrue="1" operator="between">
      <formula>-0.0001</formula>
      <formula>0.0001</formula>
    </cfRule>
    <cfRule type="cellIs" dxfId="54" priority="214" operator="between">
      <formula>0.01%</formula>
      <formula>-0.0001</formula>
    </cfRule>
  </conditionalFormatting>
  <conditionalFormatting sqref="W136">
    <cfRule type="cellIs" dxfId="53" priority="196" operator="lessThanOrEqual">
      <formula>0.1</formula>
    </cfRule>
  </conditionalFormatting>
  <conditionalFormatting sqref="W137:W142">
    <cfRule type="cellIs" dxfId="52" priority="83" operator="between">
      <formula>0.01%</formula>
      <formula>-0.0001</formula>
    </cfRule>
    <cfRule type="cellIs" dxfId="51" priority="84" stopIfTrue="1" operator="between">
      <formula>-0.0001</formula>
      <formula>0.0001</formula>
    </cfRule>
    <cfRule type="cellIs" dxfId="50" priority="85" stopIfTrue="1" operator="between">
      <formula>-0.01</formula>
      <formula>0.01</formula>
    </cfRule>
    <cfRule type="cellIs" dxfId="49" priority="86" stopIfTrue="1" operator="notBetween">
      <formula>-0.001</formula>
      <formula>0.001</formula>
    </cfRule>
  </conditionalFormatting>
  <conditionalFormatting sqref="W143">
    <cfRule type="cellIs" dxfId="48" priority="158" operator="lessThanOrEqual">
      <formula>0.1</formula>
    </cfRule>
  </conditionalFormatting>
  <conditionalFormatting sqref="W144:W146">
    <cfRule type="cellIs" dxfId="47" priority="16" stopIfTrue="1" operator="between">
      <formula>-0.0001</formula>
      <formula>0.0001</formula>
    </cfRule>
    <cfRule type="cellIs" dxfId="46" priority="17" stopIfTrue="1" operator="between">
      <formula>-0.01</formula>
      <formula>0.01</formula>
    </cfRule>
    <cfRule type="cellIs" dxfId="45" priority="18" stopIfTrue="1" operator="notBetween">
      <formula>-0.001</formula>
      <formula>0.001</formula>
    </cfRule>
    <cfRule type="cellIs" dxfId="44" priority="15" operator="between">
      <formula>0.01%</formula>
      <formula>-0.0001</formula>
    </cfRule>
  </conditionalFormatting>
  <conditionalFormatting sqref="W147">
    <cfRule type="cellIs" dxfId="43" priority="143" operator="lessThanOrEqual">
      <formula>0.1</formula>
    </cfRule>
  </conditionalFormatting>
  <conditionalFormatting sqref="W148:W149">
    <cfRule type="cellIs" dxfId="42" priority="3" stopIfTrue="1" operator="between">
      <formula>-0.0001</formula>
      <formula>0.0001</formula>
    </cfRule>
    <cfRule type="cellIs" dxfId="41" priority="4" stopIfTrue="1" operator="between">
      <formula>-0.01</formula>
      <formula>0.01</formula>
    </cfRule>
    <cfRule type="cellIs" dxfId="40" priority="5" stopIfTrue="1" operator="notBetween">
      <formula>-0.001</formula>
      <formula>0.001</formula>
    </cfRule>
    <cfRule type="cellIs" dxfId="39" priority="2" operator="between">
      <formula>0.01%</formula>
      <formula>-0.0001</formula>
    </cfRule>
  </conditionalFormatting>
  <conditionalFormatting sqref="W150">
    <cfRule type="cellIs" dxfId="38" priority="126" operator="lessThanOrEqual">
      <formula>0.1</formula>
    </cfRule>
  </conditionalFormatting>
  <conditionalFormatting sqref="W151:W154">
    <cfRule type="cellIs" dxfId="37" priority="131" stopIfTrue="1" operator="between">
      <formula>-0.01</formula>
      <formula>0.01</formula>
    </cfRule>
    <cfRule type="cellIs" dxfId="36" priority="125" stopIfTrue="1" operator="notBetween">
      <formula>-0.001</formula>
      <formula>0.001</formula>
    </cfRule>
    <cfRule type="cellIs" dxfId="35" priority="130" stopIfTrue="1" operator="between">
      <formula>-0.0001</formula>
      <formula>0.0001</formula>
    </cfRule>
  </conditionalFormatting>
  <conditionalFormatting sqref="W155">
    <cfRule type="cellIs" dxfId="34" priority="52" operator="lessThanOrEqual">
      <formula>0.1</formula>
    </cfRule>
  </conditionalFormatting>
  <conditionalFormatting sqref="W156:W157">
    <cfRule type="cellIs" dxfId="33" priority="38" stopIfTrue="1" operator="notBetween">
      <formula>-0.001</formula>
      <formula>0.001</formula>
    </cfRule>
  </conditionalFormatting>
  <conditionalFormatting sqref="W156:W65555">
    <cfRule type="cellIs" dxfId="32" priority="39" stopIfTrue="1" operator="between">
      <formula>-0.0001</formula>
      <formula>0.0001</formula>
    </cfRule>
    <cfRule type="cellIs" dxfId="31" priority="40" stopIfTrue="1" operator="between">
      <formula>-0.01</formula>
      <formula>0.01</formula>
    </cfRule>
  </conditionalFormatting>
  <conditionalFormatting sqref="W21:X21 AT16:AT39 AV16:IV39">
    <cfRule type="cellIs" dxfId="30" priority="325" stopIfTrue="1" operator="equal">
      <formula>0</formula>
    </cfRule>
  </conditionalFormatting>
  <conditionalFormatting sqref="W23:X23 H23:I37">
    <cfRule type="cellIs" dxfId="29" priority="454" stopIfTrue="1" operator="equal">
      <formula>0</formula>
    </cfRule>
  </conditionalFormatting>
  <conditionalFormatting sqref="W27:X29">
    <cfRule type="cellIs" dxfId="28" priority="574" stopIfTrue="1" operator="equal">
      <formula>0</formula>
    </cfRule>
  </conditionalFormatting>
  <conditionalFormatting sqref="W151:X154">
    <cfRule type="cellIs" dxfId="27" priority="121" stopIfTrue="1" operator="equal">
      <formula>0</formula>
    </cfRule>
  </conditionalFormatting>
  <conditionalFormatting sqref="W156:X157">
    <cfRule type="cellIs" dxfId="26" priority="37" stopIfTrue="1" operator="equal">
      <formula>0</formula>
    </cfRule>
  </conditionalFormatting>
  <conditionalFormatting sqref="AB27:AB31">
    <cfRule type="cellIs" dxfId="25" priority="418" stopIfTrue="1" operator="equal">
      <formula>0</formula>
    </cfRule>
  </conditionalFormatting>
  <conditionalFormatting sqref="AC27:AC30">
    <cfRule type="cellIs" dxfId="24" priority="419" stopIfTrue="1" operator="equal">
      <formula>0</formula>
    </cfRule>
  </conditionalFormatting>
  <conditionalFormatting sqref="AK1:AK8">
    <cfRule type="cellIs" dxfId="23" priority="397" operator="greaterThan">
      <formula>1</formula>
    </cfRule>
  </conditionalFormatting>
  <conditionalFormatting sqref="AK10">
    <cfRule type="cellIs" dxfId="22" priority="384" operator="greaterThan">
      <formula>1</formula>
    </cfRule>
  </conditionalFormatting>
  <conditionalFormatting sqref="AK11:AK125">
    <cfRule type="cellIs" dxfId="21" priority="28" operator="lessThan">
      <formula>0</formula>
    </cfRule>
    <cfRule type="cellIs" dxfId="20" priority="27" operator="greaterThan">
      <formula>1</formula>
    </cfRule>
  </conditionalFormatting>
  <conditionalFormatting sqref="AK126">
    <cfRule type="cellIs" dxfId="19" priority="371" operator="greaterThan">
      <formula>1</formula>
    </cfRule>
  </conditionalFormatting>
  <conditionalFormatting sqref="AK127:AK129">
    <cfRule type="cellIs" dxfId="18" priority="278" operator="lessThan">
      <formula>0</formula>
    </cfRule>
    <cfRule type="cellIs" dxfId="17" priority="277" operator="greaterThan">
      <formula>1</formula>
    </cfRule>
  </conditionalFormatting>
  <conditionalFormatting sqref="AK130">
    <cfRule type="cellIs" dxfId="16" priority="267" operator="greaterThan">
      <formula>1</formula>
    </cfRule>
  </conditionalFormatting>
  <conditionalFormatting sqref="AK131:AK132">
    <cfRule type="cellIs" dxfId="15" priority="258" operator="greaterThan">
      <formula>1</formula>
    </cfRule>
    <cfRule type="cellIs" dxfId="14" priority="259" operator="lessThan">
      <formula>0</formula>
    </cfRule>
  </conditionalFormatting>
  <conditionalFormatting sqref="AK133">
    <cfRule type="cellIs" dxfId="13" priority="252" operator="greaterThan">
      <formula>1</formula>
    </cfRule>
  </conditionalFormatting>
  <conditionalFormatting sqref="AK134:AK135">
    <cfRule type="cellIs" dxfId="12" priority="221" operator="lessThan">
      <formula>0</formula>
    </cfRule>
    <cfRule type="cellIs" dxfId="11" priority="220" operator="greaterThan">
      <formula>1</formula>
    </cfRule>
  </conditionalFormatting>
  <conditionalFormatting sqref="AK136:AK1048576">
    <cfRule type="cellIs" dxfId="10" priority="8" operator="greaterThan">
      <formula>1</formula>
    </cfRule>
  </conditionalFormatting>
  <conditionalFormatting sqref="AP1:AQ8">
    <cfRule type="cellIs" dxfId="9" priority="398" operator="lessThan">
      <formula>0</formula>
    </cfRule>
    <cfRule type="cellIs" dxfId="8" priority="396" operator="greaterThan">
      <formula>1</formula>
    </cfRule>
  </conditionalFormatting>
  <conditionalFormatting sqref="AP10:AQ1048576">
    <cfRule type="cellIs" dxfId="7" priority="9" operator="lessThan">
      <formula>0</formula>
    </cfRule>
    <cfRule type="cellIs" dxfId="6" priority="7" operator="greaterThan">
      <formula>1</formula>
    </cfRule>
  </conditionalFormatting>
  <conditionalFormatting sqref="AS10:AS155">
    <cfRule type="cellIs" dxfId="5" priority="1" operator="greaterThan">
      <formula>0</formula>
    </cfRule>
  </conditionalFormatting>
  <conditionalFormatting sqref="AT47:IV52">
    <cfRule type="cellIs" dxfId="4" priority="331" stopIfTrue="1" operator="equal">
      <formula>0</formula>
    </cfRule>
  </conditionalFormatting>
  <conditionalFormatting sqref="AU21:AU34">
    <cfRule type="cellIs" dxfId="3" priority="312" stopIfTrue="1" operator="equal">
      <formula>0</formula>
    </cfRule>
  </conditionalFormatting>
  <conditionalFormatting sqref="AU59">
    <cfRule type="cellIs" dxfId="2" priority="437" stopIfTrue="1" operator="equal">
      <formula>0</formula>
    </cfRule>
  </conditionalFormatting>
  <conditionalFormatting sqref="AU63:AU64">
    <cfRule type="cellIs" dxfId="1" priority="436" stopIfTrue="1" operator="equal">
      <formula>0</formula>
    </cfRule>
  </conditionalFormatting>
  <conditionalFormatting sqref="AU102">
    <cfRule type="cellIs" dxfId="0" priority="435" stopIfTrue="1" operator="equal">
      <formula>0</formula>
    </cfRule>
  </conditionalFormatting>
  <pageMargins left="0" right="0" top="0.52864583333333337" bottom="0.98425196850393704" header="0" footer="0"/>
  <pageSetup paperSize="9" scale="29" orientation="portrait" r:id="rId1"/>
  <headerFooter alignWithMargins="0">
    <oddHeader xml:space="preserve">&amp;LPolítica de precios JBS Argentina
&amp;CLista de precios por cadena&amp;RDepartamento de Marketing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MAYORISTAS REG</vt:lpstr>
    </vt:vector>
  </TitlesOfParts>
  <Company>Swift Argentina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Aicardi</dc:creator>
  <cp:lastModifiedBy>Nicolas Gentile</cp:lastModifiedBy>
  <dcterms:created xsi:type="dcterms:W3CDTF">2026-02-04T13:15:45Z</dcterms:created>
  <dcterms:modified xsi:type="dcterms:W3CDTF">2026-02-09T16:37:49Z</dcterms:modified>
</cp:coreProperties>
</file>