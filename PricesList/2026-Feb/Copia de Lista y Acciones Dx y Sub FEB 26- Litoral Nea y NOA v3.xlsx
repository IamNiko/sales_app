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bessone-ros\AppData\Local\Microsoft\Windows\INetCache\Content.Outlook\OM8MQ4ZH\"/>
    </mc:Choice>
  </mc:AlternateContent>
  <xr:revisionPtr revIDLastSave="0" documentId="13_ncr:1_{7093A812-651B-4D9F-A82C-F403DDC5BE91}" xr6:coauthVersionLast="47" xr6:coauthVersionMax="47" xr10:uidLastSave="{00000000-0000-0000-0000-000000000000}"/>
  <bookViews>
    <workbookView xWindow="-110" yWindow="-110" windowWidth="19420" windowHeight="10420" xr2:uid="{0222ACF9-068E-4B9B-87F6-A185C33F0E5E}"/>
  </bookViews>
  <sheets>
    <sheet name="Litoral" sheetId="1" r:id="rId1"/>
    <sheet name="NEA" sheetId="2" r:id="rId2"/>
    <sheet name="NOA" sheetId="3" r:id="rId3"/>
    <sheet name="Sub Litoral" sheetId="4" r:id="rId4"/>
    <sheet name="Sub NEA" sheetId="5" r:id="rId5"/>
    <sheet name="Sub NO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" i="4" l="1"/>
  <c r="G109" i="4"/>
  <c r="G108" i="4"/>
  <c r="G106" i="4"/>
  <c r="G103" i="4"/>
  <c r="G109" i="6"/>
  <c r="G103" i="6"/>
  <c r="J98" i="6"/>
  <c r="F67" i="1"/>
  <c r="G109" i="5" l="1"/>
  <c r="G108" i="5"/>
  <c r="G106" i="5"/>
  <c r="G105" i="5"/>
  <c r="G104" i="5"/>
  <c r="G103" i="5"/>
  <c r="J98" i="5"/>
  <c r="K101" i="5"/>
  <c r="J101" i="5"/>
  <c r="F50" i="1"/>
  <c r="P36" i="1"/>
  <c r="F94" i="1"/>
  <c r="G101" i="3" l="1"/>
  <c r="G101" i="2"/>
  <c r="H101" i="1"/>
  <c r="G101" i="1"/>
  <c r="G101" i="6" l="1"/>
  <c r="G98" i="6"/>
  <c r="G98" i="5"/>
  <c r="G101" i="5"/>
  <c r="G101" i="4"/>
  <c r="G98" i="4"/>
  <c r="F31" i="3"/>
  <c r="F14" i="3"/>
  <c r="F9" i="2"/>
  <c r="G30" i="1" l="1"/>
  <c r="F7" i="1"/>
  <c r="H101" i="2"/>
  <c r="I101" i="2" s="1"/>
  <c r="H101" i="3"/>
  <c r="I101" i="3" s="1"/>
  <c r="I101" i="4"/>
  <c r="I101" i="5"/>
  <c r="I101" i="6"/>
  <c r="J101" i="6" s="1"/>
  <c r="I101" i="1"/>
  <c r="F98" i="2"/>
  <c r="H98" i="2" s="1"/>
  <c r="I98" i="2" s="1"/>
  <c r="F98" i="3"/>
  <c r="H98" i="3" s="1"/>
  <c r="I98" i="3" s="1"/>
  <c r="I98" i="4"/>
  <c r="I98" i="5"/>
  <c r="I98" i="6"/>
  <c r="F98" i="1"/>
  <c r="H98" i="1" s="1"/>
  <c r="I98" i="1" s="1"/>
  <c r="G108" i="6"/>
  <c r="H30" i="5"/>
  <c r="I109" i="5"/>
  <c r="J109" i="5" s="1"/>
  <c r="I108" i="5"/>
  <c r="J108" i="5" s="1"/>
  <c r="F109" i="3"/>
  <c r="F30" i="3"/>
  <c r="F108" i="3"/>
  <c r="F109" i="2"/>
  <c r="F31" i="2"/>
  <c r="F30" i="2"/>
  <c r="F108" i="2"/>
  <c r="F109" i="1"/>
  <c r="F108" i="1"/>
  <c r="G33" i="1"/>
  <c r="G32" i="1"/>
  <c r="F33" i="1"/>
  <c r="F31" i="1"/>
  <c r="F30" i="1"/>
  <c r="G97" i="4"/>
  <c r="G97" i="5"/>
  <c r="G97" i="6"/>
  <c r="S98" i="4" l="1"/>
  <c r="J101" i="4"/>
  <c r="K101" i="4" s="1"/>
  <c r="L101" i="4" s="1"/>
  <c r="S101" i="4"/>
  <c r="J98" i="2"/>
  <c r="K98" i="2" s="1"/>
  <c r="P98" i="2"/>
  <c r="P98" i="1"/>
  <c r="J101" i="1"/>
  <c r="K101" i="1" s="1"/>
  <c r="J101" i="3"/>
  <c r="K101" i="3" s="1"/>
  <c r="K101" i="6"/>
  <c r="L101" i="6" s="1"/>
  <c r="L101" i="5"/>
  <c r="J101" i="2"/>
  <c r="K101" i="2" s="1"/>
  <c r="J98" i="1"/>
  <c r="K98" i="1" s="1"/>
  <c r="K98" i="6"/>
  <c r="L98" i="6" s="1"/>
  <c r="K98" i="5"/>
  <c r="L98" i="5" s="1"/>
  <c r="K98" i="4"/>
  <c r="L98" i="4" s="1"/>
  <c r="J98" i="3"/>
  <c r="K98" i="3" s="1"/>
  <c r="H108" i="1"/>
  <c r="H109" i="1"/>
  <c r="I108" i="6"/>
  <c r="J108" i="6" s="1"/>
  <c r="K108" i="6" s="1"/>
  <c r="L108" i="6" s="1"/>
  <c r="I109" i="6"/>
  <c r="J109" i="6" s="1"/>
  <c r="K109" i="6" s="1"/>
  <c r="L109" i="6" s="1"/>
  <c r="H109" i="3"/>
  <c r="I108" i="4"/>
  <c r="H108" i="3"/>
  <c r="I109" i="4"/>
  <c r="K108" i="5"/>
  <c r="L108" i="5" s="1"/>
  <c r="K109" i="5"/>
  <c r="L109" i="5" s="1"/>
  <c r="G38" i="4"/>
  <c r="G37" i="4"/>
  <c r="G35" i="4"/>
  <c r="H72" i="1"/>
  <c r="I72" i="1" s="1"/>
  <c r="H72" i="2"/>
  <c r="I72" i="2" s="1"/>
  <c r="H72" i="3"/>
  <c r="I72" i="3" s="1"/>
  <c r="I109" i="3" l="1"/>
  <c r="J109" i="3" s="1"/>
  <c r="K109" i="3" s="1"/>
  <c r="P109" i="3"/>
  <c r="I108" i="3"/>
  <c r="J108" i="3" s="1"/>
  <c r="K108" i="3" s="1"/>
  <c r="P108" i="3"/>
  <c r="J109" i="4"/>
  <c r="K109" i="4" s="1"/>
  <c r="L109" i="4" s="1"/>
  <c r="S109" i="4"/>
  <c r="J108" i="4"/>
  <c r="K108" i="4" s="1"/>
  <c r="L108" i="4" s="1"/>
  <c r="M108" i="4" s="1"/>
  <c r="N108" i="4" s="1"/>
  <c r="S108" i="4"/>
  <c r="I109" i="1"/>
  <c r="P109" i="1"/>
  <c r="I108" i="1"/>
  <c r="J108" i="1" s="1"/>
  <c r="K108" i="1" s="1"/>
  <c r="L108" i="1" s="1"/>
  <c r="M108" i="1" s="1"/>
  <c r="P108" i="1"/>
  <c r="J109" i="1"/>
  <c r="K109" i="1" s="1"/>
  <c r="L109" i="1" s="1"/>
  <c r="M109" i="1" s="1"/>
  <c r="M101" i="4"/>
  <c r="N101" i="4" s="1"/>
  <c r="L101" i="2"/>
  <c r="M101" i="2" s="1"/>
  <c r="M101" i="5"/>
  <c r="N101" i="5" s="1"/>
  <c r="L101" i="3"/>
  <c r="M101" i="3" s="1"/>
  <c r="L101" i="1"/>
  <c r="M101" i="1" s="1"/>
  <c r="M101" i="6"/>
  <c r="N101" i="6" s="1"/>
  <c r="L98" i="2"/>
  <c r="M98" i="2" s="1"/>
  <c r="M98" i="4"/>
  <c r="N98" i="4" s="1"/>
  <c r="M98" i="5"/>
  <c r="N98" i="5" s="1"/>
  <c r="M98" i="6"/>
  <c r="N98" i="6" s="1"/>
  <c r="L98" i="3"/>
  <c r="M98" i="3" s="1"/>
  <c r="L98" i="1"/>
  <c r="M98" i="1" s="1"/>
  <c r="M109" i="6"/>
  <c r="N109" i="6" s="1"/>
  <c r="M108" i="6"/>
  <c r="N108" i="6" s="1"/>
  <c r="M109" i="5"/>
  <c r="N109" i="5" s="1"/>
  <c r="M108" i="5"/>
  <c r="N108" i="5" s="1"/>
  <c r="M109" i="4"/>
  <c r="N109" i="4" s="1"/>
  <c r="L109" i="3"/>
  <c r="M109" i="3" s="1"/>
  <c r="L108" i="3"/>
  <c r="M108" i="3" s="1"/>
  <c r="J72" i="1"/>
  <c r="K72" i="1" s="1"/>
  <c r="L72" i="1" s="1"/>
  <c r="J72" i="2"/>
  <c r="K72" i="2" s="1"/>
  <c r="L72" i="2" s="1"/>
  <c r="J72" i="3"/>
  <c r="K72" i="3" s="1"/>
  <c r="L72" i="3" s="1"/>
  <c r="O98" i="6" l="1"/>
  <c r="P98" i="6" s="1"/>
  <c r="O101" i="6"/>
  <c r="P101" i="6" s="1"/>
  <c r="O98" i="4"/>
  <c r="P98" i="4" s="1"/>
  <c r="O101" i="4"/>
  <c r="P101" i="4" s="1"/>
  <c r="O98" i="5"/>
  <c r="P98" i="5" s="1"/>
  <c r="O101" i="5"/>
  <c r="P101" i="5" s="1"/>
  <c r="N101" i="2"/>
  <c r="O101" i="2" s="1"/>
  <c r="N101" i="1"/>
  <c r="O101" i="1" s="1"/>
  <c r="N101" i="3"/>
  <c r="O101" i="3" s="1"/>
  <c r="N98" i="3"/>
  <c r="O98" i="3" s="1"/>
  <c r="N98" i="2"/>
  <c r="O98" i="2" s="1"/>
  <c r="N98" i="1"/>
  <c r="O98" i="1" s="1"/>
  <c r="O108" i="6"/>
  <c r="P108" i="6" s="1"/>
  <c r="O109" i="6"/>
  <c r="P109" i="6" s="1"/>
  <c r="O108" i="5"/>
  <c r="P108" i="5" s="1"/>
  <c r="O109" i="5"/>
  <c r="P109" i="5" s="1"/>
  <c r="O108" i="4"/>
  <c r="P108" i="4" s="1"/>
  <c r="O109" i="4"/>
  <c r="P109" i="4" s="1"/>
  <c r="N108" i="3"/>
  <c r="O108" i="3" s="1"/>
  <c r="N109" i="3"/>
  <c r="O109" i="3" s="1"/>
  <c r="N108" i="1"/>
  <c r="O108" i="1" s="1"/>
  <c r="N109" i="1"/>
  <c r="O109" i="1" s="1"/>
  <c r="M72" i="1"/>
  <c r="M72" i="2"/>
  <c r="M72" i="3"/>
  <c r="G36" i="6"/>
  <c r="I36" i="6" s="1"/>
  <c r="J36" i="6" s="1"/>
  <c r="G31" i="6"/>
  <c r="I31" i="6" s="1"/>
  <c r="J31" i="6" s="1"/>
  <c r="K31" i="6" s="1"/>
  <c r="L31" i="6" s="1"/>
  <c r="G33" i="6"/>
  <c r="I33" i="6" s="1"/>
  <c r="J33" i="6" s="1"/>
  <c r="G36" i="5"/>
  <c r="I36" i="5" s="1"/>
  <c r="J36" i="5" s="1"/>
  <c r="G33" i="5"/>
  <c r="I33" i="5" s="1"/>
  <c r="J33" i="5" s="1"/>
  <c r="G31" i="5"/>
  <c r="I31" i="5" s="1"/>
  <c r="J31" i="5" s="1"/>
  <c r="G36" i="4"/>
  <c r="I36" i="4" s="1"/>
  <c r="J36" i="4" s="1"/>
  <c r="H31" i="3"/>
  <c r="F36" i="3"/>
  <c r="H36" i="3" s="1"/>
  <c r="I36" i="3" s="1"/>
  <c r="J36" i="3" s="1"/>
  <c r="K36" i="3" s="1"/>
  <c r="F36" i="2"/>
  <c r="H36" i="2" s="1"/>
  <c r="I36" i="2" s="1"/>
  <c r="F33" i="3"/>
  <c r="H33" i="3" s="1"/>
  <c r="F33" i="2"/>
  <c r="H33" i="2" s="1"/>
  <c r="I31" i="3" l="1"/>
  <c r="P31" i="3"/>
  <c r="I33" i="3"/>
  <c r="J33" i="3" s="1"/>
  <c r="K33" i="3" s="1"/>
  <c r="L33" i="3" s="1"/>
  <c r="P33" i="3"/>
  <c r="I33" i="2"/>
  <c r="J33" i="2" s="1"/>
  <c r="K33" i="2" s="1"/>
  <c r="L33" i="2" s="1"/>
  <c r="P33" i="2"/>
  <c r="N72" i="1"/>
  <c r="O72" i="1" s="1"/>
  <c r="N72" i="2"/>
  <c r="O72" i="2" s="1"/>
  <c r="N72" i="3"/>
  <c r="O72" i="3" s="1"/>
  <c r="H31" i="2"/>
  <c r="L36" i="3"/>
  <c r="M36" i="3" s="1"/>
  <c r="K36" i="6"/>
  <c r="L36" i="6" s="1"/>
  <c r="K36" i="4"/>
  <c r="L36" i="4" s="1"/>
  <c r="K36" i="5"/>
  <c r="L36" i="5" s="1"/>
  <c r="J36" i="2"/>
  <c r="K36" i="2" s="1"/>
  <c r="K33" i="6"/>
  <c r="L33" i="6" s="1"/>
  <c r="K33" i="5"/>
  <c r="L33" i="5" s="1"/>
  <c r="M31" i="6"/>
  <c r="N31" i="6" s="1"/>
  <c r="J31" i="3"/>
  <c r="K31" i="3" s="1"/>
  <c r="K31" i="5"/>
  <c r="L31" i="5" s="1"/>
  <c r="M33" i="2" l="1"/>
  <c r="I31" i="2"/>
  <c r="J31" i="2" s="1"/>
  <c r="K31" i="2" s="1"/>
  <c r="L31" i="2" s="1"/>
  <c r="P31" i="2"/>
  <c r="O31" i="6"/>
  <c r="P31" i="6" s="1"/>
  <c r="M36" i="4"/>
  <c r="N36" i="4" s="1"/>
  <c r="N36" i="3"/>
  <c r="O36" i="3" s="1"/>
  <c r="M36" i="5"/>
  <c r="N36" i="5" s="1"/>
  <c r="M36" i="6"/>
  <c r="N36" i="6" s="1"/>
  <c r="L36" i="2"/>
  <c r="M36" i="2" s="1"/>
  <c r="M33" i="3"/>
  <c r="M33" i="6"/>
  <c r="N33" i="6" s="1"/>
  <c r="N33" i="2"/>
  <c r="O33" i="2" s="1"/>
  <c r="M33" i="5"/>
  <c r="N33" i="5" s="1"/>
  <c r="M31" i="5"/>
  <c r="N31" i="5" s="1"/>
  <c r="L31" i="3"/>
  <c r="M31" i="3" s="1"/>
  <c r="M31" i="2" l="1"/>
  <c r="O36" i="5"/>
  <c r="P36" i="5" s="1"/>
  <c r="O31" i="5"/>
  <c r="P31" i="5" s="1"/>
  <c r="O33" i="5"/>
  <c r="P33" i="5" s="1"/>
  <c r="O36" i="4"/>
  <c r="P36" i="4" s="1"/>
  <c r="O33" i="6"/>
  <c r="P33" i="6" s="1"/>
  <c r="O36" i="6"/>
  <c r="P36" i="6" s="1"/>
  <c r="N36" i="2"/>
  <c r="O36" i="2" s="1"/>
  <c r="N33" i="3"/>
  <c r="O33" i="3" s="1"/>
  <c r="N31" i="3"/>
  <c r="O31" i="3" s="1"/>
  <c r="N31" i="2" l="1"/>
  <c r="O31" i="2" s="1"/>
  <c r="H33" i="1"/>
  <c r="P33" i="1" s="1"/>
  <c r="H36" i="1"/>
  <c r="I36" i="1" s="1"/>
  <c r="I33" i="1" l="1"/>
  <c r="J33" i="1" s="1"/>
  <c r="K33" i="1" s="1"/>
  <c r="L33" i="1" s="1"/>
  <c r="G33" i="4"/>
  <c r="I33" i="4" s="1"/>
  <c r="J33" i="4" s="1"/>
  <c r="K33" i="4" s="1"/>
  <c r="L33" i="4" s="1"/>
  <c r="M33" i="4" s="1"/>
  <c r="N33" i="4" s="1"/>
  <c r="H31" i="1"/>
  <c r="P31" i="1" s="1"/>
  <c r="J36" i="1"/>
  <c r="K36" i="1" s="1"/>
  <c r="O33" i="4" l="1"/>
  <c r="P33" i="4" s="1"/>
  <c r="I31" i="1"/>
  <c r="J31" i="1" s="1"/>
  <c r="K31" i="1" s="1"/>
  <c r="L31" i="1" s="1"/>
  <c r="M31" i="1" s="1"/>
  <c r="N31" i="1" s="1"/>
  <c r="G31" i="4"/>
  <c r="I31" i="4" s="1"/>
  <c r="J31" i="4" s="1"/>
  <c r="K31" i="4" s="1"/>
  <c r="L31" i="4" s="1"/>
  <c r="M31" i="4" s="1"/>
  <c r="N31" i="4" s="1"/>
  <c r="M33" i="1"/>
  <c r="L36" i="1"/>
  <c r="M36" i="1" s="1"/>
  <c r="O31" i="4" l="1"/>
  <c r="P31" i="4" s="1"/>
  <c r="O31" i="1"/>
  <c r="N33" i="1"/>
  <c r="O33" i="1" s="1"/>
  <c r="N36" i="1"/>
  <c r="O36" i="1" s="1"/>
  <c r="F97" i="2" l="1"/>
  <c r="H97" i="2" s="1"/>
  <c r="F97" i="3"/>
  <c r="H97" i="3" s="1"/>
  <c r="I97" i="3" s="1"/>
  <c r="F97" i="1"/>
  <c r="H97" i="1" s="1"/>
  <c r="I97" i="4"/>
  <c r="I97" i="5"/>
  <c r="J97" i="5" s="1"/>
  <c r="I97" i="6"/>
  <c r="J97" i="6" s="1"/>
  <c r="F19" i="1"/>
  <c r="F11" i="1"/>
  <c r="F4" i="1"/>
  <c r="F5" i="1"/>
  <c r="J97" i="4" l="1"/>
  <c r="S97" i="4"/>
  <c r="I97" i="2"/>
  <c r="P97" i="2"/>
  <c r="I97" i="1"/>
  <c r="J97" i="1" s="1"/>
  <c r="K97" i="1" s="1"/>
  <c r="P97" i="1"/>
  <c r="J97" i="2"/>
  <c r="K97" i="2" s="1"/>
  <c r="K97" i="4"/>
  <c r="L97" i="4" s="1"/>
  <c r="J97" i="3"/>
  <c r="K97" i="3" s="1"/>
  <c r="K97" i="6"/>
  <c r="L97" i="6" s="1"/>
  <c r="K97" i="5"/>
  <c r="L97" i="5" s="1"/>
  <c r="M97" i="6" l="1"/>
  <c r="N97" i="6" s="1"/>
  <c r="M97" i="5"/>
  <c r="N97" i="5" s="1"/>
  <c r="L97" i="3"/>
  <c r="M97" i="3" s="1"/>
  <c r="L97" i="1"/>
  <c r="M97" i="1" s="1"/>
  <c r="M97" i="4"/>
  <c r="N97" i="4" s="1"/>
  <c r="L97" i="2"/>
  <c r="M97" i="2" s="1"/>
  <c r="O97" i="6" l="1"/>
  <c r="P97" i="6" s="1"/>
  <c r="O97" i="5"/>
  <c r="P97" i="5" s="1"/>
  <c r="O97" i="4"/>
  <c r="P97" i="4" s="1"/>
  <c r="N97" i="2"/>
  <c r="O97" i="2" s="1"/>
  <c r="N97" i="3"/>
  <c r="O97" i="3" s="1"/>
  <c r="N97" i="1"/>
  <c r="O97" i="1" s="1"/>
  <c r="G65" i="4" l="1"/>
  <c r="P102" i="3" l="1"/>
  <c r="P102" i="2"/>
  <c r="P102" i="1"/>
  <c r="AN109" i="1" l="1"/>
  <c r="AN108" i="1"/>
  <c r="AN107" i="1"/>
  <c r="AN102" i="1"/>
  <c r="Z37" i="3" l="1"/>
  <c r="Z32" i="2"/>
  <c r="Z30" i="2"/>
  <c r="G43" i="4" l="1"/>
  <c r="G42" i="4"/>
  <c r="G105" i="4"/>
  <c r="G104" i="4"/>
  <c r="G67" i="6"/>
  <c r="I67" i="6" s="1"/>
  <c r="J67" i="6" s="1"/>
  <c r="G67" i="5"/>
  <c r="I67" i="5" s="1"/>
  <c r="J67" i="5" s="1"/>
  <c r="G67" i="4"/>
  <c r="I67" i="4" s="1"/>
  <c r="J67" i="4" s="1"/>
  <c r="G94" i="6"/>
  <c r="I94" i="6" s="1"/>
  <c r="J94" i="6" s="1"/>
  <c r="G43" i="6"/>
  <c r="G42" i="6"/>
  <c r="G106" i="6"/>
  <c r="G105" i="6"/>
  <c r="G104" i="6"/>
  <c r="K67" i="6" l="1"/>
  <c r="L67" i="6" s="1"/>
  <c r="K67" i="5"/>
  <c r="L67" i="5" s="1"/>
  <c r="K67" i="4"/>
  <c r="L67" i="4" s="1"/>
  <c r="K94" i="6"/>
  <c r="L94" i="6" s="1"/>
  <c r="M67" i="6" l="1"/>
  <c r="N67" i="6" s="1"/>
  <c r="M67" i="5"/>
  <c r="N67" i="5" s="1"/>
  <c r="M67" i="4"/>
  <c r="N67" i="4" s="1"/>
  <c r="M94" i="6"/>
  <c r="N94" i="6" s="1"/>
  <c r="O67" i="6" l="1"/>
  <c r="P67" i="6" s="1"/>
  <c r="O67" i="5"/>
  <c r="P67" i="5" s="1"/>
  <c r="O67" i="4"/>
  <c r="P67" i="4" s="1"/>
  <c r="O94" i="6"/>
  <c r="P94" i="6" s="1"/>
  <c r="F94" i="2" l="1"/>
  <c r="H94" i="2" s="1"/>
  <c r="P94" i="2" s="1"/>
  <c r="F94" i="3"/>
  <c r="H94" i="3" s="1"/>
  <c r="G94" i="4"/>
  <c r="I94" i="4" s="1"/>
  <c r="J94" i="4" s="1"/>
  <c r="G94" i="5"/>
  <c r="I94" i="5" s="1"/>
  <c r="J94" i="5" s="1"/>
  <c r="F43" i="2"/>
  <c r="H43" i="2" s="1"/>
  <c r="P43" i="2" s="1"/>
  <c r="F43" i="3"/>
  <c r="H43" i="3" s="1"/>
  <c r="I43" i="4"/>
  <c r="J43" i="4" s="1"/>
  <c r="G43" i="5"/>
  <c r="I43" i="5" s="1"/>
  <c r="J43" i="5" s="1"/>
  <c r="I43" i="6"/>
  <c r="J43" i="6" s="1"/>
  <c r="F43" i="1"/>
  <c r="F42" i="2"/>
  <c r="H42" i="2" s="1"/>
  <c r="P42" i="2" s="1"/>
  <c r="F42" i="3"/>
  <c r="H42" i="3" s="1"/>
  <c r="I42" i="4"/>
  <c r="J42" i="4" s="1"/>
  <c r="G42" i="5"/>
  <c r="I42" i="5" s="1"/>
  <c r="J42" i="5" s="1"/>
  <c r="I42" i="6"/>
  <c r="J42" i="6" s="1"/>
  <c r="F42" i="1"/>
  <c r="Z49" i="2"/>
  <c r="I43" i="3" l="1"/>
  <c r="J43" i="3" s="1"/>
  <c r="K43" i="3" s="1"/>
  <c r="P43" i="3"/>
  <c r="I94" i="3"/>
  <c r="J94" i="3" s="1"/>
  <c r="K94" i="3" s="1"/>
  <c r="P94" i="3"/>
  <c r="I42" i="3"/>
  <c r="J42" i="3" s="1"/>
  <c r="K42" i="3" s="1"/>
  <c r="P42" i="3"/>
  <c r="I42" i="2"/>
  <c r="J42" i="2" s="1"/>
  <c r="K42" i="2" s="1"/>
  <c r="I43" i="2"/>
  <c r="J43" i="2" s="1"/>
  <c r="K43" i="2" s="1"/>
  <c r="I94" i="2"/>
  <c r="J94" i="2" s="1"/>
  <c r="K94" i="2" s="1"/>
  <c r="H42" i="1"/>
  <c r="H43" i="1"/>
  <c r="H94" i="1"/>
  <c r="K94" i="5"/>
  <c r="L94" i="5" s="1"/>
  <c r="K94" i="4"/>
  <c r="L94" i="4" s="1"/>
  <c r="K43" i="6"/>
  <c r="L43" i="6" s="1"/>
  <c r="K43" i="5"/>
  <c r="L43" i="5" s="1"/>
  <c r="K43" i="4"/>
  <c r="L43" i="4" s="1"/>
  <c r="K42" i="5"/>
  <c r="L42" i="5" s="1"/>
  <c r="K42" i="4"/>
  <c r="L42" i="4" s="1"/>
  <c r="K42" i="6"/>
  <c r="L42" i="6" s="1"/>
  <c r="AD66" i="2"/>
  <c r="AD67" i="2" s="1"/>
  <c r="AD60" i="2"/>
  <c r="Z23" i="2"/>
  <c r="Z24" i="2" s="1"/>
  <c r="I43" i="1" l="1"/>
  <c r="J43" i="1" s="1"/>
  <c r="K43" i="1" s="1"/>
  <c r="L43" i="1" s="1"/>
  <c r="M43" i="1" s="1"/>
  <c r="P43" i="1"/>
  <c r="AN43" i="1"/>
  <c r="I42" i="1"/>
  <c r="J42" i="1" s="1"/>
  <c r="K42" i="1" s="1"/>
  <c r="L42" i="1" s="1"/>
  <c r="M42" i="1" s="1"/>
  <c r="P42" i="1"/>
  <c r="AN42" i="1"/>
  <c r="I94" i="1"/>
  <c r="J94" i="1" s="1"/>
  <c r="K94" i="1" s="1"/>
  <c r="L94" i="1" s="1"/>
  <c r="P94" i="1"/>
  <c r="AN94" i="1"/>
  <c r="L94" i="2"/>
  <c r="M94" i="2" s="1"/>
  <c r="M94" i="4"/>
  <c r="N94" i="4" s="1"/>
  <c r="M94" i="5"/>
  <c r="N94" i="5" s="1"/>
  <c r="L94" i="3"/>
  <c r="M94" i="3" s="1"/>
  <c r="L43" i="3"/>
  <c r="M43" i="3" s="1"/>
  <c r="M43" i="5"/>
  <c r="N43" i="5" s="1"/>
  <c r="M43" i="4"/>
  <c r="N43" i="4" s="1"/>
  <c r="M43" i="6"/>
  <c r="N43" i="6" s="1"/>
  <c r="L43" i="2"/>
  <c r="M43" i="2" s="1"/>
  <c r="M42" i="6"/>
  <c r="N42" i="6" s="1"/>
  <c r="L42" i="3"/>
  <c r="M42" i="3" s="1"/>
  <c r="M42" i="4"/>
  <c r="N42" i="4" s="1"/>
  <c r="M42" i="5"/>
  <c r="N42" i="5" s="1"/>
  <c r="L42" i="2"/>
  <c r="M42" i="2" s="1"/>
  <c r="Z70" i="3"/>
  <c r="Z71" i="3" s="1"/>
  <c r="Z70" i="2"/>
  <c r="Z71" i="2" s="1"/>
  <c r="Y46" i="1"/>
  <c r="Y47" i="1" s="1"/>
  <c r="Y38" i="3"/>
  <c r="Y39" i="3" s="1"/>
  <c r="AA39" i="3"/>
  <c r="AA40" i="3" s="1"/>
  <c r="Z38" i="2"/>
  <c r="Z39" i="2" s="1"/>
  <c r="AA39" i="2"/>
  <c r="AA40" i="2" s="1"/>
  <c r="Y39" i="1"/>
  <c r="Y40" i="1" s="1"/>
  <c r="F106" i="3"/>
  <c r="F105" i="3"/>
  <c r="F104" i="3"/>
  <c r="F103" i="3"/>
  <c r="F102" i="3"/>
  <c r="F100" i="3"/>
  <c r="F99" i="3"/>
  <c r="F96" i="3"/>
  <c r="F95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P72" i="3"/>
  <c r="F71" i="3"/>
  <c r="F70" i="3"/>
  <c r="F69" i="3"/>
  <c r="F68" i="3"/>
  <c r="H68" i="3" s="1"/>
  <c r="F67" i="3"/>
  <c r="H67" i="3" s="1"/>
  <c r="F66" i="3"/>
  <c r="H66" i="3" s="1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1" i="3"/>
  <c r="F40" i="3"/>
  <c r="F39" i="3"/>
  <c r="F38" i="3"/>
  <c r="F37" i="3"/>
  <c r="H37" i="3" s="1"/>
  <c r="F35" i="3"/>
  <c r="F34" i="3"/>
  <c r="F32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12" i="3"/>
  <c r="F11" i="3"/>
  <c r="F10" i="3"/>
  <c r="F9" i="3"/>
  <c r="F8" i="3"/>
  <c r="F7" i="3"/>
  <c r="F6" i="3"/>
  <c r="F5" i="3"/>
  <c r="F4" i="3"/>
  <c r="F106" i="2"/>
  <c r="F105" i="2"/>
  <c r="F104" i="2"/>
  <c r="F103" i="2"/>
  <c r="F102" i="2"/>
  <c r="F100" i="2"/>
  <c r="F99" i="2"/>
  <c r="F96" i="2"/>
  <c r="F95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P72" i="2"/>
  <c r="F71" i="2"/>
  <c r="F70" i="2"/>
  <c r="F69" i="2"/>
  <c r="AC59" i="2" s="1"/>
  <c r="AD59" i="2" s="1"/>
  <c r="F68" i="2"/>
  <c r="H68" i="2" s="1"/>
  <c r="P68" i="2" s="1"/>
  <c r="F67" i="2"/>
  <c r="H67" i="2" s="1"/>
  <c r="P67" i="2" s="1"/>
  <c r="F66" i="2"/>
  <c r="H66" i="2" s="1"/>
  <c r="P66" i="2" s="1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1" i="2"/>
  <c r="F40" i="2"/>
  <c r="F39" i="2"/>
  <c r="F38" i="2"/>
  <c r="F37" i="2"/>
  <c r="H37" i="2" s="1"/>
  <c r="P37" i="2" s="1"/>
  <c r="F35" i="2"/>
  <c r="F34" i="2"/>
  <c r="F32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8" i="2"/>
  <c r="F7" i="2"/>
  <c r="F6" i="2"/>
  <c r="F5" i="2"/>
  <c r="F4" i="2"/>
  <c r="F106" i="1"/>
  <c r="F105" i="1"/>
  <c r="F104" i="1"/>
  <c r="F103" i="1"/>
  <c r="F102" i="1"/>
  <c r="F100" i="1"/>
  <c r="F99" i="1"/>
  <c r="F96" i="1"/>
  <c r="F95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1" i="1"/>
  <c r="F70" i="1"/>
  <c r="F69" i="1"/>
  <c r="F68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49" i="1"/>
  <c r="F48" i="1"/>
  <c r="F47" i="1"/>
  <c r="F46" i="1"/>
  <c r="F45" i="1"/>
  <c r="F44" i="1"/>
  <c r="F41" i="1"/>
  <c r="F40" i="1"/>
  <c r="F39" i="1"/>
  <c r="F38" i="1"/>
  <c r="F37" i="1"/>
  <c r="H37" i="1" s="1"/>
  <c r="F35" i="1"/>
  <c r="F34" i="1"/>
  <c r="F32" i="1"/>
  <c r="F29" i="1"/>
  <c r="F28" i="1"/>
  <c r="F27" i="1"/>
  <c r="F26" i="1"/>
  <c r="F25" i="1"/>
  <c r="F24" i="1"/>
  <c r="F23" i="1"/>
  <c r="F22" i="1"/>
  <c r="F21" i="1"/>
  <c r="F20" i="1"/>
  <c r="F18" i="1"/>
  <c r="F17" i="1"/>
  <c r="F16" i="1"/>
  <c r="F15" i="1"/>
  <c r="F14" i="1"/>
  <c r="F13" i="1"/>
  <c r="F12" i="1"/>
  <c r="F10" i="1"/>
  <c r="F9" i="1"/>
  <c r="F8" i="1"/>
  <c r="F6" i="1"/>
  <c r="G4" i="6"/>
  <c r="I72" i="6"/>
  <c r="J72" i="6" s="1"/>
  <c r="G68" i="6"/>
  <c r="I68" i="6" s="1"/>
  <c r="J68" i="6" s="1"/>
  <c r="G66" i="6"/>
  <c r="I66" i="6" s="1"/>
  <c r="J66" i="6" s="1"/>
  <c r="I72" i="5"/>
  <c r="J72" i="5" s="1"/>
  <c r="G68" i="5"/>
  <c r="I68" i="5" s="1"/>
  <c r="J68" i="5" s="1"/>
  <c r="G66" i="5"/>
  <c r="I66" i="5" s="1"/>
  <c r="J66" i="5" s="1"/>
  <c r="I72" i="4"/>
  <c r="J72" i="4" s="1"/>
  <c r="G68" i="4"/>
  <c r="I68" i="4" s="1"/>
  <c r="J68" i="4" s="1"/>
  <c r="G66" i="4"/>
  <c r="I66" i="4" s="1"/>
  <c r="J66" i="4" s="1"/>
  <c r="P37" i="3" l="1"/>
  <c r="O94" i="5"/>
  <c r="P94" i="5" s="1"/>
  <c r="O94" i="4"/>
  <c r="P94" i="4" s="1"/>
  <c r="M94" i="1"/>
  <c r="N94" i="1" s="1"/>
  <c r="O94" i="1" s="1"/>
  <c r="O43" i="5"/>
  <c r="P43" i="5" s="1"/>
  <c r="O42" i="5"/>
  <c r="P42" i="5" s="1"/>
  <c r="O43" i="4"/>
  <c r="P43" i="4" s="1"/>
  <c r="O42" i="4"/>
  <c r="P42" i="4" s="1"/>
  <c r="I66" i="3"/>
  <c r="J66" i="3" s="1"/>
  <c r="K66" i="3" s="1"/>
  <c r="P66" i="3"/>
  <c r="I67" i="3"/>
  <c r="J67" i="3" s="1"/>
  <c r="K67" i="3" s="1"/>
  <c r="P67" i="3"/>
  <c r="I68" i="3"/>
  <c r="J68" i="3" s="1"/>
  <c r="K68" i="3" s="1"/>
  <c r="P68" i="3"/>
  <c r="I68" i="2"/>
  <c r="AJ68" i="2"/>
  <c r="I66" i="2"/>
  <c r="J66" i="2" s="1"/>
  <c r="K66" i="2" s="1"/>
  <c r="I67" i="2"/>
  <c r="J67" i="2" s="1"/>
  <c r="K67" i="2" s="1"/>
  <c r="H68" i="1"/>
  <c r="H66" i="1"/>
  <c r="H103" i="1"/>
  <c r="H104" i="1"/>
  <c r="H67" i="1"/>
  <c r="H105" i="1"/>
  <c r="H106" i="1"/>
  <c r="Y48" i="1"/>
  <c r="Y49" i="1" s="1"/>
  <c r="O42" i="6"/>
  <c r="P42" i="6" s="1"/>
  <c r="O43" i="6"/>
  <c r="P43" i="6" s="1"/>
  <c r="AA41" i="3"/>
  <c r="AA44" i="3" s="1"/>
  <c r="N94" i="2"/>
  <c r="O94" i="2" s="1"/>
  <c r="N94" i="3"/>
  <c r="O94" i="3" s="1"/>
  <c r="Y41" i="1"/>
  <c r="Y44" i="1" s="1"/>
  <c r="N43" i="1"/>
  <c r="O43" i="1" s="1"/>
  <c r="N43" i="2"/>
  <c r="O43" i="2" s="1"/>
  <c r="N43" i="3"/>
  <c r="O43" i="3" s="1"/>
  <c r="N42" i="1"/>
  <c r="O42" i="1" s="1"/>
  <c r="N42" i="2"/>
  <c r="O42" i="2" s="1"/>
  <c r="N42" i="3"/>
  <c r="O42" i="3" s="1"/>
  <c r="Z72" i="2"/>
  <c r="Z73" i="2" s="1"/>
  <c r="Y40" i="3"/>
  <c r="Y41" i="3" s="1"/>
  <c r="Z72" i="3"/>
  <c r="Z73" i="3" s="1"/>
  <c r="AA41" i="2"/>
  <c r="AA44" i="2" s="1"/>
  <c r="Z40" i="2"/>
  <c r="Z41" i="2" s="1"/>
  <c r="S66" i="4"/>
  <c r="S68" i="4"/>
  <c r="S72" i="4"/>
  <c r="K66" i="6"/>
  <c r="L66" i="6" s="1"/>
  <c r="K68" i="6"/>
  <c r="L68" i="6" s="1"/>
  <c r="K72" i="6"/>
  <c r="L72" i="6" s="1"/>
  <c r="K72" i="5"/>
  <c r="L72" i="5" s="1"/>
  <c r="K66" i="5"/>
  <c r="L66" i="5" s="1"/>
  <c r="K68" i="5"/>
  <c r="L68" i="5" s="1"/>
  <c r="K72" i="4"/>
  <c r="L72" i="4" s="1"/>
  <c r="K68" i="4"/>
  <c r="L68" i="4" s="1"/>
  <c r="K66" i="4"/>
  <c r="L66" i="4" s="1"/>
  <c r="J68" i="2"/>
  <c r="K68" i="2" s="1"/>
  <c r="P103" i="1" l="1"/>
  <c r="AN103" i="1"/>
  <c r="P72" i="1"/>
  <c r="AN72" i="1"/>
  <c r="P67" i="1"/>
  <c r="AN67" i="1"/>
  <c r="P106" i="1"/>
  <c r="AN106" i="1"/>
  <c r="P104" i="1"/>
  <c r="AN104" i="1"/>
  <c r="P105" i="1"/>
  <c r="AN105" i="1"/>
  <c r="P68" i="1"/>
  <c r="AN68" i="1"/>
  <c r="P66" i="1"/>
  <c r="AN66" i="1"/>
  <c r="P37" i="1"/>
  <c r="AN37" i="1"/>
  <c r="I67" i="1"/>
  <c r="J67" i="1" s="1"/>
  <c r="K67" i="1" s="1"/>
  <c r="L67" i="1" s="1"/>
  <c r="M67" i="1" s="1"/>
  <c r="AG67" i="1"/>
  <c r="I66" i="1"/>
  <c r="J66" i="1" s="1"/>
  <c r="K66" i="1" s="1"/>
  <c r="L66" i="1" s="1"/>
  <c r="M66" i="1" s="1"/>
  <c r="AG66" i="1"/>
  <c r="I68" i="1"/>
  <c r="J68" i="1" s="1"/>
  <c r="K68" i="1" s="1"/>
  <c r="L68" i="1" s="1"/>
  <c r="M68" i="1" s="1"/>
  <c r="N68" i="1" s="1"/>
  <c r="O68" i="1" s="1"/>
  <c r="AG68" i="1"/>
  <c r="L67" i="3"/>
  <c r="M67" i="3" s="1"/>
  <c r="L67" i="2"/>
  <c r="M67" i="2" s="1"/>
  <c r="M68" i="6"/>
  <c r="N68" i="6" s="1"/>
  <c r="M66" i="6"/>
  <c r="N66" i="6" s="1"/>
  <c r="M72" i="6"/>
  <c r="N72" i="6" s="1"/>
  <c r="M72" i="5"/>
  <c r="N72" i="5" s="1"/>
  <c r="M68" i="5"/>
  <c r="N68" i="5" s="1"/>
  <c r="M66" i="5"/>
  <c r="N66" i="5" s="1"/>
  <c r="M72" i="4"/>
  <c r="N72" i="4" s="1"/>
  <c r="M68" i="4"/>
  <c r="N68" i="4" s="1"/>
  <c r="M66" i="4"/>
  <c r="N66" i="4" s="1"/>
  <c r="L66" i="3"/>
  <c r="M66" i="3" s="1"/>
  <c r="L68" i="3"/>
  <c r="M68" i="3" s="1"/>
  <c r="L68" i="2"/>
  <c r="M68" i="2" s="1"/>
  <c r="L66" i="2"/>
  <c r="M66" i="2" s="1"/>
  <c r="N67" i="3" l="1"/>
  <c r="O67" i="3" s="1"/>
  <c r="N67" i="2"/>
  <c r="O67" i="2" s="1"/>
  <c r="N67" i="1"/>
  <c r="O67" i="1" s="1"/>
  <c r="O68" i="6"/>
  <c r="P68" i="6" s="1"/>
  <c r="O66" i="6"/>
  <c r="P66" i="6" s="1"/>
  <c r="O72" i="6"/>
  <c r="P72" i="6" s="1"/>
  <c r="O72" i="5"/>
  <c r="P72" i="5" s="1"/>
  <c r="O68" i="5"/>
  <c r="P68" i="5" s="1"/>
  <c r="O66" i="5"/>
  <c r="P66" i="5" s="1"/>
  <c r="O72" i="4"/>
  <c r="P72" i="4" s="1"/>
  <c r="O68" i="4"/>
  <c r="P68" i="4" s="1"/>
  <c r="O66" i="4"/>
  <c r="P66" i="4" s="1"/>
  <c r="N66" i="3"/>
  <c r="O66" i="3" s="1"/>
  <c r="N68" i="3"/>
  <c r="O68" i="3" s="1"/>
  <c r="N66" i="2"/>
  <c r="O66" i="2" s="1"/>
  <c r="N68" i="2"/>
  <c r="O68" i="2" s="1"/>
  <c r="N66" i="1"/>
  <c r="O66" i="1" s="1"/>
  <c r="Z106" i="1" l="1"/>
  <c r="AA106" i="1" s="1"/>
  <c r="AB106" i="1" s="1"/>
  <c r="Z105" i="1"/>
  <c r="AA105" i="1" s="1"/>
  <c r="AB105" i="1" s="1"/>
  <c r="Z104" i="1"/>
  <c r="AA104" i="1" s="1"/>
  <c r="AB104" i="1" s="1"/>
  <c r="Z103" i="1"/>
  <c r="AA103" i="1" s="1"/>
  <c r="AB103" i="1" s="1"/>
  <c r="AG106" i="1"/>
  <c r="AG105" i="1"/>
  <c r="AG104" i="1"/>
  <c r="AG103" i="1"/>
  <c r="AA90" i="2" l="1"/>
  <c r="AA91" i="2" l="1"/>
  <c r="J106" i="6"/>
  <c r="J105" i="6"/>
  <c r="K105" i="6" s="1"/>
  <c r="L105" i="6" s="1"/>
  <c r="J104" i="6"/>
  <c r="J103" i="6"/>
  <c r="I103" i="6" l="1"/>
  <c r="S103" i="6" s="1"/>
  <c r="I104" i="6"/>
  <c r="S104" i="6" s="1"/>
  <c r="I105" i="6"/>
  <c r="S105" i="6" s="1"/>
  <c r="I106" i="6"/>
  <c r="S106" i="6" s="1"/>
  <c r="M105" i="6"/>
  <c r="N105" i="6" s="1"/>
  <c r="K106" i="6"/>
  <c r="L106" i="6" s="1"/>
  <c r="K104" i="6"/>
  <c r="L104" i="6" s="1"/>
  <c r="K103" i="6"/>
  <c r="L103" i="6" s="1"/>
  <c r="G100" i="6"/>
  <c r="I100" i="6" s="1"/>
  <c r="S100" i="6" s="1"/>
  <c r="G99" i="6"/>
  <c r="I99" i="6" s="1"/>
  <c r="S99" i="6" s="1"/>
  <c r="G96" i="6"/>
  <c r="I96" i="6" s="1"/>
  <c r="S96" i="6" s="1"/>
  <c r="G95" i="6"/>
  <c r="I95" i="6" s="1"/>
  <c r="S95" i="6" s="1"/>
  <c r="G93" i="6"/>
  <c r="G92" i="6"/>
  <c r="I92" i="6" s="1"/>
  <c r="S92" i="6" s="1"/>
  <c r="G91" i="6"/>
  <c r="I91" i="6" s="1"/>
  <c r="S91" i="6" s="1"/>
  <c r="G90" i="6"/>
  <c r="I90" i="6" s="1"/>
  <c r="S90" i="6" s="1"/>
  <c r="G89" i="6"/>
  <c r="I89" i="6" s="1"/>
  <c r="S89" i="6" s="1"/>
  <c r="G88" i="6"/>
  <c r="I88" i="6" s="1"/>
  <c r="S88" i="6" s="1"/>
  <c r="G87" i="6"/>
  <c r="I87" i="6" s="1"/>
  <c r="S87" i="6" s="1"/>
  <c r="G86" i="6"/>
  <c r="I86" i="6" s="1"/>
  <c r="S86" i="6" s="1"/>
  <c r="G85" i="6"/>
  <c r="I85" i="6" s="1"/>
  <c r="S85" i="6" s="1"/>
  <c r="G84" i="6"/>
  <c r="I84" i="6" s="1"/>
  <c r="S84" i="6" s="1"/>
  <c r="G83" i="6"/>
  <c r="I83" i="6" s="1"/>
  <c r="S83" i="6" s="1"/>
  <c r="G82" i="6"/>
  <c r="I82" i="6" s="1"/>
  <c r="S82" i="6" s="1"/>
  <c r="G81" i="6"/>
  <c r="G80" i="6"/>
  <c r="I80" i="6" s="1"/>
  <c r="S80" i="6" s="1"/>
  <c r="G79" i="6"/>
  <c r="I79" i="6" s="1"/>
  <c r="S79" i="6" s="1"/>
  <c r="G78" i="6"/>
  <c r="I78" i="6" s="1"/>
  <c r="S78" i="6" s="1"/>
  <c r="G77" i="6"/>
  <c r="I77" i="6" s="1"/>
  <c r="S77" i="6" s="1"/>
  <c r="G76" i="6"/>
  <c r="I76" i="6" s="1"/>
  <c r="S76" i="6" s="1"/>
  <c r="G75" i="6"/>
  <c r="I75" i="6" s="1"/>
  <c r="S75" i="6" s="1"/>
  <c r="G74" i="6"/>
  <c r="I74" i="6" s="1"/>
  <c r="S74" i="6" s="1"/>
  <c r="G73" i="6"/>
  <c r="I73" i="6" s="1"/>
  <c r="S73" i="6" s="1"/>
  <c r="G71" i="6"/>
  <c r="I71" i="6" s="1"/>
  <c r="S71" i="6" s="1"/>
  <c r="G70" i="6"/>
  <c r="I70" i="6" s="1"/>
  <c r="S70" i="6" s="1"/>
  <c r="G69" i="6"/>
  <c r="I69" i="6" s="1"/>
  <c r="S69" i="6" s="1"/>
  <c r="G65" i="6"/>
  <c r="G65" i="5" s="1"/>
  <c r="G64" i="6"/>
  <c r="I64" i="6" s="1"/>
  <c r="S64" i="6" s="1"/>
  <c r="G63" i="6"/>
  <c r="I63" i="6" s="1"/>
  <c r="S63" i="6" s="1"/>
  <c r="G62" i="6"/>
  <c r="I62" i="6" s="1"/>
  <c r="S62" i="6" s="1"/>
  <c r="G61" i="6"/>
  <c r="I61" i="6" s="1"/>
  <c r="S61" i="6" s="1"/>
  <c r="G60" i="6"/>
  <c r="I60" i="6" s="1"/>
  <c r="S60" i="6" s="1"/>
  <c r="G59" i="6"/>
  <c r="I59" i="6" s="1"/>
  <c r="S59" i="6" s="1"/>
  <c r="G58" i="6"/>
  <c r="I58" i="6" s="1"/>
  <c r="S58" i="6" s="1"/>
  <c r="G57" i="6"/>
  <c r="I57" i="6" s="1"/>
  <c r="S57" i="6" s="1"/>
  <c r="G56" i="6"/>
  <c r="I56" i="6" s="1"/>
  <c r="S56" i="6" s="1"/>
  <c r="G55" i="6"/>
  <c r="I55" i="6" s="1"/>
  <c r="S55" i="6" s="1"/>
  <c r="G54" i="6"/>
  <c r="I54" i="6" s="1"/>
  <c r="S54" i="6" s="1"/>
  <c r="G53" i="6"/>
  <c r="G52" i="6"/>
  <c r="I52" i="6" s="1"/>
  <c r="S52" i="6" s="1"/>
  <c r="G51" i="6"/>
  <c r="I51" i="6" s="1"/>
  <c r="S51" i="6" s="1"/>
  <c r="G50" i="6"/>
  <c r="I50" i="6" s="1"/>
  <c r="S50" i="6" s="1"/>
  <c r="G49" i="6"/>
  <c r="I49" i="6" s="1"/>
  <c r="S49" i="6" s="1"/>
  <c r="G48" i="6"/>
  <c r="I48" i="6" s="1"/>
  <c r="S48" i="6" s="1"/>
  <c r="G47" i="6"/>
  <c r="I47" i="6" s="1"/>
  <c r="S47" i="6" s="1"/>
  <c r="G46" i="6"/>
  <c r="I46" i="6" s="1"/>
  <c r="S46" i="6" s="1"/>
  <c r="G45" i="6"/>
  <c r="I45" i="6" s="1"/>
  <c r="S45" i="6" s="1"/>
  <c r="G44" i="6"/>
  <c r="I44" i="6" s="1"/>
  <c r="S44" i="6" s="1"/>
  <c r="G41" i="6"/>
  <c r="I41" i="6" s="1"/>
  <c r="S41" i="6" s="1"/>
  <c r="G40" i="6"/>
  <c r="I40" i="6" s="1"/>
  <c r="S40" i="6" s="1"/>
  <c r="G39" i="6"/>
  <c r="I39" i="6" s="1"/>
  <c r="S39" i="6" s="1"/>
  <c r="G38" i="6"/>
  <c r="I38" i="6" s="1"/>
  <c r="S38" i="6" s="1"/>
  <c r="G37" i="6"/>
  <c r="I37" i="6" s="1"/>
  <c r="S37" i="6" s="1"/>
  <c r="G35" i="6"/>
  <c r="I35" i="6" s="1"/>
  <c r="S35" i="6" s="1"/>
  <c r="G34" i="6"/>
  <c r="I34" i="6" s="1"/>
  <c r="S34" i="6" s="1"/>
  <c r="G32" i="6"/>
  <c r="I32" i="6" s="1"/>
  <c r="S32" i="6" s="1"/>
  <c r="G30" i="6"/>
  <c r="I30" i="6" s="1"/>
  <c r="S30" i="6" s="1"/>
  <c r="G29" i="6"/>
  <c r="I29" i="6" s="1"/>
  <c r="S29" i="6" s="1"/>
  <c r="G28" i="6"/>
  <c r="I28" i="6" s="1"/>
  <c r="S28" i="6" s="1"/>
  <c r="G27" i="6"/>
  <c r="I27" i="6" s="1"/>
  <c r="S27" i="6" s="1"/>
  <c r="G26" i="6"/>
  <c r="I26" i="6" s="1"/>
  <c r="S26" i="6" s="1"/>
  <c r="G25" i="6"/>
  <c r="I25" i="6" s="1"/>
  <c r="S25" i="6" s="1"/>
  <c r="G24" i="6"/>
  <c r="I24" i="6" s="1"/>
  <c r="S24" i="6" s="1"/>
  <c r="G23" i="6"/>
  <c r="I23" i="6" s="1"/>
  <c r="S23" i="6" s="1"/>
  <c r="G22" i="6"/>
  <c r="I22" i="6" s="1"/>
  <c r="S22" i="6" s="1"/>
  <c r="G21" i="6"/>
  <c r="I21" i="6" s="1"/>
  <c r="S21" i="6" s="1"/>
  <c r="G20" i="6"/>
  <c r="I20" i="6" s="1"/>
  <c r="S20" i="6" s="1"/>
  <c r="G19" i="6"/>
  <c r="I19" i="6" s="1"/>
  <c r="S19" i="6" s="1"/>
  <c r="G18" i="6"/>
  <c r="I18" i="6" s="1"/>
  <c r="S18" i="6" s="1"/>
  <c r="G17" i="6"/>
  <c r="I17" i="6" s="1"/>
  <c r="S17" i="6" s="1"/>
  <c r="G16" i="6"/>
  <c r="I16" i="6" s="1"/>
  <c r="S16" i="6" s="1"/>
  <c r="G15" i="6"/>
  <c r="I15" i="6" s="1"/>
  <c r="S15" i="6" s="1"/>
  <c r="G14" i="6"/>
  <c r="I14" i="6" s="1"/>
  <c r="S14" i="6" s="1"/>
  <c r="G13" i="6"/>
  <c r="I13" i="6" s="1"/>
  <c r="S13" i="6" s="1"/>
  <c r="G12" i="6"/>
  <c r="I12" i="6" s="1"/>
  <c r="S12" i="6" s="1"/>
  <c r="G11" i="6"/>
  <c r="I11" i="6" s="1"/>
  <c r="S11" i="6" s="1"/>
  <c r="G10" i="6"/>
  <c r="I10" i="6" s="1"/>
  <c r="S10" i="6" s="1"/>
  <c r="G9" i="6"/>
  <c r="I9" i="6" s="1"/>
  <c r="S9" i="6" s="1"/>
  <c r="G8" i="6"/>
  <c r="I8" i="6" s="1"/>
  <c r="S8" i="6" s="1"/>
  <c r="G7" i="6"/>
  <c r="I7" i="6" s="1"/>
  <c r="S7" i="6" s="1"/>
  <c r="G6" i="6"/>
  <c r="I6" i="6" s="1"/>
  <c r="S6" i="6" s="1"/>
  <c r="G5" i="6"/>
  <c r="I5" i="6" s="1"/>
  <c r="S5" i="6" s="1"/>
  <c r="I4" i="6"/>
  <c r="S4" i="6" s="1"/>
  <c r="I93" i="6"/>
  <c r="S93" i="6" s="1"/>
  <c r="I81" i="6"/>
  <c r="S81" i="6" s="1"/>
  <c r="I65" i="6"/>
  <c r="S65" i="6" s="1"/>
  <c r="I53" i="6"/>
  <c r="S53" i="6" s="1"/>
  <c r="I106" i="5"/>
  <c r="I105" i="5"/>
  <c r="I104" i="5"/>
  <c r="I103" i="5"/>
  <c r="G100" i="5"/>
  <c r="I100" i="5" s="1"/>
  <c r="S100" i="5" s="1"/>
  <c r="G99" i="5"/>
  <c r="I99" i="5" s="1"/>
  <c r="S99" i="5" s="1"/>
  <c r="G96" i="5"/>
  <c r="I96" i="5" s="1"/>
  <c r="S96" i="5" s="1"/>
  <c r="G95" i="5"/>
  <c r="I95" i="5" s="1"/>
  <c r="S95" i="5" s="1"/>
  <c r="G93" i="5"/>
  <c r="I93" i="5" s="1"/>
  <c r="S93" i="5" s="1"/>
  <c r="G92" i="5"/>
  <c r="I92" i="5" s="1"/>
  <c r="S92" i="5" s="1"/>
  <c r="G91" i="5"/>
  <c r="I91" i="5" s="1"/>
  <c r="S91" i="5" s="1"/>
  <c r="G90" i="5"/>
  <c r="I90" i="5" s="1"/>
  <c r="S90" i="5" s="1"/>
  <c r="G89" i="5"/>
  <c r="I89" i="5" s="1"/>
  <c r="S89" i="5" s="1"/>
  <c r="G88" i="5"/>
  <c r="I88" i="5" s="1"/>
  <c r="S88" i="5" s="1"/>
  <c r="G87" i="5"/>
  <c r="I87" i="5" s="1"/>
  <c r="G86" i="5"/>
  <c r="I86" i="5" s="1"/>
  <c r="G85" i="5"/>
  <c r="I85" i="5" s="1"/>
  <c r="S85" i="5" s="1"/>
  <c r="G84" i="5"/>
  <c r="I84" i="5" s="1"/>
  <c r="G83" i="5"/>
  <c r="I83" i="5" s="1"/>
  <c r="G82" i="5"/>
  <c r="I82" i="5" s="1"/>
  <c r="S82" i="5" s="1"/>
  <c r="G81" i="5"/>
  <c r="I81" i="5" s="1"/>
  <c r="S81" i="5" s="1"/>
  <c r="G80" i="5"/>
  <c r="I80" i="5" s="1"/>
  <c r="S80" i="5" s="1"/>
  <c r="G79" i="5"/>
  <c r="I79" i="5" s="1"/>
  <c r="S79" i="5" s="1"/>
  <c r="G78" i="5"/>
  <c r="I78" i="5" s="1"/>
  <c r="S78" i="5" s="1"/>
  <c r="G77" i="5"/>
  <c r="I77" i="5" s="1"/>
  <c r="S77" i="5" s="1"/>
  <c r="G76" i="5"/>
  <c r="I76" i="5" s="1"/>
  <c r="S76" i="5" s="1"/>
  <c r="G75" i="5"/>
  <c r="I75" i="5" s="1"/>
  <c r="S75" i="5" s="1"/>
  <c r="G74" i="5"/>
  <c r="I74" i="5" s="1"/>
  <c r="S74" i="5" s="1"/>
  <c r="G73" i="5"/>
  <c r="I73" i="5" s="1"/>
  <c r="S73" i="5" s="1"/>
  <c r="G71" i="5"/>
  <c r="I71" i="5" s="1"/>
  <c r="S71" i="5" s="1"/>
  <c r="G70" i="5"/>
  <c r="I70" i="5" s="1"/>
  <c r="S70" i="5" s="1"/>
  <c r="G69" i="5"/>
  <c r="I69" i="5" s="1"/>
  <c r="S69" i="5" s="1"/>
  <c r="I65" i="5"/>
  <c r="G64" i="5"/>
  <c r="I64" i="5" s="1"/>
  <c r="S64" i="5" s="1"/>
  <c r="G63" i="5"/>
  <c r="I63" i="5" s="1"/>
  <c r="S63" i="5" s="1"/>
  <c r="G62" i="5"/>
  <c r="I62" i="5" s="1"/>
  <c r="S62" i="5" s="1"/>
  <c r="G61" i="5"/>
  <c r="I61" i="5" s="1"/>
  <c r="G60" i="5"/>
  <c r="I60" i="5" s="1"/>
  <c r="G59" i="5"/>
  <c r="I59" i="5" s="1"/>
  <c r="G58" i="5"/>
  <c r="I58" i="5" s="1"/>
  <c r="S58" i="5" s="1"/>
  <c r="G57" i="5"/>
  <c r="I57" i="5" s="1"/>
  <c r="S57" i="5" s="1"/>
  <c r="G56" i="5"/>
  <c r="I56" i="5" s="1"/>
  <c r="S56" i="5" s="1"/>
  <c r="G55" i="5"/>
  <c r="I55" i="5" s="1"/>
  <c r="S55" i="5" s="1"/>
  <c r="G54" i="5"/>
  <c r="I54" i="5" s="1"/>
  <c r="G53" i="5"/>
  <c r="I53" i="5" s="1"/>
  <c r="G52" i="5"/>
  <c r="I52" i="5" s="1"/>
  <c r="G51" i="5"/>
  <c r="I51" i="5" s="1"/>
  <c r="G50" i="5"/>
  <c r="I50" i="5" s="1"/>
  <c r="G49" i="5"/>
  <c r="I49" i="5" s="1"/>
  <c r="G48" i="5"/>
  <c r="I48" i="5" s="1"/>
  <c r="G47" i="5"/>
  <c r="I47" i="5" s="1"/>
  <c r="G46" i="5"/>
  <c r="G41" i="5"/>
  <c r="I41" i="5" s="1"/>
  <c r="G40" i="5"/>
  <c r="I40" i="5" s="1"/>
  <c r="G39" i="5"/>
  <c r="I39" i="5" s="1"/>
  <c r="S39" i="5" s="1"/>
  <c r="G38" i="5"/>
  <c r="I38" i="5" s="1"/>
  <c r="S38" i="5" s="1"/>
  <c r="G37" i="5"/>
  <c r="I37" i="5" s="1"/>
  <c r="G35" i="5"/>
  <c r="I35" i="5" s="1"/>
  <c r="S35" i="5" s="1"/>
  <c r="G34" i="5"/>
  <c r="I34" i="5" s="1"/>
  <c r="G32" i="5"/>
  <c r="I32" i="5" s="1"/>
  <c r="S32" i="5" s="1"/>
  <c r="G30" i="5"/>
  <c r="I30" i="5" s="1"/>
  <c r="G29" i="5"/>
  <c r="I29" i="5" s="1"/>
  <c r="S29" i="5" s="1"/>
  <c r="G28" i="5"/>
  <c r="I28" i="5" s="1"/>
  <c r="S28" i="5" s="1"/>
  <c r="G27" i="5"/>
  <c r="I27" i="5" s="1"/>
  <c r="S27" i="5" s="1"/>
  <c r="G26" i="5"/>
  <c r="I26" i="5" s="1"/>
  <c r="S26" i="5" s="1"/>
  <c r="G25" i="5"/>
  <c r="I25" i="5" s="1"/>
  <c r="S25" i="5" s="1"/>
  <c r="G24" i="5"/>
  <c r="I24" i="5" s="1"/>
  <c r="S24" i="5" s="1"/>
  <c r="G23" i="5"/>
  <c r="I23" i="5" s="1"/>
  <c r="S23" i="5" s="1"/>
  <c r="G22" i="5"/>
  <c r="I22" i="5" s="1"/>
  <c r="S22" i="5" s="1"/>
  <c r="G21" i="5"/>
  <c r="I21" i="5" s="1"/>
  <c r="S21" i="5" s="1"/>
  <c r="G20" i="5"/>
  <c r="I20" i="5" s="1"/>
  <c r="S20" i="5" s="1"/>
  <c r="G19" i="5"/>
  <c r="I19" i="5" s="1"/>
  <c r="S19" i="5" s="1"/>
  <c r="G18" i="5"/>
  <c r="I18" i="5" s="1"/>
  <c r="S18" i="5" s="1"/>
  <c r="G17" i="5"/>
  <c r="I17" i="5" s="1"/>
  <c r="S17" i="5" s="1"/>
  <c r="G16" i="5"/>
  <c r="I16" i="5" s="1"/>
  <c r="S16" i="5" s="1"/>
  <c r="G15" i="5"/>
  <c r="I15" i="5" s="1"/>
  <c r="S15" i="5" s="1"/>
  <c r="G14" i="5"/>
  <c r="I14" i="5" s="1"/>
  <c r="S14" i="5" s="1"/>
  <c r="G13" i="5"/>
  <c r="I13" i="5" s="1"/>
  <c r="S13" i="5" s="1"/>
  <c r="G12" i="5"/>
  <c r="I12" i="5" s="1"/>
  <c r="S12" i="5" s="1"/>
  <c r="G11" i="5"/>
  <c r="I11" i="5" s="1"/>
  <c r="S11" i="5" s="1"/>
  <c r="G10" i="5"/>
  <c r="I10" i="5" s="1"/>
  <c r="S10" i="5" s="1"/>
  <c r="G9" i="5"/>
  <c r="I9" i="5" s="1"/>
  <c r="S9" i="5" s="1"/>
  <c r="G8" i="5"/>
  <c r="I8" i="5" s="1"/>
  <c r="S8" i="5" s="1"/>
  <c r="G7" i="5"/>
  <c r="I7" i="5" s="1"/>
  <c r="S7" i="5" s="1"/>
  <c r="G6" i="5"/>
  <c r="I6" i="5" s="1"/>
  <c r="S6" i="5" s="1"/>
  <c r="G5" i="5"/>
  <c r="I5" i="5" s="1"/>
  <c r="S5" i="5" s="1"/>
  <c r="G4" i="5"/>
  <c r="I4" i="5" s="1"/>
  <c r="S4" i="5" s="1"/>
  <c r="I46" i="5" l="1"/>
  <c r="G45" i="5"/>
  <c r="J106" i="5"/>
  <c r="K106" i="5" s="1"/>
  <c r="L106" i="5" s="1"/>
  <c r="S106" i="5"/>
  <c r="J105" i="5"/>
  <c r="K105" i="5" s="1"/>
  <c r="L105" i="5" s="1"/>
  <c r="M105" i="5" s="1"/>
  <c r="N105" i="5" s="1"/>
  <c r="S105" i="5"/>
  <c r="J104" i="5"/>
  <c r="K104" i="5" s="1"/>
  <c r="L104" i="5" s="1"/>
  <c r="S104" i="5"/>
  <c r="J103" i="5"/>
  <c r="K103" i="5" s="1"/>
  <c r="L103" i="5" s="1"/>
  <c r="S103" i="5"/>
  <c r="M104" i="6"/>
  <c r="N104" i="6" s="1"/>
  <c r="M103" i="6"/>
  <c r="N103" i="6" s="1"/>
  <c r="M106" i="6"/>
  <c r="N106" i="6" s="1"/>
  <c r="O105" i="6"/>
  <c r="P105" i="6" s="1"/>
  <c r="G102" i="4"/>
  <c r="I102" i="4" s="1"/>
  <c r="I106" i="4"/>
  <c r="I105" i="4"/>
  <c r="I104" i="4"/>
  <c r="I103" i="4"/>
  <c r="I85" i="4"/>
  <c r="S85" i="4" s="1"/>
  <c r="I82" i="4"/>
  <c r="S82" i="4" s="1"/>
  <c r="I78" i="4"/>
  <c r="S78" i="4" s="1"/>
  <c r="I77" i="4"/>
  <c r="S77" i="4" s="1"/>
  <c r="I76" i="4"/>
  <c r="S76" i="4" s="1"/>
  <c r="I75" i="4"/>
  <c r="S75" i="4" s="1"/>
  <c r="G100" i="4"/>
  <c r="I100" i="4" s="1"/>
  <c r="S100" i="4" s="1"/>
  <c r="G99" i="4"/>
  <c r="I99" i="4" s="1"/>
  <c r="S99" i="4" s="1"/>
  <c r="G96" i="4"/>
  <c r="I96" i="4" s="1"/>
  <c r="S96" i="4" s="1"/>
  <c r="G95" i="4"/>
  <c r="I95" i="4" s="1"/>
  <c r="S95" i="4" s="1"/>
  <c r="G93" i="4"/>
  <c r="I93" i="4" s="1"/>
  <c r="S93" i="4" s="1"/>
  <c r="G92" i="4"/>
  <c r="I92" i="4" s="1"/>
  <c r="S92" i="4" s="1"/>
  <c r="G91" i="4"/>
  <c r="I91" i="4" s="1"/>
  <c r="S91" i="4" s="1"/>
  <c r="G90" i="4"/>
  <c r="I90" i="4" s="1"/>
  <c r="S90" i="4" s="1"/>
  <c r="G89" i="4"/>
  <c r="I89" i="4" s="1"/>
  <c r="S89" i="4" s="1"/>
  <c r="G88" i="4"/>
  <c r="I88" i="4" s="1"/>
  <c r="S88" i="4" s="1"/>
  <c r="G87" i="4"/>
  <c r="I87" i="4" s="1"/>
  <c r="S87" i="4" s="1"/>
  <c r="G86" i="4"/>
  <c r="I86" i="4" s="1"/>
  <c r="S86" i="4" s="1"/>
  <c r="G84" i="4"/>
  <c r="I84" i="4" s="1"/>
  <c r="S84" i="4" s="1"/>
  <c r="G83" i="4"/>
  <c r="I83" i="4" s="1"/>
  <c r="S83" i="4" s="1"/>
  <c r="G81" i="4"/>
  <c r="I81" i="4" s="1"/>
  <c r="S81" i="4" s="1"/>
  <c r="G80" i="4"/>
  <c r="I80" i="4" s="1"/>
  <c r="S80" i="4" s="1"/>
  <c r="G79" i="4"/>
  <c r="I79" i="4" s="1"/>
  <c r="S79" i="4" s="1"/>
  <c r="G74" i="4"/>
  <c r="I74" i="4" s="1"/>
  <c r="S74" i="4" s="1"/>
  <c r="G73" i="4"/>
  <c r="I73" i="4" s="1"/>
  <c r="S73" i="4" s="1"/>
  <c r="G71" i="4"/>
  <c r="I71" i="4" s="1"/>
  <c r="S71" i="4" s="1"/>
  <c r="G70" i="4"/>
  <c r="I70" i="4" s="1"/>
  <c r="S70" i="4" s="1"/>
  <c r="G69" i="4"/>
  <c r="I69" i="4" s="1"/>
  <c r="S69" i="4" s="1"/>
  <c r="I65" i="4"/>
  <c r="S65" i="4" s="1"/>
  <c r="G64" i="4"/>
  <c r="I64" i="4" s="1"/>
  <c r="S64" i="4" s="1"/>
  <c r="G63" i="4"/>
  <c r="I63" i="4" s="1"/>
  <c r="S63" i="4" s="1"/>
  <c r="G61" i="4"/>
  <c r="G60" i="4"/>
  <c r="G59" i="4"/>
  <c r="G58" i="4"/>
  <c r="I58" i="4" s="1"/>
  <c r="S58" i="4" s="1"/>
  <c r="G56" i="4"/>
  <c r="I56" i="4" s="1"/>
  <c r="S56" i="4" s="1"/>
  <c r="G55" i="4"/>
  <c r="I55" i="4" s="1"/>
  <c r="S55" i="4" s="1"/>
  <c r="G54" i="4"/>
  <c r="G53" i="4"/>
  <c r="G52" i="4"/>
  <c r="G51" i="4"/>
  <c r="G50" i="4"/>
  <c r="G49" i="4"/>
  <c r="G48" i="4"/>
  <c r="G47" i="4"/>
  <c r="G46" i="4"/>
  <c r="G45" i="4"/>
  <c r="G44" i="4"/>
  <c r="G41" i="4"/>
  <c r="G40" i="4"/>
  <c r="I38" i="4"/>
  <c r="S38" i="4" s="1"/>
  <c r="I35" i="4"/>
  <c r="S35" i="4" s="1"/>
  <c r="G28" i="4"/>
  <c r="I28" i="4" s="1"/>
  <c r="S28" i="4" s="1"/>
  <c r="G27" i="4"/>
  <c r="I27" i="4" s="1"/>
  <c r="S27" i="4" s="1"/>
  <c r="G26" i="4"/>
  <c r="I26" i="4" s="1"/>
  <c r="S26" i="4" s="1"/>
  <c r="G25" i="4"/>
  <c r="I25" i="4" s="1"/>
  <c r="S25" i="4" s="1"/>
  <c r="G24" i="4"/>
  <c r="I24" i="4" s="1"/>
  <c r="S24" i="4" s="1"/>
  <c r="G23" i="4"/>
  <c r="I23" i="4" s="1"/>
  <c r="S23" i="4" s="1"/>
  <c r="G22" i="4"/>
  <c r="I22" i="4" s="1"/>
  <c r="S22" i="4" s="1"/>
  <c r="G21" i="4"/>
  <c r="I21" i="4" s="1"/>
  <c r="S21" i="4" s="1"/>
  <c r="G20" i="4"/>
  <c r="I20" i="4" s="1"/>
  <c r="S20" i="4" s="1"/>
  <c r="G19" i="4"/>
  <c r="I19" i="4" s="1"/>
  <c r="S19" i="4" s="1"/>
  <c r="G18" i="4"/>
  <c r="I18" i="4" s="1"/>
  <c r="S18" i="4" s="1"/>
  <c r="G17" i="4"/>
  <c r="I17" i="4" s="1"/>
  <c r="S17" i="4" s="1"/>
  <c r="G16" i="4"/>
  <c r="G15" i="4"/>
  <c r="G14" i="4"/>
  <c r="G13" i="4"/>
  <c r="G12" i="4"/>
  <c r="G11" i="4"/>
  <c r="G10" i="4"/>
  <c r="I10" i="4" s="1"/>
  <c r="S10" i="4" s="1"/>
  <c r="G9" i="4"/>
  <c r="I9" i="4" s="1"/>
  <c r="S9" i="4" s="1"/>
  <c r="G8" i="4"/>
  <c r="I8" i="4" s="1"/>
  <c r="S8" i="4" s="1"/>
  <c r="G7" i="4"/>
  <c r="I7" i="4" s="1"/>
  <c r="S7" i="4" s="1"/>
  <c r="G6" i="4"/>
  <c r="I6" i="4" s="1"/>
  <c r="S6" i="4" s="1"/>
  <c r="G5" i="4"/>
  <c r="I5" i="4" s="1"/>
  <c r="S5" i="4" s="1"/>
  <c r="G4" i="4"/>
  <c r="I4" i="4" s="1"/>
  <c r="S4" i="4" s="1"/>
  <c r="S62" i="4"/>
  <c r="S57" i="4"/>
  <c r="S39" i="4"/>
  <c r="S29" i="4"/>
  <c r="I16" i="4" l="1"/>
  <c r="S16" i="4" s="1"/>
  <c r="I11" i="4"/>
  <c r="S11" i="4" s="1"/>
  <c r="I12" i="4"/>
  <c r="S12" i="4" s="1"/>
  <c r="I13" i="4"/>
  <c r="S13" i="4" s="1"/>
  <c r="I14" i="4"/>
  <c r="S14" i="4" s="1"/>
  <c r="I15" i="4"/>
  <c r="S15" i="4" s="1"/>
  <c r="G44" i="5"/>
  <c r="I44" i="5" s="1"/>
  <c r="I45" i="5"/>
  <c r="J103" i="4"/>
  <c r="K103" i="4" s="1"/>
  <c r="L103" i="4" s="1"/>
  <c r="M103" i="4" s="1"/>
  <c r="N103" i="4" s="1"/>
  <c r="S103" i="4"/>
  <c r="J104" i="4"/>
  <c r="K104" i="4" s="1"/>
  <c r="L104" i="4" s="1"/>
  <c r="S104" i="4"/>
  <c r="J105" i="4"/>
  <c r="K105" i="4" s="1"/>
  <c r="L105" i="4" s="1"/>
  <c r="M105" i="4" s="1"/>
  <c r="N105" i="4" s="1"/>
  <c r="S105" i="4"/>
  <c r="J106" i="4"/>
  <c r="K106" i="4" s="1"/>
  <c r="L106" i="4" s="1"/>
  <c r="M106" i="4" s="1"/>
  <c r="N106" i="4" s="1"/>
  <c r="S106" i="4"/>
  <c r="I37" i="4"/>
  <c r="S37" i="4" s="1"/>
  <c r="O106" i="6"/>
  <c r="P106" i="6" s="1"/>
  <c r="O104" i="6"/>
  <c r="P104" i="6" s="1"/>
  <c r="O103" i="6"/>
  <c r="P103" i="6" s="1"/>
  <c r="M103" i="5"/>
  <c r="N103" i="5" s="1"/>
  <c r="M104" i="5"/>
  <c r="N104" i="5" s="1"/>
  <c r="O105" i="5"/>
  <c r="P105" i="5" s="1"/>
  <c r="M106" i="5"/>
  <c r="N106" i="5" s="1"/>
  <c r="O104" i="5" l="1"/>
  <c r="P104" i="5" s="1"/>
  <c r="O103" i="5"/>
  <c r="P103" i="5" s="1"/>
  <c r="O106" i="5"/>
  <c r="P106" i="5" s="1"/>
  <c r="M104" i="4"/>
  <c r="N104" i="4" s="1"/>
  <c r="O105" i="4"/>
  <c r="P105" i="4" s="1"/>
  <c r="O103" i="4"/>
  <c r="P103" i="4" s="1"/>
  <c r="O106" i="4"/>
  <c r="P106" i="4" s="1"/>
  <c r="O104" i="4" l="1"/>
  <c r="P104" i="4" s="1"/>
  <c r="AJ37" i="2" l="1"/>
  <c r="H106" i="3" l="1"/>
  <c r="H105" i="3"/>
  <c r="H104" i="3"/>
  <c r="H103" i="3"/>
  <c r="H1" i="3"/>
  <c r="H100" i="3"/>
  <c r="P100" i="3" s="1"/>
  <c r="H99" i="3"/>
  <c r="H95" i="3"/>
  <c r="H93" i="3"/>
  <c r="H92" i="3"/>
  <c r="H91" i="3"/>
  <c r="H90" i="3"/>
  <c r="H89" i="3"/>
  <c r="H88" i="3"/>
  <c r="H87" i="3"/>
  <c r="P87" i="3" s="1"/>
  <c r="H86" i="3"/>
  <c r="P86" i="3" s="1"/>
  <c r="H85" i="3"/>
  <c r="H84" i="3"/>
  <c r="P84" i="3" s="1"/>
  <c r="H83" i="3"/>
  <c r="P83" i="3" s="1"/>
  <c r="H82" i="3"/>
  <c r="H81" i="3"/>
  <c r="H80" i="3"/>
  <c r="H79" i="3"/>
  <c r="H78" i="3"/>
  <c r="H77" i="3"/>
  <c r="H76" i="3"/>
  <c r="H75" i="3"/>
  <c r="H74" i="3"/>
  <c r="H73" i="3"/>
  <c r="H71" i="3"/>
  <c r="H70" i="3"/>
  <c r="H69" i="3"/>
  <c r="H65" i="3"/>
  <c r="P65" i="3" s="1"/>
  <c r="H64" i="3"/>
  <c r="H63" i="3"/>
  <c r="H62" i="3"/>
  <c r="H61" i="3"/>
  <c r="P61" i="3" s="1"/>
  <c r="H60" i="3"/>
  <c r="P60" i="3" s="1"/>
  <c r="H59" i="3"/>
  <c r="P59" i="3" s="1"/>
  <c r="H58" i="3"/>
  <c r="H57" i="3"/>
  <c r="H56" i="3"/>
  <c r="H55" i="3"/>
  <c r="H41" i="3"/>
  <c r="P41" i="3" s="1"/>
  <c r="H40" i="3"/>
  <c r="P40" i="3" s="1"/>
  <c r="H39" i="3"/>
  <c r="H38" i="3"/>
  <c r="H35" i="3"/>
  <c r="H34" i="3"/>
  <c r="P34" i="3" s="1"/>
  <c r="H32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AH5" i="3" s="1"/>
  <c r="H4" i="3"/>
  <c r="H106" i="2"/>
  <c r="P106" i="2" s="1"/>
  <c r="H105" i="2"/>
  <c r="P105" i="2" s="1"/>
  <c r="H104" i="2"/>
  <c r="P104" i="2" s="1"/>
  <c r="H103" i="2"/>
  <c r="P103" i="2" s="1"/>
  <c r="H100" i="2"/>
  <c r="P100" i="2" s="1"/>
  <c r="H99" i="2"/>
  <c r="P99" i="2" s="1"/>
  <c r="H96" i="2"/>
  <c r="P96" i="2" s="1"/>
  <c r="H95" i="2"/>
  <c r="P95" i="2" s="1"/>
  <c r="H93" i="2"/>
  <c r="P93" i="2" s="1"/>
  <c r="H92" i="2"/>
  <c r="P92" i="2" s="1"/>
  <c r="H91" i="2"/>
  <c r="P91" i="2" s="1"/>
  <c r="H90" i="2"/>
  <c r="P90" i="2" s="1"/>
  <c r="H89" i="2"/>
  <c r="P89" i="2" s="1"/>
  <c r="H88" i="2"/>
  <c r="P88" i="2" s="1"/>
  <c r="H87" i="2"/>
  <c r="P87" i="2" s="1"/>
  <c r="H86" i="2"/>
  <c r="P86" i="2" s="1"/>
  <c r="H85" i="2"/>
  <c r="P85" i="2" s="1"/>
  <c r="H84" i="2"/>
  <c r="P84" i="2" s="1"/>
  <c r="H83" i="2"/>
  <c r="P83" i="2" s="1"/>
  <c r="H82" i="2"/>
  <c r="P82" i="2" s="1"/>
  <c r="H81" i="2"/>
  <c r="P81" i="2" s="1"/>
  <c r="H80" i="2"/>
  <c r="P80" i="2" s="1"/>
  <c r="H79" i="2"/>
  <c r="P79" i="2" s="1"/>
  <c r="H78" i="2"/>
  <c r="P78" i="2" s="1"/>
  <c r="H77" i="2"/>
  <c r="P77" i="2" s="1"/>
  <c r="H76" i="2"/>
  <c r="P76" i="2" s="1"/>
  <c r="H75" i="2"/>
  <c r="P75" i="2" s="1"/>
  <c r="H74" i="2"/>
  <c r="P74" i="2" s="1"/>
  <c r="H73" i="2"/>
  <c r="P73" i="2" s="1"/>
  <c r="H71" i="2"/>
  <c r="P71" i="2" s="1"/>
  <c r="H70" i="2"/>
  <c r="P70" i="2" s="1"/>
  <c r="H69" i="2"/>
  <c r="P69" i="2" s="1"/>
  <c r="H65" i="2"/>
  <c r="P65" i="2" s="1"/>
  <c r="H64" i="2"/>
  <c r="P64" i="2" s="1"/>
  <c r="H63" i="2"/>
  <c r="P63" i="2" s="1"/>
  <c r="H62" i="2"/>
  <c r="P62" i="2" s="1"/>
  <c r="H61" i="2"/>
  <c r="P61" i="2" s="1"/>
  <c r="H60" i="2"/>
  <c r="P60" i="2" s="1"/>
  <c r="H59" i="2"/>
  <c r="P59" i="2" s="1"/>
  <c r="H58" i="2"/>
  <c r="P58" i="2" s="1"/>
  <c r="H57" i="2"/>
  <c r="P57" i="2" s="1"/>
  <c r="H56" i="2"/>
  <c r="P56" i="2" s="1"/>
  <c r="H55" i="2"/>
  <c r="P55" i="2" s="1"/>
  <c r="H52" i="2"/>
  <c r="P52" i="2" s="1"/>
  <c r="H51" i="2"/>
  <c r="P51" i="2" s="1"/>
  <c r="H50" i="2"/>
  <c r="P50" i="2" s="1"/>
  <c r="H49" i="2"/>
  <c r="P49" i="2" s="1"/>
  <c r="H48" i="2"/>
  <c r="P48" i="2" s="1"/>
  <c r="H47" i="2"/>
  <c r="P47" i="2" s="1"/>
  <c r="H46" i="2"/>
  <c r="P46" i="2" s="1"/>
  <c r="H45" i="2"/>
  <c r="P45" i="2" s="1"/>
  <c r="H44" i="2"/>
  <c r="P44" i="2" s="1"/>
  <c r="H41" i="2"/>
  <c r="P41" i="2" s="1"/>
  <c r="H40" i="2"/>
  <c r="P40" i="2" s="1"/>
  <c r="H39" i="2"/>
  <c r="P39" i="2" s="1"/>
  <c r="H38" i="2"/>
  <c r="P38" i="2" s="1"/>
  <c r="H35" i="2"/>
  <c r="P35" i="2" s="1"/>
  <c r="H34" i="2"/>
  <c r="P34" i="2" s="1"/>
  <c r="H32" i="2"/>
  <c r="P32" i="2" s="1"/>
  <c r="H30" i="2"/>
  <c r="P30" i="2" s="1"/>
  <c r="H29" i="2"/>
  <c r="P29" i="2" s="1"/>
  <c r="H28" i="2"/>
  <c r="P28" i="2" s="1"/>
  <c r="H27" i="2"/>
  <c r="P27" i="2" s="1"/>
  <c r="H26" i="2"/>
  <c r="P26" i="2" s="1"/>
  <c r="H25" i="2"/>
  <c r="P25" i="2" s="1"/>
  <c r="H24" i="2"/>
  <c r="P24" i="2" s="1"/>
  <c r="H23" i="2"/>
  <c r="P23" i="2" s="1"/>
  <c r="H22" i="2"/>
  <c r="P22" i="2" s="1"/>
  <c r="H21" i="2"/>
  <c r="P21" i="2" s="1"/>
  <c r="H20" i="2"/>
  <c r="P20" i="2" s="1"/>
  <c r="H19" i="2"/>
  <c r="P19" i="2" s="1"/>
  <c r="H18" i="2"/>
  <c r="P18" i="2" s="1"/>
  <c r="H17" i="2"/>
  <c r="P17" i="2" s="1"/>
  <c r="H16" i="2"/>
  <c r="P16" i="2" s="1"/>
  <c r="H15" i="2"/>
  <c r="P15" i="2" s="1"/>
  <c r="H14" i="2"/>
  <c r="P14" i="2" s="1"/>
  <c r="H13" i="2"/>
  <c r="P13" i="2" s="1"/>
  <c r="H12" i="2"/>
  <c r="P12" i="2" s="1"/>
  <c r="H11" i="2"/>
  <c r="P11" i="2" s="1"/>
  <c r="H10" i="2"/>
  <c r="P10" i="2" s="1"/>
  <c r="H9" i="2"/>
  <c r="P9" i="2" s="1"/>
  <c r="H8" i="2"/>
  <c r="P8" i="2" s="1"/>
  <c r="H7" i="2"/>
  <c r="P7" i="2" s="1"/>
  <c r="H6" i="2"/>
  <c r="P6" i="2" s="1"/>
  <c r="H5" i="2"/>
  <c r="P5" i="2" s="1"/>
  <c r="H4" i="2"/>
  <c r="I106" i="1"/>
  <c r="I105" i="1"/>
  <c r="J105" i="1" s="1"/>
  <c r="K105" i="1" s="1"/>
  <c r="L105" i="1" s="1"/>
  <c r="I104" i="1"/>
  <c r="I103" i="1"/>
  <c r="J103" i="1" s="1"/>
  <c r="K103" i="1" s="1"/>
  <c r="P4" i="2" l="1"/>
  <c r="Y4" i="2"/>
  <c r="AA4" i="2"/>
  <c r="AB4" i="2" s="1"/>
  <c r="AC4" i="2" s="1"/>
  <c r="AJ4" i="2"/>
  <c r="Y4" i="3"/>
  <c r="AH4" i="3"/>
  <c r="AA4" i="3"/>
  <c r="AB4" i="3" s="1"/>
  <c r="AC4" i="3" s="1"/>
  <c r="AH10" i="3"/>
  <c r="P10" i="3"/>
  <c r="AH79" i="3"/>
  <c r="P79" i="3"/>
  <c r="AH12" i="3"/>
  <c r="P12" i="3"/>
  <c r="AH24" i="3"/>
  <c r="P24" i="3"/>
  <c r="AH81" i="3"/>
  <c r="P81" i="3"/>
  <c r="AH93" i="3"/>
  <c r="P93" i="3"/>
  <c r="AH62" i="3"/>
  <c r="P62" i="3"/>
  <c r="AH80" i="3"/>
  <c r="P80" i="3"/>
  <c r="AH13" i="3"/>
  <c r="P13" i="3"/>
  <c r="AH25" i="3"/>
  <c r="P25" i="3"/>
  <c r="AH69" i="3"/>
  <c r="P69" i="3"/>
  <c r="AH82" i="3"/>
  <c r="P82" i="3"/>
  <c r="AH95" i="3"/>
  <c r="P95" i="3"/>
  <c r="AH78" i="3"/>
  <c r="P78" i="3"/>
  <c r="AH63" i="3"/>
  <c r="P63" i="3"/>
  <c r="AH14" i="3"/>
  <c r="P14" i="3"/>
  <c r="AH26" i="3"/>
  <c r="P26" i="3"/>
  <c r="AH55" i="3"/>
  <c r="P55" i="3"/>
  <c r="AH70" i="3"/>
  <c r="P70" i="3"/>
  <c r="AH99" i="3"/>
  <c r="P99" i="3"/>
  <c r="AH21" i="3"/>
  <c r="P21" i="3"/>
  <c r="AH38" i="3"/>
  <c r="P38" i="3"/>
  <c r="AH11" i="3"/>
  <c r="P11" i="3"/>
  <c r="AH15" i="3"/>
  <c r="P15" i="3"/>
  <c r="AH27" i="3"/>
  <c r="P27" i="3"/>
  <c r="AH56" i="3"/>
  <c r="P56" i="3"/>
  <c r="AH71" i="3"/>
  <c r="P71" i="3"/>
  <c r="AH92" i="3"/>
  <c r="P92" i="3"/>
  <c r="P4" i="3"/>
  <c r="AH16" i="3"/>
  <c r="P16" i="3"/>
  <c r="AH28" i="3"/>
  <c r="P28" i="3"/>
  <c r="AH57" i="3"/>
  <c r="P57" i="3"/>
  <c r="AH73" i="3"/>
  <c r="P73" i="3"/>
  <c r="AH85" i="3"/>
  <c r="P85" i="3"/>
  <c r="AH9" i="3"/>
  <c r="P9" i="3"/>
  <c r="AH64" i="3"/>
  <c r="P64" i="3"/>
  <c r="P5" i="3"/>
  <c r="AH17" i="3"/>
  <c r="P17" i="3"/>
  <c r="AH29" i="3"/>
  <c r="P29" i="3"/>
  <c r="AH58" i="3"/>
  <c r="P58" i="3"/>
  <c r="AH74" i="3"/>
  <c r="P74" i="3"/>
  <c r="I103" i="3"/>
  <c r="J103" i="3" s="1"/>
  <c r="K103" i="3" s="1"/>
  <c r="P103" i="3"/>
  <c r="AH35" i="3"/>
  <c r="P35" i="3"/>
  <c r="AH22" i="3"/>
  <c r="P22" i="3"/>
  <c r="AH23" i="3"/>
  <c r="P23" i="3"/>
  <c r="AH6" i="3"/>
  <c r="P6" i="3"/>
  <c r="AH18" i="3"/>
  <c r="P18" i="3"/>
  <c r="P30" i="3"/>
  <c r="AH75" i="3"/>
  <c r="P75" i="3"/>
  <c r="I104" i="3"/>
  <c r="J104" i="3" s="1"/>
  <c r="P104" i="3"/>
  <c r="AH90" i="3"/>
  <c r="P90" i="3"/>
  <c r="AH39" i="3"/>
  <c r="P39" i="3"/>
  <c r="AH7" i="3"/>
  <c r="P7" i="3"/>
  <c r="AH19" i="3"/>
  <c r="P19" i="3"/>
  <c r="AH32" i="3"/>
  <c r="P32" i="3"/>
  <c r="AH76" i="3"/>
  <c r="P76" i="3"/>
  <c r="AH88" i="3"/>
  <c r="P88" i="3"/>
  <c r="I105" i="3"/>
  <c r="J105" i="3" s="1"/>
  <c r="K105" i="3" s="1"/>
  <c r="L105" i="3" s="1"/>
  <c r="M105" i="3" s="1"/>
  <c r="P105" i="3"/>
  <c r="AH91" i="3"/>
  <c r="P91" i="3"/>
  <c r="AH8" i="3"/>
  <c r="P8" i="3"/>
  <c r="AH20" i="3"/>
  <c r="P20" i="3"/>
  <c r="AH77" i="3"/>
  <c r="P77" i="3"/>
  <c r="AH89" i="3"/>
  <c r="P89" i="3"/>
  <c r="I106" i="3"/>
  <c r="J106" i="3" s="1"/>
  <c r="K106" i="3" s="1"/>
  <c r="P106" i="3"/>
  <c r="AJ23" i="2"/>
  <c r="AJ39" i="2"/>
  <c r="AJ55" i="2"/>
  <c r="AJ70" i="2"/>
  <c r="AJ99" i="2"/>
  <c r="AJ86" i="2"/>
  <c r="I103" i="2"/>
  <c r="J103" i="2" s="1"/>
  <c r="K103" i="2" s="1"/>
  <c r="AJ24" i="2"/>
  <c r="AJ73" i="2"/>
  <c r="AJ44" i="2"/>
  <c r="AJ59" i="2"/>
  <c r="AJ75" i="2"/>
  <c r="AJ87" i="2"/>
  <c r="I104" i="2"/>
  <c r="J104" i="2" s="1"/>
  <c r="AJ85" i="2"/>
  <c r="AJ28" i="2"/>
  <c r="AJ88" i="2"/>
  <c r="AJ84" i="2"/>
  <c r="AJ57" i="2"/>
  <c r="AJ58" i="2"/>
  <c r="AJ16" i="2"/>
  <c r="AJ60" i="2"/>
  <c r="AJ17" i="2"/>
  <c r="AJ29" i="2"/>
  <c r="AJ47" i="2"/>
  <c r="AJ61" i="2"/>
  <c r="AJ77" i="2"/>
  <c r="AJ89" i="2"/>
  <c r="I106" i="2"/>
  <c r="AJ11" i="2"/>
  <c r="AJ13" i="2"/>
  <c r="AJ45" i="2"/>
  <c r="AJ62" i="2"/>
  <c r="AJ78" i="2"/>
  <c r="AJ90" i="2"/>
  <c r="AJ56" i="2"/>
  <c r="AJ14" i="2"/>
  <c r="AJ15" i="2"/>
  <c r="AJ19" i="2"/>
  <c r="AJ63" i="2"/>
  <c r="AJ79" i="2"/>
  <c r="AJ91" i="2"/>
  <c r="AJ71" i="2"/>
  <c r="AJ27" i="2"/>
  <c r="AJ34" i="2"/>
  <c r="AJ80" i="2"/>
  <c r="AJ92" i="2"/>
  <c r="AJ40" i="2"/>
  <c r="AJ25" i="2"/>
  <c r="AJ26" i="2"/>
  <c r="AJ46" i="2"/>
  <c r="AJ6" i="2"/>
  <c r="AJ48" i="2"/>
  <c r="AJ32" i="2"/>
  <c r="AJ20" i="2"/>
  <c r="AJ64" i="2"/>
  <c r="AJ9" i="2"/>
  <c r="AJ21" i="2"/>
  <c r="AJ35" i="2"/>
  <c r="AJ51" i="2"/>
  <c r="AJ65" i="2"/>
  <c r="AJ81" i="2"/>
  <c r="AJ93" i="2"/>
  <c r="AJ12" i="2"/>
  <c r="AJ41" i="2"/>
  <c r="AJ74" i="2"/>
  <c r="AJ76" i="2"/>
  <c r="AJ5" i="2"/>
  <c r="AJ18" i="2"/>
  <c r="AJ7" i="2"/>
  <c r="AJ49" i="2"/>
  <c r="AJ8" i="2"/>
  <c r="AJ50" i="2"/>
  <c r="AJ10" i="2"/>
  <c r="AJ22" i="2"/>
  <c r="AJ38" i="2"/>
  <c r="AJ52" i="2"/>
  <c r="AJ69" i="2"/>
  <c r="AJ82" i="2"/>
  <c r="AJ95" i="2"/>
  <c r="AJ30" i="2"/>
  <c r="AJ83" i="2"/>
  <c r="AA83" i="2"/>
  <c r="AB83" i="2" s="1"/>
  <c r="AC83" i="2" s="1"/>
  <c r="AA103" i="3"/>
  <c r="AB103" i="3" s="1"/>
  <c r="AC103" i="3" s="1"/>
  <c r="AH103" i="3"/>
  <c r="Y104" i="3"/>
  <c r="AH104" i="3"/>
  <c r="AA104" i="3"/>
  <c r="AB104" i="3" s="1"/>
  <c r="AC104" i="3" s="1"/>
  <c r="Y105" i="3"/>
  <c r="AA105" i="3"/>
  <c r="AB105" i="3" s="1"/>
  <c r="AC105" i="3" s="1"/>
  <c r="AH105" i="3"/>
  <c r="AH106" i="3"/>
  <c r="AA106" i="3"/>
  <c r="AB106" i="3" s="1"/>
  <c r="AC106" i="3" s="1"/>
  <c r="AJ105" i="2"/>
  <c r="Y105" i="2"/>
  <c r="AA105" i="2"/>
  <c r="AB105" i="2" s="1"/>
  <c r="AC105" i="2" s="1"/>
  <c r="I105" i="2"/>
  <c r="J105" i="2" s="1"/>
  <c r="K105" i="2" s="1"/>
  <c r="L105" i="2" s="1"/>
  <c r="M105" i="2" s="1"/>
  <c r="AJ106" i="2"/>
  <c r="AA106" i="2"/>
  <c r="AB106" i="2" s="1"/>
  <c r="AC106" i="2" s="1"/>
  <c r="AJ103" i="2"/>
  <c r="AA103" i="2"/>
  <c r="AB103" i="2" s="1"/>
  <c r="AC103" i="2" s="1"/>
  <c r="AJ104" i="2"/>
  <c r="Y104" i="2"/>
  <c r="AA104" i="2"/>
  <c r="AB104" i="2" s="1"/>
  <c r="AC104" i="2" s="1"/>
  <c r="H96" i="3"/>
  <c r="P96" i="3" s="1"/>
  <c r="Y96" i="3"/>
  <c r="Z92" i="3" s="1"/>
  <c r="Y100" i="3"/>
  <c r="AA100" i="3"/>
  <c r="AB100" i="3" s="1"/>
  <c r="AC100" i="3" s="1"/>
  <c r="Y96" i="2"/>
  <c r="AA96" i="2"/>
  <c r="AB96" i="2" s="1"/>
  <c r="AC96" i="2" s="1"/>
  <c r="Y100" i="2"/>
  <c r="AA100" i="2"/>
  <c r="AB100" i="2" s="1"/>
  <c r="AC100" i="2" s="1"/>
  <c r="AH100" i="3"/>
  <c r="AJ100" i="2"/>
  <c r="AJ96" i="2"/>
  <c r="J106" i="2"/>
  <c r="K106" i="2" s="1"/>
  <c r="L103" i="1"/>
  <c r="M103" i="1" s="1"/>
  <c r="N103" i="1" s="1"/>
  <c r="M105" i="1"/>
  <c r="N105" i="1" s="1"/>
  <c r="J106" i="1"/>
  <c r="K106" i="1" s="1"/>
  <c r="L106" i="1" s="1"/>
  <c r="J104" i="1"/>
  <c r="K104" i="1" s="1"/>
  <c r="H99" i="1"/>
  <c r="H95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1" i="1"/>
  <c r="H70" i="1"/>
  <c r="H69" i="1"/>
  <c r="H65" i="1"/>
  <c r="H64" i="1"/>
  <c r="H63" i="1"/>
  <c r="H62" i="1"/>
  <c r="H61" i="1"/>
  <c r="H60" i="1"/>
  <c r="H59" i="1"/>
  <c r="H57" i="1"/>
  <c r="H56" i="1"/>
  <c r="H55" i="1"/>
  <c r="H52" i="1"/>
  <c r="H51" i="1"/>
  <c r="H50" i="1"/>
  <c r="H49" i="1"/>
  <c r="H48" i="1"/>
  <c r="H47" i="1"/>
  <c r="H46" i="1"/>
  <c r="H45" i="1"/>
  <c r="H44" i="1"/>
  <c r="H41" i="1"/>
  <c r="H40" i="1"/>
  <c r="H39" i="1"/>
  <c r="H38" i="1"/>
  <c r="H35" i="1"/>
  <c r="H34" i="1"/>
  <c r="G34" i="4" s="1"/>
  <c r="I34" i="4" s="1"/>
  <c r="S34" i="4" s="1"/>
  <c r="H32" i="1"/>
  <c r="G32" i="4" s="1"/>
  <c r="I32" i="4" s="1"/>
  <c r="S32" i="4" s="1"/>
  <c r="H30" i="1"/>
  <c r="G30" i="4" s="1"/>
  <c r="I30" i="4" s="1"/>
  <c r="S30" i="4" s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S34" i="5"/>
  <c r="AH34" i="3"/>
  <c r="K104" i="2" l="1"/>
  <c r="AG63" i="1"/>
  <c r="P63" i="1"/>
  <c r="AN63" i="1"/>
  <c r="AG80" i="1"/>
  <c r="P80" i="1"/>
  <c r="AN80" i="1"/>
  <c r="AG20" i="1"/>
  <c r="P20" i="1"/>
  <c r="AN20" i="1"/>
  <c r="AG21" i="1"/>
  <c r="P21" i="1"/>
  <c r="AN21" i="1"/>
  <c r="P51" i="1"/>
  <c r="AN51" i="1"/>
  <c r="P83" i="1"/>
  <c r="AN83" i="1"/>
  <c r="AG39" i="1"/>
  <c r="P39" i="1"/>
  <c r="AN39" i="1"/>
  <c r="P40" i="1"/>
  <c r="AN40" i="1"/>
  <c r="AG25" i="1"/>
  <c r="P25" i="1"/>
  <c r="AN25" i="1"/>
  <c r="AG74" i="1"/>
  <c r="P74" i="1"/>
  <c r="AN74" i="1"/>
  <c r="AG14" i="1"/>
  <c r="P14" i="1"/>
  <c r="AN14" i="1"/>
  <c r="AG26" i="1"/>
  <c r="P26" i="1"/>
  <c r="AN26" i="1"/>
  <c r="P44" i="1"/>
  <c r="AN44" i="1"/>
  <c r="P59" i="1"/>
  <c r="AN59" i="1"/>
  <c r="AG75" i="1"/>
  <c r="P75" i="1"/>
  <c r="AN75" i="1"/>
  <c r="P87" i="1"/>
  <c r="AN87" i="1"/>
  <c r="AG6" i="1"/>
  <c r="P6" i="1"/>
  <c r="AN6" i="1"/>
  <c r="AG79" i="1"/>
  <c r="P79" i="1"/>
  <c r="AN79" i="1"/>
  <c r="AG7" i="1"/>
  <c r="P7" i="1"/>
  <c r="AN7" i="1"/>
  <c r="AG64" i="1"/>
  <c r="P64" i="1"/>
  <c r="AN64" i="1"/>
  <c r="P50" i="1"/>
  <c r="AN50" i="1"/>
  <c r="AG82" i="1"/>
  <c r="P82" i="1"/>
  <c r="AN82" i="1"/>
  <c r="AG38" i="1"/>
  <c r="P38" i="1"/>
  <c r="AN38" i="1"/>
  <c r="AG70" i="1"/>
  <c r="P70" i="1"/>
  <c r="AN70" i="1"/>
  <c r="AG23" i="1"/>
  <c r="P23" i="1"/>
  <c r="AN23" i="1"/>
  <c r="AG71" i="1"/>
  <c r="P71" i="1"/>
  <c r="AN71" i="1"/>
  <c r="AG12" i="1"/>
  <c r="P12" i="1"/>
  <c r="AN12" i="1"/>
  <c r="AG85" i="1"/>
  <c r="P85" i="1"/>
  <c r="AN85" i="1"/>
  <c r="P41" i="1"/>
  <c r="AN41" i="1"/>
  <c r="P86" i="1"/>
  <c r="AN86" i="1"/>
  <c r="AG15" i="1"/>
  <c r="P15" i="1"/>
  <c r="AN15" i="1"/>
  <c r="AG27" i="1"/>
  <c r="P27" i="1"/>
  <c r="AN27" i="1"/>
  <c r="P45" i="1"/>
  <c r="AN45" i="1"/>
  <c r="P60" i="1"/>
  <c r="AN60" i="1"/>
  <c r="AG76" i="1"/>
  <c r="P76" i="1"/>
  <c r="AN76" i="1"/>
  <c r="AG88" i="1"/>
  <c r="P88" i="1"/>
  <c r="AN88" i="1"/>
  <c r="AG18" i="1"/>
  <c r="P18" i="1"/>
  <c r="AN18" i="1"/>
  <c r="P48" i="1"/>
  <c r="AN48" i="1"/>
  <c r="P49" i="1"/>
  <c r="AN49" i="1"/>
  <c r="AG8" i="1"/>
  <c r="P8" i="1"/>
  <c r="AN8" i="1"/>
  <c r="AG81" i="1"/>
  <c r="P81" i="1"/>
  <c r="AN81" i="1"/>
  <c r="AG9" i="1"/>
  <c r="P9" i="1"/>
  <c r="AN9" i="1"/>
  <c r="AG95" i="1"/>
  <c r="P95" i="1"/>
  <c r="AN95" i="1"/>
  <c r="AG10" i="1"/>
  <c r="P10" i="1"/>
  <c r="AN10" i="1"/>
  <c r="P52" i="1"/>
  <c r="AN52" i="1"/>
  <c r="P84" i="1"/>
  <c r="AN84" i="1"/>
  <c r="AG73" i="1"/>
  <c r="P73" i="1"/>
  <c r="AN73" i="1"/>
  <c r="AG57" i="1"/>
  <c r="P57" i="1"/>
  <c r="AN57" i="1"/>
  <c r="AG16" i="1"/>
  <c r="P16" i="1"/>
  <c r="AN16" i="1"/>
  <c r="AG28" i="1"/>
  <c r="P28" i="1"/>
  <c r="AN28" i="1"/>
  <c r="P46" i="1"/>
  <c r="AN46" i="1"/>
  <c r="P61" i="1"/>
  <c r="AN61" i="1"/>
  <c r="AG77" i="1"/>
  <c r="P77" i="1"/>
  <c r="AN77" i="1"/>
  <c r="AG89" i="1"/>
  <c r="P89" i="1"/>
  <c r="AN89" i="1"/>
  <c r="AG91" i="1"/>
  <c r="P91" i="1"/>
  <c r="AN91" i="1"/>
  <c r="AG92" i="1"/>
  <c r="P92" i="1"/>
  <c r="AN92" i="1"/>
  <c r="AG93" i="1"/>
  <c r="P93" i="1"/>
  <c r="AN93" i="1"/>
  <c r="AG35" i="1"/>
  <c r="P35" i="1"/>
  <c r="AN35" i="1"/>
  <c r="AG69" i="1"/>
  <c r="P69" i="1"/>
  <c r="AN69" i="1"/>
  <c r="AG22" i="1"/>
  <c r="P22" i="1"/>
  <c r="AN22" i="1"/>
  <c r="AG99" i="1"/>
  <c r="P99" i="1"/>
  <c r="AN99" i="1"/>
  <c r="AG55" i="1"/>
  <c r="P55" i="1"/>
  <c r="AN55" i="1"/>
  <c r="AG24" i="1"/>
  <c r="P24" i="1"/>
  <c r="AN24" i="1"/>
  <c r="AG56" i="1"/>
  <c r="P56" i="1"/>
  <c r="AN56" i="1"/>
  <c r="AG13" i="1"/>
  <c r="P13" i="1"/>
  <c r="AN13" i="1"/>
  <c r="AG17" i="1"/>
  <c r="P17" i="1"/>
  <c r="AN17" i="1"/>
  <c r="AG29" i="1"/>
  <c r="P29" i="1"/>
  <c r="AN29" i="1"/>
  <c r="P47" i="1"/>
  <c r="AN47" i="1"/>
  <c r="AG62" i="1"/>
  <c r="P62" i="1"/>
  <c r="AN62" i="1"/>
  <c r="AG78" i="1"/>
  <c r="P78" i="1"/>
  <c r="AN78" i="1"/>
  <c r="AG90" i="1"/>
  <c r="P90" i="1"/>
  <c r="AN90" i="1"/>
  <c r="AG5" i="1"/>
  <c r="P5" i="1"/>
  <c r="AN5" i="1"/>
  <c r="AG19" i="1"/>
  <c r="P19" i="1"/>
  <c r="AN19" i="1"/>
  <c r="AG11" i="1"/>
  <c r="P11" i="1"/>
  <c r="AN11" i="1"/>
  <c r="P4" i="1"/>
  <c r="AN4" i="1"/>
  <c r="P65" i="1"/>
  <c r="AN65" i="1"/>
  <c r="P34" i="1"/>
  <c r="AN34" i="1"/>
  <c r="AG32" i="1"/>
  <c r="P32" i="1"/>
  <c r="AN32" i="1"/>
  <c r="P30" i="1"/>
  <c r="AN30" i="1"/>
  <c r="K104" i="3"/>
  <c r="L104" i="3" s="1"/>
  <c r="M104" i="3" s="1"/>
  <c r="Z93" i="3"/>
  <c r="Y108" i="1"/>
  <c r="Z108" i="3"/>
  <c r="AA96" i="3"/>
  <c r="AB96" i="3" s="1"/>
  <c r="AC96" i="3" s="1"/>
  <c r="AH96" i="3"/>
  <c r="H58" i="1"/>
  <c r="H96" i="1"/>
  <c r="Y92" i="1"/>
  <c r="AG4" i="1"/>
  <c r="AG34" i="1"/>
  <c r="L103" i="3"/>
  <c r="M103" i="3" s="1"/>
  <c r="L106" i="3"/>
  <c r="M106" i="3" s="1"/>
  <c r="N105" i="3"/>
  <c r="O105" i="3" s="1"/>
  <c r="L106" i="2"/>
  <c r="M106" i="2" s="1"/>
  <c r="L103" i="2"/>
  <c r="M103" i="2" s="1"/>
  <c r="N105" i="2"/>
  <c r="O105" i="2" s="1"/>
  <c r="L104" i="2"/>
  <c r="M104" i="2" s="1"/>
  <c r="L104" i="1"/>
  <c r="M104" i="1" s="1"/>
  <c r="N104" i="1" s="1"/>
  <c r="M106" i="1"/>
  <c r="N106" i="1" s="1"/>
  <c r="O105" i="1"/>
  <c r="O103" i="1"/>
  <c r="Z96" i="1" l="1"/>
  <c r="AA96" i="1" s="1"/>
  <c r="AB96" i="1" s="1"/>
  <c r="P96" i="1"/>
  <c r="AN96" i="1"/>
  <c r="AG58" i="1"/>
  <c r="P58" i="1"/>
  <c r="AN58" i="1"/>
  <c r="AG96" i="1"/>
  <c r="N104" i="3"/>
  <c r="O104" i="3" s="1"/>
  <c r="N103" i="3"/>
  <c r="O103" i="3" s="1"/>
  <c r="N106" i="3"/>
  <c r="O106" i="3" s="1"/>
  <c r="N104" i="2"/>
  <c r="O104" i="2" s="1"/>
  <c r="N103" i="2"/>
  <c r="O103" i="2" s="1"/>
  <c r="N106" i="2"/>
  <c r="O106" i="2" s="1"/>
  <c r="O106" i="1"/>
  <c r="O104" i="1"/>
  <c r="S87" i="5"/>
  <c r="S86" i="5"/>
  <c r="S83" i="5"/>
  <c r="S84" i="5"/>
  <c r="S61" i="5"/>
  <c r="S60" i="5"/>
  <c r="S59" i="5"/>
  <c r="S65" i="5"/>
  <c r="S52" i="5"/>
  <c r="S51" i="5"/>
  <c r="S50" i="5"/>
  <c r="S49" i="5"/>
  <c r="S48" i="5"/>
  <c r="S47" i="5"/>
  <c r="S46" i="5"/>
  <c r="S45" i="5"/>
  <c r="S44" i="5"/>
  <c r="S41" i="5"/>
  <c r="S40" i="5"/>
  <c r="S37" i="5"/>
  <c r="S30" i="5"/>
  <c r="I61" i="4"/>
  <c r="S61" i="4" s="1"/>
  <c r="I60" i="4"/>
  <c r="S60" i="4" s="1"/>
  <c r="I59" i="4"/>
  <c r="S59" i="4" s="1"/>
  <c r="I54" i="4"/>
  <c r="S54" i="4" s="1"/>
  <c r="I53" i="4"/>
  <c r="S53" i="4" s="1"/>
  <c r="I52" i="4"/>
  <c r="S52" i="4" s="1"/>
  <c r="I51" i="4"/>
  <c r="S51" i="4" s="1"/>
  <c r="I50" i="4"/>
  <c r="S50" i="4" s="1"/>
  <c r="I49" i="4"/>
  <c r="S49" i="4" s="1"/>
  <c r="I48" i="4"/>
  <c r="S48" i="4" s="1"/>
  <c r="I47" i="4"/>
  <c r="S47" i="4" s="1"/>
  <c r="I46" i="4"/>
  <c r="S46" i="4" s="1"/>
  <c r="I45" i="4"/>
  <c r="S45" i="4" s="1"/>
  <c r="I44" i="4"/>
  <c r="S44" i="4" s="1"/>
  <c r="I41" i="4"/>
  <c r="S41" i="4" s="1"/>
  <c r="I40" i="4"/>
  <c r="S40" i="4" s="1"/>
  <c r="AH30" i="3" l="1"/>
  <c r="AG37" i="1"/>
  <c r="AG30" i="1"/>
  <c r="AH84" i="3"/>
  <c r="AH83" i="3"/>
  <c r="AH87" i="3"/>
  <c r="AH86" i="3"/>
  <c r="AH65" i="3"/>
  <c r="AH61" i="3"/>
  <c r="AH60" i="3"/>
  <c r="AH59" i="3"/>
  <c r="AH41" i="3"/>
  <c r="AH40" i="3"/>
  <c r="AG87" i="1"/>
  <c r="AG86" i="1"/>
  <c r="AG84" i="1"/>
  <c r="AG83" i="1"/>
  <c r="AG61" i="1"/>
  <c r="AG60" i="1"/>
  <c r="AG59" i="1"/>
  <c r="AG65" i="1"/>
  <c r="AG52" i="1"/>
  <c r="AG51" i="1"/>
  <c r="AG50" i="1"/>
  <c r="AG49" i="1"/>
  <c r="I49" i="1"/>
  <c r="AG40" i="1"/>
  <c r="J100" i="6"/>
  <c r="J96" i="6"/>
  <c r="J93" i="6"/>
  <c r="J92" i="6"/>
  <c r="J91" i="6"/>
  <c r="J90" i="6"/>
  <c r="K90" i="6" s="1"/>
  <c r="L90" i="6" s="1"/>
  <c r="J89" i="6"/>
  <c r="K89" i="6" s="1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K73" i="6" s="1"/>
  <c r="L73" i="6" s="1"/>
  <c r="J71" i="6"/>
  <c r="K71" i="6" s="1"/>
  <c r="L71" i="6" s="1"/>
  <c r="J70" i="6"/>
  <c r="J69" i="6"/>
  <c r="J65" i="6"/>
  <c r="K65" i="6" s="1"/>
  <c r="L65" i="6" s="1"/>
  <c r="J64" i="6"/>
  <c r="E64" i="6"/>
  <c r="J63" i="6"/>
  <c r="E63" i="6"/>
  <c r="J62" i="6"/>
  <c r="J61" i="6"/>
  <c r="J60" i="6"/>
  <c r="J59" i="6"/>
  <c r="J58" i="6"/>
  <c r="J57" i="6"/>
  <c r="J56" i="6"/>
  <c r="J55" i="6"/>
  <c r="K55" i="6" s="1"/>
  <c r="L55" i="6" s="1"/>
  <c r="J54" i="6"/>
  <c r="K54" i="6" s="1"/>
  <c r="L54" i="6" s="1"/>
  <c r="J53" i="6"/>
  <c r="J52" i="6"/>
  <c r="J51" i="6"/>
  <c r="J50" i="6"/>
  <c r="J49" i="6"/>
  <c r="J48" i="6"/>
  <c r="J47" i="6"/>
  <c r="K47" i="6" s="1"/>
  <c r="J46" i="6"/>
  <c r="K46" i="6" s="1"/>
  <c r="J45" i="6"/>
  <c r="J44" i="6"/>
  <c r="J41" i="6"/>
  <c r="J40" i="6"/>
  <c r="J39" i="6"/>
  <c r="J38" i="6"/>
  <c r="J37" i="6"/>
  <c r="J35" i="6"/>
  <c r="J34" i="6"/>
  <c r="K34" i="6" s="1"/>
  <c r="L34" i="6" s="1"/>
  <c r="J32" i="6"/>
  <c r="J30" i="6"/>
  <c r="J29" i="6"/>
  <c r="J28" i="6"/>
  <c r="E28" i="6"/>
  <c r="J27" i="6"/>
  <c r="J26" i="6"/>
  <c r="J25" i="6"/>
  <c r="J24" i="6"/>
  <c r="E24" i="6"/>
  <c r="J23" i="6"/>
  <c r="J22" i="6"/>
  <c r="J21" i="6"/>
  <c r="K21" i="6" s="1"/>
  <c r="L21" i="6" s="1"/>
  <c r="J20" i="6"/>
  <c r="J19" i="6"/>
  <c r="K19" i="6" s="1"/>
  <c r="J18" i="6"/>
  <c r="J17" i="6"/>
  <c r="J16" i="6"/>
  <c r="J15" i="6"/>
  <c r="J14" i="6"/>
  <c r="K14" i="6" s="1"/>
  <c r="L14" i="6" s="1"/>
  <c r="J13" i="6"/>
  <c r="K13" i="6" s="1"/>
  <c r="L13" i="6" s="1"/>
  <c r="J12" i="6"/>
  <c r="J11" i="6"/>
  <c r="K11" i="6" s="1"/>
  <c r="J10" i="6"/>
  <c r="J9" i="6"/>
  <c r="J8" i="6"/>
  <c r="J7" i="6"/>
  <c r="K7" i="6" s="1"/>
  <c r="L7" i="6" s="1"/>
  <c r="J6" i="6"/>
  <c r="J5" i="6"/>
  <c r="K5" i="6" s="1"/>
  <c r="L5" i="6" s="1"/>
  <c r="J4" i="6"/>
  <c r="J100" i="5"/>
  <c r="K100" i="5" s="1"/>
  <c r="L100" i="5" s="1"/>
  <c r="J96" i="5"/>
  <c r="J93" i="5"/>
  <c r="J92" i="5"/>
  <c r="K92" i="5" s="1"/>
  <c r="L92" i="5" s="1"/>
  <c r="J91" i="5"/>
  <c r="J90" i="5"/>
  <c r="J89" i="5"/>
  <c r="J87" i="5"/>
  <c r="K87" i="5" s="1"/>
  <c r="J86" i="5"/>
  <c r="K86" i="5" s="1"/>
  <c r="L86" i="5" s="1"/>
  <c r="J85" i="5"/>
  <c r="J84" i="5"/>
  <c r="K84" i="5" s="1"/>
  <c r="L84" i="5" s="1"/>
  <c r="J83" i="5"/>
  <c r="J82" i="5"/>
  <c r="J81" i="5"/>
  <c r="J80" i="5"/>
  <c r="K80" i="5" s="1"/>
  <c r="L80" i="5" s="1"/>
  <c r="J79" i="5"/>
  <c r="K79" i="5" s="1"/>
  <c r="J78" i="5"/>
  <c r="J77" i="5"/>
  <c r="K77" i="5" s="1"/>
  <c r="J76" i="5"/>
  <c r="J75" i="5"/>
  <c r="J74" i="5"/>
  <c r="J73" i="5"/>
  <c r="J71" i="5"/>
  <c r="J70" i="5"/>
  <c r="K70" i="5" s="1"/>
  <c r="L70" i="5" s="1"/>
  <c r="J69" i="5"/>
  <c r="K69" i="5" s="1"/>
  <c r="J65" i="5"/>
  <c r="J64" i="5"/>
  <c r="K64" i="5" s="1"/>
  <c r="L64" i="5" s="1"/>
  <c r="E64" i="5"/>
  <c r="J63" i="5"/>
  <c r="K63" i="5" s="1"/>
  <c r="L63" i="5" s="1"/>
  <c r="E63" i="5"/>
  <c r="J62" i="5"/>
  <c r="J61" i="5"/>
  <c r="J60" i="5"/>
  <c r="K60" i="5" s="1"/>
  <c r="L60" i="5" s="1"/>
  <c r="J59" i="5"/>
  <c r="J58" i="5"/>
  <c r="J57" i="5"/>
  <c r="J56" i="5"/>
  <c r="J55" i="5"/>
  <c r="J52" i="5"/>
  <c r="K52" i="5" s="1"/>
  <c r="J51" i="5"/>
  <c r="J50" i="5"/>
  <c r="K50" i="5" s="1"/>
  <c r="L50" i="5" s="1"/>
  <c r="J49" i="5"/>
  <c r="J48" i="5"/>
  <c r="J47" i="5"/>
  <c r="J46" i="5"/>
  <c r="K46" i="5" s="1"/>
  <c r="L46" i="5" s="1"/>
  <c r="J45" i="5"/>
  <c r="K45" i="5" s="1"/>
  <c r="J44" i="5"/>
  <c r="K44" i="5" s="1"/>
  <c r="J41" i="5"/>
  <c r="K41" i="5" s="1"/>
  <c r="J40" i="5"/>
  <c r="J39" i="5"/>
  <c r="J38" i="5"/>
  <c r="J37" i="5"/>
  <c r="K37" i="5" s="1"/>
  <c r="L37" i="5" s="1"/>
  <c r="J35" i="5"/>
  <c r="J34" i="5"/>
  <c r="J32" i="5"/>
  <c r="K32" i="5" s="1"/>
  <c r="L32" i="5" s="1"/>
  <c r="J30" i="5"/>
  <c r="K30" i="5" s="1"/>
  <c r="L30" i="5" s="1"/>
  <c r="J29" i="5"/>
  <c r="J28" i="5"/>
  <c r="K28" i="5" s="1"/>
  <c r="L28" i="5" s="1"/>
  <c r="E28" i="5"/>
  <c r="J27" i="5"/>
  <c r="K27" i="5" s="1"/>
  <c r="L27" i="5" s="1"/>
  <c r="J26" i="5"/>
  <c r="K26" i="5" s="1"/>
  <c r="J25" i="5"/>
  <c r="K25" i="5" s="1"/>
  <c r="J24" i="5"/>
  <c r="E24" i="5"/>
  <c r="J23" i="5"/>
  <c r="J22" i="5"/>
  <c r="J21" i="5"/>
  <c r="K21" i="5" s="1"/>
  <c r="L21" i="5" s="1"/>
  <c r="M21" i="5" s="1"/>
  <c r="J20" i="5"/>
  <c r="J19" i="5"/>
  <c r="K19" i="5" s="1"/>
  <c r="L19" i="5" s="1"/>
  <c r="J18" i="5"/>
  <c r="K18" i="5" s="1"/>
  <c r="L18" i="5" s="1"/>
  <c r="M18" i="5" s="1"/>
  <c r="J17" i="5"/>
  <c r="K17" i="5" s="1"/>
  <c r="J16" i="5"/>
  <c r="K16" i="5" s="1"/>
  <c r="J15" i="5"/>
  <c r="J14" i="5"/>
  <c r="J13" i="5"/>
  <c r="J12" i="5"/>
  <c r="J11" i="5"/>
  <c r="K11" i="5" s="1"/>
  <c r="J10" i="5"/>
  <c r="K10" i="5" s="1"/>
  <c r="J9" i="5"/>
  <c r="K9" i="5" s="1"/>
  <c r="J8" i="5"/>
  <c r="K8" i="5" s="1"/>
  <c r="J7" i="5"/>
  <c r="J6" i="5"/>
  <c r="J5" i="5"/>
  <c r="J4" i="5"/>
  <c r="J100" i="4"/>
  <c r="K100" i="4" s="1"/>
  <c r="L100" i="4" s="1"/>
  <c r="J96" i="4"/>
  <c r="K96" i="4" s="1"/>
  <c r="J93" i="4"/>
  <c r="K93" i="4" s="1"/>
  <c r="J92" i="4"/>
  <c r="K92" i="4" s="1"/>
  <c r="J91" i="4"/>
  <c r="J90" i="4"/>
  <c r="J89" i="4"/>
  <c r="J87" i="4"/>
  <c r="J86" i="4"/>
  <c r="K86" i="4" s="1"/>
  <c r="J85" i="4"/>
  <c r="J84" i="4"/>
  <c r="K84" i="4" s="1"/>
  <c r="L84" i="4" s="1"/>
  <c r="J83" i="4"/>
  <c r="K83" i="4" s="1"/>
  <c r="J82" i="4"/>
  <c r="J81" i="4"/>
  <c r="K81" i="4" s="1"/>
  <c r="J80" i="4"/>
  <c r="K80" i="4" s="1"/>
  <c r="J79" i="4"/>
  <c r="J78" i="4"/>
  <c r="J77" i="4"/>
  <c r="K77" i="4" s="1"/>
  <c r="J76" i="4"/>
  <c r="J75" i="4"/>
  <c r="J74" i="4"/>
  <c r="J73" i="4"/>
  <c r="J71" i="4"/>
  <c r="J70" i="4"/>
  <c r="J69" i="4"/>
  <c r="K69" i="4" s="1"/>
  <c r="L69" i="4" s="1"/>
  <c r="M69" i="4" s="1"/>
  <c r="J65" i="4"/>
  <c r="J64" i="4"/>
  <c r="K64" i="4" s="1"/>
  <c r="E64" i="4"/>
  <c r="J63" i="4"/>
  <c r="K63" i="4" s="1"/>
  <c r="E63" i="4"/>
  <c r="J62" i="4"/>
  <c r="J61" i="4"/>
  <c r="J60" i="4"/>
  <c r="K60" i="4" s="1"/>
  <c r="J59" i="4"/>
  <c r="J58" i="4"/>
  <c r="J57" i="4"/>
  <c r="J56" i="4"/>
  <c r="J55" i="4"/>
  <c r="J54" i="4"/>
  <c r="K54" i="4" s="1"/>
  <c r="L54" i="4" s="1"/>
  <c r="M54" i="4" s="1"/>
  <c r="J53" i="4"/>
  <c r="K53" i="4" s="1"/>
  <c r="L53" i="4" s="1"/>
  <c r="M53" i="4" s="1"/>
  <c r="J52" i="4"/>
  <c r="K52" i="4" s="1"/>
  <c r="L52" i="4" s="1"/>
  <c r="J51" i="4"/>
  <c r="K51" i="4" s="1"/>
  <c r="J50" i="4"/>
  <c r="K50" i="4" s="1"/>
  <c r="J49" i="4"/>
  <c r="J48" i="4"/>
  <c r="J47" i="4"/>
  <c r="J46" i="4"/>
  <c r="K46" i="4" s="1"/>
  <c r="L46" i="4" s="1"/>
  <c r="M46" i="4" s="1"/>
  <c r="J45" i="4"/>
  <c r="J44" i="4"/>
  <c r="K44" i="4" s="1"/>
  <c r="L44" i="4" s="1"/>
  <c r="J41" i="4"/>
  <c r="J40" i="4"/>
  <c r="K40" i="4" s="1"/>
  <c r="J39" i="4"/>
  <c r="J38" i="4"/>
  <c r="K38" i="4" s="1"/>
  <c r="J35" i="4"/>
  <c r="J34" i="4"/>
  <c r="J32" i="4"/>
  <c r="K32" i="4" s="1"/>
  <c r="L32" i="4" s="1"/>
  <c r="J30" i="4"/>
  <c r="J29" i="4"/>
  <c r="J28" i="4"/>
  <c r="E28" i="4"/>
  <c r="J27" i="4"/>
  <c r="J26" i="4"/>
  <c r="K26" i="4" s="1"/>
  <c r="L26" i="4" s="1"/>
  <c r="J25" i="4"/>
  <c r="K25" i="4" s="1"/>
  <c r="L25" i="4" s="1"/>
  <c r="J24" i="4"/>
  <c r="E24" i="4"/>
  <c r="J23" i="4"/>
  <c r="J22" i="4"/>
  <c r="J21" i="4"/>
  <c r="J20" i="4"/>
  <c r="J19" i="4"/>
  <c r="K19" i="4" s="1"/>
  <c r="L19" i="4" s="1"/>
  <c r="J18" i="4"/>
  <c r="K18" i="4" s="1"/>
  <c r="J17" i="4"/>
  <c r="K17" i="4" s="1"/>
  <c r="L17" i="4" s="1"/>
  <c r="J16" i="4"/>
  <c r="K16" i="4" s="1"/>
  <c r="L16" i="4" s="1"/>
  <c r="J15" i="4"/>
  <c r="J14" i="4"/>
  <c r="J13" i="4"/>
  <c r="J12" i="4"/>
  <c r="J11" i="4"/>
  <c r="K11" i="4" s="1"/>
  <c r="L11" i="4" s="1"/>
  <c r="J10" i="4"/>
  <c r="J9" i="4"/>
  <c r="K9" i="4" s="1"/>
  <c r="L9" i="4" s="1"/>
  <c r="J8" i="4"/>
  <c r="K8" i="4" s="1"/>
  <c r="L8" i="4" s="1"/>
  <c r="J7" i="4"/>
  <c r="J6" i="4"/>
  <c r="J5" i="4"/>
  <c r="J4" i="4"/>
  <c r="I100" i="3"/>
  <c r="J100" i="3" s="1"/>
  <c r="I96" i="3"/>
  <c r="I93" i="3"/>
  <c r="I92" i="3"/>
  <c r="J92" i="3" s="1"/>
  <c r="I91" i="3"/>
  <c r="I90" i="3"/>
  <c r="I89" i="3"/>
  <c r="I85" i="3"/>
  <c r="I84" i="3"/>
  <c r="J84" i="3" s="1"/>
  <c r="K84" i="3" s="1"/>
  <c r="I83" i="3"/>
  <c r="J83" i="3" s="1"/>
  <c r="K83" i="3" s="1"/>
  <c r="I82" i="3"/>
  <c r="I81" i="3"/>
  <c r="J81" i="3" s="1"/>
  <c r="I80" i="3"/>
  <c r="J80" i="3" s="1"/>
  <c r="K80" i="3" s="1"/>
  <c r="I79" i="3"/>
  <c r="I78" i="3"/>
  <c r="I77" i="3"/>
  <c r="J77" i="3" s="1"/>
  <c r="I76" i="3"/>
  <c r="I75" i="3"/>
  <c r="I74" i="3"/>
  <c r="I73" i="3"/>
  <c r="I71" i="3"/>
  <c r="I70" i="3"/>
  <c r="J70" i="3" s="1"/>
  <c r="I69" i="3"/>
  <c r="J69" i="3" s="1"/>
  <c r="K69" i="3" s="1"/>
  <c r="I65" i="3"/>
  <c r="I64" i="3"/>
  <c r="D64" i="3"/>
  <c r="I63" i="3"/>
  <c r="D63" i="3"/>
  <c r="I62" i="3"/>
  <c r="I59" i="3"/>
  <c r="J59" i="3" s="1"/>
  <c r="I58" i="3"/>
  <c r="I57" i="3"/>
  <c r="I56" i="3"/>
  <c r="I55" i="3"/>
  <c r="I41" i="3"/>
  <c r="I40" i="3"/>
  <c r="J40" i="3" s="1"/>
  <c r="K40" i="3" s="1"/>
  <c r="I39" i="3"/>
  <c r="I38" i="3"/>
  <c r="J38" i="3" s="1"/>
  <c r="I35" i="3"/>
  <c r="I34" i="3"/>
  <c r="I32" i="3"/>
  <c r="J32" i="3" s="1"/>
  <c r="I30" i="3"/>
  <c r="J30" i="3" s="1"/>
  <c r="I29" i="3"/>
  <c r="I28" i="3"/>
  <c r="D28" i="3"/>
  <c r="I27" i="3"/>
  <c r="J27" i="3" s="1"/>
  <c r="I26" i="3"/>
  <c r="J26" i="3" s="1"/>
  <c r="K26" i="3" s="1"/>
  <c r="I25" i="3"/>
  <c r="J25" i="3" s="1"/>
  <c r="K25" i="3" s="1"/>
  <c r="L25" i="3" s="1"/>
  <c r="M25" i="3" s="1"/>
  <c r="N25" i="3" s="1"/>
  <c r="O25" i="3" s="1"/>
  <c r="D25" i="3"/>
  <c r="I24" i="3"/>
  <c r="D24" i="3"/>
  <c r="I23" i="3"/>
  <c r="J23" i="3" s="1"/>
  <c r="K23" i="3" s="1"/>
  <c r="I22" i="3"/>
  <c r="I21" i="3"/>
  <c r="I20" i="3"/>
  <c r="I19" i="3"/>
  <c r="I18" i="3"/>
  <c r="I17" i="3"/>
  <c r="J17" i="3" s="1"/>
  <c r="I16" i="3"/>
  <c r="I15" i="3"/>
  <c r="I14" i="3"/>
  <c r="I13" i="3"/>
  <c r="J13" i="3" s="1"/>
  <c r="I12" i="3"/>
  <c r="I11" i="3"/>
  <c r="I10" i="3"/>
  <c r="J10" i="3" s="1"/>
  <c r="I9" i="3"/>
  <c r="I8" i="3"/>
  <c r="J8" i="3" s="1"/>
  <c r="K8" i="3" s="1"/>
  <c r="I7" i="3"/>
  <c r="I6" i="3"/>
  <c r="I5" i="3"/>
  <c r="J5" i="3" s="1"/>
  <c r="I4" i="3"/>
  <c r="I100" i="2"/>
  <c r="J100" i="2" s="1"/>
  <c r="K100" i="2" s="1"/>
  <c r="L100" i="2" s="1"/>
  <c r="I96" i="2"/>
  <c r="J96" i="2" s="1"/>
  <c r="I93" i="2"/>
  <c r="J93" i="2" s="1"/>
  <c r="I92" i="2"/>
  <c r="J92" i="2" s="1"/>
  <c r="I91" i="2"/>
  <c r="J91" i="2" s="1"/>
  <c r="I90" i="2"/>
  <c r="I89" i="2"/>
  <c r="J89" i="2" s="1"/>
  <c r="I87" i="2"/>
  <c r="I86" i="2"/>
  <c r="I85" i="2"/>
  <c r="I82" i="2"/>
  <c r="I81" i="2"/>
  <c r="J81" i="2" s="1"/>
  <c r="I80" i="2"/>
  <c r="J80" i="2" s="1"/>
  <c r="I79" i="2"/>
  <c r="I78" i="2"/>
  <c r="I77" i="2"/>
  <c r="J77" i="2" s="1"/>
  <c r="K77" i="2" s="1"/>
  <c r="I76" i="2"/>
  <c r="I75" i="2"/>
  <c r="I74" i="2"/>
  <c r="J74" i="2" s="1"/>
  <c r="K74" i="2" s="1"/>
  <c r="I73" i="2"/>
  <c r="J73" i="2" s="1"/>
  <c r="K73" i="2" s="1"/>
  <c r="L73" i="2" s="1"/>
  <c r="I71" i="2"/>
  <c r="I70" i="2"/>
  <c r="J70" i="2" s="1"/>
  <c r="I69" i="2"/>
  <c r="J69" i="2" s="1"/>
  <c r="K69" i="2" s="1"/>
  <c r="L69" i="2" s="1"/>
  <c r="I64" i="2"/>
  <c r="J64" i="2" s="1"/>
  <c r="D64" i="2"/>
  <c r="I63" i="2"/>
  <c r="J63" i="2" s="1"/>
  <c r="D63" i="2"/>
  <c r="I62" i="2"/>
  <c r="I60" i="2"/>
  <c r="J60" i="2" s="1"/>
  <c r="I59" i="2"/>
  <c r="J59" i="2" s="1"/>
  <c r="K59" i="2" s="1"/>
  <c r="L59" i="2" s="1"/>
  <c r="I58" i="2"/>
  <c r="J58" i="2" s="1"/>
  <c r="I57" i="2"/>
  <c r="I56" i="2"/>
  <c r="J56" i="2" s="1"/>
  <c r="K56" i="2" s="1"/>
  <c r="L56" i="2" s="1"/>
  <c r="I55" i="2"/>
  <c r="J55" i="2" s="1"/>
  <c r="I52" i="2"/>
  <c r="J52" i="2" s="1"/>
  <c r="K52" i="2" s="1"/>
  <c r="I51" i="2"/>
  <c r="I50" i="2"/>
  <c r="J50" i="2" s="1"/>
  <c r="I49" i="2"/>
  <c r="I48" i="2"/>
  <c r="J48" i="2" s="1"/>
  <c r="I47" i="2"/>
  <c r="I40" i="2"/>
  <c r="J40" i="2" s="1"/>
  <c r="I39" i="2"/>
  <c r="I38" i="2"/>
  <c r="J38" i="2" s="1"/>
  <c r="I35" i="2"/>
  <c r="I34" i="2"/>
  <c r="I32" i="2"/>
  <c r="J32" i="2" s="1"/>
  <c r="K32" i="2" s="1"/>
  <c r="L32" i="2" s="1"/>
  <c r="I30" i="2"/>
  <c r="I29" i="2"/>
  <c r="I28" i="2"/>
  <c r="D28" i="2"/>
  <c r="I27" i="2"/>
  <c r="I26" i="2"/>
  <c r="J26" i="2" s="1"/>
  <c r="K26" i="2" s="1"/>
  <c r="L26" i="2" s="1"/>
  <c r="I25" i="2"/>
  <c r="J25" i="2" s="1"/>
  <c r="K25" i="2" s="1"/>
  <c r="L25" i="2" s="1"/>
  <c r="M25" i="2" s="1"/>
  <c r="N25" i="2" s="1"/>
  <c r="O25" i="2" s="1"/>
  <c r="D25" i="2"/>
  <c r="I24" i="2"/>
  <c r="J24" i="2" s="1"/>
  <c r="K24" i="2" s="1"/>
  <c r="L24" i="2" s="1"/>
  <c r="D24" i="2"/>
  <c r="I23" i="2"/>
  <c r="J23" i="2" s="1"/>
  <c r="K23" i="2" s="1"/>
  <c r="L23" i="2" s="1"/>
  <c r="I22" i="2"/>
  <c r="J22" i="2" s="1"/>
  <c r="I21" i="2"/>
  <c r="I20" i="2"/>
  <c r="I19" i="2"/>
  <c r="I18" i="2"/>
  <c r="J18" i="2" s="1"/>
  <c r="K18" i="2" s="1"/>
  <c r="I17" i="2"/>
  <c r="J17" i="2" s="1"/>
  <c r="I16" i="2"/>
  <c r="J16" i="2" s="1"/>
  <c r="K16" i="2" s="1"/>
  <c r="L16" i="2" s="1"/>
  <c r="I15" i="2"/>
  <c r="J15" i="2" s="1"/>
  <c r="K15" i="2" s="1"/>
  <c r="L15" i="2" s="1"/>
  <c r="I14" i="2"/>
  <c r="J14" i="2" s="1"/>
  <c r="I13" i="2"/>
  <c r="J13" i="2" s="1"/>
  <c r="I12" i="2"/>
  <c r="I11" i="2"/>
  <c r="I10" i="2"/>
  <c r="J10" i="2" s="1"/>
  <c r="K10" i="2" s="1"/>
  <c r="L10" i="2" s="1"/>
  <c r="I9" i="2"/>
  <c r="I8" i="2"/>
  <c r="J8" i="2" s="1"/>
  <c r="K8" i="2" s="1"/>
  <c r="I7" i="2"/>
  <c r="J7" i="2" s="1"/>
  <c r="K7" i="2" s="1"/>
  <c r="I6" i="2"/>
  <c r="I5" i="2"/>
  <c r="J5" i="2" s="1"/>
  <c r="I4" i="2"/>
  <c r="I96" i="1"/>
  <c r="J96" i="1" s="1"/>
  <c r="I93" i="1"/>
  <c r="J93" i="1" s="1"/>
  <c r="I92" i="1"/>
  <c r="J92" i="1" s="1"/>
  <c r="I91" i="1"/>
  <c r="I90" i="1"/>
  <c r="J90" i="1" s="1"/>
  <c r="K90" i="1" s="1"/>
  <c r="I89" i="1"/>
  <c r="J89" i="1" s="1"/>
  <c r="I87" i="1"/>
  <c r="J87" i="1" s="1"/>
  <c r="K87" i="1" s="1"/>
  <c r="I86" i="1"/>
  <c r="I85" i="1"/>
  <c r="I82" i="1"/>
  <c r="I81" i="1"/>
  <c r="J81" i="1" s="1"/>
  <c r="I80" i="1"/>
  <c r="J80" i="1" s="1"/>
  <c r="K80" i="1" s="1"/>
  <c r="I79" i="1"/>
  <c r="J79" i="1" s="1"/>
  <c r="K79" i="1" s="1"/>
  <c r="I78" i="1"/>
  <c r="I77" i="1"/>
  <c r="I76" i="1"/>
  <c r="I75" i="1"/>
  <c r="I74" i="1"/>
  <c r="I73" i="1"/>
  <c r="I71" i="1"/>
  <c r="I70" i="1"/>
  <c r="J70" i="1" s="1"/>
  <c r="K70" i="1" s="1"/>
  <c r="I69" i="1"/>
  <c r="I64" i="1"/>
  <c r="J64" i="1" s="1"/>
  <c r="D64" i="1"/>
  <c r="I63" i="1"/>
  <c r="J63" i="1" s="1"/>
  <c r="D63" i="1"/>
  <c r="I62" i="1"/>
  <c r="I58" i="1"/>
  <c r="I57" i="1"/>
  <c r="I56" i="1"/>
  <c r="I55" i="1"/>
  <c r="I52" i="1"/>
  <c r="I51" i="1"/>
  <c r="J51" i="1" s="1"/>
  <c r="I50" i="1"/>
  <c r="J50" i="1" s="1"/>
  <c r="I40" i="1"/>
  <c r="J40" i="1" s="1"/>
  <c r="I39" i="1"/>
  <c r="I38" i="1"/>
  <c r="J38" i="1" s="1"/>
  <c r="I37" i="1"/>
  <c r="I35" i="1"/>
  <c r="I34" i="1"/>
  <c r="I32" i="1"/>
  <c r="I30" i="1"/>
  <c r="J30" i="1" s="1"/>
  <c r="K30" i="1" s="1"/>
  <c r="I29" i="1"/>
  <c r="I28" i="1"/>
  <c r="J28" i="1" s="1"/>
  <c r="K28" i="1" s="1"/>
  <c r="D28" i="1"/>
  <c r="I27" i="1"/>
  <c r="J27" i="1" s="1"/>
  <c r="K27" i="1" s="1"/>
  <c r="I26" i="1"/>
  <c r="J26" i="1" s="1"/>
  <c r="K26" i="1" s="1"/>
  <c r="I25" i="1"/>
  <c r="J25" i="1" s="1"/>
  <c r="K25" i="1" s="1"/>
  <c r="L25" i="1" s="1"/>
  <c r="M25" i="1" s="1"/>
  <c r="N25" i="1" s="1"/>
  <c r="O25" i="1" s="1"/>
  <c r="D25" i="1"/>
  <c r="I24" i="1"/>
  <c r="D24" i="1"/>
  <c r="I23" i="1"/>
  <c r="J23" i="1" s="1"/>
  <c r="I22" i="1"/>
  <c r="J22" i="1" s="1"/>
  <c r="I21" i="1"/>
  <c r="I20" i="1"/>
  <c r="J20" i="1" s="1"/>
  <c r="I19" i="1"/>
  <c r="J19" i="1" s="1"/>
  <c r="I18" i="1"/>
  <c r="I17" i="1"/>
  <c r="J17" i="1" s="1"/>
  <c r="K17" i="1" s="1"/>
  <c r="I16" i="1"/>
  <c r="J16" i="1" s="1"/>
  <c r="K16" i="1" s="1"/>
  <c r="I15" i="1"/>
  <c r="I14" i="1"/>
  <c r="J14" i="1" s="1"/>
  <c r="I13" i="1"/>
  <c r="I12" i="1"/>
  <c r="J12" i="1" s="1"/>
  <c r="K12" i="1" s="1"/>
  <c r="I11" i="1"/>
  <c r="J11" i="1" s="1"/>
  <c r="I10" i="1"/>
  <c r="I9" i="1"/>
  <c r="J9" i="1" s="1"/>
  <c r="K9" i="1" s="1"/>
  <c r="I8" i="1"/>
  <c r="J8" i="1" s="1"/>
  <c r="K8" i="1" s="1"/>
  <c r="I7" i="1"/>
  <c r="I6" i="1"/>
  <c r="J6" i="1" s="1"/>
  <c r="I5" i="1"/>
  <c r="I4" i="1"/>
  <c r="I61" i="3" l="1"/>
  <c r="J61" i="3" s="1"/>
  <c r="K61" i="3" s="1"/>
  <c r="I60" i="3"/>
  <c r="I87" i="3"/>
  <c r="J87" i="3" s="1"/>
  <c r="K87" i="3" s="1"/>
  <c r="L87" i="3" s="1"/>
  <c r="M87" i="3" s="1"/>
  <c r="I86" i="3"/>
  <c r="J86" i="3" s="1"/>
  <c r="K86" i="3" s="1"/>
  <c r="L86" i="3" s="1"/>
  <c r="M86" i="3" s="1"/>
  <c r="I61" i="2"/>
  <c r="J61" i="2" s="1"/>
  <c r="K61" i="2" s="1"/>
  <c r="L61" i="2" s="1"/>
  <c r="I65" i="2"/>
  <c r="J65" i="2" s="1"/>
  <c r="I37" i="2"/>
  <c r="J37" i="2" s="1"/>
  <c r="K37" i="2" s="1"/>
  <c r="L37" i="2" s="1"/>
  <c r="M37" i="2" s="1"/>
  <c r="I83" i="2"/>
  <c r="J83" i="2" s="1"/>
  <c r="K83" i="2" s="1"/>
  <c r="L83" i="2" s="1"/>
  <c r="M83" i="2" s="1"/>
  <c r="I84" i="2"/>
  <c r="J84" i="2" s="1"/>
  <c r="K84" i="2" s="1"/>
  <c r="I41" i="2"/>
  <c r="J41" i="2" s="1"/>
  <c r="K41" i="2" s="1"/>
  <c r="L41" i="2" s="1"/>
  <c r="M41" i="2" s="1"/>
  <c r="I44" i="2"/>
  <c r="J44" i="2" s="1"/>
  <c r="K44" i="2" s="1"/>
  <c r="L44" i="2" s="1"/>
  <c r="I45" i="2"/>
  <c r="J45" i="2" s="1"/>
  <c r="K45" i="2" s="1"/>
  <c r="L45" i="2" s="1"/>
  <c r="M45" i="2" s="1"/>
  <c r="I46" i="2"/>
  <c r="J46" i="2" s="1"/>
  <c r="K46" i="2" s="1"/>
  <c r="L46" i="2" s="1"/>
  <c r="M46" i="2" s="1"/>
  <c r="J74" i="1"/>
  <c r="K74" i="1" s="1"/>
  <c r="L74" i="1" s="1"/>
  <c r="M74" i="1" s="1"/>
  <c r="I45" i="1"/>
  <c r="J45" i="1" s="1"/>
  <c r="K45" i="1" s="1"/>
  <c r="AG45" i="1"/>
  <c r="I47" i="1"/>
  <c r="J47" i="1" s="1"/>
  <c r="AG47" i="1"/>
  <c r="I59" i="1"/>
  <c r="J59" i="1" s="1"/>
  <c r="K59" i="1" s="1"/>
  <c r="I83" i="1"/>
  <c r="J83" i="1" s="1"/>
  <c r="K83" i="1" s="1"/>
  <c r="L83" i="1" s="1"/>
  <c r="M83" i="1" s="1"/>
  <c r="I60" i="1"/>
  <c r="J60" i="1" s="1"/>
  <c r="I84" i="1"/>
  <c r="J84" i="1" s="1"/>
  <c r="K84" i="1" s="1"/>
  <c r="I41" i="1"/>
  <c r="J41" i="1" s="1"/>
  <c r="K41" i="1" s="1"/>
  <c r="AG41" i="1"/>
  <c r="I44" i="1"/>
  <c r="J44" i="1" s="1"/>
  <c r="K44" i="1" s="1"/>
  <c r="AG44" i="1"/>
  <c r="I46" i="1"/>
  <c r="J46" i="1" s="1"/>
  <c r="K46" i="1" s="1"/>
  <c r="AG46" i="1"/>
  <c r="I65" i="1"/>
  <c r="J65" i="1" s="1"/>
  <c r="K65" i="1" s="1"/>
  <c r="I48" i="1"/>
  <c r="J48" i="1" s="1"/>
  <c r="K48" i="1" s="1"/>
  <c r="L48" i="1" s="1"/>
  <c r="M48" i="1" s="1"/>
  <c r="AG48" i="1"/>
  <c r="I61" i="1"/>
  <c r="J61" i="1" s="1"/>
  <c r="K61" i="1" s="1"/>
  <c r="L61" i="1" s="1"/>
  <c r="M61" i="1" s="1"/>
  <c r="K4" i="6"/>
  <c r="L4" i="6" s="1"/>
  <c r="K12" i="6"/>
  <c r="L12" i="6" s="1"/>
  <c r="K20" i="6"/>
  <c r="L20" i="6" s="1"/>
  <c r="M20" i="6" s="1"/>
  <c r="N20" i="6" s="1"/>
  <c r="K32" i="6"/>
  <c r="L32" i="6" s="1"/>
  <c r="M32" i="6" s="1"/>
  <c r="N32" i="6" s="1"/>
  <c r="K6" i="6"/>
  <c r="L6" i="6" s="1"/>
  <c r="M6" i="6" s="1"/>
  <c r="N6" i="6" s="1"/>
  <c r="O6" i="6" s="1"/>
  <c r="P6" i="6" s="1"/>
  <c r="L47" i="6"/>
  <c r="M47" i="6" s="1"/>
  <c r="N47" i="6" s="1"/>
  <c r="L11" i="6"/>
  <c r="M11" i="6" s="1"/>
  <c r="N11" i="6" s="1"/>
  <c r="L19" i="6"/>
  <c r="M19" i="6" s="1"/>
  <c r="N19" i="6" s="1"/>
  <c r="K51" i="6"/>
  <c r="L51" i="6" s="1"/>
  <c r="M51" i="6" s="1"/>
  <c r="N51" i="6" s="1"/>
  <c r="K61" i="6"/>
  <c r="L61" i="6" s="1"/>
  <c r="L87" i="5"/>
  <c r="M87" i="5" s="1"/>
  <c r="N87" i="5" s="1"/>
  <c r="L26" i="5"/>
  <c r="M26" i="5" s="1"/>
  <c r="N26" i="5" s="1"/>
  <c r="K35" i="5"/>
  <c r="L35" i="5" s="1"/>
  <c r="L25" i="5"/>
  <c r="M25" i="5" s="1"/>
  <c r="N25" i="5" s="1"/>
  <c r="L11" i="5"/>
  <c r="M11" i="5" s="1"/>
  <c r="N11" i="5" s="1"/>
  <c r="L44" i="5"/>
  <c r="M44" i="5" s="1"/>
  <c r="N44" i="5" s="1"/>
  <c r="K59" i="5"/>
  <c r="L59" i="5" s="1"/>
  <c r="M59" i="5" s="1"/>
  <c r="N59" i="5" s="1"/>
  <c r="N21" i="5"/>
  <c r="O21" i="5" s="1"/>
  <c r="L77" i="5"/>
  <c r="L10" i="5"/>
  <c r="M10" i="5" s="1"/>
  <c r="N10" i="5" s="1"/>
  <c r="L41" i="5"/>
  <c r="M41" i="5" s="1"/>
  <c r="N41" i="5" s="1"/>
  <c r="L8" i="5"/>
  <c r="M8" i="5" s="1"/>
  <c r="N8" i="5" s="1"/>
  <c r="L79" i="5"/>
  <c r="M79" i="5" s="1"/>
  <c r="N79" i="5" s="1"/>
  <c r="L16" i="5"/>
  <c r="M16" i="5" s="1"/>
  <c r="N16" i="5" s="1"/>
  <c r="L92" i="4"/>
  <c r="M92" i="4" s="1"/>
  <c r="N92" i="4" s="1"/>
  <c r="K20" i="4"/>
  <c r="L20" i="4" s="1"/>
  <c r="M20" i="4" s="1"/>
  <c r="N20" i="4" s="1"/>
  <c r="N46" i="4"/>
  <c r="O46" i="4" s="1"/>
  <c r="L96" i="4"/>
  <c r="M96" i="4" s="1"/>
  <c r="L40" i="4"/>
  <c r="K59" i="4"/>
  <c r="L59" i="4" s="1"/>
  <c r="M59" i="4" s="1"/>
  <c r="N59" i="4" s="1"/>
  <c r="K65" i="4"/>
  <c r="L65" i="4" s="1"/>
  <c r="M65" i="4" s="1"/>
  <c r="L86" i="4"/>
  <c r="M86" i="4" s="1"/>
  <c r="L83" i="4"/>
  <c r="M83" i="4" s="1"/>
  <c r="L63" i="4"/>
  <c r="M63" i="4" s="1"/>
  <c r="N63" i="4" s="1"/>
  <c r="L51" i="4"/>
  <c r="M51" i="4" s="1"/>
  <c r="K79" i="4"/>
  <c r="L79" i="4" s="1"/>
  <c r="M79" i="4" s="1"/>
  <c r="N79" i="4" s="1"/>
  <c r="K27" i="4"/>
  <c r="L27" i="4" s="1"/>
  <c r="M27" i="4" s="1"/>
  <c r="N27" i="4" s="1"/>
  <c r="K30" i="4"/>
  <c r="L30" i="4" s="1"/>
  <c r="K34" i="4"/>
  <c r="L34" i="4" s="1"/>
  <c r="M34" i="4" s="1"/>
  <c r="N34" i="4" s="1"/>
  <c r="K45" i="4"/>
  <c r="L45" i="4" s="1"/>
  <c r="M45" i="4" s="1"/>
  <c r="K10" i="4"/>
  <c r="L10" i="4" s="1"/>
  <c r="M10" i="4" s="1"/>
  <c r="N10" i="4" s="1"/>
  <c r="K28" i="4"/>
  <c r="L28" i="4" s="1"/>
  <c r="M28" i="4" s="1"/>
  <c r="N28" i="4" s="1"/>
  <c r="K49" i="4"/>
  <c r="L49" i="4" s="1"/>
  <c r="K41" i="4"/>
  <c r="L41" i="4" s="1"/>
  <c r="M41" i="4" s="1"/>
  <c r="N41" i="4" s="1"/>
  <c r="L18" i="4"/>
  <c r="M18" i="4" s="1"/>
  <c r="K61" i="4"/>
  <c r="L61" i="4" s="1"/>
  <c r="M61" i="4" s="1"/>
  <c r="L81" i="4"/>
  <c r="M81" i="4" s="1"/>
  <c r="N81" i="4" s="1"/>
  <c r="J37" i="1"/>
  <c r="K37" i="1" s="1"/>
  <c r="L37" i="1" s="1"/>
  <c r="M37" i="1" s="1"/>
  <c r="N37" i="1" s="1"/>
  <c r="O37" i="1" s="1"/>
  <c r="L26" i="3"/>
  <c r="M26" i="3" s="1"/>
  <c r="N26" i="3" s="1"/>
  <c r="O26" i="3" s="1"/>
  <c r="J19" i="3"/>
  <c r="K19" i="3" s="1"/>
  <c r="J34" i="3"/>
  <c r="K34" i="3" s="1"/>
  <c r="J60" i="3"/>
  <c r="K60" i="3" s="1"/>
  <c r="L60" i="3" s="1"/>
  <c r="J55" i="3"/>
  <c r="K55" i="3" s="1"/>
  <c r="K70" i="3"/>
  <c r="J16" i="3"/>
  <c r="K16" i="3" s="1"/>
  <c r="L16" i="3" s="1"/>
  <c r="M16" i="3" s="1"/>
  <c r="N16" i="3" s="1"/>
  <c r="O16" i="3" s="1"/>
  <c r="J96" i="3"/>
  <c r="K96" i="3" s="1"/>
  <c r="J7" i="3"/>
  <c r="K7" i="3" s="1"/>
  <c r="L7" i="3" s="1"/>
  <c r="M7" i="3" s="1"/>
  <c r="J71" i="3"/>
  <c r="K71" i="3" s="1"/>
  <c r="L71" i="3" s="1"/>
  <c r="M71" i="3" s="1"/>
  <c r="J64" i="3"/>
  <c r="K64" i="3" s="1"/>
  <c r="L64" i="3" s="1"/>
  <c r="M64" i="3" s="1"/>
  <c r="J73" i="3"/>
  <c r="K73" i="3" s="1"/>
  <c r="L73" i="3" s="1"/>
  <c r="M73" i="3" s="1"/>
  <c r="N73" i="3" s="1"/>
  <c r="O73" i="3" s="1"/>
  <c r="J18" i="3"/>
  <c r="K18" i="3" s="1"/>
  <c r="L18" i="3" s="1"/>
  <c r="M18" i="3" s="1"/>
  <c r="N18" i="3" s="1"/>
  <c r="O18" i="3" s="1"/>
  <c r="J90" i="3"/>
  <c r="K90" i="3" s="1"/>
  <c r="L90" i="3" s="1"/>
  <c r="M90" i="3" s="1"/>
  <c r="N90" i="3" s="1"/>
  <c r="O90" i="3" s="1"/>
  <c r="K100" i="3"/>
  <c r="L100" i="3" s="1"/>
  <c r="M100" i="3" s="1"/>
  <c r="J15" i="3"/>
  <c r="K15" i="3" s="1"/>
  <c r="L15" i="3" s="1"/>
  <c r="J11" i="3"/>
  <c r="K11" i="3" s="1"/>
  <c r="K81" i="3"/>
  <c r="L81" i="3" s="1"/>
  <c r="M81" i="3" s="1"/>
  <c r="K17" i="3"/>
  <c r="L17" i="3" s="1"/>
  <c r="M17" i="3" s="1"/>
  <c r="K30" i="3"/>
  <c r="J89" i="3"/>
  <c r="K89" i="3" s="1"/>
  <c r="L89" i="3" s="1"/>
  <c r="M89" i="3" s="1"/>
  <c r="J65" i="3"/>
  <c r="K65" i="3" s="1"/>
  <c r="L65" i="3" s="1"/>
  <c r="M65" i="3" s="1"/>
  <c r="J86" i="2"/>
  <c r="K86" i="2" s="1"/>
  <c r="K38" i="2"/>
  <c r="L38" i="2" s="1"/>
  <c r="M38" i="2" s="1"/>
  <c r="J9" i="2"/>
  <c r="K9" i="2" s="1"/>
  <c r="L9" i="2" s="1"/>
  <c r="M9" i="2" s="1"/>
  <c r="J28" i="2"/>
  <c r="K28" i="2" s="1"/>
  <c r="J79" i="2"/>
  <c r="K79" i="2" s="1"/>
  <c r="K60" i="2"/>
  <c r="K92" i="2"/>
  <c r="K81" i="2"/>
  <c r="L81" i="2" s="1"/>
  <c r="M81" i="2" s="1"/>
  <c r="K40" i="2"/>
  <c r="L40" i="2" s="1"/>
  <c r="M40" i="2" s="1"/>
  <c r="J49" i="2"/>
  <c r="K49" i="2" s="1"/>
  <c r="K14" i="2"/>
  <c r="L14" i="2" s="1"/>
  <c r="M14" i="2" s="1"/>
  <c r="K22" i="2"/>
  <c r="L22" i="2" s="1"/>
  <c r="M22" i="2" s="1"/>
  <c r="J27" i="2"/>
  <c r="K27" i="2" s="1"/>
  <c r="K17" i="2"/>
  <c r="L17" i="2" s="1"/>
  <c r="M17" i="2" s="1"/>
  <c r="J21" i="2"/>
  <c r="K21" i="2" s="1"/>
  <c r="K70" i="2"/>
  <c r="L70" i="2" s="1"/>
  <c r="K96" i="2"/>
  <c r="K13" i="2"/>
  <c r="J30" i="2"/>
  <c r="K30" i="2" s="1"/>
  <c r="K58" i="2"/>
  <c r="J90" i="2"/>
  <c r="K90" i="2" s="1"/>
  <c r="L90" i="2" s="1"/>
  <c r="M90" i="2" s="1"/>
  <c r="J5" i="1"/>
  <c r="K5" i="1" s="1"/>
  <c r="L5" i="1" s="1"/>
  <c r="M5" i="1" s="1"/>
  <c r="J58" i="1"/>
  <c r="K58" i="1" s="1"/>
  <c r="L79" i="1"/>
  <c r="M79" i="1" s="1"/>
  <c r="J76" i="1"/>
  <c r="K76" i="1" s="1"/>
  <c r="L76" i="1" s="1"/>
  <c r="M76" i="1" s="1"/>
  <c r="J13" i="1"/>
  <c r="K13" i="1" s="1"/>
  <c r="J91" i="1"/>
  <c r="K91" i="1" s="1"/>
  <c r="L91" i="1" s="1"/>
  <c r="M91" i="1" s="1"/>
  <c r="N91" i="1" s="1"/>
  <c r="O91" i="1" s="1"/>
  <c r="K20" i="1"/>
  <c r="L20" i="1" s="1"/>
  <c r="M20" i="1" s="1"/>
  <c r="J35" i="1"/>
  <c r="K35" i="1" s="1"/>
  <c r="L35" i="1" s="1"/>
  <c r="M35" i="1" s="1"/>
  <c r="K19" i="1"/>
  <c r="L19" i="1" s="1"/>
  <c r="M19" i="1" s="1"/>
  <c r="J77" i="1"/>
  <c r="K77" i="1" s="1"/>
  <c r="J49" i="1"/>
  <c r="K49" i="1" s="1"/>
  <c r="J34" i="1"/>
  <c r="K34" i="1" s="1"/>
  <c r="J56" i="1"/>
  <c r="K56" i="1" s="1"/>
  <c r="L56" i="1" s="1"/>
  <c r="M56" i="1" s="1"/>
  <c r="J21" i="1"/>
  <c r="K21" i="1" s="1"/>
  <c r="J73" i="1"/>
  <c r="K73" i="1" s="1"/>
  <c r="L73" i="1" s="1"/>
  <c r="M73" i="1" s="1"/>
  <c r="J4" i="1"/>
  <c r="K4" i="1" s="1"/>
  <c r="L4" i="1" s="1"/>
  <c r="M4" i="1" s="1"/>
  <c r="J15" i="1"/>
  <c r="K15" i="1" s="1"/>
  <c r="K11" i="1"/>
  <c r="L11" i="1" s="1"/>
  <c r="M11" i="1" s="1"/>
  <c r="K51" i="1"/>
  <c r="L51" i="1" s="1"/>
  <c r="M51" i="1" s="1"/>
  <c r="J24" i="1"/>
  <c r="K24" i="1" s="1"/>
  <c r="J7" i="1"/>
  <c r="K7" i="1" s="1"/>
  <c r="L7" i="1" s="1"/>
  <c r="M7" i="1" s="1"/>
  <c r="J55" i="1"/>
  <c r="K55" i="1" s="1"/>
  <c r="L55" i="1" s="1"/>
  <c r="M55" i="1" s="1"/>
  <c r="K81" i="1"/>
  <c r="K23" i="1"/>
  <c r="L23" i="1" s="1"/>
  <c r="M23" i="1" s="1"/>
  <c r="K89" i="1"/>
  <c r="L89" i="1" s="1"/>
  <c r="M89" i="1" s="1"/>
  <c r="M25" i="4"/>
  <c r="N25" i="4" s="1"/>
  <c r="M8" i="4"/>
  <c r="N8" i="4" s="1"/>
  <c r="M26" i="4"/>
  <c r="N26" i="4" s="1"/>
  <c r="M16" i="4"/>
  <c r="N16" i="4" s="1"/>
  <c r="M19" i="5"/>
  <c r="N19" i="5" s="1"/>
  <c r="M32" i="4"/>
  <c r="N32" i="4" s="1"/>
  <c r="M17" i="4"/>
  <c r="N17" i="4" s="1"/>
  <c r="M52" i="4"/>
  <c r="N52" i="4" s="1"/>
  <c r="M11" i="4"/>
  <c r="N11" i="4" s="1"/>
  <c r="M100" i="4"/>
  <c r="N100" i="4" s="1"/>
  <c r="M44" i="4"/>
  <c r="N44" i="4" s="1"/>
  <c r="M46" i="5"/>
  <c r="N46" i="5" s="1"/>
  <c r="M9" i="4"/>
  <c r="N9" i="4" s="1"/>
  <c r="M19" i="4"/>
  <c r="N19" i="4" s="1"/>
  <c r="M84" i="4"/>
  <c r="N84" i="4" s="1"/>
  <c r="M32" i="5"/>
  <c r="N32" i="5" s="1"/>
  <c r="K74" i="4"/>
  <c r="L74" i="4" s="1"/>
  <c r="M80" i="5"/>
  <c r="N80" i="5" s="1"/>
  <c r="M86" i="5"/>
  <c r="N86" i="5" s="1"/>
  <c r="M90" i="6"/>
  <c r="N90" i="6" s="1"/>
  <c r="K48" i="4"/>
  <c r="L48" i="4" s="1"/>
  <c r="L64" i="4"/>
  <c r="N18" i="5"/>
  <c r="K24" i="5"/>
  <c r="L24" i="5" s="1"/>
  <c r="M27" i="5"/>
  <c r="N27" i="5" s="1"/>
  <c r="M30" i="5"/>
  <c r="N30" i="5" s="1"/>
  <c r="K40" i="5"/>
  <c r="L40" i="5" s="1"/>
  <c r="M34" i="6"/>
  <c r="N34" i="6" s="1"/>
  <c r="M55" i="6"/>
  <c r="N55" i="6" s="1"/>
  <c r="K7" i="4"/>
  <c r="L7" i="4" s="1"/>
  <c r="K15" i="4"/>
  <c r="L15" i="4" s="1"/>
  <c r="K23" i="4"/>
  <c r="L23" i="4" s="1"/>
  <c r="K24" i="4"/>
  <c r="L24" i="4" s="1"/>
  <c r="N54" i="4"/>
  <c r="K76" i="4"/>
  <c r="L76" i="4" s="1"/>
  <c r="L80" i="4"/>
  <c r="L9" i="5"/>
  <c r="K91" i="4"/>
  <c r="L91" i="4" s="1"/>
  <c r="K6" i="4"/>
  <c r="L6" i="4" s="1"/>
  <c r="K14" i="4"/>
  <c r="L14" i="4" s="1"/>
  <c r="K22" i="4"/>
  <c r="L22" i="4" s="1"/>
  <c r="M37" i="5"/>
  <c r="N37" i="5" s="1"/>
  <c r="M50" i="5"/>
  <c r="N50" i="5" s="1"/>
  <c r="M70" i="5"/>
  <c r="N70" i="5" s="1"/>
  <c r="M7" i="6"/>
  <c r="N7" i="6" s="1"/>
  <c r="K15" i="5"/>
  <c r="L15" i="5" s="1"/>
  <c r="K5" i="4"/>
  <c r="L5" i="4" s="1"/>
  <c r="K13" i="4"/>
  <c r="L13" i="4" s="1"/>
  <c r="K21" i="4"/>
  <c r="L21" i="4" s="1"/>
  <c r="K35" i="4"/>
  <c r="L35" i="4" s="1"/>
  <c r="L77" i="4"/>
  <c r="M28" i="5"/>
  <c r="N28" i="5" s="1"/>
  <c r="K87" i="6"/>
  <c r="L87" i="6" s="1"/>
  <c r="K58" i="4"/>
  <c r="L58" i="4" s="1"/>
  <c r="K4" i="4"/>
  <c r="L4" i="4" s="1"/>
  <c r="K12" i="4"/>
  <c r="L12" i="4" s="1"/>
  <c r="K7" i="5"/>
  <c r="L7" i="5" s="1"/>
  <c r="K23" i="5"/>
  <c r="L23" i="5" s="1"/>
  <c r="K38" i="5"/>
  <c r="L38" i="5" s="1"/>
  <c r="M63" i="5"/>
  <c r="N63" i="5" s="1"/>
  <c r="M73" i="6"/>
  <c r="N73" i="6" s="1"/>
  <c r="L38" i="4"/>
  <c r="L50" i="4"/>
  <c r="N53" i="4"/>
  <c r="K56" i="4"/>
  <c r="L56" i="4" s="1"/>
  <c r="L60" i="4"/>
  <c r="N69" i="4"/>
  <c r="L93" i="4"/>
  <c r="L17" i="5"/>
  <c r="L45" i="5"/>
  <c r="M14" i="6"/>
  <c r="N14" i="6" s="1"/>
  <c r="M100" i="5"/>
  <c r="N100" i="5" s="1"/>
  <c r="K27" i="6"/>
  <c r="L27" i="6" s="1"/>
  <c r="K70" i="6"/>
  <c r="L70" i="6" s="1"/>
  <c r="K51" i="5"/>
  <c r="L51" i="5" s="1"/>
  <c r="K81" i="5"/>
  <c r="L81" i="5" s="1"/>
  <c r="K28" i="6"/>
  <c r="L28" i="6" s="1"/>
  <c r="M71" i="6"/>
  <c r="N71" i="6" s="1"/>
  <c r="L89" i="6"/>
  <c r="K47" i="4"/>
  <c r="L47" i="4" s="1"/>
  <c r="K55" i="4"/>
  <c r="L55" i="4" s="1"/>
  <c r="K73" i="4"/>
  <c r="L73" i="4" s="1"/>
  <c r="K90" i="4"/>
  <c r="L90" i="4" s="1"/>
  <c r="K6" i="5"/>
  <c r="L6" i="5" s="1"/>
  <c r="K14" i="5"/>
  <c r="L14" i="5" s="1"/>
  <c r="K22" i="5"/>
  <c r="L22" i="5" s="1"/>
  <c r="K49" i="5"/>
  <c r="L49" i="5" s="1"/>
  <c r="M64" i="5"/>
  <c r="N64" i="5" s="1"/>
  <c r="M92" i="5"/>
  <c r="N92" i="5" s="1"/>
  <c r="K71" i="4"/>
  <c r="L71" i="4" s="1"/>
  <c r="K89" i="4"/>
  <c r="L89" i="4" s="1"/>
  <c r="K5" i="5"/>
  <c r="L5" i="5" s="1"/>
  <c r="K13" i="5"/>
  <c r="L13" i="5" s="1"/>
  <c r="K48" i="5"/>
  <c r="L48" i="5" s="1"/>
  <c r="L52" i="5"/>
  <c r="K65" i="5"/>
  <c r="L65" i="5" s="1"/>
  <c r="K83" i="5"/>
  <c r="L83" i="5" s="1"/>
  <c r="K30" i="6"/>
  <c r="L30" i="6" s="1"/>
  <c r="K53" i="6"/>
  <c r="L53" i="6" s="1"/>
  <c r="K70" i="4"/>
  <c r="L70" i="4" s="1"/>
  <c r="K87" i="4"/>
  <c r="L87" i="4" s="1"/>
  <c r="K4" i="5"/>
  <c r="L4" i="5" s="1"/>
  <c r="K12" i="5"/>
  <c r="L12" i="5" s="1"/>
  <c r="K20" i="5"/>
  <c r="L20" i="5" s="1"/>
  <c r="K34" i="5"/>
  <c r="L34" i="5" s="1"/>
  <c r="K47" i="5"/>
  <c r="L47" i="5" s="1"/>
  <c r="M60" i="5"/>
  <c r="N60" i="5" s="1"/>
  <c r="L69" i="5"/>
  <c r="M5" i="6"/>
  <c r="N5" i="6" s="1"/>
  <c r="M13" i="6"/>
  <c r="N13" i="6" s="1"/>
  <c r="M21" i="6"/>
  <c r="N21" i="6" s="1"/>
  <c r="K45" i="6"/>
  <c r="L45" i="6" s="1"/>
  <c r="M65" i="6"/>
  <c r="N65" i="6" s="1"/>
  <c r="K61" i="5"/>
  <c r="L61" i="5" s="1"/>
  <c r="M84" i="5"/>
  <c r="N84" i="5" s="1"/>
  <c r="K96" i="5"/>
  <c r="L96" i="5" s="1"/>
  <c r="K10" i="6"/>
  <c r="L10" i="6" s="1"/>
  <c r="K18" i="6"/>
  <c r="L18" i="6" s="1"/>
  <c r="L46" i="6"/>
  <c r="M54" i="6"/>
  <c r="N54" i="6" s="1"/>
  <c r="K93" i="5"/>
  <c r="L93" i="5" s="1"/>
  <c r="K9" i="6"/>
  <c r="L9" i="6" s="1"/>
  <c r="K17" i="6"/>
  <c r="L17" i="6" s="1"/>
  <c r="K26" i="6"/>
  <c r="L26" i="6" s="1"/>
  <c r="K44" i="6"/>
  <c r="L44" i="6" s="1"/>
  <c r="K52" i="6"/>
  <c r="L52" i="6" s="1"/>
  <c r="K69" i="6"/>
  <c r="L69" i="6" s="1"/>
  <c r="K84" i="6"/>
  <c r="L84" i="6" s="1"/>
  <c r="K86" i="6"/>
  <c r="L86" i="6" s="1"/>
  <c r="K100" i="6"/>
  <c r="L100" i="6" s="1"/>
  <c r="K8" i="6"/>
  <c r="L8" i="6" s="1"/>
  <c r="K16" i="6"/>
  <c r="L16" i="6" s="1"/>
  <c r="K25" i="6"/>
  <c r="L25" i="6" s="1"/>
  <c r="K41" i="6"/>
  <c r="L41" i="6" s="1"/>
  <c r="K81" i="6"/>
  <c r="L81" i="6" s="1"/>
  <c r="K83" i="6"/>
  <c r="L83" i="6" s="1"/>
  <c r="K96" i="6"/>
  <c r="L96" i="6" s="1"/>
  <c r="K56" i="5"/>
  <c r="L56" i="5" s="1"/>
  <c r="K58" i="5"/>
  <c r="L58" i="5" s="1"/>
  <c r="K74" i="5"/>
  <c r="L74" i="5" s="1"/>
  <c r="K76" i="5"/>
  <c r="L76" i="5" s="1"/>
  <c r="K91" i="5"/>
  <c r="L91" i="5" s="1"/>
  <c r="K15" i="6"/>
  <c r="L15" i="6" s="1"/>
  <c r="K23" i="6"/>
  <c r="L23" i="6" s="1"/>
  <c r="K24" i="6"/>
  <c r="L24" i="6" s="1"/>
  <c r="K38" i="6"/>
  <c r="L38" i="6" s="1"/>
  <c r="K40" i="6"/>
  <c r="L40" i="6" s="1"/>
  <c r="K50" i="6"/>
  <c r="L50" i="6" s="1"/>
  <c r="K60" i="6"/>
  <c r="L60" i="6" s="1"/>
  <c r="K63" i="6"/>
  <c r="L63" i="6" s="1"/>
  <c r="K64" i="6"/>
  <c r="L64" i="6" s="1"/>
  <c r="K80" i="6"/>
  <c r="L80" i="6" s="1"/>
  <c r="K93" i="6"/>
  <c r="L93" i="6" s="1"/>
  <c r="K55" i="5"/>
  <c r="L55" i="5" s="1"/>
  <c r="K73" i="5"/>
  <c r="L73" i="5" s="1"/>
  <c r="K90" i="5"/>
  <c r="L90" i="5" s="1"/>
  <c r="K22" i="6"/>
  <c r="L22" i="6" s="1"/>
  <c r="K37" i="6"/>
  <c r="L37" i="6" s="1"/>
  <c r="K49" i="6"/>
  <c r="L49" i="6" s="1"/>
  <c r="K59" i="6"/>
  <c r="L59" i="6" s="1"/>
  <c r="K77" i="6"/>
  <c r="L77" i="6" s="1"/>
  <c r="K79" i="6"/>
  <c r="L79" i="6" s="1"/>
  <c r="K92" i="6"/>
  <c r="L92" i="6" s="1"/>
  <c r="K71" i="5"/>
  <c r="L71" i="5" s="1"/>
  <c r="K89" i="5"/>
  <c r="L89" i="5" s="1"/>
  <c r="K35" i="6"/>
  <c r="L35" i="6" s="1"/>
  <c r="K48" i="6"/>
  <c r="L48" i="6" s="1"/>
  <c r="K56" i="6"/>
  <c r="L56" i="6" s="1"/>
  <c r="K58" i="6"/>
  <c r="L58" i="6" s="1"/>
  <c r="K74" i="6"/>
  <c r="L74" i="6" s="1"/>
  <c r="K76" i="6"/>
  <c r="L76" i="6" s="1"/>
  <c r="K91" i="6"/>
  <c r="L91" i="6" s="1"/>
  <c r="L90" i="1"/>
  <c r="M90" i="1" s="1"/>
  <c r="L28" i="1"/>
  <c r="M28" i="1" s="1"/>
  <c r="L26" i="1"/>
  <c r="M26" i="1" s="1"/>
  <c r="L30" i="1"/>
  <c r="M30" i="1" s="1"/>
  <c r="N30" i="1" s="1"/>
  <c r="L80" i="1"/>
  <c r="M80" i="1" s="1"/>
  <c r="L70" i="1"/>
  <c r="M70" i="1" s="1"/>
  <c r="L8" i="1"/>
  <c r="M8" i="1" s="1"/>
  <c r="L16" i="1"/>
  <c r="M16" i="1" s="1"/>
  <c r="N16" i="1" s="1"/>
  <c r="L27" i="1"/>
  <c r="M27" i="1" s="1"/>
  <c r="L45" i="1"/>
  <c r="M45" i="1" s="1"/>
  <c r="L87" i="1"/>
  <c r="M87" i="1" s="1"/>
  <c r="L7" i="2"/>
  <c r="M7" i="2" s="1"/>
  <c r="L9" i="1"/>
  <c r="M9" i="1" s="1"/>
  <c r="L17" i="1"/>
  <c r="M17" i="1" s="1"/>
  <c r="L8" i="2"/>
  <c r="M8" i="2" s="1"/>
  <c r="L77" i="2"/>
  <c r="M77" i="2" s="1"/>
  <c r="L8" i="3"/>
  <c r="M8" i="3" s="1"/>
  <c r="K6" i="1"/>
  <c r="K14" i="1"/>
  <c r="K22" i="1"/>
  <c r="K38" i="1"/>
  <c r="K40" i="1"/>
  <c r="K50" i="1"/>
  <c r="K63" i="1"/>
  <c r="K64" i="1"/>
  <c r="K93" i="1"/>
  <c r="K48" i="2"/>
  <c r="M59" i="2"/>
  <c r="L18" i="2"/>
  <c r="M18" i="2" s="1"/>
  <c r="J71" i="2"/>
  <c r="K71" i="2" s="1"/>
  <c r="L52" i="2"/>
  <c r="M52" i="2" s="1"/>
  <c r="M56" i="2"/>
  <c r="J28" i="3"/>
  <c r="K28" i="3" s="1"/>
  <c r="K38" i="3"/>
  <c r="L69" i="3"/>
  <c r="M69" i="3" s="1"/>
  <c r="J20" i="3"/>
  <c r="K20" i="3" s="1"/>
  <c r="J10" i="1"/>
  <c r="K10" i="1" s="1"/>
  <c r="L12" i="1"/>
  <c r="M12" i="1" s="1"/>
  <c r="J18" i="1"/>
  <c r="K18" i="1" s="1"/>
  <c r="J32" i="1"/>
  <c r="K32" i="1" s="1"/>
  <c r="L32" i="1" s="1"/>
  <c r="J71" i="1"/>
  <c r="K71" i="1" s="1"/>
  <c r="K92" i="1"/>
  <c r="M15" i="2"/>
  <c r="M23" i="2"/>
  <c r="K91" i="2"/>
  <c r="J9" i="3"/>
  <c r="K9" i="3" s="1"/>
  <c r="L80" i="3"/>
  <c r="M80" i="3" s="1"/>
  <c r="J22" i="3"/>
  <c r="K22" i="3" s="1"/>
  <c r="L40" i="3"/>
  <c r="M40" i="3" s="1"/>
  <c r="K5" i="2"/>
  <c r="M32" i="2"/>
  <c r="J52" i="1"/>
  <c r="K52" i="1" s="1"/>
  <c r="J69" i="1"/>
  <c r="K69" i="1" s="1"/>
  <c r="J86" i="1"/>
  <c r="K86" i="1" s="1"/>
  <c r="J12" i="2"/>
  <c r="K12" i="2" s="1"/>
  <c r="J20" i="2"/>
  <c r="K20" i="2" s="1"/>
  <c r="J35" i="2"/>
  <c r="K35" i="2" s="1"/>
  <c r="M73" i="2"/>
  <c r="L23" i="3"/>
  <c r="M23" i="3" s="1"/>
  <c r="J41" i="3"/>
  <c r="K41" i="3" s="1"/>
  <c r="J6" i="2"/>
  <c r="K6" i="2" s="1"/>
  <c r="M16" i="2"/>
  <c r="M26" i="2"/>
  <c r="L74" i="2"/>
  <c r="M74" i="2" s="1"/>
  <c r="K96" i="1"/>
  <c r="J4" i="2"/>
  <c r="K4" i="2" s="1"/>
  <c r="L4" i="2" s="1"/>
  <c r="M10" i="2"/>
  <c r="M24" i="2"/>
  <c r="K55" i="2"/>
  <c r="L55" i="2" s="1"/>
  <c r="M69" i="2"/>
  <c r="L83" i="3"/>
  <c r="M83" i="3" s="1"/>
  <c r="K5" i="3"/>
  <c r="J74" i="3"/>
  <c r="K74" i="3" s="1"/>
  <c r="K89" i="2"/>
  <c r="M100" i="2"/>
  <c r="J35" i="3"/>
  <c r="K35" i="3" s="1"/>
  <c r="J58" i="3"/>
  <c r="K58" i="3" s="1"/>
  <c r="L58" i="3" s="1"/>
  <c r="K92" i="3"/>
  <c r="J12" i="3"/>
  <c r="K12" i="3" s="1"/>
  <c r="J11" i="2"/>
  <c r="K11" i="2" s="1"/>
  <c r="J19" i="2"/>
  <c r="K19" i="2" s="1"/>
  <c r="J34" i="2"/>
  <c r="K34" i="2" s="1"/>
  <c r="L34" i="2" s="1"/>
  <c r="J47" i="2"/>
  <c r="K47" i="2" s="1"/>
  <c r="J51" i="2"/>
  <c r="K51" i="2" s="1"/>
  <c r="J76" i="2"/>
  <c r="K76" i="2" s="1"/>
  <c r="K93" i="2"/>
  <c r="J4" i="3"/>
  <c r="K4" i="3" s="1"/>
  <c r="J14" i="3"/>
  <c r="K14" i="3" s="1"/>
  <c r="J56" i="3"/>
  <c r="K56" i="3" s="1"/>
  <c r="J76" i="3"/>
  <c r="K76" i="3" s="1"/>
  <c r="J79" i="3"/>
  <c r="K79" i="3" s="1"/>
  <c r="K64" i="2"/>
  <c r="J87" i="2"/>
  <c r="K87" i="2" s="1"/>
  <c r="J6" i="3"/>
  <c r="K6" i="3" s="1"/>
  <c r="J24" i="3"/>
  <c r="K24" i="3" s="1"/>
  <c r="K27" i="3"/>
  <c r="K32" i="3"/>
  <c r="L32" i="3" s="1"/>
  <c r="K59" i="3"/>
  <c r="L59" i="3" s="1"/>
  <c r="J63" i="3"/>
  <c r="K63" i="3" s="1"/>
  <c r="L84" i="3"/>
  <c r="M84" i="3" s="1"/>
  <c r="J93" i="3"/>
  <c r="K93" i="3" s="1"/>
  <c r="J91" i="3"/>
  <c r="K91" i="3" s="1"/>
  <c r="K50" i="2"/>
  <c r="K63" i="2"/>
  <c r="K80" i="2"/>
  <c r="K10" i="3"/>
  <c r="K13" i="3"/>
  <c r="J21" i="3"/>
  <c r="K21" i="3" s="1"/>
  <c r="K77" i="3"/>
  <c r="L61" i="3" l="1"/>
  <c r="M61" i="3" s="1"/>
  <c r="N61" i="3" s="1"/>
  <c r="O61" i="3" s="1"/>
  <c r="L58" i="2"/>
  <c r="M58" i="2" s="1"/>
  <c r="N58" i="2" s="1"/>
  <c r="O58" i="2" s="1"/>
  <c r="L60" i="2"/>
  <c r="M60" i="2" s="1"/>
  <c r="N60" i="2" s="1"/>
  <c r="O60" i="2" s="1"/>
  <c r="L30" i="2"/>
  <c r="M30" i="2" s="1"/>
  <c r="N30" i="2" s="1"/>
  <c r="O30" i="2" s="1"/>
  <c r="L34" i="1"/>
  <c r="M34" i="1" s="1"/>
  <c r="N34" i="1" s="1"/>
  <c r="K65" i="2"/>
  <c r="L65" i="2" s="1"/>
  <c r="M65" i="2" s="1"/>
  <c r="M44" i="2"/>
  <c r="N44" i="2" s="1"/>
  <c r="O44" i="2" s="1"/>
  <c r="K60" i="1"/>
  <c r="L60" i="1" s="1"/>
  <c r="M60" i="1" s="1"/>
  <c r="P46" i="4"/>
  <c r="L84" i="2"/>
  <c r="M84" i="2" s="1"/>
  <c r="N84" i="2" s="1"/>
  <c r="O84" i="2" s="1"/>
  <c r="K47" i="1"/>
  <c r="L47" i="1" s="1"/>
  <c r="M47" i="1" s="1"/>
  <c r="N47" i="1" s="1"/>
  <c r="O47" i="1" s="1"/>
  <c r="M61" i="6"/>
  <c r="N61" i="6" s="1"/>
  <c r="M12" i="6"/>
  <c r="N12" i="6" s="1"/>
  <c r="O12" i="6" s="1"/>
  <c r="P12" i="6" s="1"/>
  <c r="M4" i="6"/>
  <c r="N4" i="6" s="1"/>
  <c r="O4" i="6" s="1"/>
  <c r="P4" i="6" s="1"/>
  <c r="P21" i="5"/>
  <c r="M35" i="5"/>
  <c r="N35" i="5" s="1"/>
  <c r="M77" i="5"/>
  <c r="N77" i="5" s="1"/>
  <c r="N51" i="4"/>
  <c r="O51" i="4" s="1"/>
  <c r="P51" i="4" s="1"/>
  <c r="N83" i="4"/>
  <c r="O83" i="4" s="1"/>
  <c r="P83" i="4" s="1"/>
  <c r="N61" i="4"/>
  <c r="O61" i="4" s="1"/>
  <c r="P61" i="4" s="1"/>
  <c r="N86" i="4"/>
  <c r="O86" i="4" s="1"/>
  <c r="P86" i="4" s="1"/>
  <c r="M49" i="4"/>
  <c r="N49" i="4" s="1"/>
  <c r="N18" i="4"/>
  <c r="O18" i="4" s="1"/>
  <c r="P18" i="4" s="1"/>
  <c r="M40" i="4"/>
  <c r="N40" i="4" s="1"/>
  <c r="O40" i="4" s="1"/>
  <c r="P40" i="4" s="1"/>
  <c r="N96" i="4"/>
  <c r="O96" i="4" s="1"/>
  <c r="P96" i="4" s="1"/>
  <c r="N65" i="4"/>
  <c r="O65" i="4" s="1"/>
  <c r="P65" i="4" s="1"/>
  <c r="M30" i="4"/>
  <c r="N30" i="4" s="1"/>
  <c r="O30" i="4" s="1"/>
  <c r="P30" i="4" s="1"/>
  <c r="N45" i="4"/>
  <c r="O45" i="4" s="1"/>
  <c r="P45" i="4" s="1"/>
  <c r="L55" i="3"/>
  <c r="M55" i="3" s="1"/>
  <c r="M60" i="3"/>
  <c r="N60" i="3" s="1"/>
  <c r="O60" i="3" s="1"/>
  <c r="L19" i="3"/>
  <c r="M19" i="3" s="1"/>
  <c r="N19" i="3" s="1"/>
  <c r="O19" i="3" s="1"/>
  <c r="L11" i="3"/>
  <c r="M11" i="3" s="1"/>
  <c r="L96" i="3"/>
  <c r="M96" i="3" s="1"/>
  <c r="N96" i="3" s="1"/>
  <c r="L34" i="3"/>
  <c r="M34" i="3" s="1"/>
  <c r="N34" i="3" s="1"/>
  <c r="O34" i="3" s="1"/>
  <c r="L30" i="3"/>
  <c r="M30" i="3" s="1"/>
  <c r="L70" i="3"/>
  <c r="M70" i="3" s="1"/>
  <c r="M15" i="3"/>
  <c r="N15" i="3" s="1"/>
  <c r="M70" i="2"/>
  <c r="N70" i="2" s="1"/>
  <c r="O70" i="2" s="1"/>
  <c r="L27" i="2"/>
  <c r="M27" i="2" s="1"/>
  <c r="L28" i="2"/>
  <c r="M28" i="2" s="1"/>
  <c r="N28" i="2" s="1"/>
  <c r="O28" i="2" s="1"/>
  <c r="L86" i="2"/>
  <c r="M86" i="2" s="1"/>
  <c r="L21" i="2"/>
  <c r="M21" i="2" s="1"/>
  <c r="N21" i="2" s="1"/>
  <c r="O21" i="2" s="1"/>
  <c r="L49" i="2"/>
  <c r="M49" i="2" s="1"/>
  <c r="L96" i="2"/>
  <c r="M96" i="2" s="1"/>
  <c r="L13" i="2"/>
  <c r="M13" i="2" s="1"/>
  <c r="N13" i="2" s="1"/>
  <c r="O13" i="2" s="1"/>
  <c r="L92" i="2"/>
  <c r="M92" i="2" s="1"/>
  <c r="L79" i="2"/>
  <c r="M79" i="2" s="1"/>
  <c r="L58" i="1"/>
  <c r="L24" i="1"/>
  <c r="M24" i="1" s="1"/>
  <c r="N24" i="1" s="1"/>
  <c r="O24" i="1" s="1"/>
  <c r="L49" i="1"/>
  <c r="M49" i="1" s="1"/>
  <c r="N49" i="1" s="1"/>
  <c r="O49" i="1" s="1"/>
  <c r="L15" i="1"/>
  <c r="M15" i="1" s="1"/>
  <c r="N79" i="1"/>
  <c r="O79" i="1" s="1"/>
  <c r="L21" i="1"/>
  <c r="M21" i="1" s="1"/>
  <c r="N5" i="1"/>
  <c r="O5" i="1" s="1"/>
  <c r="L41" i="1"/>
  <c r="M41" i="1" s="1"/>
  <c r="N41" i="1" s="1"/>
  <c r="O41" i="1" s="1"/>
  <c r="L65" i="1"/>
  <c r="M65" i="1" s="1"/>
  <c r="N65" i="1" s="1"/>
  <c r="O65" i="1" s="1"/>
  <c r="L13" i="1"/>
  <c r="M13" i="1" s="1"/>
  <c r="N13" i="1" s="1"/>
  <c r="O13" i="1" s="1"/>
  <c r="L77" i="1"/>
  <c r="M77" i="1" s="1"/>
  <c r="N77" i="1" s="1"/>
  <c r="O77" i="1" s="1"/>
  <c r="L59" i="1"/>
  <c r="M59" i="1" s="1"/>
  <c r="N59" i="1" s="1"/>
  <c r="O59" i="1" s="1"/>
  <c r="L81" i="1"/>
  <c r="M81" i="1" s="1"/>
  <c r="N81" i="1" s="1"/>
  <c r="O81" i="1" s="1"/>
  <c r="M77" i="6"/>
  <c r="N77" i="6" s="1"/>
  <c r="M96" i="6"/>
  <c r="N96" i="6" s="1"/>
  <c r="M86" i="6"/>
  <c r="N86" i="6" s="1"/>
  <c r="M93" i="5"/>
  <c r="N93" i="5" s="1"/>
  <c r="M10" i="6"/>
  <c r="N10" i="6" s="1"/>
  <c r="O60" i="5"/>
  <c r="P60" i="5" s="1"/>
  <c r="M70" i="4"/>
  <c r="N70" i="4" s="1"/>
  <c r="M14" i="5"/>
  <c r="N14" i="5" s="1"/>
  <c r="O100" i="5"/>
  <c r="P100" i="5" s="1"/>
  <c r="O63" i="5"/>
  <c r="P63" i="5" s="1"/>
  <c r="M87" i="6"/>
  <c r="N87" i="6" s="1"/>
  <c r="M24" i="5"/>
  <c r="N24" i="5" s="1"/>
  <c r="O100" i="4"/>
  <c r="P100" i="4" s="1"/>
  <c r="O17" i="4"/>
  <c r="P17" i="4" s="1"/>
  <c r="O10" i="4"/>
  <c r="P10" i="4" s="1"/>
  <c r="M80" i="6"/>
  <c r="N80" i="6" s="1"/>
  <c r="M96" i="5"/>
  <c r="N96" i="5" s="1"/>
  <c r="M89" i="4"/>
  <c r="N89" i="4" s="1"/>
  <c r="O92" i="5"/>
  <c r="P92" i="5" s="1"/>
  <c r="M6" i="5"/>
  <c r="N6" i="5" s="1"/>
  <c r="O59" i="5"/>
  <c r="P59" i="5" s="1"/>
  <c r="O14" i="6"/>
  <c r="P14" i="6" s="1"/>
  <c r="O44" i="5"/>
  <c r="P44" i="5" s="1"/>
  <c r="M5" i="4"/>
  <c r="N5" i="4" s="1"/>
  <c r="O59" i="4"/>
  <c r="P59" i="4" s="1"/>
  <c r="O55" i="6"/>
  <c r="P55" i="6" s="1"/>
  <c r="O90" i="6"/>
  <c r="P90" i="6" s="1"/>
  <c r="O79" i="4"/>
  <c r="P79" i="4" s="1"/>
  <c r="O28" i="4"/>
  <c r="P28" i="4" s="1"/>
  <c r="O26" i="4"/>
  <c r="P26" i="4" s="1"/>
  <c r="M49" i="6"/>
  <c r="N49" i="6" s="1"/>
  <c r="M15" i="6"/>
  <c r="N15" i="6" s="1"/>
  <c r="M81" i="6"/>
  <c r="N81" i="6" s="1"/>
  <c r="M69" i="6"/>
  <c r="N69" i="6" s="1"/>
  <c r="O84" i="5"/>
  <c r="P84" i="5" s="1"/>
  <c r="O32" i="6"/>
  <c r="P32" i="6" s="1"/>
  <c r="M47" i="5"/>
  <c r="N47" i="5" s="1"/>
  <c r="M71" i="4"/>
  <c r="N71" i="4" s="1"/>
  <c r="O87" i="5"/>
  <c r="P87" i="5" s="1"/>
  <c r="M51" i="5"/>
  <c r="N51" i="5" s="1"/>
  <c r="O28" i="5"/>
  <c r="P28" i="5" s="1"/>
  <c r="M15" i="5"/>
  <c r="N15" i="5" s="1"/>
  <c r="O34" i="6"/>
  <c r="P34" i="6" s="1"/>
  <c r="O11" i="6"/>
  <c r="P11" i="6" s="1"/>
  <c r="M89" i="5"/>
  <c r="N89" i="5" s="1"/>
  <c r="M37" i="6"/>
  <c r="N37" i="6" s="1"/>
  <c r="M63" i="6"/>
  <c r="N63" i="6" s="1"/>
  <c r="M91" i="5"/>
  <c r="N91" i="5" s="1"/>
  <c r="M41" i="6"/>
  <c r="N41" i="6" s="1"/>
  <c r="M52" i="6"/>
  <c r="N52" i="6" s="1"/>
  <c r="M73" i="4"/>
  <c r="N73" i="4" s="1"/>
  <c r="M70" i="6"/>
  <c r="N70" i="6" s="1"/>
  <c r="O63" i="4"/>
  <c r="P63" i="4" s="1"/>
  <c r="M76" i="4"/>
  <c r="N76" i="4" s="1"/>
  <c r="O86" i="5"/>
  <c r="P86" i="5" s="1"/>
  <c r="M7" i="4"/>
  <c r="N7" i="4" s="1"/>
  <c r="M91" i="6"/>
  <c r="N91" i="6" s="1"/>
  <c r="M71" i="5"/>
  <c r="N71" i="5" s="1"/>
  <c r="M22" i="6"/>
  <c r="N22" i="6" s="1"/>
  <c r="M60" i="6"/>
  <c r="N60" i="6" s="1"/>
  <c r="M76" i="5"/>
  <c r="N76" i="5" s="1"/>
  <c r="M25" i="6"/>
  <c r="N25" i="6" s="1"/>
  <c r="M44" i="6"/>
  <c r="N44" i="6" s="1"/>
  <c r="O54" i="6"/>
  <c r="P54" i="6" s="1"/>
  <c r="M20" i="5"/>
  <c r="N20" i="5" s="1"/>
  <c r="O20" i="6"/>
  <c r="P20" i="6" s="1"/>
  <c r="M55" i="4"/>
  <c r="N55" i="4" s="1"/>
  <c r="O51" i="6"/>
  <c r="P51" i="6" s="1"/>
  <c r="O26" i="5"/>
  <c r="P26" i="5" s="1"/>
  <c r="M12" i="4"/>
  <c r="N12" i="4" s="1"/>
  <c r="O41" i="4"/>
  <c r="P41" i="4" s="1"/>
  <c r="M22" i="4"/>
  <c r="N22" i="4" s="1"/>
  <c r="O80" i="5"/>
  <c r="P80" i="5" s="1"/>
  <c r="O11" i="4"/>
  <c r="P11" i="4" s="1"/>
  <c r="M76" i="6"/>
  <c r="N76" i="6" s="1"/>
  <c r="M90" i="5"/>
  <c r="N90" i="5" s="1"/>
  <c r="M50" i="6"/>
  <c r="N50" i="6" s="1"/>
  <c r="M74" i="5"/>
  <c r="N74" i="5" s="1"/>
  <c r="M16" i="6"/>
  <c r="N16" i="6" s="1"/>
  <c r="M26" i="6"/>
  <c r="N26" i="6" s="1"/>
  <c r="M61" i="5"/>
  <c r="N61" i="5" s="1"/>
  <c r="M12" i="5"/>
  <c r="N12" i="5" s="1"/>
  <c r="M47" i="4"/>
  <c r="N47" i="4" s="1"/>
  <c r="M28" i="6"/>
  <c r="N28" i="6" s="1"/>
  <c r="M23" i="5"/>
  <c r="N23" i="5" s="1"/>
  <c r="M4" i="4"/>
  <c r="N4" i="4" s="1"/>
  <c r="M14" i="4"/>
  <c r="N14" i="4" s="1"/>
  <c r="O41" i="5"/>
  <c r="P41" i="5" s="1"/>
  <c r="M40" i="5"/>
  <c r="N40" i="5" s="1"/>
  <c r="O8" i="5"/>
  <c r="P8" i="5" s="1"/>
  <c r="O46" i="5"/>
  <c r="P46" i="5" s="1"/>
  <c r="O27" i="4"/>
  <c r="P27" i="4" s="1"/>
  <c r="O34" i="4"/>
  <c r="P34" i="4" s="1"/>
  <c r="M56" i="6"/>
  <c r="N56" i="6" s="1"/>
  <c r="M74" i="6"/>
  <c r="N74" i="6" s="1"/>
  <c r="M92" i="6"/>
  <c r="N92" i="6" s="1"/>
  <c r="M73" i="5"/>
  <c r="N73" i="5" s="1"/>
  <c r="M40" i="6"/>
  <c r="N40" i="6" s="1"/>
  <c r="M58" i="5"/>
  <c r="N58" i="5" s="1"/>
  <c r="M8" i="6"/>
  <c r="N8" i="6" s="1"/>
  <c r="M17" i="6"/>
  <c r="N17" i="6" s="1"/>
  <c r="O65" i="6"/>
  <c r="P65" i="6" s="1"/>
  <c r="O5" i="6"/>
  <c r="P5" i="6" s="1"/>
  <c r="M48" i="5"/>
  <c r="N48" i="5" s="1"/>
  <c r="M81" i="5"/>
  <c r="N81" i="5" s="1"/>
  <c r="O10" i="5"/>
  <c r="P10" i="5" s="1"/>
  <c r="M35" i="4"/>
  <c r="N35" i="4" s="1"/>
  <c r="O7" i="6"/>
  <c r="P7" i="6" s="1"/>
  <c r="M6" i="4"/>
  <c r="N6" i="4" s="1"/>
  <c r="M23" i="4"/>
  <c r="N23" i="4" s="1"/>
  <c r="O30" i="5"/>
  <c r="P30" i="5" s="1"/>
  <c r="O32" i="5"/>
  <c r="P32" i="5" s="1"/>
  <c r="O44" i="4"/>
  <c r="P44" i="4" s="1"/>
  <c r="O25" i="4"/>
  <c r="P25" i="4" s="1"/>
  <c r="M64" i="6"/>
  <c r="N64" i="6" s="1"/>
  <c r="M79" i="6"/>
  <c r="N79" i="6" s="1"/>
  <c r="M87" i="4"/>
  <c r="N87" i="4" s="1"/>
  <c r="M13" i="5"/>
  <c r="N13" i="5" s="1"/>
  <c r="M22" i="5"/>
  <c r="N22" i="5" s="1"/>
  <c r="O47" i="6"/>
  <c r="P47" i="6" s="1"/>
  <c r="M58" i="4"/>
  <c r="N58" i="4" s="1"/>
  <c r="M21" i="4"/>
  <c r="N21" i="4" s="1"/>
  <c r="O70" i="5"/>
  <c r="P70" i="5" s="1"/>
  <c r="O25" i="5"/>
  <c r="P25" i="5" s="1"/>
  <c r="M15" i="4"/>
  <c r="N15" i="4" s="1"/>
  <c r="O27" i="5"/>
  <c r="P27" i="5" s="1"/>
  <c r="O84" i="4"/>
  <c r="P84" i="4" s="1"/>
  <c r="O20" i="4"/>
  <c r="P20" i="4" s="1"/>
  <c r="M9" i="6"/>
  <c r="N9" i="6" s="1"/>
  <c r="M52" i="5"/>
  <c r="N52" i="5" s="1"/>
  <c r="M35" i="6"/>
  <c r="N35" i="6" s="1"/>
  <c r="O92" i="4"/>
  <c r="P92" i="4" s="1"/>
  <c r="M49" i="5"/>
  <c r="N49" i="5" s="1"/>
  <c r="O11" i="5"/>
  <c r="P11" i="5" s="1"/>
  <c r="O19" i="4"/>
  <c r="P19" i="4" s="1"/>
  <c r="O19" i="5"/>
  <c r="P19" i="5" s="1"/>
  <c r="M50" i="4"/>
  <c r="N50" i="4" s="1"/>
  <c r="M13" i="4"/>
  <c r="N13" i="4" s="1"/>
  <c r="O50" i="5"/>
  <c r="P50" i="5" s="1"/>
  <c r="M74" i="4"/>
  <c r="N74" i="4" s="1"/>
  <c r="O16" i="4"/>
  <c r="P16" i="4" s="1"/>
  <c r="O8" i="4"/>
  <c r="P8" i="4" s="1"/>
  <c r="M84" i="6"/>
  <c r="N84" i="6" s="1"/>
  <c r="M18" i="6"/>
  <c r="N18" i="6" s="1"/>
  <c r="M56" i="5"/>
  <c r="N56" i="5" s="1"/>
  <c r="M30" i="6"/>
  <c r="N30" i="6" s="1"/>
  <c r="M65" i="5"/>
  <c r="N65" i="5" s="1"/>
  <c r="O64" i="5"/>
  <c r="P64" i="5" s="1"/>
  <c r="M27" i="6"/>
  <c r="N27" i="6" s="1"/>
  <c r="M56" i="4"/>
  <c r="N56" i="4" s="1"/>
  <c r="M9" i="5"/>
  <c r="N9" i="5" s="1"/>
  <c r="O18" i="5"/>
  <c r="P18" i="5" s="1"/>
  <c r="O32" i="4"/>
  <c r="P32" i="4" s="1"/>
  <c r="M45" i="6"/>
  <c r="N45" i="6" s="1"/>
  <c r="O21" i="6"/>
  <c r="P21" i="6" s="1"/>
  <c r="M55" i="5"/>
  <c r="N55" i="5" s="1"/>
  <c r="M23" i="6"/>
  <c r="N23" i="6" s="1"/>
  <c r="M38" i="5"/>
  <c r="N38" i="5" s="1"/>
  <c r="M80" i="4"/>
  <c r="N80" i="4" s="1"/>
  <c r="O52" i="4"/>
  <c r="P52" i="4" s="1"/>
  <c r="M38" i="6"/>
  <c r="N38" i="6" s="1"/>
  <c r="O13" i="6"/>
  <c r="P13" i="6" s="1"/>
  <c r="M93" i="6"/>
  <c r="N93" i="6" s="1"/>
  <c r="O81" i="4"/>
  <c r="P81" i="4" s="1"/>
  <c r="M5" i="5"/>
  <c r="N5" i="5" s="1"/>
  <c r="M89" i="6"/>
  <c r="N89" i="6" s="1"/>
  <c r="M17" i="5"/>
  <c r="N17" i="5" s="1"/>
  <c r="O53" i="4"/>
  <c r="P53" i="4" s="1"/>
  <c r="M7" i="5"/>
  <c r="N7" i="5" s="1"/>
  <c r="M34" i="5"/>
  <c r="N34" i="5" s="1"/>
  <c r="O37" i="5"/>
  <c r="P37" i="5" s="1"/>
  <c r="M48" i="4"/>
  <c r="N48" i="4" s="1"/>
  <c r="M48" i="6"/>
  <c r="N48" i="6" s="1"/>
  <c r="M24" i="4"/>
  <c r="N24" i="4" s="1"/>
  <c r="M53" i="6"/>
  <c r="N53" i="6" s="1"/>
  <c r="M93" i="4"/>
  <c r="N93" i="4" s="1"/>
  <c r="M38" i="4"/>
  <c r="N38" i="4" s="1"/>
  <c r="M64" i="4"/>
  <c r="N64" i="4" s="1"/>
  <c r="M59" i="6"/>
  <c r="N59" i="6" s="1"/>
  <c r="M24" i="6"/>
  <c r="N24" i="6" s="1"/>
  <c r="M58" i="6"/>
  <c r="N58" i="6" s="1"/>
  <c r="M45" i="5"/>
  <c r="N45" i="5" s="1"/>
  <c r="M46" i="6"/>
  <c r="N46" i="6" s="1"/>
  <c r="M69" i="5"/>
  <c r="N69" i="5" s="1"/>
  <c r="O69" i="4"/>
  <c r="P69" i="4" s="1"/>
  <c r="M77" i="4"/>
  <c r="N77" i="4" s="1"/>
  <c r="O16" i="5"/>
  <c r="P16" i="5" s="1"/>
  <c r="O54" i="4"/>
  <c r="P54" i="4" s="1"/>
  <c r="O9" i="4"/>
  <c r="P9" i="4" s="1"/>
  <c r="O79" i="5"/>
  <c r="P79" i="5" s="1"/>
  <c r="M83" i="6"/>
  <c r="N83" i="6" s="1"/>
  <c r="O73" i="6"/>
  <c r="P73" i="6" s="1"/>
  <c r="O19" i="6"/>
  <c r="P19" i="6" s="1"/>
  <c r="M4" i="5"/>
  <c r="N4" i="5" s="1"/>
  <c r="M90" i="4"/>
  <c r="N90" i="4" s="1"/>
  <c r="M100" i="6"/>
  <c r="N100" i="6" s="1"/>
  <c r="M83" i="5"/>
  <c r="N83" i="5" s="1"/>
  <c r="O71" i="6"/>
  <c r="P71" i="6" s="1"/>
  <c r="M60" i="4"/>
  <c r="N60" i="4" s="1"/>
  <c r="M91" i="4"/>
  <c r="N91" i="4" s="1"/>
  <c r="N84" i="3"/>
  <c r="O84" i="3" s="1"/>
  <c r="N100" i="3"/>
  <c r="O100" i="3" s="1"/>
  <c r="L87" i="2"/>
  <c r="M87" i="2" s="1"/>
  <c r="L47" i="2"/>
  <c r="M47" i="2" s="1"/>
  <c r="L52" i="1"/>
  <c r="M52" i="1" s="1"/>
  <c r="L18" i="1"/>
  <c r="M18" i="1" s="1"/>
  <c r="N8" i="2"/>
  <c r="O8" i="2" s="1"/>
  <c r="N27" i="1"/>
  <c r="O27" i="1" s="1"/>
  <c r="N26" i="1"/>
  <c r="O26" i="1" s="1"/>
  <c r="N73" i="1"/>
  <c r="O73" i="1" s="1"/>
  <c r="M61" i="2"/>
  <c r="L84" i="1"/>
  <c r="M84" i="1" s="1"/>
  <c r="N17" i="1"/>
  <c r="O17" i="1" s="1"/>
  <c r="N37" i="2"/>
  <c r="O37" i="2" s="1"/>
  <c r="O30" i="1"/>
  <c r="N81" i="2"/>
  <c r="O81" i="2" s="1"/>
  <c r="L14" i="3"/>
  <c r="M14" i="3" s="1"/>
  <c r="M58" i="3"/>
  <c r="N46" i="2"/>
  <c r="O46" i="2" s="1"/>
  <c r="L44" i="1"/>
  <c r="M44" i="1" s="1"/>
  <c r="N56" i="1"/>
  <c r="O56" i="1" s="1"/>
  <c r="N59" i="2"/>
  <c r="O59" i="2" s="1"/>
  <c r="N89" i="1"/>
  <c r="O89" i="1" s="1"/>
  <c r="N7" i="2"/>
  <c r="O7" i="2" s="1"/>
  <c r="O16" i="1"/>
  <c r="N74" i="1"/>
  <c r="O74" i="1" s="1"/>
  <c r="N89" i="3"/>
  <c r="O89" i="3" s="1"/>
  <c r="L21" i="3"/>
  <c r="M21" i="3" s="1"/>
  <c r="N65" i="3"/>
  <c r="O65" i="3" s="1"/>
  <c r="N45" i="2"/>
  <c r="O45" i="2" s="1"/>
  <c r="N77" i="2"/>
  <c r="O77" i="2" s="1"/>
  <c r="L19" i="2"/>
  <c r="M19" i="2" s="1"/>
  <c r="N19" i="2" s="1"/>
  <c r="N17" i="2"/>
  <c r="O17" i="2" s="1"/>
  <c r="L35" i="2"/>
  <c r="M35" i="2" s="1"/>
  <c r="N17" i="3"/>
  <c r="O17" i="3" s="1"/>
  <c r="N40" i="3"/>
  <c r="O40" i="3" s="1"/>
  <c r="N40" i="2"/>
  <c r="O40" i="2" s="1"/>
  <c r="L10" i="1"/>
  <c r="M10" i="1" s="1"/>
  <c r="N90" i="2"/>
  <c r="O90" i="2" s="1"/>
  <c r="N22" i="2"/>
  <c r="O22" i="2" s="1"/>
  <c r="N28" i="1"/>
  <c r="O28" i="1" s="1"/>
  <c r="L24" i="3"/>
  <c r="M24" i="3" s="1"/>
  <c r="N83" i="2"/>
  <c r="O83" i="2" s="1"/>
  <c r="L56" i="3"/>
  <c r="M56" i="3" s="1"/>
  <c r="L71" i="1"/>
  <c r="M71" i="1" s="1"/>
  <c r="N71" i="3"/>
  <c r="O71" i="3" s="1"/>
  <c r="L11" i="2"/>
  <c r="M11" i="2" s="1"/>
  <c r="L20" i="2"/>
  <c r="M20" i="2" s="1"/>
  <c r="N9" i="2"/>
  <c r="O9" i="2" s="1"/>
  <c r="N48" i="1"/>
  <c r="O48" i="1" s="1"/>
  <c r="N4" i="1"/>
  <c r="O4" i="1" s="1"/>
  <c r="N56" i="2"/>
  <c r="O56" i="2" s="1"/>
  <c r="N14" i="2"/>
  <c r="O14" i="2" s="1"/>
  <c r="N7" i="3"/>
  <c r="O7" i="3" s="1"/>
  <c r="N55" i="1"/>
  <c r="O55" i="1" s="1"/>
  <c r="N61" i="1"/>
  <c r="O61" i="1" s="1"/>
  <c r="N80" i="1"/>
  <c r="O80" i="1" s="1"/>
  <c r="N19" i="1"/>
  <c r="O19" i="1" s="1"/>
  <c r="L79" i="3"/>
  <c r="M79" i="3" s="1"/>
  <c r="M4" i="2"/>
  <c r="N23" i="3"/>
  <c r="O23" i="3" s="1"/>
  <c r="L12" i="2"/>
  <c r="M12" i="2" s="1"/>
  <c r="N81" i="3"/>
  <c r="O81" i="3" s="1"/>
  <c r="N80" i="3"/>
  <c r="O80" i="3" s="1"/>
  <c r="L46" i="1"/>
  <c r="M46" i="1" s="1"/>
  <c r="L20" i="3"/>
  <c r="M20" i="3" s="1"/>
  <c r="L71" i="2"/>
  <c r="M71" i="2" s="1"/>
  <c r="N11" i="1"/>
  <c r="O11" i="1" s="1"/>
  <c r="N86" i="3"/>
  <c r="O86" i="3" s="1"/>
  <c r="M32" i="1"/>
  <c r="N8" i="3"/>
  <c r="O8" i="3" s="1"/>
  <c r="L63" i="3"/>
  <c r="M63" i="3" s="1"/>
  <c r="L69" i="1"/>
  <c r="M69" i="1" s="1"/>
  <c r="N20" i="1"/>
  <c r="O20" i="1" s="1"/>
  <c r="L93" i="3"/>
  <c r="M93" i="3" s="1"/>
  <c r="L12" i="3"/>
  <c r="M12" i="3" s="1"/>
  <c r="N74" i="2"/>
  <c r="O74" i="2" s="1"/>
  <c r="L86" i="1"/>
  <c r="M86" i="1" s="1"/>
  <c r="N64" i="3"/>
  <c r="O64" i="3" s="1"/>
  <c r="L22" i="3"/>
  <c r="M22" i="3" s="1"/>
  <c r="L9" i="3"/>
  <c r="M9" i="3" s="1"/>
  <c r="N76" i="1"/>
  <c r="O76" i="1" s="1"/>
  <c r="N35" i="1"/>
  <c r="O35" i="1" s="1"/>
  <c r="N18" i="2"/>
  <c r="O18" i="2" s="1"/>
  <c r="N7" i="1"/>
  <c r="O7" i="1" s="1"/>
  <c r="N83" i="1"/>
  <c r="O83" i="1" s="1"/>
  <c r="L89" i="2"/>
  <c r="M89" i="2" s="1"/>
  <c r="N41" i="2"/>
  <c r="O41" i="2" s="1"/>
  <c r="L5" i="2"/>
  <c r="M5" i="2" s="1"/>
  <c r="L64" i="1"/>
  <c r="M64" i="1" s="1"/>
  <c r="L13" i="3"/>
  <c r="M13" i="3" s="1"/>
  <c r="L93" i="2"/>
  <c r="M93" i="2" s="1"/>
  <c r="L91" i="2"/>
  <c r="M91" i="2" s="1"/>
  <c r="L63" i="1"/>
  <c r="M63" i="1" s="1"/>
  <c r="N23" i="1"/>
  <c r="O23" i="1" s="1"/>
  <c r="L6" i="3"/>
  <c r="M6" i="3" s="1"/>
  <c r="L27" i="3"/>
  <c r="M27" i="3" s="1"/>
  <c r="L4" i="3"/>
  <c r="M4" i="3" s="1"/>
  <c r="N87" i="3"/>
  <c r="O87" i="3" s="1"/>
  <c r="L92" i="1"/>
  <c r="M92" i="1" s="1"/>
  <c r="L10" i="3"/>
  <c r="M10" i="3" s="1"/>
  <c r="L91" i="3"/>
  <c r="M91" i="3" s="1"/>
  <c r="M59" i="3"/>
  <c r="N59" i="3" s="1"/>
  <c r="L76" i="3"/>
  <c r="M76" i="3" s="1"/>
  <c r="L96" i="1"/>
  <c r="M96" i="1" s="1"/>
  <c r="N38" i="2"/>
  <c r="O38" i="2" s="1"/>
  <c r="L80" i="2"/>
  <c r="M80" i="2" s="1"/>
  <c r="L74" i="3"/>
  <c r="M74" i="3" s="1"/>
  <c r="N26" i="2"/>
  <c r="O26" i="2" s="1"/>
  <c r="M34" i="2"/>
  <c r="N69" i="3"/>
  <c r="O69" i="3" s="1"/>
  <c r="L50" i="1"/>
  <c r="M50" i="1" s="1"/>
  <c r="N9" i="1"/>
  <c r="O9" i="1" s="1"/>
  <c r="N12" i="1"/>
  <c r="O12" i="1" s="1"/>
  <c r="L6" i="2"/>
  <c r="M6" i="2" s="1"/>
  <c r="N90" i="1"/>
  <c r="O90" i="1" s="1"/>
  <c r="N69" i="2"/>
  <c r="O69" i="2" s="1"/>
  <c r="N24" i="2"/>
  <c r="O24" i="2" s="1"/>
  <c r="N23" i="2"/>
  <c r="O23" i="2" s="1"/>
  <c r="L38" i="3"/>
  <c r="M38" i="3" s="1"/>
  <c r="L40" i="1"/>
  <c r="M40" i="1" s="1"/>
  <c r="N8" i="1"/>
  <c r="O8" i="1" s="1"/>
  <c r="N83" i="3"/>
  <c r="O83" i="3" s="1"/>
  <c r="N45" i="1"/>
  <c r="O45" i="1" s="1"/>
  <c r="L63" i="2"/>
  <c r="M63" i="2" s="1"/>
  <c r="L51" i="2"/>
  <c r="M51" i="2" s="1"/>
  <c r="L35" i="3"/>
  <c r="M35" i="3" s="1"/>
  <c r="L5" i="3"/>
  <c r="M5" i="3" s="1"/>
  <c r="M55" i="2"/>
  <c r="L41" i="3"/>
  <c r="M41" i="3" s="1"/>
  <c r="N32" i="2"/>
  <c r="O32" i="2" s="1"/>
  <c r="N15" i="2"/>
  <c r="O15" i="2" s="1"/>
  <c r="L28" i="3"/>
  <c r="M28" i="3" s="1"/>
  <c r="N52" i="2"/>
  <c r="O52" i="2" s="1"/>
  <c r="L38" i="1"/>
  <c r="M38" i="1" s="1"/>
  <c r="L76" i="2"/>
  <c r="M76" i="2" s="1"/>
  <c r="L77" i="3"/>
  <c r="M77" i="3" s="1"/>
  <c r="L64" i="2"/>
  <c r="M64" i="2" s="1"/>
  <c r="N16" i="2"/>
  <c r="O16" i="2" s="1"/>
  <c r="N73" i="2"/>
  <c r="O73" i="2" s="1"/>
  <c r="L48" i="2"/>
  <c r="M48" i="2" s="1"/>
  <c r="L22" i="1"/>
  <c r="M22" i="1" s="1"/>
  <c r="L50" i="2"/>
  <c r="M50" i="2" s="1"/>
  <c r="M32" i="3"/>
  <c r="L92" i="3"/>
  <c r="M92" i="3" s="1"/>
  <c r="N100" i="2"/>
  <c r="O100" i="2" s="1"/>
  <c r="N10" i="2"/>
  <c r="O10" i="2" s="1"/>
  <c r="L93" i="1"/>
  <c r="M93" i="1" s="1"/>
  <c r="L14" i="1"/>
  <c r="M14" i="1" s="1"/>
  <c r="N87" i="1"/>
  <c r="O87" i="1" s="1"/>
  <c r="N51" i="1"/>
  <c r="O51" i="1" s="1"/>
  <c r="L6" i="1"/>
  <c r="M6" i="1" s="1"/>
  <c r="N70" i="1"/>
  <c r="O70" i="1" s="1"/>
  <c r="M58" i="1" l="1"/>
  <c r="N58" i="1" s="1"/>
  <c r="O34" i="1"/>
  <c r="O15" i="3"/>
  <c r="O61" i="6"/>
  <c r="P61" i="6" s="1"/>
  <c r="O77" i="5"/>
  <c r="P77" i="5" s="1"/>
  <c r="O35" i="5"/>
  <c r="P35" i="5" s="1"/>
  <c r="O49" i="4"/>
  <c r="P49" i="4" s="1"/>
  <c r="N70" i="3"/>
  <c r="O70" i="3" s="1"/>
  <c r="N30" i="3"/>
  <c r="O30" i="3" s="1"/>
  <c r="N11" i="3"/>
  <c r="O11" i="3" s="1"/>
  <c r="N55" i="3"/>
  <c r="O55" i="3" s="1"/>
  <c r="O96" i="3"/>
  <c r="N96" i="2"/>
  <c r="O96" i="2" s="1"/>
  <c r="N49" i="2"/>
  <c r="O49" i="2" s="1"/>
  <c r="N79" i="2"/>
  <c r="O79" i="2" s="1"/>
  <c r="N27" i="2"/>
  <c r="O27" i="2" s="1"/>
  <c r="N86" i="2"/>
  <c r="O86" i="2" s="1"/>
  <c r="N92" i="2"/>
  <c r="O92" i="2" s="1"/>
  <c r="N21" i="1"/>
  <c r="O21" i="1" s="1"/>
  <c r="N15" i="1"/>
  <c r="O15" i="1" s="1"/>
  <c r="O46" i="6"/>
  <c r="P46" i="6" s="1"/>
  <c r="O79" i="6"/>
  <c r="P79" i="6" s="1"/>
  <c r="O69" i="6"/>
  <c r="P69" i="6" s="1"/>
  <c r="O64" i="6"/>
  <c r="P64" i="6" s="1"/>
  <c r="O26" i="6"/>
  <c r="P26" i="6" s="1"/>
  <c r="O55" i="4"/>
  <c r="P55" i="4" s="1"/>
  <c r="O81" i="6"/>
  <c r="P81" i="6" s="1"/>
  <c r="O90" i="4"/>
  <c r="P90" i="4" s="1"/>
  <c r="O93" i="4"/>
  <c r="P93" i="4" s="1"/>
  <c r="O38" i="5"/>
  <c r="P38" i="5" s="1"/>
  <c r="O9" i="5"/>
  <c r="P9" i="5" s="1"/>
  <c r="O65" i="5"/>
  <c r="P65" i="5" s="1"/>
  <c r="O8" i="6"/>
  <c r="P8" i="6" s="1"/>
  <c r="O56" i="6"/>
  <c r="P56" i="6" s="1"/>
  <c r="O14" i="4"/>
  <c r="P14" i="4" s="1"/>
  <c r="O16" i="6"/>
  <c r="P16" i="6" s="1"/>
  <c r="O15" i="6"/>
  <c r="P15" i="6" s="1"/>
  <c r="O10" i="6"/>
  <c r="P10" i="6" s="1"/>
  <c r="O48" i="4"/>
  <c r="P48" i="4" s="1"/>
  <c r="O60" i="6"/>
  <c r="P60" i="6" s="1"/>
  <c r="O60" i="4"/>
  <c r="P60" i="4" s="1"/>
  <c r="O83" i="6"/>
  <c r="P83" i="6" s="1"/>
  <c r="O58" i="6"/>
  <c r="P58" i="6" s="1"/>
  <c r="O53" i="6"/>
  <c r="P53" i="6" s="1"/>
  <c r="O23" i="6"/>
  <c r="P23" i="6" s="1"/>
  <c r="O74" i="4"/>
  <c r="P74" i="4" s="1"/>
  <c r="O15" i="4"/>
  <c r="P15" i="4" s="1"/>
  <c r="O58" i="5"/>
  <c r="P58" i="5" s="1"/>
  <c r="O4" i="4"/>
  <c r="P4" i="4" s="1"/>
  <c r="O74" i="5"/>
  <c r="P74" i="5" s="1"/>
  <c r="O22" i="4"/>
  <c r="P22" i="4" s="1"/>
  <c r="O20" i="5"/>
  <c r="P20" i="5" s="1"/>
  <c r="O71" i="5"/>
  <c r="P71" i="5" s="1"/>
  <c r="O70" i="6"/>
  <c r="P70" i="6" s="1"/>
  <c r="O89" i="5"/>
  <c r="P89" i="5" s="1"/>
  <c r="O24" i="5"/>
  <c r="P24" i="5" s="1"/>
  <c r="O93" i="5"/>
  <c r="P93" i="5" s="1"/>
  <c r="O91" i="4"/>
  <c r="P91" i="4" s="1"/>
  <c r="O27" i="6"/>
  <c r="P27" i="6" s="1"/>
  <c r="O61" i="5"/>
  <c r="P61" i="5" s="1"/>
  <c r="O76" i="4"/>
  <c r="P76" i="4" s="1"/>
  <c r="O70" i="4"/>
  <c r="P70" i="4" s="1"/>
  <c r="O38" i="4"/>
  <c r="P38" i="4" s="1"/>
  <c r="O6" i="5"/>
  <c r="P6" i="5" s="1"/>
  <c r="O24" i="6"/>
  <c r="P24" i="6" s="1"/>
  <c r="O34" i="5"/>
  <c r="P34" i="5" s="1"/>
  <c r="O93" i="6"/>
  <c r="P93" i="6" s="1"/>
  <c r="O55" i="5"/>
  <c r="P55" i="5" s="1"/>
  <c r="O22" i="5"/>
  <c r="P22" i="5" s="1"/>
  <c r="O81" i="5"/>
  <c r="P81" i="5" s="1"/>
  <c r="O40" i="6"/>
  <c r="P40" i="6" s="1"/>
  <c r="O23" i="5"/>
  <c r="P23" i="5" s="1"/>
  <c r="O50" i="6"/>
  <c r="P50" i="6" s="1"/>
  <c r="O73" i="4"/>
  <c r="P73" i="4" s="1"/>
  <c r="O87" i="6"/>
  <c r="P87" i="6" s="1"/>
  <c r="O86" i="6"/>
  <c r="P86" i="6" s="1"/>
  <c r="O100" i="6"/>
  <c r="P100" i="6" s="1"/>
  <c r="O80" i="4"/>
  <c r="P80" i="4" s="1"/>
  <c r="O17" i="6"/>
  <c r="P17" i="6" s="1"/>
  <c r="O7" i="5"/>
  <c r="P7" i="5" s="1"/>
  <c r="O56" i="5"/>
  <c r="P56" i="5" s="1"/>
  <c r="O52" i="5"/>
  <c r="P52" i="5" s="1"/>
  <c r="O48" i="5"/>
  <c r="P48" i="5" s="1"/>
  <c r="O28" i="6"/>
  <c r="P28" i="6" s="1"/>
  <c r="O12" i="4"/>
  <c r="P12" i="4" s="1"/>
  <c r="O44" i="6"/>
  <c r="P44" i="6" s="1"/>
  <c r="O52" i="6"/>
  <c r="P52" i="6" s="1"/>
  <c r="O47" i="5"/>
  <c r="P47" i="5" s="1"/>
  <c r="O96" i="6"/>
  <c r="P96" i="6" s="1"/>
  <c r="O76" i="6"/>
  <c r="P76" i="6" s="1"/>
  <c r="O50" i="4"/>
  <c r="P50" i="4" s="1"/>
  <c r="O48" i="6"/>
  <c r="P48" i="6" s="1"/>
  <c r="O89" i="6"/>
  <c r="P89" i="6" s="1"/>
  <c r="O38" i="6"/>
  <c r="P38" i="6" s="1"/>
  <c r="O45" i="6"/>
  <c r="P45" i="6" s="1"/>
  <c r="O18" i="6"/>
  <c r="P18" i="6" s="1"/>
  <c r="O9" i="6"/>
  <c r="P9" i="6" s="1"/>
  <c r="O23" i="4"/>
  <c r="P23" i="4" s="1"/>
  <c r="O47" i="4"/>
  <c r="P47" i="4" s="1"/>
  <c r="O25" i="6"/>
  <c r="P25" i="6" s="1"/>
  <c r="O7" i="4"/>
  <c r="P7" i="4" s="1"/>
  <c r="O41" i="6"/>
  <c r="P41" i="6" s="1"/>
  <c r="O15" i="5"/>
  <c r="P15" i="5" s="1"/>
  <c r="O96" i="5"/>
  <c r="P96" i="5" s="1"/>
  <c r="O40" i="5"/>
  <c r="P40" i="5" s="1"/>
  <c r="O63" i="6"/>
  <c r="P63" i="6" s="1"/>
  <c r="O58" i="4"/>
  <c r="P58" i="4" s="1"/>
  <c r="O74" i="6"/>
  <c r="P74" i="6" s="1"/>
  <c r="O69" i="5"/>
  <c r="P69" i="5" s="1"/>
  <c r="O84" i="6"/>
  <c r="P84" i="6" s="1"/>
  <c r="O87" i="4"/>
  <c r="P87" i="4" s="1"/>
  <c r="O6" i="4"/>
  <c r="P6" i="4" s="1"/>
  <c r="O12" i="5"/>
  <c r="P12" i="5" s="1"/>
  <c r="O76" i="5"/>
  <c r="P76" i="5" s="1"/>
  <c r="O91" i="5"/>
  <c r="P91" i="5" s="1"/>
  <c r="O80" i="6"/>
  <c r="P80" i="6" s="1"/>
  <c r="O14" i="5"/>
  <c r="P14" i="5" s="1"/>
  <c r="O5" i="4"/>
  <c r="P5" i="4" s="1"/>
  <c r="O13" i="4"/>
  <c r="P13" i="4" s="1"/>
  <c r="O35" i="4"/>
  <c r="P35" i="4" s="1"/>
  <c r="O51" i="5"/>
  <c r="P51" i="5" s="1"/>
  <c r="O49" i="6"/>
  <c r="P49" i="6" s="1"/>
  <c r="O49" i="5"/>
  <c r="P49" i="5" s="1"/>
  <c r="O21" i="4"/>
  <c r="P21" i="4" s="1"/>
  <c r="O59" i="6"/>
  <c r="P59" i="6" s="1"/>
  <c r="O5" i="5"/>
  <c r="P5" i="5" s="1"/>
  <c r="O73" i="5"/>
  <c r="P73" i="5" s="1"/>
  <c r="O37" i="6"/>
  <c r="P37" i="6" s="1"/>
  <c r="O71" i="4"/>
  <c r="P71" i="4" s="1"/>
  <c r="O89" i="4"/>
  <c r="P89" i="4" s="1"/>
  <c r="O92" i="6"/>
  <c r="P92" i="6" s="1"/>
  <c r="O90" i="5"/>
  <c r="P90" i="5" s="1"/>
  <c r="O77" i="6"/>
  <c r="P77" i="6" s="1"/>
  <c r="O13" i="5"/>
  <c r="P13" i="5" s="1"/>
  <c r="O22" i="6"/>
  <c r="P22" i="6" s="1"/>
  <c r="O83" i="5"/>
  <c r="P83" i="5" s="1"/>
  <c r="O4" i="5"/>
  <c r="P4" i="5" s="1"/>
  <c r="O77" i="4"/>
  <c r="P77" i="4" s="1"/>
  <c r="O45" i="5"/>
  <c r="P45" i="5" s="1"/>
  <c r="O64" i="4"/>
  <c r="P64" i="4" s="1"/>
  <c r="O24" i="4"/>
  <c r="P24" i="4" s="1"/>
  <c r="O17" i="5"/>
  <c r="P17" i="5" s="1"/>
  <c r="O56" i="4"/>
  <c r="P56" i="4" s="1"/>
  <c r="O30" i="6"/>
  <c r="P30" i="6" s="1"/>
  <c r="O35" i="6"/>
  <c r="P35" i="6" s="1"/>
  <c r="O91" i="6"/>
  <c r="P91" i="6" s="1"/>
  <c r="N71" i="2"/>
  <c r="O71" i="2" s="1"/>
  <c r="N35" i="3"/>
  <c r="O35" i="3" s="1"/>
  <c r="N63" i="1"/>
  <c r="O63" i="1" s="1"/>
  <c r="N55" i="2"/>
  <c r="O55" i="2" s="1"/>
  <c r="N5" i="3"/>
  <c r="O5" i="3" s="1"/>
  <c r="N76" i="2"/>
  <c r="O76" i="2" s="1"/>
  <c r="N51" i="2"/>
  <c r="O51" i="2" s="1"/>
  <c r="N60" i="1"/>
  <c r="O60" i="1" s="1"/>
  <c r="N27" i="3"/>
  <c r="O27" i="3" s="1"/>
  <c r="N13" i="3"/>
  <c r="O13" i="3" s="1"/>
  <c r="N32" i="1"/>
  <c r="O32" i="1" s="1"/>
  <c r="N6" i="2"/>
  <c r="O6" i="2" s="1"/>
  <c r="N74" i="3"/>
  <c r="O74" i="3" s="1"/>
  <c r="N71" i="1"/>
  <c r="O71" i="1" s="1"/>
  <c r="N47" i="2"/>
  <c r="O47" i="2" s="1"/>
  <c r="N48" i="2"/>
  <c r="O48" i="2" s="1"/>
  <c r="N14" i="1"/>
  <c r="O14" i="1" s="1"/>
  <c r="N93" i="3"/>
  <c r="O93" i="3" s="1"/>
  <c r="N56" i="3"/>
  <c r="O56" i="3" s="1"/>
  <c r="N35" i="2"/>
  <c r="O35" i="2" s="1"/>
  <c r="N58" i="3"/>
  <c r="O58" i="3" s="1"/>
  <c r="N87" i="2"/>
  <c r="O87" i="2" s="1"/>
  <c r="N63" i="2"/>
  <c r="O63" i="2" s="1"/>
  <c r="N5" i="2"/>
  <c r="O5" i="2" s="1"/>
  <c r="N21" i="3"/>
  <c r="O21" i="3" s="1"/>
  <c r="N14" i="3"/>
  <c r="O14" i="3" s="1"/>
  <c r="N28" i="3"/>
  <c r="O28" i="3" s="1"/>
  <c r="N10" i="3"/>
  <c r="O10" i="3" s="1"/>
  <c r="N34" i="2"/>
  <c r="O34" i="2" s="1"/>
  <c r="N91" i="2"/>
  <c r="O91" i="2" s="1"/>
  <c r="N69" i="1"/>
  <c r="O69" i="1" s="1"/>
  <c r="N79" i="3"/>
  <c r="O79" i="3" s="1"/>
  <c r="N20" i="2"/>
  <c r="O20" i="2" s="1"/>
  <c r="O19" i="2"/>
  <c r="N91" i="3"/>
  <c r="O91" i="3" s="1"/>
  <c r="N65" i="2"/>
  <c r="O65" i="2" s="1"/>
  <c r="N61" i="2"/>
  <c r="O61" i="2" s="1"/>
  <c r="N22" i="1"/>
  <c r="O22" i="1" s="1"/>
  <c r="N89" i="2"/>
  <c r="O89" i="2" s="1"/>
  <c r="N4" i="2"/>
  <c r="O4" i="2" s="1"/>
  <c r="N6" i="1"/>
  <c r="O6" i="1" s="1"/>
  <c r="N18" i="1"/>
  <c r="O18" i="1" s="1"/>
  <c r="N93" i="1"/>
  <c r="O93" i="1" s="1"/>
  <c r="N92" i="3"/>
  <c r="O92" i="3" s="1"/>
  <c r="O59" i="3"/>
  <c r="N32" i="3"/>
  <c r="O32" i="3" s="1"/>
  <c r="N40" i="1"/>
  <c r="O40" i="1" s="1"/>
  <c r="N84" i="1"/>
  <c r="O84" i="1" s="1"/>
  <c r="N77" i="3"/>
  <c r="O77" i="3" s="1"/>
  <c r="N64" i="1"/>
  <c r="O64" i="1" s="1"/>
  <c r="N96" i="1"/>
  <c r="O96" i="1" s="1"/>
  <c r="N86" i="1"/>
  <c r="O86" i="1" s="1"/>
  <c r="N50" i="2"/>
  <c r="O50" i="2" s="1"/>
  <c r="N64" i="2"/>
  <c r="O64" i="2" s="1"/>
  <c r="N38" i="1"/>
  <c r="O38" i="1" s="1"/>
  <c r="N38" i="3"/>
  <c r="O38" i="3" s="1"/>
  <c r="N50" i="1"/>
  <c r="O50" i="1" s="1"/>
  <c r="N6" i="3"/>
  <c r="O6" i="3" s="1"/>
  <c r="N93" i="2"/>
  <c r="O93" i="2" s="1"/>
  <c r="N9" i="3"/>
  <c r="O9" i="3" s="1"/>
  <c r="N20" i="3"/>
  <c r="O20" i="3" s="1"/>
  <c r="N12" i="2"/>
  <c r="O12" i="2" s="1"/>
  <c r="N11" i="2"/>
  <c r="O11" i="2" s="1"/>
  <c r="N41" i="3"/>
  <c r="O41" i="3" s="1"/>
  <c r="N44" i="1"/>
  <c r="O44" i="1" s="1"/>
  <c r="N52" i="1"/>
  <c r="O52" i="1" s="1"/>
  <c r="N80" i="2"/>
  <c r="O80" i="2" s="1"/>
  <c r="N76" i="3"/>
  <c r="O76" i="3" s="1"/>
  <c r="N92" i="1"/>
  <c r="O92" i="1" s="1"/>
  <c r="N4" i="3"/>
  <c r="O4" i="3" s="1"/>
  <c r="N22" i="3"/>
  <c r="O22" i="3" s="1"/>
  <c r="N12" i="3"/>
  <c r="O12" i="3" s="1"/>
  <c r="N63" i="3"/>
  <c r="O63" i="3" s="1"/>
  <c r="N46" i="1"/>
  <c r="O46" i="1" s="1"/>
  <c r="N24" i="3"/>
  <c r="O24" i="3" s="1"/>
  <c r="N10" i="1"/>
  <c r="O10" i="1" s="1"/>
  <c r="O58" i="1" l="1"/>
  <c r="Y6" i="2"/>
  <c r="S53" i="5"/>
  <c r="J53" i="5"/>
  <c r="Z108" i="2" l="1"/>
  <c r="Z91" i="2"/>
  <c r="Z90" i="2"/>
  <c r="J54" i="5"/>
  <c r="K54" i="5" s="1"/>
  <c r="L54" i="5" s="1"/>
  <c r="S54" i="5"/>
  <c r="K53" i="5"/>
  <c r="L53" i="5" s="1"/>
  <c r="M53" i="5" l="1"/>
  <c r="N53" i="5" s="1"/>
  <c r="M54" i="5"/>
  <c r="N54" i="5" s="1"/>
  <c r="O53" i="5" l="1"/>
  <c r="P53" i="5" s="1"/>
  <c r="O54" i="5"/>
  <c r="P54" i="5" s="1"/>
  <c r="H53" i="1" l="1"/>
  <c r="I53" i="1" l="1"/>
  <c r="J53" i="1" s="1"/>
  <c r="K53" i="1" s="1"/>
  <c r="P53" i="1"/>
  <c r="AN53" i="1"/>
  <c r="AG53" i="1"/>
  <c r="L53" i="1" l="1"/>
  <c r="M53" i="1" s="1"/>
  <c r="N53" i="1" l="1"/>
  <c r="O53" i="1" s="1"/>
  <c r="H54" i="1"/>
  <c r="AG54" i="1" l="1"/>
  <c r="P54" i="1"/>
  <c r="AN54" i="1"/>
  <c r="I54" i="1"/>
  <c r="J54" i="1" l="1"/>
  <c r="K54" i="1" s="1"/>
  <c r="L54" i="1" l="1"/>
  <c r="M54" i="1" s="1"/>
  <c r="N54" i="1" l="1"/>
  <c r="O54" i="1" s="1"/>
  <c r="H54" i="2"/>
  <c r="P54" i="2" s="1"/>
  <c r="H53" i="2"/>
  <c r="P53" i="2" s="1"/>
  <c r="AJ53" i="2" l="1"/>
  <c r="I54" i="2"/>
  <c r="J54" i="2" s="1"/>
  <c r="K54" i="2" s="1"/>
  <c r="AJ54" i="2"/>
  <c r="I53" i="2"/>
  <c r="H109" i="2" l="1"/>
  <c r="H108" i="2"/>
  <c r="L54" i="2"/>
  <c r="M54" i="2" s="1"/>
  <c r="J53" i="2"/>
  <c r="K53" i="2" s="1"/>
  <c r="I108" i="2" l="1"/>
  <c r="J108" i="2" s="1"/>
  <c r="K108" i="2" s="1"/>
  <c r="L108" i="2" s="1"/>
  <c r="M108" i="2" s="1"/>
  <c r="N108" i="2" s="1"/>
  <c r="O108" i="2" s="1"/>
  <c r="P108" i="2"/>
  <c r="I109" i="2"/>
  <c r="J109" i="2" s="1"/>
  <c r="K109" i="2" s="1"/>
  <c r="L109" i="2" s="1"/>
  <c r="M109" i="2" s="1"/>
  <c r="N109" i="2" s="1"/>
  <c r="O109" i="2" s="1"/>
  <c r="P109" i="2"/>
  <c r="L53" i="2"/>
  <c r="M53" i="2" s="1"/>
  <c r="N54" i="2"/>
  <c r="O54" i="2" s="1"/>
  <c r="N53" i="2" l="1"/>
  <c r="O53" i="2" s="1"/>
  <c r="H45" i="3"/>
  <c r="H53" i="3"/>
  <c r="H51" i="3"/>
  <c r="H49" i="3"/>
  <c r="H48" i="3"/>
  <c r="H54" i="3"/>
  <c r="H50" i="3"/>
  <c r="H47" i="3"/>
  <c r="H44" i="3"/>
  <c r="H52" i="3"/>
  <c r="H46" i="3"/>
  <c r="I44" i="3" l="1"/>
  <c r="P44" i="3"/>
  <c r="I52" i="3"/>
  <c r="P52" i="3"/>
  <c r="I46" i="3"/>
  <c r="J46" i="3" s="1"/>
  <c r="K46" i="3" s="1"/>
  <c r="P46" i="3"/>
  <c r="AH50" i="3"/>
  <c r="P50" i="3"/>
  <c r="I49" i="3"/>
  <c r="J49" i="3" s="1"/>
  <c r="K49" i="3" s="1"/>
  <c r="P49" i="3"/>
  <c r="I53" i="3"/>
  <c r="J53" i="3" s="1"/>
  <c r="K53" i="3" s="1"/>
  <c r="L53" i="3" s="1"/>
  <c r="M53" i="3" s="1"/>
  <c r="P53" i="3"/>
  <c r="I47" i="3"/>
  <c r="P47" i="3"/>
  <c r="I51" i="3"/>
  <c r="P51" i="3"/>
  <c r="AH54" i="3"/>
  <c r="P54" i="3"/>
  <c r="I48" i="3"/>
  <c r="J48" i="3" s="1"/>
  <c r="K48" i="3" s="1"/>
  <c r="P48" i="3"/>
  <c r="AH45" i="3"/>
  <c r="P45" i="3"/>
  <c r="AH52" i="3"/>
  <c r="AH47" i="3"/>
  <c r="AH44" i="3"/>
  <c r="AH49" i="3"/>
  <c r="AH51" i="3"/>
  <c r="AH48" i="3"/>
  <c r="AH53" i="3"/>
  <c r="I45" i="3"/>
  <c r="J52" i="3"/>
  <c r="K52" i="3" s="1"/>
  <c r="J44" i="3"/>
  <c r="K44" i="3" s="1"/>
  <c r="J47" i="3"/>
  <c r="K47" i="3" s="1"/>
  <c r="J51" i="3"/>
  <c r="K51" i="3" s="1"/>
  <c r="AH46" i="3"/>
  <c r="I50" i="3"/>
  <c r="I54" i="3"/>
  <c r="J45" i="3" l="1"/>
  <c r="K45" i="3" s="1"/>
  <c r="L45" i="3" s="1"/>
  <c r="M45" i="3" s="1"/>
  <c r="N45" i="3" s="1"/>
  <c r="O45" i="3" s="1"/>
  <c r="L49" i="3"/>
  <c r="M49" i="3" s="1"/>
  <c r="N53" i="3"/>
  <c r="O53" i="3" s="1"/>
  <c r="L48" i="3"/>
  <c r="M48" i="3" s="1"/>
  <c r="L47" i="3"/>
  <c r="M47" i="3" s="1"/>
  <c r="L52" i="3"/>
  <c r="M52" i="3" s="1"/>
  <c r="L44" i="3"/>
  <c r="M44" i="3" s="1"/>
  <c r="J50" i="3"/>
  <c r="K50" i="3" s="1"/>
  <c r="J54" i="3"/>
  <c r="K54" i="3" s="1"/>
  <c r="L46" i="3"/>
  <c r="M46" i="3" s="1"/>
  <c r="L51" i="3"/>
  <c r="M51" i="3" s="1"/>
  <c r="L54" i="3" l="1"/>
  <c r="M54" i="3" s="1"/>
  <c r="L50" i="3"/>
  <c r="M50" i="3" s="1"/>
  <c r="N52" i="3"/>
  <c r="O52" i="3" s="1"/>
  <c r="N48" i="3"/>
  <c r="O48" i="3" s="1"/>
  <c r="N47" i="3"/>
  <c r="O47" i="3" s="1"/>
  <c r="N46" i="3"/>
  <c r="O46" i="3" s="1"/>
  <c r="N49" i="3"/>
  <c r="O49" i="3" s="1"/>
  <c r="N51" i="3"/>
  <c r="O51" i="3" s="1"/>
  <c r="N44" i="3"/>
  <c r="O44" i="3" s="1"/>
  <c r="N50" i="3" l="1"/>
  <c r="O50" i="3" s="1"/>
  <c r="N54" i="3"/>
  <c r="O54" i="3" s="1"/>
  <c r="AH37" i="3"/>
  <c r="I37" i="3" l="1"/>
  <c r="J37" i="3" l="1"/>
  <c r="K37" i="3" s="1"/>
  <c r="L37" i="3" s="1"/>
  <c r="M37" i="3" l="1"/>
  <c r="N37" i="3" l="1"/>
  <c r="O37" i="3" s="1"/>
  <c r="H100" i="1"/>
  <c r="P100" i="1" l="1"/>
  <c r="AN100" i="1"/>
  <c r="Y91" i="1"/>
  <c r="Z100" i="1"/>
  <c r="AA100" i="1" s="1"/>
  <c r="AB100" i="1" s="1"/>
  <c r="I100" i="1"/>
  <c r="AG100" i="1"/>
  <c r="J100" i="1" l="1"/>
  <c r="K100" i="1" s="1"/>
  <c r="L100" i="1" l="1"/>
  <c r="M100" i="1" s="1"/>
  <c r="N100" i="1" l="1"/>
  <c r="O100" i="1" s="1"/>
  <c r="J37" i="4" l="1"/>
  <c r="K37" i="4" s="1"/>
  <c r="L37" i="4" s="1"/>
  <c r="M37" i="4" l="1"/>
  <c r="N37" i="4" s="1"/>
  <c r="O37" i="4" l="1"/>
  <c r="P37" i="4" s="1"/>
</calcChain>
</file>

<file path=xl/sharedStrings.xml><?xml version="1.0" encoding="utf-8"?>
<sst xmlns="http://schemas.openxmlformats.org/spreadsheetml/2006/main" count="869" uniqueCount="211">
  <si>
    <t>Código</t>
  </si>
  <si>
    <t>Descripción</t>
  </si>
  <si>
    <t>EAN</t>
  </si>
  <si>
    <t>Kg. x Caja</t>
  </si>
  <si>
    <t>Cant. X Caja</t>
  </si>
  <si>
    <t>Precio de Factura</t>
  </si>
  <si>
    <t>Precio Neto estuche en factura</t>
  </si>
  <si>
    <t>IVA</t>
  </si>
  <si>
    <t>Px Unitario IVA Inc</t>
  </si>
  <si>
    <t>M-up Dx</t>
  </si>
  <si>
    <t>Px Unitario Minorista</t>
  </si>
  <si>
    <t>M-up Minorista</t>
  </si>
  <si>
    <t xml:space="preserve">Px Unitario Público </t>
  </si>
  <si>
    <t>Enero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</si>
  <si>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</si>
  <si>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</si>
  <si>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</si>
  <si>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</si>
  <si>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</si>
  <si>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</si>
  <si>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</si>
  <si>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</si>
  <si>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</si>
  <si>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</si>
  <si>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>MEDALLON DOBLE BURGER 2X2</t>
  </si>
  <si>
    <t xml:space="preserve">HAMBURGUESA 30X250g CLASICA "XL" SWIFT </t>
  </si>
  <si>
    <r>
      <t xml:space="preserve">HAMBURGUESA 24X2X120g </t>
    </r>
    <r>
      <rPr>
        <b/>
        <sz val="9"/>
        <rFont val="Aptos Narrow"/>
        <family val="2"/>
        <scheme val="minor"/>
      </rPr>
      <t>CASERA</t>
    </r>
    <r>
      <rPr>
        <sz val="9"/>
        <rFont val="Aptos Narrow"/>
        <family val="2"/>
        <scheme val="minor"/>
      </rPr>
      <t xml:space="preserve"> SWIFT</t>
    </r>
  </si>
  <si>
    <t>HAMBURGUESA X-TREMA 36 x 185 grs</t>
  </si>
  <si>
    <t xml:space="preserve">HAMBURGUESAS 18X2X120g CLL BRA/ARG </t>
  </si>
  <si>
    <t>MEDALLON 42X112G LA BLANCA</t>
  </si>
  <si>
    <t>MEDALLON 12x4X69G LA BLANCA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</si>
  <si>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</si>
  <si>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</si>
  <si>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</si>
  <si>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</si>
  <si>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</si>
  <si>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</si>
  <si>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>HAMBURGUESA 36 X 185 GRS</t>
  </si>
  <si>
    <t>HAMBURGUESA 30x2x106 GRS</t>
  </si>
  <si>
    <t>SALCHICHAS 24X6 SWIFT</t>
  </si>
  <si>
    <t>SALCHICHAS 12X12 SWIFT</t>
  </si>
  <si>
    <t>SALCHICHAS SIN PIEL 24X6 "SWIFT KIDS" X 190 g</t>
  </si>
  <si>
    <t>SALCHICHAS  LARGAS  10 x 12  SWIFT  INSTITUCIONAL</t>
  </si>
  <si>
    <t>SALCHICHAS SIN PIEL "LA BLANCA"  24X6X190 Grs;</t>
  </si>
  <si>
    <t xml:space="preserve">SALCHICHAS LARGAS 10 x 12 x 870g  </t>
  </si>
  <si>
    <t>PATE DE FOIE 24X90G SWIFT</t>
  </si>
  <si>
    <t xml:space="preserve">PICADILLO DE CARNE 24X90G SWIFT 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</si>
  <si>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</si>
  <si>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</si>
  <si>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</si>
  <si>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</si>
  <si>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</si>
  <si>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</si>
  <si>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</si>
  <si>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</si>
  <si>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</si>
  <si>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>PICADILLO DE CARNE 24X90G LA BLANCA</t>
  </si>
  <si>
    <t>PATE DE FOIE 24X90G LA BLANCA</t>
  </si>
  <si>
    <t>PICADILLO DE CARNE 24X90G SAFRA</t>
  </si>
  <si>
    <t>PATE DE FOIE 24X90G SAFRA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</si>
  <si>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</si>
  <si>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</si>
  <si>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</si>
  <si>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</si>
  <si>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>BOCADITOS DE CARNE "SWIFT" - 12x380g</t>
  </si>
  <si>
    <t>BOCADITOS DE POLLO "SWIFT" - 12x380g</t>
  </si>
  <si>
    <t>BOCADITOS DE POLLO "SWIFT" - 10x760g</t>
  </si>
  <si>
    <t>BOCADITOS DE POLLO GASTRONOMICOS "LA BLANCA" - x6kg</t>
  </si>
  <si>
    <t>PALITO DE POLLO "SWIFT"  12 X 260 Grs.</t>
  </si>
  <si>
    <t>PALITO DE POLLO "SWIFT"  8 X 1 Kg..</t>
  </si>
  <si>
    <t>MEDALLONES DE POLLO "SWIFT" - 12x4x80g</t>
  </si>
  <si>
    <t>MEDALLONES DE POLLO GASTRONÓMICO  8x12x80 Grs.</t>
  </si>
  <si>
    <t>PAPAS PREFRITAS SUPERCONGELADAS 25x400gr</t>
  </si>
  <si>
    <t>PAPAS PREFRITAS SUPERCONGELADAS 6x2000gr</t>
  </si>
  <si>
    <t>MILANESA DE CARNE VACUNA CONGELADA 24un x 500grs</t>
  </si>
  <si>
    <t>MILANESA DE CARNE VACUNA CONGELADA 12un x 1000grs</t>
  </si>
  <si>
    <t xml:space="preserve">MILANESAS DE CARNE VACUNA CONG GRANEL 5 kg </t>
  </si>
  <si>
    <t>GRASA VACUNA REFINADA SWIFT 10 X 500</t>
  </si>
  <si>
    <t>GRASA VACUNA REFINADA SWIFT 12x1Kg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</si>
  <si>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</si>
  <si>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</si>
  <si>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</si>
  <si>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</si>
  <si>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</si>
  <si>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</si>
  <si>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</si>
  <si>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CHORIZOS FRESCOS DE CERDO LIBRE DE GLUTEN</t>
  </si>
  <si>
    <t>PAPAS PRE COCIDAS SUPERCONGELADAS LIBRES DE GLUTEN 700G</t>
  </si>
  <si>
    <t>Precio de Lista</t>
  </si>
  <si>
    <t>MILANESAS DE CARNE VACUNA CONG GRANEL 5 kg (CAL GR)</t>
  </si>
  <si>
    <t>Dcto</t>
  </si>
  <si>
    <t>PATY VIENA</t>
  </si>
  <si>
    <t>VIENISSIMA</t>
  </si>
  <si>
    <t>PALADINI</t>
  </si>
  <si>
    <t>ICB</t>
  </si>
  <si>
    <t>PANCHIN</t>
  </si>
  <si>
    <t>PATY FUN</t>
  </si>
  <si>
    <t>JET FOOD</t>
  </si>
  <si>
    <t>la negra</t>
  </si>
  <si>
    <t>changuito</t>
  </si>
  <si>
    <t>Precio de factura</t>
  </si>
  <si>
    <t>dcto</t>
  </si>
  <si>
    <t>%</t>
  </si>
  <si>
    <t>NUGGETS DE ESPINACA 300GR</t>
  </si>
  <si>
    <t>NUGGETS DE BRÓCOLI 300GR</t>
  </si>
  <si>
    <t>MEDALLÓN DE CALABAZA Y CHOCLO 300GR</t>
  </si>
  <si>
    <t>MEDALLÓN DE ESPINACA 300GR</t>
  </si>
  <si>
    <t>VAR %</t>
  </si>
  <si>
    <t>Var %</t>
  </si>
  <si>
    <t>CONDICIÓN</t>
  </si>
  <si>
    <t>ACCIÓN VIA NC: COMBO CLASICA 2 X 80 + CHORIZOS</t>
  </si>
  <si>
    <t>Con la compra de 1 caja de 21632 + 2 unidades de Chorizos --&gt; 10% de dcto en ambos SKU</t>
  </si>
  <si>
    <t>VER CUPOS</t>
  </si>
  <si>
    <t>DCTO (%)</t>
  </si>
  <si>
    <t>Px ACCIÓN CAJA ($)</t>
  </si>
  <si>
    <t>Px Acción estuche ($)</t>
  </si>
  <si>
    <t>Px oferta (%)</t>
  </si>
  <si>
    <t>CUPO (Cajas)</t>
  </si>
  <si>
    <t>PX ABR</t>
  </si>
  <si>
    <t>PX ABRIL</t>
  </si>
  <si>
    <t>Con la compra de 1 caja de 21632 + 7 unidades de PAPAS --&gt; 10% de dcto en ambos SKU</t>
  </si>
  <si>
    <t>Con la compra de 1 caja de 21632 + 1 unidades de cada veggie --&gt; 10% de dcto en 21632 Y 15% de dcto en veggies</t>
  </si>
  <si>
    <t>CRUNCHIES DE POLLO "SWIFT" - 12x380g</t>
  </si>
  <si>
    <t>BOCADITOS DE POLLO "SWIFT KIDS" - 12x400g</t>
  </si>
  <si>
    <t>MILANESITAS DE CARNE "SWIFT" - 12x400g</t>
  </si>
  <si>
    <t>PX MAYO</t>
  </si>
  <si>
    <t xml:space="preserve">MC CAIN </t>
  </si>
  <si>
    <t>SIMPLOT</t>
  </si>
  <si>
    <t>PALA</t>
  </si>
  <si>
    <t>MC CAIN</t>
  </si>
  <si>
    <t>CRUNCHIES DE POLLO "SWIFT" - 10x760g</t>
  </si>
  <si>
    <t>LUCHETTI</t>
  </si>
  <si>
    <t>NUTRITE</t>
  </si>
  <si>
    <t>FRIAR</t>
  </si>
  <si>
    <t>patitas</t>
  </si>
  <si>
    <t>SEPT</t>
  </si>
  <si>
    <t>PX 22058</t>
  </si>
  <si>
    <t>SKU</t>
  </si>
  <si>
    <t>Px</t>
  </si>
  <si>
    <t>Px oferta</t>
  </si>
  <si>
    <t>Volumen</t>
  </si>
  <si>
    <t>4 pallets</t>
  </si>
  <si>
    <t>2 pallets</t>
  </si>
  <si>
    <t>50 cajas</t>
  </si>
  <si>
    <t>Obs</t>
  </si>
  <si>
    <t>Dcto a precio en factura</t>
  </si>
  <si>
    <t>Dcto via NC</t>
  </si>
  <si>
    <t>Px público</t>
  </si>
  <si>
    <t>Para competir con Grangys</t>
  </si>
  <si>
    <t>SEP</t>
  </si>
  <si>
    <t>Picadillo de Carne Picante Chile Chipotle 24x90 g</t>
  </si>
  <si>
    <t>Pate de Foie Jalapeño 24x90 Swift</t>
  </si>
  <si>
    <t>BONDIOLA DE CERDO CONGELADA</t>
  </si>
  <si>
    <t>fela</t>
  </si>
  <si>
    <t>OCT</t>
  </si>
  <si>
    <t>PATITAS</t>
  </si>
  <si>
    <t>850 NUTRITE</t>
  </si>
  <si>
    <t>MISMO PX MES ANT</t>
  </si>
  <si>
    <t>MANTENEMOS PX</t>
  </si>
  <si>
    <t>MANTENMOS PX</t>
  </si>
  <si>
    <t>CHORIZOS FRESCOS DE CERDO CONGELADOS LIBRE DE GLUTEN 12u x 400g</t>
  </si>
  <si>
    <t>NOV</t>
  </si>
  <si>
    <t>OFERTA Compra 10 FLOW + 1 de regalo</t>
  </si>
  <si>
    <t>Conveniencia vs 22085: Oferta $3.500</t>
  </si>
  <si>
    <t>Ver posicionamiento por verba según necesidad de la zona</t>
  </si>
  <si>
    <t>LOMO DE ATUN AL NATURAL SWIFT 170g</t>
  </si>
  <si>
    <t>LOMO DE ATUN EN ACEITE SWIFT 170g</t>
  </si>
  <si>
    <t>Oferta incluida en lista: $1.890</t>
  </si>
  <si>
    <t>Px LISTA: $2.500 + además compra 9 estuches + 2 de regalo ----&gt; OFERTA $1.875 Público</t>
  </si>
  <si>
    <t>CHORIZOS CONGELADOS DE CERDO LIBRE DE GLUTEN SWIFT GRANEL</t>
  </si>
  <si>
    <t>Papas Prefritas Supercongeladas libres de gluten 7u x 2 kg</t>
  </si>
  <si>
    <t/>
  </si>
  <si>
    <t>Compra 11 estuches + 1 de regalo ----&gt; OFERTA $2.100 público</t>
  </si>
  <si>
    <t>Conveniencia vs 22085: Oferta $3.990</t>
  </si>
  <si>
    <t>Oferta incluida en lista: $1.700</t>
  </si>
  <si>
    <t>Oferta neteada en lista $3.950</t>
  </si>
  <si>
    <t>Oferta neteada en lista $2.999</t>
  </si>
  <si>
    <t>Oferta a px en factura neteada en lista, para $2.830 público</t>
  </si>
  <si>
    <t>Oferta a px en factura neteada en lista, para $5.570 público</t>
  </si>
  <si>
    <t>Contra 10 estuches + 1 de regalo</t>
  </si>
  <si>
    <t>compra 10 estuches + 2 de regalo ----&gt; OFERTA $2.050 público</t>
  </si>
  <si>
    <t>Conveniencia vs 22085: Oferta $3.899</t>
  </si>
  <si>
    <t>Oferta neteada en lista $2.900</t>
  </si>
  <si>
    <t>Oferta neteada en lista $3.900</t>
  </si>
  <si>
    <t>OFERTA compra 7 bolsas , recibe 8.</t>
  </si>
  <si>
    <t>Oferta a px en factura para $4.600 público</t>
  </si>
  <si>
    <t>Oferta a px en factura neteada en lista, para $2.780 público</t>
  </si>
  <si>
    <t>Oferta a px en factura neteada en lista, para $5.470 público</t>
  </si>
  <si>
    <t>1 paq. Gratis x cj ---&gt; OFERTA $13.000. DCTO VÍA NC POR OBJETIVO DE 1 PALLET. SI LO COMPRA EN UN PEDIDO PUEDE IR A PRECIO</t>
  </si>
  <si>
    <t>1 paq. Gratis x cj ---&gt; OFERTA $12.500. DCTO VÍA NC POR OBJETIVO DE 1 PALLET. SI LO COMPRA EN UN PEDIDO PUEDE IR A PRECIO</t>
  </si>
  <si>
    <t>CHORIZOS CONGELADOS DE CERDO LIBRE DE GLUTEN SWIFT GRANEL: 8 paq x 20 u (2kg por paq)</t>
  </si>
  <si>
    <t>OFERTAS Y ACCIONES</t>
  </si>
  <si>
    <t>COMPRA 19 ESTUCHES + 2 DE REGALO</t>
  </si>
  <si>
    <t>Oferta a $4.700</t>
  </si>
  <si>
    <t>Oferta a px en factura para $4.700 público</t>
  </si>
  <si>
    <t>Oferta a px en factura para $4.100 público</t>
  </si>
  <si>
    <t>Precio oferta</t>
  </si>
  <si>
    <t>7% dcto para oferta  $2.900: +15% vs Friar ($2.600)  -15% vs Paty ($3.500)</t>
  </si>
  <si>
    <t>Oferta neteada en lista: $2.100 para activar estrategia Sandwich vs Friar 2x80 a $2600----&gt; $2.100 con Mega y $2.900 con Clásica</t>
  </si>
  <si>
    <t>Dcto a px en factura para oferta $980 vs $1.100 Friar</t>
  </si>
  <si>
    <t>Oferta: compra 10 estuches + 2 de regalo ----&gt; OFERTA $2.050 público</t>
  </si>
  <si>
    <t>OFERTA INCORPORACION Compra 4 bolsa + 2 de regalo: 33% de dcto vía NC por cumplimiento mínimo de volumen. Si va en un solo pedido, pueder ir a px en factura. Objetivo informado en avance (por cliente, por sku)</t>
  </si>
  <si>
    <t>Dinámica 2+1. Compra 2, recibe 3 ----&gt; oferta $4.240 (para distribuidores, vía NC,  por cumplimiento de objetivo. Si compra en un solo pedido puede ir a px factura. Objetivo informado en avance por cliente, por sku)</t>
  </si>
  <si>
    <t>Dinámica 2+1. Compra 2, recibe 3 ----&gt; oferta $20.140 los 20 chori (2kg aprox) (para distribuidores, vía NC,  por cumplimiento de objetivo. Si compra en un solo pedido puede ir a px factura. Objetivo informado en avance por cliente, por sku)</t>
  </si>
  <si>
    <t>Oferta a px en factura para $3.960 público</t>
  </si>
  <si>
    <t>Conveniencia vs 22085: Oferta $3.700</t>
  </si>
  <si>
    <t>Oferta incluida en lista: $1.680 público</t>
  </si>
  <si>
    <t>Dcto por posicionamiento para oferta a $3.999</t>
  </si>
  <si>
    <t>Oferta neteada en lista $2.850</t>
  </si>
  <si>
    <t>Oferta incorporación 3x2</t>
  </si>
  <si>
    <t>5,67% de dcto adicional vía Flex. Para oferta $2.900 (Mup 33% dx , 42.5% min). VER CUPOS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</si>
</sst>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,##0.00_ ;[Red]\-#,##0.00\ "/>
    <numFmt numFmtId="165" formatCode="#,##0_ ;[Red]\-#,##0\ "/>
    <numFmt numFmtId="166" formatCode="#,##0.0_ ;[Red]\-#,##0.0\ "/>
    <numFmt numFmtId="167" formatCode="0.0%"/>
    <numFmt numFmtId="168" formatCode="0.000"/>
    <numFmt numFmtId="169" formatCode="_-&quot;$&quot;\ * #,##0.0_-;\-&quot;$&quot;\ * #,##0.0_-;_-&quot;$&quot;\ * &quot;-&quot;??_-;_-@_-"/>
    <numFmt numFmtId="170" formatCode="0.000%"/>
    <numFmt numFmtId="171" formatCode="_-&quot;$&quot;\ * #,##0_-;\-&quot;$&quot;\ * #,##0_-;_-&quot;$&quot;\ * &quot;-&quot;??_-;_-@_-"/>
    <numFmt numFmtId="172" formatCode="0.0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2"/>
      <color rgb="FF002060"/>
      <name val="Times New Roman"/>
      <family val="1"/>
    </font>
    <font>
      <sz val="12"/>
      <color theme="1"/>
      <name val="Aptos"/>
      <family val="2"/>
    </font>
    <font>
      <b/>
      <sz val="9"/>
      <color indexed="1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medium">
        <color indexed="64"/>
      </top>
      <bottom style="thin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6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5" applyNumberFormat="0" applyFill="0" applyAlignment="0" applyProtection="0"/>
    <xf numFmtId="0" fontId="16" fillId="0" borderId="26" applyNumberFormat="0" applyFill="0" applyAlignment="0" applyProtection="0"/>
    <xf numFmtId="0" fontId="17" fillId="0" borderId="27" applyNumberFormat="0" applyFill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28" applyNumberFormat="0" applyAlignment="0" applyProtection="0"/>
    <xf numFmtId="0" fontId="22" fillId="13" borderId="29" applyNumberFormat="0" applyAlignment="0" applyProtection="0"/>
    <xf numFmtId="0" fontId="23" fillId="13" borderId="28" applyNumberFormat="0" applyAlignment="0" applyProtection="0"/>
    <xf numFmtId="0" fontId="24" fillId="0" borderId="30" applyNumberFormat="0" applyFill="0" applyAlignment="0" applyProtection="0"/>
    <xf numFmtId="0" fontId="25" fillId="14" borderId="31" applyNumberFormat="0" applyAlignment="0" applyProtection="0"/>
    <xf numFmtId="0" fontId="26" fillId="0" borderId="0" applyNumberFormat="0" applyFill="0" applyBorder="0" applyAlignment="0" applyProtection="0"/>
    <xf numFmtId="0" fontId="1" fillId="15" borderId="32" applyNumberFormat="0" applyFont="0" applyAlignment="0" applyProtection="0"/>
    <xf numFmtId="0" fontId="27" fillId="0" borderId="0" applyNumberFormat="0" applyFill="0" applyBorder="0" applyAlignment="0" applyProtection="0"/>
    <xf numFmtId="0" fontId="12" fillId="0" borderId="33" applyNumberFormat="0" applyFill="0" applyAlignment="0" applyProtection="0"/>
    <xf numFmtId="0" fontId="28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8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8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8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8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8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1">
    <xf numFmtId="0" fontId="0" fillId="0" borderId="0" xfId="0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  <xf numFmtId="0" fontId="4" fillId="2" borderId="1" xfId="2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distributed"/>
    </xf>
    <xf numFmtId="2" fontId="4" fillId="2" borderId="2" xfId="2" applyNumberFormat="1" applyFont="1" applyFill="1" applyBorder="1" applyAlignment="1">
      <alignment horizontal="center" vertical="distributed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14" fontId="4" fillId="3" borderId="3" xfId="2" applyNumberFormat="1" applyFont="1" applyFill="1" applyBorder="1" applyAlignment="1">
      <alignment horizontal="center" vertical="center" wrapText="1"/>
    </xf>
    <xf numFmtId="0" fontId="5" fillId="4" borderId="4" xfId="2" applyFont="1" applyFill="1" applyBorder="1" applyAlignment="1" applyProtection="1">
      <alignment horizontal="center" vertical="center"/>
      <protection hidden="1"/>
    </xf>
    <xf numFmtId="0" fontId="5" fillId="4" borderId="5" xfId="2" applyFont="1" applyFill="1" applyBorder="1" applyAlignment="1" applyProtection="1">
      <alignment vertical="center"/>
      <protection hidden="1"/>
    </xf>
    <xf numFmtId="0" fontId="5" fillId="4" borderId="5" xfId="2" applyFont="1" applyFill="1" applyBorder="1" applyAlignment="1" applyProtection="1">
      <alignment horizontal="center" vertical="center"/>
      <protection hidden="1"/>
    </xf>
    <xf numFmtId="2" fontId="5" fillId="4" borderId="5" xfId="2" applyNumberFormat="1" applyFont="1" applyFill="1" applyBorder="1" applyAlignment="1" applyProtection="1">
      <alignment vertical="center"/>
      <protection hidden="1"/>
    </xf>
    <xf numFmtId="0" fontId="2" fillId="5" borderId="5" xfId="0" applyFont="1" applyFill="1" applyBorder="1"/>
    <xf numFmtId="9" fontId="2" fillId="5" borderId="5" xfId="0" applyNumberFormat="1" applyFont="1" applyFill="1" applyBorder="1"/>
    <xf numFmtId="1" fontId="2" fillId="5" borderId="6" xfId="0" applyNumberFormat="1" applyFont="1" applyFill="1" applyBorder="1"/>
    <xf numFmtId="0" fontId="6" fillId="0" borderId="7" xfId="3" applyFont="1" applyBorder="1" applyAlignment="1">
      <alignment horizontal="center"/>
    </xf>
    <xf numFmtId="0" fontId="6" fillId="0" borderId="8" xfId="3" applyFont="1" applyBorder="1"/>
    <xf numFmtId="1" fontId="6" fillId="0" borderId="8" xfId="2" applyNumberFormat="1" applyFont="1" applyBorder="1" applyAlignment="1">
      <alignment horizontal="center"/>
    </xf>
    <xf numFmtId="164" fontId="5" fillId="0" borderId="8" xfId="2" applyNumberFormat="1" applyFont="1" applyBorder="1" applyAlignment="1">
      <alignment horizontal="center"/>
    </xf>
    <xf numFmtId="165" fontId="5" fillId="0" borderId="8" xfId="2" applyNumberFormat="1" applyFont="1" applyBorder="1" applyAlignment="1">
      <alignment horizontal="center"/>
    </xf>
    <xf numFmtId="2" fontId="6" fillId="0" borderId="8" xfId="2" applyNumberFormat="1" applyFont="1" applyBorder="1" applyAlignment="1">
      <alignment horizontal="center"/>
    </xf>
    <xf numFmtId="1" fontId="6" fillId="0" borderId="9" xfId="2" applyNumberFormat="1" applyFont="1" applyBorder="1" applyAlignment="1">
      <alignment horizontal="center"/>
    </xf>
    <xf numFmtId="0" fontId="6" fillId="0" borderId="7" xfId="3" applyFont="1" applyFill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8" xfId="2" applyFont="1" applyBorder="1" applyAlignment="1">
      <alignment horizontal="left"/>
    </xf>
    <xf numFmtId="2" fontId="6" fillId="6" borderId="8" xfId="2" applyNumberFormat="1" applyFont="1" applyFill="1" applyBorder="1" applyAlignment="1">
      <alignment horizontal="center"/>
    </xf>
    <xf numFmtId="0" fontId="6" fillId="0" borderId="8" xfId="3" applyFont="1" applyFill="1" applyBorder="1"/>
    <xf numFmtId="1" fontId="6" fillId="0" borderId="8" xfId="3" applyNumberFormat="1" applyFont="1" applyFill="1" applyBorder="1" applyAlignment="1">
      <alignment horizontal="center"/>
    </xf>
    <xf numFmtId="0" fontId="5" fillId="4" borderId="7" xfId="2" applyFont="1" applyFill="1" applyBorder="1" applyAlignment="1" applyProtection="1">
      <alignment horizontal="center" vertical="center"/>
      <protection hidden="1"/>
    </xf>
    <xf numFmtId="0" fontId="5" fillId="4" borderId="8" xfId="2" applyFont="1" applyFill="1" applyBorder="1" applyAlignment="1" applyProtection="1">
      <alignment vertical="center"/>
      <protection hidden="1"/>
    </xf>
    <xf numFmtId="0" fontId="5" fillId="4" borderId="8" xfId="2" applyFont="1" applyFill="1" applyBorder="1" applyAlignment="1" applyProtection="1">
      <alignment horizontal="center" vertical="center"/>
      <protection hidden="1"/>
    </xf>
    <xf numFmtId="165" fontId="5" fillId="4" borderId="8" xfId="2" applyNumberFormat="1" applyFont="1" applyFill="1" applyBorder="1" applyAlignment="1" applyProtection="1">
      <alignment vertical="center"/>
      <protection hidden="1"/>
    </xf>
    <xf numFmtId="2" fontId="6" fillId="4" borderId="8" xfId="2" applyNumberFormat="1" applyFont="1" applyFill="1" applyBorder="1" applyAlignment="1" applyProtection="1">
      <alignment vertical="center"/>
      <protection hidden="1"/>
    </xf>
    <xf numFmtId="0" fontId="2" fillId="5" borderId="8" xfId="0" applyFont="1" applyFill="1" applyBorder="1"/>
    <xf numFmtId="9" fontId="2" fillId="5" borderId="8" xfId="0" applyNumberFormat="1" applyFont="1" applyFill="1" applyBorder="1"/>
    <xf numFmtId="1" fontId="2" fillId="5" borderId="9" xfId="0" applyNumberFormat="1" applyFont="1" applyFill="1" applyBorder="1"/>
    <xf numFmtId="2" fontId="2" fillId="0" borderId="8" xfId="2" applyNumberFormat="1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0" fontId="8" fillId="0" borderId="8" xfId="2" applyFont="1" applyBorder="1" applyAlignment="1">
      <alignment horizontal="left"/>
    </xf>
    <xf numFmtId="1" fontId="8" fillId="0" borderId="8" xfId="2" applyNumberFormat="1" applyFont="1" applyBorder="1" applyAlignment="1">
      <alignment horizontal="center"/>
    </xf>
    <xf numFmtId="164" fontId="9" fillId="0" borderId="8" xfId="2" applyNumberFormat="1" applyFont="1" applyBorder="1" applyAlignment="1">
      <alignment horizontal="center"/>
    </xf>
    <xf numFmtId="165" fontId="9" fillId="0" borderId="8" xfId="2" applyNumberFormat="1" applyFont="1" applyBorder="1" applyAlignment="1">
      <alignment horizontal="center"/>
    </xf>
    <xf numFmtId="2" fontId="8" fillId="0" borderId="8" xfId="2" applyNumberFormat="1" applyFont="1" applyBorder="1" applyAlignment="1">
      <alignment horizontal="center"/>
    </xf>
    <xf numFmtId="1" fontId="8" fillId="0" borderId="9" xfId="2" applyNumberFormat="1" applyFont="1" applyBorder="1" applyAlignment="1">
      <alignment horizontal="center"/>
    </xf>
    <xf numFmtId="1" fontId="8" fillId="0" borderId="8" xfId="2" applyNumberFormat="1" applyFont="1" applyBorder="1" applyAlignment="1">
      <alignment horizontal="left"/>
    </xf>
    <xf numFmtId="0" fontId="5" fillId="4" borderId="10" xfId="2" applyFont="1" applyFill="1" applyBorder="1" applyAlignment="1" applyProtection="1">
      <alignment horizontal="center" vertical="center"/>
      <protection hidden="1"/>
    </xf>
    <xf numFmtId="0" fontId="5" fillId="4" borderId="11" xfId="2" applyFont="1" applyFill="1" applyBorder="1" applyAlignment="1" applyProtection="1">
      <alignment vertical="center"/>
      <protection hidden="1"/>
    </xf>
    <xf numFmtId="0" fontId="5" fillId="4" borderId="11" xfId="2" applyFont="1" applyFill="1" applyBorder="1" applyAlignment="1" applyProtection="1">
      <alignment horizontal="center" vertical="center"/>
      <protection hidden="1"/>
    </xf>
    <xf numFmtId="165" fontId="5" fillId="4" borderId="11" xfId="2" applyNumberFormat="1" applyFont="1" applyFill="1" applyBorder="1" applyAlignment="1" applyProtection="1">
      <alignment vertical="center"/>
      <protection hidden="1"/>
    </xf>
    <xf numFmtId="2" fontId="6" fillId="4" borderId="11" xfId="2" applyNumberFormat="1" applyFont="1" applyFill="1" applyBorder="1" applyAlignment="1" applyProtection="1">
      <alignment vertical="center"/>
      <protection hidden="1"/>
    </xf>
    <xf numFmtId="1" fontId="6" fillId="4" borderId="12" xfId="2" applyNumberFormat="1" applyFont="1" applyFill="1" applyBorder="1" applyAlignment="1" applyProtection="1">
      <alignment vertical="center"/>
      <protection hidden="1"/>
    </xf>
    <xf numFmtId="1" fontId="6" fillId="4" borderId="13" xfId="2" applyNumberFormat="1" applyFont="1" applyFill="1" applyBorder="1" applyAlignment="1" applyProtection="1">
      <alignment vertical="center"/>
      <protection hidden="1"/>
    </xf>
    <xf numFmtId="0" fontId="6" fillId="0" borderId="14" xfId="2" applyFont="1" applyBorder="1" applyAlignment="1">
      <alignment horizontal="center"/>
    </xf>
    <xf numFmtId="0" fontId="6" fillId="0" borderId="15" xfId="2" applyFont="1" applyBorder="1" applyAlignment="1">
      <alignment horizontal="left"/>
    </xf>
    <xf numFmtId="1" fontId="8" fillId="0" borderId="16" xfId="2" applyNumberFormat="1" applyFont="1" applyBorder="1" applyAlignment="1">
      <alignment horizontal="left"/>
    </xf>
    <xf numFmtId="164" fontId="5" fillId="0" borderId="15" xfId="2" applyNumberFormat="1" applyFont="1" applyBorder="1" applyAlignment="1">
      <alignment horizontal="center"/>
    </xf>
    <xf numFmtId="165" fontId="5" fillId="0" borderId="15" xfId="2" applyNumberFormat="1" applyFont="1" applyBorder="1" applyAlignment="1">
      <alignment horizontal="center"/>
    </xf>
    <xf numFmtId="2" fontId="6" fillId="0" borderId="15" xfId="2" applyNumberFormat="1" applyFont="1" applyBorder="1" applyAlignment="1">
      <alignment horizontal="center"/>
    </xf>
    <xf numFmtId="1" fontId="6" fillId="0" borderId="17" xfId="2" applyNumberFormat="1" applyFont="1" applyBorder="1" applyAlignment="1">
      <alignment horizontal="center"/>
    </xf>
    <xf numFmtId="1" fontId="8" fillId="0" borderId="18" xfId="2" applyNumberFormat="1" applyFont="1" applyBorder="1" applyAlignment="1">
      <alignment horizontal="left"/>
    </xf>
    <xf numFmtId="0" fontId="6" fillId="0" borderId="19" xfId="2" applyFont="1" applyBorder="1" applyAlignment="1">
      <alignment horizontal="center"/>
    </xf>
    <xf numFmtId="0" fontId="6" fillId="0" borderId="20" xfId="2" applyFont="1" applyBorder="1" applyAlignment="1">
      <alignment horizontal="left"/>
    </xf>
    <xf numFmtId="1" fontId="8" fillId="0" borderId="21" xfId="2" applyNumberFormat="1" applyFont="1" applyBorder="1" applyAlignment="1">
      <alignment horizontal="left"/>
    </xf>
    <xf numFmtId="164" fontId="5" fillId="0" borderId="20" xfId="2" applyNumberFormat="1" applyFont="1" applyBorder="1" applyAlignment="1">
      <alignment horizontal="center"/>
    </xf>
    <xf numFmtId="165" fontId="5" fillId="0" borderId="20" xfId="2" applyNumberFormat="1" applyFont="1" applyBorder="1" applyAlignment="1">
      <alignment horizontal="center"/>
    </xf>
    <xf numFmtId="2" fontId="6" fillId="0" borderId="20" xfId="2" applyNumberFormat="1" applyFont="1" applyBorder="1" applyAlignment="1">
      <alignment horizontal="center"/>
    </xf>
    <xf numFmtId="1" fontId="6" fillId="0" borderId="13" xfId="2" applyNumberFormat="1" applyFont="1" applyBorder="1" applyAlignment="1">
      <alignment horizontal="center"/>
    </xf>
    <xf numFmtId="0" fontId="5" fillId="4" borderId="22" xfId="2" applyFont="1" applyFill="1" applyBorder="1" applyAlignment="1" applyProtection="1">
      <alignment horizontal="center" vertical="center"/>
      <protection hidden="1"/>
    </xf>
    <xf numFmtId="0" fontId="5" fillId="4" borderId="23" xfId="2" applyFont="1" applyFill="1" applyBorder="1" applyAlignment="1" applyProtection="1">
      <alignment vertical="center"/>
      <protection hidden="1"/>
    </xf>
    <xf numFmtId="0" fontId="5" fillId="4" borderId="23" xfId="2" applyFont="1" applyFill="1" applyBorder="1" applyAlignment="1" applyProtection="1">
      <alignment horizontal="center" vertical="center"/>
      <protection hidden="1"/>
    </xf>
    <xf numFmtId="165" fontId="5" fillId="4" borderId="23" xfId="2" applyNumberFormat="1" applyFont="1" applyFill="1" applyBorder="1" applyAlignment="1" applyProtection="1">
      <alignment vertical="center"/>
      <protection hidden="1"/>
    </xf>
    <xf numFmtId="2" fontId="6" fillId="4" borderId="23" xfId="2" applyNumberFormat="1" applyFont="1" applyFill="1" applyBorder="1" applyAlignment="1" applyProtection="1">
      <alignment vertical="center"/>
      <protection hidden="1"/>
    </xf>
    <xf numFmtId="1" fontId="6" fillId="4" borderId="24" xfId="2" applyNumberFormat="1" applyFont="1" applyFill="1" applyBorder="1" applyAlignment="1" applyProtection="1">
      <alignment vertical="center"/>
      <protection hidden="1"/>
    </xf>
    <xf numFmtId="1" fontId="0" fillId="0" borderId="0" xfId="0" applyNumberFormat="1"/>
    <xf numFmtId="10" fontId="6" fillId="4" borderId="23" xfId="1" applyNumberFormat="1" applyFont="1" applyFill="1" applyBorder="1" applyAlignment="1" applyProtection="1">
      <alignment vertical="center"/>
      <protection hidden="1"/>
    </xf>
    <xf numFmtId="10" fontId="6" fillId="4" borderId="24" xfId="1" applyNumberFormat="1" applyFont="1" applyFill="1" applyBorder="1" applyAlignment="1" applyProtection="1">
      <alignment vertical="center"/>
      <protection hidden="1"/>
    </xf>
    <xf numFmtId="0" fontId="8" fillId="0" borderId="8" xfId="2" applyFont="1" applyBorder="1" applyAlignment="1">
      <alignment horizontal="center"/>
    </xf>
    <xf numFmtId="166" fontId="5" fillId="0" borderId="8" xfId="2" applyNumberFormat="1" applyFont="1" applyBorder="1" applyAlignment="1">
      <alignment horizontal="center"/>
    </xf>
    <xf numFmtId="2" fontId="0" fillId="0" borderId="0" xfId="0" applyNumberFormat="1"/>
    <xf numFmtId="2" fontId="4" fillId="0" borderId="0" xfId="2" applyNumberFormat="1" applyFont="1" applyAlignment="1">
      <alignment horizontal="center" vertical="center" wrapText="1"/>
    </xf>
    <xf numFmtId="0" fontId="6" fillId="7" borderId="7" xfId="2" applyFont="1" applyFill="1" applyBorder="1" applyAlignment="1">
      <alignment horizontal="center"/>
    </xf>
    <xf numFmtId="2" fontId="6" fillId="7" borderId="8" xfId="2" applyNumberFormat="1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5" fillId="4" borderId="19" xfId="2" applyFont="1" applyFill="1" applyBorder="1" applyAlignment="1" applyProtection="1">
      <alignment horizontal="center" vertical="center"/>
      <protection hidden="1"/>
    </xf>
    <xf numFmtId="0" fontId="5" fillId="4" borderId="20" xfId="2" applyFont="1" applyFill="1" applyBorder="1" applyAlignment="1" applyProtection="1">
      <alignment vertical="center"/>
      <protection hidden="1"/>
    </xf>
    <xf numFmtId="0" fontId="5" fillId="4" borderId="20" xfId="2" applyFont="1" applyFill="1" applyBorder="1" applyAlignment="1" applyProtection="1">
      <alignment horizontal="center" vertical="center"/>
      <protection hidden="1"/>
    </xf>
    <xf numFmtId="165" fontId="5" fillId="4" borderId="20" xfId="2" applyNumberFormat="1" applyFont="1" applyFill="1" applyBorder="1" applyAlignment="1" applyProtection="1">
      <alignment vertical="center"/>
      <protection hidden="1"/>
    </xf>
    <xf numFmtId="2" fontId="6" fillId="4" borderId="20" xfId="2" applyNumberFormat="1" applyFont="1" applyFill="1" applyBorder="1" applyAlignment="1" applyProtection="1">
      <alignment vertical="center"/>
      <protection hidden="1"/>
    </xf>
    <xf numFmtId="0" fontId="2" fillId="5" borderId="23" xfId="0" applyFont="1" applyFill="1" applyBorder="1"/>
    <xf numFmtId="167" fontId="2" fillId="5" borderId="23" xfId="0" applyNumberFormat="1" applyFont="1" applyFill="1" applyBorder="1"/>
    <xf numFmtId="9" fontId="2" fillId="5" borderId="23" xfId="0" applyNumberFormat="1" applyFont="1" applyFill="1" applyBorder="1"/>
    <xf numFmtId="1" fontId="2" fillId="5" borderId="24" xfId="0" applyNumberFormat="1" applyFont="1" applyFill="1" applyBorder="1"/>
    <xf numFmtId="168" fontId="6" fillId="4" borderId="23" xfId="2" applyNumberFormat="1" applyFont="1" applyFill="1" applyBorder="1" applyAlignment="1" applyProtection="1">
      <alignment vertical="center"/>
      <protection hidden="1"/>
    </xf>
    <xf numFmtId="167" fontId="5" fillId="7" borderId="8" xfId="1" applyNumberFormat="1" applyFont="1" applyFill="1" applyBorder="1" applyAlignment="1">
      <alignment horizontal="center"/>
    </xf>
    <xf numFmtId="0" fontId="6" fillId="7" borderId="8" xfId="2" applyFont="1" applyFill="1" applyBorder="1" applyAlignment="1">
      <alignment horizontal="left"/>
    </xf>
    <xf numFmtId="1" fontId="6" fillId="7" borderId="8" xfId="2" applyNumberFormat="1" applyFont="1" applyFill="1" applyBorder="1" applyAlignment="1">
      <alignment horizontal="center"/>
    </xf>
    <xf numFmtId="164" fontId="5" fillId="7" borderId="8" xfId="2" applyNumberFormat="1" applyFont="1" applyFill="1" applyBorder="1" applyAlignment="1">
      <alignment horizontal="center"/>
    </xf>
    <xf numFmtId="165" fontId="5" fillId="7" borderId="8" xfId="2" applyNumberFormat="1" applyFont="1" applyFill="1" applyBorder="1" applyAlignment="1">
      <alignment horizontal="center"/>
    </xf>
    <xf numFmtId="1" fontId="6" fillId="7" borderId="9" xfId="2" applyNumberFormat="1" applyFont="1" applyFill="1" applyBorder="1" applyAlignment="1">
      <alignment horizontal="center"/>
    </xf>
    <xf numFmtId="9" fontId="5" fillId="7" borderId="8" xfId="1" applyFont="1" applyFill="1" applyBorder="1" applyAlignment="1">
      <alignment horizontal="center"/>
    </xf>
    <xf numFmtId="0" fontId="10" fillId="7" borderId="19" xfId="4" applyFont="1" applyFill="1" applyBorder="1" applyAlignment="1">
      <alignment horizontal="center"/>
    </xf>
    <xf numFmtId="0" fontId="10" fillId="7" borderId="20" xfId="4" applyFont="1" applyFill="1" applyBorder="1"/>
    <xf numFmtId="1" fontId="8" fillId="7" borderId="21" xfId="2" applyNumberFormat="1" applyFont="1" applyFill="1" applyBorder="1" applyAlignment="1">
      <alignment horizontal="left"/>
    </xf>
    <xf numFmtId="0" fontId="11" fillId="7" borderId="20" xfId="4" applyFont="1" applyFill="1" applyBorder="1"/>
    <xf numFmtId="2" fontId="6" fillId="7" borderId="20" xfId="2" applyNumberFormat="1" applyFont="1" applyFill="1" applyBorder="1" applyAlignment="1">
      <alignment horizontal="center"/>
    </xf>
    <xf numFmtId="1" fontId="6" fillId="7" borderId="13" xfId="2" applyNumberFormat="1" applyFont="1" applyFill="1" applyBorder="1" applyAlignment="1">
      <alignment horizontal="center"/>
    </xf>
    <xf numFmtId="1" fontId="8" fillId="7" borderId="16" xfId="2" applyNumberFormat="1" applyFont="1" applyFill="1" applyBorder="1" applyAlignment="1">
      <alignment horizontal="left"/>
    </xf>
    <xf numFmtId="2" fontId="6" fillId="7" borderId="15" xfId="2" applyNumberFormat="1" applyFont="1" applyFill="1" applyBorder="1" applyAlignment="1">
      <alignment horizontal="center"/>
    </xf>
    <xf numFmtId="1" fontId="6" fillId="7" borderId="17" xfId="2" applyNumberFormat="1" applyFont="1" applyFill="1" applyBorder="1" applyAlignment="1">
      <alignment horizontal="center"/>
    </xf>
    <xf numFmtId="0" fontId="10" fillId="7" borderId="14" xfId="4" applyFont="1" applyFill="1" applyBorder="1" applyAlignment="1">
      <alignment horizontal="center"/>
    </xf>
    <xf numFmtId="0" fontId="10" fillId="7" borderId="15" xfId="4" applyFont="1" applyFill="1" applyBorder="1"/>
    <xf numFmtId="0" fontId="11" fillId="7" borderId="15" xfId="4" applyFont="1" applyFill="1" applyBorder="1"/>
    <xf numFmtId="2" fontId="6" fillId="7" borderId="9" xfId="2" applyNumberFormat="1" applyFont="1" applyFill="1" applyBorder="1" applyAlignment="1">
      <alignment horizontal="center"/>
    </xf>
    <xf numFmtId="10" fontId="5" fillId="7" borderId="8" xfId="1" applyNumberFormat="1" applyFont="1" applyFill="1" applyBorder="1" applyAlignment="1">
      <alignment horizontal="center"/>
    </xf>
    <xf numFmtId="9" fontId="0" fillId="0" borderId="0" xfId="1" applyFont="1"/>
    <xf numFmtId="0" fontId="0" fillId="7" borderId="0" xfId="0" applyFill="1"/>
    <xf numFmtId="44" fontId="0" fillId="0" borderId="0" xfId="32" applyFont="1"/>
    <xf numFmtId="9" fontId="0" fillId="0" borderId="0" xfId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/>
    <xf numFmtId="0" fontId="8" fillId="7" borderId="8" xfId="2" applyFont="1" applyFill="1" applyBorder="1" applyAlignment="1">
      <alignment horizontal="center"/>
    </xf>
    <xf numFmtId="0" fontId="8" fillId="7" borderId="8" xfId="2" applyFont="1" applyFill="1" applyBorder="1" applyAlignment="1">
      <alignment horizontal="left"/>
    </xf>
    <xf numFmtId="1" fontId="8" fillId="7" borderId="8" xfId="2" applyNumberFormat="1" applyFont="1" applyFill="1" applyBorder="1" applyAlignment="1">
      <alignment horizontal="center"/>
    </xf>
    <xf numFmtId="166" fontId="5" fillId="7" borderId="8" xfId="2" applyNumberFormat="1" applyFont="1" applyFill="1" applyBorder="1" applyAlignment="1">
      <alignment horizontal="center"/>
    </xf>
    <xf numFmtId="10" fontId="0" fillId="0" borderId="0" xfId="1" applyNumberFormat="1" applyFont="1"/>
    <xf numFmtId="0" fontId="13" fillId="0" borderId="0" xfId="0" applyFont="1"/>
    <xf numFmtId="170" fontId="0" fillId="0" borderId="0" xfId="1" applyNumberFormat="1" applyFont="1"/>
    <xf numFmtId="169" fontId="0" fillId="0" borderId="0" xfId="0" applyNumberFormat="1"/>
    <xf numFmtId="0" fontId="0" fillId="0" borderId="0" xfId="0" applyAlignment="1">
      <alignment horizontal="center"/>
    </xf>
    <xf numFmtId="10" fontId="5" fillId="4" borderId="8" xfId="2" applyNumberFormat="1" applyFont="1" applyFill="1" applyBorder="1" applyAlignment="1" applyProtection="1">
      <alignment vertical="center"/>
      <protection hidden="1"/>
    </xf>
    <xf numFmtId="10" fontId="5" fillId="0" borderId="8" xfId="2" applyNumberFormat="1" applyFont="1" applyBorder="1" applyAlignment="1">
      <alignment horizontal="center"/>
    </xf>
    <xf numFmtId="10" fontId="5" fillId="0" borderId="8" xfId="1" applyNumberFormat="1" applyFont="1" applyFill="1" applyBorder="1" applyAlignment="1">
      <alignment horizontal="center"/>
    </xf>
    <xf numFmtId="10" fontId="9" fillId="0" borderId="8" xfId="2" applyNumberFormat="1" applyFont="1" applyBorder="1" applyAlignment="1">
      <alignment horizontal="center"/>
    </xf>
    <xf numFmtId="10" fontId="5" fillId="4" borderId="11" xfId="2" applyNumberFormat="1" applyFont="1" applyFill="1" applyBorder="1" applyAlignment="1" applyProtection="1">
      <alignment vertical="center"/>
      <protection hidden="1"/>
    </xf>
    <xf numFmtId="10" fontId="5" fillId="0" borderId="15" xfId="2" applyNumberFormat="1" applyFont="1" applyBorder="1" applyAlignment="1">
      <alignment horizontal="center"/>
    </xf>
    <xf numFmtId="10" fontId="5" fillId="0" borderId="20" xfId="2" applyNumberFormat="1" applyFont="1" applyBorder="1" applyAlignment="1">
      <alignment horizontal="center"/>
    </xf>
    <xf numFmtId="10" fontId="5" fillId="4" borderId="23" xfId="2" applyNumberFormat="1" applyFont="1" applyFill="1" applyBorder="1" applyAlignment="1" applyProtection="1">
      <alignment vertical="center"/>
      <protection hidden="1"/>
    </xf>
    <xf numFmtId="10" fontId="5" fillId="7" borderId="8" xfId="2" applyNumberFormat="1" applyFont="1" applyFill="1" applyBorder="1" applyAlignment="1">
      <alignment horizontal="center"/>
    </xf>
    <xf numFmtId="9" fontId="5" fillId="0" borderId="8" xfId="1" applyFont="1" applyFill="1" applyBorder="1" applyAlignment="1">
      <alignment horizontal="center"/>
    </xf>
    <xf numFmtId="167" fontId="5" fillId="0" borderId="8" xfId="1" applyNumberFormat="1" applyFont="1" applyFill="1" applyBorder="1" applyAlignment="1">
      <alignment horizontal="center"/>
    </xf>
    <xf numFmtId="2" fontId="6" fillId="8" borderId="8" xfId="2" applyNumberFormat="1" applyFont="1" applyFill="1" applyBorder="1" applyAlignment="1">
      <alignment horizontal="center"/>
    </xf>
    <xf numFmtId="0" fontId="6" fillId="8" borderId="7" xfId="2" applyFont="1" applyFill="1" applyBorder="1" applyAlignment="1">
      <alignment horizontal="center"/>
    </xf>
    <xf numFmtId="0" fontId="6" fillId="8" borderId="8" xfId="2" applyFont="1" applyFill="1" applyBorder="1" applyAlignment="1">
      <alignment horizontal="left"/>
    </xf>
    <xf numFmtId="1" fontId="6" fillId="8" borderId="8" xfId="2" applyNumberFormat="1" applyFont="1" applyFill="1" applyBorder="1" applyAlignment="1">
      <alignment horizontal="center"/>
    </xf>
    <xf numFmtId="164" fontId="5" fillId="8" borderId="8" xfId="2" applyNumberFormat="1" applyFont="1" applyFill="1" applyBorder="1" applyAlignment="1">
      <alignment horizontal="center"/>
    </xf>
    <xf numFmtId="165" fontId="5" fillId="8" borderId="8" xfId="2" applyNumberFormat="1" applyFont="1" applyFill="1" applyBorder="1" applyAlignment="1">
      <alignment horizontal="center"/>
    </xf>
    <xf numFmtId="2" fontId="2" fillId="8" borderId="8" xfId="2" applyNumberFormat="1" applyFont="1" applyFill="1" applyBorder="1" applyAlignment="1">
      <alignment horizontal="center"/>
    </xf>
    <xf numFmtId="9" fontId="5" fillId="8" borderId="8" xfId="1" applyFont="1" applyFill="1" applyBorder="1" applyAlignment="1">
      <alignment horizontal="center"/>
    </xf>
    <xf numFmtId="1" fontId="6" fillId="8" borderId="9" xfId="2" applyNumberFormat="1" applyFont="1" applyFill="1" applyBorder="1" applyAlignment="1">
      <alignment horizontal="center"/>
    </xf>
    <xf numFmtId="2" fontId="8" fillId="7" borderId="8" xfId="2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4" fontId="0" fillId="0" borderId="8" xfId="32" applyFont="1" applyBorder="1" applyAlignment="1">
      <alignment horizontal="center"/>
    </xf>
    <xf numFmtId="44" fontId="8" fillId="0" borderId="8" xfId="32" applyFont="1" applyBorder="1" applyAlignment="1">
      <alignment horizontal="center"/>
    </xf>
    <xf numFmtId="0" fontId="0" fillId="0" borderId="40" xfId="0" applyBorder="1"/>
    <xf numFmtId="0" fontId="0" fillId="0" borderId="37" xfId="0" applyBorder="1"/>
    <xf numFmtId="44" fontId="0" fillId="0" borderId="20" xfId="32" applyFont="1" applyBorder="1" applyAlignment="1">
      <alignment horizontal="center"/>
    </xf>
    <xf numFmtId="0" fontId="29" fillId="0" borderId="0" xfId="0" applyFont="1"/>
    <xf numFmtId="44" fontId="0" fillId="0" borderId="0" xfId="32" applyFont="1" applyBorder="1"/>
    <xf numFmtId="6" fontId="0" fillId="0" borderId="40" xfId="32" applyNumberFormat="1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44" fontId="6" fillId="0" borderId="8" xfId="32" applyFont="1" applyBorder="1" applyAlignment="1">
      <alignment horizontal="center"/>
    </xf>
    <xf numFmtId="0" fontId="0" fillId="0" borderId="41" xfId="0" applyBorder="1"/>
    <xf numFmtId="44" fontId="6" fillId="0" borderId="20" xfId="32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6" fontId="0" fillId="0" borderId="0" xfId="32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44" fontId="30" fillId="0" borderId="0" xfId="32" applyFont="1" applyBorder="1"/>
    <xf numFmtId="0" fontId="0" fillId="0" borderId="38" xfId="0" applyBorder="1"/>
    <xf numFmtId="0" fontId="0" fillId="0" borderId="39" xfId="0" applyBorder="1"/>
    <xf numFmtId="10" fontId="0" fillId="0" borderId="8" xfId="1" applyNumberFormat="1" applyFont="1" applyBorder="1" applyAlignment="1">
      <alignment horizontal="center"/>
    </xf>
    <xf numFmtId="0" fontId="6" fillId="0" borderId="22" xfId="2" applyFont="1" applyBorder="1" applyAlignment="1">
      <alignment horizontal="center"/>
    </xf>
    <xf numFmtId="0" fontId="6" fillId="0" borderId="23" xfId="2" applyFont="1" applyBorder="1" applyAlignment="1">
      <alignment horizontal="left"/>
    </xf>
    <xf numFmtId="1" fontId="6" fillId="0" borderId="23" xfId="2" applyNumberFormat="1" applyFont="1" applyBorder="1" applyAlignment="1">
      <alignment horizontal="center"/>
    </xf>
    <xf numFmtId="2" fontId="6" fillId="0" borderId="23" xfId="2" applyNumberFormat="1" applyFont="1" applyBorder="1" applyAlignment="1">
      <alignment horizontal="center"/>
    </xf>
    <xf numFmtId="1" fontId="6" fillId="0" borderId="24" xfId="2" applyNumberFormat="1" applyFont="1" applyBorder="1" applyAlignment="1">
      <alignment horizontal="center"/>
    </xf>
    <xf numFmtId="10" fontId="1" fillId="0" borderId="0" xfId="1" applyNumberFormat="1" applyFont="1"/>
    <xf numFmtId="0" fontId="31" fillId="0" borderId="0" xfId="0" applyFont="1"/>
    <xf numFmtId="1" fontId="6" fillId="0" borderId="0" xfId="2" applyNumberFormat="1" applyFont="1" applyAlignment="1">
      <alignment horizontal="center"/>
    </xf>
    <xf numFmtId="9" fontId="7" fillId="0" borderId="0" xfId="1" applyFont="1" applyAlignment="1">
      <alignment horizontal="center"/>
    </xf>
    <xf numFmtId="9" fontId="7" fillId="0" borderId="0" xfId="1" applyFont="1" applyFill="1" applyAlignment="1">
      <alignment horizontal="center"/>
    </xf>
    <xf numFmtId="9" fontId="0" fillId="0" borderId="0" xfId="1" applyFont="1" applyBorder="1" applyAlignment="1">
      <alignment horizontal="center"/>
    </xf>
    <xf numFmtId="10" fontId="5" fillId="7" borderId="23" xfId="2" applyNumberFormat="1" applyFont="1" applyFill="1" applyBorder="1" applyAlignment="1">
      <alignment horizontal="center"/>
    </xf>
    <xf numFmtId="170" fontId="5" fillId="7" borderId="8" xfId="1" applyNumberFormat="1" applyFont="1" applyFill="1" applyBorder="1" applyAlignment="1">
      <alignment horizontal="center"/>
    </xf>
    <xf numFmtId="171" fontId="0" fillId="0" borderId="0" xfId="32" applyNumberFormat="1" applyFont="1" applyBorder="1"/>
    <xf numFmtId="9" fontId="13" fillId="0" borderId="0" xfId="1" applyFont="1" applyAlignment="1">
      <alignment horizontal="center"/>
    </xf>
    <xf numFmtId="2" fontId="7" fillId="7" borderId="0" xfId="2" applyNumberFormat="1" applyFont="1" applyFill="1" applyAlignment="1">
      <alignment horizontal="left"/>
    </xf>
    <xf numFmtId="2" fontId="7" fillId="0" borderId="0" xfId="2" applyNumberFormat="1" applyFont="1" applyAlignment="1">
      <alignment horizontal="left"/>
    </xf>
    <xf numFmtId="2" fontId="6" fillId="0" borderId="9" xfId="2" applyNumberFormat="1" applyFont="1" applyBorder="1" applyAlignment="1">
      <alignment horizontal="center"/>
    </xf>
    <xf numFmtId="43" fontId="10" fillId="0" borderId="0" xfId="157" applyFont="1" applyFill="1" applyAlignment="1">
      <alignment horizontal="center" vertical="center"/>
    </xf>
    <xf numFmtId="167" fontId="13" fillId="7" borderId="0" xfId="1" applyNumberFormat="1" applyFont="1" applyFill="1" applyAlignment="1">
      <alignment horizontal="center"/>
    </xf>
    <xf numFmtId="167" fontId="5" fillId="0" borderId="8" xfId="2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9" fontId="13" fillId="0" borderId="8" xfId="1" applyFont="1" applyFill="1" applyBorder="1" applyAlignment="1">
      <alignment horizontal="center"/>
    </xf>
    <xf numFmtId="9" fontId="13" fillId="7" borderId="8" xfId="1" applyFont="1" applyFill="1" applyBorder="1" applyAlignment="1">
      <alignment horizontal="center"/>
    </xf>
    <xf numFmtId="2" fontId="6" fillId="40" borderId="8" xfId="2" applyNumberFormat="1" applyFont="1" applyFill="1" applyBorder="1" applyAlignment="1">
      <alignment horizontal="center"/>
    </xf>
    <xf numFmtId="0" fontId="10" fillId="0" borderId="14" xfId="4" applyFont="1" applyBorder="1" applyAlignment="1">
      <alignment horizontal="center"/>
    </xf>
    <xf numFmtId="0" fontId="10" fillId="0" borderId="19" xfId="4" applyFont="1" applyBorder="1" applyAlignment="1">
      <alignment horizontal="center"/>
    </xf>
    <xf numFmtId="9" fontId="5" fillId="4" borderId="23" xfId="2" applyNumberFormat="1" applyFont="1" applyFill="1" applyBorder="1" applyAlignment="1" applyProtection="1">
      <alignment vertical="center"/>
      <protection hidden="1"/>
    </xf>
    <xf numFmtId="10" fontId="6" fillId="7" borderId="8" xfId="2" applyNumberFormat="1" applyFont="1" applyFill="1" applyBorder="1" applyAlignment="1">
      <alignment horizontal="center"/>
    </xf>
    <xf numFmtId="0" fontId="8" fillId="0" borderId="42" xfId="2" applyFont="1" applyBorder="1" applyAlignment="1">
      <alignment horizontal="center"/>
    </xf>
    <xf numFmtId="2" fontId="6" fillId="7" borderId="23" xfId="2" applyNumberFormat="1" applyFont="1" applyFill="1" applyBorder="1" applyAlignment="1">
      <alignment horizontal="center"/>
    </xf>
    <xf numFmtId="0" fontId="5" fillId="4" borderId="42" xfId="2" applyFont="1" applyFill="1" applyBorder="1" applyAlignment="1" applyProtection="1">
      <alignment horizontal="center" vertical="center"/>
      <protection hidden="1"/>
    </xf>
    <xf numFmtId="2" fontId="6" fillId="0" borderId="0" xfId="2" applyNumberFormat="1" applyFont="1" applyAlignment="1">
      <alignment horizontal="center"/>
    </xf>
    <xf numFmtId="0" fontId="6" fillId="41" borderId="7" xfId="3" applyFont="1" applyFill="1" applyBorder="1" applyAlignment="1">
      <alignment horizontal="center"/>
    </xf>
    <xf numFmtId="0" fontId="5" fillId="41" borderId="7" xfId="2" applyFont="1" applyFill="1" applyBorder="1" applyAlignment="1">
      <alignment horizontal="center"/>
    </xf>
    <xf numFmtId="0" fontId="6" fillId="41" borderId="7" xfId="2" applyFont="1" applyFill="1" applyBorder="1" applyAlignment="1">
      <alignment horizontal="center"/>
    </xf>
    <xf numFmtId="167" fontId="5" fillId="0" borderId="8" xfId="1" applyNumberFormat="1" applyFont="1" applyBorder="1" applyAlignment="1">
      <alignment horizontal="center"/>
    </xf>
    <xf numFmtId="43" fontId="0" fillId="0" borderId="0" xfId="157" applyFont="1" applyFill="1"/>
    <xf numFmtId="10" fontId="12" fillId="7" borderId="0" xfId="0" applyNumberFormat="1" applyFont="1" applyFill="1" applyAlignment="1">
      <alignment horizontal="center"/>
    </xf>
    <xf numFmtId="0" fontId="12" fillId="7" borderId="0" xfId="0" applyFont="1" applyFill="1"/>
    <xf numFmtId="44" fontId="6" fillId="0" borderId="8" xfId="163" applyFont="1" applyFill="1" applyBorder="1" applyAlignment="1">
      <alignment horizontal="center"/>
    </xf>
    <xf numFmtId="0" fontId="6" fillId="7" borderId="8" xfId="3" applyFont="1" applyFill="1" applyBorder="1"/>
    <xf numFmtId="0" fontId="6" fillId="7" borderId="8" xfId="2" applyFont="1" applyFill="1" applyBorder="1" applyAlignment="1">
      <alignment horizontal="center"/>
    </xf>
    <xf numFmtId="9" fontId="13" fillId="0" borderId="8" xfId="1" applyFont="1" applyBorder="1" applyAlignment="1">
      <alignment horizontal="center"/>
    </xf>
    <xf numFmtId="0" fontId="6" fillId="7" borderId="7" xfId="3" applyFont="1" applyFill="1" applyBorder="1" applyAlignment="1">
      <alignment horizontal="center"/>
    </xf>
    <xf numFmtId="43" fontId="10" fillId="0" borderId="8" xfId="157" applyFont="1" applyFill="1" applyBorder="1" applyAlignment="1">
      <alignment horizontal="center" vertical="center"/>
    </xf>
    <xf numFmtId="167" fontId="12" fillId="7" borderId="8" xfId="1" applyNumberFormat="1" applyFont="1" applyFill="1" applyBorder="1" applyAlignment="1">
      <alignment horizontal="center"/>
    </xf>
    <xf numFmtId="2" fontId="2" fillId="7" borderId="8" xfId="2" applyNumberFormat="1" applyFont="1" applyFill="1" applyBorder="1" applyAlignment="1">
      <alignment horizontal="center"/>
    </xf>
    <xf numFmtId="2" fontId="8" fillId="7" borderId="8" xfId="2" applyNumberFormat="1" applyFont="1" applyFill="1" applyBorder="1" applyAlignment="1">
      <alignment horizontal="left"/>
    </xf>
    <xf numFmtId="172" fontId="8" fillId="0" borderId="8" xfId="2" applyNumberFormat="1" applyFont="1" applyBorder="1" applyAlignment="1">
      <alignment horizontal="center"/>
    </xf>
    <xf numFmtId="172" fontId="8" fillId="7" borderId="8" xfId="2" applyNumberFormat="1" applyFont="1" applyFill="1" applyBorder="1" applyAlignment="1">
      <alignment horizontal="center"/>
    </xf>
    <xf numFmtId="172" fontId="8" fillId="7" borderId="8" xfId="2" applyNumberFormat="1" applyFont="1" applyFill="1" applyBorder="1" applyAlignment="1">
      <alignment horizontal="left"/>
    </xf>
    <xf numFmtId="172" fontId="2" fillId="5" borderId="23" xfId="0" applyNumberFormat="1" applyFont="1" applyFill="1" applyBorder="1" applyAlignment="1">
      <alignment horizontal="center"/>
    </xf>
    <xf numFmtId="9" fontId="2" fillId="5" borderId="23" xfId="1" applyFont="1" applyFill="1" applyBorder="1" applyAlignment="1">
      <alignment horizontal="center"/>
    </xf>
    <xf numFmtId="10" fontId="6" fillId="0" borderId="8" xfId="2" applyNumberFormat="1" applyFont="1" applyBorder="1" applyAlignment="1">
      <alignment horizontal="center"/>
    </xf>
    <xf numFmtId="10" fontId="12" fillId="7" borderId="8" xfId="0" applyNumberFormat="1" applyFont="1" applyFill="1" applyBorder="1" applyAlignment="1">
      <alignment horizontal="center"/>
    </xf>
    <xf numFmtId="0" fontId="32" fillId="0" borderId="7" xfId="2" applyFont="1" applyBorder="1" applyAlignment="1">
      <alignment horizontal="center"/>
    </xf>
    <xf numFmtId="2" fontId="32" fillId="0" borderId="8" xfId="2" applyNumberFormat="1" applyFont="1" applyBorder="1" applyAlignment="1">
      <alignment horizontal="center"/>
    </xf>
    <xf numFmtId="10" fontId="13" fillId="7" borderId="8" xfId="1" applyNumberFormat="1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167" fontId="2" fillId="5" borderId="23" xfId="0" applyNumberFormat="1" applyFont="1" applyFill="1" applyBorder="1" applyAlignment="1">
      <alignment horizontal="center"/>
    </xf>
    <xf numFmtId="2" fontId="6" fillId="4" borderId="23" xfId="2" applyNumberFormat="1" applyFont="1" applyFill="1" applyBorder="1" applyAlignment="1" applyProtection="1">
      <alignment horizontal="center" vertical="center"/>
      <protection hidden="1"/>
    </xf>
    <xf numFmtId="10" fontId="6" fillId="4" borderId="23" xfId="1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>
      <alignment horizontal="center"/>
    </xf>
  </cellXfs>
  <cellStyles count="165">
    <cellStyle name="20% - Énfasis1" xfId="79" builtinId="30" customBuiltin="1"/>
    <cellStyle name="20% - Énfasis2" xfId="83" builtinId="34" customBuiltin="1"/>
    <cellStyle name="20% - Énfasis3" xfId="87" builtinId="38" customBuiltin="1"/>
    <cellStyle name="20% - Énfasis4" xfId="91" builtinId="42" customBuiltin="1"/>
    <cellStyle name="20% - Énfasis5" xfId="95" builtinId="46" customBuiltin="1"/>
    <cellStyle name="20% - Énfasis6" xfId="99" builtinId="50" customBuiltin="1"/>
    <cellStyle name="40% - Énfasis1" xfId="80" builtinId="31" customBuiltin="1"/>
    <cellStyle name="40% - Énfasis2" xfId="84" builtinId="35" customBuiltin="1"/>
    <cellStyle name="40% - Énfasis3" xfId="88" builtinId="39" customBuiltin="1"/>
    <cellStyle name="40% - Énfasis4" xfId="92" builtinId="43" customBuiltin="1"/>
    <cellStyle name="40% - Énfasis5" xfId="96" builtinId="47" customBuiltin="1"/>
    <cellStyle name="40% - Énfasis6" xfId="100" builtinId="51" customBuiltin="1"/>
    <cellStyle name="60% - Énfasis1" xfId="81" builtinId="32" customBuiltin="1"/>
    <cellStyle name="60% - Énfasis2" xfId="85" builtinId="36" customBuiltin="1"/>
    <cellStyle name="60% - Énfasis3" xfId="89" builtinId="40" customBuiltin="1"/>
    <cellStyle name="60% - Énfasis4" xfId="93" builtinId="44" customBuiltin="1"/>
    <cellStyle name="60% - Énfasis5" xfId="97" builtinId="48" customBuiltin="1"/>
    <cellStyle name="60% - Énfasis6" xfId="101" builtinId="52" customBuiltin="1"/>
    <cellStyle name="Bueno" xfId="66" builtinId="26" customBuiltin="1"/>
    <cellStyle name="Cálculo" xfId="71" builtinId="22" customBuiltin="1"/>
    <cellStyle name="Celda de comprobación" xfId="73" builtinId="23" customBuiltin="1"/>
    <cellStyle name="Celda vinculada" xfId="72" builtinId="24" customBuiltin="1"/>
    <cellStyle name="Encabezado 1" xfId="62" builtinId="16" customBuiltin="1"/>
    <cellStyle name="Encabezado 4" xfId="65" builtinId="19" customBuiltin="1"/>
    <cellStyle name="Énfasis1" xfId="78" builtinId="29" customBuiltin="1"/>
    <cellStyle name="Énfasis2" xfId="82" builtinId="33" customBuiltin="1"/>
    <cellStyle name="Énfasis3" xfId="86" builtinId="37" customBuiltin="1"/>
    <cellStyle name="Énfasis4" xfId="90" builtinId="41" customBuiltin="1"/>
    <cellStyle name="Énfasis5" xfId="94" builtinId="45" customBuiltin="1"/>
    <cellStyle name="Énfasis6" xfId="98" builtinId="49" customBuiltin="1"/>
    <cellStyle name="Entrada" xfId="69" builtinId="20" customBuiltin="1"/>
    <cellStyle name="Incorrecto" xfId="67" builtinId="27" customBuiltin="1"/>
    <cellStyle name="Millares" xfId="157" builtinId="3"/>
    <cellStyle name="Millares 2" xfId="34" xr:uid="{29FB26D7-D76A-42C5-8244-D8DBAAB3F98E}"/>
    <cellStyle name="Millares 2 2" xfId="110" xr:uid="{D2CD46DD-D280-49A5-9B25-F11DB7D954A2}"/>
    <cellStyle name="Millares 3" xfId="158" xr:uid="{D5AF361B-12B7-483B-AA6A-A25C715A7919}"/>
    <cellStyle name="Millares 4" xfId="160" xr:uid="{55537979-78CE-49DC-90F5-71FF024EFBC2}"/>
    <cellStyle name="Millares 5" xfId="164" xr:uid="{8729B9CD-AA2C-4BFB-96F3-1765896C09B3}"/>
    <cellStyle name="Moneda" xfId="32" builtinId="4"/>
    <cellStyle name="Moneda 10" xfId="118" xr:uid="{14900CE8-1537-465B-968D-D9E5AA178B74}"/>
    <cellStyle name="Moneda 11" xfId="102" xr:uid="{A0B2EE46-5609-4687-837D-0BA48BAB3686}"/>
    <cellStyle name="Moneda 12" xfId="156" xr:uid="{C06C348E-7E27-4A0B-ADE7-24F34A6BFD31}"/>
    <cellStyle name="Moneda 13" xfId="159" xr:uid="{D38BFAF7-8CC5-4DF6-921E-43ECF148D411}"/>
    <cellStyle name="Moneda 14" xfId="161" xr:uid="{32492404-BDFC-47D4-8A1B-9497670D1CB2}"/>
    <cellStyle name="Moneda 15" xfId="162" xr:uid="{588191E2-F103-4920-BCDA-09A935EE47E3}"/>
    <cellStyle name="Moneda 16" xfId="163" xr:uid="{B51BBDE1-4F21-4720-B1B9-7ADD8B4F6625}"/>
    <cellStyle name="Moneda 2" xfId="8" xr:uid="{A67CDCCC-5616-4DA1-816B-43BAAD207ABB}"/>
    <cellStyle name="Moneda 2 2" xfId="13" xr:uid="{7E6828FC-9C8F-4831-9EE3-22A495EAB50E}"/>
    <cellStyle name="Moneda 2 2 2" xfId="24" xr:uid="{66602B43-3E3A-4844-921C-E14205994D4C}"/>
    <cellStyle name="Moneda 2 2 2 2" xfId="52" xr:uid="{55D40DCA-7326-4AD7-8D9A-56D5FEEFAFB8}"/>
    <cellStyle name="Moneda 2 2 2 2 2" xfId="147" xr:uid="{3B24C31A-20DD-4ABA-8A23-157AC30951A1}"/>
    <cellStyle name="Moneda 2 2 2 3" xfId="125" xr:uid="{F94B2C6C-EC29-4051-A518-CD3940B47BD9}"/>
    <cellStyle name="Moneda 2 2 3" xfId="41" xr:uid="{AFC52BBA-9E90-4690-AF42-D17465E9EF71}"/>
    <cellStyle name="Moneda 2 2 3 2" xfId="136" xr:uid="{D9D1D0CD-D42B-4348-BB58-BD1048F79E07}"/>
    <cellStyle name="Moneda 2 2 4" xfId="107" xr:uid="{67DBF92C-B285-438F-A03F-86B7679506C2}"/>
    <cellStyle name="Moneda 2 3" xfId="17" xr:uid="{DD395E67-B92E-46F7-80E1-C014996B2592}"/>
    <cellStyle name="Moneda 2 3 2" xfId="28" xr:uid="{7F0DF8CA-9B3E-401A-8141-E4E8FF6ED7E3}"/>
    <cellStyle name="Moneda 2 3 2 2" xfId="56" xr:uid="{5B94D618-0B3C-4A42-91F3-2E6E1295B663}"/>
    <cellStyle name="Moneda 2 3 2 2 2" xfId="151" xr:uid="{6B654391-58A2-4F2A-A1AD-32C5B971859F}"/>
    <cellStyle name="Moneda 2 3 2 3" xfId="111" xr:uid="{18DDCE53-9B63-464C-8A52-B2832BCFA9F5}"/>
    <cellStyle name="Moneda 2 3 3" xfId="45" xr:uid="{D7C87B8A-96D2-4174-AEF3-53C931A3C25B}"/>
    <cellStyle name="Moneda 2 3 3 2" xfId="140" xr:uid="{B2DFDD56-2154-4522-A2FB-3399E99469E6}"/>
    <cellStyle name="Moneda 2 3 4" xfId="129" xr:uid="{CA818A90-746A-4181-B217-18AE1D8188C9}"/>
    <cellStyle name="Moneda 2 4" xfId="9" xr:uid="{FEC1AA6B-6EDE-4C1E-88C4-1835BBC866DA}"/>
    <cellStyle name="Moneda 2 4 2" xfId="37" xr:uid="{481A13C2-6CB9-443B-AB5F-F7C58D82E808}"/>
    <cellStyle name="Moneda 2 4 2 2" xfId="132" xr:uid="{94C3DE59-E59A-4556-BAA6-E211E55DE45C}"/>
    <cellStyle name="Moneda 2 4 3" xfId="113" xr:uid="{FCDCC74F-11F8-4B27-BE3E-C2249DE0571A}"/>
    <cellStyle name="Moneda 2 5" xfId="20" xr:uid="{26FBDE1B-5F39-480C-94B8-0BB08EF2FF2F}"/>
    <cellStyle name="Moneda 2 5 2" xfId="48" xr:uid="{70C0A4B3-9C15-4D42-964F-62AD908D7CEA}"/>
    <cellStyle name="Moneda 2 5 2 2" xfId="143" xr:uid="{4F8A83E9-1E66-4190-9195-2C3B9A43FFBB}"/>
    <cellStyle name="Moneda 2 5 3" xfId="120" xr:uid="{F8E4C78B-E9E8-4BD6-A728-169A438563E9}"/>
    <cellStyle name="Moneda 2 6" xfId="36" xr:uid="{A9644D3F-7C97-4615-BEA1-7F98F76CC208}"/>
    <cellStyle name="Moneda 2 6 2" xfId="131" xr:uid="{341A6F85-212B-4A1F-916C-DEAA8052C879}"/>
    <cellStyle name="Moneda 2 7" xfId="117" xr:uid="{8BA4CACE-6EFE-492F-9656-E11F28BB3E11}"/>
    <cellStyle name="Moneda 3" xfId="10" xr:uid="{546173A2-D58B-4527-94EC-9BE304921061}"/>
    <cellStyle name="Moneda 3 2" xfId="14" xr:uid="{C6C1589C-FE8B-4106-A624-9A0F5267D169}"/>
    <cellStyle name="Moneda 3 2 2" xfId="25" xr:uid="{0E8AE5A7-010F-42D5-8792-E3AE70F69E8D}"/>
    <cellStyle name="Moneda 3 2 2 2" xfId="53" xr:uid="{AA7F046E-CEDB-472A-84C6-DF7C1B593DF2}"/>
    <cellStyle name="Moneda 3 2 2 2 2" xfId="148" xr:uid="{6495175D-7689-4B97-9DFB-BA9A06349993}"/>
    <cellStyle name="Moneda 3 2 2 3" xfId="122" xr:uid="{3B85BEE8-AA49-4DFC-B1AE-B405DF34CF50}"/>
    <cellStyle name="Moneda 3 2 3" xfId="42" xr:uid="{C3133EDE-93AC-4BEF-B276-A23E5DFEBD9F}"/>
    <cellStyle name="Moneda 3 2 3 2" xfId="137" xr:uid="{99FF4999-696F-46CD-8FBF-F0C7711CE07A}"/>
    <cellStyle name="Moneda 3 2 4" xfId="108" xr:uid="{EC8980E2-5549-4CD7-9EA1-8EE337063304}"/>
    <cellStyle name="Moneda 3 3" xfId="18" xr:uid="{82438289-3D5C-4428-863C-2B71063FED80}"/>
    <cellStyle name="Moneda 3 3 2" xfId="29" xr:uid="{4574627F-4AF7-4435-B0C2-DC8FC5969454}"/>
    <cellStyle name="Moneda 3 3 2 2" xfId="57" xr:uid="{EAA2A0D6-AFB8-433C-92D3-8D8EEBAE949A}"/>
    <cellStyle name="Moneda 3 3 2 2 2" xfId="152" xr:uid="{37E70E50-FE80-43BB-BA9D-96E742532F30}"/>
    <cellStyle name="Moneda 3 3 2 3" xfId="127" xr:uid="{28CF6426-259F-4328-B36E-7FC7C4E7CEA8}"/>
    <cellStyle name="Moneda 3 3 3" xfId="46" xr:uid="{8C7E75FC-59CF-4D46-A8C1-805DEF295831}"/>
    <cellStyle name="Moneda 3 3 3 2" xfId="141" xr:uid="{AB1118F3-FE28-4965-BFFC-26036AA8C621}"/>
    <cellStyle name="Moneda 3 3 4" xfId="126" xr:uid="{7E2FEEDA-331E-4BFE-8CF8-371B2605A969}"/>
    <cellStyle name="Moneda 3 4" xfId="21" xr:uid="{C6A0D681-AB4A-4A8C-B381-AC10DE7E918D}"/>
    <cellStyle name="Moneda 3 4 2" xfId="49" xr:uid="{4EB9BFA7-F673-4812-AF29-FEDC6365E667}"/>
    <cellStyle name="Moneda 3 4 2 2" xfId="144" xr:uid="{5C9FA252-43DF-4207-B446-275E4995825D}"/>
    <cellStyle name="Moneda 3 4 3" xfId="116" xr:uid="{63714987-784E-48C5-A41F-234BAB81114C}"/>
    <cellStyle name="Moneda 3 5" xfId="38" xr:uid="{1E021BAB-1A45-4A14-8582-3397379A60A1}"/>
    <cellStyle name="Moneda 3 5 2" xfId="133" xr:uid="{B987FC2F-05A9-4FA3-A3FA-9DCFE3FD8BCA}"/>
    <cellStyle name="Moneda 3 6" xfId="109" xr:uid="{55F268E0-A6E2-45E3-A8AD-0FB275B61501}"/>
    <cellStyle name="Moneda 4" xfId="11" xr:uid="{275AB8A0-01D1-4C2E-A2D8-E03E3C1BF73F}"/>
    <cellStyle name="Moneda 4 2" xfId="19" xr:uid="{5185B0A7-A31E-4F9D-80CA-179D2101E33A}"/>
    <cellStyle name="Moneda 4 2 2" xfId="30" xr:uid="{3F841A54-6CFE-488F-8102-8C079DDEB100}"/>
    <cellStyle name="Moneda 4 2 2 2" xfId="58" xr:uid="{D3FBF03C-086E-4277-9423-9FE328981EFD}"/>
    <cellStyle name="Moneda 4 2 2 2 2" xfId="153" xr:uid="{48547832-5468-483A-9EC9-C6D2FA78CD97}"/>
    <cellStyle name="Moneda 4 2 2 3" xfId="124" xr:uid="{9B90E050-B43D-4AA3-B0EE-6BD980E831FB}"/>
    <cellStyle name="Moneda 4 2 3" xfId="47" xr:uid="{0CC96D79-FFC1-449E-AE9A-4778972DE16D}"/>
    <cellStyle name="Moneda 4 2 3 2" xfId="142" xr:uid="{41B5A3FA-831A-4D03-A6C5-6ED286B00888}"/>
    <cellStyle name="Moneda 4 2 4" xfId="123" xr:uid="{35AD57E6-ACDD-4491-A479-2AB29EC9813A}"/>
    <cellStyle name="Moneda 4 3" xfId="22" xr:uid="{4BD919E8-7286-47B5-B20F-CAD8594E1D8F}"/>
    <cellStyle name="Moneda 4 3 2" xfId="50" xr:uid="{6EAD3018-F2D9-48E2-B56F-94C6828FD51C}"/>
    <cellStyle name="Moneda 4 3 2 2" xfId="145" xr:uid="{2D530C55-0CCB-415E-83DD-47E2AB8EC89A}"/>
    <cellStyle name="Moneda 4 3 3" xfId="112" xr:uid="{FD2A642B-B22B-4FD9-BBE4-3AF9759A1C15}"/>
    <cellStyle name="Moneda 4 4" xfId="39" xr:uid="{3BDE76EF-F7E5-42DF-8291-DC0B9282456A}"/>
    <cellStyle name="Moneda 4 4 2" xfId="134" xr:uid="{16AAC9A7-14E8-4505-BC26-C66F40E08068}"/>
    <cellStyle name="Moneda 4 5" xfId="104" xr:uid="{C32A5F4F-FE69-4695-8F7D-38B7F57E6D5F}"/>
    <cellStyle name="Moneda 5" xfId="12" xr:uid="{F5DB0D7C-ADC1-4643-9570-6F9CAB66875F}"/>
    <cellStyle name="Moneda 5 2" xfId="16" xr:uid="{72DD87A7-A135-4BE1-B41D-9FFC0A8BD58F}"/>
    <cellStyle name="Moneda 5 2 2" xfId="27" xr:uid="{3F83F38F-50B3-4BDE-A61C-73429232793F}"/>
    <cellStyle name="Moneda 5 2 2 2" xfId="55" xr:uid="{7E741CB5-80F0-4ACD-990E-B523C3D279BC}"/>
    <cellStyle name="Moneda 5 2 2 2 2" xfId="150" xr:uid="{A3CFA0EB-D88B-4C5D-B580-C202BF755850}"/>
    <cellStyle name="Moneda 5 2 2 3" xfId="115" xr:uid="{F29D983E-BF66-4BA4-8BD6-0C4AD0FB5D52}"/>
    <cellStyle name="Moneda 5 2 3" xfId="44" xr:uid="{1E972E4C-1D67-4E2C-AB1A-F35F071A3CDD}"/>
    <cellStyle name="Moneda 5 2 3 2" xfId="139" xr:uid="{B83494EB-B04D-44FF-8E51-3635A8DEACFE}"/>
    <cellStyle name="Moneda 5 2 4" xfId="105" xr:uid="{F4AA0E69-D871-4A3C-BD14-B6820521C19B}"/>
    <cellStyle name="Moneda 5 3" xfId="23" xr:uid="{9AD40182-55CE-40C6-80A1-4E4D0FF24323}"/>
    <cellStyle name="Moneda 5 3 2" xfId="51" xr:uid="{84C9B33E-2EC5-4053-8161-DB2360F5ED6F}"/>
    <cellStyle name="Moneda 5 3 2 2" xfId="146" xr:uid="{DABCDD00-4BF4-43CB-946A-C1C9F64F3EDC}"/>
    <cellStyle name="Moneda 5 3 3" xfId="128" xr:uid="{E6818C49-B009-47CE-8BE7-AE4F7E7CD3F6}"/>
    <cellStyle name="Moneda 5 4" xfId="40" xr:uid="{8CB2D1AA-7904-4893-8C6F-8D56D2E8DFDF}"/>
    <cellStyle name="Moneda 5 4 2" xfId="135" xr:uid="{91EBC11C-B47A-4A96-859B-E47744D3BD89}"/>
    <cellStyle name="Moneda 5 5" xfId="103" xr:uid="{3C04B6F3-1EB8-42F2-87FA-CFCECE1F0881}"/>
    <cellStyle name="Moneda 6" xfId="15" xr:uid="{D5AE2924-FC88-4A74-98B1-F1DD187D4229}"/>
    <cellStyle name="Moneda 6 2" xfId="26" xr:uid="{78DC1817-0A75-43E5-926C-190F5DB09619}"/>
    <cellStyle name="Moneda 6 2 2" xfId="54" xr:uid="{D3EFF5FB-CE8A-4C00-9DF7-BB9AF7515F3D}"/>
    <cellStyle name="Moneda 6 2 2 2" xfId="149" xr:uid="{B3A5FA31-4204-4BB6-831E-15CFD7CE8E83}"/>
    <cellStyle name="Moneda 6 2 3" xfId="119" xr:uid="{4FA6CFB0-D64D-44ED-BCEC-8A03959609EC}"/>
    <cellStyle name="Moneda 6 3" xfId="43" xr:uid="{11804A18-5D29-48A9-816A-582136BA998C}"/>
    <cellStyle name="Moneda 6 3 2" xfId="138" xr:uid="{47362EA3-244D-4F90-8957-E2D12FAA96F2}"/>
    <cellStyle name="Moneda 6 4" xfId="106" xr:uid="{4BFFD461-35E5-4F56-B93F-73EC86FDEE7B}"/>
    <cellStyle name="Moneda 7" xfId="31" xr:uid="{B5858E36-3681-4BDE-834F-66D575C33C9C}"/>
    <cellStyle name="Moneda 7 2" xfId="59" xr:uid="{D6D4755E-C9CE-4821-8266-B648AB24B869}"/>
    <cellStyle name="Moneda 7 2 2" xfId="154" xr:uid="{749DB460-DBF7-46BA-A6C8-38043AE4EF5B}"/>
    <cellStyle name="Moneda 7 3" xfId="121" xr:uid="{335905D4-720A-41F0-8281-6C1E12A0DD7A}"/>
    <cellStyle name="Moneda 8" xfId="33" xr:uid="{97F7F235-5542-4303-A51D-B67DB136003E}"/>
    <cellStyle name="Moneda 8 2" xfId="60" xr:uid="{19FA0ECF-8298-481E-980C-19FD6808B880}"/>
    <cellStyle name="Moneda 8 2 2" xfId="155" xr:uid="{9EB91662-221B-4425-A415-4487409067CF}"/>
    <cellStyle name="Moneda 8 3" xfId="114" xr:uid="{DFD47348-26C2-4A71-BB41-869F7D30AB6F}"/>
    <cellStyle name="Moneda 9" xfId="35" xr:uid="{FE290F6D-42BF-4D74-8890-E726CD4F081B}"/>
    <cellStyle name="Moneda 9 2" xfId="130" xr:uid="{38FBBCD5-823C-4969-8B42-4835DF9F15B3}"/>
    <cellStyle name="Neutral" xfId="68" builtinId="28" customBuiltin="1"/>
    <cellStyle name="Normal" xfId="0" builtinId="0"/>
    <cellStyle name="Normal 2 2" xfId="5" xr:uid="{7133E2F9-2C5D-48F5-99B6-69D7054D688E}"/>
    <cellStyle name="Normal 3" xfId="3" xr:uid="{2EB3D19B-D8CE-44C2-B506-8DBDB62568D6}"/>
    <cellStyle name="Normal_ARQUITECTURA DE PRECIOS 1 0" xfId="2" xr:uid="{BAEA6EC7-A56C-4C02-BF1A-A8CCDB903C15}"/>
    <cellStyle name="Normal_Precio públicos al 01-03" xfId="4" xr:uid="{EE6BA769-AE04-4E7B-89F2-37C4808A43AF}"/>
    <cellStyle name="Notas" xfId="75" builtinId="10" customBuiltin="1"/>
    <cellStyle name="Porcentaje" xfId="1" builtinId="5"/>
    <cellStyle name="Porcentaje 2" xfId="7" xr:uid="{66E51866-3ECF-42E8-9503-69727C81520D}"/>
    <cellStyle name="Porcentaje 3" xfId="6" xr:uid="{5643A4AB-FFE8-4810-B375-2CC30B310AE9}"/>
    <cellStyle name="Salida" xfId="70" builtinId="21" customBuiltin="1"/>
    <cellStyle name="Texto de advertencia" xfId="74" builtinId="11" customBuiltin="1"/>
    <cellStyle name="Texto explicativo" xfId="76" builtinId="53" customBuiltin="1"/>
    <cellStyle name="Título" xfId="61" builtinId="15" customBuiltin="1"/>
    <cellStyle name="Título 2" xfId="63" builtinId="17" customBuiltin="1"/>
    <cellStyle name="Título 3" xfId="64" builtinId="18" customBuiltin="1"/>
    <cellStyle name="Total" xfId="77" builtinId="25" customBuiltin="1"/>
  </cellStyles>
  <dxfs count="22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66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8940C-8631-47D3-83A2-691024AA7E5B}">
  <dimension ref="A1:GF110"/>
  <sheetViews>
    <sheetView tabSelected="1" zoomScale="90" zoomScaleNormal="90" workbookViewId="0">
      <selection activeCell="A4" sqref="A4"/>
    </sheetView>
  </sheetViews>
  <sheetFormatPr baseColWidth="10" defaultColWidth="11.453125" defaultRowHeight="14.5" outlineLevelCol="1" x14ac:dyDescent="0.35"/>
  <cols>
    <col min="1" max="1" width="11" customWidth="1" collapsed="1"/>
    <col min="2" max="2" width="36.1796875" customWidth="1"/>
    <col min="3" max="3" width="14.1796875" customWidth="1"/>
    <col min="4" max="4" width="7.81640625" bestFit="1" customWidth="1"/>
    <col min="5" max="5" width="6" customWidth="1"/>
    <col min="6" max="6" width="9.453125" style="82" customWidth="1"/>
    <col min="7" max="7" width="8.6328125" customWidth="1"/>
    <col min="8" max="8" width="9.453125" style="82" customWidth="1"/>
    <col min="9" max="9" width="10.1796875" customWidth="1"/>
    <col min="10" max="14" width="9.1796875" customWidth="1"/>
    <col min="15" max="15" width="10.1796875" style="77" customWidth="1"/>
    <col min="16" max="16" width="8" style="77" hidden="1" customWidth="1"/>
    <col min="17" max="17" width="10" style="1" hidden="1" customWidth="1"/>
    <col min="18" max="18" width="6.453125" customWidth="1"/>
    <col min="19" max="19" width="118.1796875" bestFit="1" customWidth="1"/>
    <col min="20" max="20" width="11.6328125" bestFit="1" customWidth="1"/>
    <col min="21" max="22" width="10.6328125" bestFit="1" customWidth="1"/>
    <col min="23" max="23" width="10.453125" bestFit="1" customWidth="1"/>
    <col min="24" max="24" width="102.08984375" bestFit="1" customWidth="1"/>
    <col min="25" max="25" width="14.1796875" customWidth="1"/>
    <col min="26" max="26" width="14.81640625" customWidth="1"/>
    <col min="27" max="27" width="10.81640625" customWidth="1"/>
    <col min="28" max="29" width="10.453125" customWidth="1"/>
    <col min="30" max="30" width="8.81640625" customWidth="1"/>
    <col min="31" max="31" width="1.81640625" customWidth="1"/>
    <col min="32" max="32" width="8" hidden="1" customWidth="1"/>
    <col min="33" max="33" width="7.1796875" hidden="1" customWidth="1"/>
    <col min="34" max="34" width="2.81640625" hidden="1" customWidth="1"/>
    <col min="35" max="35" width="11.453125" hidden="1" customWidth="1"/>
    <col min="36" max="36" width="4" hidden="1" customWidth="1"/>
    <col min="37" max="39" width="11.453125" hidden="1" customWidth="1"/>
    <col min="40" max="40" width="8.54296875" hidden="1" customWidth="1"/>
    <col min="41" max="41" width="11.453125" customWidth="1"/>
    <col min="42" max="42" width="10.1796875" customWidth="1"/>
    <col min="43" max="43" width="11.453125" customWidth="1"/>
    <col min="44" max="44" width="10.1796875" bestFit="1" customWidth="1"/>
    <col min="45" max="45" width="11.453125" customWidth="1"/>
    <col min="46" max="46" width="10.1796875" bestFit="1" customWidth="1"/>
    <col min="47" max="47" width="11.453125" customWidth="1"/>
    <col min="48" max="48" width="10.1796875" customWidth="1"/>
    <col min="49" max="49" width="11.453125" customWidth="1"/>
    <col min="50" max="50" width="10.1796875" customWidth="1"/>
    <col min="51" max="51" width="11.453125" customWidth="1"/>
    <col min="52" max="52" width="10.1796875" customWidth="1"/>
    <col min="53" max="53" width="11.453125" customWidth="1"/>
    <col min="54" max="54" width="10.1796875" customWidth="1"/>
    <col min="55" max="55" width="11.453125" customWidth="1"/>
    <col min="56" max="56" width="10.1796875" customWidth="1"/>
    <col min="57" max="57" width="11.453125" customWidth="1"/>
    <col min="58" max="58" width="10.1796875" customWidth="1"/>
    <col min="59" max="59" width="11.453125" customWidth="1"/>
    <col min="60" max="60" width="10.1796875" customWidth="1"/>
    <col min="61" max="61" width="11.453125" customWidth="1"/>
    <col min="62" max="62" width="9.1796875" customWidth="1"/>
    <col min="63" max="69" width="11.453125" customWidth="1"/>
    <col min="70" max="70" width="9.1796875" customWidth="1"/>
    <col min="71" max="71" width="11.453125" customWidth="1"/>
    <col min="72" max="72" width="9.1796875" customWidth="1"/>
    <col min="73" max="73" width="11.453125" customWidth="1"/>
    <col min="74" max="74" width="9.1796875" customWidth="1"/>
    <col min="75" max="75" width="11.453125" customWidth="1"/>
    <col min="76" max="76" width="9.1796875" customWidth="1"/>
    <col min="77" max="77" width="11.453125" customWidth="1"/>
    <col min="78" max="78" width="9.1796875" customWidth="1"/>
    <col min="79" max="79" width="11.453125" customWidth="1"/>
    <col min="80" max="80" width="10" customWidth="1"/>
    <col min="81" max="81" width="11.453125" customWidth="1"/>
    <col min="82" max="82" width="10" customWidth="1"/>
    <col min="83" max="83" width="11.453125" customWidth="1"/>
    <col min="84" max="84" width="10" customWidth="1"/>
    <col min="85" max="85" width="11.453125" customWidth="1"/>
    <col min="86" max="86" width="10" customWidth="1"/>
    <col min="87" max="87" width="11.453125" customWidth="1"/>
    <col min="88" max="88" width="9.1796875" customWidth="1"/>
    <col min="89" max="89" width="11.453125" customWidth="1"/>
    <col min="90" max="90" width="11.54296875" customWidth="1"/>
    <col min="91" max="91" width="3.453125" customWidth="1"/>
    <col min="92" max="92" width="11.54296875" customWidth="1"/>
    <col min="93" max="93" width="2.81640625" customWidth="1"/>
    <col min="94" max="94" width="11.54296875" customWidth="1"/>
    <col min="95" max="95" width="3.453125" customWidth="1"/>
    <col min="96" max="96" width="11.54296875" customWidth="1"/>
    <col min="97" max="97" width="3.453125" customWidth="1"/>
    <col min="98" max="98" width="11.54296875" customWidth="1"/>
    <col min="99" max="99" width="3.453125" customWidth="1"/>
    <col min="100" max="100" width="11.54296875" customWidth="1"/>
    <col min="101" max="101" width="3.453125" customWidth="1"/>
    <col min="102" max="102" width="11.54296875" customWidth="1"/>
    <col min="103" max="103" width="3.453125" customWidth="1"/>
    <col min="104" max="104" width="11.54296875" customWidth="1"/>
    <col min="105" max="105" width="3.453125" customWidth="1"/>
    <col min="106" max="106" width="11.54296875" customWidth="1"/>
    <col min="107" max="107" width="3.453125" customWidth="1"/>
    <col min="108" max="108" width="11.54296875" customWidth="1"/>
    <col min="109" max="109" width="3" customWidth="1"/>
    <col min="110" max="110" width="11.54296875" customWidth="1"/>
    <col min="111" max="111" width="4.81640625" customWidth="1"/>
    <col min="112" max="112" width="11.54296875" customWidth="1"/>
    <col min="113" max="113" width="4.81640625" customWidth="1"/>
    <col min="114" max="114" width="11.453125" customWidth="1"/>
    <col min="115" max="115" width="4.81640625" customWidth="1"/>
    <col min="116" max="116" width="11.453125" customWidth="1"/>
    <col min="117" max="117" width="4.81640625" customWidth="1"/>
    <col min="118" max="172" width="11.453125" customWidth="1"/>
    <col min="173" max="173" width="11.453125" customWidth="1" outlineLevel="1"/>
    <col min="174" max="175" width="11.453125" customWidth="1"/>
    <col min="177" max="183" width="11.453125" outlineLevel="1"/>
    <col min="186" max="188" width="11.453125" outlineLevel="1"/>
  </cols>
  <sheetData>
    <row r="1" spans="1:40" ht="15" thickBot="1" x14ac:dyDescent="0.4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3"/>
      <c r="P1" s="3"/>
    </row>
    <row r="2" spans="1:40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88</v>
      </c>
      <c r="G2" s="6" t="s">
        <v>90</v>
      </c>
      <c r="H2" s="7" t="s">
        <v>196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10"/>
      <c r="Q2" s="11" t="s">
        <v>161</v>
      </c>
      <c r="S2" s="9" t="s">
        <v>191</v>
      </c>
      <c r="AF2" t="s">
        <v>149</v>
      </c>
      <c r="AG2" t="s">
        <v>102</v>
      </c>
    </row>
    <row r="3" spans="1:40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0.35</v>
      </c>
      <c r="M3" s="16"/>
      <c r="N3" s="17">
        <v>0.45</v>
      </c>
      <c r="O3" s="18"/>
      <c r="P3" s="3"/>
      <c r="Q3" s="18"/>
    </row>
    <row r="4" spans="1:40" x14ac:dyDescent="0.35">
      <c r="A4" s="221">
        <v>100021632</v>
      </c>
      <c r="B4" s="218" t="s">
        <v>14</v>
      </c>
      <c r="C4" s="99">
        <v>7790360026606</v>
      </c>
      <c r="D4" s="100">
        <v>4.8</v>
      </c>
      <c r="E4" s="101">
        <v>30</v>
      </c>
      <c r="F4" s="85">
        <f t="shared" ref="F4:F35" si="0">+VLOOKUP(A4,$AK$4:$AL$110,2,FALSE)</f>
        <v>40261.781955842147</v>
      </c>
      <c r="G4" s="117"/>
      <c r="H4" s="85">
        <f>+F4*(1-G4)</f>
        <v>40261.781955842147</v>
      </c>
      <c r="I4" s="85">
        <f>+H4/E4</f>
        <v>1342.0593985280716</v>
      </c>
      <c r="J4" s="85">
        <f>+I4*J$3</f>
        <v>281.83247369089503</v>
      </c>
      <c r="K4" s="85">
        <f>+I4+J4</f>
        <v>1623.8918722189667</v>
      </c>
      <c r="L4" s="85">
        <f>+K4*L$3</f>
        <v>568.3621552766383</v>
      </c>
      <c r="M4" s="85">
        <f>+K4+L4</f>
        <v>2192.254027495605</v>
      </c>
      <c r="N4" s="85">
        <f>+M4*N$3</f>
        <v>986.51431237302222</v>
      </c>
      <c r="O4" s="102">
        <f>+M4+N4</f>
        <v>3178.7683398686272</v>
      </c>
      <c r="P4" s="185">
        <f t="shared" ref="P4:P39" si="1">H4/Q4-1</f>
        <v>5.0000000000000044E-2</v>
      </c>
      <c r="Q4" s="25">
        <v>38344.554243659186</v>
      </c>
      <c r="S4" s="119" t="s">
        <v>210</v>
      </c>
      <c r="AF4">
        <v>29534.055286406387</v>
      </c>
      <c r="AG4">
        <f>+(H4-AF4)/AF4</f>
        <v>0.36323243000000077</v>
      </c>
      <c r="AK4" s="210">
        <v>100021632</v>
      </c>
      <c r="AL4" s="201">
        <v>40261.781955842147</v>
      </c>
      <c r="AN4" s="118">
        <f>+Q4/H4</f>
        <v>0.95238095238095233</v>
      </c>
    </row>
    <row r="5" spans="1:40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f t="shared" si="0"/>
        <v>50775.845005015697</v>
      </c>
      <c r="G5" s="23"/>
      <c r="H5" s="24">
        <f t="shared" ref="H5:H77" si="2">+F5*(1-G5)</f>
        <v>50775.845005015697</v>
      </c>
      <c r="I5" s="24">
        <f t="shared" ref="I5:I77" si="3">+H5/E5</f>
        <v>2820.8802780564274</v>
      </c>
      <c r="J5" s="24">
        <f t="shared" ref="J5:J77" si="4">+I5*J$3</f>
        <v>592.38485839184978</v>
      </c>
      <c r="K5" s="24">
        <f t="shared" ref="K5:K77" si="5">+I5+J5</f>
        <v>3413.2651364482772</v>
      </c>
      <c r="L5" s="24">
        <f t="shared" ref="L5:L77" si="6">+K5*L$3</f>
        <v>1194.6427977568969</v>
      </c>
      <c r="M5" s="24">
        <f t="shared" ref="M5:M77" si="7">+K5+L5</f>
        <v>4607.9079342051737</v>
      </c>
      <c r="N5" s="24">
        <f t="shared" ref="N5:N77" si="8">+M5*N$3</f>
        <v>2073.5585703923284</v>
      </c>
      <c r="O5" s="25">
        <f t="shared" ref="O5:O77" si="9">+M5+N5</f>
        <v>6681.4665045975016</v>
      </c>
      <c r="P5" s="185">
        <f t="shared" si="1"/>
        <v>0.10000000000000009</v>
      </c>
      <c r="Q5" s="25">
        <v>46159.859095468812</v>
      </c>
      <c r="AF5">
        <v>38042.376745511545</v>
      </c>
      <c r="AG5">
        <f t="shared" ref="AG5:AG77" si="10">+(H5-AF5)/AF5</f>
        <v>0.33471800000000052</v>
      </c>
      <c r="AK5" s="210">
        <v>100021652</v>
      </c>
      <c r="AL5" s="24">
        <v>50775.845005015697</v>
      </c>
      <c r="AN5" s="118">
        <f t="shared" ref="AN5:AN71" si="11">+Q5/H5</f>
        <v>0.90909090909090906</v>
      </c>
    </row>
    <row r="6" spans="1:40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f t="shared" si="0"/>
        <v>64362.044382319793</v>
      </c>
      <c r="G6" s="23"/>
      <c r="H6" s="24">
        <f t="shared" si="2"/>
        <v>64362.044382319793</v>
      </c>
      <c r="I6" s="24">
        <f t="shared" si="3"/>
        <v>8045.2555477899741</v>
      </c>
      <c r="J6" s="24">
        <f t="shared" si="4"/>
        <v>1689.5036650358945</v>
      </c>
      <c r="K6" s="24">
        <f t="shared" si="5"/>
        <v>9734.7592128258693</v>
      </c>
      <c r="L6" s="24">
        <f t="shared" si="6"/>
        <v>3407.1657244890539</v>
      </c>
      <c r="M6" s="24">
        <f t="shared" si="7"/>
        <v>13141.924937314923</v>
      </c>
      <c r="N6" s="24">
        <f t="shared" si="8"/>
        <v>5913.8662217917154</v>
      </c>
      <c r="O6" s="25">
        <f t="shared" si="9"/>
        <v>19055.791159106637</v>
      </c>
      <c r="P6" s="185">
        <f t="shared" si="1"/>
        <v>0.10000000000000009</v>
      </c>
      <c r="Q6" s="25">
        <v>58510.949438472533</v>
      </c>
      <c r="AF6">
        <v>63884.503588871055</v>
      </c>
      <c r="AG6">
        <f t="shared" si="10"/>
        <v>7.4750646341709562E-3</v>
      </c>
      <c r="AK6" s="26">
        <v>100021631</v>
      </c>
      <c r="AL6" s="24">
        <v>64362.044382319793</v>
      </c>
      <c r="AN6" s="118">
        <f t="shared" si="11"/>
        <v>0.90909090909090895</v>
      </c>
    </row>
    <row r="7" spans="1:40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f t="shared" si="0"/>
        <v>78890.369934639559</v>
      </c>
      <c r="G7" s="23"/>
      <c r="H7" s="24">
        <f t="shared" si="2"/>
        <v>78890.369934639559</v>
      </c>
      <c r="I7" s="24">
        <f t="shared" si="3"/>
        <v>13148.394989106593</v>
      </c>
      <c r="J7" s="24">
        <f t="shared" si="4"/>
        <v>2761.1629477123843</v>
      </c>
      <c r="K7" s="24">
        <f t="shared" si="5"/>
        <v>15909.557936818977</v>
      </c>
      <c r="L7" s="24">
        <f t="shared" si="6"/>
        <v>5568.3452778866422</v>
      </c>
      <c r="M7" s="24">
        <f t="shared" si="7"/>
        <v>21477.90321470562</v>
      </c>
      <c r="N7" s="24">
        <f t="shared" si="8"/>
        <v>9665.0564466175292</v>
      </c>
      <c r="O7" s="25">
        <f t="shared" si="9"/>
        <v>31142.959661323148</v>
      </c>
      <c r="P7" s="185">
        <f t="shared" si="1"/>
        <v>0.10000000000000009</v>
      </c>
      <c r="Q7" s="25">
        <v>71718.51812239959</v>
      </c>
      <c r="AF7">
        <v>79885.735284198541</v>
      </c>
      <c r="AG7">
        <f t="shared" si="10"/>
        <v>-1.2459863403871885E-2</v>
      </c>
      <c r="AK7" s="26">
        <v>100021630</v>
      </c>
      <c r="AL7" s="24">
        <v>78890.369934639559</v>
      </c>
      <c r="AN7" s="118">
        <f t="shared" si="11"/>
        <v>0.90909090909090895</v>
      </c>
    </row>
    <row r="8" spans="1:40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f t="shared" si="0"/>
        <v>50614.811601630128</v>
      </c>
      <c r="G8" s="23"/>
      <c r="H8" s="24">
        <f t="shared" si="2"/>
        <v>50614.811601630128</v>
      </c>
      <c r="I8" s="24">
        <f t="shared" si="3"/>
        <v>2811.9339778683407</v>
      </c>
      <c r="J8" s="24">
        <f t="shared" si="4"/>
        <v>590.50613535235152</v>
      </c>
      <c r="K8" s="24">
        <f t="shared" si="5"/>
        <v>3402.4401132206922</v>
      </c>
      <c r="L8" s="24">
        <f t="shared" si="6"/>
        <v>1190.8540396272422</v>
      </c>
      <c r="M8" s="24">
        <f t="shared" si="7"/>
        <v>4593.2941528479341</v>
      </c>
      <c r="N8" s="24">
        <f t="shared" si="8"/>
        <v>2066.9823687815706</v>
      </c>
      <c r="O8" s="25">
        <f t="shared" si="9"/>
        <v>6660.2765216295047</v>
      </c>
      <c r="P8" s="185">
        <f t="shared" si="1"/>
        <v>0</v>
      </c>
      <c r="Q8" s="25">
        <v>50614.811601630128</v>
      </c>
      <c r="AF8">
        <v>50298.202194078498</v>
      </c>
      <c r="AG8">
        <f t="shared" si="10"/>
        <v>6.2946466024764612E-3</v>
      </c>
      <c r="AK8" s="27">
        <v>100021653</v>
      </c>
      <c r="AL8" s="24">
        <v>50614.811601630128</v>
      </c>
      <c r="AN8" s="118">
        <f t="shared" si="11"/>
        <v>1</v>
      </c>
    </row>
    <row r="9" spans="1:40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f t="shared" si="0"/>
        <v>46670.247357300017</v>
      </c>
      <c r="G9" s="23"/>
      <c r="H9" s="24">
        <f t="shared" si="2"/>
        <v>46670.247357300017</v>
      </c>
      <c r="I9" s="24">
        <f t="shared" si="3"/>
        <v>2592.7915198500009</v>
      </c>
      <c r="J9" s="24">
        <f t="shared" si="4"/>
        <v>544.48621916850016</v>
      </c>
      <c r="K9" s="24">
        <f t="shared" si="5"/>
        <v>3137.2777390185011</v>
      </c>
      <c r="L9" s="24">
        <f t="shared" si="6"/>
        <v>1098.0472086564753</v>
      </c>
      <c r="M9" s="24">
        <f t="shared" si="7"/>
        <v>4235.3249476749761</v>
      </c>
      <c r="N9" s="24">
        <f t="shared" si="8"/>
        <v>1905.8962264537392</v>
      </c>
      <c r="O9" s="25">
        <f t="shared" si="9"/>
        <v>6141.2211741287156</v>
      </c>
      <c r="P9" s="185">
        <f t="shared" si="1"/>
        <v>0</v>
      </c>
      <c r="Q9" s="25">
        <v>46670.247357300017</v>
      </c>
      <c r="AF9">
        <v>41155.420950000007</v>
      </c>
      <c r="AG9">
        <f t="shared" si="10"/>
        <v>0.13400000000000023</v>
      </c>
      <c r="AK9" s="27">
        <v>100516169</v>
      </c>
      <c r="AL9" s="24">
        <v>46670.247357300017</v>
      </c>
      <c r="AN9" s="118">
        <f t="shared" si="11"/>
        <v>1</v>
      </c>
    </row>
    <row r="10" spans="1:40" x14ac:dyDescent="0.35">
      <c r="A10" s="27">
        <v>100520337</v>
      </c>
      <c r="B10" s="28" t="s">
        <v>20</v>
      </c>
      <c r="C10" s="21">
        <v>7790360977960</v>
      </c>
      <c r="D10" s="22">
        <v>4.8</v>
      </c>
      <c r="E10" s="23">
        <v>30</v>
      </c>
      <c r="F10" s="24">
        <f t="shared" si="0"/>
        <v>28467.87589056712</v>
      </c>
      <c r="G10" s="23"/>
      <c r="H10" s="24">
        <f t="shared" si="2"/>
        <v>28467.87589056712</v>
      </c>
      <c r="I10" s="24">
        <f>+H10/E10</f>
        <v>948.92919635223734</v>
      </c>
      <c r="J10" s="24">
        <f>+I10*J$3</f>
        <v>199.27513123396983</v>
      </c>
      <c r="K10" s="24">
        <f>+I10+J10</f>
        <v>1148.2043275862072</v>
      </c>
      <c r="L10" s="24">
        <f>+K10*L$3</f>
        <v>401.87151465517252</v>
      </c>
      <c r="M10" s="24">
        <f>+K10+L10</f>
        <v>1550.0758422413796</v>
      </c>
      <c r="N10" s="24">
        <f>+M10*N$3</f>
        <v>697.53412900862088</v>
      </c>
      <c r="O10" s="25">
        <f>+M10+N10</f>
        <v>2247.6099712500004</v>
      </c>
      <c r="P10" s="185">
        <f t="shared" si="1"/>
        <v>5.0000000000000044E-2</v>
      </c>
      <c r="Q10" s="25">
        <v>27112.262752921066</v>
      </c>
      <c r="AF10">
        <v>25103.946993445428</v>
      </c>
      <c r="AG10">
        <f t="shared" si="10"/>
        <v>0.13400000000000017</v>
      </c>
      <c r="AK10" s="211">
        <v>100520337</v>
      </c>
      <c r="AL10" s="24">
        <v>28467.87589056712</v>
      </c>
      <c r="AN10" s="118">
        <f t="shared" si="11"/>
        <v>0.95238095238095233</v>
      </c>
    </row>
    <row r="11" spans="1:40" x14ac:dyDescent="0.35">
      <c r="A11" s="27">
        <v>100021503</v>
      </c>
      <c r="B11" s="28" t="s">
        <v>21</v>
      </c>
      <c r="C11" s="21">
        <v>7790360966841</v>
      </c>
      <c r="D11" s="22">
        <v>3.3119999999999998</v>
      </c>
      <c r="E11" s="23">
        <v>12</v>
      </c>
      <c r="F11" s="24">
        <f t="shared" si="0"/>
        <v>21735.958734682248</v>
      </c>
      <c r="G11" s="199"/>
      <c r="H11" s="24">
        <f t="shared" si="2"/>
        <v>21735.958734682248</v>
      </c>
      <c r="I11" s="24">
        <f t="shared" si="3"/>
        <v>1811.329894556854</v>
      </c>
      <c r="J11" s="24">
        <f t="shared" si="4"/>
        <v>380.37927785693932</v>
      </c>
      <c r="K11" s="24">
        <f t="shared" si="5"/>
        <v>2191.7091724137936</v>
      </c>
      <c r="L11" s="24">
        <f t="shared" si="6"/>
        <v>767.09821034482775</v>
      </c>
      <c r="M11" s="24">
        <f t="shared" si="7"/>
        <v>2958.8073827586213</v>
      </c>
      <c r="N11" s="24">
        <f t="shared" si="8"/>
        <v>1331.4633222413797</v>
      </c>
      <c r="O11" s="25">
        <f t="shared" si="9"/>
        <v>4290.2707050000008</v>
      </c>
      <c r="P11" s="185">
        <f t="shared" si="1"/>
        <v>0.14541289407657909</v>
      </c>
      <c r="Q11" s="25">
        <v>18976.527021031634</v>
      </c>
      <c r="AF11">
        <v>15081.219720718156</v>
      </c>
      <c r="AG11">
        <f t="shared" si="10"/>
        <v>0.44125999999999987</v>
      </c>
      <c r="AK11" s="212">
        <v>100021503</v>
      </c>
      <c r="AL11" s="201">
        <v>21735.958734682248</v>
      </c>
      <c r="AN11" s="118">
        <f t="shared" si="11"/>
        <v>0.87304761904761896</v>
      </c>
    </row>
    <row r="12" spans="1:40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f t="shared" si="0"/>
        <v>47491.010580473783</v>
      </c>
      <c r="G12" s="220"/>
      <c r="H12" s="24">
        <f t="shared" si="2"/>
        <v>47491.010580473783</v>
      </c>
      <c r="I12" s="24">
        <f t="shared" si="3"/>
        <v>5936.3763225592229</v>
      </c>
      <c r="J12" s="24">
        <f t="shared" si="4"/>
        <v>1246.6390277374367</v>
      </c>
      <c r="K12" s="24">
        <f t="shared" si="5"/>
        <v>7183.0153502966596</v>
      </c>
      <c r="L12" s="24">
        <f t="shared" si="6"/>
        <v>2514.0553726038306</v>
      </c>
      <c r="M12" s="24">
        <f t="shared" si="7"/>
        <v>9697.0707229004911</v>
      </c>
      <c r="N12" s="24">
        <f t="shared" si="8"/>
        <v>4363.6818253052215</v>
      </c>
      <c r="O12" s="25">
        <f t="shared" si="9"/>
        <v>14060.752548205714</v>
      </c>
      <c r="P12" s="185">
        <f t="shared" si="1"/>
        <v>5.0000000000000044E-2</v>
      </c>
      <c r="Q12" s="25">
        <v>45229.533886165504</v>
      </c>
      <c r="S12" s="193"/>
      <c r="AF12">
        <v>37985.667158953132</v>
      </c>
      <c r="AG12">
        <f t="shared" si="10"/>
        <v>0.25023500000000037</v>
      </c>
      <c r="AK12" s="27">
        <v>100516201</v>
      </c>
      <c r="AL12" s="24">
        <v>47491.010580473783</v>
      </c>
      <c r="AN12" s="118">
        <f t="shared" si="11"/>
        <v>0.95238095238095233</v>
      </c>
    </row>
    <row r="13" spans="1:40" x14ac:dyDescent="0.35">
      <c r="A13" s="84">
        <v>100021643</v>
      </c>
      <c r="B13" s="98" t="s">
        <v>23</v>
      </c>
      <c r="C13" s="99">
        <v>7790360966797</v>
      </c>
      <c r="D13" s="100">
        <v>4.7039999999999997</v>
      </c>
      <c r="E13" s="101">
        <v>42</v>
      </c>
      <c r="F13" s="85">
        <f t="shared" si="0"/>
        <v>29124.796176574535</v>
      </c>
      <c r="G13" s="235">
        <v>9.5238095238095205E-2</v>
      </c>
      <c r="H13" s="85">
        <f t="shared" si="2"/>
        <v>26351.006064519817</v>
      </c>
      <c r="I13" s="85">
        <f t="shared" si="3"/>
        <v>627.40490629809085</v>
      </c>
      <c r="J13" s="85">
        <f t="shared" si="4"/>
        <v>131.75503032259908</v>
      </c>
      <c r="K13" s="85">
        <f t="shared" si="5"/>
        <v>759.1599366206899</v>
      </c>
      <c r="L13" s="85">
        <f t="shared" si="6"/>
        <v>265.70597781724143</v>
      </c>
      <c r="M13" s="85">
        <f t="shared" si="7"/>
        <v>1024.8659144379312</v>
      </c>
      <c r="N13" s="85">
        <f t="shared" si="8"/>
        <v>461.18966149706904</v>
      </c>
      <c r="O13" s="102">
        <f t="shared" si="9"/>
        <v>1486.0555759350002</v>
      </c>
      <c r="P13" s="185">
        <f t="shared" si="1"/>
        <v>-5.0000000000000044E-2</v>
      </c>
      <c r="Q13" s="25">
        <v>27737.901120547176</v>
      </c>
      <c r="S13" t="s">
        <v>192</v>
      </c>
      <c r="AF13">
        <v>23295.457395269314</v>
      </c>
      <c r="AG13">
        <f t="shared" si="10"/>
        <v>0.13116500000000017</v>
      </c>
      <c r="AK13" s="212">
        <v>100021643</v>
      </c>
      <c r="AL13" s="24">
        <v>29124.796176574535</v>
      </c>
      <c r="AN13" s="118">
        <f t="shared" si="11"/>
        <v>1.0526315789473684</v>
      </c>
    </row>
    <row r="14" spans="1:40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f t="shared" si="0"/>
        <v>32755.096666053716</v>
      </c>
      <c r="G14" s="220"/>
      <c r="H14" s="24">
        <f t="shared" si="2"/>
        <v>32755.096666053716</v>
      </c>
      <c r="I14" s="24">
        <f t="shared" si="3"/>
        <v>1559.7665079073199</v>
      </c>
      <c r="J14" s="24">
        <f t="shared" si="4"/>
        <v>327.5509666605372</v>
      </c>
      <c r="K14" s="24">
        <f t="shared" si="5"/>
        <v>1887.3174745678571</v>
      </c>
      <c r="L14" s="24">
        <f t="shared" si="6"/>
        <v>660.56111609874995</v>
      </c>
      <c r="M14" s="24">
        <f t="shared" si="7"/>
        <v>2547.8785906666071</v>
      </c>
      <c r="N14" s="24">
        <f t="shared" si="8"/>
        <v>1146.5453657999733</v>
      </c>
      <c r="O14" s="25">
        <f t="shared" si="9"/>
        <v>3694.4239564665804</v>
      </c>
      <c r="P14" s="185">
        <f t="shared" si="1"/>
        <v>5.0000000000000044E-2</v>
      </c>
      <c r="Q14" s="25">
        <v>31195.330158146397</v>
      </c>
      <c r="S14" s="193"/>
      <c r="AF14">
        <v>27509.109486901583</v>
      </c>
      <c r="AG14">
        <f t="shared" si="10"/>
        <v>0.19070000000000004</v>
      </c>
      <c r="AK14" s="27">
        <v>100516325</v>
      </c>
      <c r="AL14" s="24">
        <v>32755.096666053716</v>
      </c>
      <c r="AN14" s="118">
        <f t="shared" si="11"/>
        <v>0.95238095238095244</v>
      </c>
    </row>
    <row r="15" spans="1:40" x14ac:dyDescent="0.35">
      <c r="A15" s="27">
        <v>100021676</v>
      </c>
      <c r="B15" s="28" t="s">
        <v>25</v>
      </c>
      <c r="C15" s="21">
        <v>7790360967411</v>
      </c>
      <c r="D15" s="22">
        <v>7.5</v>
      </c>
      <c r="E15" s="23">
        <v>30</v>
      </c>
      <c r="F15" s="24">
        <f t="shared" si="0"/>
        <v>60777.549233399848</v>
      </c>
      <c r="G15" s="199"/>
      <c r="H15" s="24">
        <f t="shared" si="2"/>
        <v>60777.549233399848</v>
      </c>
      <c r="I15" s="24">
        <f t="shared" si="3"/>
        <v>2025.9183077799948</v>
      </c>
      <c r="J15" s="24">
        <f t="shared" si="4"/>
        <v>425.44284463379893</v>
      </c>
      <c r="K15" s="24">
        <f t="shared" si="5"/>
        <v>2451.3611524137937</v>
      </c>
      <c r="L15" s="24">
        <f t="shared" si="6"/>
        <v>857.97640334482776</v>
      </c>
      <c r="M15" s="24">
        <f t="shared" si="7"/>
        <v>3309.3375557586214</v>
      </c>
      <c r="N15" s="24">
        <f t="shared" si="8"/>
        <v>1489.2019000913797</v>
      </c>
      <c r="O15" s="25">
        <f t="shared" si="9"/>
        <v>4798.5394558500011</v>
      </c>
      <c r="P15" s="185">
        <f t="shared" si="1"/>
        <v>7.1466838101360786E-2</v>
      </c>
      <c r="Q15" s="25">
        <v>56723.686699532082</v>
      </c>
      <c r="AF15">
        <v>53595.722428042187</v>
      </c>
      <c r="AG15">
        <f t="shared" si="10"/>
        <v>0.13400000000000015</v>
      </c>
      <c r="AK15" s="212">
        <v>100021676</v>
      </c>
      <c r="AL15" s="24">
        <v>60777.549233399848</v>
      </c>
      <c r="AN15" s="118">
        <f t="shared" si="11"/>
        <v>0.93330000000000002</v>
      </c>
    </row>
    <row r="16" spans="1:40" x14ac:dyDescent="0.35">
      <c r="A16" s="84">
        <v>100516008</v>
      </c>
      <c r="B16" s="98" t="s">
        <v>26</v>
      </c>
      <c r="C16" s="99">
        <v>7790360967701</v>
      </c>
      <c r="D16" s="100">
        <v>5.76</v>
      </c>
      <c r="E16" s="101">
        <v>24</v>
      </c>
      <c r="F16" s="85">
        <f t="shared" si="0"/>
        <v>50957.08677852885</v>
      </c>
      <c r="G16" s="235">
        <v>0.05</v>
      </c>
      <c r="H16" s="85">
        <f t="shared" si="2"/>
        <v>48409.232439602405</v>
      </c>
      <c r="I16" s="85">
        <f t="shared" si="3"/>
        <v>2017.0513516501003</v>
      </c>
      <c r="J16" s="85">
        <f t="shared" si="4"/>
        <v>423.58078384652106</v>
      </c>
      <c r="K16" s="85">
        <f t="shared" si="5"/>
        <v>2440.6321354966212</v>
      </c>
      <c r="L16" s="85">
        <f t="shared" si="6"/>
        <v>854.22124742381743</v>
      </c>
      <c r="M16" s="85">
        <f t="shared" si="7"/>
        <v>3294.8533829204389</v>
      </c>
      <c r="N16" s="85">
        <f>+M16*0.4265</f>
        <v>1405.2549678155672</v>
      </c>
      <c r="O16" s="102">
        <f t="shared" si="9"/>
        <v>4700.1083507360063</v>
      </c>
      <c r="P16" s="185">
        <f t="shared" si="1"/>
        <v>4.498955010449901E-2</v>
      </c>
      <c r="Q16" s="25">
        <v>46325.087590360577</v>
      </c>
      <c r="S16" s="192" t="s">
        <v>193</v>
      </c>
      <c r="AF16">
        <v>47578.979251660923</v>
      </c>
      <c r="AG16">
        <f t="shared" si="10"/>
        <v>1.7449999999999976E-2</v>
      </c>
      <c r="AK16" s="212">
        <v>100516008</v>
      </c>
      <c r="AL16" s="24">
        <v>50957.08677852885</v>
      </c>
      <c r="AN16" s="118">
        <f t="shared" si="11"/>
        <v>0.95694736842105266</v>
      </c>
    </row>
    <row r="17" spans="1:40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f t="shared" si="0"/>
        <v>63095.588372348466</v>
      </c>
      <c r="G17" s="23"/>
      <c r="H17" s="24">
        <f t="shared" si="2"/>
        <v>63095.588372348466</v>
      </c>
      <c r="I17" s="24">
        <f t="shared" si="3"/>
        <v>1752.6552325652351</v>
      </c>
      <c r="J17" s="24">
        <f t="shared" si="4"/>
        <v>368.05759883869933</v>
      </c>
      <c r="K17" s="24">
        <f t="shared" si="5"/>
        <v>2120.7128314039346</v>
      </c>
      <c r="L17" s="24">
        <f t="shared" si="6"/>
        <v>742.24949099137712</v>
      </c>
      <c r="M17" s="24">
        <f t="shared" si="7"/>
        <v>2862.9623223953117</v>
      </c>
      <c r="N17" s="24">
        <f t="shared" si="8"/>
        <v>1288.3330450778903</v>
      </c>
      <c r="O17" s="25">
        <f t="shared" si="9"/>
        <v>4151.2953674732016</v>
      </c>
      <c r="P17" s="185">
        <f t="shared" si="1"/>
        <v>0</v>
      </c>
      <c r="Q17" s="25">
        <v>63095.588372348466</v>
      </c>
      <c r="AF17">
        <v>55639.848652864603</v>
      </c>
      <c r="AG17">
        <f t="shared" si="10"/>
        <v>0.13400000000000012</v>
      </c>
      <c r="AK17" s="212">
        <v>100520834</v>
      </c>
      <c r="AL17" s="24">
        <v>63095.588372348466</v>
      </c>
      <c r="AN17" s="118">
        <f t="shared" si="11"/>
        <v>1</v>
      </c>
    </row>
    <row r="18" spans="1:40" hidden="1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 t="e">
        <f t="shared" si="0"/>
        <v>#N/A</v>
      </c>
      <c r="G18" s="23"/>
      <c r="H18" s="24" t="e">
        <f t="shared" si="2"/>
        <v>#N/A</v>
      </c>
      <c r="I18" s="24" t="e">
        <f t="shared" si="3"/>
        <v>#N/A</v>
      </c>
      <c r="J18" s="24" t="e">
        <f t="shared" si="4"/>
        <v>#N/A</v>
      </c>
      <c r="K18" s="24" t="e">
        <f t="shared" si="5"/>
        <v>#N/A</v>
      </c>
      <c r="L18" s="24" t="e">
        <f t="shared" si="6"/>
        <v>#N/A</v>
      </c>
      <c r="M18" s="24" t="e">
        <f t="shared" si="7"/>
        <v>#N/A</v>
      </c>
      <c r="N18" s="24" t="e">
        <f t="shared" si="8"/>
        <v>#N/A</v>
      </c>
      <c r="O18" s="25" t="e">
        <f t="shared" si="9"/>
        <v>#N/A</v>
      </c>
      <c r="P18" s="185" t="e">
        <f t="shared" si="1"/>
        <v>#N/A</v>
      </c>
      <c r="Q18" s="25">
        <v>50536.766687081057</v>
      </c>
      <c r="AF18">
        <v>44565.049988607629</v>
      </c>
      <c r="AG18" t="e">
        <f t="shared" si="10"/>
        <v>#N/A</v>
      </c>
      <c r="AK18" s="212">
        <v>100021644</v>
      </c>
      <c r="AL18" s="24">
        <v>21089.839476127327</v>
      </c>
      <c r="AN18" s="118" t="e">
        <f t="shared" si="11"/>
        <v>#N/A</v>
      </c>
    </row>
    <row r="19" spans="1:40" x14ac:dyDescent="0.35">
      <c r="A19" s="27">
        <v>100021644</v>
      </c>
      <c r="B19" s="28" t="s">
        <v>29</v>
      </c>
      <c r="C19" s="21">
        <v>7790360008541</v>
      </c>
      <c r="D19" s="22">
        <v>4.7039999999999997</v>
      </c>
      <c r="E19" s="23">
        <v>42</v>
      </c>
      <c r="F19" s="24">
        <f t="shared" si="0"/>
        <v>21089.839476127327</v>
      </c>
      <c r="G19" s="23"/>
      <c r="H19" s="24">
        <f t="shared" si="2"/>
        <v>21089.839476127327</v>
      </c>
      <c r="I19" s="24">
        <f t="shared" si="3"/>
        <v>502.13903514588873</v>
      </c>
      <c r="J19" s="24">
        <f t="shared" si="4"/>
        <v>105.44919738063663</v>
      </c>
      <c r="K19" s="24">
        <f t="shared" si="5"/>
        <v>607.58823252652542</v>
      </c>
      <c r="L19" s="29">
        <f>+K19*0.3</f>
        <v>182.27646975795761</v>
      </c>
      <c r="M19" s="24">
        <f t="shared" si="7"/>
        <v>789.86470228448297</v>
      </c>
      <c r="N19" s="24">
        <f t="shared" si="8"/>
        <v>355.43911602801734</v>
      </c>
      <c r="O19" s="25">
        <f t="shared" si="9"/>
        <v>1145.3038183125004</v>
      </c>
      <c r="P19" s="185">
        <f t="shared" si="1"/>
        <v>0.10000000000000009</v>
      </c>
      <c r="Q19" s="25">
        <v>19172.581341933932</v>
      </c>
      <c r="AF19">
        <v>14434.467413464281</v>
      </c>
      <c r="AG19">
        <f t="shared" si="10"/>
        <v>0.46107500000000018</v>
      </c>
      <c r="AK19" s="212">
        <v>100021677</v>
      </c>
      <c r="AL19" s="201">
        <v>16737.230888594171</v>
      </c>
      <c r="AN19" s="118">
        <f t="shared" si="11"/>
        <v>0.90909090909090906</v>
      </c>
    </row>
    <row r="20" spans="1:40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f t="shared" si="0"/>
        <v>16737.230888594171</v>
      </c>
      <c r="G20" s="23"/>
      <c r="H20" s="24">
        <f t="shared" si="2"/>
        <v>16737.230888594171</v>
      </c>
      <c r="I20" s="24">
        <f t="shared" si="3"/>
        <v>1394.769240716181</v>
      </c>
      <c r="J20" s="24">
        <f t="shared" si="4"/>
        <v>292.90154055039801</v>
      </c>
      <c r="K20" s="24">
        <f t="shared" si="5"/>
        <v>1687.6707812665791</v>
      </c>
      <c r="L20" s="29">
        <f>+K20*0.3</f>
        <v>506.30123437997372</v>
      </c>
      <c r="M20" s="24">
        <f t="shared" si="7"/>
        <v>2193.9720156465528</v>
      </c>
      <c r="N20" s="24">
        <f t="shared" si="8"/>
        <v>987.28740704094878</v>
      </c>
      <c r="O20" s="25">
        <f t="shared" si="9"/>
        <v>3181.2594226875017</v>
      </c>
      <c r="P20" s="185">
        <f t="shared" si="1"/>
        <v>0.10000000000000009</v>
      </c>
      <c r="Q20" s="25">
        <v>15215.664444176517</v>
      </c>
      <c r="AF20">
        <v>13173.735449503476</v>
      </c>
      <c r="AG20">
        <f t="shared" si="10"/>
        <v>0.27050000000000035</v>
      </c>
      <c r="AK20" s="27">
        <v>100021638</v>
      </c>
      <c r="AL20" s="24">
        <v>47532.848742384136</v>
      </c>
      <c r="AN20" s="118">
        <f t="shared" si="11"/>
        <v>0.90909090909090895</v>
      </c>
    </row>
    <row r="21" spans="1:40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f t="shared" si="0"/>
        <v>47532.848742384136</v>
      </c>
      <c r="G21" s="23"/>
      <c r="H21" s="24">
        <f t="shared" si="2"/>
        <v>47532.848742384136</v>
      </c>
      <c r="I21" s="24">
        <f t="shared" si="3"/>
        <v>792.21414570640229</v>
      </c>
      <c r="J21" s="24">
        <f t="shared" si="4"/>
        <v>166.36497059834448</v>
      </c>
      <c r="K21" s="24">
        <f t="shared" si="5"/>
        <v>958.57911630474678</v>
      </c>
      <c r="L21" s="24">
        <f t="shared" si="6"/>
        <v>335.50269070666133</v>
      </c>
      <c r="M21" s="24">
        <f t="shared" si="7"/>
        <v>1294.081807011408</v>
      </c>
      <c r="N21" s="24">
        <f t="shared" si="8"/>
        <v>582.33681315513365</v>
      </c>
      <c r="O21" s="25">
        <f t="shared" si="9"/>
        <v>1876.4186201665416</v>
      </c>
      <c r="P21" s="185">
        <f t="shared" si="1"/>
        <v>0</v>
      </c>
      <c r="Q21" s="25">
        <v>47532.848742384136</v>
      </c>
      <c r="AF21">
        <v>41916.092365418102</v>
      </c>
      <c r="AG21">
        <f t="shared" si="10"/>
        <v>0.1340000000000002</v>
      </c>
      <c r="AK21" s="27">
        <v>100021575</v>
      </c>
      <c r="AL21" s="24">
        <v>38984.491685431865</v>
      </c>
      <c r="AN21" s="118">
        <f t="shared" si="11"/>
        <v>1</v>
      </c>
    </row>
    <row r="22" spans="1:40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f t="shared" si="0"/>
        <v>38984.491685431865</v>
      </c>
      <c r="G22" s="23"/>
      <c r="H22" s="24">
        <f t="shared" si="2"/>
        <v>38984.491685431865</v>
      </c>
      <c r="I22" s="24">
        <f t="shared" si="3"/>
        <v>649.74152809053112</v>
      </c>
      <c r="J22" s="24">
        <f t="shared" si="4"/>
        <v>136.44572089901152</v>
      </c>
      <c r="K22" s="24">
        <f t="shared" si="5"/>
        <v>786.1872489895427</v>
      </c>
      <c r="L22" s="24">
        <f t="shared" si="6"/>
        <v>275.16553714633994</v>
      </c>
      <c r="M22" s="24">
        <f t="shared" si="7"/>
        <v>1061.3527861358825</v>
      </c>
      <c r="N22" s="24">
        <f t="shared" si="8"/>
        <v>477.60875376114717</v>
      </c>
      <c r="O22" s="25">
        <f t="shared" si="9"/>
        <v>1538.9615398970298</v>
      </c>
      <c r="P22" s="185">
        <f t="shared" si="1"/>
        <v>0</v>
      </c>
      <c r="Q22" s="25">
        <v>38984.491685431865</v>
      </c>
      <c r="AF22">
        <v>34377.858629128626</v>
      </c>
      <c r="AG22">
        <f t="shared" si="10"/>
        <v>0.13400000000000009</v>
      </c>
      <c r="AK22" s="27">
        <v>100021514</v>
      </c>
      <c r="AL22" s="24">
        <v>35475.666407342178</v>
      </c>
      <c r="AN22" s="118">
        <f t="shared" si="11"/>
        <v>1</v>
      </c>
    </row>
    <row r="23" spans="1:40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f t="shared" si="0"/>
        <v>35475.666407342178</v>
      </c>
      <c r="G23" s="23"/>
      <c r="H23" s="24">
        <f t="shared" si="2"/>
        <v>35475.666407342178</v>
      </c>
      <c r="I23" s="24">
        <f t="shared" si="3"/>
        <v>591.26110678903626</v>
      </c>
      <c r="J23" s="24">
        <f t="shared" si="4"/>
        <v>124.16483242569761</v>
      </c>
      <c r="K23" s="24">
        <f t="shared" si="5"/>
        <v>715.42593921473383</v>
      </c>
      <c r="L23" s="24">
        <f t="shared" si="6"/>
        <v>250.39907872515681</v>
      </c>
      <c r="M23" s="24">
        <f t="shared" si="7"/>
        <v>965.82501793989059</v>
      </c>
      <c r="N23" s="24">
        <f t="shared" si="8"/>
        <v>434.62125807295075</v>
      </c>
      <c r="O23" s="25">
        <f t="shared" si="9"/>
        <v>1400.4462760128413</v>
      </c>
      <c r="P23" s="185">
        <f t="shared" si="1"/>
        <v>0</v>
      </c>
      <c r="Q23" s="25">
        <v>35475.666407342178</v>
      </c>
      <c r="AF23">
        <v>31283.656443864355</v>
      </c>
      <c r="AG23">
        <f t="shared" si="10"/>
        <v>0.13400000000000001</v>
      </c>
      <c r="AK23" s="26">
        <v>100516208</v>
      </c>
      <c r="AL23" s="24">
        <v>41131.229126030012</v>
      </c>
      <c r="AN23" s="118">
        <f t="shared" si="11"/>
        <v>1</v>
      </c>
    </row>
    <row r="24" spans="1:40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f t="shared" si="0"/>
        <v>41131.229126030012</v>
      </c>
      <c r="G24" s="23"/>
      <c r="H24" s="24">
        <f t="shared" si="2"/>
        <v>41131.229126030012</v>
      </c>
      <c r="I24" s="24">
        <f t="shared" si="3"/>
        <v>685.52048543383353</v>
      </c>
      <c r="J24" s="24">
        <f t="shared" si="4"/>
        <v>143.95930194110502</v>
      </c>
      <c r="K24" s="24">
        <f t="shared" si="5"/>
        <v>829.4797873749385</v>
      </c>
      <c r="L24" s="24">
        <f t="shared" si="6"/>
        <v>290.31792558122845</v>
      </c>
      <c r="M24" s="24">
        <f t="shared" si="7"/>
        <v>1119.7977129561668</v>
      </c>
      <c r="N24" s="24">
        <f t="shared" si="8"/>
        <v>503.90897083027511</v>
      </c>
      <c r="O24" s="25">
        <f t="shared" si="9"/>
        <v>1623.706683786442</v>
      </c>
      <c r="P24" s="185">
        <f t="shared" si="1"/>
        <v>0</v>
      </c>
      <c r="Q24" s="25">
        <v>41131.229126030012</v>
      </c>
      <c r="AF24">
        <v>36270.925155229284</v>
      </c>
      <c r="AG24">
        <f t="shared" si="10"/>
        <v>0.13400000000000009</v>
      </c>
      <c r="AK24" s="27">
        <v>100518346</v>
      </c>
      <c r="AL24" s="24">
        <v>58788.441909204194</v>
      </c>
      <c r="AN24" s="118">
        <f t="shared" si="11"/>
        <v>1</v>
      </c>
    </row>
    <row r="25" spans="1:40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f t="shared" si="0"/>
        <v>58788.441909204194</v>
      </c>
      <c r="G25" s="23"/>
      <c r="H25" s="24">
        <f t="shared" si="2"/>
        <v>58788.441909204194</v>
      </c>
      <c r="I25" s="24">
        <f t="shared" si="3"/>
        <v>979.80736515340323</v>
      </c>
      <c r="J25" s="24">
        <f>I25*J3</f>
        <v>205.75954668221468</v>
      </c>
      <c r="K25" s="24">
        <f>J25+I25</f>
        <v>1185.5669118356179</v>
      </c>
      <c r="L25" s="24">
        <f>K25*L3</f>
        <v>414.94841914246626</v>
      </c>
      <c r="M25" s="24">
        <f>L25+K25</f>
        <v>1600.5153309780842</v>
      </c>
      <c r="N25" s="24">
        <f>M25*N3</f>
        <v>720.23189894013785</v>
      </c>
      <c r="O25" s="25">
        <f>N25+M25</f>
        <v>2320.7472299182218</v>
      </c>
      <c r="P25" s="185">
        <f t="shared" si="1"/>
        <v>0</v>
      </c>
      <c r="Q25" s="25">
        <v>58788.441909204194</v>
      </c>
      <c r="AF25">
        <v>51841.659531926089</v>
      </c>
      <c r="AG25">
        <f t="shared" si="10"/>
        <v>0.13400000000000017</v>
      </c>
      <c r="AK25" s="27">
        <v>100516259</v>
      </c>
      <c r="AL25" s="24">
        <v>136018.21056842804</v>
      </c>
      <c r="AN25" s="118">
        <f t="shared" si="11"/>
        <v>1</v>
      </c>
    </row>
    <row r="26" spans="1:40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f t="shared" si="0"/>
        <v>136018.21056842804</v>
      </c>
      <c r="G26" s="23"/>
      <c r="H26" s="24">
        <f t="shared" si="2"/>
        <v>136018.21056842804</v>
      </c>
      <c r="I26" s="24">
        <f t="shared" si="3"/>
        <v>2833.7127201755843</v>
      </c>
      <c r="J26" s="24">
        <f t="shared" si="4"/>
        <v>595.07967123687263</v>
      </c>
      <c r="K26" s="24">
        <f t="shared" si="5"/>
        <v>3428.7923914124567</v>
      </c>
      <c r="L26" s="24">
        <f t="shared" si="6"/>
        <v>1200.0773369943597</v>
      </c>
      <c r="M26" s="24">
        <f t="shared" si="7"/>
        <v>4628.8697284068166</v>
      </c>
      <c r="N26" s="24">
        <f t="shared" si="8"/>
        <v>2082.9913777830675</v>
      </c>
      <c r="O26" s="25">
        <f t="shared" si="9"/>
        <v>6711.8611061898846</v>
      </c>
      <c r="P26" s="185">
        <f t="shared" si="1"/>
        <v>0</v>
      </c>
      <c r="Q26" s="25">
        <v>136018.21056842804</v>
      </c>
      <c r="AF26">
        <v>119945.51196510409</v>
      </c>
      <c r="AG26">
        <f t="shared" si="10"/>
        <v>0.13400000000000004</v>
      </c>
      <c r="AK26" s="27">
        <v>100518095</v>
      </c>
      <c r="AL26" s="24">
        <v>67770.615852323346</v>
      </c>
      <c r="AN26" s="118">
        <f t="shared" si="11"/>
        <v>1</v>
      </c>
    </row>
    <row r="27" spans="1:40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f t="shared" si="0"/>
        <v>67770.615852323346</v>
      </c>
      <c r="G27" s="23"/>
      <c r="H27" s="24">
        <f t="shared" si="2"/>
        <v>67770.615852323346</v>
      </c>
      <c r="I27" s="24">
        <f t="shared" si="3"/>
        <v>1882.5171070089818</v>
      </c>
      <c r="J27" s="24">
        <f>+I27*J$3</f>
        <v>395.32859247188617</v>
      </c>
      <c r="K27" s="24">
        <f>+I27+J27</f>
        <v>2277.845699480868</v>
      </c>
      <c r="L27" s="24">
        <f>+K27*L$3</f>
        <v>797.24599481830376</v>
      </c>
      <c r="M27" s="24">
        <f>+K27+L27</f>
        <v>3075.0916942991716</v>
      </c>
      <c r="N27" s="24">
        <f>+M27*N$3</f>
        <v>1383.7912624346272</v>
      </c>
      <c r="O27" s="25">
        <f>+M27+N27</f>
        <v>4458.8829567337989</v>
      </c>
      <c r="P27" s="185">
        <f t="shared" si="1"/>
        <v>0</v>
      </c>
      <c r="Q27" s="25">
        <v>67770.615852323346</v>
      </c>
      <c r="AF27">
        <v>59762.447841554975</v>
      </c>
      <c r="AG27">
        <f t="shared" si="10"/>
        <v>0.13400000000000009</v>
      </c>
      <c r="AK27" s="27">
        <v>100518223</v>
      </c>
      <c r="AL27" s="24">
        <v>52763.190760900543</v>
      </c>
      <c r="AN27" s="118">
        <f t="shared" si="11"/>
        <v>1</v>
      </c>
    </row>
    <row r="28" spans="1:40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f t="shared" si="0"/>
        <v>52763.190760900543</v>
      </c>
      <c r="G28" s="23"/>
      <c r="H28" s="24">
        <f t="shared" si="2"/>
        <v>52763.190760900543</v>
      </c>
      <c r="I28" s="24">
        <f t="shared" si="3"/>
        <v>1758.7730253633515</v>
      </c>
      <c r="J28" s="24">
        <f>+I28*J$3</f>
        <v>369.34233532630378</v>
      </c>
      <c r="K28" s="24">
        <f>+I28+J28</f>
        <v>2128.1153606896551</v>
      </c>
      <c r="L28" s="24">
        <f>+K28*L$3</f>
        <v>744.8403762413792</v>
      </c>
      <c r="M28" s="24">
        <f>+K28+L28</f>
        <v>2872.9557369310342</v>
      </c>
      <c r="N28" s="24">
        <f>+M28*N$3</f>
        <v>1292.8300816189653</v>
      </c>
      <c r="O28" s="25">
        <f>+M28+N28</f>
        <v>4165.785818549999</v>
      </c>
      <c r="P28" s="185">
        <f t="shared" si="1"/>
        <v>0</v>
      </c>
      <c r="Q28" s="25">
        <v>52763.190760900543</v>
      </c>
      <c r="AF28">
        <v>46528.386914374372</v>
      </c>
      <c r="AG28">
        <f t="shared" si="10"/>
        <v>0.13400000000000009</v>
      </c>
      <c r="AK28" s="32"/>
      <c r="AL28" s="24" t="s">
        <v>171</v>
      </c>
      <c r="AN28" s="118">
        <f t="shared" si="11"/>
        <v>1</v>
      </c>
    </row>
    <row r="29" spans="1:40" x14ac:dyDescent="0.35">
      <c r="A29" s="32"/>
      <c r="B29" s="33"/>
      <c r="C29" s="34"/>
      <c r="D29" s="33"/>
      <c r="E29" s="35"/>
      <c r="F29" s="36" t="e">
        <f t="shared" si="0"/>
        <v>#N/A</v>
      </c>
      <c r="G29" s="35"/>
      <c r="H29" s="36" t="e">
        <f t="shared" si="2"/>
        <v>#N/A</v>
      </c>
      <c r="I29" s="37" t="e">
        <f t="shared" si="3"/>
        <v>#N/A</v>
      </c>
      <c r="J29" s="38"/>
      <c r="K29" s="37"/>
      <c r="L29" s="38"/>
      <c r="M29" s="37"/>
      <c r="N29" s="38"/>
      <c r="O29" s="39"/>
      <c r="P29" s="185" t="e">
        <f t="shared" si="1"/>
        <v>#N/A</v>
      </c>
      <c r="Q29" s="25" t="e">
        <v>#N/A</v>
      </c>
      <c r="Y29" t="s">
        <v>154</v>
      </c>
      <c r="Z29" t="s">
        <v>91</v>
      </c>
      <c r="AA29" t="s">
        <v>92</v>
      </c>
      <c r="AB29" t="s">
        <v>93</v>
      </c>
      <c r="AF29" t="e">
        <v>#N/A</v>
      </c>
      <c r="AG29" t="e">
        <f t="shared" si="10"/>
        <v>#N/A</v>
      </c>
      <c r="AK29" s="27">
        <v>100522204</v>
      </c>
      <c r="AL29" s="36">
        <v>23406.478578892373</v>
      </c>
      <c r="AN29" s="118" t="e">
        <f t="shared" si="11"/>
        <v>#N/A</v>
      </c>
    </row>
    <row r="30" spans="1:40" hidden="1" x14ac:dyDescent="0.35">
      <c r="A30" s="84">
        <v>100022085</v>
      </c>
      <c r="B30" s="98" t="s">
        <v>39</v>
      </c>
      <c r="C30" s="99">
        <v>7790360000132</v>
      </c>
      <c r="D30" s="100">
        <v>5.4</v>
      </c>
      <c r="E30" s="101">
        <v>24</v>
      </c>
      <c r="F30" s="85" t="e">
        <f t="shared" si="0"/>
        <v>#N/A</v>
      </c>
      <c r="G30" s="103">
        <f>0.0833333333333333*100%</f>
        <v>8.3333333333333301E-2</v>
      </c>
      <c r="H30" s="85" t="e">
        <f t="shared" si="2"/>
        <v>#N/A</v>
      </c>
      <c r="I30" s="85" t="e">
        <f t="shared" si="3"/>
        <v>#N/A</v>
      </c>
      <c r="J30" s="85" t="e">
        <f t="shared" si="4"/>
        <v>#N/A</v>
      </c>
      <c r="K30" s="85" t="e">
        <f t="shared" si="5"/>
        <v>#N/A</v>
      </c>
      <c r="L30" s="85" t="e">
        <f t="shared" si="6"/>
        <v>#N/A</v>
      </c>
      <c r="M30" s="85" t="e">
        <f t="shared" si="7"/>
        <v>#N/A</v>
      </c>
      <c r="N30" s="85" t="e">
        <f>+M30*0.438</f>
        <v>#N/A</v>
      </c>
      <c r="O30" s="102" t="e">
        <f t="shared" si="9"/>
        <v>#N/A</v>
      </c>
      <c r="P30" s="185" t="e">
        <f t="shared" si="1"/>
        <v>#N/A</v>
      </c>
      <c r="Q30" s="25">
        <v>20434.227330779057</v>
      </c>
      <c r="S30" s="1" t="s">
        <v>172</v>
      </c>
      <c r="Y30" s="119">
        <v>1900</v>
      </c>
      <c r="Z30" s="124">
        <v>2080</v>
      </c>
      <c r="AA30" s="124">
        <v>2435</v>
      </c>
      <c r="AB30" s="124">
        <v>2328</v>
      </c>
      <c r="AF30">
        <v>18238.814477058993</v>
      </c>
      <c r="AG30" t="e">
        <f t="shared" si="10"/>
        <v>#N/A</v>
      </c>
      <c r="AK30" s="27">
        <v>100522205</v>
      </c>
      <c r="AL30" s="24">
        <v>22236.154649947755</v>
      </c>
      <c r="AN30" s="118" t="e">
        <f t="shared" si="11"/>
        <v>#N/A</v>
      </c>
    </row>
    <row r="31" spans="1:40" x14ac:dyDescent="0.35">
      <c r="A31" s="84">
        <v>100522204</v>
      </c>
      <c r="B31" s="98" t="s">
        <v>39</v>
      </c>
      <c r="C31" s="99">
        <v>7790360983947</v>
      </c>
      <c r="D31" s="100">
        <v>5.4</v>
      </c>
      <c r="E31" s="101">
        <v>24</v>
      </c>
      <c r="F31" s="85">
        <f t="shared" si="0"/>
        <v>23406.478578892373</v>
      </c>
      <c r="G31" s="103">
        <v>8.3333333333333301E-2</v>
      </c>
      <c r="H31" s="85">
        <f t="shared" ref="H31" si="12">+F31*(1-G31)</f>
        <v>21455.938697318012</v>
      </c>
      <c r="I31" s="85">
        <f t="shared" ref="I31" si="13">+H31/E31</f>
        <v>893.99744572158386</v>
      </c>
      <c r="J31" s="85">
        <f t="shared" ref="J31" si="14">+I31*J$3</f>
        <v>187.73946360153261</v>
      </c>
      <c r="K31" s="85">
        <f t="shared" ref="K31" si="15">+I31+J31</f>
        <v>1081.7369093231164</v>
      </c>
      <c r="L31" s="85">
        <f t="shared" ref="L31" si="16">+K31*L$3</f>
        <v>378.60791826309071</v>
      </c>
      <c r="M31" s="85">
        <f t="shared" ref="M31" si="17">+K31+L31</f>
        <v>1460.344827586207</v>
      </c>
      <c r="N31" s="85">
        <f>+M31*0.438</f>
        <v>639.63103448275865</v>
      </c>
      <c r="O31" s="102">
        <f t="shared" ref="O31" si="18">+M31+N31</f>
        <v>2099.9758620689654</v>
      </c>
      <c r="P31" s="185">
        <f t="shared" si="1"/>
        <v>5.0000000000000044E-2</v>
      </c>
      <c r="Q31" s="25">
        <v>20434.227330779057</v>
      </c>
      <c r="S31" s="1" t="s">
        <v>172</v>
      </c>
      <c r="T31" s="162"/>
      <c r="U31" s="162"/>
      <c r="V31" s="190"/>
      <c r="W31" s="119"/>
      <c r="Y31" s="119"/>
      <c r="Z31" s="124"/>
      <c r="AA31" s="124"/>
      <c r="AB31" s="124"/>
      <c r="AK31" s="27">
        <v>100516849</v>
      </c>
      <c r="AL31" s="24">
        <v>18023.643887147333</v>
      </c>
      <c r="AN31" s="118"/>
    </row>
    <row r="32" spans="1:40" hidden="1" x14ac:dyDescent="0.35">
      <c r="A32" s="84">
        <v>100022072</v>
      </c>
      <c r="B32" s="98" t="s">
        <v>40</v>
      </c>
      <c r="C32" s="99">
        <v>7790360024541</v>
      </c>
      <c r="D32" s="100">
        <v>5.4</v>
      </c>
      <c r="E32" s="101">
        <v>12</v>
      </c>
      <c r="F32" s="85" t="e">
        <f t="shared" si="0"/>
        <v>#N/A</v>
      </c>
      <c r="G32" s="103">
        <f>0.0833333333333333*100%</f>
        <v>8.3333333333333301E-2</v>
      </c>
      <c r="H32" s="85" t="e">
        <f t="shared" si="2"/>
        <v>#N/A</v>
      </c>
      <c r="I32" s="85" t="e">
        <f t="shared" si="3"/>
        <v>#N/A</v>
      </c>
      <c r="J32" s="85" t="e">
        <f t="shared" si="4"/>
        <v>#N/A</v>
      </c>
      <c r="K32" s="85" t="e">
        <f t="shared" si="5"/>
        <v>#N/A</v>
      </c>
      <c r="L32" s="85" t="e">
        <f>+K32*0.3388</f>
        <v>#N/A</v>
      </c>
      <c r="M32" s="85" t="e">
        <f t="shared" si="7"/>
        <v>#N/A</v>
      </c>
      <c r="N32" s="85" t="e">
        <f t="shared" si="8"/>
        <v>#N/A</v>
      </c>
      <c r="O32" s="102" t="e">
        <f t="shared" si="9"/>
        <v>#N/A</v>
      </c>
      <c r="P32" s="185" t="e">
        <f t="shared" si="1"/>
        <v>#N/A</v>
      </c>
      <c r="Q32" s="25">
        <v>19412.515964240105</v>
      </c>
      <c r="S32" s="1" t="s">
        <v>173</v>
      </c>
      <c r="Y32" s="119">
        <v>3600</v>
      </c>
      <c r="Z32" s="124">
        <v>4090</v>
      </c>
      <c r="AA32" s="124">
        <v>4495</v>
      </c>
      <c r="AB32">
        <v>4400</v>
      </c>
      <c r="AF32">
        <v>17225.547006111272</v>
      </c>
      <c r="AG32" t="e">
        <f t="shared" si="10"/>
        <v>#N/A</v>
      </c>
      <c r="AK32" s="27">
        <v>100522206</v>
      </c>
      <c r="AL32" s="24">
        <v>58843.878917983217</v>
      </c>
      <c r="AN32" s="118" t="e">
        <f t="shared" si="11"/>
        <v>#N/A</v>
      </c>
    </row>
    <row r="33" spans="1:40" x14ac:dyDescent="0.35">
      <c r="A33" s="84">
        <v>100522205</v>
      </c>
      <c r="B33" s="98" t="s">
        <v>40</v>
      </c>
      <c r="C33" s="99">
        <v>7790360983954</v>
      </c>
      <c r="D33" s="100">
        <v>5.4</v>
      </c>
      <c r="E33" s="101">
        <v>12</v>
      </c>
      <c r="F33" s="85">
        <f t="shared" si="0"/>
        <v>22236.154649947755</v>
      </c>
      <c r="G33" s="103">
        <f>0.0833333333333333*100%</f>
        <v>8.3333333333333301E-2</v>
      </c>
      <c r="H33" s="85">
        <f t="shared" ref="H33" si="19">+F33*(1-G33)</f>
        <v>20383.141762452109</v>
      </c>
      <c r="I33" s="85">
        <f t="shared" ref="I33" si="20">+H33/E33</f>
        <v>1698.5951468710091</v>
      </c>
      <c r="J33" s="85">
        <f t="shared" ref="J33" si="21">+I33*J$3</f>
        <v>356.70498084291188</v>
      </c>
      <c r="K33" s="85">
        <f t="shared" ref="K33" si="22">+I33+J33</f>
        <v>2055.300127713921</v>
      </c>
      <c r="L33" s="85">
        <f>+K33*0.3388</f>
        <v>696.33568326947648</v>
      </c>
      <c r="M33" s="85">
        <f t="shared" ref="M33" si="23">+K33+L33</f>
        <v>2751.6358109833973</v>
      </c>
      <c r="N33" s="85">
        <f t="shared" ref="N33" si="24">+M33*N$3</f>
        <v>1238.2361149425287</v>
      </c>
      <c r="O33" s="102">
        <f t="shared" ref="O33" si="25">+M33+N33</f>
        <v>3989.871925925926</v>
      </c>
      <c r="P33" s="185">
        <f t="shared" si="1"/>
        <v>5.0000000000000044E-2</v>
      </c>
      <c r="Q33" s="25">
        <v>19412.515964240105</v>
      </c>
      <c r="S33" s="1" t="s">
        <v>173</v>
      </c>
      <c r="Y33" s="119"/>
      <c r="Z33" s="124"/>
      <c r="AA33" s="124"/>
      <c r="AK33" s="27">
        <v>100022058</v>
      </c>
      <c r="AL33" s="24">
        <v>15783.589451301053</v>
      </c>
      <c r="AN33" s="118"/>
    </row>
    <row r="34" spans="1:40" x14ac:dyDescent="0.35">
      <c r="A34" s="84">
        <v>100516849</v>
      </c>
      <c r="B34" s="98" t="s">
        <v>41</v>
      </c>
      <c r="C34" s="99">
        <v>7790360970053</v>
      </c>
      <c r="D34" s="100">
        <v>4.5599999990400004</v>
      </c>
      <c r="E34" s="101">
        <v>24</v>
      </c>
      <c r="F34" s="85">
        <f t="shared" si="0"/>
        <v>18023.643887147333</v>
      </c>
      <c r="G34" s="103"/>
      <c r="H34" s="85">
        <f t="shared" si="2"/>
        <v>18023.643887147333</v>
      </c>
      <c r="I34" s="85">
        <f t="shared" si="3"/>
        <v>750.98516196447224</v>
      </c>
      <c r="J34" s="85">
        <f t="shared" si="4"/>
        <v>157.70688401253918</v>
      </c>
      <c r="K34" s="85">
        <f t="shared" si="5"/>
        <v>908.69204597701139</v>
      </c>
      <c r="L34" s="85">
        <f>+K34*0.339</f>
        <v>308.04660358620686</v>
      </c>
      <c r="M34" s="85">
        <f t="shared" si="7"/>
        <v>1216.7386495632181</v>
      </c>
      <c r="N34" s="85">
        <f>+M34*0.4</f>
        <v>486.69545982528729</v>
      </c>
      <c r="O34" s="102">
        <f t="shared" si="9"/>
        <v>1703.4341093885055</v>
      </c>
      <c r="P34" s="185">
        <f t="shared" si="1"/>
        <v>5.0000000000000044E-2</v>
      </c>
      <c r="Q34" s="25">
        <v>17165.375130616507</v>
      </c>
      <c r="S34" s="1" t="s">
        <v>174</v>
      </c>
      <c r="Y34" s="119">
        <v>1650</v>
      </c>
      <c r="Z34" s="124">
        <v>1888</v>
      </c>
      <c r="AA34" t="s">
        <v>96</v>
      </c>
      <c r="AF34">
        <v>15705.64579968969</v>
      </c>
      <c r="AG34">
        <f t="shared" si="10"/>
        <v>0.14759011612903189</v>
      </c>
      <c r="AK34" s="27">
        <v>100518151</v>
      </c>
      <c r="AL34" s="24">
        <v>67038.026543010739</v>
      </c>
      <c r="AN34" s="118">
        <f t="shared" si="11"/>
        <v>0.95238095238095233</v>
      </c>
    </row>
    <row r="35" spans="1:40" hidden="1" x14ac:dyDescent="0.35">
      <c r="A35" s="27">
        <v>100022039</v>
      </c>
      <c r="B35" s="28" t="s">
        <v>42</v>
      </c>
      <c r="C35" s="21">
        <v>7790360007063</v>
      </c>
      <c r="D35" s="22">
        <v>8.6999999999999993</v>
      </c>
      <c r="E35" s="23">
        <v>10</v>
      </c>
      <c r="F35" s="24" t="e">
        <f t="shared" si="0"/>
        <v>#N/A</v>
      </c>
      <c r="G35" s="143"/>
      <c r="H35" s="24" t="e">
        <f t="shared" si="2"/>
        <v>#N/A</v>
      </c>
      <c r="I35" s="24" t="e">
        <f t="shared" si="3"/>
        <v>#N/A</v>
      </c>
      <c r="J35" s="24" t="e">
        <f t="shared" si="4"/>
        <v>#N/A</v>
      </c>
      <c r="K35" s="24" t="e">
        <f t="shared" si="5"/>
        <v>#N/A</v>
      </c>
      <c r="L35" s="24" t="e">
        <f t="shared" si="6"/>
        <v>#N/A</v>
      </c>
      <c r="M35" s="24" t="e">
        <f t="shared" si="7"/>
        <v>#N/A</v>
      </c>
      <c r="N35" s="24" t="e">
        <f t="shared" si="8"/>
        <v>#N/A</v>
      </c>
      <c r="O35" s="25" t="e">
        <f t="shared" si="9"/>
        <v>#N/A</v>
      </c>
      <c r="P35" s="185" t="e">
        <f t="shared" si="1"/>
        <v>#N/A</v>
      </c>
      <c r="Q35" s="25">
        <v>56041.789445698298</v>
      </c>
      <c r="Z35" t="s">
        <v>94</v>
      </c>
      <c r="AA35">
        <v>66</v>
      </c>
      <c r="AB35" t="s">
        <v>95</v>
      </c>
      <c r="AC35" t="s">
        <v>153</v>
      </c>
      <c r="AF35">
        <v>44083.413984393745</v>
      </c>
      <c r="AG35" t="e">
        <f t="shared" si="10"/>
        <v>#N/A</v>
      </c>
      <c r="AK35" s="32"/>
      <c r="AL35" s="24" t="s">
        <v>171</v>
      </c>
      <c r="AN35" s="118" t="e">
        <f t="shared" si="11"/>
        <v>#N/A</v>
      </c>
    </row>
    <row r="36" spans="1:40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24">
        <v>56041.789445698298</v>
      </c>
      <c r="G36" s="143"/>
      <c r="H36" s="24">
        <f t="shared" ref="H36" si="26">+F36*(1-G36)</f>
        <v>56041.789445698298</v>
      </c>
      <c r="I36" s="24">
        <f t="shared" ref="I36" si="27">+H36/E36</f>
        <v>5604.1789445698296</v>
      </c>
      <c r="J36" s="24">
        <f t="shared" ref="J36" si="28">+I36*J$3</f>
        <v>1176.8775783596641</v>
      </c>
      <c r="K36" s="24">
        <f t="shared" ref="K36" si="29">+I36+J36</f>
        <v>6781.0565229294934</v>
      </c>
      <c r="L36" s="24">
        <f t="shared" ref="L36" si="30">+K36*L$3</f>
        <v>2373.3697830253227</v>
      </c>
      <c r="M36" s="24">
        <f t="shared" ref="M36" si="31">+K36+L36</f>
        <v>9154.4263059548157</v>
      </c>
      <c r="N36" s="24">
        <f t="shared" ref="N36" si="32">+M36*N$3</f>
        <v>4119.4918376796668</v>
      </c>
      <c r="O36" s="25">
        <f t="shared" ref="O36" si="33">+M36+N36</f>
        <v>13273.918143634482</v>
      </c>
      <c r="P36" s="185">
        <f t="shared" si="1"/>
        <v>0</v>
      </c>
      <c r="Q36" s="25">
        <v>56041.789445698298</v>
      </c>
      <c r="AK36" s="27">
        <v>100021000</v>
      </c>
      <c r="AL36" s="24">
        <v>12962.273708363024</v>
      </c>
      <c r="AN36" s="118"/>
    </row>
    <row r="37" spans="1:40" x14ac:dyDescent="0.35">
      <c r="A37" s="27">
        <v>100022058</v>
      </c>
      <c r="B37" s="28" t="s">
        <v>43</v>
      </c>
      <c r="C37" s="21">
        <v>7790360026002</v>
      </c>
      <c r="D37" s="22">
        <v>4.5599999990400004</v>
      </c>
      <c r="E37" s="23">
        <v>24</v>
      </c>
      <c r="F37" s="40">
        <f t="shared" ref="F37:F71" si="34">+VLOOKUP(A37,$AK$4:$AL$110,2,FALSE)</f>
        <v>15783.589451301053</v>
      </c>
      <c r="G37" s="143"/>
      <c r="H37" s="40">
        <f t="shared" si="2"/>
        <v>15783.589451301053</v>
      </c>
      <c r="I37" s="24">
        <f t="shared" si="3"/>
        <v>657.64956047087719</v>
      </c>
      <c r="J37" s="24">
        <f t="shared" si="4"/>
        <v>138.1064076988842</v>
      </c>
      <c r="K37" s="24">
        <f t="shared" si="5"/>
        <v>795.75596816976145</v>
      </c>
      <c r="L37" s="24">
        <f>+K37*0.3</f>
        <v>238.72679045092843</v>
      </c>
      <c r="M37" s="24">
        <f t="shared" si="7"/>
        <v>1034.4827586206898</v>
      </c>
      <c r="N37" s="24">
        <f t="shared" si="8"/>
        <v>465.51724137931041</v>
      </c>
      <c r="O37" s="25">
        <f t="shared" si="9"/>
        <v>1500.0000000000002</v>
      </c>
      <c r="P37" s="185">
        <f t="shared" si="1"/>
        <v>0</v>
      </c>
      <c r="Q37" s="25">
        <v>15783.589451301053</v>
      </c>
      <c r="S37" s="1"/>
      <c r="T37" s="82"/>
      <c r="Y37" s="119">
        <v>1130</v>
      </c>
      <c r="Z37" s="124">
        <v>1190</v>
      </c>
      <c r="AA37" s="124">
        <v>1000</v>
      </c>
      <c r="AB37" s="124">
        <v>1198</v>
      </c>
      <c r="AC37" s="124">
        <v>1500</v>
      </c>
      <c r="AD37" s="119" t="s">
        <v>157</v>
      </c>
      <c r="AF37">
        <v>11449.922421709256</v>
      </c>
      <c r="AG37">
        <f t="shared" si="10"/>
        <v>0.37848876786929908</v>
      </c>
      <c r="AK37" s="27">
        <v>100021001</v>
      </c>
      <c r="AL37" s="40">
        <v>12962.273708363024</v>
      </c>
      <c r="AN37" s="118">
        <f t="shared" si="11"/>
        <v>1</v>
      </c>
    </row>
    <row r="38" spans="1:40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f t="shared" si="34"/>
        <v>67038.026543010739</v>
      </c>
      <c r="G38" s="23"/>
      <c r="H38" s="40">
        <f t="shared" si="2"/>
        <v>67038.026543010739</v>
      </c>
      <c r="I38" s="24">
        <f t="shared" si="3"/>
        <v>6703.8026543010737</v>
      </c>
      <c r="J38" s="24">
        <f>+I38*J$3</f>
        <v>1407.7985574032255</v>
      </c>
      <c r="K38" s="24">
        <f>+I38+J38</f>
        <v>8111.6012117042992</v>
      </c>
      <c r="L38" s="29">
        <f>+K38*0.3</f>
        <v>2433.4803635112899</v>
      </c>
      <c r="M38" s="24">
        <f>+K38+L38</f>
        <v>10545.081575215589</v>
      </c>
      <c r="N38" s="24">
        <f>+M38*N$3</f>
        <v>4745.2867088470148</v>
      </c>
      <c r="O38" s="25">
        <f>+M38+N38</f>
        <v>15290.368284062602</v>
      </c>
      <c r="P38" s="185">
        <f t="shared" si="1"/>
        <v>5.0000000000000044E-2</v>
      </c>
      <c r="Q38" s="25">
        <v>63845.739564772135</v>
      </c>
      <c r="AF38">
        <v>50222.132380351351</v>
      </c>
      <c r="AG38">
        <f t="shared" si="10"/>
        <v>0.33483035000000022</v>
      </c>
      <c r="AK38" s="86">
        <v>100522277</v>
      </c>
      <c r="AL38" s="40">
        <v>12962.273708363024</v>
      </c>
      <c r="AN38" s="118">
        <f t="shared" si="11"/>
        <v>0.95238095238095244</v>
      </c>
    </row>
    <row r="39" spans="1:40" x14ac:dyDescent="0.35">
      <c r="A39" s="32"/>
      <c r="B39" s="33"/>
      <c r="C39" s="34"/>
      <c r="D39" s="33"/>
      <c r="E39" s="35"/>
      <c r="F39" s="36" t="e">
        <f t="shared" si="34"/>
        <v>#N/A</v>
      </c>
      <c r="G39" s="35"/>
      <c r="H39" s="36" t="e">
        <f t="shared" si="2"/>
        <v>#N/A</v>
      </c>
      <c r="I39" s="37" t="e">
        <f t="shared" si="3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85" t="e">
        <f t="shared" si="1"/>
        <v>#N/A</v>
      </c>
      <c r="Q39" s="25" t="e">
        <v>#N/A</v>
      </c>
      <c r="Y39">
        <f>+Y37*24</f>
        <v>27120</v>
      </c>
      <c r="AF39" t="e">
        <v>#N/A</v>
      </c>
      <c r="AG39" t="e">
        <f t="shared" si="10"/>
        <v>#N/A</v>
      </c>
      <c r="AK39" s="86">
        <v>100522333</v>
      </c>
      <c r="AL39" s="36">
        <v>12962.273708363024</v>
      </c>
      <c r="AN39" s="118" t="e">
        <f t="shared" si="11"/>
        <v>#N/A</v>
      </c>
    </row>
    <row r="40" spans="1:40" ht="16" x14ac:dyDescent="0.4">
      <c r="A40" s="84">
        <v>100021000</v>
      </c>
      <c r="B40" s="98" t="s">
        <v>45</v>
      </c>
      <c r="C40" s="99">
        <v>7790360720382</v>
      </c>
      <c r="D40" s="100">
        <v>2.16</v>
      </c>
      <c r="E40" s="101">
        <v>24</v>
      </c>
      <c r="F40" s="85">
        <f t="shared" si="34"/>
        <v>12962.273708363024</v>
      </c>
      <c r="G40" s="103"/>
      <c r="H40" s="85">
        <f t="shared" si="2"/>
        <v>12962.273708363024</v>
      </c>
      <c r="I40" s="85">
        <f t="shared" si="3"/>
        <v>540.09473784845932</v>
      </c>
      <c r="J40" s="85">
        <f t="shared" si="4"/>
        <v>113.41989494817645</v>
      </c>
      <c r="K40" s="85">
        <f t="shared" si="5"/>
        <v>653.51463279663574</v>
      </c>
      <c r="L40" s="85">
        <f>+K40*L$39</f>
        <v>143.77321921525987</v>
      </c>
      <c r="M40" s="85">
        <f t="shared" si="7"/>
        <v>797.28785201189567</v>
      </c>
      <c r="N40" s="85">
        <f>+M40*N$39</f>
        <v>279.05074820416348</v>
      </c>
      <c r="O40" s="102">
        <f t="shared" si="9"/>
        <v>1076.3386002160591</v>
      </c>
      <c r="P40" s="185">
        <f>H40/Q40-1</f>
        <v>5.0000000000000044E-2</v>
      </c>
      <c r="Q40" s="25">
        <v>12345.022579393355</v>
      </c>
      <c r="S40" s="183"/>
      <c r="T40" s="1"/>
      <c r="U40" s="1"/>
      <c r="V40" s="1"/>
      <c r="W40" s="1"/>
      <c r="X40" s="1"/>
      <c r="Y40" s="119">
        <f>+Y39/1.21/1.35/1.45</f>
        <v>11449.922421709256</v>
      </c>
      <c r="Z40" s="119" t="s">
        <v>136</v>
      </c>
      <c r="AF40">
        <v>10353.088375875002</v>
      </c>
      <c r="AG40">
        <f t="shared" si="10"/>
        <v>0.2520200000000003</v>
      </c>
      <c r="AK40" s="27">
        <v>100021045</v>
      </c>
      <c r="AL40" s="24">
        <v>12962.273708363022</v>
      </c>
      <c r="AN40" s="118">
        <f t="shared" si="11"/>
        <v>0.95238095238095233</v>
      </c>
    </row>
    <row r="41" spans="1:40" ht="16" x14ac:dyDescent="0.4">
      <c r="A41" s="84">
        <v>100021001</v>
      </c>
      <c r="B41" s="98" t="s">
        <v>46</v>
      </c>
      <c r="C41" s="99">
        <v>7790360720115</v>
      </c>
      <c r="D41" s="100">
        <v>2.16</v>
      </c>
      <c r="E41" s="101">
        <v>24</v>
      </c>
      <c r="F41" s="85">
        <f t="shared" si="34"/>
        <v>12962.273708363024</v>
      </c>
      <c r="G41" s="103"/>
      <c r="H41" s="85">
        <f t="shared" si="2"/>
        <v>12962.273708363024</v>
      </c>
      <c r="I41" s="85">
        <f t="shared" si="3"/>
        <v>540.09473784845932</v>
      </c>
      <c r="J41" s="85">
        <f t="shared" si="4"/>
        <v>113.41989494817645</v>
      </c>
      <c r="K41" s="85">
        <f t="shared" si="5"/>
        <v>653.51463279663574</v>
      </c>
      <c r="L41" s="85">
        <f t="shared" ref="L41:L56" si="35">+K41*L$39</f>
        <v>143.77321921525987</v>
      </c>
      <c r="M41" s="85">
        <f t="shared" si="7"/>
        <v>797.28785201189567</v>
      </c>
      <c r="N41" s="85">
        <f t="shared" ref="N41:N56" si="36">+M41*N$39</f>
        <v>279.05074820416348</v>
      </c>
      <c r="O41" s="102">
        <f t="shared" si="9"/>
        <v>1076.3386002160591</v>
      </c>
      <c r="P41" s="185">
        <f t="shared" ref="P41:P109" si="37">H41/Q41-1</f>
        <v>5.0000000000000044E-2</v>
      </c>
      <c r="Q41" s="25">
        <v>12345.022579393355</v>
      </c>
      <c r="S41" s="183"/>
      <c r="T41" s="1"/>
      <c r="U41" s="1"/>
      <c r="V41" s="1"/>
      <c r="W41" s="1"/>
      <c r="X41" s="1"/>
      <c r="Y41" s="82">
        <f>+F37-Y40</f>
        <v>4333.6670295917975</v>
      </c>
      <c r="AF41">
        <v>10353.088375875002</v>
      </c>
      <c r="AG41">
        <f t="shared" si="10"/>
        <v>0.2520200000000003</v>
      </c>
      <c r="AK41" s="27">
        <v>100021004</v>
      </c>
      <c r="AL41" s="24">
        <v>12962.273708363022</v>
      </c>
      <c r="AN41" s="118">
        <f t="shared" si="11"/>
        <v>0.95238095238095233</v>
      </c>
    </row>
    <row r="42" spans="1:40" ht="16" x14ac:dyDescent="0.4">
      <c r="A42" s="219">
        <v>100522277</v>
      </c>
      <c r="B42" s="98" t="s">
        <v>150</v>
      </c>
      <c r="C42" s="99"/>
      <c r="D42" s="100">
        <v>2.16</v>
      </c>
      <c r="E42" s="101">
        <v>24</v>
      </c>
      <c r="F42" s="85">
        <f t="shared" si="34"/>
        <v>12962.273708363024</v>
      </c>
      <c r="G42" s="103"/>
      <c r="H42" s="85">
        <f t="shared" ref="H42:H43" si="38">+F42*(1-G42)</f>
        <v>12962.273708363024</v>
      </c>
      <c r="I42" s="85">
        <f t="shared" ref="I42:I43" si="39">+H42/E42</f>
        <v>540.09473784845932</v>
      </c>
      <c r="J42" s="85">
        <f t="shared" ref="J42:J43" si="40">+I42*J$3</f>
        <v>113.41989494817645</v>
      </c>
      <c r="K42" s="85">
        <f t="shared" ref="K42:K43" si="41">+I42+J42</f>
        <v>653.51463279663574</v>
      </c>
      <c r="L42" s="85">
        <f t="shared" ref="L42:L43" si="42">+K42*L$39</f>
        <v>143.77321921525987</v>
      </c>
      <c r="M42" s="85">
        <f t="shared" ref="M42:M43" si="43">+K42+L42</f>
        <v>797.28785201189567</v>
      </c>
      <c r="N42" s="85">
        <f t="shared" ref="N42:N43" si="44">+M42*N$39</f>
        <v>279.05074820416348</v>
      </c>
      <c r="O42" s="102">
        <f t="shared" ref="O42:O43" si="45">+M42+N42</f>
        <v>1076.3386002160591</v>
      </c>
      <c r="P42" s="185">
        <f t="shared" si="37"/>
        <v>5.0000000000000044E-2</v>
      </c>
      <c r="Q42" s="25">
        <v>12345.022579393355</v>
      </c>
      <c r="S42" s="183"/>
      <c r="T42" s="1"/>
      <c r="U42" s="1"/>
      <c r="V42" s="1"/>
      <c r="W42" s="1"/>
      <c r="X42" s="1"/>
      <c r="Y42" s="82"/>
      <c r="AK42" s="27">
        <v>100021006</v>
      </c>
      <c r="AL42" s="24">
        <v>12962.273708363022</v>
      </c>
      <c r="AN42" s="118">
        <f t="shared" si="11"/>
        <v>0.95238095238095233</v>
      </c>
    </row>
    <row r="43" spans="1:40" x14ac:dyDescent="0.35">
      <c r="A43" s="219">
        <v>100522333</v>
      </c>
      <c r="B43" s="98" t="s">
        <v>151</v>
      </c>
      <c r="C43" s="99"/>
      <c r="D43" s="100">
        <v>2.16</v>
      </c>
      <c r="E43" s="101">
        <v>24</v>
      </c>
      <c r="F43" s="85">
        <f t="shared" si="34"/>
        <v>12962.273708363024</v>
      </c>
      <c r="G43" s="103"/>
      <c r="H43" s="85">
        <f t="shared" si="38"/>
        <v>12962.273708363024</v>
      </c>
      <c r="I43" s="85">
        <f t="shared" si="39"/>
        <v>540.09473784845932</v>
      </c>
      <c r="J43" s="85">
        <f t="shared" si="40"/>
        <v>113.41989494817645</v>
      </c>
      <c r="K43" s="85">
        <f t="shared" si="41"/>
        <v>653.51463279663574</v>
      </c>
      <c r="L43" s="85">
        <f t="shared" si="42"/>
        <v>143.77321921525987</v>
      </c>
      <c r="M43" s="85">
        <f t="shared" si="43"/>
        <v>797.28785201189567</v>
      </c>
      <c r="N43" s="85">
        <f t="shared" si="44"/>
        <v>279.05074820416348</v>
      </c>
      <c r="O43" s="102">
        <f t="shared" si="45"/>
        <v>1076.3386002160591</v>
      </c>
      <c r="P43" s="185">
        <f t="shared" si="37"/>
        <v>5.0000000000000044E-2</v>
      </c>
      <c r="Q43" s="25">
        <v>12345.022579393355</v>
      </c>
      <c r="S43" s="1"/>
      <c r="T43" s="1"/>
      <c r="U43" s="1"/>
      <c r="V43" s="1"/>
      <c r="W43" s="1"/>
      <c r="X43" s="1"/>
      <c r="Y43" s="82"/>
      <c r="AK43" s="27">
        <v>100021007</v>
      </c>
      <c r="AL43" s="24">
        <v>15499.254843517137</v>
      </c>
      <c r="AN43" s="118">
        <f t="shared" si="11"/>
        <v>0.95238095238095233</v>
      </c>
    </row>
    <row r="44" spans="1:40" x14ac:dyDescent="0.35">
      <c r="A44" s="84">
        <v>100021045</v>
      </c>
      <c r="B44" s="98" t="s">
        <v>47</v>
      </c>
      <c r="C44" s="99">
        <v>7790360966582</v>
      </c>
      <c r="D44" s="100">
        <v>2.16</v>
      </c>
      <c r="E44" s="101">
        <v>24</v>
      </c>
      <c r="F44" s="85">
        <f t="shared" si="34"/>
        <v>12962.273708363022</v>
      </c>
      <c r="G44" s="103"/>
      <c r="H44" s="85">
        <f t="shared" si="2"/>
        <v>12962.273708363022</v>
      </c>
      <c r="I44" s="85">
        <f t="shared" si="3"/>
        <v>540.0947378484592</v>
      </c>
      <c r="J44" s="85">
        <f t="shared" si="4"/>
        <v>113.41989494817643</v>
      </c>
      <c r="K44" s="85">
        <f t="shared" si="5"/>
        <v>653.51463279663562</v>
      </c>
      <c r="L44" s="85">
        <f t="shared" si="35"/>
        <v>143.77321921525984</v>
      </c>
      <c r="M44" s="85">
        <f t="shared" si="7"/>
        <v>797.28785201189544</v>
      </c>
      <c r="N44" s="85">
        <f t="shared" si="36"/>
        <v>279.05074820416337</v>
      </c>
      <c r="O44" s="102">
        <f t="shared" si="9"/>
        <v>1076.3386002160587</v>
      </c>
      <c r="P44" s="185">
        <f t="shared" si="37"/>
        <v>5.0000000000000044E-2</v>
      </c>
      <c r="Q44" s="25">
        <v>12345.022579393353</v>
      </c>
      <c r="S44" s="1"/>
      <c r="T44" s="1"/>
      <c r="U44" s="1"/>
      <c r="V44" s="1"/>
      <c r="W44" s="1"/>
      <c r="X44" s="1"/>
      <c r="Y44">
        <f>+Y41/F37</f>
        <v>0.27456790123456803</v>
      </c>
      <c r="AF44">
        <v>10088.4</v>
      </c>
      <c r="AG44">
        <f t="shared" si="10"/>
        <v>0.28486912774701856</v>
      </c>
      <c r="AK44" s="27">
        <v>100021013</v>
      </c>
      <c r="AL44" s="24">
        <v>15499.254843517137</v>
      </c>
      <c r="AN44" s="118">
        <f t="shared" si="11"/>
        <v>0.95238095238095233</v>
      </c>
    </row>
    <row r="45" spans="1:40" x14ac:dyDescent="0.35">
      <c r="A45" s="84">
        <v>100021004</v>
      </c>
      <c r="B45" s="98" t="s">
        <v>48</v>
      </c>
      <c r="C45" s="99">
        <v>7790360964526</v>
      </c>
      <c r="D45" s="100">
        <v>2.1120000000000001</v>
      </c>
      <c r="E45" s="101">
        <v>24</v>
      </c>
      <c r="F45" s="85">
        <f t="shared" si="34"/>
        <v>12962.273708363022</v>
      </c>
      <c r="G45" s="103"/>
      <c r="H45" s="85">
        <f t="shared" si="2"/>
        <v>12962.273708363022</v>
      </c>
      <c r="I45" s="85">
        <f t="shared" si="3"/>
        <v>540.0947378484592</v>
      </c>
      <c r="J45" s="85">
        <f t="shared" si="4"/>
        <v>113.41989494817643</v>
      </c>
      <c r="K45" s="85">
        <f t="shared" si="5"/>
        <v>653.51463279663562</v>
      </c>
      <c r="L45" s="85">
        <f t="shared" si="35"/>
        <v>143.77321921525984</v>
      </c>
      <c r="M45" s="85">
        <f t="shared" si="7"/>
        <v>797.28785201189544</v>
      </c>
      <c r="N45" s="85">
        <f t="shared" si="36"/>
        <v>279.05074820416337</v>
      </c>
      <c r="O45" s="102">
        <f t="shared" si="9"/>
        <v>1076.3386002160587</v>
      </c>
      <c r="P45" s="185">
        <f t="shared" si="37"/>
        <v>5.0000000000000044E-2</v>
      </c>
      <c r="Q45" s="25">
        <v>12345.022579393353</v>
      </c>
      <c r="S45" s="1"/>
      <c r="T45" s="1"/>
      <c r="U45" s="1"/>
      <c r="V45" s="1"/>
      <c r="W45" s="1"/>
      <c r="X45" s="1"/>
      <c r="AF45">
        <v>10088.4</v>
      </c>
      <c r="AG45">
        <f t="shared" si="10"/>
        <v>0.28486912774701856</v>
      </c>
      <c r="AK45" s="27">
        <v>100021014</v>
      </c>
      <c r="AL45" s="24">
        <v>15499.254843517137</v>
      </c>
      <c r="AN45" s="118">
        <f t="shared" si="11"/>
        <v>0.95238095238095233</v>
      </c>
    </row>
    <row r="46" spans="1:40" x14ac:dyDescent="0.35">
      <c r="A46" s="84">
        <v>100021006</v>
      </c>
      <c r="B46" s="98" t="s">
        <v>49</v>
      </c>
      <c r="C46" s="99">
        <v>7790360964557</v>
      </c>
      <c r="D46" s="100">
        <v>2.1120000000000001</v>
      </c>
      <c r="E46" s="101">
        <v>24</v>
      </c>
      <c r="F46" s="85">
        <f t="shared" si="34"/>
        <v>12962.273708363022</v>
      </c>
      <c r="G46" s="103"/>
      <c r="H46" s="85">
        <f t="shared" si="2"/>
        <v>12962.273708363022</v>
      </c>
      <c r="I46" s="85">
        <f t="shared" si="3"/>
        <v>540.0947378484592</v>
      </c>
      <c r="J46" s="85">
        <f t="shared" si="4"/>
        <v>113.41989494817643</v>
      </c>
      <c r="K46" s="85">
        <f t="shared" si="5"/>
        <v>653.51463279663562</v>
      </c>
      <c r="L46" s="85">
        <f t="shared" si="35"/>
        <v>143.77321921525984</v>
      </c>
      <c r="M46" s="85">
        <f t="shared" si="7"/>
        <v>797.28785201189544</v>
      </c>
      <c r="N46" s="85">
        <f t="shared" si="36"/>
        <v>279.05074820416337</v>
      </c>
      <c r="O46" s="102">
        <f t="shared" si="9"/>
        <v>1076.3386002160587</v>
      </c>
      <c r="P46" s="185">
        <f t="shared" si="37"/>
        <v>5.0000000000000044E-2</v>
      </c>
      <c r="Q46" s="25">
        <v>12345.022579393353</v>
      </c>
      <c r="S46" s="1"/>
      <c r="T46" s="1"/>
      <c r="U46" s="1"/>
      <c r="V46" s="1"/>
      <c r="W46" s="1"/>
      <c r="X46" s="1"/>
      <c r="Y46">
        <f>+Y34*24</f>
        <v>39600</v>
      </c>
      <c r="AF46">
        <v>10088.4</v>
      </c>
      <c r="AG46">
        <f t="shared" si="10"/>
        <v>0.28486912774701856</v>
      </c>
      <c r="AK46" s="27">
        <v>100021054</v>
      </c>
      <c r="AL46" s="24">
        <v>15499.254843517137</v>
      </c>
      <c r="AN46" s="118">
        <f t="shared" si="11"/>
        <v>0.95238095238095233</v>
      </c>
    </row>
    <row r="47" spans="1:40" x14ac:dyDescent="0.35">
      <c r="A47" s="84">
        <v>100021007</v>
      </c>
      <c r="B47" s="98" t="s">
        <v>50</v>
      </c>
      <c r="C47" s="99">
        <v>7790360964540</v>
      </c>
      <c r="D47" s="100">
        <v>2.04</v>
      </c>
      <c r="E47" s="101">
        <v>24</v>
      </c>
      <c r="F47" s="85">
        <f t="shared" si="34"/>
        <v>15499.254843517137</v>
      </c>
      <c r="G47" s="103"/>
      <c r="H47" s="85">
        <f t="shared" si="2"/>
        <v>15499.254843517137</v>
      </c>
      <c r="I47" s="85">
        <f t="shared" si="3"/>
        <v>645.80228514654743</v>
      </c>
      <c r="J47" s="85">
        <f t="shared" si="4"/>
        <v>135.61847988077497</v>
      </c>
      <c r="K47" s="85">
        <f t="shared" si="5"/>
        <v>781.42076502732243</v>
      </c>
      <c r="L47" s="85">
        <f t="shared" si="35"/>
        <v>171.91256830601094</v>
      </c>
      <c r="M47" s="85">
        <f t="shared" si="7"/>
        <v>953.33333333333337</v>
      </c>
      <c r="N47" s="85">
        <f t="shared" si="36"/>
        <v>333.66666666666669</v>
      </c>
      <c r="O47" s="102">
        <f t="shared" si="9"/>
        <v>1287</v>
      </c>
      <c r="P47" s="185">
        <f t="shared" si="37"/>
        <v>9.9827334312910576E-2</v>
      </c>
      <c r="Q47" s="25">
        <v>14092.44375</v>
      </c>
      <c r="S47" s="1"/>
      <c r="T47" s="1"/>
      <c r="U47" s="1"/>
      <c r="V47" s="1"/>
      <c r="W47" s="1"/>
      <c r="X47" s="1"/>
      <c r="Y47" s="133">
        <f>+Y46/1.21/1.35/1.45</f>
        <v>16718.913270637408</v>
      </c>
      <c r="Z47" s="133"/>
      <c r="AA47" s="133"/>
      <c r="AB47" s="133"/>
      <c r="AC47" s="133"/>
      <c r="AF47">
        <v>11917.5</v>
      </c>
      <c r="AG47">
        <f t="shared" si="10"/>
        <v>0.3005458228250168</v>
      </c>
      <c r="AK47" s="27">
        <v>100021055</v>
      </c>
      <c r="AL47" s="24">
        <v>15499.254843517137</v>
      </c>
      <c r="AN47" s="118">
        <f t="shared" si="11"/>
        <v>0.9092336304086539</v>
      </c>
    </row>
    <row r="48" spans="1:40" x14ac:dyDescent="0.35">
      <c r="A48" s="84">
        <v>100021013</v>
      </c>
      <c r="B48" s="98" t="s">
        <v>51</v>
      </c>
      <c r="C48" s="99">
        <v>7790360965714</v>
      </c>
      <c r="D48" s="100">
        <v>2.04</v>
      </c>
      <c r="E48" s="101">
        <v>24</v>
      </c>
      <c r="F48" s="85">
        <f t="shared" si="34"/>
        <v>15499.254843517137</v>
      </c>
      <c r="G48" s="103"/>
      <c r="H48" s="85">
        <f t="shared" si="2"/>
        <v>15499.254843517137</v>
      </c>
      <c r="I48" s="85">
        <f t="shared" si="3"/>
        <v>645.80228514654743</v>
      </c>
      <c r="J48" s="85">
        <f t="shared" si="4"/>
        <v>135.61847988077497</v>
      </c>
      <c r="K48" s="85">
        <f t="shared" si="5"/>
        <v>781.42076502732243</v>
      </c>
      <c r="L48" s="85">
        <f t="shared" si="35"/>
        <v>171.91256830601094</v>
      </c>
      <c r="M48" s="85">
        <f t="shared" si="7"/>
        <v>953.33333333333337</v>
      </c>
      <c r="N48" s="85">
        <f t="shared" si="36"/>
        <v>333.66666666666669</v>
      </c>
      <c r="O48" s="102">
        <f t="shared" si="9"/>
        <v>1287</v>
      </c>
      <c r="P48" s="185">
        <f t="shared" si="37"/>
        <v>9.9827334312910576E-2</v>
      </c>
      <c r="Q48" s="25">
        <v>14092.44375</v>
      </c>
      <c r="S48" s="1"/>
      <c r="T48" s="1"/>
      <c r="U48" s="1"/>
      <c r="V48" s="1"/>
      <c r="W48" s="1"/>
      <c r="X48" s="1"/>
      <c r="Y48" s="120">
        <f>+F34-Y47</f>
        <v>1304.7306165099253</v>
      </c>
      <c r="Z48" s="120"/>
      <c r="AA48" s="120"/>
      <c r="AB48" s="120"/>
      <c r="AC48" s="120"/>
      <c r="AF48">
        <v>11917.5</v>
      </c>
      <c r="AG48">
        <f t="shared" si="10"/>
        <v>0.3005458228250168</v>
      </c>
      <c r="AK48" s="27">
        <v>100021015</v>
      </c>
      <c r="AL48" s="24">
        <v>15499.254843517137</v>
      </c>
      <c r="AN48" s="118">
        <f t="shared" si="11"/>
        <v>0.9092336304086539</v>
      </c>
    </row>
    <row r="49" spans="1:40" x14ac:dyDescent="0.35">
      <c r="A49" s="84">
        <v>100021014</v>
      </c>
      <c r="B49" s="98" t="s">
        <v>52</v>
      </c>
      <c r="C49" s="99">
        <v>7790360965721</v>
      </c>
      <c r="D49" s="100">
        <v>2.04</v>
      </c>
      <c r="E49" s="101">
        <v>24</v>
      </c>
      <c r="F49" s="85">
        <f t="shared" si="34"/>
        <v>15499.254843517137</v>
      </c>
      <c r="G49" s="103"/>
      <c r="H49" s="85">
        <f t="shared" si="2"/>
        <v>15499.254843517137</v>
      </c>
      <c r="I49" s="85">
        <f t="shared" si="3"/>
        <v>645.80228514654743</v>
      </c>
      <c r="J49" s="85">
        <f t="shared" si="4"/>
        <v>135.61847988077497</v>
      </c>
      <c r="K49" s="85">
        <f t="shared" si="5"/>
        <v>781.42076502732243</v>
      </c>
      <c r="L49" s="85">
        <f t="shared" si="35"/>
        <v>171.91256830601094</v>
      </c>
      <c r="M49" s="85">
        <f t="shared" si="7"/>
        <v>953.33333333333337</v>
      </c>
      <c r="N49" s="85">
        <f t="shared" si="36"/>
        <v>333.66666666666669</v>
      </c>
      <c r="O49" s="102">
        <f t="shared" si="9"/>
        <v>1287</v>
      </c>
      <c r="P49" s="185">
        <f t="shared" si="37"/>
        <v>9.9827334312910576E-2</v>
      </c>
      <c r="Q49" s="25">
        <v>14092.44375</v>
      </c>
      <c r="S49" s="1"/>
      <c r="T49" s="1"/>
      <c r="U49" s="1"/>
      <c r="V49" s="1"/>
      <c r="W49" s="1"/>
      <c r="X49" s="1"/>
      <c r="Y49" s="120">
        <f>+Y48/F34</f>
        <v>7.2389946488031154E-2</v>
      </c>
      <c r="Z49" s="120"/>
      <c r="AA49" s="120"/>
      <c r="AB49" s="120"/>
      <c r="AC49" s="120"/>
      <c r="AF49">
        <v>11917.5</v>
      </c>
      <c r="AG49">
        <f t="shared" si="10"/>
        <v>0.3005458228250168</v>
      </c>
      <c r="AK49" s="27">
        <v>100021008</v>
      </c>
      <c r="AL49" s="24">
        <v>10971.006927240942</v>
      </c>
      <c r="AN49" s="118">
        <f t="shared" si="11"/>
        <v>0.9092336304086539</v>
      </c>
    </row>
    <row r="50" spans="1:40" x14ac:dyDescent="0.35">
      <c r="A50" s="84">
        <v>100021054</v>
      </c>
      <c r="B50" s="98" t="s">
        <v>53</v>
      </c>
      <c r="C50" s="99">
        <v>7790360965707</v>
      </c>
      <c r="D50" s="100">
        <v>2.04</v>
      </c>
      <c r="E50" s="101">
        <v>24</v>
      </c>
      <c r="F50" s="85">
        <f t="shared" si="34"/>
        <v>15499.254843517137</v>
      </c>
      <c r="G50" s="103"/>
      <c r="H50" s="85">
        <f t="shared" si="2"/>
        <v>15499.254843517137</v>
      </c>
      <c r="I50" s="85">
        <f t="shared" si="3"/>
        <v>645.80228514654743</v>
      </c>
      <c r="J50" s="85">
        <f t="shared" si="4"/>
        <v>135.61847988077497</v>
      </c>
      <c r="K50" s="85">
        <f t="shared" si="5"/>
        <v>781.42076502732243</v>
      </c>
      <c r="L50" s="85">
        <f t="shared" si="35"/>
        <v>171.91256830601094</v>
      </c>
      <c r="M50" s="85">
        <f t="shared" si="7"/>
        <v>953.33333333333337</v>
      </c>
      <c r="N50" s="85">
        <f t="shared" si="36"/>
        <v>333.66666666666669</v>
      </c>
      <c r="O50" s="102">
        <f t="shared" si="9"/>
        <v>1287</v>
      </c>
      <c r="P50" s="185">
        <f t="shared" si="37"/>
        <v>9.9827334312910576E-2</v>
      </c>
      <c r="Q50" s="25">
        <v>14092.44375</v>
      </c>
      <c r="R50" s="133"/>
      <c r="S50" s="1"/>
      <c r="T50" s="1"/>
      <c r="U50" s="1"/>
      <c r="V50" s="1"/>
      <c r="W50" s="1"/>
      <c r="X50" s="1"/>
      <c r="Y50" s="120"/>
      <c r="Z50" s="120"/>
      <c r="AA50" s="120"/>
      <c r="AB50" s="120"/>
      <c r="AC50" s="120"/>
      <c r="AF50">
        <v>11917.5</v>
      </c>
      <c r="AG50">
        <f t="shared" si="10"/>
        <v>0.3005458228250168</v>
      </c>
      <c r="AK50" s="27">
        <v>100021009</v>
      </c>
      <c r="AL50" s="24">
        <v>10971.006927240942</v>
      </c>
      <c r="AN50" s="118">
        <f t="shared" si="11"/>
        <v>0.9092336304086539</v>
      </c>
    </row>
    <row r="51" spans="1:40" x14ac:dyDescent="0.35">
      <c r="A51" s="84">
        <v>100021055</v>
      </c>
      <c r="B51" s="98" t="s">
        <v>54</v>
      </c>
      <c r="C51" s="99">
        <v>7790360965189</v>
      </c>
      <c r="D51" s="100">
        <v>2.04</v>
      </c>
      <c r="E51" s="101">
        <v>24</v>
      </c>
      <c r="F51" s="85">
        <f t="shared" si="34"/>
        <v>15499.254843517137</v>
      </c>
      <c r="G51" s="103"/>
      <c r="H51" s="85">
        <f t="shared" si="2"/>
        <v>15499.254843517137</v>
      </c>
      <c r="I51" s="85">
        <f t="shared" si="3"/>
        <v>645.80228514654743</v>
      </c>
      <c r="J51" s="85">
        <f t="shared" si="4"/>
        <v>135.61847988077497</v>
      </c>
      <c r="K51" s="85">
        <f t="shared" si="5"/>
        <v>781.42076502732243</v>
      </c>
      <c r="L51" s="85">
        <f t="shared" si="35"/>
        <v>171.91256830601094</v>
      </c>
      <c r="M51" s="85">
        <f t="shared" si="7"/>
        <v>953.33333333333337</v>
      </c>
      <c r="N51" s="85">
        <f t="shared" si="36"/>
        <v>333.66666666666669</v>
      </c>
      <c r="O51" s="102">
        <f t="shared" si="9"/>
        <v>1287</v>
      </c>
      <c r="P51" s="185">
        <f t="shared" si="37"/>
        <v>9.9827334312910576E-2</v>
      </c>
      <c r="Q51" s="25">
        <v>14092.44375</v>
      </c>
      <c r="S51" s="1"/>
      <c r="T51" s="1"/>
      <c r="U51" s="1"/>
      <c r="V51" s="1"/>
      <c r="W51" s="1"/>
      <c r="X51" s="1"/>
      <c r="Y51" s="120"/>
      <c r="Z51" s="120"/>
      <c r="AA51" s="120"/>
      <c r="AB51" s="120"/>
      <c r="AC51" s="120"/>
      <c r="AF51">
        <v>11917.5</v>
      </c>
      <c r="AG51">
        <f t="shared" si="10"/>
        <v>0.3005458228250168</v>
      </c>
      <c r="AK51" s="27">
        <v>100021010</v>
      </c>
      <c r="AL51" s="24">
        <v>10971.006927240942</v>
      </c>
      <c r="AN51" s="118">
        <f t="shared" si="11"/>
        <v>0.9092336304086539</v>
      </c>
    </row>
    <row r="52" spans="1:40" x14ac:dyDescent="0.35">
      <c r="A52" s="84">
        <v>100021015</v>
      </c>
      <c r="B52" s="98" t="s">
        <v>55</v>
      </c>
      <c r="C52" s="99">
        <v>7790360965202</v>
      </c>
      <c r="D52" s="100">
        <v>2.04</v>
      </c>
      <c r="E52" s="101">
        <v>24</v>
      </c>
      <c r="F52" s="85">
        <f t="shared" si="34"/>
        <v>15499.254843517137</v>
      </c>
      <c r="G52" s="103"/>
      <c r="H52" s="85">
        <f t="shared" si="2"/>
        <v>15499.254843517137</v>
      </c>
      <c r="I52" s="85">
        <f t="shared" si="3"/>
        <v>645.80228514654743</v>
      </c>
      <c r="J52" s="85">
        <f t="shared" si="4"/>
        <v>135.61847988077497</v>
      </c>
      <c r="K52" s="85">
        <f t="shared" si="5"/>
        <v>781.42076502732243</v>
      </c>
      <c r="L52" s="85">
        <f t="shared" si="35"/>
        <v>171.91256830601094</v>
      </c>
      <c r="M52" s="85">
        <f t="shared" si="7"/>
        <v>953.33333333333337</v>
      </c>
      <c r="N52" s="85">
        <f t="shared" si="36"/>
        <v>333.66666666666669</v>
      </c>
      <c r="O52" s="102">
        <f t="shared" si="9"/>
        <v>1287</v>
      </c>
      <c r="P52" s="185">
        <f t="shared" si="37"/>
        <v>9.9827334312910576E-2</v>
      </c>
      <c r="Q52" s="25">
        <v>14092.44375</v>
      </c>
      <c r="S52" s="1"/>
      <c r="T52" s="1"/>
      <c r="U52" s="1"/>
      <c r="V52" s="1"/>
      <c r="W52" s="1"/>
      <c r="X52" s="1"/>
      <c r="AF52">
        <v>11917.5</v>
      </c>
      <c r="AG52">
        <f t="shared" si="10"/>
        <v>0.3005458228250168</v>
      </c>
      <c r="AK52" s="27">
        <v>100021011</v>
      </c>
      <c r="AL52" s="24">
        <v>10971.006927240942</v>
      </c>
      <c r="AN52" s="118">
        <f t="shared" si="11"/>
        <v>0.9092336304086539</v>
      </c>
    </row>
    <row r="53" spans="1:40" x14ac:dyDescent="0.35">
      <c r="A53" s="84">
        <v>100021008</v>
      </c>
      <c r="B53" s="98" t="s">
        <v>56</v>
      </c>
      <c r="C53" s="99">
        <v>7790360720122</v>
      </c>
      <c r="D53" s="100">
        <v>2.16</v>
      </c>
      <c r="E53" s="101">
        <v>24</v>
      </c>
      <c r="F53" s="85">
        <f t="shared" si="34"/>
        <v>10971.006927240942</v>
      </c>
      <c r="G53" s="117"/>
      <c r="H53" s="85">
        <f>+F53*(1-G53)</f>
        <v>10971.006927240942</v>
      </c>
      <c r="I53" s="85">
        <f t="shared" si="3"/>
        <v>457.12528863503923</v>
      </c>
      <c r="J53" s="85">
        <f t="shared" si="4"/>
        <v>95.996310613358233</v>
      </c>
      <c r="K53" s="85">
        <f t="shared" si="5"/>
        <v>553.1215992483975</v>
      </c>
      <c r="L53" s="85">
        <f t="shared" si="35"/>
        <v>121.68675183464745</v>
      </c>
      <c r="M53" s="85">
        <f t="shared" si="7"/>
        <v>674.80835108304495</v>
      </c>
      <c r="N53" s="85">
        <f t="shared" si="36"/>
        <v>236.18292287906573</v>
      </c>
      <c r="O53" s="102">
        <f t="shared" si="9"/>
        <v>910.99127396211065</v>
      </c>
      <c r="P53" s="185">
        <f t="shared" si="37"/>
        <v>5.0000000000000044E-2</v>
      </c>
      <c r="Q53" s="25">
        <v>10448.578025943754</v>
      </c>
      <c r="S53" s="1"/>
      <c r="T53" s="1"/>
      <c r="U53" s="1"/>
      <c r="V53" s="1"/>
      <c r="W53" s="1"/>
      <c r="X53" s="1"/>
      <c r="AF53">
        <v>9046.387901250002</v>
      </c>
      <c r="AG53">
        <f t="shared" si="10"/>
        <v>0.21275000000000022</v>
      </c>
      <c r="AK53" s="32"/>
      <c r="AL53" s="24"/>
      <c r="AN53" s="118">
        <f t="shared" si="11"/>
        <v>0.95238095238095244</v>
      </c>
    </row>
    <row r="54" spans="1:40" x14ac:dyDescent="0.35">
      <c r="A54" s="84">
        <v>100021009</v>
      </c>
      <c r="B54" s="98" t="s">
        <v>57</v>
      </c>
      <c r="C54" s="99">
        <v>7790360965127</v>
      </c>
      <c r="D54" s="100">
        <v>2.16</v>
      </c>
      <c r="E54" s="101">
        <v>24</v>
      </c>
      <c r="F54" s="85">
        <f t="shared" si="34"/>
        <v>10971.006927240942</v>
      </c>
      <c r="G54" s="103"/>
      <c r="H54" s="85">
        <f t="shared" si="2"/>
        <v>10971.006927240942</v>
      </c>
      <c r="I54" s="85">
        <f t="shared" si="3"/>
        <v>457.12528863503923</v>
      </c>
      <c r="J54" s="85">
        <f t="shared" si="4"/>
        <v>95.996310613358233</v>
      </c>
      <c r="K54" s="85">
        <f t="shared" si="5"/>
        <v>553.1215992483975</v>
      </c>
      <c r="L54" s="85">
        <f t="shared" si="35"/>
        <v>121.68675183464745</v>
      </c>
      <c r="M54" s="85">
        <f t="shared" si="7"/>
        <v>674.80835108304495</v>
      </c>
      <c r="N54" s="85">
        <f t="shared" si="36"/>
        <v>236.18292287906573</v>
      </c>
      <c r="O54" s="102">
        <f t="shared" si="9"/>
        <v>910.99127396211065</v>
      </c>
      <c r="P54" s="185">
        <f t="shared" si="37"/>
        <v>5.0000000000000044E-2</v>
      </c>
      <c r="Q54" s="25">
        <v>10448.578025943754</v>
      </c>
      <c r="S54" s="1"/>
      <c r="T54" s="1"/>
      <c r="U54" s="1"/>
      <c r="V54" s="1"/>
      <c r="W54" s="1"/>
      <c r="X54" s="1"/>
      <c r="AF54">
        <v>9046.387901250002</v>
      </c>
      <c r="AG54">
        <f t="shared" si="10"/>
        <v>0.21275000000000022</v>
      </c>
      <c r="AK54" s="27">
        <v>100516217</v>
      </c>
      <c r="AL54" s="24">
        <v>25816.614898936674</v>
      </c>
      <c r="AN54" s="118">
        <f t="shared" si="11"/>
        <v>0.95238095238095244</v>
      </c>
    </row>
    <row r="55" spans="1:40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f t="shared" si="34"/>
        <v>10971.006927240942</v>
      </c>
      <c r="G55" s="23"/>
      <c r="H55" s="24">
        <f t="shared" si="2"/>
        <v>10971.006927240942</v>
      </c>
      <c r="I55" s="24">
        <f t="shared" si="3"/>
        <v>457.12528863503923</v>
      </c>
      <c r="J55" s="24">
        <f t="shared" si="4"/>
        <v>95.996310613358233</v>
      </c>
      <c r="K55" s="24">
        <f t="shared" si="5"/>
        <v>553.1215992483975</v>
      </c>
      <c r="L55" s="24">
        <f t="shared" si="35"/>
        <v>121.68675183464745</v>
      </c>
      <c r="M55" s="24">
        <f t="shared" si="7"/>
        <v>674.80835108304495</v>
      </c>
      <c r="N55" s="24">
        <f t="shared" si="36"/>
        <v>236.18292287906573</v>
      </c>
      <c r="O55" s="25">
        <f t="shared" si="9"/>
        <v>910.99127396211065</v>
      </c>
      <c r="P55" s="185">
        <f t="shared" si="37"/>
        <v>5.0000000000000044E-2</v>
      </c>
      <c r="Q55" s="25">
        <v>10448.578025943754</v>
      </c>
      <c r="S55" s="1"/>
      <c r="T55" s="1"/>
      <c r="U55" s="1"/>
      <c r="V55" s="1"/>
      <c r="W55" s="1"/>
      <c r="X55" s="1"/>
      <c r="AF55">
        <v>9046.387901250002</v>
      </c>
      <c r="AG55">
        <f t="shared" si="10"/>
        <v>0.21275000000000022</v>
      </c>
      <c r="AK55" s="27">
        <v>100516214</v>
      </c>
      <c r="AL55" s="24">
        <v>33331.909</v>
      </c>
      <c r="AN55" s="118">
        <f t="shared" si="11"/>
        <v>0.95238095238095244</v>
      </c>
    </row>
    <row r="56" spans="1:40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f t="shared" si="34"/>
        <v>10971.006927240942</v>
      </c>
      <c r="G56" s="23"/>
      <c r="H56" s="24">
        <f t="shared" si="2"/>
        <v>10971.006927240942</v>
      </c>
      <c r="I56" s="24">
        <f t="shared" si="3"/>
        <v>457.12528863503923</v>
      </c>
      <c r="J56" s="24">
        <f t="shared" si="4"/>
        <v>95.996310613358233</v>
      </c>
      <c r="K56" s="24">
        <f t="shared" si="5"/>
        <v>553.1215992483975</v>
      </c>
      <c r="L56" s="24">
        <f t="shared" si="35"/>
        <v>121.68675183464745</v>
      </c>
      <c r="M56" s="24">
        <f t="shared" si="7"/>
        <v>674.80835108304495</v>
      </c>
      <c r="N56" s="24">
        <f t="shared" si="36"/>
        <v>236.18292287906573</v>
      </c>
      <c r="O56" s="25">
        <f t="shared" si="9"/>
        <v>910.99127396211065</v>
      </c>
      <c r="P56" s="185">
        <f t="shared" si="37"/>
        <v>5.0000000000000044E-2</v>
      </c>
      <c r="Q56" s="25">
        <v>10448.578025943754</v>
      </c>
      <c r="S56" s="1"/>
      <c r="T56" s="1"/>
      <c r="U56" s="1"/>
      <c r="V56" s="1"/>
      <c r="W56" s="1"/>
      <c r="X56" s="1"/>
      <c r="AF56">
        <v>9046.387901250002</v>
      </c>
      <c r="AG56">
        <f t="shared" si="10"/>
        <v>0.21275000000000022</v>
      </c>
      <c r="AK56" s="27">
        <v>100516215</v>
      </c>
      <c r="AL56" s="24">
        <v>33331.909</v>
      </c>
      <c r="AN56" s="118">
        <f t="shared" si="11"/>
        <v>0.95238095238095244</v>
      </c>
    </row>
    <row r="57" spans="1:40" x14ac:dyDescent="0.35">
      <c r="A57" s="32"/>
      <c r="B57" s="33"/>
      <c r="C57" s="34"/>
      <c r="D57" s="33"/>
      <c r="E57" s="35"/>
      <c r="F57" s="36" t="e">
        <f t="shared" si="34"/>
        <v>#N/A</v>
      </c>
      <c r="G57" s="35"/>
      <c r="H57" s="36" t="e">
        <f t="shared" si="2"/>
        <v>#N/A</v>
      </c>
      <c r="I57" s="37" t="e">
        <f t="shared" si="3"/>
        <v>#N/A</v>
      </c>
      <c r="J57" s="38"/>
      <c r="K57" s="37"/>
      <c r="L57" s="38"/>
      <c r="M57" s="37"/>
      <c r="N57" s="38"/>
      <c r="O57" s="39"/>
      <c r="P57" s="185" t="e">
        <f t="shared" si="37"/>
        <v>#N/A</v>
      </c>
      <c r="Q57" s="25" t="e">
        <v>#N/A</v>
      </c>
      <c r="S57" s="1"/>
      <c r="T57" s="1"/>
      <c r="U57" s="1"/>
      <c r="V57" s="1"/>
      <c r="W57" s="1"/>
      <c r="X57" s="1"/>
      <c r="AF57" t="e">
        <v>#N/A</v>
      </c>
      <c r="AG57" t="e">
        <f t="shared" si="10"/>
        <v>#N/A</v>
      </c>
      <c r="AK57" s="27">
        <v>100516216</v>
      </c>
      <c r="AL57" s="36">
        <v>33331.909</v>
      </c>
      <c r="AN57" s="118" t="e">
        <f t="shared" si="11"/>
        <v>#N/A</v>
      </c>
    </row>
    <row r="58" spans="1:40" x14ac:dyDescent="0.35">
      <c r="A58" s="84">
        <v>100516217</v>
      </c>
      <c r="B58" s="98" t="s">
        <v>60</v>
      </c>
      <c r="C58" s="99">
        <v>7790360967824</v>
      </c>
      <c r="D58" s="100">
        <v>5.8</v>
      </c>
      <c r="E58" s="101">
        <v>20</v>
      </c>
      <c r="F58" s="85">
        <f t="shared" si="34"/>
        <v>25816.614898936674</v>
      </c>
      <c r="G58" s="97"/>
      <c r="H58" s="85">
        <f t="shared" si="2"/>
        <v>25816.614898936674</v>
      </c>
      <c r="I58" s="85">
        <f t="shared" si="3"/>
        <v>1290.8307449468336</v>
      </c>
      <c r="J58" s="85">
        <f t="shared" si="4"/>
        <v>271.07445643883506</v>
      </c>
      <c r="K58" s="85">
        <f t="shared" si="5"/>
        <v>1561.9052013856688</v>
      </c>
      <c r="L58" s="85">
        <f t="shared" si="6"/>
        <v>546.66682048498399</v>
      </c>
      <c r="M58" s="85">
        <f t="shared" si="7"/>
        <v>2108.5720218706529</v>
      </c>
      <c r="N58" s="85">
        <f>+M58*0.423</f>
        <v>891.92596525128613</v>
      </c>
      <c r="O58" s="102">
        <f t="shared" si="9"/>
        <v>3000.4979871219389</v>
      </c>
      <c r="P58" s="185">
        <f t="shared" si="37"/>
        <v>3.0000000000000027E-2</v>
      </c>
      <c r="Q58" s="25">
        <v>25064.674659161818</v>
      </c>
      <c r="S58" s="1" t="s">
        <v>176</v>
      </c>
      <c r="T58" s="1"/>
      <c r="U58" s="1"/>
      <c r="V58" s="1"/>
      <c r="W58" s="1"/>
      <c r="X58" s="1"/>
      <c r="AF58">
        <v>22937.727958732434</v>
      </c>
      <c r="AG58">
        <f t="shared" si="10"/>
        <v>0.12550881000000014</v>
      </c>
      <c r="AK58" s="32"/>
      <c r="AL58" s="24"/>
      <c r="AN58" s="118">
        <f t="shared" si="11"/>
        <v>0.97087378640776689</v>
      </c>
    </row>
    <row r="59" spans="1:40" x14ac:dyDescent="0.35">
      <c r="A59" s="84">
        <v>100516214</v>
      </c>
      <c r="B59" s="98" t="s">
        <v>61</v>
      </c>
      <c r="C59" s="99">
        <v>7790360967794</v>
      </c>
      <c r="D59" s="100">
        <v>7</v>
      </c>
      <c r="E59" s="101">
        <v>20</v>
      </c>
      <c r="F59" s="85">
        <f t="shared" si="34"/>
        <v>33331.909</v>
      </c>
      <c r="G59" s="97"/>
      <c r="H59" s="85">
        <f t="shared" si="2"/>
        <v>33331.909</v>
      </c>
      <c r="I59" s="85">
        <f t="shared" si="3"/>
        <v>1666.59545</v>
      </c>
      <c r="J59" s="85">
        <f t="shared" si="4"/>
        <v>349.98504450000001</v>
      </c>
      <c r="K59" s="85">
        <f t="shared" si="5"/>
        <v>2016.5804945</v>
      </c>
      <c r="L59" s="85">
        <f t="shared" si="6"/>
        <v>705.8031730749999</v>
      </c>
      <c r="M59" s="85">
        <f t="shared" si="7"/>
        <v>2722.3836675749999</v>
      </c>
      <c r="N59" s="85">
        <f t="shared" si="8"/>
        <v>1225.07265040875</v>
      </c>
      <c r="O59" s="102">
        <f t="shared" si="9"/>
        <v>3947.4563179837496</v>
      </c>
      <c r="P59" s="185">
        <f t="shared" si="37"/>
        <v>-1.1428248358757997E-7</v>
      </c>
      <c r="Q59" s="25">
        <v>33331.912809253779</v>
      </c>
      <c r="S59" s="1" t="s">
        <v>175</v>
      </c>
      <c r="T59" s="1"/>
      <c r="U59" s="1"/>
      <c r="V59" s="1"/>
      <c r="W59" s="1"/>
      <c r="X59" s="1"/>
      <c r="AF59">
        <v>31418.524657605598</v>
      </c>
      <c r="AG59">
        <f t="shared" si="10"/>
        <v>6.089987875771314E-2</v>
      </c>
      <c r="AK59" s="27">
        <v>100021704</v>
      </c>
      <c r="AL59" s="24">
        <v>37686.635793333073</v>
      </c>
      <c r="AN59" s="118">
        <f t="shared" si="11"/>
        <v>1.0000001142824966</v>
      </c>
    </row>
    <row r="60" spans="1:40" x14ac:dyDescent="0.35">
      <c r="A60" s="84">
        <v>100516215</v>
      </c>
      <c r="B60" s="98" t="s">
        <v>62</v>
      </c>
      <c r="C60" s="99">
        <v>7790360967800</v>
      </c>
      <c r="D60" s="100">
        <v>7</v>
      </c>
      <c r="E60" s="101">
        <v>20</v>
      </c>
      <c r="F60" s="85">
        <f t="shared" si="34"/>
        <v>33331.909</v>
      </c>
      <c r="G60" s="97"/>
      <c r="H60" s="85">
        <f t="shared" si="2"/>
        <v>33331.909</v>
      </c>
      <c r="I60" s="85">
        <f t="shared" si="3"/>
        <v>1666.59545</v>
      </c>
      <c r="J60" s="85">
        <f t="shared" si="4"/>
        <v>349.98504450000001</v>
      </c>
      <c r="K60" s="85">
        <f t="shared" si="5"/>
        <v>2016.5804945</v>
      </c>
      <c r="L60" s="85">
        <f t="shared" si="6"/>
        <v>705.8031730749999</v>
      </c>
      <c r="M60" s="85">
        <f t="shared" si="7"/>
        <v>2722.3836675749999</v>
      </c>
      <c r="N60" s="85">
        <f t="shared" si="8"/>
        <v>1225.07265040875</v>
      </c>
      <c r="O60" s="102">
        <f t="shared" si="9"/>
        <v>3947.4563179837496</v>
      </c>
      <c r="P60" s="185">
        <f t="shared" si="37"/>
        <v>-1.1428248358757997E-7</v>
      </c>
      <c r="Q60" s="25">
        <v>33331.912809253779</v>
      </c>
      <c r="S60" s="1" t="s">
        <v>175</v>
      </c>
      <c r="T60" s="1"/>
      <c r="U60" s="1"/>
      <c r="V60" s="1"/>
      <c r="W60" s="1"/>
      <c r="X60" s="1"/>
      <c r="AF60">
        <v>31418.524657605598</v>
      </c>
      <c r="AG60">
        <f t="shared" si="10"/>
        <v>6.089987875771314E-2</v>
      </c>
      <c r="AK60" s="27">
        <v>100021705</v>
      </c>
      <c r="AL60" s="24">
        <v>34258.028957143353</v>
      </c>
      <c r="AN60" s="118">
        <f t="shared" si="11"/>
        <v>1.0000001142824966</v>
      </c>
    </row>
    <row r="61" spans="1:40" x14ac:dyDescent="0.35">
      <c r="A61" s="84">
        <v>100516216</v>
      </c>
      <c r="B61" s="98" t="s">
        <v>63</v>
      </c>
      <c r="C61" s="99">
        <v>7790360967817</v>
      </c>
      <c r="D61" s="100">
        <v>7</v>
      </c>
      <c r="E61" s="101">
        <v>20</v>
      </c>
      <c r="F61" s="85">
        <f t="shared" si="34"/>
        <v>33331.909</v>
      </c>
      <c r="G61" s="97"/>
      <c r="H61" s="85">
        <f t="shared" si="2"/>
        <v>33331.909</v>
      </c>
      <c r="I61" s="85">
        <f t="shared" si="3"/>
        <v>1666.59545</v>
      </c>
      <c r="J61" s="85">
        <f t="shared" si="4"/>
        <v>349.98504450000001</v>
      </c>
      <c r="K61" s="85">
        <f t="shared" si="5"/>
        <v>2016.5804945</v>
      </c>
      <c r="L61" s="85">
        <f t="shared" si="6"/>
        <v>705.8031730749999</v>
      </c>
      <c r="M61" s="85">
        <f t="shared" si="7"/>
        <v>2722.3836675749999</v>
      </c>
      <c r="N61" s="85">
        <f t="shared" si="8"/>
        <v>1225.07265040875</v>
      </c>
      <c r="O61" s="102">
        <f t="shared" si="9"/>
        <v>3947.4563179837496</v>
      </c>
      <c r="P61" s="185">
        <f t="shared" si="37"/>
        <v>-1.1428248358757997E-7</v>
      </c>
      <c r="Q61" s="25">
        <v>33331.912809253779</v>
      </c>
      <c r="S61" s="1" t="s">
        <v>175</v>
      </c>
      <c r="T61" s="1"/>
      <c r="U61" s="1"/>
      <c r="V61" s="1"/>
      <c r="W61" s="1"/>
      <c r="X61" s="1"/>
      <c r="AF61">
        <v>31418.524657605598</v>
      </c>
      <c r="AG61">
        <f t="shared" si="10"/>
        <v>6.089987875771314E-2</v>
      </c>
      <c r="AK61" s="27">
        <v>100021709</v>
      </c>
      <c r="AL61" s="24">
        <v>54972.169577320434</v>
      </c>
      <c r="AN61" s="118">
        <f t="shared" si="11"/>
        <v>1.0000001142824966</v>
      </c>
    </row>
    <row r="62" spans="1:40" x14ac:dyDescent="0.35">
      <c r="A62" s="32"/>
      <c r="B62" s="33"/>
      <c r="C62" s="34"/>
      <c r="D62" s="33"/>
      <c r="E62" s="35"/>
      <c r="F62" s="36" t="e">
        <f t="shared" si="34"/>
        <v>#N/A</v>
      </c>
      <c r="G62" s="134"/>
      <c r="H62" s="36" t="e">
        <f t="shared" si="2"/>
        <v>#N/A</v>
      </c>
      <c r="I62" s="37" t="e">
        <f t="shared" si="3"/>
        <v>#N/A</v>
      </c>
      <c r="J62" s="38"/>
      <c r="K62" s="37"/>
      <c r="L62" s="38"/>
      <c r="M62" s="37"/>
      <c r="N62" s="38"/>
      <c r="O62" s="39"/>
      <c r="P62" s="185" t="e">
        <f t="shared" si="37"/>
        <v>#N/A</v>
      </c>
      <c r="Q62" s="25" t="e">
        <v>#N/A</v>
      </c>
      <c r="S62" s="1"/>
      <c r="T62" s="1"/>
      <c r="U62" s="1"/>
      <c r="V62" s="1"/>
      <c r="W62" s="1"/>
      <c r="X62" s="1"/>
      <c r="AF62" t="e">
        <v>#N/A</v>
      </c>
      <c r="AG62" t="e">
        <f t="shared" si="10"/>
        <v>#N/A</v>
      </c>
      <c r="AK62" s="27">
        <v>100521357</v>
      </c>
      <c r="AL62" s="36">
        <v>44177.826000000015</v>
      </c>
      <c r="AN62" s="118" t="e">
        <f t="shared" si="11"/>
        <v>#N/A</v>
      </c>
    </row>
    <row r="63" spans="1:40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f t="shared" si="34"/>
        <v>37686.635793333073</v>
      </c>
      <c r="G63" s="135"/>
      <c r="H63" s="24">
        <f t="shared" si="2"/>
        <v>37686.635793333073</v>
      </c>
      <c r="I63" s="24">
        <f t="shared" si="3"/>
        <v>3140.5529827777559</v>
      </c>
      <c r="J63" s="24">
        <f t="shared" si="4"/>
        <v>659.5161263833287</v>
      </c>
      <c r="K63" s="24">
        <f t="shared" si="5"/>
        <v>3800.0691091610847</v>
      </c>
      <c r="L63" s="24">
        <f t="shared" si="6"/>
        <v>1330.0241882063797</v>
      </c>
      <c r="M63" s="24">
        <f t="shared" si="7"/>
        <v>5130.0932973674644</v>
      </c>
      <c r="N63" s="24">
        <f t="shared" si="8"/>
        <v>2308.5419838153589</v>
      </c>
      <c r="O63" s="25">
        <f t="shared" si="9"/>
        <v>7438.6352811828237</v>
      </c>
      <c r="P63" s="185">
        <f t="shared" si="37"/>
        <v>0</v>
      </c>
      <c r="Q63" s="25">
        <v>37686.635793333073</v>
      </c>
      <c r="S63" s="1"/>
      <c r="T63" s="1"/>
      <c r="U63" s="1"/>
      <c r="V63" s="1"/>
      <c r="W63" s="1"/>
      <c r="X63" s="1"/>
      <c r="AF63">
        <v>35892.034088888642</v>
      </c>
      <c r="AG63">
        <f t="shared" si="10"/>
        <v>4.9999999999999961E-2</v>
      </c>
      <c r="AK63" s="233">
        <v>100521358</v>
      </c>
      <c r="AL63" s="234">
        <v>66266.739000000016</v>
      </c>
      <c r="AN63" s="118">
        <f t="shared" si="11"/>
        <v>1</v>
      </c>
    </row>
    <row r="64" spans="1:40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>
        <f t="shared" si="34"/>
        <v>34258.028957143353</v>
      </c>
      <c r="G64" s="135"/>
      <c r="H64" s="24">
        <f t="shared" si="2"/>
        <v>34258.028957143353</v>
      </c>
      <c r="I64" s="24">
        <f t="shared" si="3"/>
        <v>2854.8357464286128</v>
      </c>
      <c r="J64" s="24">
        <f t="shared" si="4"/>
        <v>599.51550675000863</v>
      </c>
      <c r="K64" s="24">
        <f t="shared" si="5"/>
        <v>3454.3512531786214</v>
      </c>
      <c r="L64" s="24">
        <f t="shared" si="6"/>
        <v>1209.0229386125175</v>
      </c>
      <c r="M64" s="24">
        <f t="shared" si="7"/>
        <v>4663.3741917911393</v>
      </c>
      <c r="N64" s="24">
        <f t="shared" si="8"/>
        <v>2098.5183863060129</v>
      </c>
      <c r="O64" s="25">
        <f t="shared" si="9"/>
        <v>6761.8925780971522</v>
      </c>
      <c r="P64" s="185">
        <f t="shared" si="37"/>
        <v>0</v>
      </c>
      <c r="Q64" s="25">
        <v>34258.028957143353</v>
      </c>
      <c r="S64" s="1"/>
      <c r="T64" s="1"/>
      <c r="U64" s="1"/>
      <c r="V64" s="1"/>
      <c r="W64" s="1"/>
      <c r="X64" s="1"/>
      <c r="AF64">
        <v>32626.694244898434</v>
      </c>
      <c r="AG64">
        <f t="shared" si="10"/>
        <v>4.9999999999999933E-2</v>
      </c>
      <c r="AK64" s="27">
        <v>100522130</v>
      </c>
      <c r="AL64" s="24">
        <v>36420.08712457501</v>
      </c>
      <c r="AN64" s="118">
        <f t="shared" si="11"/>
        <v>1</v>
      </c>
    </row>
    <row r="65" spans="1:40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f t="shared" si="34"/>
        <v>54972.169577320434</v>
      </c>
      <c r="G65" s="136"/>
      <c r="H65" s="24">
        <f t="shared" si="2"/>
        <v>54972.169577320434</v>
      </c>
      <c r="I65" s="24">
        <f t="shared" si="3"/>
        <v>5497.2169577320437</v>
      </c>
      <c r="J65" s="24">
        <f t="shared" si="4"/>
        <v>1154.415561123729</v>
      </c>
      <c r="K65" s="24">
        <f t="shared" si="5"/>
        <v>6651.632518855773</v>
      </c>
      <c r="L65" s="24">
        <f t="shared" si="6"/>
        <v>2328.0713815995205</v>
      </c>
      <c r="M65" s="24">
        <f t="shared" si="7"/>
        <v>8979.7039004552935</v>
      </c>
      <c r="N65" s="24">
        <f t="shared" si="8"/>
        <v>4040.8667552048823</v>
      </c>
      <c r="O65" s="25">
        <f t="shared" si="9"/>
        <v>13020.570655660176</v>
      </c>
      <c r="P65" s="185">
        <f t="shared" si="37"/>
        <v>0</v>
      </c>
      <c r="Q65" s="25">
        <v>54972.169577320434</v>
      </c>
      <c r="S65" s="1"/>
      <c r="T65" s="1"/>
      <c r="U65" s="1"/>
      <c r="V65" s="1"/>
      <c r="W65" s="1"/>
      <c r="X65" s="1"/>
      <c r="AF65">
        <v>43626.960865505825</v>
      </c>
      <c r="AG65">
        <f t="shared" si="10"/>
        <v>0.26005040201608065</v>
      </c>
      <c r="AK65" s="41">
        <v>100021725</v>
      </c>
      <c r="AL65" s="24">
        <v>28414.154467175089</v>
      </c>
      <c r="AN65" s="118">
        <f t="shared" si="11"/>
        <v>1</v>
      </c>
    </row>
    <row r="66" spans="1:40" x14ac:dyDescent="0.35">
      <c r="A66" s="84">
        <v>100521357</v>
      </c>
      <c r="B66" s="98" t="s">
        <v>122</v>
      </c>
      <c r="C66" s="99">
        <v>7790360982018</v>
      </c>
      <c r="D66" s="100">
        <v>4.5599999999999996</v>
      </c>
      <c r="E66" s="101">
        <v>12</v>
      </c>
      <c r="F66" s="85">
        <f t="shared" si="34"/>
        <v>44177.826000000015</v>
      </c>
      <c r="G66" s="117">
        <v>0.33</v>
      </c>
      <c r="H66" s="85">
        <f t="shared" si="2"/>
        <v>29599.143420000008</v>
      </c>
      <c r="I66" s="85">
        <f t="shared" ref="I66:I68" si="46">+H66/E66</f>
        <v>2466.5952850000008</v>
      </c>
      <c r="J66" s="85">
        <f t="shared" ref="J66:J68" si="47">+I66*J$3</f>
        <v>517.9850098500001</v>
      </c>
      <c r="K66" s="85">
        <f t="shared" ref="K66:K68" si="48">+I66+J66</f>
        <v>2984.5802948500009</v>
      </c>
      <c r="L66" s="85">
        <f t="shared" ref="L66:L68" si="49">+K66*L$3</f>
        <v>1044.6031031975003</v>
      </c>
      <c r="M66" s="85">
        <f t="shared" ref="M66:M68" si="50">+K66+L66</f>
        <v>4029.1833980475012</v>
      </c>
      <c r="N66" s="85">
        <f t="shared" ref="N66:N68" si="51">+M66*N$3</f>
        <v>1813.1325291213757</v>
      </c>
      <c r="O66" s="102">
        <f t="shared" ref="O66:O68" si="52">+M66+N66</f>
        <v>5842.3159271688764</v>
      </c>
      <c r="P66" s="185">
        <f t="shared" si="37"/>
        <v>0</v>
      </c>
      <c r="Q66" s="25">
        <v>29599.143420000008</v>
      </c>
      <c r="S66" s="192" t="s">
        <v>201</v>
      </c>
      <c r="T66" s="1"/>
      <c r="U66" s="1"/>
      <c r="V66" s="1"/>
      <c r="W66" s="1"/>
      <c r="X66" s="1"/>
      <c r="AF66">
        <v>42074.12000000001</v>
      </c>
      <c r="AG66">
        <f t="shared" si="10"/>
        <v>-0.29649999999999999</v>
      </c>
      <c r="AK66" s="27">
        <v>100517055</v>
      </c>
      <c r="AL66" s="24">
        <v>28376.008182673599</v>
      </c>
      <c r="AN66" s="118">
        <f t="shared" si="11"/>
        <v>1</v>
      </c>
    </row>
    <row r="67" spans="1:40" x14ac:dyDescent="0.35">
      <c r="A67" s="84">
        <v>100521358</v>
      </c>
      <c r="B67" s="98" t="s">
        <v>130</v>
      </c>
      <c r="C67" s="99">
        <v>7790360982025</v>
      </c>
      <c r="D67" s="100">
        <v>7.6</v>
      </c>
      <c r="E67" s="101">
        <v>10</v>
      </c>
      <c r="F67" s="85">
        <f t="shared" si="34"/>
        <v>66266.739000000016</v>
      </c>
      <c r="G67" s="117">
        <v>0.33</v>
      </c>
      <c r="H67" s="85">
        <f t="shared" ref="H67" si="53">+F67*(1-G67)</f>
        <v>44398.715130000004</v>
      </c>
      <c r="I67" s="85">
        <f t="shared" si="46"/>
        <v>4439.871513</v>
      </c>
      <c r="J67" s="85">
        <f t="shared" si="47"/>
        <v>932.37301773000002</v>
      </c>
      <c r="K67" s="85">
        <f t="shared" si="48"/>
        <v>5372.2445307300004</v>
      </c>
      <c r="L67" s="85">
        <f t="shared" si="49"/>
        <v>1880.2855857555001</v>
      </c>
      <c r="M67" s="85">
        <f t="shared" si="50"/>
        <v>7252.5301164855009</v>
      </c>
      <c r="N67" s="85">
        <f t="shared" si="51"/>
        <v>3263.6385524184757</v>
      </c>
      <c r="O67" s="102">
        <f t="shared" si="52"/>
        <v>10516.168668903976</v>
      </c>
      <c r="P67" s="185">
        <f t="shared" si="37"/>
        <v>-0.33000000000000007</v>
      </c>
      <c r="Q67" s="25">
        <v>66266.739000000016</v>
      </c>
      <c r="S67" s="1" t="s">
        <v>209</v>
      </c>
      <c r="T67" s="1"/>
      <c r="U67" s="1"/>
      <c r="V67" s="1"/>
      <c r="W67" s="1"/>
      <c r="X67" s="1"/>
      <c r="Y67" t="s">
        <v>154</v>
      </c>
      <c r="Z67" t="s">
        <v>131</v>
      </c>
      <c r="AA67" t="s">
        <v>155</v>
      </c>
      <c r="AF67">
        <v>63111.180000000008</v>
      </c>
      <c r="AG67">
        <f t="shared" si="10"/>
        <v>-0.29650000000000004</v>
      </c>
      <c r="AK67" s="27">
        <v>100517186</v>
      </c>
      <c r="AL67" s="24">
        <v>71701.328698938174</v>
      </c>
      <c r="AN67" s="118">
        <f t="shared" si="11"/>
        <v>1.4925373134328361</v>
      </c>
    </row>
    <row r="68" spans="1:40" x14ac:dyDescent="0.35">
      <c r="A68" s="27">
        <v>100522130</v>
      </c>
      <c r="B68" s="28" t="s">
        <v>123</v>
      </c>
      <c r="C68" s="21">
        <v>7790360982445</v>
      </c>
      <c r="D68" s="22">
        <v>4.8</v>
      </c>
      <c r="E68" s="23">
        <v>12</v>
      </c>
      <c r="F68" s="24">
        <f t="shared" si="34"/>
        <v>36420.08712457501</v>
      </c>
      <c r="G68" s="136"/>
      <c r="H68" s="24">
        <f t="shared" si="2"/>
        <v>36420.08712457501</v>
      </c>
      <c r="I68" s="24">
        <f t="shared" si="46"/>
        <v>3035.0072603812509</v>
      </c>
      <c r="J68" s="24">
        <f t="shared" si="47"/>
        <v>637.35152468006265</v>
      </c>
      <c r="K68" s="24">
        <f t="shared" si="48"/>
        <v>3672.3587850613135</v>
      </c>
      <c r="L68" s="24">
        <f t="shared" si="49"/>
        <v>1285.3255747714597</v>
      </c>
      <c r="M68" s="24">
        <f t="shared" si="50"/>
        <v>4957.6843598327732</v>
      </c>
      <c r="N68" s="24">
        <f t="shared" si="51"/>
        <v>2230.9579619247479</v>
      </c>
      <c r="O68" s="194">
        <f t="shared" si="52"/>
        <v>7188.6423217575211</v>
      </c>
      <c r="P68" s="185">
        <f t="shared" si="37"/>
        <v>5.0000000000000044E-2</v>
      </c>
      <c r="Q68" s="25">
        <v>34685.797261500011</v>
      </c>
      <c r="S68" s="1"/>
      <c r="T68" s="1"/>
      <c r="U68" s="1"/>
      <c r="V68" s="1"/>
      <c r="W68" s="1"/>
      <c r="X68" s="1"/>
      <c r="Y68" s="119">
        <v>5250</v>
      </c>
      <c r="Z68" s="124">
        <v>5560</v>
      </c>
      <c r="AA68" s="124">
        <v>7192</v>
      </c>
      <c r="AF68">
        <v>25331.686773693044</v>
      </c>
      <c r="AG68">
        <f t="shared" si="10"/>
        <v>0.4377284643515042</v>
      </c>
      <c r="AK68" s="80">
        <v>100521663</v>
      </c>
      <c r="AL68" s="24">
        <v>37997.530160539558</v>
      </c>
      <c r="AN68" s="118">
        <f t="shared" si="11"/>
        <v>0.95238095238095244</v>
      </c>
    </row>
    <row r="69" spans="1:40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f t="shared" si="34"/>
        <v>28414.154467175089</v>
      </c>
      <c r="G69" s="137"/>
      <c r="H69" s="46">
        <f t="shared" si="2"/>
        <v>28414.154467175089</v>
      </c>
      <c r="I69" s="46">
        <f t="shared" si="3"/>
        <v>7103.5386167937722</v>
      </c>
      <c r="J69" s="46">
        <f t="shared" si="4"/>
        <v>1491.743109526692</v>
      </c>
      <c r="K69" s="46">
        <f t="shared" si="5"/>
        <v>8595.2817263204633</v>
      </c>
      <c r="L69" s="46">
        <f t="shared" si="6"/>
        <v>3008.3486042121622</v>
      </c>
      <c r="M69" s="46">
        <f t="shared" si="7"/>
        <v>11603.630330532626</v>
      </c>
      <c r="N69" s="46">
        <f t="shared" si="8"/>
        <v>5221.633648739682</v>
      </c>
      <c r="O69" s="47">
        <f t="shared" si="9"/>
        <v>16825.263979272306</v>
      </c>
      <c r="P69" s="185">
        <f t="shared" si="37"/>
        <v>0</v>
      </c>
      <c r="Q69" s="25">
        <v>28414.154467175089</v>
      </c>
      <c r="S69" s="1"/>
      <c r="T69" s="1"/>
      <c r="U69" s="1"/>
      <c r="V69" s="1"/>
      <c r="W69" s="1"/>
      <c r="X69" s="1"/>
      <c r="AF69">
        <v>27061.099492547703</v>
      </c>
      <c r="AG69">
        <f t="shared" si="10"/>
        <v>5.0000000000000044E-2</v>
      </c>
      <c r="AK69" s="41">
        <v>100021728</v>
      </c>
      <c r="AL69" s="24">
        <v>35669.864673345204</v>
      </c>
      <c r="AN69" s="118">
        <f t="shared" si="11"/>
        <v>1</v>
      </c>
    </row>
    <row r="70" spans="1:40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f t="shared" si="34"/>
        <v>28376.008182673599</v>
      </c>
      <c r="G70" s="135"/>
      <c r="H70" s="24">
        <f t="shared" si="2"/>
        <v>28376.008182673599</v>
      </c>
      <c r="I70" s="24">
        <f t="shared" si="3"/>
        <v>2364.6673485561332</v>
      </c>
      <c r="J70" s="24">
        <f t="shared" si="4"/>
        <v>496.58014319678796</v>
      </c>
      <c r="K70" s="24">
        <f t="shared" si="5"/>
        <v>2861.2474917529212</v>
      </c>
      <c r="L70" s="24">
        <f t="shared" si="6"/>
        <v>1001.4366221135224</v>
      </c>
      <c r="M70" s="24">
        <f t="shared" si="7"/>
        <v>3862.6841138664436</v>
      </c>
      <c r="N70" s="24">
        <f t="shared" si="8"/>
        <v>1738.2078512398996</v>
      </c>
      <c r="O70" s="25">
        <f t="shared" si="9"/>
        <v>5600.8919651063434</v>
      </c>
      <c r="P70" s="185">
        <f t="shared" si="37"/>
        <v>0</v>
      </c>
      <c r="Q70" s="25">
        <v>28376.008182673599</v>
      </c>
      <c r="S70" s="1"/>
      <c r="T70" s="1"/>
      <c r="U70" s="1"/>
      <c r="V70" s="1"/>
      <c r="W70" s="1"/>
      <c r="X70" s="1"/>
      <c r="AF70">
        <v>27024.769697784377</v>
      </c>
      <c r="AG70">
        <f t="shared" si="10"/>
        <v>5.00000000000001E-2</v>
      </c>
      <c r="AK70" s="41">
        <v>100517679</v>
      </c>
      <c r="AL70" s="46">
        <v>35830.538453970417</v>
      </c>
      <c r="AN70" s="118">
        <f t="shared" si="11"/>
        <v>1</v>
      </c>
    </row>
    <row r="71" spans="1:40" x14ac:dyDescent="0.35">
      <c r="A71" s="27">
        <v>100517186</v>
      </c>
      <c r="B71" s="28" t="s">
        <v>69</v>
      </c>
      <c r="C71" s="21">
        <v>7790360971395</v>
      </c>
      <c r="D71" s="22">
        <v>8</v>
      </c>
      <c r="E71" s="23">
        <v>8</v>
      </c>
      <c r="F71" s="24">
        <f t="shared" si="34"/>
        <v>71701.328698938174</v>
      </c>
      <c r="G71" s="135"/>
      <c r="H71" s="24">
        <f t="shared" si="2"/>
        <v>71701.328698938174</v>
      </c>
      <c r="I71" s="24">
        <f t="shared" si="3"/>
        <v>8962.6660873672718</v>
      </c>
      <c r="J71" s="24">
        <f t="shared" si="4"/>
        <v>1882.159878347127</v>
      </c>
      <c r="K71" s="24">
        <f t="shared" si="5"/>
        <v>10844.825965714399</v>
      </c>
      <c r="L71" s="24">
        <f t="shared" si="6"/>
        <v>3795.6890880000392</v>
      </c>
      <c r="M71" s="24">
        <f t="shared" si="7"/>
        <v>14640.515053714438</v>
      </c>
      <c r="N71" s="24">
        <f t="shared" si="8"/>
        <v>6588.2317741714969</v>
      </c>
      <c r="O71" s="25">
        <f t="shared" si="9"/>
        <v>21228.746827885934</v>
      </c>
      <c r="P71" s="185">
        <f t="shared" si="37"/>
        <v>0</v>
      </c>
      <c r="Q71" s="25">
        <v>71701.328698938174</v>
      </c>
      <c r="S71" s="1"/>
      <c r="T71" s="1"/>
      <c r="U71" s="1"/>
      <c r="V71" s="1"/>
      <c r="W71" s="1"/>
      <c r="X71" s="1"/>
      <c r="AF71">
        <v>68286.979713274442</v>
      </c>
      <c r="AG71">
        <f t="shared" si="10"/>
        <v>5.0000000000000142E-2</v>
      </c>
      <c r="AK71" s="32"/>
      <c r="AL71" s="24"/>
      <c r="AN71" s="118">
        <f t="shared" si="11"/>
        <v>1</v>
      </c>
    </row>
    <row r="72" spans="1:40" x14ac:dyDescent="0.35">
      <c r="A72" s="125">
        <v>100521663</v>
      </c>
      <c r="B72" s="126" t="s">
        <v>124</v>
      </c>
      <c r="C72" s="99">
        <v>7790360982537</v>
      </c>
      <c r="D72" s="100">
        <v>4.8</v>
      </c>
      <c r="E72" s="101">
        <v>12</v>
      </c>
      <c r="F72" s="85">
        <v>37997.53</v>
      </c>
      <c r="G72" s="117">
        <v>0.33</v>
      </c>
      <c r="H72" s="85">
        <f t="shared" ref="H72" si="54">+F72*(1-G72)</f>
        <v>25458.345099999995</v>
      </c>
      <c r="I72" s="85">
        <f t="shared" si="3"/>
        <v>2121.5287583333329</v>
      </c>
      <c r="J72" s="85">
        <f t="shared" si="4"/>
        <v>445.52103924999989</v>
      </c>
      <c r="K72" s="85">
        <f t="shared" si="5"/>
        <v>2567.0497975833327</v>
      </c>
      <c r="L72" s="85">
        <f>+K72*0.343</f>
        <v>880.49808057108316</v>
      </c>
      <c r="M72" s="85">
        <f t="shared" si="7"/>
        <v>3447.5478781544161</v>
      </c>
      <c r="N72" s="85">
        <f t="shared" si="8"/>
        <v>1551.3965451694874</v>
      </c>
      <c r="O72" s="102">
        <f t="shared" si="9"/>
        <v>4998.9444233239037</v>
      </c>
      <c r="P72" s="185">
        <f t="shared" si="37"/>
        <v>0</v>
      </c>
      <c r="Q72" s="25">
        <v>25458.345099999995</v>
      </c>
      <c r="S72" s="192" t="s">
        <v>201</v>
      </c>
      <c r="T72" s="1"/>
      <c r="U72" s="1"/>
      <c r="V72" s="1"/>
      <c r="W72" s="1"/>
      <c r="X72" s="1"/>
      <c r="Y72" s="82"/>
      <c r="AF72">
        <v>42746.880000000005</v>
      </c>
      <c r="AK72" s="27">
        <v>100516219</v>
      </c>
      <c r="AL72" s="24">
        <v>16599.454447073913</v>
      </c>
      <c r="AN72" s="118">
        <f t="shared" ref="AN72:AN109" si="55">+Q72/H72</f>
        <v>1</v>
      </c>
    </row>
    <row r="73" spans="1:40" x14ac:dyDescent="0.35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f t="shared" ref="F73:F100" si="56">+VLOOKUP(A73,$AK$4:$AL$110,2,FALSE)</f>
        <v>35669.864673345204</v>
      </c>
      <c r="G73" s="137"/>
      <c r="H73" s="46">
        <f t="shared" si="2"/>
        <v>35669.864673345204</v>
      </c>
      <c r="I73" s="46">
        <f t="shared" si="3"/>
        <v>2972.4887227787672</v>
      </c>
      <c r="J73" s="46">
        <f t="shared" si="4"/>
        <v>624.22263178354103</v>
      </c>
      <c r="K73" s="46">
        <f t="shared" si="5"/>
        <v>3596.7113545623083</v>
      </c>
      <c r="L73" s="46">
        <f t="shared" si="6"/>
        <v>1258.8489740968078</v>
      </c>
      <c r="M73" s="46">
        <f t="shared" si="7"/>
        <v>4855.5603286591158</v>
      </c>
      <c r="N73" s="46">
        <f t="shared" si="8"/>
        <v>2185.0021478966023</v>
      </c>
      <c r="O73" s="47">
        <f t="shared" si="9"/>
        <v>7040.5624765557186</v>
      </c>
      <c r="P73" s="185">
        <f t="shared" si="37"/>
        <v>0</v>
      </c>
      <c r="Q73" s="25">
        <v>35669.864673345204</v>
      </c>
      <c r="S73" s="1"/>
      <c r="T73" s="1"/>
      <c r="U73" s="1"/>
      <c r="V73" s="1"/>
      <c r="W73" s="1"/>
      <c r="X73" s="1"/>
      <c r="AF73">
        <v>33971.299688900195</v>
      </c>
      <c r="AG73">
        <f t="shared" si="10"/>
        <v>4.9999999999999982E-2</v>
      </c>
      <c r="AK73" s="27">
        <v>100516220</v>
      </c>
      <c r="AL73" s="24">
        <v>17830.838018208367</v>
      </c>
      <c r="AN73" s="118">
        <f t="shared" si="55"/>
        <v>1</v>
      </c>
    </row>
    <row r="74" spans="1:40" ht="15" thickBot="1" x14ac:dyDescent="0.4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f t="shared" si="56"/>
        <v>35830.538453970417</v>
      </c>
      <c r="G74" s="137"/>
      <c r="H74" s="46">
        <f t="shared" si="2"/>
        <v>35830.538453970417</v>
      </c>
      <c r="I74" s="46">
        <f t="shared" si="3"/>
        <v>4478.8173067463022</v>
      </c>
      <c r="J74" s="46">
        <f t="shared" si="4"/>
        <v>940.55163441672346</v>
      </c>
      <c r="K74" s="46">
        <f t="shared" si="5"/>
        <v>5419.3689411630257</v>
      </c>
      <c r="L74" s="46">
        <f t="shared" si="6"/>
        <v>1896.7791294070589</v>
      </c>
      <c r="M74" s="46">
        <f t="shared" si="7"/>
        <v>7316.1480705700851</v>
      </c>
      <c r="N74" s="46">
        <f t="shared" si="8"/>
        <v>3292.2666317565386</v>
      </c>
      <c r="O74" s="47">
        <f>+M74+N74</f>
        <v>10608.414702326623</v>
      </c>
      <c r="P74" s="185">
        <f t="shared" si="37"/>
        <v>0</v>
      </c>
      <c r="Q74" s="25">
        <v>35830.538453970417</v>
      </c>
      <c r="S74" s="1"/>
      <c r="T74" s="1"/>
      <c r="U74" s="1"/>
      <c r="V74" s="1"/>
      <c r="W74" s="1"/>
      <c r="X74" s="1"/>
      <c r="AF74">
        <v>34124.322337114681</v>
      </c>
      <c r="AG74">
        <f t="shared" si="10"/>
        <v>5.0000000000000051E-2</v>
      </c>
      <c r="AK74" s="49"/>
      <c r="AL74" s="46">
        <v>0</v>
      </c>
      <c r="AN74" s="118">
        <f t="shared" si="55"/>
        <v>1</v>
      </c>
    </row>
    <row r="75" spans="1:40" ht="15" thickBot="1" x14ac:dyDescent="0.4">
      <c r="A75" s="32"/>
      <c r="B75" s="33"/>
      <c r="C75" s="34"/>
      <c r="D75" s="33"/>
      <c r="E75" s="35"/>
      <c r="F75" s="36" t="e">
        <f t="shared" si="56"/>
        <v>#N/A</v>
      </c>
      <c r="G75" s="134"/>
      <c r="H75" s="36" t="e">
        <f t="shared" si="2"/>
        <v>#N/A</v>
      </c>
      <c r="I75" s="37" t="e">
        <f t="shared" si="3"/>
        <v>#N/A</v>
      </c>
      <c r="J75" s="38"/>
      <c r="K75" s="37"/>
      <c r="L75" s="38"/>
      <c r="M75" s="37"/>
      <c r="N75" s="38"/>
      <c r="O75" s="39"/>
      <c r="P75" s="185" t="e">
        <f t="shared" si="37"/>
        <v>#N/A</v>
      </c>
      <c r="Q75" s="25" t="e">
        <v>#N/A</v>
      </c>
      <c r="S75" s="1"/>
      <c r="T75" s="1"/>
      <c r="U75" s="1"/>
      <c r="V75" s="1"/>
      <c r="W75" s="1"/>
      <c r="X75" s="1"/>
      <c r="AF75" t="e">
        <v>#N/A</v>
      </c>
      <c r="AG75" t="e">
        <f t="shared" si="10"/>
        <v>#N/A</v>
      </c>
      <c r="AK75" s="56">
        <v>100518158</v>
      </c>
      <c r="AL75" s="46">
        <v>68490.548114372563</v>
      </c>
      <c r="AN75" s="118" t="e">
        <f t="shared" si="55"/>
        <v>#N/A</v>
      </c>
    </row>
    <row r="76" spans="1:40" ht="15" hidden="1" customHeight="1" x14ac:dyDescent="0.4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f t="shared" si="56"/>
        <v>16599.454447073913</v>
      </c>
      <c r="G76" s="135"/>
      <c r="H76" s="24">
        <f t="shared" si="2"/>
        <v>16599.454447073913</v>
      </c>
      <c r="I76" s="24">
        <f t="shared" si="3"/>
        <v>663.97817788295652</v>
      </c>
      <c r="J76" s="24">
        <f t="shared" si="4"/>
        <v>139.43541735542087</v>
      </c>
      <c r="K76" s="24">
        <f t="shared" si="5"/>
        <v>803.41359523837741</v>
      </c>
      <c r="L76" s="24">
        <f t="shared" si="6"/>
        <v>281.19475833343205</v>
      </c>
      <c r="M76" s="24">
        <f t="shared" si="7"/>
        <v>1084.6083535718094</v>
      </c>
      <c r="N76" s="24">
        <f t="shared" si="8"/>
        <v>488.07375910731423</v>
      </c>
      <c r="O76" s="25">
        <f t="shared" si="9"/>
        <v>1572.6821126791237</v>
      </c>
      <c r="P76" s="185">
        <f t="shared" si="37"/>
        <v>0</v>
      </c>
      <c r="Q76" s="25">
        <v>16599.454447073913</v>
      </c>
      <c r="S76" s="1"/>
      <c r="T76" s="1"/>
      <c r="U76" s="1"/>
      <c r="V76" s="1"/>
      <c r="W76" s="1"/>
      <c r="X76" s="1"/>
      <c r="AF76">
        <v>16599.454447073913</v>
      </c>
      <c r="AG76">
        <f t="shared" si="10"/>
        <v>0</v>
      </c>
      <c r="AK76" s="27">
        <v>100518160</v>
      </c>
      <c r="AL76" s="36">
        <v>68490.548114372563</v>
      </c>
      <c r="AN76" s="118">
        <f t="shared" si="55"/>
        <v>1</v>
      </c>
    </row>
    <row r="77" spans="1:40" ht="15" hidden="1" customHeight="1" x14ac:dyDescent="0.4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f t="shared" si="56"/>
        <v>17830.838018208367</v>
      </c>
      <c r="G77" s="135"/>
      <c r="H77" s="24">
        <f t="shared" si="2"/>
        <v>17830.838018208367</v>
      </c>
      <c r="I77" s="24">
        <f t="shared" si="3"/>
        <v>2971.8063363680612</v>
      </c>
      <c r="J77" s="24">
        <f t="shared" si="4"/>
        <v>624.07933063729286</v>
      </c>
      <c r="K77" s="24">
        <f t="shared" si="5"/>
        <v>3595.8856670053542</v>
      </c>
      <c r="L77" s="24">
        <f t="shared" si="6"/>
        <v>1258.5599834518739</v>
      </c>
      <c r="M77" s="24">
        <f t="shared" si="7"/>
        <v>4854.4456504572281</v>
      </c>
      <c r="N77" s="24">
        <f t="shared" si="8"/>
        <v>2184.5005427057527</v>
      </c>
      <c r="O77" s="25">
        <f t="shared" si="9"/>
        <v>7038.9461931629812</v>
      </c>
      <c r="P77" s="185">
        <f t="shared" si="37"/>
        <v>0</v>
      </c>
      <c r="Q77" s="25">
        <v>17830.838018208367</v>
      </c>
      <c r="S77" s="1"/>
      <c r="T77" s="1"/>
      <c r="U77" s="1"/>
      <c r="V77" s="1"/>
      <c r="W77" s="1"/>
      <c r="X77" s="1"/>
      <c r="AF77">
        <v>17830.838018208367</v>
      </c>
      <c r="AG77">
        <f t="shared" si="10"/>
        <v>0</v>
      </c>
      <c r="AK77" s="64">
        <v>100518463</v>
      </c>
      <c r="AL77" s="24">
        <v>33357.515625</v>
      </c>
      <c r="AN77" s="118">
        <f t="shared" si="55"/>
        <v>1</v>
      </c>
    </row>
    <row r="78" spans="1:40" ht="15" hidden="1" customHeight="1" thickBot="1" x14ac:dyDescent="0.4">
      <c r="A78" s="49"/>
      <c r="B78" s="50"/>
      <c r="C78" s="51"/>
      <c r="D78" s="50"/>
      <c r="E78" s="52"/>
      <c r="F78" s="53" t="e">
        <f t="shared" si="56"/>
        <v>#N/A</v>
      </c>
      <c r="G78" s="138"/>
      <c r="H78" s="53" t="e">
        <f t="shared" ref="H78:H106" si="57">+F78*(1-G78)</f>
        <v>#N/A</v>
      </c>
      <c r="I78" s="53" t="e">
        <f t="shared" ref="I78:I84" si="58">+H78/E78</f>
        <v>#N/A</v>
      </c>
      <c r="J78" s="53"/>
      <c r="K78" s="53"/>
      <c r="L78" s="53"/>
      <c r="M78" s="53"/>
      <c r="N78" s="53"/>
      <c r="O78" s="54"/>
      <c r="P78" s="185" t="e">
        <f t="shared" si="37"/>
        <v>#N/A</v>
      </c>
      <c r="Q78" s="25" t="e">
        <v>#N/A</v>
      </c>
      <c r="S78" s="1"/>
      <c r="T78" s="1"/>
      <c r="U78" s="1"/>
      <c r="V78" s="1"/>
      <c r="W78" s="1"/>
      <c r="X78" s="1"/>
      <c r="AF78" t="e">
        <v>#N/A</v>
      </c>
      <c r="AG78" t="e">
        <f t="shared" ref="AG78:AG106" si="59">+(H78-AF78)/AF78</f>
        <v>#N/A</v>
      </c>
      <c r="AK78" s="71"/>
      <c r="AL78" s="24"/>
      <c r="AN78" s="118" t="e">
        <f t="shared" si="55"/>
        <v>#N/A</v>
      </c>
    </row>
    <row r="79" spans="1:40" ht="15" hidden="1" thickBot="1" x14ac:dyDescent="0.4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f t="shared" si="56"/>
        <v>68490.548114372563</v>
      </c>
      <c r="G79" s="139"/>
      <c r="H79" s="61">
        <f t="shared" si="57"/>
        <v>68490.548114372563</v>
      </c>
      <c r="I79" s="61">
        <f t="shared" si="58"/>
        <v>2853.7728380988569</v>
      </c>
      <c r="J79" s="61">
        <f>+I79*J$3</f>
        <v>599.29229600075996</v>
      </c>
      <c r="K79" s="61">
        <f>+I79+J79</f>
        <v>3453.0651340996169</v>
      </c>
      <c r="L79" s="61">
        <f>+K79*L$3</f>
        <v>1208.5727969348659</v>
      </c>
      <c r="M79" s="61">
        <f>+K79+L79</f>
        <v>4661.6379310344828</v>
      </c>
      <c r="N79" s="61">
        <f>+M79*N$3</f>
        <v>2097.7370689655172</v>
      </c>
      <c r="O79" s="62">
        <f>+M79+N79</f>
        <v>6759.375</v>
      </c>
      <c r="P79" s="185">
        <f t="shared" si="37"/>
        <v>0</v>
      </c>
      <c r="Q79" s="25">
        <v>68490.548114372563</v>
      </c>
      <c r="S79" s="1"/>
      <c r="T79" s="1"/>
      <c r="U79" s="1"/>
      <c r="V79" s="1"/>
      <c r="W79" s="1"/>
      <c r="X79" s="1"/>
      <c r="AF79">
        <v>68490.548114372563</v>
      </c>
      <c r="AG79">
        <f t="shared" si="59"/>
        <v>0</v>
      </c>
      <c r="AK79" s="202">
        <v>100518291</v>
      </c>
      <c r="AL79" s="53">
        <v>14228.63010787498</v>
      </c>
      <c r="AN79" s="118">
        <f t="shared" si="55"/>
        <v>1</v>
      </c>
    </row>
    <row r="80" spans="1:40" ht="15" hidden="1" thickBot="1" x14ac:dyDescent="0.4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f t="shared" si="56"/>
        <v>68490.548114372563</v>
      </c>
      <c r="G80" s="135"/>
      <c r="H80" s="24">
        <f t="shared" si="57"/>
        <v>68490.548114372563</v>
      </c>
      <c r="I80" s="24">
        <f t="shared" si="58"/>
        <v>5707.5456761977139</v>
      </c>
      <c r="J80" s="24">
        <f>+I80*J$3</f>
        <v>1198.5845920015199</v>
      </c>
      <c r="K80" s="24">
        <f>+I80+J80</f>
        <v>6906.1302681992338</v>
      </c>
      <c r="L80" s="24">
        <f>+K80*L$3</f>
        <v>2417.1455938697318</v>
      </c>
      <c r="M80" s="24">
        <f>+K80+L80</f>
        <v>9323.2758620689656</v>
      </c>
      <c r="N80" s="24">
        <f>+M80*N$3</f>
        <v>4195.4741379310344</v>
      </c>
      <c r="O80" s="25">
        <f>+M80+N80</f>
        <v>13518.75</v>
      </c>
      <c r="P80" s="185">
        <f t="shared" si="37"/>
        <v>0</v>
      </c>
      <c r="Q80" s="25">
        <v>68490.548114372563</v>
      </c>
      <c r="S80" s="1"/>
      <c r="T80" s="1"/>
      <c r="U80" s="1"/>
      <c r="V80" s="1"/>
      <c r="W80" s="1"/>
      <c r="X80" s="1"/>
      <c r="AF80">
        <v>68490.548114372563</v>
      </c>
      <c r="AG80">
        <f t="shared" si="59"/>
        <v>0</v>
      </c>
      <c r="AK80" s="203">
        <v>100518292</v>
      </c>
      <c r="AL80" s="61">
        <v>33574.489918000429</v>
      </c>
      <c r="AN80" s="118">
        <f t="shared" si="55"/>
        <v>1</v>
      </c>
    </row>
    <row r="81" spans="1:40" ht="15" hidden="1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f t="shared" si="56"/>
        <v>33357.515625</v>
      </c>
      <c r="G81" s="140"/>
      <c r="H81" s="69">
        <f t="shared" si="57"/>
        <v>33357.515625</v>
      </c>
      <c r="I81" s="69">
        <f t="shared" si="58"/>
        <v>33357.515625</v>
      </c>
      <c r="J81" s="69">
        <f>+I81*J$3</f>
        <v>7005.0782812500001</v>
      </c>
      <c r="K81" s="69">
        <f>+I81+J81</f>
        <v>40362.593906249997</v>
      </c>
      <c r="L81" s="69">
        <f>+K81*L$3</f>
        <v>14126.907867187498</v>
      </c>
      <c r="M81" s="69">
        <f>+K81+L81</f>
        <v>54489.501773437492</v>
      </c>
      <c r="N81" s="69">
        <f>+M81*N$3</f>
        <v>24520.27579804687</v>
      </c>
      <c r="O81" s="70">
        <f>+M81+N81</f>
        <v>79009.777571484359</v>
      </c>
      <c r="P81" s="185">
        <f t="shared" si="37"/>
        <v>0</v>
      </c>
      <c r="Q81" s="25">
        <v>33357.515625</v>
      </c>
      <c r="S81" s="1"/>
      <c r="T81" s="1"/>
      <c r="U81" s="1"/>
      <c r="V81" s="1"/>
      <c r="W81" s="1"/>
      <c r="X81" s="1"/>
      <c r="AF81">
        <v>33357.515625</v>
      </c>
      <c r="AG81">
        <f t="shared" si="59"/>
        <v>0</v>
      </c>
      <c r="AK81" s="71"/>
      <c r="AL81" s="24"/>
      <c r="AN81" s="118">
        <f t="shared" si="55"/>
        <v>1</v>
      </c>
    </row>
    <row r="82" spans="1:40" ht="15" hidden="1" thickBot="1" x14ac:dyDescent="0.4">
      <c r="A82" s="71"/>
      <c r="B82" s="72"/>
      <c r="C82" s="73"/>
      <c r="D82" s="72"/>
      <c r="E82" s="74"/>
      <c r="F82" s="75" t="e">
        <f t="shared" si="56"/>
        <v>#N/A</v>
      </c>
      <c r="G82" s="141"/>
      <c r="H82" s="75" t="e">
        <f t="shared" si="57"/>
        <v>#N/A</v>
      </c>
      <c r="I82" s="75" t="e">
        <f t="shared" si="58"/>
        <v>#N/A</v>
      </c>
      <c r="J82" s="75"/>
      <c r="K82" s="75"/>
      <c r="L82" s="75"/>
      <c r="M82" s="75"/>
      <c r="N82" s="75"/>
      <c r="O82" s="76"/>
      <c r="P82" s="185" t="e">
        <f t="shared" si="37"/>
        <v>#N/A</v>
      </c>
      <c r="Q82" s="25" t="e">
        <v>#N/A</v>
      </c>
      <c r="S82" s="1"/>
      <c r="T82" s="1"/>
      <c r="U82" s="1"/>
      <c r="V82" s="1"/>
      <c r="W82" s="1"/>
      <c r="X82" s="1"/>
      <c r="AF82" t="e">
        <v>#N/A</v>
      </c>
      <c r="AG82" t="e">
        <f t="shared" si="59"/>
        <v>#N/A</v>
      </c>
      <c r="AK82" s="202">
        <v>100517915</v>
      </c>
      <c r="AL82" s="69">
        <v>145920.01119803212</v>
      </c>
      <c r="AN82" s="118" t="e">
        <f t="shared" si="55"/>
        <v>#N/A</v>
      </c>
    </row>
    <row r="83" spans="1:40" ht="15" thickBot="1" x14ac:dyDescent="0.4">
      <c r="A83" s="113">
        <v>100518291</v>
      </c>
      <c r="B83" s="114" t="s">
        <v>77</v>
      </c>
      <c r="C83" s="110">
        <v>7790360975195</v>
      </c>
      <c r="D83" s="115">
        <v>5</v>
      </c>
      <c r="E83" s="115">
        <v>10</v>
      </c>
      <c r="F83" s="111">
        <f t="shared" si="56"/>
        <v>14228.63010787498</v>
      </c>
      <c r="G83" s="117"/>
      <c r="H83" s="85">
        <f t="shared" si="57"/>
        <v>14228.63010787498</v>
      </c>
      <c r="I83" s="111">
        <f t="shared" si="58"/>
        <v>1422.8630107874981</v>
      </c>
      <c r="J83" s="111">
        <f>+I83*J$3</f>
        <v>298.80123226537461</v>
      </c>
      <c r="K83" s="111">
        <f>+I83+J83</f>
        <v>1721.6642430528727</v>
      </c>
      <c r="L83" s="111">
        <f>+K83*L$39</f>
        <v>378.76613347163203</v>
      </c>
      <c r="M83" s="111">
        <f>+K83+L83</f>
        <v>2100.4303765245049</v>
      </c>
      <c r="N83" s="111">
        <f>+M83*N$39</f>
        <v>735.15063178357673</v>
      </c>
      <c r="O83" s="112">
        <f>+M83+N83</f>
        <v>2835.5810083080814</v>
      </c>
      <c r="P83" s="185">
        <f t="shared" si="37"/>
        <v>5.0000000000000044E-2</v>
      </c>
      <c r="Q83" s="25">
        <v>13551.076293214266</v>
      </c>
      <c r="S83" s="1" t="s">
        <v>177</v>
      </c>
      <c r="T83" s="1"/>
      <c r="U83" s="1"/>
      <c r="V83" s="1"/>
      <c r="W83" s="1"/>
      <c r="X83" s="1"/>
      <c r="AF83">
        <v>13551.076293214266</v>
      </c>
      <c r="AG83">
        <f t="shared" si="59"/>
        <v>5.0000000000000058E-2</v>
      </c>
      <c r="AK83" s="203">
        <v>100517914</v>
      </c>
      <c r="AL83" s="75">
        <v>159231.15888620811</v>
      </c>
      <c r="AN83" s="118">
        <f t="shared" si="55"/>
        <v>0.95238095238095233</v>
      </c>
    </row>
    <row r="84" spans="1:40" ht="15" thickBot="1" x14ac:dyDescent="0.4">
      <c r="A84" s="104">
        <v>100518292</v>
      </c>
      <c r="B84" s="105" t="s">
        <v>78</v>
      </c>
      <c r="C84" s="106">
        <v>7790360975201</v>
      </c>
      <c r="D84" s="107">
        <v>12</v>
      </c>
      <c r="E84" s="107">
        <v>12</v>
      </c>
      <c r="F84" s="85">
        <f t="shared" si="56"/>
        <v>33574.489918000429</v>
      </c>
      <c r="G84" s="117"/>
      <c r="H84" s="85">
        <f t="shared" si="57"/>
        <v>33574.489918000429</v>
      </c>
      <c r="I84" s="108">
        <f t="shared" si="58"/>
        <v>2797.874159833369</v>
      </c>
      <c r="J84" s="108">
        <f>+I84*J$3</f>
        <v>587.55357356500747</v>
      </c>
      <c r="K84" s="108">
        <f>+I84+J84</f>
        <v>3385.4277333983764</v>
      </c>
      <c r="L84" s="108">
        <f>+K84*L$39</f>
        <v>744.79410134764282</v>
      </c>
      <c r="M84" s="108">
        <f>+K84+L84</f>
        <v>4130.2218347460193</v>
      </c>
      <c r="N84" s="108">
        <f>+M84*N$39</f>
        <v>1445.5776421611067</v>
      </c>
      <c r="O84" s="109">
        <f>+M84+N84</f>
        <v>5575.7994769071265</v>
      </c>
      <c r="P84" s="185">
        <f t="shared" si="37"/>
        <v>4.9999999999999822E-2</v>
      </c>
      <c r="Q84" s="25">
        <v>31975.704683809934</v>
      </c>
      <c r="S84" s="1" t="s">
        <v>178</v>
      </c>
      <c r="T84" s="1"/>
      <c r="U84" s="1"/>
      <c r="V84" s="1"/>
      <c r="W84" s="1"/>
      <c r="X84" s="1"/>
      <c r="AF84">
        <v>31975.704683809934</v>
      </c>
      <c r="AG84">
        <f t="shared" si="59"/>
        <v>4.9999999999999933E-2</v>
      </c>
      <c r="AK84" s="71"/>
      <c r="AL84" s="61"/>
      <c r="AN84" s="118">
        <f t="shared" si="55"/>
        <v>0.95238095238095244</v>
      </c>
    </row>
    <row r="85" spans="1:40" ht="15" thickBot="1" x14ac:dyDescent="0.4">
      <c r="A85" s="71"/>
      <c r="B85" s="72"/>
      <c r="C85" s="73"/>
      <c r="D85" s="72"/>
      <c r="E85" s="74"/>
      <c r="F85" s="75" t="e">
        <f t="shared" si="56"/>
        <v>#N/A</v>
      </c>
      <c r="G85" s="141"/>
      <c r="H85" s="75" t="e">
        <f t="shared" si="57"/>
        <v>#N/A</v>
      </c>
      <c r="I85" s="75" t="e">
        <f>+H85/E85</f>
        <v>#N/A</v>
      </c>
      <c r="J85" s="75">
        <v>0.105</v>
      </c>
      <c r="K85" s="75"/>
      <c r="L85" s="75">
        <v>0.3</v>
      </c>
      <c r="M85" s="75"/>
      <c r="N85" s="75">
        <v>0.4</v>
      </c>
      <c r="O85" s="76"/>
      <c r="P85" s="185" t="e">
        <f t="shared" si="37"/>
        <v>#N/A</v>
      </c>
      <c r="Q85" s="25" t="e">
        <v>#N/A</v>
      </c>
      <c r="S85" s="1"/>
      <c r="T85" s="1"/>
      <c r="U85" s="1"/>
      <c r="V85" s="1"/>
      <c r="W85" s="1"/>
      <c r="X85" s="1"/>
      <c r="AF85" t="e">
        <v>#N/A</v>
      </c>
      <c r="AG85" t="e">
        <f t="shared" si="59"/>
        <v>#N/A</v>
      </c>
      <c r="AK85" s="27">
        <v>100010689</v>
      </c>
      <c r="AL85" s="24">
        <v>15000</v>
      </c>
      <c r="AN85" s="118" t="e">
        <f t="shared" si="55"/>
        <v>#N/A</v>
      </c>
    </row>
    <row r="86" spans="1:40" ht="15" thickBot="1" x14ac:dyDescent="0.4">
      <c r="A86" s="113">
        <v>100517915</v>
      </c>
      <c r="B86" s="114" t="s">
        <v>79</v>
      </c>
      <c r="C86" s="110">
        <v>7790360974020</v>
      </c>
      <c r="D86" s="115">
        <v>18</v>
      </c>
      <c r="E86" s="115">
        <v>36</v>
      </c>
      <c r="F86" s="111">
        <f t="shared" si="56"/>
        <v>145920.01119803212</v>
      </c>
      <c r="G86" s="97"/>
      <c r="H86" s="85">
        <f t="shared" si="57"/>
        <v>145920.01119803212</v>
      </c>
      <c r="I86" s="111">
        <f>+H86/E86</f>
        <v>4053.3336443897811</v>
      </c>
      <c r="J86" s="111">
        <f>+I86*J$85</f>
        <v>425.60003266092701</v>
      </c>
      <c r="K86" s="111">
        <f>+I86+J86</f>
        <v>4478.933677050708</v>
      </c>
      <c r="L86" s="111">
        <f>+K86*L$85</f>
        <v>1343.6801031152124</v>
      </c>
      <c r="M86" s="111">
        <f>+K86+L86</f>
        <v>5822.6137801659206</v>
      </c>
      <c r="N86" s="111">
        <f>+M86*N$85</f>
        <v>2329.0455120663682</v>
      </c>
      <c r="O86" s="112">
        <f>+M86+N86</f>
        <v>8151.6592922322889</v>
      </c>
      <c r="P86" s="185">
        <f t="shared" si="37"/>
        <v>0</v>
      </c>
      <c r="Q86" s="25">
        <v>145920.01119803212</v>
      </c>
      <c r="S86" s="1"/>
      <c r="T86" s="1"/>
      <c r="U86" s="1"/>
      <c r="V86" s="1"/>
      <c r="W86" s="1"/>
      <c r="X86" s="1"/>
      <c r="AF86">
        <v>126062.62630281298</v>
      </c>
      <c r="AG86">
        <f t="shared" si="59"/>
        <v>0.15752000000000038</v>
      </c>
      <c r="AK86" s="27">
        <v>100518335</v>
      </c>
      <c r="AL86" s="75">
        <v>10714.285714285714</v>
      </c>
      <c r="AN86" s="118">
        <f t="shared" si="55"/>
        <v>1</v>
      </c>
    </row>
    <row r="87" spans="1:40" ht="15" thickBot="1" x14ac:dyDescent="0.4">
      <c r="A87" s="104">
        <v>100517914</v>
      </c>
      <c r="B87" s="105" t="s">
        <v>80</v>
      </c>
      <c r="C87" s="106">
        <v>7790360974037</v>
      </c>
      <c r="D87" s="107">
        <v>20</v>
      </c>
      <c r="E87" s="107">
        <v>20</v>
      </c>
      <c r="F87" s="85">
        <f t="shared" si="56"/>
        <v>159231.15888620811</v>
      </c>
      <c r="G87" s="97"/>
      <c r="H87" s="85">
        <f t="shared" si="57"/>
        <v>159231.15888620811</v>
      </c>
      <c r="I87" s="108">
        <f>+H87/E87</f>
        <v>7961.5579443104052</v>
      </c>
      <c r="J87" s="108">
        <f>+I87*J$85</f>
        <v>835.96358415259249</v>
      </c>
      <c r="K87" s="108">
        <f>+I87+J87</f>
        <v>8797.5215284629976</v>
      </c>
      <c r="L87" s="108">
        <f>+K87*L$85</f>
        <v>2639.2564585388991</v>
      </c>
      <c r="M87" s="108">
        <f>+K87+L87</f>
        <v>11436.777987001897</v>
      </c>
      <c r="N87" s="108">
        <f>+M87*N$85</f>
        <v>4574.7111948007587</v>
      </c>
      <c r="O87" s="109">
        <f>+M87+N87</f>
        <v>16011.489181802655</v>
      </c>
      <c r="P87" s="185">
        <f t="shared" si="37"/>
        <v>0</v>
      </c>
      <c r="Q87" s="25">
        <v>159231.15888620811</v>
      </c>
      <c r="S87" s="1"/>
      <c r="T87" s="1"/>
      <c r="U87" s="1"/>
      <c r="V87" s="1"/>
      <c r="W87" s="1"/>
      <c r="X87" s="1"/>
      <c r="AF87">
        <v>137562.33921332512</v>
      </c>
      <c r="AG87">
        <f t="shared" si="59"/>
        <v>0.15752000000000016</v>
      </c>
      <c r="AK87" s="27">
        <v>100518332</v>
      </c>
      <c r="AL87" s="61">
        <v>12321.428571428572</v>
      </c>
      <c r="AN87" s="118">
        <f t="shared" si="55"/>
        <v>1</v>
      </c>
    </row>
    <row r="88" spans="1:40" x14ac:dyDescent="0.35">
      <c r="A88" s="71"/>
      <c r="B88" s="72"/>
      <c r="C88" s="73"/>
      <c r="D88" s="72"/>
      <c r="E88" s="74"/>
      <c r="F88" s="75" t="e">
        <f t="shared" si="56"/>
        <v>#N/A</v>
      </c>
      <c r="G88" s="141"/>
      <c r="H88" s="75" t="e">
        <f t="shared" si="57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P88" s="185" t="e">
        <f t="shared" si="37"/>
        <v>#N/A</v>
      </c>
      <c r="Q88" s="25" t="e">
        <v>#N/A</v>
      </c>
      <c r="S88" s="1"/>
      <c r="T88" s="1"/>
      <c r="U88" s="1"/>
      <c r="V88" s="1"/>
      <c r="W88" s="1"/>
      <c r="X88" s="1"/>
      <c r="AF88" t="e">
        <v>#N/A</v>
      </c>
      <c r="AG88" t="e">
        <f t="shared" si="59"/>
        <v>#N/A</v>
      </c>
      <c r="AK88" s="27">
        <v>100518334</v>
      </c>
      <c r="AL88" s="24">
        <v>10928.571428571429</v>
      </c>
      <c r="AN88" s="118" t="e">
        <f t="shared" si="55"/>
        <v>#N/A</v>
      </c>
    </row>
    <row r="89" spans="1:40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f t="shared" si="56"/>
        <v>15000</v>
      </c>
      <c r="G89" s="135"/>
      <c r="H89" s="24">
        <f t="shared" si="57"/>
        <v>15000</v>
      </c>
      <c r="I89" s="24">
        <f t="shared" ref="I89:I94" si="60">+H89/E89</f>
        <v>15000</v>
      </c>
      <c r="J89" s="24">
        <f t="shared" ref="J89:J94" si="61">+I89*J$88</f>
        <v>1575</v>
      </c>
      <c r="K89" s="24">
        <f t="shared" ref="K89:K94" si="62">+I89+J89</f>
        <v>16575</v>
      </c>
      <c r="L89" s="24">
        <f t="shared" ref="L89:L94" si="63">+K89*L$88</f>
        <v>4972.5</v>
      </c>
      <c r="M89" s="24">
        <f t="shared" ref="M89:M94" si="64">+K89+L89</f>
        <v>21547.5</v>
      </c>
      <c r="N89" s="24">
        <f t="shared" ref="N89:N94" si="65">+M89*N$88</f>
        <v>8619</v>
      </c>
      <c r="O89" s="25">
        <f t="shared" ref="O89:O94" si="66">+M89+N89</f>
        <v>30166.5</v>
      </c>
      <c r="P89" s="185">
        <f t="shared" si="37"/>
        <v>5.0000000000000044E-2</v>
      </c>
      <c r="Q89" s="25">
        <v>14285.714285714286</v>
      </c>
      <c r="S89" s="1"/>
      <c r="T89" s="1"/>
      <c r="U89" s="1"/>
      <c r="V89" s="1"/>
      <c r="W89" s="1"/>
      <c r="X89" s="1"/>
      <c r="AF89">
        <v>14255.102040816328</v>
      </c>
      <c r="AG89">
        <f t="shared" si="59"/>
        <v>5.2254831782390758E-2</v>
      </c>
      <c r="AK89" s="27">
        <v>100518227</v>
      </c>
      <c r="AL89" s="75">
        <v>12895.714285714286</v>
      </c>
      <c r="AN89" s="118">
        <f t="shared" si="55"/>
        <v>0.95238095238095244</v>
      </c>
    </row>
    <row r="90" spans="1:40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f t="shared" si="56"/>
        <v>10714.285714285714</v>
      </c>
      <c r="G90" s="135"/>
      <c r="H90" s="24">
        <f t="shared" si="57"/>
        <v>10714.285714285714</v>
      </c>
      <c r="I90" s="24">
        <f t="shared" si="60"/>
        <v>10714.285714285714</v>
      </c>
      <c r="J90" s="24">
        <f t="shared" si="61"/>
        <v>1125</v>
      </c>
      <c r="K90" s="24">
        <f t="shared" si="62"/>
        <v>11839.285714285714</v>
      </c>
      <c r="L90" s="24">
        <f t="shared" si="63"/>
        <v>3551.7857142857142</v>
      </c>
      <c r="M90" s="24">
        <f t="shared" si="64"/>
        <v>15391.071428571428</v>
      </c>
      <c r="N90" s="24">
        <f t="shared" si="65"/>
        <v>6156.4285714285716</v>
      </c>
      <c r="O90" s="25">
        <f t="shared" si="66"/>
        <v>21547.5</v>
      </c>
      <c r="P90" s="185">
        <f t="shared" si="37"/>
        <v>4.9999999999999822E-2</v>
      </c>
      <c r="Q90" s="25">
        <v>10204.081632653062</v>
      </c>
      <c r="S90" s="1"/>
      <c r="T90" s="1"/>
      <c r="U90" s="1"/>
      <c r="V90" s="1"/>
      <c r="W90" s="1"/>
      <c r="X90" s="1"/>
      <c r="Y90" s="120"/>
      <c r="AF90">
        <v>9029.5918367346949</v>
      </c>
      <c r="AG90">
        <f t="shared" si="59"/>
        <v>0.186574754209515</v>
      </c>
      <c r="AK90" s="71"/>
      <c r="AL90" s="24"/>
      <c r="AN90" s="118">
        <f t="shared" si="55"/>
        <v>0.95238095238095255</v>
      </c>
    </row>
    <row r="91" spans="1:40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f t="shared" si="56"/>
        <v>12321.428571428572</v>
      </c>
      <c r="G91" s="135"/>
      <c r="H91" s="24">
        <f t="shared" si="57"/>
        <v>12321.428571428572</v>
      </c>
      <c r="I91" s="24">
        <f t="shared" si="60"/>
        <v>12321.428571428572</v>
      </c>
      <c r="J91" s="24">
        <f t="shared" si="61"/>
        <v>1293.75</v>
      </c>
      <c r="K91" s="24">
        <f t="shared" si="62"/>
        <v>13615.178571428572</v>
      </c>
      <c r="L91" s="24">
        <f t="shared" si="63"/>
        <v>4084.5535714285716</v>
      </c>
      <c r="M91" s="24">
        <f t="shared" si="64"/>
        <v>17699.732142857145</v>
      </c>
      <c r="N91" s="24">
        <f t="shared" si="65"/>
        <v>7079.8928571428587</v>
      </c>
      <c r="O91" s="25">
        <f t="shared" si="66"/>
        <v>24779.625000000004</v>
      </c>
      <c r="P91" s="185">
        <f t="shared" si="37"/>
        <v>5.0000000000000266E-2</v>
      </c>
      <c r="Q91" s="25">
        <v>11734.693877551019</v>
      </c>
      <c r="S91" s="1"/>
      <c r="T91" s="1"/>
      <c r="U91" s="1"/>
      <c r="V91" s="1"/>
      <c r="W91" s="1"/>
      <c r="X91" s="1"/>
      <c r="Y91" s="120">
        <f>+R100*72+R4*144</f>
        <v>0</v>
      </c>
      <c r="AF91">
        <v>9717.3469387755104</v>
      </c>
      <c r="AG91">
        <f t="shared" si="59"/>
        <v>0.26798277853617564</v>
      </c>
      <c r="AK91" s="80">
        <v>100520837</v>
      </c>
      <c r="AL91" s="24">
        <v>33805.838700484463</v>
      </c>
      <c r="AN91" s="118">
        <f t="shared" si="55"/>
        <v>0.95238095238095222</v>
      </c>
    </row>
    <row r="92" spans="1:40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f t="shared" si="56"/>
        <v>10928.571428571429</v>
      </c>
      <c r="G92" s="135"/>
      <c r="H92" s="24">
        <f t="shared" si="57"/>
        <v>10928.571428571429</v>
      </c>
      <c r="I92" s="24">
        <f t="shared" si="60"/>
        <v>10928.571428571429</v>
      </c>
      <c r="J92" s="24">
        <f t="shared" si="61"/>
        <v>1147.5</v>
      </c>
      <c r="K92" s="24">
        <f t="shared" si="62"/>
        <v>12076.071428571429</v>
      </c>
      <c r="L92" s="24">
        <f t="shared" si="63"/>
        <v>3622.8214285714289</v>
      </c>
      <c r="M92" s="24">
        <f t="shared" si="64"/>
        <v>15698.892857142859</v>
      </c>
      <c r="N92" s="24">
        <f t="shared" si="65"/>
        <v>6279.5571428571438</v>
      </c>
      <c r="O92" s="25">
        <f t="shared" si="66"/>
        <v>21978.450000000004</v>
      </c>
      <c r="P92" s="185">
        <f t="shared" si="37"/>
        <v>5.0000000000000044E-2</v>
      </c>
      <c r="Q92" s="25">
        <v>10408.163265306122</v>
      </c>
      <c r="S92" s="1"/>
      <c r="T92" s="1"/>
      <c r="U92" s="1"/>
      <c r="V92" s="1"/>
      <c r="W92" s="1"/>
      <c r="X92" s="1"/>
      <c r="Y92" s="120">
        <f>+R96*24+R4*144</f>
        <v>0</v>
      </c>
      <c r="AF92">
        <v>7997.9591836734699</v>
      </c>
      <c r="AG92">
        <f t="shared" si="59"/>
        <v>0.36642000510334272</v>
      </c>
      <c r="AK92" s="80">
        <v>100522395</v>
      </c>
      <c r="AL92" s="24">
        <v>34481.948800000006</v>
      </c>
      <c r="AN92" s="118">
        <f t="shared" si="55"/>
        <v>0.95238095238095233</v>
      </c>
    </row>
    <row r="93" spans="1:40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f t="shared" si="56"/>
        <v>12895.714285714286</v>
      </c>
      <c r="G93" s="135"/>
      <c r="H93" s="24">
        <f t="shared" si="57"/>
        <v>12895.714285714286</v>
      </c>
      <c r="I93" s="24">
        <f t="shared" si="60"/>
        <v>12895.714285714286</v>
      </c>
      <c r="J93" s="24">
        <f t="shared" si="61"/>
        <v>1354.05</v>
      </c>
      <c r="K93" s="24">
        <f t="shared" si="62"/>
        <v>14249.764285714286</v>
      </c>
      <c r="L93" s="24">
        <f t="shared" si="63"/>
        <v>4274.9292857142855</v>
      </c>
      <c r="M93" s="24">
        <f t="shared" si="64"/>
        <v>18524.693571428572</v>
      </c>
      <c r="N93" s="24">
        <f t="shared" si="65"/>
        <v>7409.8774285714289</v>
      </c>
      <c r="O93" s="25">
        <f t="shared" si="66"/>
        <v>25934.571</v>
      </c>
      <c r="P93" s="185">
        <f t="shared" si="37"/>
        <v>7.1000000000000174E-2</v>
      </c>
      <c r="Q93" s="25">
        <v>12040.81632653061</v>
      </c>
      <c r="S93" s="1"/>
      <c r="T93" s="1"/>
      <c r="U93" s="1"/>
      <c r="V93" s="1"/>
      <c r="W93" s="1"/>
      <c r="X93" s="1"/>
      <c r="AF93">
        <v>7997.9591836734699</v>
      </c>
      <c r="AG93">
        <f t="shared" si="59"/>
        <v>0.6123756060219443</v>
      </c>
      <c r="AK93" s="80">
        <v>100522561</v>
      </c>
      <c r="AL93" s="24">
        <v>6824.5523666666677</v>
      </c>
      <c r="AN93" s="118">
        <f t="shared" si="55"/>
        <v>0.93370681605975703</v>
      </c>
    </row>
    <row r="94" spans="1:40" hidden="1" x14ac:dyDescent="0.35">
      <c r="A94" s="177">
        <v>100027726</v>
      </c>
      <c r="B94" s="178" t="s">
        <v>152</v>
      </c>
      <c r="C94" s="179"/>
      <c r="D94" s="81">
        <v>22.5</v>
      </c>
      <c r="E94" s="23">
        <v>1</v>
      </c>
      <c r="F94" s="24" t="e">
        <f t="shared" si="56"/>
        <v>#N/A</v>
      </c>
      <c r="G94" s="135"/>
      <c r="H94" s="24" t="e">
        <f t="shared" ref="H94" si="67">+F94*(1-G94)</f>
        <v>#N/A</v>
      </c>
      <c r="I94" s="24" t="e">
        <f t="shared" si="60"/>
        <v>#N/A</v>
      </c>
      <c r="J94" s="24" t="e">
        <f t="shared" si="61"/>
        <v>#N/A</v>
      </c>
      <c r="K94" s="24" t="e">
        <f t="shared" si="62"/>
        <v>#N/A</v>
      </c>
      <c r="L94" s="24" t="e">
        <f t="shared" si="63"/>
        <v>#N/A</v>
      </c>
      <c r="M94" s="24" t="e">
        <f t="shared" si="64"/>
        <v>#N/A</v>
      </c>
      <c r="N94" s="24" t="e">
        <f t="shared" si="65"/>
        <v>#N/A</v>
      </c>
      <c r="O94" s="25" t="e">
        <f t="shared" si="66"/>
        <v>#N/A</v>
      </c>
      <c r="P94" s="185" t="e">
        <f t="shared" si="37"/>
        <v>#N/A</v>
      </c>
      <c r="Q94" s="25">
        <v>6195</v>
      </c>
      <c r="S94" s="1"/>
      <c r="T94" s="1"/>
      <c r="U94" s="1"/>
      <c r="V94" s="1"/>
      <c r="W94" s="1"/>
      <c r="X94" s="1"/>
      <c r="AK94" s="71"/>
      <c r="AL94" s="24"/>
      <c r="AN94" s="118" t="e">
        <f t="shared" si="55"/>
        <v>#N/A</v>
      </c>
    </row>
    <row r="95" spans="1:40" x14ac:dyDescent="0.35">
      <c r="A95" s="71"/>
      <c r="B95" s="72"/>
      <c r="C95" s="73"/>
      <c r="D95" s="72"/>
      <c r="E95" s="74"/>
      <c r="F95" s="75" t="e">
        <f t="shared" si="56"/>
        <v>#N/A</v>
      </c>
      <c r="G95" s="141"/>
      <c r="H95" s="75" t="e">
        <f t="shared" si="57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P95" s="185" t="e">
        <f t="shared" si="37"/>
        <v>#N/A</v>
      </c>
      <c r="Q95" s="25" t="e">
        <v>#N/A</v>
      </c>
      <c r="S95" s="1"/>
      <c r="T95" s="1"/>
      <c r="U95" s="1"/>
      <c r="V95" s="1"/>
      <c r="W95" s="1"/>
      <c r="X95" s="1"/>
      <c r="AF95" t="e">
        <v>#N/A</v>
      </c>
      <c r="AG95" t="e">
        <f t="shared" si="59"/>
        <v>#N/A</v>
      </c>
      <c r="AK95" s="80">
        <v>100520902</v>
      </c>
      <c r="AL95" s="24">
        <v>30287.433583483747</v>
      </c>
      <c r="AN95" s="118" t="e">
        <f t="shared" si="55"/>
        <v>#N/A</v>
      </c>
    </row>
    <row r="96" spans="1:40" x14ac:dyDescent="0.35">
      <c r="A96" s="80">
        <v>100520837</v>
      </c>
      <c r="B96" s="42" t="s">
        <v>86</v>
      </c>
      <c r="C96" s="43">
        <v>7790360980625</v>
      </c>
      <c r="D96" s="81">
        <v>4.8</v>
      </c>
      <c r="E96" s="23">
        <v>12</v>
      </c>
      <c r="F96" s="24">
        <f t="shared" si="56"/>
        <v>33805.838700484463</v>
      </c>
      <c r="G96" s="135"/>
      <c r="H96" s="24">
        <f t="shared" si="57"/>
        <v>33805.838700484463</v>
      </c>
      <c r="I96" s="24">
        <f>+H96/E96</f>
        <v>2817.153225040372</v>
      </c>
      <c r="J96" s="24">
        <f>+I96*J$95</f>
        <v>591.60217725847815</v>
      </c>
      <c r="K96" s="24">
        <f>+I96+J96</f>
        <v>3408.7554022988502</v>
      </c>
      <c r="L96" s="24">
        <f>+K96*L$95</f>
        <v>1022.6266206896551</v>
      </c>
      <c r="M96" s="24">
        <f>+K96+L96</f>
        <v>4431.382022988505</v>
      </c>
      <c r="N96" s="24">
        <f>+M96*N$95</f>
        <v>1772.552809195402</v>
      </c>
      <c r="O96" s="25">
        <f>+M96+N96</f>
        <v>6203.934832183907</v>
      </c>
      <c r="P96" s="185">
        <f t="shared" si="37"/>
        <v>4.0000000000000036E-2</v>
      </c>
      <c r="Q96" s="25">
        <v>32505.614135081214</v>
      </c>
      <c r="S96" s="187"/>
      <c r="T96" s="187"/>
      <c r="U96" s="187"/>
      <c r="V96" s="187"/>
      <c r="W96" s="187"/>
      <c r="X96" s="187"/>
      <c r="Y96" s="121">
        <v>0.1</v>
      </c>
      <c r="Z96" s="120">
        <f>+H96*(1-Y96)</f>
        <v>30425.254830436017</v>
      </c>
      <c r="AA96" s="120">
        <f>+Z96/E96</f>
        <v>2535.4379025363346</v>
      </c>
      <c r="AB96" s="120">
        <f>+AA96*1.21*1.3*1.4</f>
        <v>5583.5413489655157</v>
      </c>
      <c r="AC96" s="119" t="s">
        <v>112</v>
      </c>
      <c r="AD96" t="s">
        <v>111</v>
      </c>
      <c r="AF96">
        <v>30957.727747696394</v>
      </c>
      <c r="AG96">
        <f t="shared" si="59"/>
        <v>9.2000000000000026E-2</v>
      </c>
      <c r="AK96" s="80">
        <v>100522698</v>
      </c>
      <c r="AL96" s="75">
        <v>38419.724940101121</v>
      </c>
      <c r="AN96" s="118">
        <f t="shared" si="55"/>
        <v>0.96153846153846156</v>
      </c>
    </row>
    <row r="97" spans="1:40" x14ac:dyDescent="0.35">
      <c r="A97" s="125">
        <v>100522395</v>
      </c>
      <c r="B97" s="126" t="s">
        <v>160</v>
      </c>
      <c r="C97" s="127">
        <v>7790360980625</v>
      </c>
      <c r="D97" s="128">
        <v>4.8</v>
      </c>
      <c r="E97" s="101">
        <v>12</v>
      </c>
      <c r="F97" s="85">
        <f t="shared" si="56"/>
        <v>34481.948800000006</v>
      </c>
      <c r="G97" s="142">
        <v>0.33</v>
      </c>
      <c r="H97" s="85">
        <f t="shared" ref="H97" si="68">+F97*(1-G97)</f>
        <v>23102.905696000002</v>
      </c>
      <c r="I97" s="85">
        <f>+H97/E97</f>
        <v>1925.2421413333334</v>
      </c>
      <c r="J97" s="85">
        <f>+I97*J$95</f>
        <v>404.30084968</v>
      </c>
      <c r="K97" s="85">
        <f>+I97+J97</f>
        <v>2329.5429910133334</v>
      </c>
      <c r="L97" s="85">
        <f>+K97*L$95</f>
        <v>698.86289730400006</v>
      </c>
      <c r="M97" s="85">
        <f>+K97+L97</f>
        <v>3028.4058883173334</v>
      </c>
      <c r="N97" s="85">
        <f>+M97*N$95</f>
        <v>1211.3623553269333</v>
      </c>
      <c r="O97" s="102">
        <f>+M97+N97</f>
        <v>4239.7682436442665</v>
      </c>
      <c r="P97" s="185">
        <f t="shared" si="37"/>
        <v>-0.30320000000000003</v>
      </c>
      <c r="Q97" s="25">
        <v>33155.72</v>
      </c>
      <c r="S97" s="1" t="s">
        <v>202</v>
      </c>
      <c r="T97" s="187"/>
      <c r="U97" s="187"/>
      <c r="V97" s="187"/>
      <c r="W97" s="187"/>
      <c r="X97" s="187"/>
      <c r="Y97" s="121"/>
      <c r="Z97" s="120"/>
      <c r="AA97" s="120"/>
      <c r="AB97" s="120"/>
      <c r="AC97" s="119"/>
      <c r="AK97" s="71"/>
      <c r="AL97" s="24"/>
      <c r="AN97" s="118"/>
    </row>
    <row r="98" spans="1:40" x14ac:dyDescent="0.35">
      <c r="A98" s="125">
        <v>100522561</v>
      </c>
      <c r="B98" s="126" t="s">
        <v>190</v>
      </c>
      <c r="C98" s="127"/>
      <c r="D98" s="128">
        <v>16</v>
      </c>
      <c r="E98" s="101">
        <v>8</v>
      </c>
      <c r="F98" s="85">
        <f t="shared" si="56"/>
        <v>6824.5523666666677</v>
      </c>
      <c r="G98" s="142">
        <v>0.33</v>
      </c>
      <c r="H98" s="85">
        <f t="shared" ref="H98" si="69">+F98*(1-G98)</f>
        <v>4572.4500856666673</v>
      </c>
      <c r="I98" s="85">
        <f>+H98*2</f>
        <v>9144.9001713333346</v>
      </c>
      <c r="J98" s="85">
        <f>+I98*J$95</f>
        <v>1920.4290359800002</v>
      </c>
      <c r="K98" s="85">
        <f>+I98+J98</f>
        <v>11065.329207313334</v>
      </c>
      <c r="L98" s="85">
        <f>+K98*L$95</f>
        <v>3319.5987621940003</v>
      </c>
      <c r="M98" s="85">
        <f>+K98+L98</f>
        <v>14384.927969507335</v>
      </c>
      <c r="N98" s="85">
        <f>+M98*N$95</f>
        <v>5753.9711878029339</v>
      </c>
      <c r="O98" s="102">
        <f>+M98+N98</f>
        <v>20138.899157310268</v>
      </c>
      <c r="P98" s="185" t="e">
        <f t="shared" si="37"/>
        <v>#N/A</v>
      </c>
      <c r="Q98" s="25" t="e">
        <v>#N/A</v>
      </c>
      <c r="S98" s="1" t="s">
        <v>203</v>
      </c>
      <c r="T98" s="187"/>
      <c r="U98" s="187"/>
      <c r="V98" s="187"/>
      <c r="W98" s="187"/>
      <c r="X98" s="187"/>
      <c r="Y98" s="121"/>
      <c r="Z98" s="120"/>
      <c r="AA98" s="120"/>
      <c r="AB98" s="120"/>
      <c r="AC98" s="119"/>
      <c r="AK98" s="80">
        <v>100521457</v>
      </c>
      <c r="AL98" s="24">
        <v>34485.72242804218</v>
      </c>
      <c r="AN98" s="118"/>
    </row>
    <row r="99" spans="1:40" x14ac:dyDescent="0.35">
      <c r="A99" s="71"/>
      <c r="B99" s="72"/>
      <c r="C99" s="73"/>
      <c r="D99" s="72"/>
      <c r="E99" s="74"/>
      <c r="F99" s="75" t="e">
        <f t="shared" si="56"/>
        <v>#N/A</v>
      </c>
      <c r="G99" s="141"/>
      <c r="H99" s="75" t="e">
        <f t="shared" si="57"/>
        <v>#N/A</v>
      </c>
      <c r="I99" s="75"/>
      <c r="J99" s="78">
        <v>0.21</v>
      </c>
      <c r="K99" s="78"/>
      <c r="L99" s="78">
        <v>0.35</v>
      </c>
      <c r="M99" s="78"/>
      <c r="N99" s="78">
        <v>0.45</v>
      </c>
      <c r="O99" s="79"/>
      <c r="P99" s="185" t="e">
        <f t="shared" si="37"/>
        <v>#N/A</v>
      </c>
      <c r="Q99" s="25" t="e">
        <v>#N/A</v>
      </c>
      <c r="Z99" s="130"/>
      <c r="AA99" s="130"/>
      <c r="AB99" s="130"/>
      <c r="AF99" t="e">
        <v>#N/A</v>
      </c>
      <c r="AG99" t="e">
        <f t="shared" si="59"/>
        <v>#N/A</v>
      </c>
      <c r="AK99" s="80">
        <v>100521455</v>
      </c>
      <c r="AL99" s="180">
        <v>34485.72242804218</v>
      </c>
      <c r="AN99" s="118" t="e">
        <f t="shared" si="55"/>
        <v>#N/A</v>
      </c>
    </row>
    <row r="100" spans="1:40" x14ac:dyDescent="0.35">
      <c r="A100" s="125">
        <v>100520902</v>
      </c>
      <c r="B100" s="126" t="s">
        <v>87</v>
      </c>
      <c r="C100" s="127">
        <v>7790360981042</v>
      </c>
      <c r="D100" s="128">
        <v>9.8000000000000007</v>
      </c>
      <c r="E100" s="101">
        <v>14</v>
      </c>
      <c r="F100" s="85">
        <f t="shared" si="56"/>
        <v>30287.433583483747</v>
      </c>
      <c r="G100" s="189">
        <v>0.125</v>
      </c>
      <c r="H100" s="85">
        <f t="shared" si="57"/>
        <v>26501.50438554828</v>
      </c>
      <c r="I100" s="85">
        <f>+H100/E100</f>
        <v>1892.9645989677342</v>
      </c>
      <c r="J100" s="85">
        <f>+I100*J$99</f>
        <v>397.5225657832242</v>
      </c>
      <c r="K100" s="85">
        <f>+I100+J100</f>
        <v>2290.4871647509585</v>
      </c>
      <c r="L100" s="85">
        <f>+K100*L$99</f>
        <v>801.67050766283546</v>
      </c>
      <c r="M100" s="85">
        <f>+K100+L100</f>
        <v>3092.157672413794</v>
      </c>
      <c r="N100" s="85">
        <f>+M100*N$99</f>
        <v>1391.4709525862074</v>
      </c>
      <c r="O100" s="102">
        <f>+M100+N100</f>
        <v>4483.6286250000012</v>
      </c>
      <c r="P100" s="185">
        <f t="shared" si="37"/>
        <v>3.0000000000000027E-2</v>
      </c>
      <c r="Q100" s="25">
        <v>25729.6159082993</v>
      </c>
      <c r="S100" s="192" t="s">
        <v>184</v>
      </c>
      <c r="Y100" s="121">
        <v>0.1</v>
      </c>
      <c r="Z100" s="120">
        <f>+H100*(1-Y100)</f>
        <v>23851.353946993451</v>
      </c>
      <c r="AA100" s="120">
        <f>+Z100/E100</f>
        <v>1703.6681390709607</v>
      </c>
      <c r="AB100" s="120">
        <f>+AA100*1.21*1.3*1.4</f>
        <v>3751.817975862069</v>
      </c>
      <c r="AC100" s="119" t="s">
        <v>112</v>
      </c>
      <c r="AD100" t="s">
        <v>120</v>
      </c>
      <c r="AF100">
        <v>25729.6159082993</v>
      </c>
      <c r="AG100">
        <f t="shared" si="59"/>
        <v>3.0000000000000041E-2</v>
      </c>
      <c r="AK100" s="80">
        <v>100521453</v>
      </c>
      <c r="AL100" s="75">
        <v>33300.27571957824</v>
      </c>
      <c r="AN100" s="118">
        <f t="shared" si="55"/>
        <v>0.970873786407767</v>
      </c>
    </row>
    <row r="101" spans="1:40" x14ac:dyDescent="0.35">
      <c r="A101" s="125">
        <v>100522698</v>
      </c>
      <c r="B101" s="126" t="s">
        <v>170</v>
      </c>
      <c r="C101" s="127">
        <v>7790360986511</v>
      </c>
      <c r="D101" s="128">
        <v>14</v>
      </c>
      <c r="E101" s="101">
        <v>7</v>
      </c>
      <c r="F101" s="85">
        <v>44823.004959617152</v>
      </c>
      <c r="G101" s="215">
        <f>1/7</f>
        <v>0.14285714285714285</v>
      </c>
      <c r="H101" s="85">
        <f t="shared" si="57"/>
        <v>38419.718536814704</v>
      </c>
      <c r="I101" s="85">
        <f>+H101/E101</f>
        <v>5488.5312195449578</v>
      </c>
      <c r="J101" s="85">
        <f>+I101*J$99</f>
        <v>1152.591556104441</v>
      </c>
      <c r="K101" s="85">
        <f>+I101+J101</f>
        <v>6641.122775649399</v>
      </c>
      <c r="L101" s="85">
        <f>+K101*L$99</f>
        <v>2324.3929714772894</v>
      </c>
      <c r="M101" s="85">
        <f>+K101+L101</f>
        <v>8965.5157471266884</v>
      </c>
      <c r="N101" s="85">
        <f>+M101*N$99</f>
        <v>4034.4820862070101</v>
      </c>
      <c r="O101" s="102">
        <f>+M101+N101</f>
        <v>12999.997833333699</v>
      </c>
      <c r="P101" s="185"/>
      <c r="Q101" s="25" t="e">
        <v>#N/A</v>
      </c>
      <c r="S101" s="216" t="s">
        <v>188</v>
      </c>
      <c r="Y101" s="121"/>
      <c r="Z101" s="120"/>
      <c r="AA101" s="120"/>
      <c r="AB101" s="120"/>
      <c r="AC101" s="119"/>
      <c r="AK101" s="80">
        <v>100521454</v>
      </c>
      <c r="AL101" s="24">
        <v>33300.27571957824</v>
      </c>
      <c r="AN101" s="118"/>
    </row>
    <row r="102" spans="1:40" x14ac:dyDescent="0.35">
      <c r="A102" s="71"/>
      <c r="B102" s="72"/>
      <c r="C102" s="73"/>
      <c r="D102" s="72"/>
      <c r="E102" s="74"/>
      <c r="F102" s="75" t="e">
        <f>+VLOOKUP(A102,$AK$4:$AL$110,2,FALSE)</f>
        <v>#N/A</v>
      </c>
      <c r="G102" s="74"/>
      <c r="H102" s="75"/>
      <c r="I102" s="75"/>
      <c r="J102" s="78">
        <v>0.21</v>
      </c>
      <c r="K102" s="78"/>
      <c r="L102" s="78">
        <v>0.35</v>
      </c>
      <c r="M102" s="78"/>
      <c r="N102" s="78">
        <v>0.45</v>
      </c>
      <c r="O102" s="79"/>
      <c r="P102" s="185" t="e">
        <f t="shared" si="37"/>
        <v>#DIV/0!</v>
      </c>
      <c r="Q102" s="25"/>
      <c r="AK102" s="206"/>
      <c r="AL102" s="180"/>
      <c r="AN102" s="118" t="e">
        <f t="shared" si="55"/>
        <v>#DIV/0!</v>
      </c>
    </row>
    <row r="103" spans="1:40" x14ac:dyDescent="0.35">
      <c r="A103" s="125">
        <v>100521457</v>
      </c>
      <c r="B103" s="126" t="s">
        <v>103</v>
      </c>
      <c r="C103" s="127">
        <v>7790360982254</v>
      </c>
      <c r="D103" s="128">
        <v>4.8</v>
      </c>
      <c r="E103" s="101">
        <v>16</v>
      </c>
      <c r="F103" s="85">
        <f>+VLOOKUP(A103,$AK$4:$AL$110,2,FALSE)</f>
        <v>34485.72242804218</v>
      </c>
      <c r="G103" s="223">
        <v>0.05</v>
      </c>
      <c r="H103" s="85">
        <f t="shared" si="57"/>
        <v>32761.436306640069</v>
      </c>
      <c r="I103" s="85">
        <f>+H103/E103</f>
        <v>2047.5897691650043</v>
      </c>
      <c r="J103" s="85">
        <f>+I103*J$102</f>
        <v>429.99385152465089</v>
      </c>
      <c r="K103" s="85">
        <f t="shared" ref="K103:K106" si="70">+I103+J103</f>
        <v>2477.5836206896552</v>
      </c>
      <c r="L103" s="85">
        <f>+K103*L$102</f>
        <v>867.15426724137922</v>
      </c>
      <c r="M103" s="85">
        <f t="shared" ref="M103:M106" si="71">+K103+L103</f>
        <v>3344.7378879310345</v>
      </c>
      <c r="N103" s="85">
        <f>+M103*0.4126</f>
        <v>1380.0388525603448</v>
      </c>
      <c r="O103" s="102">
        <f t="shared" ref="O103:O106" si="72">+M103+N103</f>
        <v>4724.7767404913793</v>
      </c>
      <c r="P103" s="185">
        <f t="shared" si="37"/>
        <v>7.8378378378378466E-2</v>
      </c>
      <c r="Q103" s="25">
        <v>30380.279281846681</v>
      </c>
      <c r="S103" s="1" t="s">
        <v>194</v>
      </c>
      <c r="Y103" s="121">
        <v>0.15</v>
      </c>
      <c r="Z103" s="120">
        <f>+H103*(1-Y103)</f>
        <v>27847.220860644058</v>
      </c>
      <c r="AA103" s="120">
        <f>+Z103/E103</f>
        <v>1740.4513037902536</v>
      </c>
      <c r="AB103" s="120">
        <f>+AA103*1.21*1.3*1.4</f>
        <v>3832.8218612068963</v>
      </c>
      <c r="AC103" s="119" t="s">
        <v>112</v>
      </c>
      <c r="AD103" t="s">
        <v>121</v>
      </c>
      <c r="AF103">
        <v>28151.610145340554</v>
      </c>
      <c r="AG103">
        <f t="shared" si="59"/>
        <v>0.16375000000000001</v>
      </c>
      <c r="AK103" s="71"/>
      <c r="AL103" s="75"/>
      <c r="AN103" s="118">
        <f t="shared" si="55"/>
        <v>0.92731829573934832</v>
      </c>
    </row>
    <row r="104" spans="1:40" x14ac:dyDescent="0.35">
      <c r="A104" s="125">
        <v>100521455</v>
      </c>
      <c r="B104" s="126" t="s">
        <v>104</v>
      </c>
      <c r="C104" s="127">
        <v>7790360982247</v>
      </c>
      <c r="D104" s="128">
        <v>4.8</v>
      </c>
      <c r="E104" s="101">
        <v>16</v>
      </c>
      <c r="F104" s="85">
        <f>+VLOOKUP(A104,$AK$4:$AL$110,2,FALSE)</f>
        <v>34485.72242804218</v>
      </c>
      <c r="G104" s="223">
        <v>0.05</v>
      </c>
      <c r="H104" s="85">
        <f t="shared" si="57"/>
        <v>32761.436306640069</v>
      </c>
      <c r="I104" s="85">
        <f>+H104/E104</f>
        <v>2047.5897691650043</v>
      </c>
      <c r="J104" s="85">
        <f>+I104*J$102</f>
        <v>429.99385152465089</v>
      </c>
      <c r="K104" s="85">
        <f t="shared" si="70"/>
        <v>2477.5836206896552</v>
      </c>
      <c r="L104" s="85">
        <f>+K104*L$102</f>
        <v>867.15426724137922</v>
      </c>
      <c r="M104" s="85">
        <f t="shared" si="71"/>
        <v>3344.7378879310345</v>
      </c>
      <c r="N104" s="85">
        <f>+M104*0.4126</f>
        <v>1380.0388525603448</v>
      </c>
      <c r="O104" s="102">
        <f t="shared" si="72"/>
        <v>4724.7767404913793</v>
      </c>
      <c r="P104" s="185">
        <f t="shared" si="37"/>
        <v>7.8378378378378466E-2</v>
      </c>
      <c r="Q104" s="25">
        <v>30380.279281846681</v>
      </c>
      <c r="S104" s="1" t="s">
        <v>194</v>
      </c>
      <c r="Y104" s="121">
        <v>0.15</v>
      </c>
      <c r="Z104" s="120">
        <f>+H104*(1-Y104)</f>
        <v>27847.220860644058</v>
      </c>
      <c r="AA104" s="120">
        <f>+Z104/E104</f>
        <v>1740.4513037902536</v>
      </c>
      <c r="AB104" s="120">
        <f>+AA104*1.21*1.3*1.4</f>
        <v>3832.8218612068963</v>
      </c>
      <c r="AC104" s="119" t="s">
        <v>112</v>
      </c>
      <c r="AD104" t="s">
        <v>121</v>
      </c>
      <c r="AF104">
        <v>28151.610145340554</v>
      </c>
      <c r="AG104">
        <f t="shared" si="59"/>
        <v>0.16375000000000001</v>
      </c>
      <c r="AK104" s="80">
        <v>100521457</v>
      </c>
      <c r="AL104" s="24">
        <v>32843.545169563979</v>
      </c>
      <c r="AN104" s="118">
        <f t="shared" si="55"/>
        <v>0.92731829573934832</v>
      </c>
    </row>
    <row r="105" spans="1:40" x14ac:dyDescent="0.35">
      <c r="A105" s="125">
        <v>100521453</v>
      </c>
      <c r="B105" s="126" t="s">
        <v>105</v>
      </c>
      <c r="C105" s="127">
        <v>7790360982223</v>
      </c>
      <c r="D105" s="128">
        <v>5.4</v>
      </c>
      <c r="E105" s="101">
        <v>18</v>
      </c>
      <c r="F105" s="85">
        <f>+VLOOKUP(A105,$AK$4:$AL$110,2,FALSE)</f>
        <v>33300.27571957824</v>
      </c>
      <c r="G105" s="223">
        <v>0.05</v>
      </c>
      <c r="H105" s="85">
        <f t="shared" si="57"/>
        <v>31635.261933599326</v>
      </c>
      <c r="I105" s="85">
        <f>+H105/E105</f>
        <v>1757.5145518666293</v>
      </c>
      <c r="J105" s="85">
        <f>+I105*J$102</f>
        <v>369.07805589199216</v>
      </c>
      <c r="K105" s="85">
        <f t="shared" si="70"/>
        <v>2126.5926077586214</v>
      </c>
      <c r="L105" s="85">
        <f>+K105*L$102</f>
        <v>744.30741271551744</v>
      </c>
      <c r="M105" s="85">
        <f t="shared" si="71"/>
        <v>2870.9000204741387</v>
      </c>
      <c r="N105" s="85">
        <f>+M105*0.431</f>
        <v>1237.3579088243537</v>
      </c>
      <c r="O105" s="102">
        <f t="shared" si="72"/>
        <v>4108.2579292984919</v>
      </c>
      <c r="P105" s="185">
        <f t="shared" si="37"/>
        <v>5.7837837837837913E-2</v>
      </c>
      <c r="Q105" s="25">
        <v>29905.587418067833</v>
      </c>
      <c r="S105" s="1" t="s">
        <v>195</v>
      </c>
      <c r="Y105" s="121">
        <v>0.15</v>
      </c>
      <c r="Z105" s="120">
        <f>+H105*(1-Y105)</f>
        <v>26889.972643559428</v>
      </c>
      <c r="AA105" s="120">
        <f>+Z105/E105</f>
        <v>1493.8873690866349</v>
      </c>
      <c r="AB105" s="120">
        <f>+AA105*1.21*1.3*1.4</f>
        <v>3289.8387642025873</v>
      </c>
      <c r="AC105" s="119" t="s">
        <v>112</v>
      </c>
      <c r="AD105" t="s">
        <v>121</v>
      </c>
      <c r="AF105">
        <v>28481.511826731268</v>
      </c>
      <c r="AG105">
        <f t="shared" si="59"/>
        <v>0.11072972972972984</v>
      </c>
      <c r="AK105" s="80">
        <v>100521455</v>
      </c>
      <c r="AL105" s="24">
        <v>32843.545169563979</v>
      </c>
      <c r="AN105" s="118">
        <f t="shared" si="55"/>
        <v>0.94532447623914151</v>
      </c>
    </row>
    <row r="106" spans="1:40" x14ac:dyDescent="0.35">
      <c r="A106" s="125">
        <v>100521454</v>
      </c>
      <c r="B106" s="126" t="s">
        <v>106</v>
      </c>
      <c r="C106" s="127">
        <v>7790360982230</v>
      </c>
      <c r="D106" s="128">
        <v>5.3999999999999995</v>
      </c>
      <c r="E106" s="101">
        <v>18</v>
      </c>
      <c r="F106" s="85">
        <f>+VLOOKUP(A106,$AK$4:$AL$110,2,FALSE)</f>
        <v>33300.27571957824</v>
      </c>
      <c r="G106" s="223">
        <v>0.05</v>
      </c>
      <c r="H106" s="85">
        <f t="shared" si="57"/>
        <v>31635.261933599326</v>
      </c>
      <c r="I106" s="85">
        <f>+H106/E106</f>
        <v>1757.5145518666293</v>
      </c>
      <c r="J106" s="85">
        <f>+I106*J$102</f>
        <v>369.07805589199216</v>
      </c>
      <c r="K106" s="85">
        <f t="shared" si="70"/>
        <v>2126.5926077586214</v>
      </c>
      <c r="L106" s="85">
        <f>+K106*L$102</f>
        <v>744.30741271551744</v>
      </c>
      <c r="M106" s="85">
        <f t="shared" si="71"/>
        <v>2870.9000204741387</v>
      </c>
      <c r="N106" s="85">
        <f>+M106*0.431</f>
        <v>1237.3579088243537</v>
      </c>
      <c r="O106" s="102">
        <f t="shared" si="72"/>
        <v>4108.2579292984919</v>
      </c>
      <c r="P106" s="185">
        <f t="shared" si="37"/>
        <v>5.7837837837837913E-2</v>
      </c>
      <c r="Q106" s="25">
        <v>29905.587418067833</v>
      </c>
      <c r="S106" s="1" t="s">
        <v>195</v>
      </c>
      <c r="Y106" s="121">
        <v>0.15</v>
      </c>
      <c r="Z106" s="120">
        <f>+H106*(1-Y106)</f>
        <v>26889.972643559428</v>
      </c>
      <c r="AA106" s="120">
        <f>+Z106/E106</f>
        <v>1493.8873690866349</v>
      </c>
      <c r="AB106" s="120">
        <f>+AA106*1.21*1.3*1.4</f>
        <v>3289.8387642025873</v>
      </c>
      <c r="AC106" s="119" t="s">
        <v>112</v>
      </c>
      <c r="AD106" t="s">
        <v>121</v>
      </c>
      <c r="AF106">
        <v>28481.511826731268</v>
      </c>
      <c r="AG106">
        <f t="shared" si="59"/>
        <v>0.11072972972972984</v>
      </c>
      <c r="AK106" s="80">
        <v>100521453</v>
      </c>
      <c r="AL106" s="24">
        <v>32330.364776289549</v>
      </c>
      <c r="AN106" s="118">
        <f t="shared" si="55"/>
        <v>0.94532447623914151</v>
      </c>
    </row>
    <row r="107" spans="1:40" x14ac:dyDescent="0.35">
      <c r="A107" s="71"/>
      <c r="B107" s="72"/>
      <c r="C107" s="73"/>
      <c r="D107" s="204"/>
      <c r="E107" s="74"/>
      <c r="F107" s="74"/>
      <c r="G107" s="74"/>
      <c r="H107" s="75"/>
      <c r="I107" s="75"/>
      <c r="J107" s="78">
        <v>0.21</v>
      </c>
      <c r="K107" s="78"/>
      <c r="L107" s="78">
        <v>0.22</v>
      </c>
      <c r="M107" s="78"/>
      <c r="N107" s="78">
        <v>0.35</v>
      </c>
      <c r="O107" s="79"/>
      <c r="Q107" s="3"/>
      <c r="S107" s="1"/>
      <c r="AK107" s="80">
        <v>100521454</v>
      </c>
      <c r="AL107" s="24">
        <v>32330.364776289549</v>
      </c>
      <c r="AN107" s="118" t="e">
        <f t="shared" si="55"/>
        <v>#DIV/0!</v>
      </c>
    </row>
    <row r="108" spans="1:40" x14ac:dyDescent="0.35">
      <c r="A108" s="125">
        <v>100522246</v>
      </c>
      <c r="B108" s="126" t="s">
        <v>165</v>
      </c>
      <c r="C108" s="127">
        <v>7790360984234</v>
      </c>
      <c r="D108" s="128">
        <v>8.16</v>
      </c>
      <c r="E108" s="101">
        <v>48</v>
      </c>
      <c r="F108" s="85">
        <f>+VLOOKUP(A108,$AK$4:$AL$110,2,FALSE)</f>
        <v>106193.37939755226</v>
      </c>
      <c r="G108" s="205"/>
      <c r="H108" s="85">
        <f t="shared" ref="H108:H109" si="73">+F108*(1-G108)</f>
        <v>106193.37939755226</v>
      </c>
      <c r="I108" s="85">
        <f t="shared" ref="I108:I109" si="74">+H108/E108</f>
        <v>2212.3620707823388</v>
      </c>
      <c r="J108" s="85">
        <f t="shared" ref="J108:J109" si="75">+I108*J$3</f>
        <v>464.59603486429114</v>
      </c>
      <c r="K108" s="85">
        <f t="shared" ref="K108:K109" si="76">+I108+J108</f>
        <v>2676.95810564663</v>
      </c>
      <c r="L108" s="85">
        <f t="shared" ref="L108:L109" si="77">+K108*L$39</f>
        <v>588.9307832422586</v>
      </c>
      <c r="M108" s="85">
        <f t="shared" ref="M108:M109" si="78">+K108+L108</f>
        <v>3265.8888888888887</v>
      </c>
      <c r="N108" s="85">
        <f t="shared" ref="N108:N109" si="79">+M108*N$39</f>
        <v>1143.0611111111109</v>
      </c>
      <c r="O108" s="102">
        <f t="shared" ref="O108:O109" si="80">+M108+N108</f>
        <v>4408.95</v>
      </c>
      <c r="P108" s="185">
        <f t="shared" si="37"/>
        <v>0.26315789473684159</v>
      </c>
      <c r="Q108" s="1">
        <v>84069.7586897289</v>
      </c>
      <c r="S108" s="1"/>
      <c r="Y108">
        <f>+R104*9*2+R105*8*2+R4*144</f>
        <v>0</v>
      </c>
      <c r="AK108" s="71"/>
      <c r="AL108" s="75">
        <v>0.35</v>
      </c>
      <c r="AN108" s="118">
        <f t="shared" si="55"/>
        <v>0.79166666666666696</v>
      </c>
    </row>
    <row r="109" spans="1:40" x14ac:dyDescent="0.35">
      <c r="A109" s="125">
        <v>100522247</v>
      </c>
      <c r="B109" s="126" t="s">
        <v>166</v>
      </c>
      <c r="C109" s="127">
        <v>7790360984241</v>
      </c>
      <c r="D109" s="128">
        <v>8.16</v>
      </c>
      <c r="E109" s="101">
        <v>48</v>
      </c>
      <c r="F109" s="85">
        <f>+VLOOKUP(A109,$AK$4:$AL$110,2,FALSE)</f>
        <v>106193.37939755226</v>
      </c>
      <c r="G109" s="205"/>
      <c r="H109" s="85">
        <f t="shared" si="73"/>
        <v>106193.37939755226</v>
      </c>
      <c r="I109" s="85">
        <f t="shared" si="74"/>
        <v>2212.3620707823388</v>
      </c>
      <c r="J109" s="85">
        <f t="shared" si="75"/>
        <v>464.59603486429114</v>
      </c>
      <c r="K109" s="85">
        <f t="shared" si="76"/>
        <v>2676.95810564663</v>
      </c>
      <c r="L109" s="85">
        <f t="shared" si="77"/>
        <v>588.9307832422586</v>
      </c>
      <c r="M109" s="85">
        <f t="shared" si="78"/>
        <v>3265.8888888888887</v>
      </c>
      <c r="N109" s="85">
        <f t="shared" si="79"/>
        <v>1143.0611111111109</v>
      </c>
      <c r="O109" s="102">
        <f t="shared" si="80"/>
        <v>4408.95</v>
      </c>
      <c r="P109" s="185">
        <f t="shared" si="37"/>
        <v>0.26315789473684159</v>
      </c>
      <c r="Q109" s="1">
        <v>84069.7586897289</v>
      </c>
      <c r="S109" s="1"/>
      <c r="AK109" s="80">
        <v>100522246</v>
      </c>
      <c r="AL109" s="24">
        <v>106193.37939755226</v>
      </c>
      <c r="AN109" s="118">
        <f t="shared" si="55"/>
        <v>0.79166666666666696</v>
      </c>
    </row>
    <row r="110" spans="1:40" x14ac:dyDescent="0.35">
      <c r="F110"/>
      <c r="H110"/>
      <c r="AK110" s="80">
        <v>100522247</v>
      </c>
      <c r="AL110" s="24">
        <v>106193.37939755226</v>
      </c>
    </row>
  </sheetData>
  <conditionalFormatting sqref="A20:B20">
    <cfRule type="cellIs" dxfId="222" priority="137" stopIfTrue="1" operator="equal">
      <formula>0</formula>
    </cfRule>
  </conditionalFormatting>
  <conditionalFormatting sqref="A63:C63">
    <cfRule type="cellIs" dxfId="221" priority="134" stopIfTrue="1" operator="equal">
      <formula>0</formula>
    </cfRule>
  </conditionalFormatting>
  <conditionalFormatting sqref="A16:E19">
    <cfRule type="cellIs" dxfId="220" priority="135" stopIfTrue="1" operator="equal">
      <formula>0</formula>
    </cfRule>
  </conditionalFormatting>
  <conditionalFormatting sqref="A101:F101 H101:O101">
    <cfRule type="cellIs" dxfId="219" priority="1" stopIfTrue="1" operator="equal">
      <formula>0</formula>
    </cfRule>
  </conditionalFormatting>
  <conditionalFormatting sqref="A103:F106">
    <cfRule type="cellIs" dxfId="218" priority="87" stopIfTrue="1" operator="equal">
      <formula>0</formula>
    </cfRule>
  </conditionalFormatting>
  <conditionalFormatting sqref="A69:O69">
    <cfRule type="cellIs" dxfId="217" priority="71" stopIfTrue="1" operator="equal">
      <formula>0</formula>
    </cfRule>
  </conditionalFormatting>
  <conditionalFormatting sqref="A73:O74">
    <cfRule type="cellIs" dxfId="216" priority="70" stopIfTrue="1" operator="equal">
      <formula>0</formula>
    </cfRule>
  </conditionalFormatting>
  <conditionalFormatting sqref="A96:O98">
    <cfRule type="cellIs" dxfId="215" priority="12" stopIfTrue="1" operator="equal">
      <formula>0</formula>
    </cfRule>
  </conditionalFormatting>
  <conditionalFormatting sqref="A100:O100">
    <cfRule type="cellIs" dxfId="214" priority="72" stopIfTrue="1" operator="equal">
      <formula>0</formula>
    </cfRule>
  </conditionalFormatting>
  <conditionalFormatting sqref="B28">
    <cfRule type="cellIs" dxfId="213" priority="129" stopIfTrue="1" operator="equal">
      <formula>0</formula>
    </cfRule>
  </conditionalFormatting>
  <conditionalFormatting sqref="D20:E20">
    <cfRule type="cellIs" dxfId="212" priority="136" stopIfTrue="1" operator="equal">
      <formula>0</formula>
    </cfRule>
  </conditionalFormatting>
  <conditionalFormatting sqref="D58:F61 I58:O61">
    <cfRule type="cellIs" dxfId="211" priority="132" stopIfTrue="1" operator="equal">
      <formula>0</formula>
    </cfRule>
  </conditionalFormatting>
  <conditionalFormatting sqref="D89:O94">
    <cfRule type="cellIs" dxfId="210" priority="69" stopIfTrue="1" operator="equal">
      <formula>0</formula>
    </cfRule>
  </conditionalFormatting>
  <conditionalFormatting sqref="F16 H16:O16 F17:O20">
    <cfRule type="cellIs" dxfId="209" priority="117" stopIfTrue="1" operator="equal">
      <formula>0</formula>
    </cfRule>
  </conditionalFormatting>
  <conditionalFormatting sqref="F108:H109">
    <cfRule type="cellIs" dxfId="208" priority="30" stopIfTrue="1" operator="equal">
      <formula>0</formula>
    </cfRule>
  </conditionalFormatting>
  <conditionalFormatting sqref="H103:O106">
    <cfRule type="cellIs" dxfId="207" priority="2" stopIfTrue="1" operator="equal">
      <formula>0</formula>
    </cfRule>
  </conditionalFormatting>
  <conditionalFormatting sqref="L37:L38">
    <cfRule type="cellIs" dxfId="206" priority="130" stopIfTrue="1" operator="equal">
      <formula>0</formula>
    </cfRule>
  </conditionalFormatting>
  <conditionalFormatting sqref="S12 S14 S16">
    <cfRule type="cellIs" dxfId="205" priority="52" operator="greaterThan">
      <formula>0</formula>
    </cfRule>
  </conditionalFormatting>
  <conditionalFormatting sqref="AK59">
    <cfRule type="cellIs" dxfId="204" priority="9" stopIfTrue="1" operator="equal">
      <formula>0</formula>
    </cfRule>
  </conditionalFormatting>
  <conditionalFormatting sqref="AK65">
    <cfRule type="cellIs" dxfId="203" priority="6" stopIfTrue="1" operator="equal">
      <formula>0</formula>
    </cfRule>
  </conditionalFormatting>
  <conditionalFormatting sqref="AK68:AK70">
    <cfRule type="cellIs" dxfId="202" priority="7" stopIfTrue="1" operator="equal">
      <formula>0</formula>
    </cfRule>
  </conditionalFormatting>
  <conditionalFormatting sqref="AK91:AK93">
    <cfRule type="cellIs" dxfId="201" priority="5" stopIfTrue="1" operator="equal">
      <formula>0</formula>
    </cfRule>
  </conditionalFormatting>
  <conditionalFormatting sqref="AK95:AK96">
    <cfRule type="cellIs" dxfId="200" priority="4" stopIfTrue="1" operator="equal">
      <formula>0</formula>
    </cfRule>
  </conditionalFormatting>
  <conditionalFormatting sqref="AK98:AK101">
    <cfRule type="cellIs" dxfId="199" priority="8" stopIfTrue="1" operator="equal">
      <formula>0</formula>
    </cfRule>
  </conditionalFormatting>
  <conditionalFormatting sqref="AK109:AK110">
    <cfRule type="cellIs" dxfId="198" priority="21" stopIfTrue="1" operator="equal">
      <formula>0</formula>
    </cfRule>
  </conditionalFormatting>
  <conditionalFormatting sqref="AK104:AL107">
    <cfRule type="cellIs" dxfId="197" priority="17" stopIfTrue="1" operator="equal">
      <formula>0</formula>
    </cfRule>
  </conditionalFormatting>
  <conditionalFormatting sqref="AL16:AL20">
    <cfRule type="cellIs" dxfId="196" priority="19" stopIfTrue="1" operator="equal">
      <formula>0</formula>
    </cfRule>
  </conditionalFormatting>
  <conditionalFormatting sqref="AL58:AL61">
    <cfRule type="cellIs" dxfId="195" priority="20" stopIfTrue="1" operator="equal">
      <formula>0</formula>
    </cfRule>
  </conditionalFormatting>
  <conditionalFormatting sqref="AL70">
    <cfRule type="cellIs" dxfId="194" priority="16" stopIfTrue="1" operator="equal">
      <formula>0</formula>
    </cfRule>
  </conditionalFormatting>
  <conditionalFormatting sqref="AL74:AL75">
    <cfRule type="cellIs" dxfId="193" priority="15" stopIfTrue="1" operator="equal">
      <formula>0</formula>
    </cfRule>
  </conditionalFormatting>
  <conditionalFormatting sqref="AL90:AL95">
    <cfRule type="cellIs" dxfId="192" priority="14" stopIfTrue="1" operator="equal">
      <formula>0</formula>
    </cfRule>
  </conditionalFormatting>
  <conditionalFormatting sqref="AL97:AL99">
    <cfRule type="cellIs" dxfId="191" priority="13" stopIfTrue="1" operator="equal">
      <formula>0</formula>
    </cfRule>
  </conditionalFormatting>
  <conditionalFormatting sqref="AL101 AK102:AL102">
    <cfRule type="cellIs" dxfId="190" priority="18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E74C-60DC-4DEB-AE6D-9DF7C6B9E346}">
  <dimension ref="A1:GI110"/>
  <sheetViews>
    <sheetView zoomScale="90" zoomScaleNormal="90" workbookViewId="0">
      <selection activeCell="A4" sqref="A4"/>
    </sheetView>
  </sheetViews>
  <sheetFormatPr baseColWidth="10" defaultColWidth="11.453125" defaultRowHeight="14.5" outlineLevelCol="1" x14ac:dyDescent="0.35"/>
  <cols>
    <col min="1" max="1" width="11.54296875" customWidth="1" collapsed="1"/>
    <col min="2" max="2" width="34.1796875" customWidth="1"/>
    <col min="3" max="3" width="14.1796875" customWidth="1"/>
    <col min="4" max="4" width="7.81640625" bestFit="1" customWidth="1"/>
    <col min="5" max="5" width="6" customWidth="1"/>
    <col min="6" max="6" width="9.453125" style="82" customWidth="1"/>
    <col min="7" max="7" width="8" customWidth="1"/>
    <col min="8" max="8" width="9.453125" style="82" customWidth="1"/>
    <col min="9" max="9" width="10.1796875" customWidth="1"/>
    <col min="10" max="14" width="11.453125" customWidth="1"/>
    <col min="15" max="15" width="10.1796875" style="77" customWidth="1"/>
    <col min="16" max="16" width="8.1796875" style="82" hidden="1" customWidth="1"/>
    <col min="17" max="17" width="13.453125" style="1" hidden="1" customWidth="1"/>
    <col min="18" max="18" width="4" style="1" customWidth="1"/>
    <col min="19" max="19" width="86.26953125" style="1" customWidth="1"/>
    <col min="20" max="21" width="13.453125" style="1" customWidth="1"/>
    <col min="22" max="22" width="10.6328125" style="1" bestFit="1" customWidth="1"/>
    <col min="23" max="23" width="10.81640625" style="1" customWidth="1"/>
    <col min="24" max="24" width="102.08984375" style="1" bestFit="1" customWidth="1"/>
    <col min="25" max="25" width="6.6328125" hidden="1" customWidth="1"/>
    <col min="26" max="26" width="15.1796875" hidden="1" customWidth="1"/>
    <col min="27" max="27" width="20.453125" hidden="1" customWidth="1"/>
    <col min="28" max="28" width="11" hidden="1" customWidth="1"/>
    <col min="29" max="29" width="11.6328125" hidden="1" customWidth="1"/>
    <col min="30" max="30" width="10.453125" hidden="1" customWidth="1"/>
    <col min="31" max="31" width="14.453125" hidden="1" customWidth="1"/>
    <col min="32" max="32" width="24.08984375" hidden="1" customWidth="1"/>
    <col min="33" max="34" width="12.26953125" hidden="1" customWidth="1"/>
    <col min="35" max="35" width="8" hidden="1" customWidth="1"/>
    <col min="36" max="36" width="7.1796875" hidden="1" customWidth="1"/>
    <col min="37" max="37" width="2.81640625" hidden="1" customWidth="1"/>
    <col min="38" max="38" width="11.453125" hidden="1" customWidth="1"/>
    <col min="39" max="39" width="3.1796875" hidden="1" customWidth="1"/>
    <col min="40" max="42" width="11.453125" hidden="1" customWidth="1"/>
    <col min="43" max="43" width="8.54296875" customWidth="1"/>
    <col min="44" max="44" width="11.453125" customWidth="1"/>
    <col min="45" max="45" width="10.1796875" customWidth="1"/>
    <col min="46" max="46" width="11.453125" customWidth="1"/>
    <col min="47" max="47" width="10.1796875" bestFit="1" customWidth="1"/>
    <col min="48" max="48" width="11.453125" customWidth="1"/>
    <col min="49" max="49" width="10.1796875" bestFit="1" customWidth="1"/>
    <col min="50" max="50" width="11.453125" customWidth="1"/>
    <col min="51" max="51" width="10.1796875" customWidth="1"/>
    <col min="52" max="52" width="11.453125" customWidth="1"/>
    <col min="53" max="53" width="10.1796875" customWidth="1"/>
    <col min="54" max="54" width="11.453125" customWidth="1"/>
    <col min="55" max="55" width="10.1796875" customWidth="1"/>
    <col min="56" max="56" width="11.453125" customWidth="1"/>
    <col min="57" max="57" width="10.1796875" customWidth="1"/>
    <col min="58" max="58" width="11.453125" customWidth="1"/>
    <col min="59" max="59" width="10.1796875" customWidth="1"/>
    <col min="60" max="60" width="11.453125" customWidth="1"/>
    <col min="61" max="61" width="10.1796875" customWidth="1"/>
    <col min="62" max="62" width="11.453125" customWidth="1"/>
    <col min="63" max="63" width="10.1796875" customWidth="1"/>
    <col min="64" max="64" width="11.453125" customWidth="1"/>
    <col min="65" max="65" width="9.81640625" customWidth="1"/>
    <col min="66" max="72" width="11.453125" customWidth="1"/>
    <col min="73" max="73" width="9.81640625" customWidth="1"/>
    <col min="74" max="74" width="11.453125" customWidth="1"/>
    <col min="75" max="75" width="9.81640625" customWidth="1"/>
    <col min="76" max="76" width="11.453125" customWidth="1"/>
    <col min="77" max="77" width="9.81640625" customWidth="1"/>
    <col min="78" max="78" width="11.453125" customWidth="1"/>
    <col min="79" max="79" width="9.81640625" customWidth="1"/>
    <col min="80" max="80" width="11.453125" customWidth="1"/>
    <col min="81" max="81" width="9.81640625" customWidth="1"/>
    <col min="82" max="82" width="11.453125" customWidth="1"/>
    <col min="83" max="83" width="10" customWidth="1"/>
    <col min="84" max="84" width="11.453125" customWidth="1"/>
    <col min="85" max="85" width="10" customWidth="1"/>
    <col min="86" max="86" width="11.453125" customWidth="1"/>
    <col min="87" max="87" width="10" customWidth="1"/>
    <col min="88" max="88" width="11.453125" customWidth="1"/>
    <col min="89" max="89" width="10" customWidth="1"/>
    <col min="90" max="90" width="11.453125" customWidth="1"/>
    <col min="91" max="91" width="9.81640625" customWidth="1" collapsed="1"/>
    <col min="92" max="92" width="11.453125" customWidth="1"/>
    <col min="93" max="93" width="11.54296875" customWidth="1"/>
    <col min="94" max="94" width="3.54296875" customWidth="1"/>
    <col min="95" max="95" width="11.54296875" customWidth="1"/>
    <col min="96" max="96" width="3.453125" customWidth="1"/>
    <col min="97" max="97" width="11.54296875" customWidth="1"/>
    <col min="98" max="98" width="3.453125" customWidth="1"/>
    <col min="99" max="99" width="11.54296875" customWidth="1"/>
    <col min="100" max="100" width="3.453125" customWidth="1"/>
    <col min="101" max="101" width="11.54296875" customWidth="1"/>
    <col min="102" max="102" width="3.453125" customWidth="1"/>
    <col min="103" max="103" width="11.54296875" customWidth="1"/>
    <col min="104" max="104" width="3.453125" customWidth="1"/>
    <col min="105" max="105" width="11.54296875" customWidth="1"/>
    <col min="106" max="106" width="3.453125" customWidth="1"/>
    <col min="107" max="107" width="11.54296875" customWidth="1"/>
    <col min="108" max="108" width="3.453125" customWidth="1"/>
    <col min="109" max="109" width="11.54296875" customWidth="1"/>
    <col min="110" max="110" width="3.453125" customWidth="1"/>
    <col min="111" max="111" width="11.54296875" customWidth="1"/>
    <col min="112" max="112" width="3" customWidth="1"/>
    <col min="113" max="113" width="11.54296875" customWidth="1"/>
    <col min="114" max="114" width="4.81640625" customWidth="1"/>
    <col min="115" max="115" width="11.54296875" customWidth="1"/>
    <col min="116" max="116" width="4.81640625" customWidth="1"/>
    <col min="117" max="117" width="11.453125" customWidth="1"/>
    <col min="118" max="118" width="4.81640625" customWidth="1"/>
    <col min="119" max="119" width="11.453125" customWidth="1"/>
    <col min="120" max="120" width="4.81640625" customWidth="1"/>
    <col min="121" max="175" width="11.453125" customWidth="1"/>
    <col min="176" max="176" width="11.453125" customWidth="1" outlineLevel="1"/>
    <col min="177" max="178" width="11.453125" customWidth="1"/>
    <col min="180" max="186" width="11.453125" outlineLevel="1"/>
    <col min="189" max="191" width="11.453125" outlineLevel="1"/>
  </cols>
  <sheetData>
    <row r="1" spans="1:41" ht="15" thickBot="1" x14ac:dyDescent="0.4">
      <c r="A1" s="1"/>
      <c r="B1" s="1"/>
      <c r="C1" s="1"/>
      <c r="D1" s="1"/>
      <c r="E1" s="1"/>
      <c r="F1" s="2"/>
      <c r="G1" s="1"/>
      <c r="H1" s="2"/>
      <c r="I1" s="1"/>
      <c r="J1" s="1"/>
      <c r="K1" s="1"/>
      <c r="L1" s="1"/>
      <c r="M1" s="1"/>
      <c r="N1" s="1"/>
      <c r="O1" s="3"/>
      <c r="P1" s="2"/>
      <c r="S1"/>
      <c r="T1"/>
      <c r="U1"/>
      <c r="V1"/>
      <c r="W1"/>
      <c r="X1"/>
      <c r="Z1" s="240" t="s">
        <v>110</v>
      </c>
      <c r="AA1" s="240"/>
      <c r="AB1" s="240"/>
      <c r="AC1" s="240"/>
      <c r="AD1" s="240"/>
      <c r="AE1" s="240"/>
      <c r="AF1" s="155"/>
    </row>
    <row r="2" spans="1:41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88</v>
      </c>
      <c r="G2" s="6"/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83"/>
      <c r="Q2" s="11" t="s">
        <v>13</v>
      </c>
      <c r="S2" s="9" t="s">
        <v>191</v>
      </c>
      <c r="T2"/>
      <c r="U2"/>
      <c r="V2"/>
      <c r="W2"/>
      <c r="X2"/>
      <c r="Z2" s="122" t="s">
        <v>113</v>
      </c>
      <c r="AA2" s="123" t="s">
        <v>114</v>
      </c>
      <c r="AB2" s="123" t="s">
        <v>115</v>
      </c>
      <c r="AC2" s="123" t="s">
        <v>116</v>
      </c>
      <c r="AD2" s="123" t="s">
        <v>117</v>
      </c>
      <c r="AE2" s="123" t="s">
        <v>109</v>
      </c>
      <c r="AF2" s="123"/>
      <c r="AI2" t="s">
        <v>149</v>
      </c>
      <c r="AJ2" t="s">
        <v>107</v>
      </c>
    </row>
    <row r="3" spans="1:41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0.33</v>
      </c>
      <c r="M3" s="16"/>
      <c r="N3" s="17">
        <v>0.4</v>
      </c>
      <c r="O3" s="18"/>
      <c r="P3" s="2"/>
      <c r="Q3" s="18"/>
      <c r="S3"/>
      <c r="T3"/>
      <c r="U3"/>
      <c r="V3"/>
      <c r="W3"/>
      <c r="X3"/>
      <c r="AN3" s="210">
        <v>100021632</v>
      </c>
      <c r="AO3" s="24">
        <v>42178.606915370816</v>
      </c>
    </row>
    <row r="4" spans="1:41" x14ac:dyDescent="0.35">
      <c r="A4" s="221">
        <v>100021632</v>
      </c>
      <c r="B4" s="218" t="s">
        <v>14</v>
      </c>
      <c r="C4" s="99">
        <v>7790360026606</v>
      </c>
      <c r="D4" s="100">
        <v>4.8</v>
      </c>
      <c r="E4" s="101">
        <v>30</v>
      </c>
      <c r="F4" s="85">
        <f t="shared" ref="F4:F35" si="0">+VLOOKUP(A4,$AN$3:$AO$109,2,FALSE)</f>
        <v>42178.606915370816</v>
      </c>
      <c r="G4" s="103">
        <v>7.0000000000000007E-2</v>
      </c>
      <c r="H4" s="85">
        <f>+F4*(1-G4)</f>
        <v>39226.104431294858</v>
      </c>
      <c r="I4" s="85">
        <f>+H4/E4</f>
        <v>1307.5368143764952</v>
      </c>
      <c r="J4" s="85">
        <f>+I4*J$3</f>
        <v>274.582731019064</v>
      </c>
      <c r="K4" s="85">
        <f>+I4+J4</f>
        <v>1582.1195453955593</v>
      </c>
      <c r="L4" s="85">
        <f>+K4*0.309</f>
        <v>488.87493952722781</v>
      </c>
      <c r="M4" s="85">
        <f>+K4+L4</f>
        <v>2070.9944849227873</v>
      </c>
      <c r="N4" s="85">
        <f>+M4*N$3</f>
        <v>828.3977939691149</v>
      </c>
      <c r="O4" s="102">
        <f>+M4+N4</f>
        <v>2899.3922788919022</v>
      </c>
      <c r="P4" s="185">
        <f t="shared" ref="P4:P70" si="1">H4/Q4-1</f>
        <v>-2.3499999999999965E-2</v>
      </c>
      <c r="Q4" s="25">
        <v>40170.101824162681</v>
      </c>
      <c r="S4" t="s">
        <v>197</v>
      </c>
      <c r="T4"/>
      <c r="U4" s="214"/>
      <c r="V4"/>
      <c r="W4"/>
      <c r="X4"/>
      <c r="Y4">
        <f>+Z4*H4</f>
        <v>3922.6104431294862</v>
      </c>
      <c r="Z4" s="121">
        <v>0.1</v>
      </c>
      <c r="AA4" s="120">
        <f>+H4*(1-Z4)</f>
        <v>35303.49398816537</v>
      </c>
      <c r="AB4" s="120">
        <f>+AA4/E4</f>
        <v>1176.7831329388457</v>
      </c>
      <c r="AC4" s="120">
        <f>+AB4*1.21*1.3*1.4</f>
        <v>2591.5118153579256</v>
      </c>
      <c r="AD4" s="119" t="s">
        <v>112</v>
      </c>
      <c r="AE4" t="s">
        <v>111</v>
      </c>
      <c r="AI4">
        <v>33427.033492822964</v>
      </c>
      <c r="AJ4">
        <f>+(H4-AI4)/AI4</f>
        <v>0.17348446250000013</v>
      </c>
      <c r="AN4" s="210">
        <v>100021652</v>
      </c>
      <c r="AO4" s="24">
        <v>52310.046430785129</v>
      </c>
    </row>
    <row r="5" spans="1:41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f t="shared" si="0"/>
        <v>52310.046430785129</v>
      </c>
      <c r="G5" s="23"/>
      <c r="H5" s="24">
        <f t="shared" ref="H5:H77" si="2">+F5*(1-G5)</f>
        <v>52310.046430785129</v>
      </c>
      <c r="I5" s="24">
        <f t="shared" ref="I5:I77" si="3">+H5/E5</f>
        <v>2906.1136905991739</v>
      </c>
      <c r="J5" s="24">
        <f t="shared" ref="J5:J77" si="4">+I5*J$3</f>
        <v>610.28387502582655</v>
      </c>
      <c r="K5" s="24">
        <f t="shared" ref="K5:K77" si="5">+I5+J5</f>
        <v>3516.3975656250004</v>
      </c>
      <c r="L5" s="24">
        <f t="shared" ref="L5:L77" si="6">+K5*L$3</f>
        <v>1160.4111966562502</v>
      </c>
      <c r="M5" s="24">
        <f t="shared" ref="M5:M77" si="7">+K5+L5</f>
        <v>4676.8087622812509</v>
      </c>
      <c r="N5" s="24">
        <f t="shared" ref="N5:N77" si="8">+M5*N$3</f>
        <v>1870.7235049125004</v>
      </c>
      <c r="O5" s="25">
        <f t="shared" ref="O5:O77" si="9">+M5+N5</f>
        <v>6547.5322671937511</v>
      </c>
      <c r="P5" s="185">
        <f t="shared" si="1"/>
        <v>0</v>
      </c>
      <c r="Q5" s="25">
        <v>52310.046430785129</v>
      </c>
      <c r="S5"/>
      <c r="T5"/>
      <c r="U5"/>
      <c r="V5"/>
      <c r="W5"/>
      <c r="X5"/>
      <c r="AI5">
        <v>43529.132231404961</v>
      </c>
      <c r="AJ5">
        <f t="shared" ref="AJ5:AJ77" si="10">+(H5-AI5)/AI5</f>
        <v>0.20172500000000004</v>
      </c>
      <c r="AN5" s="26">
        <v>100021631</v>
      </c>
      <c r="AO5" s="24">
        <v>61058.554772727264</v>
      </c>
    </row>
    <row r="6" spans="1:41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f t="shared" si="0"/>
        <v>61058.554772727264</v>
      </c>
      <c r="G6" s="23"/>
      <c r="H6" s="24">
        <f t="shared" si="2"/>
        <v>61058.554772727264</v>
      </c>
      <c r="I6" s="24">
        <f t="shared" si="3"/>
        <v>7632.319346590908</v>
      </c>
      <c r="J6" s="24">
        <f t="shared" si="4"/>
        <v>1602.7870627840907</v>
      </c>
      <c r="K6" s="24">
        <f t="shared" si="5"/>
        <v>9235.1064093749992</v>
      </c>
      <c r="L6" s="24">
        <f t="shared" si="6"/>
        <v>3047.5851150937497</v>
      </c>
      <c r="M6" s="24">
        <f t="shared" si="7"/>
        <v>12282.691524468748</v>
      </c>
      <c r="N6" s="24">
        <f t="shared" si="8"/>
        <v>4913.0766097874994</v>
      </c>
      <c r="O6" s="25">
        <f t="shared" si="9"/>
        <v>17195.768134256246</v>
      </c>
      <c r="P6" s="185">
        <f t="shared" si="1"/>
        <v>0</v>
      </c>
      <c r="Q6" s="25">
        <v>61058.554772727264</v>
      </c>
      <c r="S6"/>
      <c r="T6"/>
      <c r="U6"/>
      <c r="V6"/>
      <c r="W6"/>
      <c r="X6"/>
      <c r="Y6">
        <f>+O4*0.9</f>
        <v>2609.4530510027121</v>
      </c>
      <c r="AI6">
        <v>69881.187837955047</v>
      </c>
      <c r="AJ6">
        <f t="shared" si="10"/>
        <v>-0.12625190467120087</v>
      </c>
      <c r="AN6" s="26">
        <v>100021630</v>
      </c>
      <c r="AO6" s="24">
        <v>74716.389392942583</v>
      </c>
    </row>
    <row r="7" spans="1:41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f t="shared" si="0"/>
        <v>74716.389392942583</v>
      </c>
      <c r="G7" s="23"/>
      <c r="H7" s="24">
        <f t="shared" si="2"/>
        <v>74716.389392942583</v>
      </c>
      <c r="I7" s="24">
        <f t="shared" si="3"/>
        <v>12452.731565490431</v>
      </c>
      <c r="J7" s="24">
        <f t="shared" si="4"/>
        <v>2615.0736287529903</v>
      </c>
      <c r="K7" s="24">
        <f t="shared" si="5"/>
        <v>15067.805194243421</v>
      </c>
      <c r="L7" s="24">
        <f t="shared" si="6"/>
        <v>4972.3757141003289</v>
      </c>
      <c r="M7" s="24">
        <f t="shared" si="7"/>
        <v>20040.180908343751</v>
      </c>
      <c r="N7" s="24">
        <f t="shared" si="8"/>
        <v>8016.072363337501</v>
      </c>
      <c r="O7" s="25">
        <f t="shared" si="9"/>
        <v>28056.253271681253</v>
      </c>
      <c r="P7" s="185">
        <f t="shared" si="1"/>
        <v>0</v>
      </c>
      <c r="Q7" s="25">
        <v>74716.389392942583</v>
      </c>
      <c r="S7"/>
      <c r="T7"/>
      <c r="U7"/>
      <c r="V7"/>
      <c r="W7"/>
      <c r="X7"/>
      <c r="AI7">
        <v>87351.484797443889</v>
      </c>
      <c r="AJ7">
        <f t="shared" si="10"/>
        <v>-0.14464660141496574</v>
      </c>
      <c r="AN7" s="27">
        <v>100021653</v>
      </c>
      <c r="AO7" s="24">
        <v>53024.534407894738</v>
      </c>
    </row>
    <row r="8" spans="1:41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f t="shared" si="0"/>
        <v>53024.534407894738</v>
      </c>
      <c r="G8" s="23"/>
      <c r="H8" s="24">
        <f t="shared" si="2"/>
        <v>53024.534407894738</v>
      </c>
      <c r="I8" s="24">
        <f t="shared" si="3"/>
        <v>2945.8074671052632</v>
      </c>
      <c r="J8" s="24">
        <f t="shared" si="4"/>
        <v>618.61956809210528</v>
      </c>
      <c r="K8" s="24">
        <f t="shared" si="5"/>
        <v>3564.4270351973682</v>
      </c>
      <c r="L8" s="24">
        <f t="shared" si="6"/>
        <v>1176.2609216151316</v>
      </c>
      <c r="M8" s="24">
        <f t="shared" si="7"/>
        <v>4740.6879568124996</v>
      </c>
      <c r="N8" s="24">
        <f t="shared" si="8"/>
        <v>1896.2751827249999</v>
      </c>
      <c r="O8" s="25">
        <f t="shared" si="9"/>
        <v>6636.9631395375</v>
      </c>
      <c r="P8" s="185">
        <f t="shared" si="1"/>
        <v>0</v>
      </c>
      <c r="Q8" s="25">
        <v>53024.534407894738</v>
      </c>
      <c r="S8"/>
      <c r="T8"/>
      <c r="U8"/>
      <c r="V8"/>
      <c r="W8"/>
      <c r="X8"/>
      <c r="AI8">
        <v>52653.640061874699</v>
      </c>
      <c r="AJ8">
        <f t="shared" si="10"/>
        <v>7.0440399862989733E-3</v>
      </c>
      <c r="AN8" s="27">
        <v>100516169</v>
      </c>
      <c r="AO8" s="24">
        <v>43213.191997500013</v>
      </c>
    </row>
    <row r="9" spans="1:41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f t="shared" si="0"/>
        <v>43213.191997500013</v>
      </c>
      <c r="G9" s="23"/>
      <c r="H9" s="24">
        <f t="shared" si="2"/>
        <v>43213.191997500013</v>
      </c>
      <c r="I9" s="24">
        <f t="shared" si="3"/>
        <v>2400.7328887500007</v>
      </c>
      <c r="J9" s="24">
        <f t="shared" si="4"/>
        <v>504.15390663750014</v>
      </c>
      <c r="K9" s="24">
        <f t="shared" si="5"/>
        <v>2904.886795387501</v>
      </c>
      <c r="L9" s="24">
        <f t="shared" si="6"/>
        <v>958.6126424778754</v>
      </c>
      <c r="M9" s="24">
        <f t="shared" si="7"/>
        <v>3863.4994378653764</v>
      </c>
      <c r="N9" s="24">
        <f t="shared" si="8"/>
        <v>1545.3997751461507</v>
      </c>
      <c r="O9" s="25">
        <f t="shared" si="9"/>
        <v>5408.8992130115275</v>
      </c>
      <c r="P9" s="185">
        <f t="shared" si="1"/>
        <v>0</v>
      </c>
      <c r="Q9" s="25">
        <v>43213.191997500013</v>
      </c>
      <c r="S9"/>
      <c r="T9"/>
      <c r="U9"/>
      <c r="V9"/>
      <c r="W9"/>
      <c r="X9"/>
      <c r="AI9">
        <v>41155.420950000007</v>
      </c>
      <c r="AJ9">
        <f t="shared" si="10"/>
        <v>5.0000000000000135E-2</v>
      </c>
      <c r="AN9" s="211">
        <v>100520337</v>
      </c>
      <c r="AO9" s="24">
        <v>28412.978468899521</v>
      </c>
    </row>
    <row r="10" spans="1:41" x14ac:dyDescent="0.35">
      <c r="A10" s="84">
        <v>100520337</v>
      </c>
      <c r="B10" s="98" t="s">
        <v>20</v>
      </c>
      <c r="C10" s="99">
        <v>7790360977960</v>
      </c>
      <c r="D10" s="100">
        <v>4.8</v>
      </c>
      <c r="E10" s="101">
        <v>30</v>
      </c>
      <c r="F10" s="85">
        <f t="shared" si="0"/>
        <v>28412.978468899521</v>
      </c>
      <c r="G10" s="101"/>
      <c r="H10" s="85">
        <f t="shared" si="2"/>
        <v>28412.978468899521</v>
      </c>
      <c r="I10" s="85">
        <f>+H10/E10</f>
        <v>947.0992822966507</v>
      </c>
      <c r="J10" s="85">
        <f>+I10*J$3</f>
        <v>198.89084928229664</v>
      </c>
      <c r="K10" s="85">
        <f>+I10+J10</f>
        <v>1145.9901315789473</v>
      </c>
      <c r="L10" s="85">
        <f>+K10*0.309</f>
        <v>354.1109506578947</v>
      </c>
      <c r="M10" s="85">
        <f>+K10+L10</f>
        <v>1500.1010822368421</v>
      </c>
      <c r="N10" s="85">
        <f>+M10*N$3</f>
        <v>600.04043289473691</v>
      </c>
      <c r="O10" s="102">
        <f>+M10+N10</f>
        <v>2100.1415151315791</v>
      </c>
      <c r="P10" s="185">
        <f t="shared" si="1"/>
        <v>0.12491964859652893</v>
      </c>
      <c r="Q10" s="25">
        <v>25257.784859876963</v>
      </c>
      <c r="S10" s="192" t="s">
        <v>198</v>
      </c>
      <c r="T10"/>
      <c r="U10"/>
      <c r="V10"/>
      <c r="W10"/>
      <c r="X10"/>
      <c r="AI10">
        <v>27059.979494190018</v>
      </c>
      <c r="AJ10">
        <f t="shared" si="10"/>
        <v>5.0000000000000051E-2</v>
      </c>
      <c r="AN10" s="212">
        <v>100021503</v>
      </c>
      <c r="AO10" s="24">
        <v>22877.7656046107</v>
      </c>
    </row>
    <row r="11" spans="1:41" x14ac:dyDescent="0.35">
      <c r="A11" s="84">
        <v>100021503</v>
      </c>
      <c r="B11" s="98" t="s">
        <v>21</v>
      </c>
      <c r="C11" s="99">
        <v>7790360966841</v>
      </c>
      <c r="D11" s="100">
        <v>3.3119999999999998</v>
      </c>
      <c r="E11" s="101">
        <v>12</v>
      </c>
      <c r="F11" s="85">
        <f t="shared" si="0"/>
        <v>22877.7656046107</v>
      </c>
      <c r="G11" s="196">
        <v>8.3333333333333301E-2</v>
      </c>
      <c r="H11" s="85">
        <f t="shared" si="2"/>
        <v>20971.285137559811</v>
      </c>
      <c r="I11" s="85">
        <f t="shared" si="3"/>
        <v>1747.6070947966509</v>
      </c>
      <c r="J11" s="85">
        <f t="shared" si="4"/>
        <v>366.99748990729665</v>
      </c>
      <c r="K11" s="85">
        <f t="shared" si="5"/>
        <v>2114.6045847039477</v>
      </c>
      <c r="L11" s="85">
        <f t="shared" si="6"/>
        <v>697.81951295230272</v>
      </c>
      <c r="M11" s="85">
        <f t="shared" si="7"/>
        <v>2812.4240976562505</v>
      </c>
      <c r="N11" s="85">
        <f t="shared" si="8"/>
        <v>1124.9696390625002</v>
      </c>
      <c r="O11" s="102">
        <f t="shared" si="9"/>
        <v>3937.3937367187509</v>
      </c>
      <c r="P11" s="185">
        <f t="shared" si="1"/>
        <v>0.10044017607042832</v>
      </c>
      <c r="Q11" s="25">
        <v>19057.178748640712</v>
      </c>
      <c r="S11" t="s">
        <v>179</v>
      </c>
      <c r="T11"/>
      <c r="U11"/>
      <c r="V11"/>
      <c r="W11"/>
      <c r="X11"/>
      <c r="AI11">
        <v>18946.389734667249</v>
      </c>
      <c r="AJ11">
        <f t="shared" si="10"/>
        <v>0.10687499999999998</v>
      </c>
      <c r="AN11" s="27">
        <v>100516201</v>
      </c>
      <c r="AO11" s="24">
        <v>45177.910386183037</v>
      </c>
    </row>
    <row r="12" spans="1:41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f t="shared" si="0"/>
        <v>45177.910386183037</v>
      </c>
      <c r="G12" s="197"/>
      <c r="H12" s="24">
        <f t="shared" si="2"/>
        <v>45177.910386183037</v>
      </c>
      <c r="I12" s="24">
        <f t="shared" si="3"/>
        <v>5647.2387982728796</v>
      </c>
      <c r="J12" s="24">
        <f t="shared" si="4"/>
        <v>1185.9201476373046</v>
      </c>
      <c r="K12" s="24">
        <f t="shared" si="5"/>
        <v>6833.1589459101842</v>
      </c>
      <c r="L12" s="24">
        <f t="shared" si="6"/>
        <v>2254.9424521503611</v>
      </c>
      <c r="M12" s="24">
        <f t="shared" si="7"/>
        <v>9088.1013980605458</v>
      </c>
      <c r="N12" s="24">
        <f t="shared" si="8"/>
        <v>3635.2405592242185</v>
      </c>
      <c r="O12" s="25">
        <f t="shared" si="9"/>
        <v>12723.341957284763</v>
      </c>
      <c r="P12" s="185">
        <f t="shared" si="1"/>
        <v>0</v>
      </c>
      <c r="Q12" s="25">
        <v>45177.910386183037</v>
      </c>
      <c r="S12" s="193"/>
      <c r="T12"/>
      <c r="U12"/>
      <c r="V12"/>
      <c r="W12"/>
      <c r="X12"/>
      <c r="AI12">
        <v>43026.581320174322</v>
      </c>
      <c r="AJ12">
        <f t="shared" si="10"/>
        <v>4.9999999999999975E-2</v>
      </c>
      <c r="AN12" s="212">
        <v>100021643</v>
      </c>
      <c r="AO12" s="24">
        <v>25320.57416267943</v>
      </c>
    </row>
    <row r="13" spans="1:41" x14ac:dyDescent="0.35">
      <c r="A13" s="27">
        <v>100021643</v>
      </c>
      <c r="B13" s="28" t="s">
        <v>23</v>
      </c>
      <c r="C13" s="21">
        <v>7790360966797</v>
      </c>
      <c r="D13" s="22">
        <v>4.7039999999999997</v>
      </c>
      <c r="E13" s="23">
        <v>42</v>
      </c>
      <c r="F13" s="24">
        <f t="shared" si="0"/>
        <v>25320.57416267943</v>
      </c>
      <c r="G13" s="23"/>
      <c r="H13" s="24">
        <f t="shared" si="2"/>
        <v>25320.57416267943</v>
      </c>
      <c r="I13" s="24">
        <f t="shared" si="3"/>
        <v>602.87081339712927</v>
      </c>
      <c r="J13" s="24">
        <f t="shared" si="4"/>
        <v>126.60287081339715</v>
      </c>
      <c r="K13" s="24">
        <f t="shared" si="5"/>
        <v>729.47368421052647</v>
      </c>
      <c r="L13" s="24">
        <f t="shared" si="6"/>
        <v>240.72631578947374</v>
      </c>
      <c r="M13" s="24">
        <f t="shared" si="7"/>
        <v>970.20000000000027</v>
      </c>
      <c r="N13" s="24">
        <f t="shared" si="8"/>
        <v>388.08000000000015</v>
      </c>
      <c r="O13" s="25">
        <f t="shared" si="9"/>
        <v>1358.2800000000004</v>
      </c>
      <c r="P13" s="185">
        <f t="shared" si="1"/>
        <v>0</v>
      </c>
      <c r="Q13" s="25">
        <v>25320.57416267943</v>
      </c>
      <c r="S13" s="193"/>
      <c r="T13"/>
      <c r="U13"/>
      <c r="V13"/>
      <c r="W13"/>
      <c r="X13"/>
      <c r="AI13">
        <v>19573.727707698999</v>
      </c>
      <c r="AJ13">
        <f t="shared" si="10"/>
        <v>0.29360000000000019</v>
      </c>
      <c r="AN13" s="27">
        <v>100516325</v>
      </c>
      <c r="AO13" s="24">
        <v>27224.601650108631</v>
      </c>
    </row>
    <row r="14" spans="1:41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f t="shared" si="0"/>
        <v>27224.601650108631</v>
      </c>
      <c r="G14" s="23"/>
      <c r="H14" s="24">
        <f t="shared" si="2"/>
        <v>27224.601650108631</v>
      </c>
      <c r="I14" s="24">
        <f t="shared" si="3"/>
        <v>1296.4096023861252</v>
      </c>
      <c r="J14" s="24">
        <f t="shared" si="4"/>
        <v>272.24601650108627</v>
      </c>
      <c r="K14" s="24">
        <f t="shared" si="5"/>
        <v>1568.6556188872114</v>
      </c>
      <c r="L14" s="24">
        <f t="shared" si="6"/>
        <v>517.65635423277979</v>
      </c>
      <c r="M14" s="24">
        <f t="shared" si="7"/>
        <v>2086.3119731199913</v>
      </c>
      <c r="N14" s="24">
        <f t="shared" si="8"/>
        <v>834.52478924799652</v>
      </c>
      <c r="O14" s="25">
        <f t="shared" si="9"/>
        <v>2920.8367623679878</v>
      </c>
      <c r="P14" s="185">
        <f t="shared" si="1"/>
        <v>0</v>
      </c>
      <c r="Q14" s="25">
        <v>27224.601650108631</v>
      </c>
      <c r="S14" s="193"/>
      <c r="T14"/>
      <c r="U14"/>
      <c r="V14"/>
      <c r="W14"/>
      <c r="X14"/>
      <c r="AI14">
        <v>25928.192047722503</v>
      </c>
      <c r="AJ14">
        <f t="shared" si="10"/>
        <v>5.0000000000000093E-2</v>
      </c>
      <c r="AN14" s="212">
        <v>100021676</v>
      </c>
      <c r="AO14" s="24">
        <v>64129.004050674208</v>
      </c>
    </row>
    <row r="15" spans="1:41" x14ac:dyDescent="0.35">
      <c r="A15" s="27">
        <v>100021676</v>
      </c>
      <c r="B15" s="28" t="s">
        <v>25</v>
      </c>
      <c r="C15" s="21">
        <v>7790360967411</v>
      </c>
      <c r="D15" s="22">
        <v>7.5</v>
      </c>
      <c r="E15" s="23">
        <v>30</v>
      </c>
      <c r="F15" s="24">
        <f t="shared" si="0"/>
        <v>64129.004050674208</v>
      </c>
      <c r="G15" s="143"/>
      <c r="H15" s="24">
        <f t="shared" si="2"/>
        <v>64129.004050674208</v>
      </c>
      <c r="I15" s="24">
        <f t="shared" si="3"/>
        <v>2137.6334683558071</v>
      </c>
      <c r="J15" s="24">
        <f t="shared" si="4"/>
        <v>448.90302835471948</v>
      </c>
      <c r="K15" s="24">
        <f t="shared" si="5"/>
        <v>2586.5364967105265</v>
      </c>
      <c r="L15" s="24">
        <f t="shared" si="6"/>
        <v>853.55704391447375</v>
      </c>
      <c r="M15" s="24">
        <f t="shared" si="7"/>
        <v>3440.0935406250001</v>
      </c>
      <c r="N15" s="24">
        <f t="shared" si="8"/>
        <v>1376.0374162500002</v>
      </c>
      <c r="O15" s="25">
        <f t="shared" si="9"/>
        <v>4816.1309568750003</v>
      </c>
      <c r="P15" s="185">
        <f t="shared" si="1"/>
        <v>0</v>
      </c>
      <c r="Q15" s="25">
        <v>64129.004050674208</v>
      </c>
      <c r="S15" s="193"/>
      <c r="T15"/>
      <c r="U15"/>
      <c r="V15"/>
      <c r="W15"/>
      <c r="X15"/>
      <c r="AI15">
        <v>53108.906046107011</v>
      </c>
      <c r="AJ15">
        <f t="shared" si="10"/>
        <v>0.20749999999999985</v>
      </c>
      <c r="AN15" s="212">
        <v>100516008</v>
      </c>
      <c r="AO15" s="24">
        <v>62722.09760430357</v>
      </c>
    </row>
    <row r="16" spans="1:41" x14ac:dyDescent="0.35">
      <c r="A16" s="84">
        <v>100516008</v>
      </c>
      <c r="B16" s="98" t="s">
        <v>26</v>
      </c>
      <c r="C16" s="99">
        <v>7790360967701</v>
      </c>
      <c r="D16" s="100">
        <v>5.76</v>
      </c>
      <c r="E16" s="101">
        <v>24</v>
      </c>
      <c r="F16" s="85">
        <f t="shared" si="0"/>
        <v>62722.09760430357</v>
      </c>
      <c r="G16" s="200">
        <v>9.0899999999999995E-2</v>
      </c>
      <c r="H16" s="85">
        <f t="shared" si="2"/>
        <v>57020.65893207238</v>
      </c>
      <c r="I16" s="85">
        <f t="shared" si="3"/>
        <v>2375.860788836349</v>
      </c>
      <c r="J16" s="85">
        <f t="shared" si="4"/>
        <v>498.93076565563325</v>
      </c>
      <c r="K16" s="85">
        <f t="shared" si="5"/>
        <v>2874.7915544919824</v>
      </c>
      <c r="L16" s="85">
        <f t="shared" si="6"/>
        <v>948.68121298235428</v>
      </c>
      <c r="M16" s="85">
        <f t="shared" si="7"/>
        <v>3823.4727674743367</v>
      </c>
      <c r="N16" s="85">
        <f t="shared" si="8"/>
        <v>1529.3891069897347</v>
      </c>
      <c r="O16" s="102">
        <f t="shared" si="9"/>
        <v>5352.8618744640717</v>
      </c>
      <c r="P16" s="185">
        <f t="shared" si="1"/>
        <v>0</v>
      </c>
      <c r="Q16" s="25">
        <v>57020.65893207238</v>
      </c>
      <c r="S16" s="192" t="s">
        <v>162</v>
      </c>
      <c r="T16"/>
      <c r="U16"/>
      <c r="V16"/>
      <c r="W16"/>
      <c r="X16"/>
      <c r="AI16">
        <v>56890.791477826358</v>
      </c>
      <c r="AJ16">
        <f t="shared" si="10"/>
        <v>2.2827500000002303E-3</v>
      </c>
      <c r="AN16" s="212">
        <v>100520834</v>
      </c>
      <c r="AO16" s="24">
        <v>61418.235190591615</v>
      </c>
    </row>
    <row r="17" spans="1:41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f t="shared" si="0"/>
        <v>61418.235190591615</v>
      </c>
      <c r="G17" s="191"/>
      <c r="H17" s="24">
        <f t="shared" si="2"/>
        <v>61418.235190591615</v>
      </c>
      <c r="I17" s="24">
        <f t="shared" si="3"/>
        <v>1706.0620886275449</v>
      </c>
      <c r="J17" s="24">
        <f t="shared" si="4"/>
        <v>358.27303861178439</v>
      </c>
      <c r="K17" s="24">
        <f t="shared" si="5"/>
        <v>2064.3351272393293</v>
      </c>
      <c r="L17" s="24">
        <f t="shared" si="6"/>
        <v>681.23059198897874</v>
      </c>
      <c r="M17" s="24">
        <f t="shared" si="7"/>
        <v>2745.5657192283079</v>
      </c>
      <c r="N17" s="24">
        <f t="shared" si="8"/>
        <v>1098.2262876913233</v>
      </c>
      <c r="O17" s="25">
        <f t="shared" si="9"/>
        <v>3843.7920069196311</v>
      </c>
      <c r="P17" s="185">
        <f t="shared" si="1"/>
        <v>0</v>
      </c>
      <c r="Q17" s="25">
        <v>61418.235190591615</v>
      </c>
      <c r="S17"/>
      <c r="T17"/>
      <c r="U17"/>
      <c r="V17"/>
      <c r="W17"/>
      <c r="X17"/>
      <c r="AI17">
        <v>55708.149832736155</v>
      </c>
      <c r="AJ17">
        <f t="shared" si="10"/>
        <v>0.10250000000000006</v>
      </c>
      <c r="AN17" s="212">
        <v>100021644</v>
      </c>
      <c r="AO17" s="24">
        <v>21516.282062937065</v>
      </c>
    </row>
    <row r="18" spans="1:41" hidden="1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 t="e">
        <f t="shared" si="0"/>
        <v>#N/A</v>
      </c>
      <c r="G18" s="195"/>
      <c r="H18" s="24" t="e">
        <f t="shared" si="2"/>
        <v>#N/A</v>
      </c>
      <c r="I18" s="24" t="e">
        <f t="shared" si="3"/>
        <v>#N/A</v>
      </c>
      <c r="J18" s="24" t="e">
        <f t="shared" si="4"/>
        <v>#N/A</v>
      </c>
      <c r="K18" s="24" t="e">
        <f t="shared" si="5"/>
        <v>#N/A</v>
      </c>
      <c r="L18" s="24" t="e">
        <f t="shared" si="6"/>
        <v>#N/A</v>
      </c>
      <c r="M18" s="24" t="e">
        <f t="shared" si="7"/>
        <v>#N/A</v>
      </c>
      <c r="N18" s="24" t="e">
        <f t="shared" si="8"/>
        <v>#N/A</v>
      </c>
      <c r="O18" s="25" t="e">
        <f t="shared" si="9"/>
        <v>#N/A</v>
      </c>
      <c r="P18" s="185" t="e">
        <f t="shared" si="1"/>
        <v>#N/A</v>
      </c>
      <c r="Q18" s="25">
        <v>48105.264240039098</v>
      </c>
      <c r="S18"/>
      <c r="T18"/>
      <c r="U18"/>
      <c r="V18"/>
      <c r="W18"/>
      <c r="X18"/>
      <c r="AI18">
        <v>45814.537371465805</v>
      </c>
      <c r="AJ18" t="e">
        <f t="shared" si="10"/>
        <v>#N/A</v>
      </c>
      <c r="AN18" s="212">
        <v>100021677</v>
      </c>
      <c r="AO18" s="24">
        <v>16253.297416830897</v>
      </c>
    </row>
    <row r="19" spans="1:41" x14ac:dyDescent="0.35">
      <c r="A19" s="84">
        <v>100021644</v>
      </c>
      <c r="B19" s="98" t="s">
        <v>29</v>
      </c>
      <c r="C19" s="99">
        <v>7790360008541</v>
      </c>
      <c r="D19" s="100">
        <v>4.7039999999999997</v>
      </c>
      <c r="E19" s="101">
        <v>42</v>
      </c>
      <c r="F19" s="85">
        <f t="shared" si="0"/>
        <v>21516.282062937065</v>
      </c>
      <c r="G19" s="200">
        <v>0.1</v>
      </c>
      <c r="H19" s="85">
        <f t="shared" si="2"/>
        <v>19364.653856643359</v>
      </c>
      <c r="I19" s="85">
        <f t="shared" si="3"/>
        <v>461.06318706293712</v>
      </c>
      <c r="J19" s="85">
        <f t="shared" si="4"/>
        <v>96.823269283216788</v>
      </c>
      <c r="K19" s="85">
        <f t="shared" si="5"/>
        <v>557.88645634615386</v>
      </c>
      <c r="L19" s="85">
        <f>+K19*0.3</f>
        <v>167.36593690384615</v>
      </c>
      <c r="M19" s="85">
        <f t="shared" si="7"/>
        <v>725.25239325000007</v>
      </c>
      <c r="N19" s="85">
        <f>+M19*0.35</f>
        <v>253.83833763750002</v>
      </c>
      <c r="O19" s="102">
        <f t="shared" si="9"/>
        <v>979.09073088750006</v>
      </c>
      <c r="P19" s="185">
        <f t="shared" si="1"/>
        <v>-1.0570824524313016E-3</v>
      </c>
      <c r="Q19" s="25">
        <v>19385.145553846156</v>
      </c>
      <c r="S19" t="s">
        <v>199</v>
      </c>
      <c r="T19"/>
      <c r="U19"/>
      <c r="V19"/>
      <c r="W19"/>
      <c r="X19"/>
      <c r="AI19">
        <v>14418.308963763509</v>
      </c>
      <c r="AJ19">
        <f t="shared" si="10"/>
        <v>0.34305998750000016</v>
      </c>
      <c r="AN19" s="27">
        <v>100021638</v>
      </c>
      <c r="AO19" s="24">
        <v>49008.427147897281</v>
      </c>
    </row>
    <row r="20" spans="1:41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f t="shared" si="0"/>
        <v>16253.297416830897</v>
      </c>
      <c r="G20" s="23"/>
      <c r="H20" s="24">
        <f t="shared" si="2"/>
        <v>16253.297416830897</v>
      </c>
      <c r="I20" s="24">
        <f t="shared" si="3"/>
        <v>1354.4414514025748</v>
      </c>
      <c r="J20" s="24">
        <f t="shared" si="4"/>
        <v>284.43270479454071</v>
      </c>
      <c r="K20" s="24">
        <f t="shared" si="5"/>
        <v>1638.8741561971156</v>
      </c>
      <c r="L20" s="29">
        <f>+K20*0.3</f>
        <v>491.66224685913465</v>
      </c>
      <c r="M20" s="24">
        <f t="shared" si="7"/>
        <v>2130.53640305625</v>
      </c>
      <c r="N20" s="24">
        <f t="shared" si="8"/>
        <v>852.21456122250004</v>
      </c>
      <c r="O20" s="25">
        <f t="shared" si="9"/>
        <v>2982.75096427875</v>
      </c>
      <c r="P20" s="185">
        <f t="shared" si="1"/>
        <v>5.0000000000000044E-2</v>
      </c>
      <c r="Q20" s="25">
        <v>15479.330873172283</v>
      </c>
      <c r="S20"/>
      <c r="T20"/>
      <c r="U20"/>
      <c r="V20"/>
      <c r="W20"/>
      <c r="X20"/>
      <c r="AI20">
        <v>13777.775588048315</v>
      </c>
      <c r="AJ20">
        <f t="shared" si="10"/>
        <v>0.17967500000000014</v>
      </c>
      <c r="AN20" s="27">
        <v>100021575</v>
      </c>
      <c r="AO20" s="24">
        <v>39802.191387651481</v>
      </c>
    </row>
    <row r="21" spans="1:41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f t="shared" si="0"/>
        <v>49008.427147897281</v>
      </c>
      <c r="G21" s="23"/>
      <c r="H21" s="24">
        <f t="shared" si="2"/>
        <v>49008.427147897281</v>
      </c>
      <c r="I21" s="24">
        <f t="shared" si="3"/>
        <v>816.80711913162133</v>
      </c>
      <c r="J21" s="24">
        <f t="shared" si="4"/>
        <v>171.52949501764047</v>
      </c>
      <c r="K21" s="24">
        <f t="shared" si="5"/>
        <v>988.33661414926178</v>
      </c>
      <c r="L21" s="24">
        <f t="shared" si="6"/>
        <v>326.15108266925643</v>
      </c>
      <c r="M21" s="24">
        <f t="shared" si="7"/>
        <v>1314.4876968185181</v>
      </c>
      <c r="N21" s="24">
        <f t="shared" si="8"/>
        <v>525.79507872740726</v>
      </c>
      <c r="O21" s="25">
        <f t="shared" si="9"/>
        <v>1840.2827755459252</v>
      </c>
      <c r="P21" s="185">
        <f t="shared" si="1"/>
        <v>0</v>
      </c>
      <c r="Q21" s="25">
        <v>49008.427147897281</v>
      </c>
      <c r="S21"/>
      <c r="T21"/>
      <c r="U21"/>
      <c r="V21"/>
      <c r="W21"/>
      <c r="X21"/>
      <c r="AI21">
        <v>44452.088116006598</v>
      </c>
      <c r="AJ21">
        <f t="shared" si="10"/>
        <v>0.10250000000000013</v>
      </c>
      <c r="AN21" s="27">
        <v>100021514</v>
      </c>
      <c r="AO21" s="24">
        <v>36576.949596901701</v>
      </c>
    </row>
    <row r="22" spans="1:41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f t="shared" si="0"/>
        <v>39802.191387651481</v>
      </c>
      <c r="G22" s="23"/>
      <c r="H22" s="24">
        <f t="shared" si="2"/>
        <v>39802.191387651481</v>
      </c>
      <c r="I22" s="24">
        <f t="shared" si="3"/>
        <v>663.36985646085805</v>
      </c>
      <c r="J22" s="24">
        <f t="shared" si="4"/>
        <v>139.30766985678019</v>
      </c>
      <c r="K22" s="24">
        <f t="shared" si="5"/>
        <v>802.67752631763824</v>
      </c>
      <c r="L22" s="24">
        <f t="shared" si="6"/>
        <v>264.88358368482062</v>
      </c>
      <c r="M22" s="24">
        <f t="shared" si="7"/>
        <v>1067.5611100024589</v>
      </c>
      <c r="N22" s="24">
        <f t="shared" si="8"/>
        <v>427.02444400098358</v>
      </c>
      <c r="O22" s="25">
        <f t="shared" si="9"/>
        <v>1494.5855540034424</v>
      </c>
      <c r="P22" s="185">
        <f t="shared" si="1"/>
        <v>0</v>
      </c>
      <c r="Q22" s="25">
        <v>39802.191387651481</v>
      </c>
      <c r="S22"/>
      <c r="T22"/>
      <c r="U22"/>
      <c r="V22"/>
      <c r="W22"/>
      <c r="X22"/>
      <c r="Z22">
        <v>7732.76</v>
      </c>
      <c r="AI22">
        <v>36101.760895829</v>
      </c>
      <c r="AJ22">
        <f t="shared" si="10"/>
        <v>0.10250000000000023</v>
      </c>
      <c r="AN22" s="26">
        <v>100516208</v>
      </c>
      <c r="AO22" s="24">
        <v>41975.344365513236</v>
      </c>
    </row>
    <row r="23" spans="1:41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f t="shared" si="0"/>
        <v>36576.949596901701</v>
      </c>
      <c r="G23" s="23"/>
      <c r="H23" s="24">
        <f t="shared" si="2"/>
        <v>36576.949596901701</v>
      </c>
      <c r="I23" s="24">
        <f t="shared" si="3"/>
        <v>609.61582661502837</v>
      </c>
      <c r="J23" s="24">
        <f t="shared" si="4"/>
        <v>128.01932358915596</v>
      </c>
      <c r="K23" s="24">
        <f t="shared" si="5"/>
        <v>737.63515020418436</v>
      </c>
      <c r="L23" s="24">
        <f t="shared" si="6"/>
        <v>243.41959956738086</v>
      </c>
      <c r="M23" s="24">
        <f t="shared" si="7"/>
        <v>981.05474977156518</v>
      </c>
      <c r="N23" s="24">
        <f t="shared" si="8"/>
        <v>392.42189990862607</v>
      </c>
      <c r="O23" s="25">
        <f t="shared" si="9"/>
        <v>1373.4766496801913</v>
      </c>
      <c r="P23" s="185">
        <f t="shared" si="1"/>
        <v>0</v>
      </c>
      <c r="Q23" s="25">
        <v>36576.949596901701</v>
      </c>
      <c r="S23"/>
      <c r="T23"/>
      <c r="U23"/>
      <c r="V23"/>
      <c r="W23"/>
      <c r="X23"/>
      <c r="Z23">
        <f>+Z22*8640</f>
        <v>66811046.399999999</v>
      </c>
      <c r="AI23">
        <v>33176.371516464125</v>
      </c>
      <c r="AJ23">
        <f t="shared" si="10"/>
        <v>0.10250000000000008</v>
      </c>
      <c r="AN23" s="27">
        <v>100518346</v>
      </c>
      <c r="AO23" s="24">
        <v>57727.077643076394</v>
      </c>
    </row>
    <row r="24" spans="1:41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f t="shared" si="0"/>
        <v>41975.344365513236</v>
      </c>
      <c r="G24" s="23"/>
      <c r="H24" s="24">
        <f t="shared" si="2"/>
        <v>41975.344365513236</v>
      </c>
      <c r="I24" s="24">
        <f t="shared" si="3"/>
        <v>699.58907275855393</v>
      </c>
      <c r="J24" s="24">
        <f t="shared" si="4"/>
        <v>146.91370527929632</v>
      </c>
      <c r="K24" s="24">
        <f t="shared" si="5"/>
        <v>846.50277803785025</v>
      </c>
      <c r="L24" s="24">
        <f t="shared" si="6"/>
        <v>279.34591675249061</v>
      </c>
      <c r="M24" s="24">
        <f t="shared" si="7"/>
        <v>1125.8486947903409</v>
      </c>
      <c r="N24" s="24">
        <f t="shared" si="8"/>
        <v>450.33947791613639</v>
      </c>
      <c r="O24" s="25">
        <f t="shared" si="9"/>
        <v>1576.1881727064774</v>
      </c>
      <c r="P24" s="185">
        <f t="shared" si="1"/>
        <v>0</v>
      </c>
      <c r="Q24" s="25">
        <v>41975.344365513236</v>
      </c>
      <c r="S24"/>
      <c r="T24"/>
      <c r="U24"/>
      <c r="V24"/>
      <c r="W24"/>
      <c r="X24"/>
      <c r="Z24" s="120">
        <f>+Z23/2</f>
        <v>33405523.199999999</v>
      </c>
      <c r="AI24">
        <v>38072.874707948511</v>
      </c>
      <c r="AJ24">
        <f t="shared" si="10"/>
        <v>0.10250000000000006</v>
      </c>
      <c r="AN24" s="27">
        <v>100516259</v>
      </c>
      <c r="AO24" s="24">
        <v>135947.63118772671</v>
      </c>
    </row>
    <row r="25" spans="1:41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f t="shared" si="0"/>
        <v>57727.077643076394</v>
      </c>
      <c r="G25" s="23"/>
      <c r="H25" s="24">
        <f t="shared" si="2"/>
        <v>57727.077643076394</v>
      </c>
      <c r="I25" s="24">
        <f t="shared" si="3"/>
        <v>962.11796071793992</v>
      </c>
      <c r="J25" s="24">
        <f>I25*J3</f>
        <v>202.04477175076738</v>
      </c>
      <c r="K25" s="24">
        <f>J25+I25</f>
        <v>1164.1627324687074</v>
      </c>
      <c r="L25" s="24">
        <f>K25*L3</f>
        <v>384.17370171467348</v>
      </c>
      <c r="M25" s="24">
        <f>L25+K25</f>
        <v>1548.3364341833808</v>
      </c>
      <c r="N25" s="24">
        <f>M25*N3</f>
        <v>619.33457367335234</v>
      </c>
      <c r="O25" s="25">
        <f>N25+M25</f>
        <v>2167.671007856733</v>
      </c>
      <c r="P25" s="185">
        <f t="shared" si="1"/>
        <v>0</v>
      </c>
      <c r="Q25" s="25">
        <v>57727.077643076394</v>
      </c>
      <c r="S25"/>
      <c r="T25"/>
      <c r="U25"/>
      <c r="V25"/>
      <c r="W25"/>
      <c r="X25"/>
      <c r="AI25">
        <v>52360.16112750693</v>
      </c>
      <c r="AJ25">
        <f t="shared" si="10"/>
        <v>0.10250000000000008</v>
      </c>
      <c r="AN25" s="27">
        <v>100518095</v>
      </c>
      <c r="AO25" s="24">
        <v>64509.932015884107</v>
      </c>
    </row>
    <row r="26" spans="1:41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f t="shared" si="0"/>
        <v>135947.63118772671</v>
      </c>
      <c r="G26" s="23"/>
      <c r="H26" s="24">
        <f t="shared" si="2"/>
        <v>135947.63118772671</v>
      </c>
      <c r="I26" s="24">
        <f t="shared" si="3"/>
        <v>2832.2423164109732</v>
      </c>
      <c r="J26" s="24">
        <f t="shared" si="4"/>
        <v>594.7708864463043</v>
      </c>
      <c r="K26" s="24">
        <f t="shared" si="5"/>
        <v>3427.0132028572775</v>
      </c>
      <c r="L26" s="24">
        <f t="shared" si="6"/>
        <v>1130.9143569429016</v>
      </c>
      <c r="M26" s="24">
        <f t="shared" si="7"/>
        <v>4557.9275598001786</v>
      </c>
      <c r="N26" s="24">
        <f t="shared" si="8"/>
        <v>1823.1710239200715</v>
      </c>
      <c r="O26" s="25">
        <f t="shared" si="9"/>
        <v>6381.0985837202497</v>
      </c>
      <c r="P26" s="185">
        <f t="shared" si="1"/>
        <v>0</v>
      </c>
      <c r="Q26" s="25">
        <v>135947.63118772671</v>
      </c>
      <c r="S26"/>
      <c r="T26"/>
      <c r="U26"/>
      <c r="V26"/>
      <c r="W26"/>
      <c r="X26"/>
      <c r="AI26">
        <v>123308.50901381108</v>
      </c>
      <c r="AJ26">
        <f t="shared" si="10"/>
        <v>0.10249999999999997</v>
      </c>
      <c r="AN26" s="27">
        <v>100518223</v>
      </c>
      <c r="AO26" s="24">
        <v>50224.567183273248</v>
      </c>
    </row>
    <row r="27" spans="1:41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f t="shared" si="0"/>
        <v>64509.932015884107</v>
      </c>
      <c r="G27" s="23"/>
      <c r="H27" s="24">
        <f t="shared" si="2"/>
        <v>64509.932015884107</v>
      </c>
      <c r="I27" s="24">
        <f t="shared" si="3"/>
        <v>1791.9425559967808</v>
      </c>
      <c r="J27" s="24">
        <f>+I27*J$3</f>
        <v>376.30793675932398</v>
      </c>
      <c r="K27" s="24">
        <f>+I27+J27</f>
        <v>2168.2504927561049</v>
      </c>
      <c r="L27" s="24">
        <f>+K27*L$3</f>
        <v>715.52266260951467</v>
      </c>
      <c r="M27" s="24">
        <f>+K27+L27</f>
        <v>2883.7731553656195</v>
      </c>
      <c r="N27" s="24">
        <f>+M27*N$3</f>
        <v>1153.5092621462479</v>
      </c>
      <c r="O27" s="25">
        <f>+M27+N27</f>
        <v>4037.2824175118676</v>
      </c>
      <c r="P27" s="185">
        <f t="shared" si="1"/>
        <v>0</v>
      </c>
      <c r="Q27" s="25">
        <v>64509.932015884107</v>
      </c>
      <c r="S27"/>
      <c r="T27"/>
      <c r="U27"/>
      <c r="V27"/>
      <c r="W27"/>
      <c r="X27"/>
      <c r="Z27" s="77"/>
      <c r="AI27">
        <v>58512.409991731613</v>
      </c>
      <c r="AJ27">
        <f t="shared" si="10"/>
        <v>0.10250000000000008</v>
      </c>
      <c r="AN27" s="32"/>
      <c r="AO27" s="36" t="s">
        <v>171</v>
      </c>
    </row>
    <row r="28" spans="1:41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f t="shared" si="0"/>
        <v>50224.567183273248</v>
      </c>
      <c r="G28" s="23"/>
      <c r="H28" s="24">
        <f t="shared" si="2"/>
        <v>50224.567183273248</v>
      </c>
      <c r="I28" s="24">
        <f t="shared" si="3"/>
        <v>1674.1522394424417</v>
      </c>
      <c r="J28" s="24">
        <f>+I28*J$3</f>
        <v>351.57197028291273</v>
      </c>
      <c r="K28" s="24">
        <f>+I28+J28</f>
        <v>2025.7242097253543</v>
      </c>
      <c r="L28" s="24">
        <f>+K28*L$3</f>
        <v>668.48898920936699</v>
      </c>
      <c r="M28" s="24">
        <f>+K28+L28</f>
        <v>2694.2131989347213</v>
      </c>
      <c r="N28" s="24">
        <f>+M28*N$3</f>
        <v>1077.6852795738885</v>
      </c>
      <c r="O28" s="25">
        <f>+M28+N28</f>
        <v>3771.8984785086095</v>
      </c>
      <c r="P28" s="185">
        <f t="shared" si="1"/>
        <v>0</v>
      </c>
      <c r="Q28" s="25">
        <v>50224.567183273248</v>
      </c>
      <c r="S28"/>
      <c r="T28"/>
      <c r="U28"/>
      <c r="V28"/>
      <c r="W28"/>
      <c r="X28"/>
      <c r="AI28">
        <v>45555.162978025619</v>
      </c>
      <c r="AJ28">
        <f t="shared" si="10"/>
        <v>0.10250000000000006</v>
      </c>
      <c r="AN28" s="27">
        <v>100522204</v>
      </c>
      <c r="AO28" s="24">
        <v>26630.922051291152</v>
      </c>
    </row>
    <row r="29" spans="1:41" x14ac:dyDescent="0.35">
      <c r="A29" s="32"/>
      <c r="B29" s="33"/>
      <c r="C29" s="34"/>
      <c r="D29" s="33"/>
      <c r="E29" s="35"/>
      <c r="F29" s="36" t="e">
        <f t="shared" si="0"/>
        <v>#N/A</v>
      </c>
      <c r="G29" s="35"/>
      <c r="H29" s="36" t="e">
        <f t="shared" si="2"/>
        <v>#N/A</v>
      </c>
      <c r="I29" s="37" t="e">
        <f t="shared" si="3"/>
        <v>#N/A</v>
      </c>
      <c r="J29" s="38"/>
      <c r="K29" s="37"/>
      <c r="L29" s="17"/>
      <c r="M29" s="16"/>
      <c r="N29" s="17"/>
      <c r="O29" s="39"/>
      <c r="P29" s="185" t="e">
        <f t="shared" si="1"/>
        <v>#N/A</v>
      </c>
      <c r="Q29" s="39" t="e">
        <v>#N/A</v>
      </c>
      <c r="S29"/>
      <c r="T29"/>
      <c r="U29"/>
      <c r="V29"/>
      <c r="W29"/>
      <c r="X29"/>
      <c r="Y29" t="s">
        <v>135</v>
      </c>
      <c r="Z29" t="s">
        <v>135</v>
      </c>
      <c r="AB29" t="s">
        <v>91</v>
      </c>
      <c r="AC29" t="s">
        <v>92</v>
      </c>
      <c r="AD29" t="s">
        <v>93</v>
      </c>
      <c r="AE29" t="s">
        <v>133</v>
      </c>
      <c r="AI29" t="e">
        <v>#N/A</v>
      </c>
      <c r="AJ29" t="e">
        <f t="shared" si="10"/>
        <v>#N/A</v>
      </c>
      <c r="AN29" s="27">
        <v>100522205</v>
      </c>
      <c r="AO29" s="24">
        <v>25299.3759487266</v>
      </c>
    </row>
    <row r="30" spans="1:41" hidden="1" x14ac:dyDescent="0.35">
      <c r="A30" s="84">
        <v>100022085</v>
      </c>
      <c r="B30" s="98" t="s">
        <v>39</v>
      </c>
      <c r="C30" s="99">
        <v>7790360000132</v>
      </c>
      <c r="D30" s="100">
        <v>5.4</v>
      </c>
      <c r="E30" s="101">
        <v>24</v>
      </c>
      <c r="F30" s="85" t="e">
        <f t="shared" si="0"/>
        <v>#N/A</v>
      </c>
      <c r="G30" s="117">
        <v>0.16666666666666666</v>
      </c>
      <c r="H30" s="85" t="e">
        <f t="shared" si="2"/>
        <v>#N/A</v>
      </c>
      <c r="I30" s="85" t="e">
        <f t="shared" si="3"/>
        <v>#N/A</v>
      </c>
      <c r="J30" s="85" t="e">
        <f t="shared" si="4"/>
        <v>#N/A</v>
      </c>
      <c r="K30" s="85" t="e">
        <f t="shared" si="5"/>
        <v>#N/A</v>
      </c>
      <c r="L30" s="85" t="e">
        <f>+K30*0.3</f>
        <v>#N/A</v>
      </c>
      <c r="M30" s="85" t="e">
        <f t="shared" si="7"/>
        <v>#N/A</v>
      </c>
      <c r="N30" s="85" t="e">
        <f>+M30*N$3</f>
        <v>#N/A</v>
      </c>
      <c r="O30" s="102" t="e">
        <f>+M30+N30</f>
        <v>#N/A</v>
      </c>
      <c r="P30" s="185" t="e">
        <f t="shared" si="1"/>
        <v>#N/A</v>
      </c>
      <c r="Q30" s="25">
        <v>24411.678547016891</v>
      </c>
      <c r="S30" s="1" t="s">
        <v>180</v>
      </c>
      <c r="T30"/>
      <c r="U30"/>
      <c r="V30"/>
      <c r="W30"/>
      <c r="X30"/>
      <c r="Y30">
        <v>1850</v>
      </c>
      <c r="Z30">
        <f>+Y30</f>
        <v>1850</v>
      </c>
      <c r="AB30" s="124">
        <v>2295</v>
      </c>
      <c r="AC30" s="124">
        <v>2518</v>
      </c>
      <c r="AD30" s="124">
        <v>2518</v>
      </c>
      <c r="AE30" s="124">
        <v>1328</v>
      </c>
      <c r="AF30" s="124"/>
      <c r="AI30">
        <v>19706.882317955457</v>
      </c>
      <c r="AJ30" t="e">
        <f t="shared" si="10"/>
        <v>#N/A</v>
      </c>
      <c r="AN30" s="27">
        <v>100516849</v>
      </c>
      <c r="AO30" s="24">
        <v>20506.55564531163</v>
      </c>
    </row>
    <row r="31" spans="1:41" x14ac:dyDescent="0.35">
      <c r="A31" s="84">
        <v>100522204</v>
      </c>
      <c r="B31" s="98" t="s">
        <v>39</v>
      </c>
      <c r="C31" s="99">
        <v>7790360983947</v>
      </c>
      <c r="D31" s="100">
        <v>5.4</v>
      </c>
      <c r="E31" s="101">
        <v>24</v>
      </c>
      <c r="F31" s="85">
        <f t="shared" si="0"/>
        <v>26630.922051291152</v>
      </c>
      <c r="G31" s="117">
        <v>0.16666666666666666</v>
      </c>
      <c r="H31" s="85">
        <f t="shared" ref="H31" si="11">+F31*(1-G31)</f>
        <v>22192.435042742629</v>
      </c>
      <c r="I31" s="85">
        <f t="shared" ref="I31" si="12">+H31/E31</f>
        <v>924.68479344760954</v>
      </c>
      <c r="J31" s="85">
        <f t="shared" ref="J31" si="13">+I31*J$3</f>
        <v>194.18380662399801</v>
      </c>
      <c r="K31" s="85">
        <f t="shared" ref="K31" si="14">+I31+J31</f>
        <v>1118.8686000716075</v>
      </c>
      <c r="L31" s="85">
        <f>+K31*0.309</f>
        <v>345.73039742212671</v>
      </c>
      <c r="M31" s="85">
        <f t="shared" ref="M31" si="15">+K31+L31</f>
        <v>1464.5989974937343</v>
      </c>
      <c r="N31" s="85">
        <f>+M31*N$3</f>
        <v>585.83959899749368</v>
      </c>
      <c r="O31" s="102">
        <f>+M31+N31</f>
        <v>2050.4385964912281</v>
      </c>
      <c r="P31" s="185">
        <f t="shared" si="1"/>
        <v>-9.0909090909090828E-2</v>
      </c>
      <c r="Q31" s="25">
        <v>24411.678547016891</v>
      </c>
      <c r="S31" s="1" t="s">
        <v>200</v>
      </c>
      <c r="T31" s="162"/>
      <c r="U31" s="162"/>
      <c r="V31" s="190"/>
      <c r="W31" s="119"/>
      <c r="X31"/>
      <c r="AB31" s="124"/>
      <c r="AC31" s="124"/>
      <c r="AD31" s="124"/>
      <c r="AE31" s="124"/>
      <c r="AF31" s="124"/>
      <c r="AN31" s="27">
        <v>100522206</v>
      </c>
      <c r="AO31" s="24">
        <v>60366.789354881163</v>
      </c>
    </row>
    <row r="32" spans="1:41" hidden="1" x14ac:dyDescent="0.35">
      <c r="A32" s="84">
        <v>100022072</v>
      </c>
      <c r="B32" s="98" t="s">
        <v>40</v>
      </c>
      <c r="C32" s="99">
        <v>7790360024541</v>
      </c>
      <c r="D32" s="100">
        <v>5.4</v>
      </c>
      <c r="E32" s="101">
        <v>12</v>
      </c>
      <c r="F32" s="85" t="e">
        <f t="shared" si="0"/>
        <v>#N/A</v>
      </c>
      <c r="G32" s="117">
        <v>0.16666666666666666</v>
      </c>
      <c r="H32" s="85" t="e">
        <f t="shared" si="2"/>
        <v>#N/A</v>
      </c>
      <c r="I32" s="85" t="e">
        <f t="shared" si="3"/>
        <v>#N/A</v>
      </c>
      <c r="J32" s="85" t="e">
        <f t="shared" si="4"/>
        <v>#N/A</v>
      </c>
      <c r="K32" s="85" t="e">
        <f t="shared" si="5"/>
        <v>#N/A</v>
      </c>
      <c r="L32" s="85" t="e">
        <f>+K32*0.328678</f>
        <v>#N/A</v>
      </c>
      <c r="M32" s="85" t="e">
        <f t="shared" si="7"/>
        <v>#N/A</v>
      </c>
      <c r="N32" s="85" t="e">
        <f t="shared" si="8"/>
        <v>#N/A</v>
      </c>
      <c r="O32" s="102" t="e">
        <f t="shared" si="9"/>
        <v>#N/A</v>
      </c>
      <c r="P32" s="185" t="e">
        <f t="shared" si="1"/>
        <v>#N/A</v>
      </c>
      <c r="Q32" s="25">
        <v>23191.094619666052</v>
      </c>
      <c r="S32" s="1" t="s">
        <v>181</v>
      </c>
      <c r="T32"/>
      <c r="U32"/>
      <c r="V32"/>
      <c r="W32"/>
      <c r="X32"/>
      <c r="Y32">
        <v>3400</v>
      </c>
      <c r="Z32">
        <f>+Y32</f>
        <v>3400</v>
      </c>
      <c r="AB32" s="124">
        <v>4590</v>
      </c>
      <c r="AC32" s="124">
        <v>5045</v>
      </c>
      <c r="AI32">
        <v>18109.026994877986</v>
      </c>
      <c r="AJ32" t="e">
        <f t="shared" si="10"/>
        <v>#N/A</v>
      </c>
      <c r="AN32" s="27">
        <v>100022058</v>
      </c>
      <c r="AO32" s="40">
        <v>15595.31377713196</v>
      </c>
    </row>
    <row r="33" spans="1:41" x14ac:dyDescent="0.35">
      <c r="A33" s="84">
        <v>100522205</v>
      </c>
      <c r="B33" s="98" t="s">
        <v>40</v>
      </c>
      <c r="C33" s="99">
        <v>7790360983954</v>
      </c>
      <c r="D33" s="100">
        <v>5.4</v>
      </c>
      <c r="E33" s="101">
        <v>12</v>
      </c>
      <c r="F33" s="224">
        <f t="shared" si="0"/>
        <v>25299.3759487266</v>
      </c>
      <c r="G33" s="117">
        <v>0.16666666666666666</v>
      </c>
      <c r="H33" s="85">
        <f t="shared" ref="H33" si="16">+F33*(1-G33)</f>
        <v>21082.8132906055</v>
      </c>
      <c r="I33" s="85">
        <f t="shared" ref="I33" si="17">+H33/E33</f>
        <v>1756.9011075504584</v>
      </c>
      <c r="J33" s="85">
        <f t="shared" ref="J33" si="18">+I33*J$3</f>
        <v>368.94923258559623</v>
      </c>
      <c r="K33" s="85">
        <f t="shared" ref="K33" si="19">+I33+J33</f>
        <v>2125.8503401360545</v>
      </c>
      <c r="L33" s="85">
        <f>+K33*0.31</f>
        <v>659.01360544217687</v>
      </c>
      <c r="M33" s="85">
        <f t="shared" ref="M33" si="20">+K33+L33</f>
        <v>2784.8639455782313</v>
      </c>
      <c r="N33" s="85">
        <f>+M33*N$3</f>
        <v>1113.9455782312925</v>
      </c>
      <c r="O33" s="102">
        <f>+M33+N33</f>
        <v>3898.8095238095239</v>
      </c>
      <c r="P33" s="185">
        <f t="shared" si="1"/>
        <v>-9.0909090909090939E-2</v>
      </c>
      <c r="Q33" s="25">
        <v>23191.094619666052</v>
      </c>
      <c r="S33" s="1" t="s">
        <v>181</v>
      </c>
      <c r="T33"/>
      <c r="U33"/>
      <c r="V33"/>
      <c r="W33"/>
      <c r="X33"/>
      <c r="AB33" s="124"/>
      <c r="AC33" s="124"/>
      <c r="AN33" s="27">
        <v>100518151</v>
      </c>
      <c r="AO33" s="40">
        <v>69421.807758113311</v>
      </c>
    </row>
    <row r="34" spans="1:41" x14ac:dyDescent="0.35">
      <c r="A34" s="84">
        <v>100516849</v>
      </c>
      <c r="B34" s="98" t="s">
        <v>41</v>
      </c>
      <c r="C34" s="99">
        <v>7790360970053</v>
      </c>
      <c r="D34" s="100">
        <v>4.5599999990400004</v>
      </c>
      <c r="E34" s="101">
        <v>24</v>
      </c>
      <c r="F34" s="85">
        <f t="shared" si="0"/>
        <v>20506.55564531163</v>
      </c>
      <c r="G34" s="103"/>
      <c r="H34" s="85">
        <f t="shared" si="2"/>
        <v>20506.55564531163</v>
      </c>
      <c r="I34" s="85">
        <f t="shared" si="3"/>
        <v>854.4398185546512</v>
      </c>
      <c r="J34" s="85">
        <f t="shared" si="4"/>
        <v>179.43236189647675</v>
      </c>
      <c r="K34" s="85">
        <f t="shared" si="5"/>
        <v>1033.8721804511279</v>
      </c>
      <c r="L34" s="85">
        <f>+K34*0.306</f>
        <v>316.36488721804511</v>
      </c>
      <c r="M34" s="85">
        <f t="shared" si="7"/>
        <v>1350.237067669173</v>
      </c>
      <c r="N34" s="85">
        <f t="shared" si="8"/>
        <v>540.09482706766926</v>
      </c>
      <c r="O34" s="102">
        <f t="shared" si="9"/>
        <v>1890.3318947368423</v>
      </c>
      <c r="P34" s="185">
        <f t="shared" si="1"/>
        <v>0</v>
      </c>
      <c r="Q34" s="25">
        <v>20506.55564531163</v>
      </c>
      <c r="S34" s="1" t="s">
        <v>167</v>
      </c>
      <c r="T34"/>
      <c r="U34"/>
      <c r="V34"/>
      <c r="W34"/>
      <c r="X34"/>
      <c r="Y34">
        <v>1600</v>
      </c>
      <c r="Z34">
        <v>1650</v>
      </c>
      <c r="AA34" t="s">
        <v>96</v>
      </c>
      <c r="AB34" s="124">
        <v>1745</v>
      </c>
      <c r="AC34" s="124"/>
      <c r="AI34">
        <v>17043.79011282634</v>
      </c>
      <c r="AJ34" s="118">
        <f t="shared" si="10"/>
        <v>0.20316875000000018</v>
      </c>
      <c r="AN34" s="32"/>
      <c r="AO34" s="36" t="s">
        <v>171</v>
      </c>
    </row>
    <row r="35" spans="1:41" hidden="1" x14ac:dyDescent="0.35">
      <c r="A35" s="84">
        <v>100022039</v>
      </c>
      <c r="B35" s="98" t="s">
        <v>42</v>
      </c>
      <c r="C35" s="99">
        <v>7790360007063</v>
      </c>
      <c r="D35" s="100">
        <v>8.6999999999999993</v>
      </c>
      <c r="E35" s="101">
        <v>10</v>
      </c>
      <c r="F35" s="85" t="e">
        <f t="shared" si="0"/>
        <v>#N/A</v>
      </c>
      <c r="G35" s="101"/>
      <c r="H35" s="85" t="e">
        <f t="shared" si="2"/>
        <v>#N/A</v>
      </c>
      <c r="I35" s="85" t="e">
        <f t="shared" si="3"/>
        <v>#N/A</v>
      </c>
      <c r="J35" s="85" t="e">
        <f t="shared" si="4"/>
        <v>#N/A</v>
      </c>
      <c r="K35" s="85" t="e">
        <f t="shared" si="5"/>
        <v>#N/A</v>
      </c>
      <c r="L35" s="85" t="e">
        <f t="shared" si="6"/>
        <v>#N/A</v>
      </c>
      <c r="M35" s="85" t="e">
        <f t="shared" si="7"/>
        <v>#N/A</v>
      </c>
      <c r="N35" s="85" t="e">
        <f t="shared" si="8"/>
        <v>#N/A</v>
      </c>
      <c r="O35" s="102" t="e">
        <f t="shared" si="9"/>
        <v>#N/A</v>
      </c>
      <c r="P35" s="185" t="e">
        <f t="shared" si="1"/>
        <v>#N/A</v>
      </c>
      <c r="Q35" s="25">
        <v>60366.789354881163</v>
      </c>
      <c r="S35"/>
      <c r="T35"/>
      <c r="U35"/>
      <c r="V35"/>
      <c r="W35"/>
      <c r="X35"/>
      <c r="AB35" t="s">
        <v>94</v>
      </c>
      <c r="AC35">
        <v>66</v>
      </c>
      <c r="AD35" t="s">
        <v>95</v>
      </c>
      <c r="AE35" t="s">
        <v>132</v>
      </c>
      <c r="AI35">
        <v>46618.16124152932</v>
      </c>
      <c r="AJ35" t="e">
        <f t="shared" si="10"/>
        <v>#N/A</v>
      </c>
      <c r="AN35" s="27">
        <v>100021000</v>
      </c>
      <c r="AO35" s="24">
        <v>12962.273708363024</v>
      </c>
    </row>
    <row r="36" spans="1:41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151">
        <f t="shared" ref="F36:F71" si="21">+VLOOKUP(A36,$AN$3:$AO$109,2,FALSE)</f>
        <v>60366.789354881163</v>
      </c>
      <c r="G36" s="23"/>
      <c r="H36" s="24">
        <f t="shared" ref="H36" si="22">+F36*(1-G36)</f>
        <v>60366.789354881163</v>
      </c>
      <c r="I36" s="24">
        <f t="shared" ref="I36" si="23">+H36/E36</f>
        <v>6036.6789354881166</v>
      </c>
      <c r="J36" s="24">
        <f t="shared" ref="J36" si="24">+I36*J$3</f>
        <v>1267.7025764525044</v>
      </c>
      <c r="K36" s="24">
        <f t="shared" ref="K36" si="25">+I36+J36</f>
        <v>7304.3815119406208</v>
      </c>
      <c r="L36" s="24">
        <f t="shared" ref="L36" si="26">+K36*L$3</f>
        <v>2410.4458989404052</v>
      </c>
      <c r="M36" s="24">
        <f t="shared" ref="M36" si="27">+K36+L36</f>
        <v>9714.8274108810256</v>
      </c>
      <c r="N36" s="24">
        <f>+M36*N$3</f>
        <v>3885.9309643524102</v>
      </c>
      <c r="O36" s="194">
        <f>+M36+N36</f>
        <v>13600.758375233436</v>
      </c>
      <c r="P36" s="185"/>
      <c r="Q36" s="25">
        <v>60366.789354881163</v>
      </c>
      <c r="S36"/>
      <c r="T36"/>
      <c r="U36"/>
      <c r="V36"/>
      <c r="W36"/>
      <c r="X36"/>
      <c r="AN36" s="27">
        <v>100021001</v>
      </c>
      <c r="AO36" s="24">
        <v>12962.273708363024</v>
      </c>
    </row>
    <row r="37" spans="1:41" x14ac:dyDescent="0.35">
      <c r="A37" s="146">
        <v>100022058</v>
      </c>
      <c r="B37" s="147" t="s">
        <v>43</v>
      </c>
      <c r="C37" s="148">
        <v>7790360026002</v>
      </c>
      <c r="D37" s="149">
        <v>4.5599999990400004</v>
      </c>
      <c r="E37" s="150">
        <v>24</v>
      </c>
      <c r="F37" s="151">
        <f t="shared" si="21"/>
        <v>15595.31377713196</v>
      </c>
      <c r="G37" s="152"/>
      <c r="H37" s="40">
        <f t="shared" si="2"/>
        <v>15595.31377713196</v>
      </c>
      <c r="I37" s="145">
        <f t="shared" si="3"/>
        <v>649.80474071383162</v>
      </c>
      <c r="J37" s="145">
        <f t="shared" si="4"/>
        <v>136.45899554990464</v>
      </c>
      <c r="K37" s="145">
        <f t="shared" si="5"/>
        <v>786.26373626373629</v>
      </c>
      <c r="L37" s="145">
        <f>+K37*0.3</f>
        <v>235.87912087912088</v>
      </c>
      <c r="M37" s="145">
        <f t="shared" si="7"/>
        <v>1022.1428571428571</v>
      </c>
      <c r="N37" s="145">
        <f t="shared" si="8"/>
        <v>408.85714285714289</v>
      </c>
      <c r="O37" s="153">
        <f t="shared" si="9"/>
        <v>1431</v>
      </c>
      <c r="P37" s="185">
        <f t="shared" si="1"/>
        <v>6.0000000000000053E-2</v>
      </c>
      <c r="Q37" s="25">
        <v>14712.560167105621</v>
      </c>
      <c r="T37"/>
      <c r="U37"/>
      <c r="V37"/>
      <c r="W37"/>
      <c r="Y37">
        <v>1090</v>
      </c>
      <c r="Z37" s="119">
        <v>1090</v>
      </c>
      <c r="AA37" s="119" t="s">
        <v>158</v>
      </c>
      <c r="AB37" s="124">
        <v>1044</v>
      </c>
      <c r="AC37" s="124">
        <v>887</v>
      </c>
      <c r="AD37" s="124">
        <v>1069</v>
      </c>
      <c r="AE37" s="124">
        <v>988</v>
      </c>
      <c r="AI37">
        <v>11611.082014362944</v>
      </c>
      <c r="AJ37">
        <f t="shared" si="10"/>
        <v>0.34314043754410728</v>
      </c>
      <c r="AN37" s="86">
        <v>100522277</v>
      </c>
      <c r="AO37" s="24">
        <v>12962.273708363024</v>
      </c>
    </row>
    <row r="38" spans="1:41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f t="shared" si="21"/>
        <v>69421.807758113311</v>
      </c>
      <c r="G38" s="23"/>
      <c r="H38" s="40">
        <f t="shared" si="2"/>
        <v>69421.807758113311</v>
      </c>
      <c r="I38" s="24">
        <f t="shared" si="3"/>
        <v>6942.1807758113309</v>
      </c>
      <c r="J38" s="24">
        <f>+I38*J$3</f>
        <v>1457.8579629203794</v>
      </c>
      <c r="K38" s="24">
        <f>+I38+J38</f>
        <v>8400.0387387317096</v>
      </c>
      <c r="L38" s="29">
        <f>+K38*0.3</f>
        <v>2520.0116216195129</v>
      </c>
      <c r="M38" s="24">
        <f>+K38+L38</f>
        <v>10920.050360351222</v>
      </c>
      <c r="N38" s="24">
        <f>+M38*N$3</f>
        <v>4368.0201441404888</v>
      </c>
      <c r="O38" s="25">
        <f>+M38+N38</f>
        <v>15288.070504491712</v>
      </c>
      <c r="P38" s="185">
        <f t="shared" si="1"/>
        <v>0</v>
      </c>
      <c r="Q38" s="25">
        <v>69421.807758113311</v>
      </c>
      <c r="S38" s="82"/>
      <c r="T38"/>
      <c r="U38"/>
      <c r="V38"/>
      <c r="W38"/>
      <c r="X38"/>
      <c r="Z38">
        <f>+Z37*24</f>
        <v>26160</v>
      </c>
      <c r="AI38">
        <v>53610.885427758694</v>
      </c>
      <c r="AJ38">
        <f t="shared" si="10"/>
        <v>0.2949200000000004</v>
      </c>
      <c r="AN38" s="86">
        <v>100522333</v>
      </c>
      <c r="AO38" s="24">
        <v>12962.273708363024</v>
      </c>
    </row>
    <row r="39" spans="1:41" x14ac:dyDescent="0.35">
      <c r="A39" s="32"/>
      <c r="B39" s="33"/>
      <c r="C39" s="34"/>
      <c r="D39" s="33"/>
      <c r="E39" s="35"/>
      <c r="F39" s="36" t="e">
        <f t="shared" si="21"/>
        <v>#N/A</v>
      </c>
      <c r="G39" s="35"/>
      <c r="H39" s="36" t="e">
        <f t="shared" si="2"/>
        <v>#N/A</v>
      </c>
      <c r="I39" s="37" t="e">
        <f t="shared" si="3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85" t="e">
        <f t="shared" si="1"/>
        <v>#N/A</v>
      </c>
      <c r="Q39" s="39" t="e">
        <v>#N/A</v>
      </c>
      <c r="S39"/>
      <c r="T39"/>
      <c r="U39"/>
      <c r="V39"/>
      <c r="W39"/>
      <c r="X39"/>
      <c r="Z39" s="119">
        <f>+Z38/1.21/1.33/1.4</f>
        <v>11611.082014362944</v>
      </c>
      <c r="AA39">
        <f>+Z32*12</f>
        <v>40800</v>
      </c>
      <c r="AI39" t="e">
        <v>#N/A</v>
      </c>
      <c r="AJ39" t="e">
        <f t="shared" si="10"/>
        <v>#N/A</v>
      </c>
      <c r="AN39" s="27">
        <v>100021045</v>
      </c>
      <c r="AO39" s="24">
        <v>12962.273708363022</v>
      </c>
    </row>
    <row r="40" spans="1:41" ht="16" x14ac:dyDescent="0.4">
      <c r="A40" s="84">
        <v>100021000</v>
      </c>
      <c r="B40" s="98" t="s">
        <v>45</v>
      </c>
      <c r="C40" s="99">
        <v>7790360720382</v>
      </c>
      <c r="D40" s="100">
        <v>2.16</v>
      </c>
      <c r="E40" s="101">
        <v>24</v>
      </c>
      <c r="F40" s="85">
        <f t="shared" si="21"/>
        <v>12962.273708363024</v>
      </c>
      <c r="G40" s="103"/>
      <c r="H40" s="85">
        <f t="shared" si="2"/>
        <v>12962.273708363024</v>
      </c>
      <c r="I40" s="85">
        <f t="shared" si="3"/>
        <v>540.09473784845932</v>
      </c>
      <c r="J40" s="85">
        <f t="shared" si="4"/>
        <v>113.41989494817645</v>
      </c>
      <c r="K40" s="85">
        <f t="shared" si="5"/>
        <v>653.51463279663574</v>
      </c>
      <c r="L40" s="85">
        <f>+K40*L$39</f>
        <v>143.77321921525987</v>
      </c>
      <c r="M40" s="85">
        <f t="shared" si="7"/>
        <v>797.28785201189567</v>
      </c>
      <c r="N40" s="85">
        <f>+M40*N$39</f>
        <v>279.05074820416348</v>
      </c>
      <c r="O40" s="102">
        <f t="shared" si="9"/>
        <v>1076.3386002160591</v>
      </c>
      <c r="P40" s="185">
        <f t="shared" si="1"/>
        <v>5.0000000000000044E-2</v>
      </c>
      <c r="Q40" s="25">
        <v>12345.022579393355</v>
      </c>
      <c r="S40" s="183"/>
      <c r="Z40" s="82">
        <f>+F37-Z39</f>
        <v>3984.2317627690154</v>
      </c>
      <c r="AA40">
        <f>+AA39/1.21/1.33/1.4</f>
        <v>18109.026994877986</v>
      </c>
      <c r="AI40">
        <v>10353.088375875002</v>
      </c>
      <c r="AJ40">
        <f t="shared" si="10"/>
        <v>0.2520200000000003</v>
      </c>
      <c r="AN40" s="27">
        <v>100021004</v>
      </c>
      <c r="AO40" s="24">
        <v>12962.273708363022</v>
      </c>
    </row>
    <row r="41" spans="1:41" ht="16" x14ac:dyDescent="0.4">
      <c r="A41" s="84">
        <v>100021001</v>
      </c>
      <c r="B41" s="98" t="s">
        <v>46</v>
      </c>
      <c r="C41" s="99">
        <v>7790360720115</v>
      </c>
      <c r="D41" s="100">
        <v>2.16</v>
      </c>
      <c r="E41" s="101">
        <v>24</v>
      </c>
      <c r="F41" s="85">
        <f t="shared" si="21"/>
        <v>12962.273708363024</v>
      </c>
      <c r="G41" s="103"/>
      <c r="H41" s="85">
        <f t="shared" si="2"/>
        <v>12962.273708363024</v>
      </c>
      <c r="I41" s="85">
        <f t="shared" si="3"/>
        <v>540.09473784845932</v>
      </c>
      <c r="J41" s="85">
        <f t="shared" si="4"/>
        <v>113.41989494817645</v>
      </c>
      <c r="K41" s="85">
        <f t="shared" si="5"/>
        <v>653.51463279663574</v>
      </c>
      <c r="L41" s="85">
        <f t="shared" ref="L41:L52" si="28">+K41*L$39</f>
        <v>143.77321921525987</v>
      </c>
      <c r="M41" s="85">
        <f t="shared" si="7"/>
        <v>797.28785201189567</v>
      </c>
      <c r="N41" s="85">
        <f t="shared" ref="N41:N56" si="29">+M41*N$39</f>
        <v>279.05074820416348</v>
      </c>
      <c r="O41" s="102">
        <f t="shared" si="9"/>
        <v>1076.3386002160591</v>
      </c>
      <c r="P41" s="185">
        <f t="shared" si="1"/>
        <v>5.0000000000000044E-2</v>
      </c>
      <c r="Q41" s="25">
        <v>12345.022579393355</v>
      </c>
      <c r="S41" s="183"/>
      <c r="Z41">
        <f>+Z40/F37</f>
        <v>0.25547621674731902</v>
      </c>
      <c r="AA41" s="82" t="e">
        <f>+F32-AA40</f>
        <v>#N/A</v>
      </c>
      <c r="AI41">
        <v>10353.088375875002</v>
      </c>
      <c r="AJ41">
        <f t="shared" si="10"/>
        <v>0.2520200000000003</v>
      </c>
      <c r="AN41" s="27">
        <v>100021006</v>
      </c>
      <c r="AO41" s="24">
        <v>12962.273708363022</v>
      </c>
    </row>
    <row r="42" spans="1:41" ht="16" x14ac:dyDescent="0.4">
      <c r="A42" s="219">
        <v>100522277</v>
      </c>
      <c r="B42" s="98" t="s">
        <v>150</v>
      </c>
      <c r="C42" s="99"/>
      <c r="D42" s="100">
        <v>2.16</v>
      </c>
      <c r="E42" s="101">
        <v>24</v>
      </c>
      <c r="F42" s="85">
        <f t="shared" si="21"/>
        <v>12962.273708363024</v>
      </c>
      <c r="G42" s="103"/>
      <c r="H42" s="85">
        <f t="shared" ref="H42:H43" si="30">+F42*(1-G42)</f>
        <v>12962.273708363024</v>
      </c>
      <c r="I42" s="85">
        <f t="shared" ref="I42:I43" si="31">+H42/E42</f>
        <v>540.09473784845932</v>
      </c>
      <c r="J42" s="85">
        <f t="shared" ref="J42:J43" si="32">+I42*J$3</f>
        <v>113.41989494817645</v>
      </c>
      <c r="K42" s="85">
        <f t="shared" ref="K42:K43" si="33">+I42+J42</f>
        <v>653.51463279663574</v>
      </c>
      <c r="L42" s="85">
        <f t="shared" ref="L42:L43" si="34">+K42*L$39</f>
        <v>143.77321921525987</v>
      </c>
      <c r="M42" s="85">
        <f t="shared" ref="M42:M43" si="35">+K42+L42</f>
        <v>797.28785201189567</v>
      </c>
      <c r="N42" s="85">
        <f t="shared" ref="N42:N43" si="36">+M42*N$39</f>
        <v>279.05074820416348</v>
      </c>
      <c r="O42" s="102">
        <f t="shared" ref="O42:O43" si="37">+M42+N42</f>
        <v>1076.3386002160591</v>
      </c>
      <c r="P42" s="185">
        <f t="shared" si="1"/>
        <v>5.0000000000000044E-2</v>
      </c>
      <c r="Q42" s="25">
        <v>12345.022579393355</v>
      </c>
      <c r="S42" s="183"/>
      <c r="AA42" s="82"/>
      <c r="AN42" s="27">
        <v>100021007</v>
      </c>
      <c r="AO42" s="24">
        <v>15499.254843517137</v>
      </c>
    </row>
    <row r="43" spans="1:41" x14ac:dyDescent="0.35">
      <c r="A43" s="219">
        <v>100522333</v>
      </c>
      <c r="B43" s="98" t="s">
        <v>151</v>
      </c>
      <c r="C43" s="99"/>
      <c r="D43" s="100">
        <v>2.16</v>
      </c>
      <c r="E43" s="101">
        <v>24</v>
      </c>
      <c r="F43" s="85">
        <f t="shared" si="21"/>
        <v>12962.273708363024</v>
      </c>
      <c r="G43" s="103"/>
      <c r="H43" s="85">
        <f t="shared" si="30"/>
        <v>12962.273708363024</v>
      </c>
      <c r="I43" s="85">
        <f t="shared" si="31"/>
        <v>540.09473784845932</v>
      </c>
      <c r="J43" s="85">
        <f t="shared" si="32"/>
        <v>113.41989494817645</v>
      </c>
      <c r="K43" s="85">
        <f t="shared" si="33"/>
        <v>653.51463279663574</v>
      </c>
      <c r="L43" s="85">
        <f t="shared" si="34"/>
        <v>143.77321921525987</v>
      </c>
      <c r="M43" s="85">
        <f t="shared" si="35"/>
        <v>797.28785201189567</v>
      </c>
      <c r="N43" s="85">
        <f t="shared" si="36"/>
        <v>279.05074820416348</v>
      </c>
      <c r="O43" s="102">
        <f t="shared" si="37"/>
        <v>1076.3386002160591</v>
      </c>
      <c r="P43" s="185">
        <f t="shared" si="1"/>
        <v>5.0000000000000044E-2</v>
      </c>
      <c r="Q43" s="25">
        <v>12345.022579393355</v>
      </c>
      <c r="AA43" s="82"/>
      <c r="AN43" s="27">
        <v>100021013</v>
      </c>
      <c r="AO43" s="24">
        <v>15499.254843517137</v>
      </c>
    </row>
    <row r="44" spans="1:41" x14ac:dyDescent="0.35">
      <c r="A44" s="84">
        <v>100021045</v>
      </c>
      <c r="B44" s="98" t="s">
        <v>47</v>
      </c>
      <c r="C44" s="99">
        <v>7790360966582</v>
      </c>
      <c r="D44" s="100">
        <v>2.16</v>
      </c>
      <c r="E44" s="101">
        <v>24</v>
      </c>
      <c r="F44" s="85">
        <f t="shared" si="21"/>
        <v>12962.273708363022</v>
      </c>
      <c r="G44" s="103"/>
      <c r="H44" s="85">
        <f t="shared" si="2"/>
        <v>12962.273708363022</v>
      </c>
      <c r="I44" s="85">
        <f t="shared" si="3"/>
        <v>540.0947378484592</v>
      </c>
      <c r="J44" s="85">
        <f t="shared" si="4"/>
        <v>113.41989494817643</v>
      </c>
      <c r="K44" s="85">
        <f t="shared" si="5"/>
        <v>653.51463279663562</v>
      </c>
      <c r="L44" s="85">
        <f t="shared" si="28"/>
        <v>143.77321921525984</v>
      </c>
      <c r="M44" s="85">
        <f t="shared" si="7"/>
        <v>797.28785201189544</v>
      </c>
      <c r="N44" s="85">
        <f t="shared" si="29"/>
        <v>279.05074820416337</v>
      </c>
      <c r="O44" s="102">
        <f t="shared" si="9"/>
        <v>1076.3386002160587</v>
      </c>
      <c r="P44" s="185">
        <f t="shared" si="1"/>
        <v>5.0000000000000044E-2</v>
      </c>
      <c r="Q44" s="25">
        <v>12345.022579393353</v>
      </c>
      <c r="AA44" t="e">
        <f>+AA41/F32</f>
        <v>#N/A</v>
      </c>
      <c r="AI44">
        <v>10088.4</v>
      </c>
      <c r="AJ44">
        <f t="shared" si="10"/>
        <v>0.28486912774701856</v>
      </c>
      <c r="AN44" s="27">
        <v>100021014</v>
      </c>
      <c r="AO44" s="24">
        <v>15499.254843517137</v>
      </c>
    </row>
    <row r="45" spans="1:41" x14ac:dyDescent="0.35">
      <c r="A45" s="84">
        <v>100021004</v>
      </c>
      <c r="B45" s="98" t="s">
        <v>48</v>
      </c>
      <c r="C45" s="99">
        <v>7790360964526</v>
      </c>
      <c r="D45" s="100">
        <v>2.1120000000000001</v>
      </c>
      <c r="E45" s="101">
        <v>24</v>
      </c>
      <c r="F45" s="85">
        <f t="shared" si="21"/>
        <v>12962.273708363022</v>
      </c>
      <c r="G45" s="103"/>
      <c r="H45" s="85">
        <f t="shared" si="2"/>
        <v>12962.273708363022</v>
      </c>
      <c r="I45" s="85">
        <f t="shared" si="3"/>
        <v>540.0947378484592</v>
      </c>
      <c r="J45" s="85">
        <f t="shared" si="4"/>
        <v>113.41989494817643</v>
      </c>
      <c r="K45" s="85">
        <f t="shared" si="5"/>
        <v>653.51463279663562</v>
      </c>
      <c r="L45" s="85">
        <f t="shared" si="28"/>
        <v>143.77321921525984</v>
      </c>
      <c r="M45" s="85">
        <f t="shared" si="7"/>
        <v>797.28785201189544</v>
      </c>
      <c r="N45" s="85">
        <f t="shared" si="29"/>
        <v>279.05074820416337</v>
      </c>
      <c r="O45" s="102">
        <f t="shared" si="9"/>
        <v>1076.3386002160587</v>
      </c>
      <c r="P45" s="185">
        <f t="shared" si="1"/>
        <v>5.0000000000000044E-2</v>
      </c>
      <c r="Q45" s="25">
        <v>12345.022579393353</v>
      </c>
      <c r="AI45">
        <v>10088.4</v>
      </c>
      <c r="AJ45">
        <f t="shared" si="10"/>
        <v>0.28486912774701856</v>
      </c>
      <c r="AN45" s="27">
        <v>100021054</v>
      </c>
      <c r="AO45" s="24">
        <v>15499.254843517137</v>
      </c>
    </row>
    <row r="46" spans="1:41" x14ac:dyDescent="0.35">
      <c r="A46" s="84">
        <v>100021006</v>
      </c>
      <c r="B46" s="98" t="s">
        <v>49</v>
      </c>
      <c r="C46" s="99">
        <v>7790360964557</v>
      </c>
      <c r="D46" s="100">
        <v>2.1120000000000001</v>
      </c>
      <c r="E46" s="101">
        <v>24</v>
      </c>
      <c r="F46" s="85">
        <f t="shared" si="21"/>
        <v>12962.273708363022</v>
      </c>
      <c r="G46" s="103"/>
      <c r="H46" s="85">
        <f t="shared" si="2"/>
        <v>12962.273708363022</v>
      </c>
      <c r="I46" s="85">
        <f t="shared" si="3"/>
        <v>540.0947378484592</v>
      </c>
      <c r="J46" s="85">
        <f t="shared" si="4"/>
        <v>113.41989494817643</v>
      </c>
      <c r="K46" s="85">
        <f t="shared" si="5"/>
        <v>653.51463279663562</v>
      </c>
      <c r="L46" s="85">
        <f t="shared" si="28"/>
        <v>143.77321921525984</v>
      </c>
      <c r="M46" s="85">
        <f t="shared" si="7"/>
        <v>797.28785201189544</v>
      </c>
      <c r="N46" s="85">
        <f t="shared" si="29"/>
        <v>279.05074820416337</v>
      </c>
      <c r="O46" s="102">
        <f t="shared" si="9"/>
        <v>1076.3386002160587</v>
      </c>
      <c r="P46" s="185">
        <f t="shared" si="1"/>
        <v>5.0000000000000044E-2</v>
      </c>
      <c r="Q46" s="25">
        <v>12345.022579393353</v>
      </c>
      <c r="AI46">
        <v>10088.4</v>
      </c>
      <c r="AJ46">
        <f t="shared" si="10"/>
        <v>0.28486912774701856</v>
      </c>
      <c r="AN46" s="27">
        <v>100021055</v>
      </c>
      <c r="AO46" s="24">
        <v>15499.254843517137</v>
      </c>
    </row>
    <row r="47" spans="1:41" x14ac:dyDescent="0.35">
      <c r="A47" s="84">
        <v>100021007</v>
      </c>
      <c r="B47" s="98" t="s">
        <v>50</v>
      </c>
      <c r="C47" s="99">
        <v>7790360964540</v>
      </c>
      <c r="D47" s="100">
        <v>2.04</v>
      </c>
      <c r="E47" s="101">
        <v>24</v>
      </c>
      <c r="F47" s="85">
        <f t="shared" si="21"/>
        <v>15499.254843517137</v>
      </c>
      <c r="G47" s="103"/>
      <c r="H47" s="85">
        <f t="shared" si="2"/>
        <v>15499.254843517137</v>
      </c>
      <c r="I47" s="85">
        <f t="shared" si="3"/>
        <v>645.80228514654743</v>
      </c>
      <c r="J47" s="85">
        <f t="shared" si="4"/>
        <v>135.61847988077497</v>
      </c>
      <c r="K47" s="85">
        <f t="shared" si="5"/>
        <v>781.42076502732243</v>
      </c>
      <c r="L47" s="85">
        <f t="shared" si="28"/>
        <v>171.91256830601094</v>
      </c>
      <c r="M47" s="85">
        <f t="shared" si="7"/>
        <v>953.33333333333337</v>
      </c>
      <c r="N47" s="85">
        <f t="shared" si="29"/>
        <v>333.66666666666669</v>
      </c>
      <c r="O47" s="102">
        <f t="shared" si="9"/>
        <v>1287</v>
      </c>
      <c r="P47" s="185">
        <f t="shared" si="1"/>
        <v>9.9827334312910576E-2</v>
      </c>
      <c r="Q47" s="25">
        <v>14092.44375</v>
      </c>
      <c r="AI47">
        <v>11917.5</v>
      </c>
      <c r="AJ47">
        <f t="shared" si="10"/>
        <v>0.3005458228250168</v>
      </c>
      <c r="AN47" s="27">
        <v>100021015</v>
      </c>
      <c r="AO47" s="24">
        <v>15499.254843517137</v>
      </c>
    </row>
    <row r="48" spans="1:41" x14ac:dyDescent="0.35">
      <c r="A48" s="84">
        <v>100021013</v>
      </c>
      <c r="B48" s="98" t="s">
        <v>51</v>
      </c>
      <c r="C48" s="99">
        <v>7790360965714</v>
      </c>
      <c r="D48" s="100">
        <v>2.04</v>
      </c>
      <c r="E48" s="101">
        <v>24</v>
      </c>
      <c r="F48" s="85">
        <f t="shared" si="21"/>
        <v>15499.254843517137</v>
      </c>
      <c r="G48" s="103"/>
      <c r="H48" s="85">
        <f t="shared" si="2"/>
        <v>15499.254843517137</v>
      </c>
      <c r="I48" s="85">
        <f t="shared" si="3"/>
        <v>645.80228514654743</v>
      </c>
      <c r="J48" s="85">
        <f t="shared" si="4"/>
        <v>135.61847988077497</v>
      </c>
      <c r="K48" s="85">
        <f t="shared" si="5"/>
        <v>781.42076502732243</v>
      </c>
      <c r="L48" s="85">
        <f t="shared" si="28"/>
        <v>171.91256830601094</v>
      </c>
      <c r="M48" s="85">
        <f t="shared" si="7"/>
        <v>953.33333333333337</v>
      </c>
      <c r="N48" s="85">
        <f t="shared" si="29"/>
        <v>333.66666666666669</v>
      </c>
      <c r="O48" s="102">
        <f t="shared" si="9"/>
        <v>1287</v>
      </c>
      <c r="P48" s="185">
        <f t="shared" si="1"/>
        <v>9.9827334312910576E-2</v>
      </c>
      <c r="Q48" s="25">
        <v>14092.44375</v>
      </c>
      <c r="Z48">
        <v>7200</v>
      </c>
      <c r="AI48">
        <v>11917.5</v>
      </c>
      <c r="AJ48">
        <f t="shared" si="10"/>
        <v>0.3005458228250168</v>
      </c>
      <c r="AN48" s="27">
        <v>100021008</v>
      </c>
      <c r="AO48" s="24">
        <v>10971.006927240942</v>
      </c>
    </row>
    <row r="49" spans="1:41" x14ac:dyDescent="0.35">
      <c r="A49" s="84">
        <v>100021014</v>
      </c>
      <c r="B49" s="98" t="s">
        <v>52</v>
      </c>
      <c r="C49" s="99">
        <v>7790360965721</v>
      </c>
      <c r="D49" s="100">
        <v>2.04</v>
      </c>
      <c r="E49" s="101">
        <v>24</v>
      </c>
      <c r="F49" s="85">
        <f t="shared" si="21"/>
        <v>15499.254843517137</v>
      </c>
      <c r="G49" s="103"/>
      <c r="H49" s="85">
        <f t="shared" si="2"/>
        <v>15499.254843517137</v>
      </c>
      <c r="I49" s="85">
        <f t="shared" si="3"/>
        <v>645.80228514654743</v>
      </c>
      <c r="J49" s="85">
        <f t="shared" si="4"/>
        <v>135.61847988077497</v>
      </c>
      <c r="K49" s="85">
        <f t="shared" si="5"/>
        <v>781.42076502732243</v>
      </c>
      <c r="L49" s="85">
        <f t="shared" si="28"/>
        <v>171.91256830601094</v>
      </c>
      <c r="M49" s="85">
        <f t="shared" si="7"/>
        <v>953.33333333333337</v>
      </c>
      <c r="N49" s="85">
        <f t="shared" si="29"/>
        <v>333.66666666666669</v>
      </c>
      <c r="O49" s="102">
        <f t="shared" si="9"/>
        <v>1287</v>
      </c>
      <c r="P49" s="185">
        <f t="shared" si="1"/>
        <v>9.9827334312910576E-2</v>
      </c>
      <c r="Q49" s="25">
        <v>14092.44375</v>
      </c>
      <c r="Z49">
        <f>+Z48*0.97</f>
        <v>6984</v>
      </c>
      <c r="AI49">
        <v>11917.5</v>
      </c>
      <c r="AJ49">
        <f t="shared" si="10"/>
        <v>0.3005458228250168</v>
      </c>
      <c r="AN49" s="27">
        <v>100021009</v>
      </c>
      <c r="AO49" s="24">
        <v>10971.006927240942</v>
      </c>
    </row>
    <row r="50" spans="1:41" x14ac:dyDescent="0.35">
      <c r="A50" s="84">
        <v>100021054</v>
      </c>
      <c r="B50" s="98" t="s">
        <v>53</v>
      </c>
      <c r="C50" s="99">
        <v>7790360965707</v>
      </c>
      <c r="D50" s="100">
        <v>2.04</v>
      </c>
      <c r="E50" s="101">
        <v>24</v>
      </c>
      <c r="F50" s="85">
        <f t="shared" si="21"/>
        <v>15499.254843517137</v>
      </c>
      <c r="G50" s="103"/>
      <c r="H50" s="85">
        <f t="shared" si="2"/>
        <v>15499.254843517137</v>
      </c>
      <c r="I50" s="85">
        <f t="shared" si="3"/>
        <v>645.80228514654743</v>
      </c>
      <c r="J50" s="85">
        <f t="shared" si="4"/>
        <v>135.61847988077497</v>
      </c>
      <c r="K50" s="85">
        <f t="shared" si="5"/>
        <v>781.42076502732243</v>
      </c>
      <c r="L50" s="85">
        <f t="shared" si="28"/>
        <v>171.91256830601094</v>
      </c>
      <c r="M50" s="85">
        <f t="shared" si="7"/>
        <v>953.33333333333337</v>
      </c>
      <c r="N50" s="85">
        <f t="shared" si="29"/>
        <v>333.66666666666669</v>
      </c>
      <c r="O50" s="102">
        <f t="shared" si="9"/>
        <v>1287</v>
      </c>
      <c r="P50" s="185">
        <f t="shared" si="1"/>
        <v>9.9827334312910576E-2</v>
      </c>
      <c r="Q50" s="25">
        <v>14092.44375</v>
      </c>
      <c r="AI50">
        <v>11917.5</v>
      </c>
      <c r="AJ50">
        <f t="shared" si="10"/>
        <v>0.3005458228250168</v>
      </c>
      <c r="AN50" s="27">
        <v>100021010</v>
      </c>
      <c r="AO50" s="24">
        <v>10971.006927240942</v>
      </c>
    </row>
    <row r="51" spans="1:41" x14ac:dyDescent="0.35">
      <c r="A51" s="84">
        <v>100021055</v>
      </c>
      <c r="B51" s="98" t="s">
        <v>54</v>
      </c>
      <c r="C51" s="99">
        <v>7790360965189</v>
      </c>
      <c r="D51" s="100">
        <v>2.04</v>
      </c>
      <c r="E51" s="101">
        <v>24</v>
      </c>
      <c r="F51" s="85">
        <f t="shared" si="21"/>
        <v>15499.254843517137</v>
      </c>
      <c r="G51" s="103"/>
      <c r="H51" s="85">
        <f t="shared" si="2"/>
        <v>15499.254843517137</v>
      </c>
      <c r="I51" s="85">
        <f t="shared" si="3"/>
        <v>645.80228514654743</v>
      </c>
      <c r="J51" s="85">
        <f t="shared" si="4"/>
        <v>135.61847988077497</v>
      </c>
      <c r="K51" s="85">
        <f t="shared" si="5"/>
        <v>781.42076502732243</v>
      </c>
      <c r="L51" s="85">
        <f t="shared" si="28"/>
        <v>171.91256830601094</v>
      </c>
      <c r="M51" s="85">
        <f t="shared" si="7"/>
        <v>953.33333333333337</v>
      </c>
      <c r="N51" s="85">
        <f t="shared" si="29"/>
        <v>333.66666666666669</v>
      </c>
      <c r="O51" s="102">
        <f t="shared" si="9"/>
        <v>1287</v>
      </c>
      <c r="P51" s="185">
        <f t="shared" si="1"/>
        <v>9.9827334312910576E-2</v>
      </c>
      <c r="Q51" s="25">
        <v>14092.44375</v>
      </c>
      <c r="AI51">
        <v>11917.5</v>
      </c>
      <c r="AJ51">
        <f t="shared" si="10"/>
        <v>0.3005458228250168</v>
      </c>
      <c r="AN51" s="27">
        <v>100021011</v>
      </c>
      <c r="AO51" s="24">
        <v>10971.006927240942</v>
      </c>
    </row>
    <row r="52" spans="1:41" x14ac:dyDescent="0.35">
      <c r="A52" s="84">
        <v>100021015</v>
      </c>
      <c r="B52" s="98" t="s">
        <v>55</v>
      </c>
      <c r="C52" s="99">
        <v>7790360965202</v>
      </c>
      <c r="D52" s="100">
        <v>2.04</v>
      </c>
      <c r="E52" s="101">
        <v>24</v>
      </c>
      <c r="F52" s="85">
        <f t="shared" si="21"/>
        <v>15499.254843517137</v>
      </c>
      <c r="G52" s="103"/>
      <c r="H52" s="85">
        <f t="shared" si="2"/>
        <v>15499.254843517137</v>
      </c>
      <c r="I52" s="85">
        <f t="shared" si="3"/>
        <v>645.80228514654743</v>
      </c>
      <c r="J52" s="85">
        <f t="shared" si="4"/>
        <v>135.61847988077497</v>
      </c>
      <c r="K52" s="85">
        <f t="shared" si="5"/>
        <v>781.42076502732243</v>
      </c>
      <c r="L52" s="85">
        <f t="shared" si="28"/>
        <v>171.91256830601094</v>
      </c>
      <c r="M52" s="85">
        <f t="shared" si="7"/>
        <v>953.33333333333337</v>
      </c>
      <c r="N52" s="85">
        <f t="shared" si="29"/>
        <v>333.66666666666669</v>
      </c>
      <c r="O52" s="102">
        <f t="shared" si="9"/>
        <v>1287</v>
      </c>
      <c r="P52" s="185">
        <f t="shared" si="1"/>
        <v>9.9827334312910576E-2</v>
      </c>
      <c r="Q52" s="25">
        <v>14092.44375</v>
      </c>
      <c r="AI52">
        <v>11917.5</v>
      </c>
      <c r="AJ52">
        <f t="shared" si="10"/>
        <v>0.3005458228250168</v>
      </c>
      <c r="AN52" s="32"/>
      <c r="AO52" s="36"/>
    </row>
    <row r="53" spans="1:41" x14ac:dyDescent="0.35">
      <c r="A53" s="84">
        <v>100021008</v>
      </c>
      <c r="B53" s="98" t="s">
        <v>56</v>
      </c>
      <c r="C53" s="99">
        <v>7790360720122</v>
      </c>
      <c r="D53" s="100">
        <v>2.16</v>
      </c>
      <c r="E53" s="101">
        <v>24</v>
      </c>
      <c r="F53" s="85">
        <f t="shared" si="21"/>
        <v>10971.006927240942</v>
      </c>
      <c r="G53" s="103"/>
      <c r="H53" s="85">
        <f t="shared" si="2"/>
        <v>10971.006927240942</v>
      </c>
      <c r="I53" s="85">
        <f t="shared" si="3"/>
        <v>457.12528863503923</v>
      </c>
      <c r="J53" s="85">
        <f t="shared" si="4"/>
        <v>95.996310613358233</v>
      </c>
      <c r="K53" s="85">
        <f t="shared" si="5"/>
        <v>553.1215992483975</v>
      </c>
      <c r="L53" s="85">
        <f>+K53*0.2</f>
        <v>110.62431984967951</v>
      </c>
      <c r="M53" s="85">
        <f t="shared" si="7"/>
        <v>663.74591909807702</v>
      </c>
      <c r="N53" s="85">
        <f t="shared" si="29"/>
        <v>232.31107168432695</v>
      </c>
      <c r="O53" s="102">
        <f t="shared" si="9"/>
        <v>896.056990782404</v>
      </c>
      <c r="P53" s="185">
        <f t="shared" si="1"/>
        <v>5.0000000000000044E-2</v>
      </c>
      <c r="Q53" s="25">
        <v>10448.578025943754</v>
      </c>
      <c r="Z53">
        <v>537</v>
      </c>
      <c r="AA53" t="s">
        <v>99</v>
      </c>
      <c r="AI53">
        <v>9046.387901250002</v>
      </c>
      <c r="AJ53">
        <f t="shared" si="10"/>
        <v>0.21275000000000022</v>
      </c>
      <c r="AN53" s="27">
        <v>100516217</v>
      </c>
      <c r="AO53" s="24">
        <v>26348.054908032984</v>
      </c>
    </row>
    <row r="54" spans="1:41" x14ac:dyDescent="0.35">
      <c r="A54" s="84">
        <v>100021009</v>
      </c>
      <c r="B54" s="98" t="s">
        <v>57</v>
      </c>
      <c r="C54" s="99">
        <v>7790360965127</v>
      </c>
      <c r="D54" s="100">
        <v>2.16</v>
      </c>
      <c r="E54" s="101">
        <v>24</v>
      </c>
      <c r="F54" s="85">
        <f t="shared" si="21"/>
        <v>10971.006927240942</v>
      </c>
      <c r="G54" s="103"/>
      <c r="H54" s="85">
        <f t="shared" si="2"/>
        <v>10971.006927240942</v>
      </c>
      <c r="I54" s="85">
        <f t="shared" si="3"/>
        <v>457.12528863503923</v>
      </c>
      <c r="J54" s="85">
        <f t="shared" si="4"/>
        <v>95.996310613358233</v>
      </c>
      <c r="K54" s="85">
        <f t="shared" si="5"/>
        <v>553.1215992483975</v>
      </c>
      <c r="L54" s="85">
        <f>+K54*0.2</f>
        <v>110.62431984967951</v>
      </c>
      <c r="M54" s="85">
        <f t="shared" si="7"/>
        <v>663.74591909807702</v>
      </c>
      <c r="N54" s="85">
        <f t="shared" si="29"/>
        <v>232.31107168432695</v>
      </c>
      <c r="O54" s="102">
        <f t="shared" si="9"/>
        <v>896.056990782404</v>
      </c>
      <c r="P54" s="185">
        <f t="shared" si="1"/>
        <v>5.0000000000000044E-2</v>
      </c>
      <c r="Q54" s="25">
        <v>10448.578025943754</v>
      </c>
      <c r="Z54">
        <v>567</v>
      </c>
      <c r="AA54" t="s">
        <v>98</v>
      </c>
      <c r="AI54">
        <v>9046.387901250002</v>
      </c>
      <c r="AJ54">
        <f t="shared" si="10"/>
        <v>0.21275000000000022</v>
      </c>
      <c r="AN54" s="27">
        <v>100516214</v>
      </c>
      <c r="AO54" s="24">
        <v>35163.986031039029</v>
      </c>
    </row>
    <row r="55" spans="1:41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f t="shared" si="21"/>
        <v>10971.006927240942</v>
      </c>
      <c r="G55" s="23"/>
      <c r="H55" s="24">
        <f t="shared" si="2"/>
        <v>10971.006927240942</v>
      </c>
      <c r="I55" s="24">
        <f t="shared" si="3"/>
        <v>457.12528863503923</v>
      </c>
      <c r="J55" s="24">
        <f t="shared" si="4"/>
        <v>95.996310613358233</v>
      </c>
      <c r="K55" s="24">
        <f t="shared" si="5"/>
        <v>553.1215992483975</v>
      </c>
      <c r="L55" s="24">
        <f>+K55*0.2</f>
        <v>110.62431984967951</v>
      </c>
      <c r="M55" s="24">
        <f t="shared" si="7"/>
        <v>663.74591909807702</v>
      </c>
      <c r="N55" s="24">
        <f t="shared" si="29"/>
        <v>232.31107168432695</v>
      </c>
      <c r="O55" s="25">
        <f t="shared" si="9"/>
        <v>896.056990782404</v>
      </c>
      <c r="P55" s="185">
        <f t="shared" si="1"/>
        <v>5.0000000000000044E-2</v>
      </c>
      <c r="Q55" s="25">
        <v>10448.578025943754</v>
      </c>
      <c r="AI55">
        <v>9046.387901250002</v>
      </c>
      <c r="AJ55">
        <f t="shared" si="10"/>
        <v>0.21275000000000022</v>
      </c>
      <c r="AN55" s="27">
        <v>100516215</v>
      </c>
      <c r="AO55" s="24">
        <v>35163.986031039029</v>
      </c>
    </row>
    <row r="56" spans="1:41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f t="shared" si="21"/>
        <v>10971.006927240942</v>
      </c>
      <c r="G56" s="23"/>
      <c r="H56" s="24">
        <f t="shared" si="2"/>
        <v>10971.006927240942</v>
      </c>
      <c r="I56" s="24">
        <f t="shared" si="3"/>
        <v>457.12528863503923</v>
      </c>
      <c r="J56" s="24">
        <f t="shared" si="4"/>
        <v>95.996310613358233</v>
      </c>
      <c r="K56" s="24">
        <f t="shared" si="5"/>
        <v>553.1215992483975</v>
      </c>
      <c r="L56" s="24">
        <f>+K56*0.2</f>
        <v>110.62431984967951</v>
      </c>
      <c r="M56" s="24">
        <f t="shared" si="7"/>
        <v>663.74591909807702</v>
      </c>
      <c r="N56" s="24">
        <f t="shared" si="29"/>
        <v>232.31107168432695</v>
      </c>
      <c r="O56" s="25">
        <f t="shared" si="9"/>
        <v>896.056990782404</v>
      </c>
      <c r="P56" s="185">
        <f t="shared" si="1"/>
        <v>5.0000000000000044E-2</v>
      </c>
      <c r="Q56" s="25">
        <v>10448.578025943754</v>
      </c>
      <c r="AI56">
        <v>9046.387901250002</v>
      </c>
      <c r="AJ56">
        <f t="shared" si="10"/>
        <v>0.21275000000000022</v>
      </c>
      <c r="AN56" s="27">
        <v>100516216</v>
      </c>
      <c r="AO56" s="24">
        <v>35163.986031039029</v>
      </c>
    </row>
    <row r="57" spans="1:41" ht="15" thickBot="1" x14ac:dyDescent="0.4">
      <c r="A57" s="32"/>
      <c r="B57" s="33"/>
      <c r="C57" s="34"/>
      <c r="D57" s="33"/>
      <c r="E57" s="35"/>
      <c r="F57" s="36" t="e">
        <f t="shared" si="21"/>
        <v>#N/A</v>
      </c>
      <c r="G57" s="35"/>
      <c r="H57" s="36" t="e">
        <f t="shared" si="2"/>
        <v>#N/A</v>
      </c>
      <c r="I57" s="37" t="e">
        <f t="shared" si="3"/>
        <v>#N/A</v>
      </c>
      <c r="J57" s="38"/>
      <c r="K57" s="37"/>
      <c r="L57" s="17"/>
      <c r="M57" s="16"/>
      <c r="N57" s="17"/>
      <c r="O57" s="39"/>
      <c r="P57" s="185" t="e">
        <f t="shared" si="1"/>
        <v>#N/A</v>
      </c>
      <c r="Q57" s="39" t="e">
        <v>#N/A</v>
      </c>
      <c r="AI57" t="e">
        <v>#N/A</v>
      </c>
      <c r="AJ57" t="e">
        <f t="shared" si="10"/>
        <v>#N/A</v>
      </c>
      <c r="AN57" s="32"/>
      <c r="AO57" s="36"/>
    </row>
    <row r="58" spans="1:41" x14ac:dyDescent="0.35">
      <c r="A58" s="84">
        <v>100516217</v>
      </c>
      <c r="B58" s="98" t="s">
        <v>60</v>
      </c>
      <c r="C58" s="99">
        <v>7790360967824</v>
      </c>
      <c r="D58" s="100">
        <v>5.8</v>
      </c>
      <c r="E58" s="101">
        <v>20</v>
      </c>
      <c r="F58" s="85">
        <f t="shared" si="21"/>
        <v>26348.054908032984</v>
      </c>
      <c r="G58" s="97"/>
      <c r="H58" s="85">
        <f t="shared" si="2"/>
        <v>26348.054908032984</v>
      </c>
      <c r="I58" s="85">
        <f t="shared" si="3"/>
        <v>1317.4027454016491</v>
      </c>
      <c r="J58" s="85">
        <f t="shared" si="4"/>
        <v>276.65457653434629</v>
      </c>
      <c r="K58" s="85">
        <f t="shared" si="5"/>
        <v>1594.0573219359953</v>
      </c>
      <c r="L58" s="85">
        <f>+K58*0.3</f>
        <v>478.2171965807986</v>
      </c>
      <c r="M58" s="85">
        <f t="shared" si="7"/>
        <v>2072.2745185167942</v>
      </c>
      <c r="N58" s="85">
        <f t="shared" si="8"/>
        <v>828.90980740671773</v>
      </c>
      <c r="O58" s="102">
        <f t="shared" si="9"/>
        <v>2901.184325923512</v>
      </c>
      <c r="P58" s="185">
        <f t="shared" si="1"/>
        <v>3.0000000000000027E-2</v>
      </c>
      <c r="Q58" s="25">
        <v>25580.635833041732</v>
      </c>
      <c r="S58" s="1" t="s">
        <v>182</v>
      </c>
      <c r="AA58" s="164" t="s">
        <v>144</v>
      </c>
      <c r="AB58" s="172" t="s">
        <v>137</v>
      </c>
      <c r="AC58" s="172" t="s">
        <v>138</v>
      </c>
      <c r="AD58" s="172" t="s">
        <v>90</v>
      </c>
      <c r="AE58" s="172" t="s">
        <v>139</v>
      </c>
      <c r="AF58" s="172" t="s">
        <v>147</v>
      </c>
      <c r="AG58" s="168" t="s">
        <v>140</v>
      </c>
      <c r="AI58">
        <v>22964.002561205205</v>
      </c>
      <c r="AJ58">
        <f t="shared" si="10"/>
        <v>0.14736335</v>
      </c>
      <c r="AN58" s="27">
        <v>100021704</v>
      </c>
      <c r="AO58" s="24">
        <v>32852.08756529948</v>
      </c>
    </row>
    <row r="59" spans="1:41" x14ac:dyDescent="0.35">
      <c r="A59" s="84">
        <v>100516214</v>
      </c>
      <c r="B59" s="98" t="s">
        <v>61</v>
      </c>
      <c r="C59" s="99">
        <v>7790360967794</v>
      </c>
      <c r="D59" s="100">
        <v>7</v>
      </c>
      <c r="E59" s="101">
        <v>20</v>
      </c>
      <c r="F59" s="85">
        <f t="shared" si="21"/>
        <v>35163.986031039029</v>
      </c>
      <c r="G59" s="97"/>
      <c r="H59" s="85">
        <f t="shared" si="2"/>
        <v>35163.986031039029</v>
      </c>
      <c r="I59" s="85">
        <f t="shared" si="3"/>
        <v>1758.1993015519515</v>
      </c>
      <c r="J59" s="85">
        <f t="shared" si="4"/>
        <v>369.22185332590982</v>
      </c>
      <c r="K59" s="85">
        <f t="shared" si="5"/>
        <v>2127.4211548778612</v>
      </c>
      <c r="L59" s="85">
        <f>+K59*0.309</f>
        <v>657.37313685725917</v>
      </c>
      <c r="M59" s="85">
        <f t="shared" si="7"/>
        <v>2784.7942917351202</v>
      </c>
      <c r="N59" s="85">
        <f t="shared" si="8"/>
        <v>1113.9177166940481</v>
      </c>
      <c r="O59" s="102">
        <f t="shared" si="9"/>
        <v>3898.7120084291682</v>
      </c>
      <c r="P59" s="185">
        <f t="shared" si="1"/>
        <v>0</v>
      </c>
      <c r="Q59" s="25">
        <v>35163.986031039029</v>
      </c>
      <c r="S59" s="1" t="s">
        <v>183</v>
      </c>
      <c r="AA59" s="159" t="s">
        <v>145</v>
      </c>
      <c r="AB59">
        <v>21725</v>
      </c>
      <c r="AC59" s="162">
        <f>+F69</f>
        <v>28863.526739770317</v>
      </c>
      <c r="AD59" s="171">
        <f>+(AC59-AE59)/AC59</f>
        <v>0.41795054528621728</v>
      </c>
      <c r="AE59" s="162">
        <v>16800</v>
      </c>
      <c r="AF59" s="162" t="s">
        <v>148</v>
      </c>
      <c r="AG59" s="174" t="s">
        <v>141</v>
      </c>
      <c r="AI59">
        <v>31567.075601613211</v>
      </c>
      <c r="AJ59">
        <f t="shared" si="10"/>
        <v>0.11394500000000002</v>
      </c>
      <c r="AN59" s="27">
        <v>100021705</v>
      </c>
      <c r="AO59" s="24">
        <v>29873.001250629008</v>
      </c>
    </row>
    <row r="60" spans="1:41" ht="15.5" x14ac:dyDescent="0.35">
      <c r="A60" s="84">
        <v>100516215</v>
      </c>
      <c r="B60" s="98" t="s">
        <v>62</v>
      </c>
      <c r="C60" s="99">
        <v>7790360967800</v>
      </c>
      <c r="D60" s="100">
        <v>7</v>
      </c>
      <c r="E60" s="101">
        <v>20</v>
      </c>
      <c r="F60" s="85">
        <f t="shared" si="21"/>
        <v>35163.986031039029</v>
      </c>
      <c r="G60" s="97"/>
      <c r="H60" s="85">
        <f t="shared" si="2"/>
        <v>35163.986031039029</v>
      </c>
      <c r="I60" s="85">
        <f t="shared" si="3"/>
        <v>1758.1993015519515</v>
      </c>
      <c r="J60" s="85">
        <f t="shared" si="4"/>
        <v>369.22185332590982</v>
      </c>
      <c r="K60" s="85">
        <f t="shared" si="5"/>
        <v>2127.4211548778612</v>
      </c>
      <c r="L60" s="85">
        <f t="shared" ref="L60:L61" si="38">+K60*0.309</f>
        <v>657.37313685725917</v>
      </c>
      <c r="M60" s="85">
        <f t="shared" si="7"/>
        <v>2784.7942917351202</v>
      </c>
      <c r="N60" s="85">
        <f t="shared" si="8"/>
        <v>1113.9177166940481</v>
      </c>
      <c r="O60" s="102">
        <f t="shared" si="9"/>
        <v>3898.7120084291682</v>
      </c>
      <c r="P60" s="185">
        <f t="shared" si="1"/>
        <v>0</v>
      </c>
      <c r="Q60" s="25">
        <v>35163.986031039029</v>
      </c>
      <c r="S60" s="1" t="s">
        <v>183</v>
      </c>
      <c r="AA60" s="159" t="s">
        <v>145</v>
      </c>
      <c r="AB60" s="161">
        <v>100517679</v>
      </c>
      <c r="AC60" s="157">
        <v>34124.322337114681</v>
      </c>
      <c r="AD60" s="171">
        <f>+(AC60-AE60)/AC60</f>
        <v>0.36983363984311046</v>
      </c>
      <c r="AE60" s="173">
        <v>21504</v>
      </c>
      <c r="AF60" s="162" t="s">
        <v>148</v>
      </c>
      <c r="AG60" s="174" t="s">
        <v>142</v>
      </c>
      <c r="AI60">
        <v>31567.075601613211</v>
      </c>
      <c r="AJ60">
        <f t="shared" si="10"/>
        <v>0.11394500000000002</v>
      </c>
      <c r="AN60" s="27">
        <v>100021709</v>
      </c>
      <c r="AO60" s="24">
        <v>56553.218821026654</v>
      </c>
    </row>
    <row r="61" spans="1:41" x14ac:dyDescent="0.35">
      <c r="A61" s="84">
        <v>100516216</v>
      </c>
      <c r="B61" s="98" t="s">
        <v>63</v>
      </c>
      <c r="C61" s="99">
        <v>7790360967817</v>
      </c>
      <c r="D61" s="100">
        <v>7</v>
      </c>
      <c r="E61" s="101">
        <v>20</v>
      </c>
      <c r="F61" s="85">
        <f t="shared" si="21"/>
        <v>35163.986031039029</v>
      </c>
      <c r="G61" s="97"/>
      <c r="H61" s="85">
        <f t="shared" si="2"/>
        <v>35163.986031039029</v>
      </c>
      <c r="I61" s="85">
        <f t="shared" si="3"/>
        <v>1758.1993015519515</v>
      </c>
      <c r="J61" s="85">
        <f t="shared" si="4"/>
        <v>369.22185332590982</v>
      </c>
      <c r="K61" s="85">
        <f t="shared" si="5"/>
        <v>2127.4211548778612</v>
      </c>
      <c r="L61" s="85">
        <f t="shared" si="38"/>
        <v>657.37313685725917</v>
      </c>
      <c r="M61" s="85">
        <f t="shared" si="7"/>
        <v>2784.7942917351202</v>
      </c>
      <c r="N61" s="85">
        <f t="shared" si="8"/>
        <v>1113.9177166940481</v>
      </c>
      <c r="O61" s="102">
        <f t="shared" si="9"/>
        <v>3898.7120084291682</v>
      </c>
      <c r="P61" s="185">
        <f t="shared" si="1"/>
        <v>0</v>
      </c>
      <c r="Q61" s="25">
        <v>35163.986031039029</v>
      </c>
      <c r="S61" s="1" t="s">
        <v>183</v>
      </c>
      <c r="AA61" s="159" t="s">
        <v>146</v>
      </c>
      <c r="AB61">
        <v>21644</v>
      </c>
      <c r="AC61" s="165">
        <v>14418.308963763509</v>
      </c>
      <c r="AD61" s="176">
        <v>3.031E-2</v>
      </c>
      <c r="AE61" s="156">
        <v>13981.290019071837</v>
      </c>
      <c r="AF61" s="170">
        <v>750</v>
      </c>
      <c r="AG61" s="174" t="s">
        <v>141</v>
      </c>
      <c r="AI61">
        <v>31567.075601613211</v>
      </c>
      <c r="AJ61">
        <f t="shared" si="10"/>
        <v>0.11394500000000002</v>
      </c>
      <c r="AN61" s="27">
        <v>100521357</v>
      </c>
      <c r="AO61" s="24">
        <v>44177.826000000015</v>
      </c>
    </row>
    <row r="62" spans="1:41" ht="15" thickBot="1" x14ac:dyDescent="0.4">
      <c r="A62" s="32"/>
      <c r="B62" s="33"/>
      <c r="C62" s="34"/>
      <c r="D62" s="33"/>
      <c r="E62" s="35"/>
      <c r="F62" s="36" t="e">
        <f t="shared" si="21"/>
        <v>#N/A</v>
      </c>
      <c r="G62" s="134"/>
      <c r="H62" s="36" t="e">
        <f t="shared" si="2"/>
        <v>#N/A</v>
      </c>
      <c r="I62" s="37" t="e">
        <f t="shared" si="3"/>
        <v>#N/A</v>
      </c>
      <c r="J62" s="38"/>
      <c r="K62" s="37"/>
      <c r="L62" s="17"/>
      <c r="M62" s="16"/>
      <c r="N62" s="17"/>
      <c r="O62" s="39"/>
      <c r="P62" s="185" t="e">
        <f t="shared" si="1"/>
        <v>#N/A</v>
      </c>
      <c r="Q62" s="39" t="e">
        <v>#N/A</v>
      </c>
      <c r="AA62" s="175" t="s">
        <v>146</v>
      </c>
      <c r="AB62" s="158">
        <v>21643</v>
      </c>
      <c r="AC62" s="167">
        <v>19573.727707698999</v>
      </c>
      <c r="AD62" s="169">
        <v>7.4359999999999996E-2</v>
      </c>
      <c r="AE62" s="160">
        <v>18118.225315354503</v>
      </c>
      <c r="AF62" s="163">
        <v>950</v>
      </c>
      <c r="AG62" s="166" t="s">
        <v>143</v>
      </c>
      <c r="AI62" t="e">
        <v>#N/A</v>
      </c>
      <c r="AJ62" t="e">
        <f t="shared" si="10"/>
        <v>#N/A</v>
      </c>
      <c r="AN62" s="233">
        <v>100521358</v>
      </c>
      <c r="AO62" s="234">
        <v>66266.739000000016</v>
      </c>
    </row>
    <row r="63" spans="1:41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f t="shared" si="21"/>
        <v>32852.08756529948</v>
      </c>
      <c r="G63" s="135"/>
      <c r="H63" s="24">
        <f t="shared" si="2"/>
        <v>32852.08756529948</v>
      </c>
      <c r="I63" s="24">
        <f t="shared" si="3"/>
        <v>2737.6739637749565</v>
      </c>
      <c r="J63" s="24">
        <f t="shared" si="4"/>
        <v>574.91153239274081</v>
      </c>
      <c r="K63" s="24">
        <f t="shared" si="5"/>
        <v>3312.5854961676973</v>
      </c>
      <c r="L63" s="24">
        <f t="shared" si="6"/>
        <v>1093.1532137353402</v>
      </c>
      <c r="M63" s="24">
        <f t="shared" si="7"/>
        <v>4405.7387099030375</v>
      </c>
      <c r="N63" s="24">
        <f t="shared" si="8"/>
        <v>1762.295483961215</v>
      </c>
      <c r="O63" s="25">
        <f t="shared" si="9"/>
        <v>6168.0341938642523</v>
      </c>
      <c r="P63" s="185">
        <f t="shared" si="1"/>
        <v>0</v>
      </c>
      <c r="Q63" s="25">
        <v>32852.08756529948</v>
      </c>
      <c r="AI63">
        <v>31287.70244314236</v>
      </c>
      <c r="AJ63">
        <f t="shared" si="10"/>
        <v>5.0000000000000072E-2</v>
      </c>
      <c r="AN63" s="27">
        <v>100522130</v>
      </c>
      <c r="AO63" s="24">
        <v>36420.08712457501</v>
      </c>
    </row>
    <row r="64" spans="1:41" hidden="1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>
        <f t="shared" si="21"/>
        <v>29873.001250629008</v>
      </c>
      <c r="G64" s="135"/>
      <c r="H64" s="24">
        <f t="shared" si="2"/>
        <v>29873.001250629008</v>
      </c>
      <c r="I64" s="24">
        <f t="shared" si="3"/>
        <v>2489.4167708857508</v>
      </c>
      <c r="J64" s="24">
        <f t="shared" si="4"/>
        <v>522.77752188600766</v>
      </c>
      <c r="K64" s="24">
        <f t="shared" si="5"/>
        <v>3012.1942927717582</v>
      </c>
      <c r="L64" s="24">
        <f t="shared" si="6"/>
        <v>994.02411661468022</v>
      </c>
      <c r="M64" s="24">
        <f t="shared" si="7"/>
        <v>4006.2184093864385</v>
      </c>
      <c r="N64" s="24">
        <f t="shared" si="8"/>
        <v>1602.4873637545754</v>
      </c>
      <c r="O64" s="25">
        <f t="shared" si="9"/>
        <v>5608.7057731410141</v>
      </c>
      <c r="P64" s="185" t="e">
        <f t="shared" si="1"/>
        <v>#N/A</v>
      </c>
      <c r="Q64" s="25" t="e">
        <v>#N/A</v>
      </c>
      <c r="AI64">
        <v>28450.477381551435</v>
      </c>
      <c r="AJ64">
        <f t="shared" si="10"/>
        <v>5.0000000000000051E-2</v>
      </c>
      <c r="AN64" s="41">
        <v>100021725</v>
      </c>
      <c r="AO64" s="24">
        <v>28863.526739770317</v>
      </c>
    </row>
    <row r="65" spans="1:41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f t="shared" si="21"/>
        <v>56553.218821026654</v>
      </c>
      <c r="G65" s="136"/>
      <c r="H65" s="24">
        <f t="shared" si="2"/>
        <v>56553.218821026654</v>
      </c>
      <c r="I65" s="24">
        <f t="shared" si="3"/>
        <v>5655.3218821026658</v>
      </c>
      <c r="J65" s="24">
        <f t="shared" si="4"/>
        <v>1187.6175952415597</v>
      </c>
      <c r="K65" s="24">
        <f t="shared" si="5"/>
        <v>6842.9394773442255</v>
      </c>
      <c r="L65" s="24">
        <f t="shared" si="6"/>
        <v>2258.1700275235944</v>
      </c>
      <c r="M65" s="24">
        <f t="shared" si="7"/>
        <v>9101.1095048678199</v>
      </c>
      <c r="N65" s="24">
        <f t="shared" si="8"/>
        <v>3640.4438019471281</v>
      </c>
      <c r="O65" s="25">
        <f t="shared" si="9"/>
        <v>12741.553306814949</v>
      </c>
      <c r="P65" s="186">
        <f t="shared" si="1"/>
        <v>0</v>
      </c>
      <c r="Q65" s="25">
        <v>56553.218821026654</v>
      </c>
      <c r="AI65">
        <v>44881.711660534769</v>
      </c>
      <c r="AJ65">
        <f t="shared" si="10"/>
        <v>0.26005040201608071</v>
      </c>
      <c r="AN65" s="27">
        <v>100517055</v>
      </c>
      <c r="AO65" s="24">
        <v>24684.358945969321</v>
      </c>
    </row>
    <row r="66" spans="1:41" x14ac:dyDescent="0.35">
      <c r="A66" s="84">
        <v>100521357</v>
      </c>
      <c r="B66" s="98" t="s">
        <v>122</v>
      </c>
      <c r="C66" s="99">
        <v>7790360982018</v>
      </c>
      <c r="D66" s="100">
        <v>4.5599999999999996</v>
      </c>
      <c r="E66" s="101">
        <v>12</v>
      </c>
      <c r="F66" s="85">
        <f t="shared" si="21"/>
        <v>44177.826000000015</v>
      </c>
      <c r="G66" s="117">
        <v>0.33</v>
      </c>
      <c r="H66" s="85">
        <f t="shared" si="2"/>
        <v>29599.143420000008</v>
      </c>
      <c r="I66" s="85">
        <f t="shared" si="3"/>
        <v>2466.5952850000008</v>
      </c>
      <c r="J66" s="85">
        <f t="shared" si="4"/>
        <v>517.9850098500001</v>
      </c>
      <c r="K66" s="85">
        <f t="shared" si="5"/>
        <v>2984.5802948500009</v>
      </c>
      <c r="L66" s="85">
        <f t="shared" si="6"/>
        <v>984.91149730050029</v>
      </c>
      <c r="M66" s="85">
        <f t="shared" si="7"/>
        <v>3969.4917921505012</v>
      </c>
      <c r="N66" s="85">
        <f t="shared" si="8"/>
        <v>1587.7967168602006</v>
      </c>
      <c r="O66" s="102">
        <f t="shared" si="9"/>
        <v>5557.288509010702</v>
      </c>
      <c r="P66" s="185">
        <f t="shared" si="1"/>
        <v>0</v>
      </c>
      <c r="Q66" s="25">
        <v>29599.143420000008</v>
      </c>
      <c r="S66" s="192" t="s">
        <v>201</v>
      </c>
      <c r="AD66">
        <f>6*60</f>
        <v>360</v>
      </c>
      <c r="AI66">
        <v>42074.12000000001</v>
      </c>
      <c r="AN66" s="27">
        <v>100517186</v>
      </c>
      <c r="AO66" s="24">
        <v>62354.911212129613</v>
      </c>
    </row>
    <row r="67" spans="1:41" x14ac:dyDescent="0.35">
      <c r="A67" s="221">
        <v>100521358</v>
      </c>
      <c r="B67" s="218" t="s">
        <v>130</v>
      </c>
      <c r="C67" s="99">
        <v>7790360982025</v>
      </c>
      <c r="D67" s="100">
        <v>7.6</v>
      </c>
      <c r="E67" s="101">
        <v>10</v>
      </c>
      <c r="F67" s="85">
        <f t="shared" si="21"/>
        <v>66266.739000000016</v>
      </c>
      <c r="G67" s="117">
        <v>0.33</v>
      </c>
      <c r="H67" s="85">
        <f t="shared" ref="H67" si="39">+F67*(1-G67)</f>
        <v>44398.715130000004</v>
      </c>
      <c r="I67" s="85">
        <f t="shared" ref="I67" si="40">+H67/E67</f>
        <v>4439.871513</v>
      </c>
      <c r="J67" s="85">
        <f t="shared" ref="J67" si="41">+I67*J$3</f>
        <v>932.37301773000002</v>
      </c>
      <c r="K67" s="85">
        <f t="shared" ref="K67" si="42">+I67+J67</f>
        <v>5372.2445307300004</v>
      </c>
      <c r="L67" s="85">
        <f t="shared" ref="L67" si="43">+K67*L$3</f>
        <v>1772.8406951409002</v>
      </c>
      <c r="M67" s="85">
        <f t="shared" ref="M67" si="44">+K67+L67</f>
        <v>7145.0852258709001</v>
      </c>
      <c r="N67" s="85">
        <f t="shared" ref="N67" si="45">+M67*N$3</f>
        <v>2858.0340903483602</v>
      </c>
      <c r="O67" s="102">
        <f t="shared" ref="O67" si="46">+M67+N67</f>
        <v>10003.119316219261</v>
      </c>
      <c r="P67" s="185">
        <f t="shared" si="1"/>
        <v>-0.33000000000000007</v>
      </c>
      <c r="Q67" s="25">
        <v>66266.739000000016</v>
      </c>
      <c r="S67" s="1" t="s">
        <v>209</v>
      </c>
      <c r="Y67" t="s">
        <v>135</v>
      </c>
      <c r="Z67" t="s">
        <v>154</v>
      </c>
      <c r="AA67" t="s">
        <v>131</v>
      </c>
      <c r="AB67" t="s">
        <v>155</v>
      </c>
      <c r="AD67">
        <f>+AD66*6</f>
        <v>2160</v>
      </c>
      <c r="AI67">
        <v>63111.180000000008</v>
      </c>
      <c r="AN67" s="80">
        <v>100521663</v>
      </c>
      <c r="AO67" s="24">
        <v>39946.383076936734</v>
      </c>
    </row>
    <row r="68" spans="1:41" x14ac:dyDescent="0.35">
      <c r="A68" s="27">
        <v>100522130</v>
      </c>
      <c r="B68" s="28" t="s">
        <v>123</v>
      </c>
      <c r="C68" s="21">
        <v>7790360982445</v>
      </c>
      <c r="D68" s="22">
        <v>4.8</v>
      </c>
      <c r="E68" s="23">
        <v>12</v>
      </c>
      <c r="F68" s="24">
        <f t="shared" si="21"/>
        <v>36420.08712457501</v>
      </c>
      <c r="G68" s="136"/>
      <c r="H68" s="24">
        <f t="shared" si="2"/>
        <v>36420.08712457501</v>
      </c>
      <c r="I68" s="24">
        <f t="shared" si="3"/>
        <v>3035.0072603812509</v>
      </c>
      <c r="J68" s="24">
        <f t="shared" si="4"/>
        <v>637.35152468006265</v>
      </c>
      <c r="K68" s="24">
        <f t="shared" si="5"/>
        <v>3672.3587850613135</v>
      </c>
      <c r="L68" s="24">
        <f t="shared" si="6"/>
        <v>1211.8783990702334</v>
      </c>
      <c r="M68" s="24">
        <f t="shared" si="7"/>
        <v>4884.2371841315471</v>
      </c>
      <c r="N68" s="24">
        <f t="shared" si="8"/>
        <v>1953.694873652619</v>
      </c>
      <c r="O68" s="194">
        <f t="shared" si="9"/>
        <v>6837.9320577841663</v>
      </c>
      <c r="P68" s="185">
        <f t="shared" si="1"/>
        <v>5.0000000000000044E-2</v>
      </c>
      <c r="Q68" s="25">
        <v>34685.797261500011</v>
      </c>
      <c r="Y68">
        <v>4000</v>
      </c>
      <c r="Z68">
        <v>4200</v>
      </c>
      <c r="AA68" s="124">
        <v>5344</v>
      </c>
      <c r="AB68" s="124">
        <v>6700</v>
      </c>
      <c r="AI68">
        <v>21304.737641032927</v>
      </c>
      <c r="AJ68">
        <f t="shared" si="10"/>
        <v>0.70948301444604123</v>
      </c>
      <c r="AN68" s="41">
        <v>100021728</v>
      </c>
      <c r="AO68" s="24">
        <v>37828.070417268318</v>
      </c>
    </row>
    <row r="69" spans="1:41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f t="shared" si="21"/>
        <v>28863.526739770317</v>
      </c>
      <c r="G69" s="137"/>
      <c r="H69" s="46">
        <f t="shared" si="2"/>
        <v>28863.526739770317</v>
      </c>
      <c r="I69" s="46">
        <f t="shared" si="3"/>
        <v>7215.8816849425793</v>
      </c>
      <c r="J69" s="46">
        <f t="shared" si="4"/>
        <v>1515.3351538379416</v>
      </c>
      <c r="K69" s="46">
        <f t="shared" si="5"/>
        <v>8731.2168387805214</v>
      </c>
      <c r="L69" s="46">
        <f t="shared" si="6"/>
        <v>2881.3015567975722</v>
      </c>
      <c r="M69" s="46">
        <f t="shared" si="7"/>
        <v>11612.518395578094</v>
      </c>
      <c r="N69" s="46">
        <f t="shared" si="8"/>
        <v>4645.007358231238</v>
      </c>
      <c r="O69" s="47">
        <f t="shared" si="9"/>
        <v>16257.525753809332</v>
      </c>
      <c r="P69" s="185">
        <f t="shared" si="1"/>
        <v>0</v>
      </c>
      <c r="Q69" s="47">
        <v>28863.526739770317</v>
      </c>
      <c r="AI69">
        <v>27489.07308549554</v>
      </c>
      <c r="AJ69">
        <f t="shared" si="10"/>
        <v>5.0000000000000017E-2</v>
      </c>
      <c r="AN69" s="41">
        <v>100517679</v>
      </c>
      <c r="AO69" s="24">
        <v>35830.538453970417</v>
      </c>
    </row>
    <row r="70" spans="1:41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f t="shared" si="21"/>
        <v>24684.358945969321</v>
      </c>
      <c r="G70" s="135"/>
      <c r="H70" s="24">
        <f t="shared" si="2"/>
        <v>24684.358945969321</v>
      </c>
      <c r="I70" s="24">
        <f t="shared" si="3"/>
        <v>2057.0299121641101</v>
      </c>
      <c r="J70" s="24">
        <f t="shared" si="4"/>
        <v>431.97628155446313</v>
      </c>
      <c r="K70" s="24">
        <f t="shared" si="5"/>
        <v>2489.0061937185733</v>
      </c>
      <c r="L70" s="24">
        <f t="shared" si="6"/>
        <v>821.3720439271292</v>
      </c>
      <c r="M70" s="24">
        <f t="shared" si="7"/>
        <v>3310.3782376457025</v>
      </c>
      <c r="N70" s="24">
        <f t="shared" si="8"/>
        <v>1324.151295058281</v>
      </c>
      <c r="O70" s="25">
        <f t="shared" si="9"/>
        <v>4634.5295327039839</v>
      </c>
      <c r="P70" s="185">
        <f t="shared" si="1"/>
        <v>0</v>
      </c>
      <c r="Q70" s="25">
        <v>24684.358945969321</v>
      </c>
      <c r="Z70">
        <f>+Z68*12</f>
        <v>50400</v>
      </c>
      <c r="AI70">
        <v>23508.913281875542</v>
      </c>
      <c r="AJ70">
        <f t="shared" si="10"/>
        <v>5.0000000000000072E-2</v>
      </c>
      <c r="AN70" s="32"/>
      <c r="AO70" s="36"/>
    </row>
    <row r="71" spans="1:41" x14ac:dyDescent="0.35">
      <c r="A71" s="27">
        <v>100517186</v>
      </c>
      <c r="B71" s="28" t="s">
        <v>69</v>
      </c>
      <c r="C71" s="21">
        <v>7790360971395</v>
      </c>
      <c r="D71" s="22">
        <v>8</v>
      </c>
      <c r="E71" s="23">
        <v>8</v>
      </c>
      <c r="F71" s="24">
        <f t="shared" si="21"/>
        <v>62354.911212129613</v>
      </c>
      <c r="G71" s="135"/>
      <c r="H71" s="24">
        <f t="shared" si="2"/>
        <v>62354.911212129613</v>
      </c>
      <c r="I71" s="24">
        <f t="shared" si="3"/>
        <v>7794.3639015162016</v>
      </c>
      <c r="J71" s="24">
        <f t="shared" si="4"/>
        <v>1636.8164193184023</v>
      </c>
      <c r="K71" s="24">
        <f t="shared" si="5"/>
        <v>9431.1803208346046</v>
      </c>
      <c r="L71" s="24">
        <f t="shared" si="6"/>
        <v>3112.2895058754198</v>
      </c>
      <c r="M71" s="24">
        <f t="shared" si="7"/>
        <v>12543.469826710025</v>
      </c>
      <c r="N71" s="24">
        <f t="shared" si="8"/>
        <v>5017.3879306840099</v>
      </c>
      <c r="O71" s="25">
        <f t="shared" si="9"/>
        <v>17560.857757394035</v>
      </c>
      <c r="P71" s="185">
        <f t="shared" ref="P71:P108" si="47">H71/Q71-1</f>
        <v>0</v>
      </c>
      <c r="Q71" s="25">
        <v>62354.911212129613</v>
      </c>
      <c r="Z71">
        <f>+Z70/1.21/1.33/1.4</f>
        <v>22369.974523084569</v>
      </c>
      <c r="AI71">
        <v>59385.629725837724</v>
      </c>
      <c r="AJ71">
        <f t="shared" si="10"/>
        <v>5.0000000000000058E-2</v>
      </c>
      <c r="AN71" s="27">
        <v>100516219</v>
      </c>
      <c r="AO71" s="24">
        <v>16599.454447073913</v>
      </c>
    </row>
    <row r="72" spans="1:41" x14ac:dyDescent="0.35">
      <c r="A72" s="125">
        <v>100521663</v>
      </c>
      <c r="B72" s="126" t="s">
        <v>124</v>
      </c>
      <c r="C72" s="99">
        <v>7790360982537</v>
      </c>
      <c r="D72" s="100">
        <v>4.8</v>
      </c>
      <c r="E72" s="101">
        <v>12</v>
      </c>
      <c r="F72" s="85">
        <v>39946.383076936734</v>
      </c>
      <c r="G72" s="117">
        <v>0.33</v>
      </c>
      <c r="H72" s="85">
        <f t="shared" ref="H72" si="48">+F72*(1-G72)</f>
        <v>26764.07666154761</v>
      </c>
      <c r="I72" s="85">
        <f t="shared" ref="I72" si="49">+H72/E72</f>
        <v>2230.339721795634</v>
      </c>
      <c r="J72" s="85">
        <f t="shared" ref="J72" si="50">+I72*J$3</f>
        <v>468.37134157708311</v>
      </c>
      <c r="K72" s="85">
        <f t="shared" ref="K72" si="51">+I72+J72</f>
        <v>2698.711063372717</v>
      </c>
      <c r="L72" s="85">
        <f>+K72*0.323</f>
        <v>871.6836734693876</v>
      </c>
      <c r="M72" s="85">
        <f t="shared" ref="M72" si="52">+K72+L72</f>
        <v>3570.3947368421045</v>
      </c>
      <c r="N72" s="85">
        <f t="shared" ref="N72" si="53">+M72*N$3</f>
        <v>1428.1578947368419</v>
      </c>
      <c r="O72" s="102">
        <f t="shared" ref="O72" si="54">+M72+N72</f>
        <v>4998.5526315789466</v>
      </c>
      <c r="P72" s="185">
        <f t="shared" si="47"/>
        <v>0</v>
      </c>
      <c r="Q72" s="25">
        <v>26764.07666154761</v>
      </c>
      <c r="S72" s="192" t="s">
        <v>201</v>
      </c>
      <c r="Z72" s="82">
        <f>+F68-Z71</f>
        <v>14050.11260149044</v>
      </c>
      <c r="AI72">
        <v>42746.880000000005</v>
      </c>
      <c r="AN72" s="27">
        <v>100516220</v>
      </c>
      <c r="AO72" s="24">
        <v>17830.838018208367</v>
      </c>
    </row>
    <row r="73" spans="1:41" ht="15" thickBot="1" x14ac:dyDescent="0.4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f t="shared" ref="F73:F100" si="55">+VLOOKUP(A73,$AN$3:$AO$109,2,FALSE)</f>
        <v>37828.070417268318</v>
      </c>
      <c r="G73" s="137"/>
      <c r="H73" s="46">
        <f t="shared" si="2"/>
        <v>37828.070417268318</v>
      </c>
      <c r="I73" s="46">
        <f t="shared" si="3"/>
        <v>3152.3392014390265</v>
      </c>
      <c r="J73" s="46">
        <f t="shared" si="4"/>
        <v>661.9912323021955</v>
      </c>
      <c r="K73" s="46">
        <f t="shared" si="5"/>
        <v>3814.3304337412219</v>
      </c>
      <c r="L73" s="46">
        <f t="shared" si="6"/>
        <v>1258.7290431346032</v>
      </c>
      <c r="M73" s="46">
        <f t="shared" si="7"/>
        <v>5073.0594768758256</v>
      </c>
      <c r="N73" s="46">
        <f t="shared" si="8"/>
        <v>2029.2237907503304</v>
      </c>
      <c r="O73" s="47">
        <f t="shared" si="9"/>
        <v>7102.283267626156</v>
      </c>
      <c r="P73" s="185">
        <f t="shared" si="47"/>
        <v>0</v>
      </c>
      <c r="Q73" s="47">
        <v>37828.070417268318</v>
      </c>
      <c r="Z73">
        <f>+Z72/F68</f>
        <v>0.38577921446019586</v>
      </c>
      <c r="AI73">
        <v>36026.733730731728</v>
      </c>
      <c r="AJ73">
        <f t="shared" si="10"/>
        <v>5.0000000000000093E-2</v>
      </c>
      <c r="AN73" s="49"/>
      <c r="AO73" s="53"/>
    </row>
    <row r="74" spans="1:41" x14ac:dyDescent="0.35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f t="shared" si="55"/>
        <v>35830.538453970417</v>
      </c>
      <c r="G74" s="137"/>
      <c r="H74" s="46">
        <f t="shared" si="2"/>
        <v>35830.538453970417</v>
      </c>
      <c r="I74" s="46">
        <f t="shared" si="3"/>
        <v>4478.8173067463022</v>
      </c>
      <c r="J74" s="46">
        <f t="shared" si="4"/>
        <v>940.55163441672346</v>
      </c>
      <c r="K74" s="46">
        <f t="shared" si="5"/>
        <v>5419.3689411630257</v>
      </c>
      <c r="L74" s="46">
        <f t="shared" si="6"/>
        <v>1788.3917505837985</v>
      </c>
      <c r="M74" s="46">
        <f t="shared" si="7"/>
        <v>7207.7606917468238</v>
      </c>
      <c r="N74" s="46">
        <f t="shared" si="8"/>
        <v>2883.1042766987298</v>
      </c>
      <c r="O74" s="47">
        <f t="shared" si="9"/>
        <v>10090.864968445554</v>
      </c>
      <c r="P74" s="185">
        <f t="shared" si="47"/>
        <v>0</v>
      </c>
      <c r="Q74" s="47">
        <v>35830.538453970417</v>
      </c>
      <c r="AI74">
        <v>34124.322337114681</v>
      </c>
      <c r="AJ74">
        <f t="shared" si="10"/>
        <v>5.0000000000000051E-2</v>
      </c>
      <c r="AN74" s="56">
        <v>100518158</v>
      </c>
      <c r="AO74" s="61">
        <v>72003.355496178468</v>
      </c>
    </row>
    <row r="75" spans="1:41" hidden="1" x14ac:dyDescent="0.35">
      <c r="A75" s="32"/>
      <c r="B75" s="33"/>
      <c r="C75" s="34"/>
      <c r="D75" s="33"/>
      <c r="E75" s="35"/>
      <c r="F75" s="36" t="e">
        <f t="shared" si="55"/>
        <v>#N/A</v>
      </c>
      <c r="G75" s="134"/>
      <c r="H75" s="36" t="e">
        <f t="shared" si="2"/>
        <v>#N/A</v>
      </c>
      <c r="I75" s="37" t="e">
        <f t="shared" si="3"/>
        <v>#N/A</v>
      </c>
      <c r="J75" s="38"/>
      <c r="K75" s="37"/>
      <c r="L75" s="17"/>
      <c r="M75" s="16"/>
      <c r="N75" s="17"/>
      <c r="O75" s="39"/>
      <c r="P75" s="185" t="e">
        <f t="shared" si="47"/>
        <v>#N/A</v>
      </c>
      <c r="Q75" s="39" t="e">
        <v>#N/A</v>
      </c>
      <c r="AI75" t="e">
        <v>#N/A</v>
      </c>
      <c r="AJ75" t="e">
        <f t="shared" si="10"/>
        <v>#N/A</v>
      </c>
      <c r="AN75" s="27">
        <v>100518160</v>
      </c>
      <c r="AO75" s="24">
        <v>72003.355496178468</v>
      </c>
    </row>
    <row r="76" spans="1:41" ht="15" hidden="1" customHeight="1" thickBot="1" x14ac:dyDescent="0.4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f t="shared" si="55"/>
        <v>16599.454447073913</v>
      </c>
      <c r="G76" s="135"/>
      <c r="H76" s="24">
        <f t="shared" si="2"/>
        <v>16599.454447073913</v>
      </c>
      <c r="I76" s="24">
        <f t="shared" si="3"/>
        <v>663.97817788295652</v>
      </c>
      <c r="J76" s="24">
        <f t="shared" si="4"/>
        <v>139.43541735542087</v>
      </c>
      <c r="K76" s="24">
        <f t="shared" si="5"/>
        <v>803.41359523837741</v>
      </c>
      <c r="L76" s="24">
        <f t="shared" si="6"/>
        <v>265.12648642866458</v>
      </c>
      <c r="M76" s="24">
        <f t="shared" si="7"/>
        <v>1068.5400816670419</v>
      </c>
      <c r="N76" s="24">
        <f t="shared" si="8"/>
        <v>427.41603266681682</v>
      </c>
      <c r="O76" s="25">
        <f t="shared" si="9"/>
        <v>1495.9561143338587</v>
      </c>
      <c r="P76" s="185">
        <f t="shared" si="47"/>
        <v>0</v>
      </c>
      <c r="Q76" s="25">
        <v>16599.454447073913</v>
      </c>
      <c r="AI76">
        <v>16599.454447073913</v>
      </c>
      <c r="AJ76">
        <f t="shared" si="10"/>
        <v>0</v>
      </c>
      <c r="AN76" s="64">
        <v>100518463</v>
      </c>
      <c r="AO76" s="69">
        <v>33318.08548327742</v>
      </c>
    </row>
    <row r="77" spans="1:41" ht="15" hidden="1" customHeight="1" thickBot="1" x14ac:dyDescent="0.35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f t="shared" si="55"/>
        <v>17830.838018208367</v>
      </c>
      <c r="G77" s="135"/>
      <c r="H77" s="24">
        <f t="shared" si="2"/>
        <v>17830.838018208367</v>
      </c>
      <c r="I77" s="24">
        <f t="shared" si="3"/>
        <v>2971.8063363680612</v>
      </c>
      <c r="J77" s="24">
        <f t="shared" si="4"/>
        <v>624.07933063729286</v>
      </c>
      <c r="K77" s="24">
        <f t="shared" si="5"/>
        <v>3595.8856670053542</v>
      </c>
      <c r="L77" s="24">
        <f t="shared" si="6"/>
        <v>1186.6422701117669</v>
      </c>
      <c r="M77" s="24">
        <f t="shared" si="7"/>
        <v>4782.5279371171209</v>
      </c>
      <c r="N77" s="24">
        <f t="shared" si="8"/>
        <v>1913.0111748468485</v>
      </c>
      <c r="O77" s="25">
        <f t="shared" si="9"/>
        <v>6695.5391119639698</v>
      </c>
      <c r="P77" s="185">
        <f t="shared" si="47"/>
        <v>0</v>
      </c>
      <c r="Q77" s="25">
        <v>17830.838018208367</v>
      </c>
      <c r="AI77">
        <v>17830.838018208367</v>
      </c>
      <c r="AJ77">
        <f t="shared" si="10"/>
        <v>0</v>
      </c>
      <c r="AN77" s="71"/>
      <c r="AO77" s="75"/>
    </row>
    <row r="78" spans="1:41" ht="15" hidden="1" customHeight="1" thickBot="1" x14ac:dyDescent="0.4">
      <c r="A78" s="49"/>
      <c r="B78" s="50"/>
      <c r="C78" s="51"/>
      <c r="D78" s="50"/>
      <c r="E78" s="52"/>
      <c r="F78" s="53" t="e">
        <f t="shared" si="55"/>
        <v>#N/A</v>
      </c>
      <c r="G78" s="138"/>
      <c r="H78" s="53" t="e">
        <f t="shared" ref="H78:H106" si="56">+F78*(1-G78)</f>
        <v>#N/A</v>
      </c>
      <c r="I78" s="53" t="e">
        <f t="shared" ref="I78:I84" si="57">+H78/E78</f>
        <v>#N/A</v>
      </c>
      <c r="J78" s="53"/>
      <c r="K78" s="53"/>
      <c r="L78" s="53"/>
      <c r="M78" s="53"/>
      <c r="N78" s="53"/>
      <c r="O78" s="54"/>
      <c r="P78" s="185" t="e">
        <f t="shared" si="47"/>
        <v>#N/A</v>
      </c>
      <c r="Q78" s="55" t="e">
        <v>#N/A</v>
      </c>
      <c r="AI78" t="e">
        <v>#N/A</v>
      </c>
      <c r="AJ78" t="e">
        <f t="shared" ref="AJ78:AJ106" si="58">+(H78-AI78)/AI78</f>
        <v>#N/A</v>
      </c>
      <c r="AN78" s="202">
        <v>100518291</v>
      </c>
      <c r="AO78" s="61">
        <v>14228.63010787498</v>
      </c>
    </row>
    <row r="79" spans="1:41" ht="15" hidden="1" thickBot="1" x14ac:dyDescent="0.4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f t="shared" si="55"/>
        <v>72003.355496178468</v>
      </c>
      <c r="G79" s="139"/>
      <c r="H79" s="61">
        <f t="shared" si="56"/>
        <v>72003.355496178468</v>
      </c>
      <c r="I79" s="61">
        <f t="shared" si="57"/>
        <v>3000.1398123407694</v>
      </c>
      <c r="J79" s="61">
        <f>+I79*J$3</f>
        <v>630.0293605915615</v>
      </c>
      <c r="K79" s="61">
        <f>+I79+J79</f>
        <v>3630.1691729323311</v>
      </c>
      <c r="L79" s="61">
        <f>+K79*L$3</f>
        <v>1197.9558270676694</v>
      </c>
      <c r="M79" s="61">
        <f>+K79+L79</f>
        <v>4828.125</v>
      </c>
      <c r="N79" s="61">
        <f>+M79*N$3</f>
        <v>1931.25</v>
      </c>
      <c r="O79" s="62">
        <f>+M79+N79</f>
        <v>6759.375</v>
      </c>
      <c r="P79" s="185">
        <f t="shared" si="47"/>
        <v>0</v>
      </c>
      <c r="Q79" s="25">
        <v>72003.355496178468</v>
      </c>
      <c r="AI79">
        <v>72003.355496178468</v>
      </c>
      <c r="AJ79">
        <f t="shared" si="58"/>
        <v>0</v>
      </c>
      <c r="AN79" s="203">
        <v>100518292</v>
      </c>
      <c r="AO79" s="24">
        <v>33574.489918000429</v>
      </c>
    </row>
    <row r="80" spans="1:41" hidden="1" x14ac:dyDescent="0.35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f t="shared" si="55"/>
        <v>72003.355496178468</v>
      </c>
      <c r="G80" s="135"/>
      <c r="H80" s="24">
        <f t="shared" si="56"/>
        <v>72003.355496178468</v>
      </c>
      <c r="I80" s="24">
        <f t="shared" si="57"/>
        <v>6000.2796246815387</v>
      </c>
      <c r="J80" s="24">
        <f>+I80*J$3</f>
        <v>1260.058721183123</v>
      </c>
      <c r="K80" s="24">
        <f>+I80+J80</f>
        <v>7260.3383458646622</v>
      </c>
      <c r="L80" s="24">
        <f>+K80*L$3</f>
        <v>2395.9116541353387</v>
      </c>
      <c r="M80" s="24">
        <f>+K80+L80</f>
        <v>9656.25</v>
      </c>
      <c r="N80" s="24">
        <f>+M80*N$3</f>
        <v>3862.5</v>
      </c>
      <c r="O80" s="25">
        <f>+M80+N80</f>
        <v>13518.75</v>
      </c>
      <c r="P80" s="185">
        <f t="shared" si="47"/>
        <v>0</v>
      </c>
      <c r="Q80" s="25">
        <v>72003.355496178468</v>
      </c>
      <c r="AI80">
        <v>72003.355496178468</v>
      </c>
      <c r="AJ80">
        <f t="shared" si="58"/>
        <v>0</v>
      </c>
      <c r="AN80" s="71"/>
      <c r="AO80" s="75"/>
    </row>
    <row r="81" spans="1:41" ht="15" hidden="1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f t="shared" si="55"/>
        <v>33318.08548327742</v>
      </c>
      <c r="G81" s="140"/>
      <c r="H81" s="69">
        <f t="shared" si="56"/>
        <v>33318.08548327742</v>
      </c>
      <c r="I81" s="69">
        <f t="shared" si="57"/>
        <v>33318.08548327742</v>
      </c>
      <c r="J81" s="69">
        <f>+I81*J$3</f>
        <v>6996.7979514882581</v>
      </c>
      <c r="K81" s="69">
        <f>+I81+J81</f>
        <v>40314.883434765681</v>
      </c>
      <c r="L81" s="69">
        <f>+K81*L$3</f>
        <v>13303.911533472676</v>
      </c>
      <c r="M81" s="69">
        <f>+K81+L81</f>
        <v>53618.794968238355</v>
      </c>
      <c r="N81" s="69">
        <f>+M81*N$3</f>
        <v>21447.517987295345</v>
      </c>
      <c r="O81" s="70">
        <f>+M81+N81</f>
        <v>75066.312955533707</v>
      </c>
      <c r="P81" s="185">
        <f t="shared" si="47"/>
        <v>0</v>
      </c>
      <c r="Q81" s="25">
        <v>33318.08548327742</v>
      </c>
      <c r="AI81">
        <v>33318.08548327742</v>
      </c>
      <c r="AJ81">
        <f t="shared" si="58"/>
        <v>0</v>
      </c>
      <c r="AN81" s="202">
        <v>100517915</v>
      </c>
      <c r="AO81" s="61">
        <v>145920.01119803212</v>
      </c>
    </row>
    <row r="82" spans="1:41" ht="15" thickBot="1" x14ac:dyDescent="0.4">
      <c r="A82" s="71"/>
      <c r="B82" s="72"/>
      <c r="C82" s="73"/>
      <c r="D82" s="72"/>
      <c r="E82" s="74"/>
      <c r="F82" s="75" t="e">
        <f t="shared" si="55"/>
        <v>#N/A</v>
      </c>
      <c r="G82" s="141"/>
      <c r="H82" s="75" t="e">
        <f t="shared" si="56"/>
        <v>#N/A</v>
      </c>
      <c r="I82" s="75" t="e">
        <f t="shared" si="57"/>
        <v>#N/A</v>
      </c>
      <c r="J82" s="75"/>
      <c r="K82" s="75"/>
      <c r="L82" s="75"/>
      <c r="M82" s="75"/>
      <c r="N82" s="75"/>
      <c r="O82" s="76"/>
      <c r="P82" s="185" t="e">
        <f t="shared" si="47"/>
        <v>#N/A</v>
      </c>
      <c r="Q82" s="55" t="e">
        <v>#N/A</v>
      </c>
      <c r="AI82" t="e">
        <v>#N/A</v>
      </c>
      <c r="AJ82" t="e">
        <f t="shared" si="58"/>
        <v>#N/A</v>
      </c>
      <c r="AN82" s="203">
        <v>100517914</v>
      </c>
      <c r="AO82" s="24">
        <v>159231.15888620811</v>
      </c>
    </row>
    <row r="83" spans="1:41" x14ac:dyDescent="0.35">
      <c r="A83" s="113">
        <v>100518291</v>
      </c>
      <c r="B83" s="114" t="s">
        <v>77</v>
      </c>
      <c r="C83" s="110">
        <v>7790360975195</v>
      </c>
      <c r="D83" s="115">
        <v>5</v>
      </c>
      <c r="E83" s="115">
        <v>10</v>
      </c>
      <c r="F83" s="111">
        <f t="shared" si="55"/>
        <v>14228.63010787498</v>
      </c>
      <c r="G83" s="117"/>
      <c r="H83" s="85">
        <f t="shared" si="56"/>
        <v>14228.63010787498</v>
      </c>
      <c r="I83" s="111">
        <f t="shared" si="57"/>
        <v>1422.8630107874981</v>
      </c>
      <c r="J83" s="111">
        <f>+I83*J$3</f>
        <v>298.80123226537461</v>
      </c>
      <c r="K83" s="111">
        <f>+I83+J83</f>
        <v>1721.6642430528727</v>
      </c>
      <c r="L83" s="111">
        <f>+K83*L$39</f>
        <v>378.76613347163203</v>
      </c>
      <c r="M83" s="111">
        <f>+K83+L83</f>
        <v>2100.4303765245049</v>
      </c>
      <c r="N83" s="111">
        <f>+M83*N$39</f>
        <v>735.15063178357673</v>
      </c>
      <c r="O83" s="112">
        <f>+M83+N83</f>
        <v>2835.5810083080814</v>
      </c>
      <c r="P83" s="185">
        <f t="shared" si="47"/>
        <v>5.0000000000000044E-2</v>
      </c>
      <c r="Q83" s="25">
        <v>13551.076293214266</v>
      </c>
      <c r="S83" s="1" t="s">
        <v>177</v>
      </c>
      <c r="Z83" s="129">
        <v>7.4261999999999995E-2</v>
      </c>
      <c r="AA83">
        <f>+H83*(1-Z83)</f>
        <v>13171.983578803967</v>
      </c>
      <c r="AB83">
        <f>+AA83/10</f>
        <v>1317.1983578803968</v>
      </c>
      <c r="AC83">
        <f>+AB83*1.21*1.22*1.35</f>
        <v>2625.005091469106</v>
      </c>
      <c r="AI83">
        <v>13551.076293214266</v>
      </c>
      <c r="AJ83">
        <f t="shared" si="58"/>
        <v>5.0000000000000058E-2</v>
      </c>
      <c r="AN83" s="71"/>
      <c r="AO83" s="75"/>
    </row>
    <row r="84" spans="1:41" ht="15" thickBot="1" x14ac:dyDescent="0.4">
      <c r="A84" s="104">
        <v>100518292</v>
      </c>
      <c r="B84" s="105" t="s">
        <v>78</v>
      </c>
      <c r="C84" s="106">
        <v>7790360975201</v>
      </c>
      <c r="D84" s="107">
        <v>12</v>
      </c>
      <c r="E84" s="107">
        <v>12</v>
      </c>
      <c r="F84" s="85">
        <f t="shared" si="55"/>
        <v>33574.489918000429</v>
      </c>
      <c r="G84" s="117"/>
      <c r="H84" s="85">
        <f t="shared" si="56"/>
        <v>33574.489918000429</v>
      </c>
      <c r="I84" s="108">
        <f t="shared" si="57"/>
        <v>2797.874159833369</v>
      </c>
      <c r="J84" s="108">
        <f>+I84*J$3</f>
        <v>587.55357356500747</v>
      </c>
      <c r="K84" s="108">
        <f>+I84+J84</f>
        <v>3385.4277333983764</v>
      </c>
      <c r="L84" s="108">
        <f>+K84*L$39</f>
        <v>744.79410134764282</v>
      </c>
      <c r="M84" s="108">
        <f>+K84+L84</f>
        <v>4130.2218347460193</v>
      </c>
      <c r="N84" s="108">
        <f>+M84*N$39</f>
        <v>1445.5776421611067</v>
      </c>
      <c r="O84" s="109">
        <f>+M84+N84</f>
        <v>5575.7994769071265</v>
      </c>
      <c r="P84" s="185">
        <f t="shared" si="47"/>
        <v>4.9999999999999822E-2</v>
      </c>
      <c r="Q84" s="25">
        <v>31975.704683809934</v>
      </c>
      <c r="S84" s="1" t="s">
        <v>178</v>
      </c>
      <c r="AI84">
        <v>31975.704683809934</v>
      </c>
      <c r="AJ84">
        <f t="shared" si="58"/>
        <v>4.9999999999999933E-2</v>
      </c>
      <c r="AN84" s="27">
        <v>100010689</v>
      </c>
      <c r="AO84" s="24">
        <v>15000</v>
      </c>
    </row>
    <row r="85" spans="1:41" ht="15" thickBot="1" x14ac:dyDescent="0.4">
      <c r="A85" s="71"/>
      <c r="B85" s="72"/>
      <c r="C85" s="73"/>
      <c r="D85" s="72"/>
      <c r="E85" s="74"/>
      <c r="F85" s="75" t="e">
        <f t="shared" si="55"/>
        <v>#N/A</v>
      </c>
      <c r="G85" s="141"/>
      <c r="H85" s="75" t="e">
        <f t="shared" si="56"/>
        <v>#N/A</v>
      </c>
      <c r="I85" s="75" t="e">
        <f>+H85/E85</f>
        <v>#N/A</v>
      </c>
      <c r="J85" s="96">
        <v>0.105</v>
      </c>
      <c r="K85" s="75"/>
      <c r="L85" s="75">
        <v>0.3</v>
      </c>
      <c r="M85" s="75"/>
      <c r="N85" s="75">
        <v>0.4</v>
      </c>
      <c r="O85" s="76"/>
      <c r="P85" s="185" t="e">
        <f t="shared" si="47"/>
        <v>#N/A</v>
      </c>
      <c r="Q85" s="76" t="e">
        <v>#N/A</v>
      </c>
      <c r="AI85" t="e">
        <v>#N/A</v>
      </c>
      <c r="AJ85" t="e">
        <f t="shared" si="58"/>
        <v>#N/A</v>
      </c>
      <c r="AN85" s="27">
        <v>100518335</v>
      </c>
      <c r="AO85" s="24">
        <v>10714.285714285714</v>
      </c>
    </row>
    <row r="86" spans="1:41" x14ac:dyDescent="0.35">
      <c r="A86" s="113">
        <v>100517915</v>
      </c>
      <c r="B86" s="114" t="s">
        <v>79</v>
      </c>
      <c r="C86" s="110">
        <v>7790360974020</v>
      </c>
      <c r="D86" s="115">
        <v>18</v>
      </c>
      <c r="E86" s="115">
        <v>36</v>
      </c>
      <c r="F86" s="111">
        <f t="shared" si="55"/>
        <v>145920.01119803212</v>
      </c>
      <c r="G86" s="97"/>
      <c r="H86" s="85">
        <f t="shared" si="56"/>
        <v>145920.01119803212</v>
      </c>
      <c r="I86" s="111">
        <f>+H86/E86</f>
        <v>4053.3336443897811</v>
      </c>
      <c r="J86" s="111">
        <f>+I86*J$85</f>
        <v>425.60003266092701</v>
      </c>
      <c r="K86" s="111">
        <f>+I86+J86</f>
        <v>4478.933677050708</v>
      </c>
      <c r="L86" s="111">
        <f>+K86*L$85</f>
        <v>1343.6801031152124</v>
      </c>
      <c r="M86" s="111">
        <f>+K86+L86</f>
        <v>5822.6137801659206</v>
      </c>
      <c r="N86" s="111">
        <f>+M86*N$85</f>
        <v>2329.0455120663682</v>
      </c>
      <c r="O86" s="112">
        <f>+M86+N86</f>
        <v>8151.6592922322889</v>
      </c>
      <c r="P86" s="185">
        <f t="shared" si="47"/>
        <v>0</v>
      </c>
      <c r="Q86" s="62">
        <v>145920.01119803212</v>
      </c>
      <c r="AI86">
        <v>126062.62630281298</v>
      </c>
      <c r="AJ86">
        <f t="shared" si="58"/>
        <v>0.15752000000000038</v>
      </c>
      <c r="AN86" s="27">
        <v>100518332</v>
      </c>
      <c r="AO86" s="24">
        <v>12321.428571428572</v>
      </c>
    </row>
    <row r="87" spans="1:41" ht="15" thickBot="1" x14ac:dyDescent="0.4">
      <c r="A87" s="104">
        <v>100517914</v>
      </c>
      <c r="B87" s="105" t="s">
        <v>80</v>
      </c>
      <c r="C87" s="106">
        <v>7790360974037</v>
      </c>
      <c r="D87" s="107">
        <v>20</v>
      </c>
      <c r="E87" s="107">
        <v>20</v>
      </c>
      <c r="F87" s="85">
        <f t="shared" si="55"/>
        <v>159231.15888620811</v>
      </c>
      <c r="G87" s="97"/>
      <c r="H87" s="85">
        <f t="shared" si="56"/>
        <v>159231.15888620811</v>
      </c>
      <c r="I87" s="108">
        <f>+H87/E87</f>
        <v>7961.5579443104052</v>
      </c>
      <c r="J87" s="108">
        <f>+I87*J$85</f>
        <v>835.96358415259249</v>
      </c>
      <c r="K87" s="108">
        <f>+I87+J87</f>
        <v>8797.5215284629976</v>
      </c>
      <c r="L87" s="108">
        <f>+K87*L$85</f>
        <v>2639.2564585388991</v>
      </c>
      <c r="M87" s="108">
        <f>+K87+L87</f>
        <v>11436.777987001897</v>
      </c>
      <c r="N87" s="108">
        <f>+M87*N$85</f>
        <v>4574.7111948007587</v>
      </c>
      <c r="O87" s="109">
        <f>+M87+N87</f>
        <v>16011.489181802655</v>
      </c>
      <c r="P87" s="185">
        <f t="shared" si="47"/>
        <v>0</v>
      </c>
      <c r="Q87" s="70">
        <v>159231.15888620811</v>
      </c>
      <c r="AI87">
        <v>137562.33921332512</v>
      </c>
      <c r="AJ87">
        <f t="shared" si="58"/>
        <v>0.15752000000000016</v>
      </c>
      <c r="AN87" s="27">
        <v>100518334</v>
      </c>
      <c r="AO87" s="24">
        <v>10928.571428571429</v>
      </c>
    </row>
    <row r="88" spans="1:41" x14ac:dyDescent="0.35">
      <c r="A88" s="71"/>
      <c r="B88" s="72"/>
      <c r="C88" s="73"/>
      <c r="D88" s="72"/>
      <c r="E88" s="74"/>
      <c r="F88" s="75" t="e">
        <f t="shared" si="55"/>
        <v>#N/A</v>
      </c>
      <c r="G88" s="141"/>
      <c r="H88" s="75" t="e">
        <f t="shared" si="56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P88" s="185" t="e">
        <f t="shared" si="47"/>
        <v>#N/A</v>
      </c>
      <c r="Q88" s="76" t="e">
        <v>#N/A</v>
      </c>
      <c r="AI88" t="e">
        <v>#N/A</v>
      </c>
      <c r="AJ88" t="e">
        <f t="shared" si="58"/>
        <v>#N/A</v>
      </c>
      <c r="AN88" s="27">
        <v>100518227</v>
      </c>
      <c r="AO88" s="24">
        <v>12895.714285714286</v>
      </c>
    </row>
    <row r="89" spans="1:41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f t="shared" si="55"/>
        <v>15000</v>
      </c>
      <c r="G89" s="135"/>
      <c r="H89" s="24">
        <f t="shared" si="56"/>
        <v>15000</v>
      </c>
      <c r="I89" s="24">
        <f t="shared" ref="I89:I94" si="59">+H89/E89</f>
        <v>15000</v>
      </c>
      <c r="J89" s="24">
        <f t="shared" ref="J89:J94" si="60">+I89*J$88</f>
        <v>1575</v>
      </c>
      <c r="K89" s="24">
        <f t="shared" ref="K89:K94" si="61">+I89+J89</f>
        <v>16575</v>
      </c>
      <c r="L89" s="24">
        <f t="shared" ref="L89:L94" si="62">+K89*L$88</f>
        <v>4972.5</v>
      </c>
      <c r="M89" s="24">
        <f t="shared" ref="M89:M94" si="63">+K89+L89</f>
        <v>21547.5</v>
      </c>
      <c r="N89" s="24">
        <f t="shared" ref="N89:N94" si="64">+M89*N$88</f>
        <v>8619</v>
      </c>
      <c r="O89" s="25">
        <f t="shared" ref="O89:O94" si="65">+M89+N89</f>
        <v>30166.5</v>
      </c>
      <c r="P89" s="185">
        <f t="shared" si="47"/>
        <v>5.0000000000000044E-2</v>
      </c>
      <c r="Q89" s="25">
        <v>14285.714285714286</v>
      </c>
      <c r="AI89">
        <v>14255.102040816328</v>
      </c>
      <c r="AJ89">
        <f t="shared" si="58"/>
        <v>5.2254831782390758E-2</v>
      </c>
      <c r="AN89" s="71"/>
      <c r="AO89" s="75"/>
    </row>
    <row r="90" spans="1:41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f t="shared" si="55"/>
        <v>10714.285714285714</v>
      </c>
      <c r="G90" s="135"/>
      <c r="H90" s="24">
        <f t="shared" si="56"/>
        <v>10714.285714285714</v>
      </c>
      <c r="I90" s="24">
        <f t="shared" si="59"/>
        <v>10714.285714285714</v>
      </c>
      <c r="J90" s="24">
        <f t="shared" si="60"/>
        <v>1125</v>
      </c>
      <c r="K90" s="24">
        <f t="shared" si="61"/>
        <v>11839.285714285714</v>
      </c>
      <c r="L90" s="24">
        <f t="shared" si="62"/>
        <v>3551.7857142857142</v>
      </c>
      <c r="M90" s="24">
        <f t="shared" si="63"/>
        <v>15391.071428571428</v>
      </c>
      <c r="N90" s="24">
        <f t="shared" si="64"/>
        <v>6156.4285714285716</v>
      </c>
      <c r="O90" s="25">
        <f t="shared" si="65"/>
        <v>21547.5</v>
      </c>
      <c r="P90" s="185">
        <f t="shared" si="47"/>
        <v>4.9999999999999822E-2</v>
      </c>
      <c r="Q90" s="25">
        <v>10204.081632653062</v>
      </c>
      <c r="Z90" s="120">
        <f>+Y4*144+Y100*AA90</f>
        <v>755666.73538659373</v>
      </c>
      <c r="AA90">
        <f>144/2</f>
        <v>72</v>
      </c>
      <c r="AI90">
        <v>9029.5918367346949</v>
      </c>
      <c r="AJ90">
        <f t="shared" si="58"/>
        <v>0.186574754209515</v>
      </c>
      <c r="AN90" s="80">
        <v>100520837</v>
      </c>
      <c r="AO90" s="24">
        <v>33805.838700484463</v>
      </c>
    </row>
    <row r="91" spans="1:41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f t="shared" si="55"/>
        <v>12321.428571428572</v>
      </c>
      <c r="G91" s="135"/>
      <c r="H91" s="24">
        <f t="shared" si="56"/>
        <v>12321.428571428572</v>
      </c>
      <c r="I91" s="24">
        <f t="shared" si="59"/>
        <v>12321.428571428572</v>
      </c>
      <c r="J91" s="24">
        <f t="shared" si="60"/>
        <v>1293.75</v>
      </c>
      <c r="K91" s="24">
        <f t="shared" si="61"/>
        <v>13615.178571428572</v>
      </c>
      <c r="L91" s="24">
        <f t="shared" si="62"/>
        <v>4084.5535714285716</v>
      </c>
      <c r="M91" s="24">
        <f t="shared" si="63"/>
        <v>17699.732142857145</v>
      </c>
      <c r="N91" s="24">
        <f t="shared" si="64"/>
        <v>7079.8928571428587</v>
      </c>
      <c r="O91" s="25">
        <f t="shared" si="65"/>
        <v>24779.625000000004</v>
      </c>
      <c r="P91" s="185">
        <f t="shared" si="47"/>
        <v>5.0000000000000266E-2</v>
      </c>
      <c r="Q91" s="25">
        <v>11734.693877551019</v>
      </c>
      <c r="Z91" s="120">
        <f>+Y4*144+Y96*AA91</f>
        <v>645989.91669180873</v>
      </c>
      <c r="AA91">
        <f>144/6</f>
        <v>24</v>
      </c>
      <c r="AI91">
        <v>9717.3469387755104</v>
      </c>
      <c r="AJ91">
        <f t="shared" si="58"/>
        <v>0.26798277853617564</v>
      </c>
      <c r="AN91" s="80">
        <v>100522395</v>
      </c>
      <c r="AO91" s="24">
        <v>34481.948800000006</v>
      </c>
    </row>
    <row r="92" spans="1:41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f t="shared" si="55"/>
        <v>10928.571428571429</v>
      </c>
      <c r="G92" s="135"/>
      <c r="H92" s="24">
        <f t="shared" si="56"/>
        <v>10928.571428571429</v>
      </c>
      <c r="I92" s="24">
        <f t="shared" si="59"/>
        <v>10928.571428571429</v>
      </c>
      <c r="J92" s="24">
        <f t="shared" si="60"/>
        <v>1147.5</v>
      </c>
      <c r="K92" s="24">
        <f t="shared" si="61"/>
        <v>12076.071428571429</v>
      </c>
      <c r="L92" s="24">
        <f t="shared" si="62"/>
        <v>3622.8214285714289</v>
      </c>
      <c r="M92" s="24">
        <f t="shared" si="63"/>
        <v>15698.892857142859</v>
      </c>
      <c r="N92" s="24">
        <f t="shared" si="64"/>
        <v>6279.5571428571438</v>
      </c>
      <c r="O92" s="25">
        <f t="shared" si="65"/>
        <v>21978.450000000004</v>
      </c>
      <c r="P92" s="185">
        <f t="shared" si="47"/>
        <v>5.0000000000000044E-2</v>
      </c>
      <c r="Q92" s="25">
        <v>10408.163265306122</v>
      </c>
      <c r="AI92">
        <v>7997.9591836734699</v>
      </c>
      <c r="AJ92">
        <f t="shared" si="58"/>
        <v>0.36642000510334272</v>
      </c>
      <c r="AN92" s="80">
        <v>100522561</v>
      </c>
      <c r="AO92" s="24">
        <v>6824.5523666666677</v>
      </c>
    </row>
    <row r="93" spans="1:41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f t="shared" si="55"/>
        <v>12895.714285714286</v>
      </c>
      <c r="G93" s="135"/>
      <c r="H93" s="24">
        <f t="shared" si="56"/>
        <v>12895.714285714286</v>
      </c>
      <c r="I93" s="24">
        <f t="shared" si="59"/>
        <v>12895.714285714286</v>
      </c>
      <c r="J93" s="24">
        <f t="shared" si="60"/>
        <v>1354.05</v>
      </c>
      <c r="K93" s="24">
        <f t="shared" si="61"/>
        <v>14249.764285714286</v>
      </c>
      <c r="L93" s="24">
        <f t="shared" si="62"/>
        <v>4274.9292857142855</v>
      </c>
      <c r="M93" s="24">
        <f t="shared" si="63"/>
        <v>18524.693571428572</v>
      </c>
      <c r="N93" s="24">
        <f t="shared" si="64"/>
        <v>7409.8774285714289</v>
      </c>
      <c r="O93" s="25">
        <f t="shared" si="65"/>
        <v>25934.571</v>
      </c>
      <c r="P93" s="185">
        <f t="shared" si="47"/>
        <v>7.1000000000000174E-2</v>
      </c>
      <c r="Q93" s="25">
        <v>12040.81632653061</v>
      </c>
      <c r="AI93">
        <v>7997.9591836734699</v>
      </c>
      <c r="AJ93">
        <f t="shared" si="58"/>
        <v>0.6123756060219443</v>
      </c>
      <c r="AN93" s="71"/>
      <c r="AO93" s="75"/>
    </row>
    <row r="94" spans="1:41" hidden="1" x14ac:dyDescent="0.35">
      <c r="A94" s="177">
        <v>100027726</v>
      </c>
      <c r="B94" s="178" t="s">
        <v>152</v>
      </c>
      <c r="C94" s="179"/>
      <c r="D94" s="81">
        <v>22.5</v>
      </c>
      <c r="E94" s="23">
        <v>1</v>
      </c>
      <c r="F94" s="24" t="e">
        <f t="shared" si="55"/>
        <v>#N/A</v>
      </c>
      <c r="G94" s="135"/>
      <c r="H94" s="24" t="e">
        <f t="shared" ref="H94" si="66">+F94*(1-G94)</f>
        <v>#N/A</v>
      </c>
      <c r="I94" s="24" t="e">
        <f t="shared" si="59"/>
        <v>#N/A</v>
      </c>
      <c r="J94" s="24" t="e">
        <f t="shared" si="60"/>
        <v>#N/A</v>
      </c>
      <c r="K94" s="24" t="e">
        <f t="shared" si="61"/>
        <v>#N/A</v>
      </c>
      <c r="L94" s="24" t="e">
        <f t="shared" si="62"/>
        <v>#N/A</v>
      </c>
      <c r="M94" s="24" t="e">
        <f t="shared" si="63"/>
        <v>#N/A</v>
      </c>
      <c r="N94" s="24" t="e">
        <f t="shared" si="64"/>
        <v>#N/A</v>
      </c>
      <c r="O94" s="25" t="e">
        <f t="shared" si="65"/>
        <v>#N/A</v>
      </c>
      <c r="P94" s="185" t="e">
        <f t="shared" si="47"/>
        <v>#N/A</v>
      </c>
      <c r="Q94" s="181">
        <v>6195</v>
      </c>
      <c r="AN94" s="80">
        <v>100520902</v>
      </c>
      <c r="AO94" s="24">
        <v>30287.433583483747</v>
      </c>
    </row>
    <row r="95" spans="1:41" x14ac:dyDescent="0.35">
      <c r="A95" s="71"/>
      <c r="B95" s="72"/>
      <c r="C95" s="73"/>
      <c r="D95" s="72"/>
      <c r="E95" s="74"/>
      <c r="F95" s="75" t="e">
        <f t="shared" si="55"/>
        <v>#N/A</v>
      </c>
      <c r="G95" s="141"/>
      <c r="H95" s="75" t="e">
        <f t="shared" si="56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P95" s="185" t="e">
        <f t="shared" si="47"/>
        <v>#N/A</v>
      </c>
      <c r="Q95" s="76" t="e">
        <v>#N/A</v>
      </c>
      <c r="AI95" t="e">
        <v>#N/A</v>
      </c>
      <c r="AJ95" t="e">
        <f t="shared" si="58"/>
        <v>#N/A</v>
      </c>
      <c r="AN95" s="80">
        <v>100522698</v>
      </c>
      <c r="AO95" s="24">
        <v>38836.761324799605</v>
      </c>
    </row>
    <row r="96" spans="1:41" x14ac:dyDescent="0.35">
      <c r="A96" s="80">
        <v>100520837</v>
      </c>
      <c r="B96" s="42" t="s">
        <v>86</v>
      </c>
      <c r="C96" s="43">
        <v>7790360980625</v>
      </c>
      <c r="D96" s="81">
        <v>4.8</v>
      </c>
      <c r="E96" s="23">
        <v>12</v>
      </c>
      <c r="F96" s="24">
        <f t="shared" si="55"/>
        <v>33805.838700484463</v>
      </c>
      <c r="G96" s="135"/>
      <c r="H96" s="24">
        <f t="shared" si="56"/>
        <v>33805.838700484463</v>
      </c>
      <c r="I96" s="24">
        <f>+H96/E96</f>
        <v>2817.153225040372</v>
      </c>
      <c r="J96" s="24">
        <f>+I96*J$95</f>
        <v>591.60217725847815</v>
      </c>
      <c r="K96" s="24">
        <f>+I96+J96</f>
        <v>3408.7554022988502</v>
      </c>
      <c r="L96" s="24">
        <f>+K96*L$95</f>
        <v>1022.6266206896551</v>
      </c>
      <c r="M96" s="24">
        <f>+K96+L96</f>
        <v>4431.382022988505</v>
      </c>
      <c r="N96" s="24">
        <f>+M96*N$95</f>
        <v>1772.552809195402</v>
      </c>
      <c r="O96" s="25">
        <f>+M96+N96</f>
        <v>6203.934832183907</v>
      </c>
      <c r="P96" s="185">
        <f t="shared" si="47"/>
        <v>4.0000000000000036E-2</v>
      </c>
      <c r="Q96" s="25">
        <v>32505.614135081214</v>
      </c>
      <c r="S96" s="187"/>
      <c r="T96" s="187"/>
      <c r="U96" s="187"/>
      <c r="V96" s="187"/>
      <c r="W96" s="187"/>
      <c r="X96" s="187"/>
      <c r="Y96">
        <f>+Z96*H96</f>
        <v>3380.5838700484464</v>
      </c>
      <c r="Z96" s="121">
        <v>0.1</v>
      </c>
      <c r="AA96" s="120">
        <f>+H96*(1-Z96)</f>
        <v>30425.254830436017</v>
      </c>
      <c r="AB96" s="120">
        <f>+AA96/E96</f>
        <v>2535.4379025363346</v>
      </c>
      <c r="AC96" s="120">
        <f>+AB96*1.21*1.3*1.4</f>
        <v>5583.5413489655157</v>
      </c>
      <c r="AD96" s="119" t="s">
        <v>112</v>
      </c>
      <c r="AE96" t="s">
        <v>111</v>
      </c>
      <c r="AI96">
        <v>30957.727747696394</v>
      </c>
      <c r="AJ96">
        <f t="shared" si="58"/>
        <v>9.2000000000000026E-2</v>
      </c>
      <c r="AN96" s="71"/>
      <c r="AO96" s="75"/>
    </row>
    <row r="97" spans="1:41" x14ac:dyDescent="0.35">
      <c r="A97" s="125">
        <v>100522395</v>
      </c>
      <c r="B97" s="126" t="s">
        <v>160</v>
      </c>
      <c r="C97" s="127">
        <v>7790360980625</v>
      </c>
      <c r="D97" s="128">
        <v>4.8</v>
      </c>
      <c r="E97" s="101">
        <v>12</v>
      </c>
      <c r="F97" s="85">
        <f t="shared" si="55"/>
        <v>34481.948800000006</v>
      </c>
      <c r="G97" s="142">
        <v>0.33</v>
      </c>
      <c r="H97" s="85">
        <f t="shared" ref="H97" si="67">+F97*(1-G97)</f>
        <v>23102.905696000002</v>
      </c>
      <c r="I97" s="85">
        <f>+H97/E97</f>
        <v>1925.2421413333334</v>
      </c>
      <c r="J97" s="85">
        <f>+I97*J$95</f>
        <v>404.30084968</v>
      </c>
      <c r="K97" s="85">
        <f>+I97+J97</f>
        <v>2329.5429910133334</v>
      </c>
      <c r="L97" s="85">
        <f>+K97*L$95</f>
        <v>698.86289730400006</v>
      </c>
      <c r="M97" s="85">
        <f>+K97+L97</f>
        <v>3028.4058883173334</v>
      </c>
      <c r="N97" s="85">
        <f>+M97*N$95</f>
        <v>1211.3623553269333</v>
      </c>
      <c r="O97" s="102">
        <f>+M97+N97</f>
        <v>4239.7682436442665</v>
      </c>
      <c r="P97" s="185">
        <f t="shared" si="47"/>
        <v>-0.30320000000000003</v>
      </c>
      <c r="Q97" s="181">
        <v>33155.72</v>
      </c>
      <c r="S97" s="1" t="s">
        <v>202</v>
      </c>
      <c r="T97" s="187"/>
      <c r="U97" s="187"/>
      <c r="V97" s="187"/>
      <c r="W97" s="187"/>
      <c r="X97" s="187"/>
      <c r="Z97" s="121"/>
      <c r="AA97" s="120"/>
      <c r="AB97" s="120"/>
      <c r="AC97" s="120"/>
      <c r="AD97" s="119"/>
      <c r="AN97" s="80">
        <v>100521457</v>
      </c>
      <c r="AO97" s="24">
        <v>34485.72242804218</v>
      </c>
    </row>
    <row r="98" spans="1:41" x14ac:dyDescent="0.35">
      <c r="A98" s="125">
        <v>100522561</v>
      </c>
      <c r="B98" s="126" t="s">
        <v>169</v>
      </c>
      <c r="C98" s="127"/>
      <c r="D98" s="128">
        <v>16</v>
      </c>
      <c r="E98" s="101">
        <v>8</v>
      </c>
      <c r="F98" s="85">
        <f t="shared" si="55"/>
        <v>6824.5523666666677</v>
      </c>
      <c r="G98" s="142">
        <v>0.33</v>
      </c>
      <c r="H98" s="85">
        <f t="shared" ref="H98" si="68">+F98*(1-G98)</f>
        <v>4572.4500856666673</v>
      </c>
      <c r="I98" s="85">
        <f>+H98*2</f>
        <v>9144.9001713333346</v>
      </c>
      <c r="J98" s="85">
        <f>+I98*J$95</f>
        <v>1920.4290359800002</v>
      </c>
      <c r="K98" s="85">
        <f>+I98+J98</f>
        <v>11065.329207313334</v>
      </c>
      <c r="L98" s="85">
        <f>+K98*L$95</f>
        <v>3319.5987621940003</v>
      </c>
      <c r="M98" s="85">
        <f>+K98+L98</f>
        <v>14384.927969507335</v>
      </c>
      <c r="N98" s="85">
        <f>+M98*N$95</f>
        <v>5753.9711878029339</v>
      </c>
      <c r="O98" s="102">
        <f>+M98+N98</f>
        <v>20138.899157310268</v>
      </c>
      <c r="P98" s="185" t="e">
        <f t="shared" si="47"/>
        <v>#N/A</v>
      </c>
      <c r="Q98" s="181" t="e">
        <v>#N/A</v>
      </c>
      <c r="S98" s="1" t="s">
        <v>203</v>
      </c>
      <c r="T98" s="187"/>
      <c r="U98" s="187"/>
      <c r="V98" s="187"/>
      <c r="W98" s="187"/>
      <c r="X98" s="187"/>
      <c r="Z98" s="121"/>
      <c r="AA98" s="120"/>
      <c r="AB98" s="120"/>
      <c r="AC98" s="120"/>
      <c r="AD98" s="119"/>
      <c r="AN98" s="80">
        <v>100521455</v>
      </c>
      <c r="AO98" s="24">
        <v>34485.72242804218</v>
      </c>
    </row>
    <row r="99" spans="1:41" x14ac:dyDescent="0.35">
      <c r="A99" s="71"/>
      <c r="B99" s="72"/>
      <c r="C99" s="73"/>
      <c r="D99" s="72"/>
      <c r="E99" s="74"/>
      <c r="F99" s="75" t="e">
        <f t="shared" si="55"/>
        <v>#N/A</v>
      </c>
      <c r="G99" s="141"/>
      <c r="H99" s="75" t="e">
        <f t="shared" si="56"/>
        <v>#N/A</v>
      </c>
      <c r="I99" s="75"/>
      <c r="J99" s="78">
        <v>0.21</v>
      </c>
      <c r="K99" s="78"/>
      <c r="L99" s="78">
        <v>0.33</v>
      </c>
      <c r="M99" s="78"/>
      <c r="N99" s="78">
        <v>0.4</v>
      </c>
      <c r="O99" s="79"/>
      <c r="P99" s="185" t="e">
        <f t="shared" si="47"/>
        <v>#N/A</v>
      </c>
      <c r="Q99" s="76" t="e">
        <v>#N/A</v>
      </c>
      <c r="S99"/>
      <c r="AA99" s="130"/>
      <c r="AB99" s="130"/>
      <c r="AC99" s="130"/>
      <c r="AI99" t="e">
        <v>#N/A</v>
      </c>
      <c r="AJ99" t="e">
        <f t="shared" si="58"/>
        <v>#N/A</v>
      </c>
      <c r="AN99" s="80">
        <v>100521453</v>
      </c>
      <c r="AO99" s="24">
        <v>33300.27571957824</v>
      </c>
    </row>
    <row r="100" spans="1:41" x14ac:dyDescent="0.35">
      <c r="A100" s="125">
        <v>100520902</v>
      </c>
      <c r="B100" s="126" t="s">
        <v>87</v>
      </c>
      <c r="C100" s="127">
        <v>7790360981042</v>
      </c>
      <c r="D100" s="128">
        <v>9.8000000000000007</v>
      </c>
      <c r="E100" s="101">
        <v>14</v>
      </c>
      <c r="F100" s="85">
        <f t="shared" si="55"/>
        <v>30287.433583483747</v>
      </c>
      <c r="G100" s="189">
        <v>0.125</v>
      </c>
      <c r="H100" s="85">
        <f t="shared" si="56"/>
        <v>26501.50438554828</v>
      </c>
      <c r="I100" s="85">
        <f>+H100/E100</f>
        <v>1892.9645989677342</v>
      </c>
      <c r="J100" s="85">
        <f>+I100*J$99</f>
        <v>397.5225657832242</v>
      </c>
      <c r="K100" s="85">
        <f>+I100+J100</f>
        <v>2290.4871647509585</v>
      </c>
      <c r="L100" s="85">
        <f>+K100*L$99</f>
        <v>755.86076436781639</v>
      </c>
      <c r="M100" s="85">
        <f>+K100+L100</f>
        <v>3046.347929118775</v>
      </c>
      <c r="N100" s="85">
        <f>+M100*N$99</f>
        <v>1218.5391716475101</v>
      </c>
      <c r="O100" s="116">
        <f>+M100+N100</f>
        <v>4264.8871007662856</v>
      </c>
      <c r="P100" s="185">
        <f t="shared" si="47"/>
        <v>3.0000000000000027E-2</v>
      </c>
      <c r="Q100" s="25">
        <v>25729.6159082993</v>
      </c>
      <c r="S100" s="192" t="s">
        <v>184</v>
      </c>
      <c r="Y100">
        <f>+Z100*H100</f>
        <v>2650.1504385548283</v>
      </c>
      <c r="Z100" s="121">
        <v>0.1</v>
      </c>
      <c r="AA100" s="120">
        <f>+H100*(1-Z100)</f>
        <v>23851.353946993451</v>
      </c>
      <c r="AB100" s="120">
        <f>+AA100/E100</f>
        <v>1703.6681390709607</v>
      </c>
      <c r="AC100" s="120">
        <f>+AB100*1.21*1.3*1.4</f>
        <v>3751.817975862069</v>
      </c>
      <c r="AD100" s="119" t="s">
        <v>112</v>
      </c>
      <c r="AE100" t="s">
        <v>120</v>
      </c>
      <c r="AI100">
        <v>25729.6159082993</v>
      </c>
      <c r="AJ100">
        <f t="shared" si="58"/>
        <v>3.0000000000000041E-2</v>
      </c>
      <c r="AN100" s="80">
        <v>100521454</v>
      </c>
      <c r="AO100" s="24">
        <v>33300.27571957824</v>
      </c>
    </row>
    <row r="101" spans="1:41" x14ac:dyDescent="0.35">
      <c r="A101" s="125">
        <v>100522698</v>
      </c>
      <c r="B101" s="126" t="s">
        <v>170</v>
      </c>
      <c r="C101" s="127">
        <v>7790360986511</v>
      </c>
      <c r="D101" s="128">
        <v>14</v>
      </c>
      <c r="E101" s="101">
        <v>7</v>
      </c>
      <c r="F101" s="85">
        <v>45309.54732734165</v>
      </c>
      <c r="G101" s="232">
        <f>1/7</f>
        <v>0.14285714285714285</v>
      </c>
      <c r="H101" s="85">
        <f t="shared" ref="H101" si="69">+F101*(1-G101)</f>
        <v>38836.754852007129</v>
      </c>
      <c r="I101" s="85">
        <f>+H101/E101</f>
        <v>5548.1078360010188</v>
      </c>
      <c r="J101" s="85">
        <f>+I101*J$99</f>
        <v>1165.1026455602139</v>
      </c>
      <c r="K101" s="85">
        <f>+I101+J101</f>
        <v>6713.2104815612329</v>
      </c>
      <c r="L101" s="85">
        <f>+K101*L$99</f>
        <v>2215.3594589152071</v>
      </c>
      <c r="M101" s="85">
        <f>+K101+L101</f>
        <v>8928.56994047644</v>
      </c>
      <c r="N101" s="85">
        <f>+M101*N$99</f>
        <v>3571.4279761905764</v>
      </c>
      <c r="O101" s="116">
        <f>+M101+N101</f>
        <v>12499.997916667016</v>
      </c>
      <c r="P101" s="185"/>
      <c r="Q101" s="184" t="e">
        <v>#N/A</v>
      </c>
      <c r="S101" s="216" t="s">
        <v>189</v>
      </c>
      <c r="Z101" s="121"/>
      <c r="AA101" s="120"/>
      <c r="AB101" s="120"/>
      <c r="AC101" s="120"/>
      <c r="AD101" s="119"/>
      <c r="AN101" s="80">
        <v>100521457</v>
      </c>
      <c r="AO101" s="24">
        <v>32843.545169563979</v>
      </c>
    </row>
    <row r="102" spans="1:41" x14ac:dyDescent="0.35">
      <c r="A102" s="71"/>
      <c r="B102" s="72"/>
      <c r="C102" s="73"/>
      <c r="D102" s="72"/>
      <c r="E102" s="74"/>
      <c r="F102" s="74" t="e">
        <f>+VLOOKUP(A102,$AN$3:$AO$109,2,FALSE)</f>
        <v>#N/A</v>
      </c>
      <c r="G102" s="74"/>
      <c r="H102" s="75"/>
      <c r="I102" s="75"/>
      <c r="J102" s="78">
        <v>0.21</v>
      </c>
      <c r="K102" s="78"/>
      <c r="L102" s="78">
        <v>0.33</v>
      </c>
      <c r="M102" s="78"/>
      <c r="N102" s="78">
        <v>0.4</v>
      </c>
      <c r="O102" s="79"/>
      <c r="P102" s="185" t="e">
        <f t="shared" si="47"/>
        <v>#DIV/0!</v>
      </c>
      <c r="Q102" s="3"/>
      <c r="S102"/>
      <c r="AN102" s="80"/>
      <c r="AO102" s="24"/>
    </row>
    <row r="103" spans="1:41" x14ac:dyDescent="0.35">
      <c r="A103" s="125">
        <v>100521457</v>
      </c>
      <c r="B103" s="126" t="s">
        <v>103</v>
      </c>
      <c r="C103" s="127">
        <v>7790360982254</v>
      </c>
      <c r="D103" s="128">
        <v>4.8</v>
      </c>
      <c r="E103" s="101">
        <v>16</v>
      </c>
      <c r="F103" s="85">
        <f>+VLOOKUP(A103,$AN$3:$AO$109,2,FALSE)</f>
        <v>34485.72242804218</v>
      </c>
      <c r="G103" s="223">
        <v>0.05</v>
      </c>
      <c r="H103" s="85">
        <f t="shared" si="56"/>
        <v>32761.436306640069</v>
      </c>
      <c r="I103" s="85">
        <f>+H103/E103</f>
        <v>2047.5897691650043</v>
      </c>
      <c r="J103" s="85">
        <f>+I103*J$102</f>
        <v>429.99385152465089</v>
      </c>
      <c r="K103" s="85">
        <f t="shared" ref="K103:K106" si="70">+I103+J103</f>
        <v>2477.5836206896552</v>
      </c>
      <c r="L103" s="85">
        <f>+K103*L$102</f>
        <v>817.60259482758624</v>
      </c>
      <c r="M103" s="85">
        <f t="shared" ref="M103:M106" si="71">+K103+L103</f>
        <v>3295.1862155172412</v>
      </c>
      <c r="N103" s="85">
        <f>+M103*N$102</f>
        <v>1318.0744862068966</v>
      </c>
      <c r="O103" s="102">
        <f t="shared" ref="O103:O106" si="72">+M103+N103</f>
        <v>4613.260701724138</v>
      </c>
      <c r="P103" s="185">
        <f t="shared" si="47"/>
        <v>7.8378378378378466E-2</v>
      </c>
      <c r="Q103" s="198">
        <v>30380.279281846681</v>
      </c>
      <c r="S103" s="1" t="s">
        <v>185</v>
      </c>
      <c r="Z103" s="121">
        <v>0.15</v>
      </c>
      <c r="AA103" s="120">
        <f>+H103*(1-Z103)</f>
        <v>27847.220860644058</v>
      </c>
      <c r="AB103" s="120">
        <f>+AA103/E103</f>
        <v>1740.4513037902536</v>
      </c>
      <c r="AC103" s="120">
        <f>+AB103*1.21*1.3*1.4</f>
        <v>3832.8218612068963</v>
      </c>
      <c r="AD103" s="119" t="s">
        <v>112</v>
      </c>
      <c r="AE103" t="s">
        <v>121</v>
      </c>
      <c r="AI103">
        <v>28151.610145340554</v>
      </c>
      <c r="AJ103">
        <f t="shared" si="58"/>
        <v>0.16375000000000001</v>
      </c>
      <c r="AN103" s="80">
        <v>100521455</v>
      </c>
      <c r="AO103" s="24">
        <v>32843.545169563979</v>
      </c>
    </row>
    <row r="104" spans="1:41" x14ac:dyDescent="0.35">
      <c r="A104" s="125">
        <v>100521455</v>
      </c>
      <c r="B104" s="126" t="s">
        <v>104</v>
      </c>
      <c r="C104" s="127">
        <v>7790360982247</v>
      </c>
      <c r="D104" s="128">
        <v>4.8</v>
      </c>
      <c r="E104" s="101">
        <v>16</v>
      </c>
      <c r="F104" s="85">
        <f>+VLOOKUP(A104,$AN$3:$AO$109,2,FALSE)</f>
        <v>34485.72242804218</v>
      </c>
      <c r="G104" s="223">
        <v>0.05</v>
      </c>
      <c r="H104" s="85">
        <f t="shared" si="56"/>
        <v>32761.436306640069</v>
      </c>
      <c r="I104" s="85">
        <f>+H104/E104</f>
        <v>2047.5897691650043</v>
      </c>
      <c r="J104" s="85">
        <f>+I104*J$102</f>
        <v>429.99385152465089</v>
      </c>
      <c r="K104" s="85">
        <f t="shared" si="70"/>
        <v>2477.5836206896552</v>
      </c>
      <c r="L104" s="85">
        <f>+K104*L$102</f>
        <v>817.60259482758624</v>
      </c>
      <c r="M104" s="85">
        <f t="shared" si="71"/>
        <v>3295.1862155172412</v>
      </c>
      <c r="N104" s="85">
        <f>+M104*N$102</f>
        <v>1318.0744862068966</v>
      </c>
      <c r="O104" s="102">
        <f t="shared" si="72"/>
        <v>4613.260701724138</v>
      </c>
      <c r="P104" s="185">
        <f t="shared" si="47"/>
        <v>7.8378378378378466E-2</v>
      </c>
      <c r="Q104" s="198">
        <v>30380.279281846681</v>
      </c>
      <c r="S104" s="1" t="s">
        <v>185</v>
      </c>
      <c r="Y104">
        <f>+Z104*H104</f>
        <v>4914.2154459960102</v>
      </c>
      <c r="Z104" s="121">
        <v>0.15</v>
      </c>
      <c r="AA104" s="120">
        <f>+H104*(1-Z104)</f>
        <v>27847.220860644058</v>
      </c>
      <c r="AB104" s="120">
        <f>+AA104/E104</f>
        <v>1740.4513037902536</v>
      </c>
      <c r="AC104" s="120">
        <f>+AB104*1.21*1.3*1.4</f>
        <v>3832.8218612068963</v>
      </c>
      <c r="AD104" s="119" t="s">
        <v>112</v>
      </c>
      <c r="AE104" t="s">
        <v>121</v>
      </c>
      <c r="AI104">
        <v>28151.610145340554</v>
      </c>
      <c r="AJ104">
        <f t="shared" si="58"/>
        <v>0.16375000000000001</v>
      </c>
      <c r="AN104" s="80">
        <v>100521453</v>
      </c>
      <c r="AO104" s="24">
        <v>32330.364776289549</v>
      </c>
    </row>
    <row r="105" spans="1:41" x14ac:dyDescent="0.35">
      <c r="A105" s="125">
        <v>100521453</v>
      </c>
      <c r="B105" s="126" t="s">
        <v>105</v>
      </c>
      <c r="C105" s="127">
        <v>7790360982223</v>
      </c>
      <c r="D105" s="128">
        <v>5.4</v>
      </c>
      <c r="E105" s="101">
        <v>18</v>
      </c>
      <c r="F105" s="85">
        <f>+VLOOKUP(A105,$AN$3:$AO$109,2,FALSE)</f>
        <v>33300.27571957824</v>
      </c>
      <c r="G105" s="223">
        <v>0.05</v>
      </c>
      <c r="H105" s="85">
        <f t="shared" si="56"/>
        <v>31635.261933599326</v>
      </c>
      <c r="I105" s="85">
        <f>+H105/E105</f>
        <v>1757.5145518666293</v>
      </c>
      <c r="J105" s="85">
        <f>+I105*J$102</f>
        <v>369.07805589199216</v>
      </c>
      <c r="K105" s="85">
        <f t="shared" si="70"/>
        <v>2126.5926077586214</v>
      </c>
      <c r="L105" s="85">
        <f>+K105*L$102</f>
        <v>701.77556056034507</v>
      </c>
      <c r="M105" s="85">
        <f t="shared" si="71"/>
        <v>2828.3681683189666</v>
      </c>
      <c r="N105" s="85">
        <f>+M105*N$102</f>
        <v>1131.3472673275867</v>
      </c>
      <c r="O105" s="102">
        <f t="shared" si="72"/>
        <v>3959.7154356465535</v>
      </c>
      <c r="P105" s="185">
        <f t="shared" si="47"/>
        <v>5.7837837837837913E-2</v>
      </c>
      <c r="Q105" s="198">
        <v>29905.587418067833</v>
      </c>
      <c r="S105" s="1" t="s">
        <v>204</v>
      </c>
      <c r="Y105">
        <f>+Z105*H105</f>
        <v>4745.2892900398983</v>
      </c>
      <c r="Z105" s="121">
        <v>0.15</v>
      </c>
      <c r="AA105" s="120">
        <f>+H105*(1-Z105)</f>
        <v>26889.972643559428</v>
      </c>
      <c r="AB105" s="120">
        <f>+AA105/E105</f>
        <v>1493.8873690866349</v>
      </c>
      <c r="AC105" s="120">
        <f>+AB105*1.21*1.3*1.4</f>
        <v>3289.8387642025873</v>
      </c>
      <c r="AD105" s="119" t="s">
        <v>112</v>
      </c>
      <c r="AE105" t="s">
        <v>121</v>
      </c>
      <c r="AI105">
        <v>28481.511826731268</v>
      </c>
      <c r="AJ105">
        <f t="shared" si="58"/>
        <v>0.11072972972972984</v>
      </c>
      <c r="AN105" s="80">
        <v>100521454</v>
      </c>
      <c r="AO105" s="24">
        <v>32330.364776289549</v>
      </c>
    </row>
    <row r="106" spans="1:41" x14ac:dyDescent="0.35">
      <c r="A106" s="125">
        <v>100521454</v>
      </c>
      <c r="B106" s="126" t="s">
        <v>106</v>
      </c>
      <c r="C106" s="127">
        <v>7790360982230</v>
      </c>
      <c r="D106" s="128">
        <v>5.3999999999999995</v>
      </c>
      <c r="E106" s="101">
        <v>18</v>
      </c>
      <c r="F106" s="85">
        <f>+VLOOKUP(A106,$AN$3:$AO$109,2,FALSE)</f>
        <v>33300.27571957824</v>
      </c>
      <c r="G106" s="223">
        <v>0.05</v>
      </c>
      <c r="H106" s="85">
        <f t="shared" si="56"/>
        <v>31635.261933599326</v>
      </c>
      <c r="I106" s="85">
        <f>+H106/E106</f>
        <v>1757.5145518666293</v>
      </c>
      <c r="J106" s="85">
        <f>+I106*J$102</f>
        <v>369.07805589199216</v>
      </c>
      <c r="K106" s="85">
        <f t="shared" si="70"/>
        <v>2126.5926077586214</v>
      </c>
      <c r="L106" s="85">
        <f>+K106*L$102</f>
        <v>701.77556056034507</v>
      </c>
      <c r="M106" s="85">
        <f t="shared" si="71"/>
        <v>2828.3681683189666</v>
      </c>
      <c r="N106" s="85">
        <f>+M106*N$102</f>
        <v>1131.3472673275867</v>
      </c>
      <c r="O106" s="102">
        <f t="shared" si="72"/>
        <v>3959.7154356465535</v>
      </c>
      <c r="P106" s="185">
        <f t="shared" si="47"/>
        <v>5.7837837837837913E-2</v>
      </c>
      <c r="Q106" s="198">
        <v>29905.587418067833</v>
      </c>
      <c r="S106" s="1" t="s">
        <v>204</v>
      </c>
      <c r="Z106" s="121">
        <v>0.15</v>
      </c>
      <c r="AA106" s="120">
        <f>+H106*(1-Z106)</f>
        <v>26889.972643559428</v>
      </c>
      <c r="AB106" s="120">
        <f>+AA106/E106</f>
        <v>1493.8873690866349</v>
      </c>
      <c r="AC106" s="120">
        <f>+AB106*1.21*1.3*1.4</f>
        <v>3289.8387642025873</v>
      </c>
      <c r="AD106" s="119" t="s">
        <v>112</v>
      </c>
      <c r="AE106" t="s">
        <v>121</v>
      </c>
      <c r="AI106">
        <v>28481.511826731268</v>
      </c>
      <c r="AJ106">
        <f t="shared" si="58"/>
        <v>0.11072972972972984</v>
      </c>
      <c r="AN106" s="71"/>
      <c r="AO106" s="75">
        <v>0.35</v>
      </c>
    </row>
    <row r="107" spans="1:41" x14ac:dyDescent="0.35">
      <c r="A107" s="71"/>
      <c r="B107" s="72"/>
      <c r="C107" s="73"/>
      <c r="D107" s="204"/>
      <c r="E107" s="74"/>
      <c r="F107" s="74"/>
      <c r="G107" s="74"/>
      <c r="H107" s="75"/>
      <c r="I107" s="75"/>
      <c r="J107" s="78">
        <v>0.21</v>
      </c>
      <c r="K107" s="78"/>
      <c r="L107" s="78">
        <v>0.22</v>
      </c>
      <c r="M107" s="78"/>
      <c r="N107" s="78">
        <v>0.35</v>
      </c>
      <c r="O107" s="79"/>
      <c r="Q107" s="3"/>
      <c r="AN107" s="80">
        <v>100522246</v>
      </c>
      <c r="AO107" s="24">
        <v>106193.37939755226</v>
      </c>
    </row>
    <row r="108" spans="1:41" x14ac:dyDescent="0.35">
      <c r="A108" s="80">
        <v>100522246</v>
      </c>
      <c r="B108" s="42" t="s">
        <v>165</v>
      </c>
      <c r="C108" s="43">
        <v>7790360984234</v>
      </c>
      <c r="D108" s="81">
        <v>8.16</v>
      </c>
      <c r="E108" s="23">
        <v>48</v>
      </c>
      <c r="F108" s="24">
        <f>+VLOOKUP(A108,$AN$3:$AO$109,2,FALSE)</f>
        <v>106193.37939755226</v>
      </c>
      <c r="G108" s="231"/>
      <c r="H108" s="24">
        <f t="shared" ref="H108:H109" si="73">+F108*(1-G108)</f>
        <v>106193.37939755226</v>
      </c>
      <c r="I108" s="24">
        <f t="shared" ref="I108:I109" si="74">+H108/E108</f>
        <v>2212.3620707823388</v>
      </c>
      <c r="J108" s="24">
        <f t="shared" ref="J108:J109" si="75">+I108*J$3</f>
        <v>464.59603486429114</v>
      </c>
      <c r="K108" s="24">
        <f t="shared" ref="K108:K109" si="76">+I108+J108</f>
        <v>2676.95810564663</v>
      </c>
      <c r="L108" s="24">
        <f t="shared" ref="L108:L109" si="77">+K108*L$39</f>
        <v>588.9307832422586</v>
      </c>
      <c r="M108" s="24">
        <f t="shared" ref="M108:M109" si="78">+K108+L108</f>
        <v>3265.8888888888887</v>
      </c>
      <c r="N108" s="24">
        <f t="shared" ref="N108:N109" si="79">+M108*N$39</f>
        <v>1143.0611111111109</v>
      </c>
      <c r="O108" s="25">
        <f t="shared" ref="O108:O109" si="80">+M108+N108</f>
        <v>4408.95</v>
      </c>
      <c r="P108" s="185">
        <f t="shared" si="47"/>
        <v>0.26315789473684159</v>
      </c>
      <c r="Q108" s="1">
        <v>84069.7586897289</v>
      </c>
      <c r="Z108">
        <f>+Y104*9*2+Y105*8*2+Y4*144</f>
        <v>729236.41047921265</v>
      </c>
      <c r="AN108" s="80">
        <v>100522247</v>
      </c>
      <c r="AO108" s="24">
        <v>106193.37939755226</v>
      </c>
    </row>
    <row r="109" spans="1:41" x14ac:dyDescent="0.35">
      <c r="A109" s="80">
        <v>100522247</v>
      </c>
      <c r="B109" s="42" t="s">
        <v>166</v>
      </c>
      <c r="C109" s="43">
        <v>7790360984241</v>
      </c>
      <c r="D109" s="81">
        <v>8.16</v>
      </c>
      <c r="E109" s="23">
        <v>48</v>
      </c>
      <c r="F109" s="24">
        <f>+VLOOKUP(A109,$AN$3:$AO$109,2,FALSE)</f>
        <v>106193.37939755226</v>
      </c>
      <c r="G109" s="231"/>
      <c r="H109" s="24">
        <f t="shared" si="73"/>
        <v>106193.37939755226</v>
      </c>
      <c r="I109" s="24">
        <f t="shared" si="74"/>
        <v>2212.3620707823388</v>
      </c>
      <c r="J109" s="24">
        <f t="shared" si="75"/>
        <v>464.59603486429114</v>
      </c>
      <c r="K109" s="24">
        <f t="shared" si="76"/>
        <v>2676.95810564663</v>
      </c>
      <c r="L109" s="24">
        <f t="shared" si="77"/>
        <v>588.9307832422586</v>
      </c>
      <c r="M109" s="24">
        <f t="shared" si="78"/>
        <v>3265.8888888888887</v>
      </c>
      <c r="N109" s="24">
        <f t="shared" si="79"/>
        <v>1143.0611111111109</v>
      </c>
      <c r="O109" s="25">
        <f t="shared" si="80"/>
        <v>4408.95</v>
      </c>
      <c r="P109" s="185">
        <f t="shared" ref="P109" si="81">H109/Q109-1</f>
        <v>0.26315789473684159</v>
      </c>
      <c r="Q109" s="1">
        <v>84069.7586897289</v>
      </c>
      <c r="AB109" t="s">
        <v>129</v>
      </c>
      <c r="AC109" t="s">
        <v>127</v>
      </c>
      <c r="AD109" s="119" t="s">
        <v>128</v>
      </c>
      <c r="AN109" s="80">
        <v>100521454</v>
      </c>
      <c r="AO109" s="24">
        <v>30790.823596466234</v>
      </c>
    </row>
    <row r="110" spans="1:41" x14ac:dyDescent="0.35">
      <c r="AB110">
        <v>4446</v>
      </c>
      <c r="AC110">
        <v>4300</v>
      </c>
      <c r="AD110">
        <v>4165</v>
      </c>
    </row>
  </sheetData>
  <mergeCells count="1">
    <mergeCell ref="Z1:AE1"/>
  </mergeCells>
  <conditionalFormatting sqref="A20:B20">
    <cfRule type="cellIs" dxfId="189" priority="200" stopIfTrue="1" operator="equal">
      <formula>0</formula>
    </cfRule>
  </conditionalFormatting>
  <conditionalFormatting sqref="A63:C63">
    <cfRule type="cellIs" dxfId="188" priority="133" stopIfTrue="1" operator="equal">
      <formula>0</formula>
    </cfRule>
  </conditionalFormatting>
  <conditionalFormatting sqref="A16:F19 D20:G20">
    <cfRule type="cellIs" dxfId="187" priority="173" stopIfTrue="1" operator="equal">
      <formula>0</formula>
    </cfRule>
  </conditionalFormatting>
  <conditionalFormatting sqref="A101:F101">
    <cfRule type="cellIs" dxfId="186" priority="1" stopIfTrue="1" operator="equal">
      <formula>0</formula>
    </cfRule>
  </conditionalFormatting>
  <conditionalFormatting sqref="A103:F106">
    <cfRule type="cellIs" dxfId="185" priority="148" stopIfTrue="1" operator="equal">
      <formula>0</formula>
    </cfRule>
  </conditionalFormatting>
  <conditionalFormatting sqref="A69:O69">
    <cfRule type="cellIs" dxfId="184" priority="120" stopIfTrue="1" operator="equal">
      <formula>0</formula>
    </cfRule>
  </conditionalFormatting>
  <conditionalFormatting sqref="A73:O74">
    <cfRule type="cellIs" dxfId="183" priority="119" stopIfTrue="1" operator="equal">
      <formula>0</formula>
    </cfRule>
  </conditionalFormatting>
  <conditionalFormatting sqref="A96:O98">
    <cfRule type="cellIs" dxfId="182" priority="19" stopIfTrue="1" operator="equal">
      <formula>0</formula>
    </cfRule>
  </conditionalFormatting>
  <conditionalFormatting sqref="A100:O100 H101:O101">
    <cfRule type="cellIs" dxfId="181" priority="70" stopIfTrue="1" operator="equal">
      <formula>0</formula>
    </cfRule>
  </conditionalFormatting>
  <conditionalFormatting sqref="B28">
    <cfRule type="cellIs" dxfId="180" priority="188" stopIfTrue="1" operator="equal">
      <formula>0</formula>
    </cfRule>
  </conditionalFormatting>
  <conditionalFormatting sqref="D58:F61 I59:O61">
    <cfRule type="cellIs" dxfId="179" priority="194" stopIfTrue="1" operator="equal">
      <formula>0</formula>
    </cfRule>
  </conditionalFormatting>
  <conditionalFormatting sqref="D89:O94">
    <cfRule type="cellIs" dxfId="178" priority="117" stopIfTrue="1" operator="equal">
      <formula>0</formula>
    </cfRule>
  </conditionalFormatting>
  <conditionalFormatting sqref="F108:H109">
    <cfRule type="cellIs" dxfId="177" priority="38" stopIfTrue="1" operator="equal">
      <formula>0</formula>
    </cfRule>
  </conditionalFormatting>
  <conditionalFormatting sqref="G18">
    <cfRule type="cellIs" dxfId="176" priority="73" operator="greaterThan">
      <formula>0</formula>
    </cfRule>
  </conditionalFormatting>
  <conditionalFormatting sqref="H17:H20">
    <cfRule type="cellIs" dxfId="175" priority="179" stopIfTrue="1" operator="equal">
      <formula>0</formula>
    </cfRule>
  </conditionalFormatting>
  <conditionalFormatting sqref="H16:O16">
    <cfRule type="cellIs" dxfId="174" priority="195" stopIfTrue="1" operator="equal">
      <formula>0</formula>
    </cfRule>
  </conditionalFormatting>
  <conditionalFormatting sqref="H58:O58">
    <cfRule type="cellIs" dxfId="173" priority="171" stopIfTrue="1" operator="equal">
      <formula>0</formula>
    </cfRule>
  </conditionalFormatting>
  <conditionalFormatting sqref="H103:O106">
    <cfRule type="cellIs" dxfId="172" priority="138" stopIfTrue="1" operator="equal">
      <formula>0</formula>
    </cfRule>
  </conditionalFormatting>
  <conditionalFormatting sqref="I19:L20">
    <cfRule type="cellIs" dxfId="171" priority="190" stopIfTrue="1" operator="equal">
      <formula>0</formula>
    </cfRule>
  </conditionalFormatting>
  <conditionalFormatting sqref="I17:O18">
    <cfRule type="cellIs" dxfId="170" priority="180" stopIfTrue="1" operator="equal">
      <formula>0</formula>
    </cfRule>
  </conditionalFormatting>
  <conditionalFormatting sqref="L37:L38">
    <cfRule type="cellIs" dxfId="169" priority="189" stopIfTrue="1" operator="equal">
      <formula>0</formula>
    </cfRule>
  </conditionalFormatting>
  <conditionalFormatting sqref="M19:N19">
    <cfRule type="cellIs" dxfId="168" priority="191" stopIfTrue="1" operator="equal">
      <formula>0</formula>
    </cfRule>
  </conditionalFormatting>
  <conditionalFormatting sqref="M20:O20">
    <cfRule type="cellIs" dxfId="167" priority="192" stopIfTrue="1" operator="equal">
      <formula>0</formula>
    </cfRule>
  </conditionalFormatting>
  <conditionalFormatting sqref="Q16:Q18">
    <cfRule type="cellIs" dxfId="166" priority="185" stopIfTrue="1" operator="equal">
      <formula>0</formula>
    </cfRule>
  </conditionalFormatting>
  <conditionalFormatting sqref="Q20">
    <cfRule type="cellIs" dxfId="165" priority="186" stopIfTrue="1" operator="equal">
      <formula>0</formula>
    </cfRule>
  </conditionalFormatting>
  <conditionalFormatting sqref="Q58:Q61">
    <cfRule type="cellIs" dxfId="164" priority="184" stopIfTrue="1" operator="equal">
      <formula>0</formula>
    </cfRule>
  </conditionalFormatting>
  <conditionalFormatting sqref="Q69">
    <cfRule type="cellIs" dxfId="163" priority="187" stopIfTrue="1" operator="equal">
      <formula>0</formula>
    </cfRule>
  </conditionalFormatting>
  <conditionalFormatting sqref="Q73:Q74">
    <cfRule type="cellIs" dxfId="162" priority="183" stopIfTrue="1" operator="equal">
      <formula>0</formula>
    </cfRule>
  </conditionalFormatting>
  <conditionalFormatting sqref="Q89:Q94">
    <cfRule type="cellIs" dxfId="161" priority="182" stopIfTrue="1" operator="equal">
      <formula>0</formula>
    </cfRule>
  </conditionalFormatting>
  <conditionalFormatting sqref="Q96:Q98">
    <cfRule type="cellIs" dxfId="160" priority="178" stopIfTrue="1" operator="equal">
      <formula>0</formula>
    </cfRule>
  </conditionalFormatting>
  <conditionalFormatting sqref="Q100:Q101">
    <cfRule type="cellIs" dxfId="159" priority="176" stopIfTrue="1" operator="equal">
      <formula>0</formula>
    </cfRule>
  </conditionalFormatting>
  <conditionalFormatting sqref="S10 S12:S16">
    <cfRule type="cellIs" dxfId="158" priority="72" operator="greaterThan">
      <formula>0</formula>
    </cfRule>
  </conditionalFormatting>
  <conditionalFormatting sqref="AC60">
    <cfRule type="cellIs" dxfId="157" priority="118" stopIfTrue="1" operator="equal">
      <formula>0</formula>
    </cfRule>
  </conditionalFormatting>
  <conditionalFormatting sqref="AN58">
    <cfRule type="cellIs" dxfId="156" priority="16" stopIfTrue="1" operator="equal">
      <formula>0</formula>
    </cfRule>
  </conditionalFormatting>
  <conditionalFormatting sqref="AN67:AN69">
    <cfRule type="cellIs" dxfId="155" priority="14" stopIfTrue="1" operator="equal">
      <formula>0</formula>
    </cfRule>
  </conditionalFormatting>
  <conditionalFormatting sqref="AN107:AN108">
    <cfRule type="cellIs" dxfId="154" priority="29" stopIfTrue="1" operator="equal">
      <formula>0</formula>
    </cfRule>
  </conditionalFormatting>
  <conditionalFormatting sqref="AN64:AO64">
    <cfRule type="cellIs" dxfId="153" priority="5" stopIfTrue="1" operator="equal">
      <formula>0</formula>
    </cfRule>
  </conditionalFormatting>
  <conditionalFormatting sqref="AN90:AO92">
    <cfRule type="cellIs" dxfId="152" priority="3" stopIfTrue="1" operator="equal">
      <formula>0</formula>
    </cfRule>
  </conditionalFormatting>
  <conditionalFormatting sqref="AN94:AO95">
    <cfRule type="cellIs" dxfId="151" priority="2" stopIfTrue="1" operator="equal">
      <formula>0</formula>
    </cfRule>
  </conditionalFormatting>
  <conditionalFormatting sqref="AN97:AO105">
    <cfRule type="cellIs" dxfId="150" priority="7" stopIfTrue="1" operator="equal">
      <formula>0</formula>
    </cfRule>
  </conditionalFormatting>
  <conditionalFormatting sqref="AN109:AO109">
    <cfRule type="cellIs" dxfId="149" priority="96" stopIfTrue="1" operator="equal">
      <formula>0</formula>
    </cfRule>
  </conditionalFormatting>
  <conditionalFormatting sqref="AO15:AO18">
    <cfRule type="cellIs" dxfId="148" priority="6" stopIfTrue="1" operator="equal">
      <formula>0</formula>
    </cfRule>
  </conditionalFormatting>
  <conditionalFormatting sqref="AO53:AO56">
    <cfRule type="cellIs" dxfId="147" priority="9" stopIfTrue="1" operator="equal">
      <formula>0</formula>
    </cfRule>
  </conditionalFormatting>
  <conditionalFormatting sqref="AO68:AO69">
    <cfRule type="cellIs" dxfId="146" priority="4" stopIfTrue="1" operator="equal">
      <formula>0</formula>
    </cfRule>
  </conditionalFormatting>
  <conditionalFormatting sqref="AO84:AO88">
    <cfRule type="cellIs" dxfId="145" priority="8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0964-07BD-498B-835A-29269F283B35}">
  <dimension ref="A1:GG119"/>
  <sheetViews>
    <sheetView topLeftCell="D1" zoomScale="90" zoomScaleNormal="90" workbookViewId="0">
      <selection activeCell="S1" sqref="S1"/>
    </sheetView>
  </sheetViews>
  <sheetFormatPr baseColWidth="10" defaultColWidth="11.453125" defaultRowHeight="14.5" outlineLevelCol="1" x14ac:dyDescent="0.35"/>
  <cols>
    <col min="1" max="1" width="11.54296875" customWidth="1" collapsed="1"/>
    <col min="2" max="2" width="53.54296875" bestFit="1" customWidth="1"/>
    <col min="3" max="3" width="14.1796875" customWidth="1"/>
    <col min="4" max="4" width="8.1796875" customWidth="1"/>
    <col min="5" max="5" width="6" customWidth="1"/>
    <col min="6" max="6" width="9.453125" style="82" customWidth="1"/>
    <col min="7" max="7" width="10.453125" customWidth="1"/>
    <col min="8" max="8" width="9.453125" style="82" customWidth="1"/>
    <col min="9" max="9" width="10.1796875" customWidth="1"/>
    <col min="10" max="14" width="11.453125" customWidth="1"/>
    <col min="15" max="15" width="10.1796875" style="77" customWidth="1"/>
    <col min="16" max="16" width="10.54296875" style="77" hidden="1" customWidth="1"/>
    <col min="17" max="17" width="10" style="1" hidden="1" customWidth="1"/>
    <col min="18" max="18" width="2.90625" style="1" customWidth="1"/>
    <col min="19" max="19" width="41.6328125" style="1" customWidth="1"/>
    <col min="20" max="20" width="12.08984375" style="1" customWidth="1"/>
    <col min="21" max="22" width="10.6328125" style="1" bestFit="1" customWidth="1"/>
    <col min="23" max="23" width="10" style="1" customWidth="1"/>
    <col min="24" max="24" width="100.453125" style="1" hidden="1" customWidth="1"/>
    <col min="25" max="25" width="5.81640625" hidden="1" customWidth="1"/>
    <col min="26" max="26" width="13.1796875" hidden="1" customWidth="1"/>
    <col min="27" max="27" width="11.6328125" hidden="1" customWidth="1"/>
    <col min="28" max="28" width="11" hidden="1" customWidth="1"/>
    <col min="29" max="30" width="10.453125" hidden="1" customWidth="1"/>
    <col min="31" max="31" width="11.08984375" hidden="1" customWidth="1"/>
    <col min="32" max="32" width="1.81640625" hidden="1" customWidth="1"/>
    <col min="33" max="33" width="8" hidden="1" customWidth="1"/>
    <col min="34" max="34" width="7.1796875" hidden="1" customWidth="1"/>
    <col min="35" max="35" width="2.81640625" hidden="1" customWidth="1"/>
    <col min="36" max="36" width="11.453125" hidden="1" customWidth="1"/>
    <col min="37" max="37" width="4" hidden="1" customWidth="1"/>
    <col min="38" max="39" width="11.453125" hidden="1" customWidth="1"/>
    <col min="40" max="40" width="11.453125" customWidth="1"/>
    <col min="41" max="41" width="8.54296875" customWidth="1"/>
    <col min="42" max="42" width="11.453125" customWidth="1"/>
    <col min="43" max="43" width="10.1796875" customWidth="1"/>
    <col min="44" max="44" width="11.453125" customWidth="1"/>
    <col min="45" max="45" width="10.1796875" customWidth="1"/>
    <col min="46" max="46" width="11.453125" customWidth="1"/>
    <col min="47" max="47" width="10.1796875" customWidth="1"/>
    <col min="48" max="48" width="11.453125" customWidth="1"/>
    <col min="49" max="49" width="10.1796875" customWidth="1"/>
    <col min="50" max="50" width="11.453125" customWidth="1"/>
    <col min="51" max="51" width="10.1796875" customWidth="1"/>
    <col min="52" max="52" width="11.453125" customWidth="1"/>
    <col min="53" max="53" width="10.1796875" customWidth="1"/>
    <col min="54" max="54" width="11.453125" customWidth="1"/>
    <col min="55" max="55" width="10.1796875" customWidth="1"/>
    <col min="56" max="56" width="11.453125" customWidth="1"/>
    <col min="57" max="57" width="10.1796875" customWidth="1"/>
    <col min="58" max="58" width="11.453125" customWidth="1"/>
    <col min="59" max="59" width="10.1796875" customWidth="1"/>
    <col min="60" max="60" width="11.453125" customWidth="1"/>
    <col min="61" max="61" width="10.1796875" customWidth="1"/>
    <col min="62" max="62" width="11.453125" customWidth="1"/>
    <col min="63" max="63" width="9.81640625" customWidth="1"/>
    <col min="64" max="70" width="11.453125" customWidth="1"/>
    <col min="71" max="71" width="9.81640625" customWidth="1"/>
    <col min="72" max="72" width="11.453125" customWidth="1"/>
    <col min="73" max="73" width="9.81640625" customWidth="1"/>
    <col min="74" max="74" width="11.453125" customWidth="1"/>
    <col min="75" max="75" width="9.81640625" customWidth="1"/>
    <col min="76" max="76" width="11.453125" customWidth="1"/>
    <col min="77" max="77" width="9.81640625" customWidth="1"/>
    <col min="78" max="78" width="11.453125" customWidth="1"/>
    <col min="79" max="79" width="9.81640625" customWidth="1"/>
    <col min="80" max="80" width="11.453125" customWidth="1"/>
    <col min="81" max="81" width="10" customWidth="1"/>
    <col min="82" max="82" width="11.453125" customWidth="1"/>
    <col min="83" max="83" width="10" customWidth="1"/>
    <col min="84" max="84" width="11.453125" customWidth="1"/>
    <col min="85" max="85" width="10" customWidth="1"/>
    <col min="86" max="86" width="11.453125" customWidth="1"/>
    <col min="87" max="87" width="10" customWidth="1"/>
    <col min="88" max="88" width="11.453125" customWidth="1"/>
    <col min="89" max="89" width="9.81640625" customWidth="1"/>
    <col min="90" max="90" width="11.453125" customWidth="1"/>
    <col min="91" max="91" width="11.54296875" customWidth="1"/>
    <col min="92" max="92" width="6" customWidth="1"/>
    <col min="93" max="93" width="11.54296875" customWidth="1"/>
    <col min="94" max="94" width="3.453125" customWidth="1"/>
    <col min="95" max="95" width="11.54296875" customWidth="1"/>
    <col min="96" max="96" width="3.453125" customWidth="1"/>
    <col min="97" max="97" width="11.54296875" customWidth="1"/>
    <col min="98" max="98" width="3.453125" customWidth="1"/>
    <col min="99" max="99" width="11.54296875" customWidth="1"/>
    <col min="100" max="100" width="3.453125" customWidth="1"/>
    <col min="101" max="101" width="11.54296875" customWidth="1"/>
    <col min="102" max="102" width="3.453125" customWidth="1"/>
    <col min="103" max="103" width="11.54296875" customWidth="1"/>
    <col min="104" max="104" width="3.453125" customWidth="1"/>
    <col min="105" max="105" width="11.54296875" customWidth="1"/>
    <col min="106" max="106" width="3.453125" customWidth="1"/>
    <col min="107" max="107" width="11.54296875" customWidth="1"/>
    <col min="108" max="108" width="3.453125" customWidth="1"/>
    <col min="109" max="109" width="11.54296875" customWidth="1"/>
    <col min="110" max="110" width="3" customWidth="1"/>
    <col min="111" max="111" width="11.54296875" customWidth="1"/>
    <col min="112" max="112" width="4.81640625" customWidth="1"/>
    <col min="113" max="113" width="11.54296875" customWidth="1"/>
    <col min="114" max="114" width="4.81640625" customWidth="1"/>
    <col min="115" max="115" width="11.453125" customWidth="1"/>
    <col min="116" max="116" width="4.81640625" customWidth="1"/>
    <col min="117" max="117" width="11.453125" customWidth="1"/>
    <col min="118" max="118" width="4.81640625" customWidth="1"/>
    <col min="119" max="173" width="11.453125" customWidth="1"/>
    <col min="174" max="174" width="11.453125" customWidth="1" outlineLevel="1"/>
    <col min="175" max="176" width="11.453125" customWidth="1"/>
    <col min="178" max="184" width="11.453125" outlineLevel="1"/>
    <col min="187" max="189" width="11.453125" outlineLevel="1"/>
  </cols>
  <sheetData>
    <row r="1" spans="1:39" ht="15" thickBot="1" x14ac:dyDescent="0.4">
      <c r="A1" s="1"/>
      <c r="B1" s="1"/>
      <c r="C1" s="1"/>
      <c r="D1" s="1"/>
      <c r="E1" s="1"/>
      <c r="F1" s="2"/>
      <c r="G1" s="1"/>
      <c r="H1" s="2">
        <f>10700*1.05</f>
        <v>11235</v>
      </c>
      <c r="I1" s="1"/>
      <c r="J1" s="1"/>
      <c r="K1" s="1"/>
      <c r="L1" s="1"/>
      <c r="M1" s="1"/>
      <c r="N1" s="1"/>
      <c r="O1" s="3"/>
      <c r="P1" s="3"/>
      <c r="S1"/>
      <c r="T1"/>
      <c r="U1"/>
      <c r="V1"/>
      <c r="W1"/>
      <c r="X1"/>
      <c r="Z1" s="240" t="s">
        <v>110</v>
      </c>
      <c r="AA1" s="240"/>
      <c r="AB1" s="240"/>
      <c r="AC1" s="240"/>
      <c r="AD1" s="240"/>
      <c r="AE1" s="240"/>
    </row>
    <row r="2" spans="1:39" ht="36.5" thickBot="1" x14ac:dyDescent="0.4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90</v>
      </c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9" t="s">
        <v>12</v>
      </c>
      <c r="P2" s="10"/>
      <c r="Q2" s="11" t="s">
        <v>13</v>
      </c>
      <c r="R2" s="184"/>
      <c r="S2" s="9" t="s">
        <v>191</v>
      </c>
      <c r="T2"/>
      <c r="U2"/>
      <c r="V2"/>
      <c r="W2"/>
      <c r="X2"/>
      <c r="Z2" s="122" t="s">
        <v>113</v>
      </c>
      <c r="AA2" s="123" t="s">
        <v>114</v>
      </c>
      <c r="AB2" s="123" t="s">
        <v>115</v>
      </c>
      <c r="AC2" s="123" t="s">
        <v>116</v>
      </c>
      <c r="AD2" s="123" t="s">
        <v>117</v>
      </c>
      <c r="AE2" s="123" t="s">
        <v>109</v>
      </c>
      <c r="AG2" t="s">
        <v>149</v>
      </c>
      <c r="AH2" t="s">
        <v>108</v>
      </c>
    </row>
    <row r="3" spans="1:39" x14ac:dyDescent="0.35">
      <c r="A3" s="12"/>
      <c r="B3" s="13"/>
      <c r="C3" s="14"/>
      <c r="D3" s="13"/>
      <c r="E3" s="13"/>
      <c r="F3" s="15"/>
      <c r="G3" s="13"/>
      <c r="H3" s="15"/>
      <c r="I3" s="16"/>
      <c r="J3" s="17">
        <v>0.21</v>
      </c>
      <c r="K3" s="16"/>
      <c r="L3" s="17">
        <v>0.33</v>
      </c>
      <c r="M3" s="16"/>
      <c r="N3" s="17">
        <v>0.4</v>
      </c>
      <c r="O3" s="18"/>
      <c r="P3" s="3"/>
      <c r="Q3" s="18"/>
      <c r="R3" s="184"/>
      <c r="S3"/>
      <c r="T3"/>
      <c r="U3"/>
      <c r="V3"/>
      <c r="W3"/>
      <c r="X3"/>
    </row>
    <row r="4" spans="1:39" x14ac:dyDescent="0.35">
      <c r="A4" s="19">
        <v>100021632</v>
      </c>
      <c r="B4" s="20" t="s">
        <v>14</v>
      </c>
      <c r="C4" s="21">
        <v>7790360026606</v>
      </c>
      <c r="D4" s="22">
        <v>4.8</v>
      </c>
      <c r="E4" s="23">
        <v>30</v>
      </c>
      <c r="F4" s="24">
        <f t="shared" ref="F4:F35" si="0">+VLOOKUP(A4,$AL$4:$AM$110,2,FALSE)</f>
        <v>36223.373660925958</v>
      </c>
      <c r="G4" s="213"/>
      <c r="H4" s="24">
        <f>+F4*(1-G4)</f>
        <v>36223.373660925958</v>
      </c>
      <c r="I4" s="24">
        <f>+H4/E4</f>
        <v>1207.445788697532</v>
      </c>
      <c r="J4" s="24">
        <f>+I4*J$3</f>
        <v>253.56361562648169</v>
      </c>
      <c r="K4" s="24">
        <f>+I4+J4</f>
        <v>1461.0094043240138</v>
      </c>
      <c r="L4" s="24">
        <f>+K4*L$3</f>
        <v>482.13310342692455</v>
      </c>
      <c r="M4" s="24">
        <f>+K4+L4</f>
        <v>1943.1425077509384</v>
      </c>
      <c r="N4" s="24">
        <f>+M4*N$3</f>
        <v>777.25700310037541</v>
      </c>
      <c r="O4" s="25">
        <f>+M4+N4</f>
        <v>2720.3995108513136</v>
      </c>
      <c r="P4" s="185">
        <f>H4/Q4-1</f>
        <v>5.0000000000000044E-2</v>
      </c>
      <c r="Q4" s="25">
        <v>34498.45110564377</v>
      </c>
      <c r="R4" s="184"/>
      <c r="S4"/>
      <c r="T4"/>
      <c r="U4"/>
      <c r="V4"/>
      <c r="W4"/>
      <c r="X4"/>
      <c r="Y4">
        <f>+Z4*H4</f>
        <v>3622.3373660925959</v>
      </c>
      <c r="Z4" s="121">
        <v>0.1</v>
      </c>
      <c r="AA4" s="120">
        <f>+H4*(1-Z4)</f>
        <v>32601.036294833364</v>
      </c>
      <c r="AB4" s="120">
        <f>+AA4/E4</f>
        <v>1086.7012098277787</v>
      </c>
      <c r="AC4" s="120">
        <f>+AB4*1.21*1.3*1.4</f>
        <v>2393.1334042827343</v>
      </c>
      <c r="AD4" s="119" t="s">
        <v>112</v>
      </c>
      <c r="AE4" t="s">
        <v>111</v>
      </c>
      <c r="AG4">
        <v>28670.617659852112</v>
      </c>
      <c r="AH4">
        <f>+(H4-AG4)/AG4</f>
        <v>0.26343192500000029</v>
      </c>
      <c r="AL4" s="210">
        <v>100021632</v>
      </c>
      <c r="AM4" s="24">
        <v>36223.373660925958</v>
      </c>
    </row>
    <row r="5" spans="1:39" x14ac:dyDescent="0.35">
      <c r="A5" s="26">
        <v>100021652</v>
      </c>
      <c r="B5" s="20" t="s">
        <v>15</v>
      </c>
      <c r="C5" s="21">
        <v>7790360026576</v>
      </c>
      <c r="D5" s="22">
        <v>5.76</v>
      </c>
      <c r="E5" s="23">
        <v>18</v>
      </c>
      <c r="F5" s="24">
        <f t="shared" si="0"/>
        <v>49208.687914854294</v>
      </c>
      <c r="G5" s="23"/>
      <c r="H5" s="24">
        <f>+F5*(1-G5)</f>
        <v>49208.687914854294</v>
      </c>
      <c r="I5" s="24">
        <f t="shared" ref="I5:I77" si="1">+H5/E5</f>
        <v>2733.8159952696828</v>
      </c>
      <c r="J5" s="24">
        <f t="shared" ref="J5:J77" si="2">+I5*J$3</f>
        <v>574.1013590066334</v>
      </c>
      <c r="K5" s="24">
        <f t="shared" ref="K5:K77" si="3">+I5+J5</f>
        <v>3307.9173542763165</v>
      </c>
      <c r="L5" s="24">
        <f t="shared" ref="L5:L77" si="4">+K5*L$3</f>
        <v>1091.6127269111844</v>
      </c>
      <c r="M5" s="24">
        <f t="shared" ref="M5:M77" si="5">+K5+L5</f>
        <v>4399.5300811875004</v>
      </c>
      <c r="N5" s="24">
        <f t="shared" ref="N5:N77" si="6">+M5*N$3</f>
        <v>1759.8120324750003</v>
      </c>
      <c r="O5" s="25">
        <f t="shared" ref="O5:O77" si="7">+M5+N5</f>
        <v>6159.3421136625002</v>
      </c>
      <c r="P5" s="185">
        <f t="shared" ref="P5:P71" si="8">H5/Q5-1</f>
        <v>0</v>
      </c>
      <c r="Q5" s="25">
        <v>49208.687914854294</v>
      </c>
      <c r="R5" s="184"/>
      <c r="S5"/>
      <c r="T5"/>
      <c r="U5"/>
      <c r="V5"/>
      <c r="W5"/>
      <c r="X5"/>
      <c r="AG5">
        <v>41713.766855154419</v>
      </c>
      <c r="AH5">
        <f t="shared" ref="AH5:AH77" si="9">+(H5-AG5)/AG5</f>
        <v>0.17967500000000011</v>
      </c>
      <c r="AL5" s="210">
        <v>100021652</v>
      </c>
      <c r="AM5" s="24">
        <v>49208.687914854294</v>
      </c>
    </row>
    <row r="6" spans="1:39" x14ac:dyDescent="0.35">
      <c r="A6" s="26">
        <v>100021631</v>
      </c>
      <c r="B6" s="20" t="s">
        <v>16</v>
      </c>
      <c r="C6" s="21">
        <v>7790360026590</v>
      </c>
      <c r="D6" s="22">
        <v>7.68</v>
      </c>
      <c r="E6" s="23">
        <v>8</v>
      </c>
      <c r="F6" s="24">
        <f t="shared" si="0"/>
        <v>60717.273945933041</v>
      </c>
      <c r="G6" s="23"/>
      <c r="H6" s="24">
        <f t="shared" ref="H6:H78" si="10">+F6*(1-G6)</f>
        <v>60717.273945933041</v>
      </c>
      <c r="I6" s="24">
        <f t="shared" si="1"/>
        <v>7589.6592432416301</v>
      </c>
      <c r="J6" s="24">
        <f t="shared" si="2"/>
        <v>1593.8284410807423</v>
      </c>
      <c r="K6" s="24">
        <f t="shared" si="3"/>
        <v>9183.4876843223719</v>
      </c>
      <c r="L6" s="24">
        <f t="shared" si="4"/>
        <v>3030.550935826383</v>
      </c>
      <c r="M6" s="24">
        <f t="shared" si="5"/>
        <v>12214.038620148754</v>
      </c>
      <c r="N6" s="24">
        <f t="shared" si="6"/>
        <v>4885.6154480595023</v>
      </c>
      <c r="O6" s="25">
        <f t="shared" si="7"/>
        <v>17099.654068208256</v>
      </c>
      <c r="P6" s="185">
        <f t="shared" si="8"/>
        <v>0</v>
      </c>
      <c r="Q6" s="25">
        <v>60717.273945933041</v>
      </c>
      <c r="R6" s="184"/>
      <c r="S6"/>
      <c r="T6"/>
      <c r="U6"/>
      <c r="V6"/>
      <c r="W6"/>
      <c r="X6"/>
      <c r="AG6">
        <v>61026.747229477209</v>
      </c>
      <c r="AH6">
        <f t="shared" si="9"/>
        <v>-5.0711089414689648E-3</v>
      </c>
      <c r="AL6" s="26">
        <v>100021631</v>
      </c>
      <c r="AM6" s="24">
        <v>60717.273945933041</v>
      </c>
    </row>
    <row r="7" spans="1:39" x14ac:dyDescent="0.35">
      <c r="A7" s="26">
        <v>100021630</v>
      </c>
      <c r="B7" s="20" t="s">
        <v>17</v>
      </c>
      <c r="C7" s="21">
        <v>7790360026583</v>
      </c>
      <c r="D7" s="22">
        <v>9.6</v>
      </c>
      <c r="E7" s="23">
        <v>6</v>
      </c>
      <c r="F7" s="24">
        <f t="shared" si="0"/>
        <v>75896.592432416306</v>
      </c>
      <c r="G7" s="23"/>
      <c r="H7" s="24">
        <f t="shared" si="10"/>
        <v>75896.592432416306</v>
      </c>
      <c r="I7" s="24">
        <f t="shared" si="1"/>
        <v>12649.432072069385</v>
      </c>
      <c r="J7" s="24">
        <f t="shared" si="2"/>
        <v>2656.3807351345708</v>
      </c>
      <c r="K7" s="24">
        <f t="shared" si="3"/>
        <v>15305.812807203956</v>
      </c>
      <c r="L7" s="24">
        <f t="shared" si="4"/>
        <v>5050.9182263773055</v>
      </c>
      <c r="M7" s="24">
        <f t="shared" si="5"/>
        <v>20356.731033581262</v>
      </c>
      <c r="N7" s="24">
        <f t="shared" si="6"/>
        <v>8142.6924134325054</v>
      </c>
      <c r="O7" s="25">
        <f t="shared" si="7"/>
        <v>28499.423447013767</v>
      </c>
      <c r="P7" s="185">
        <f t="shared" si="8"/>
        <v>0</v>
      </c>
      <c r="Q7" s="25">
        <v>75896.592432416306</v>
      </c>
      <c r="R7" s="184"/>
      <c r="S7"/>
      <c r="T7"/>
      <c r="U7"/>
      <c r="V7"/>
      <c r="W7"/>
      <c r="X7"/>
      <c r="AG7">
        <v>76268.328406344153</v>
      </c>
      <c r="AH7">
        <f t="shared" si="9"/>
        <v>-4.8740542987556219E-3</v>
      </c>
      <c r="AL7" s="26">
        <v>100021630</v>
      </c>
      <c r="AM7" s="24">
        <v>75896.592432416306</v>
      </c>
    </row>
    <row r="8" spans="1:39" x14ac:dyDescent="0.35">
      <c r="A8" s="27">
        <v>100021653</v>
      </c>
      <c r="B8" s="28" t="s">
        <v>18</v>
      </c>
      <c r="C8" s="21">
        <v>7790360026682</v>
      </c>
      <c r="D8" s="22">
        <v>5.76</v>
      </c>
      <c r="E8" s="23">
        <v>18</v>
      </c>
      <c r="F8" s="24">
        <f t="shared" si="0"/>
        <v>49208.687914854294</v>
      </c>
      <c r="G8" s="23"/>
      <c r="H8" s="24">
        <f t="shared" si="10"/>
        <v>49208.687914854294</v>
      </c>
      <c r="I8" s="24">
        <f t="shared" si="1"/>
        <v>2733.8159952696828</v>
      </c>
      <c r="J8" s="24">
        <f t="shared" si="2"/>
        <v>574.1013590066334</v>
      </c>
      <c r="K8" s="24">
        <f t="shared" si="3"/>
        <v>3307.9173542763165</v>
      </c>
      <c r="L8" s="24">
        <f t="shared" si="4"/>
        <v>1091.6127269111844</v>
      </c>
      <c r="M8" s="24">
        <f t="shared" si="5"/>
        <v>4399.5300811875004</v>
      </c>
      <c r="N8" s="24">
        <f t="shared" si="6"/>
        <v>1759.8120324750003</v>
      </c>
      <c r="O8" s="25">
        <f t="shared" si="7"/>
        <v>6159.3421136625002</v>
      </c>
      <c r="P8" s="185">
        <f t="shared" si="8"/>
        <v>0</v>
      </c>
      <c r="Q8" s="25">
        <v>49208.687914854294</v>
      </c>
      <c r="R8" s="184"/>
      <c r="S8"/>
      <c r="T8"/>
      <c r="U8"/>
      <c r="V8"/>
      <c r="W8"/>
      <c r="X8"/>
      <c r="AG8">
        <v>49250.372548715786</v>
      </c>
      <c r="AH8">
        <f t="shared" si="9"/>
        <v>-8.4638210239445719E-4</v>
      </c>
      <c r="AL8" s="27">
        <v>100021653</v>
      </c>
      <c r="AM8" s="24">
        <v>49208.687914854294</v>
      </c>
    </row>
    <row r="9" spans="1:39" x14ac:dyDescent="0.35">
      <c r="A9" s="27">
        <v>100516169</v>
      </c>
      <c r="B9" s="28" t="s">
        <v>19</v>
      </c>
      <c r="C9" s="21">
        <v>7790360967961</v>
      </c>
      <c r="D9" s="22">
        <v>5.76</v>
      </c>
      <c r="E9" s="23">
        <v>18</v>
      </c>
      <c r="F9" s="24">
        <f t="shared" si="0"/>
        <v>45373.851597375018</v>
      </c>
      <c r="G9" s="23"/>
      <c r="H9" s="24">
        <f t="shared" si="10"/>
        <v>45373.851597375018</v>
      </c>
      <c r="I9" s="24">
        <f t="shared" si="1"/>
        <v>2520.7695331875011</v>
      </c>
      <c r="J9" s="24">
        <f t="shared" si="2"/>
        <v>529.36160196937522</v>
      </c>
      <c r="K9" s="24">
        <f t="shared" si="3"/>
        <v>3050.1311351568766</v>
      </c>
      <c r="L9" s="24">
        <f t="shared" si="4"/>
        <v>1006.5432746017693</v>
      </c>
      <c r="M9" s="24">
        <f t="shared" si="5"/>
        <v>4056.6744097586461</v>
      </c>
      <c r="N9" s="24">
        <f t="shared" si="6"/>
        <v>1622.6697639034585</v>
      </c>
      <c r="O9" s="25">
        <f t="shared" si="7"/>
        <v>5679.3441736621044</v>
      </c>
      <c r="P9" s="185">
        <f t="shared" si="8"/>
        <v>0</v>
      </c>
      <c r="Q9" s="25">
        <v>45373.851597375018</v>
      </c>
      <c r="R9" s="184"/>
      <c r="S9"/>
      <c r="T9"/>
      <c r="U9"/>
      <c r="V9"/>
      <c r="W9"/>
      <c r="X9"/>
      <c r="AG9">
        <v>41155.420950000007</v>
      </c>
      <c r="AH9">
        <f t="shared" si="9"/>
        <v>0.10250000000000026</v>
      </c>
      <c r="AL9" s="27">
        <v>100516169</v>
      </c>
      <c r="AM9" s="24">
        <v>45373.851597375018</v>
      </c>
    </row>
    <row r="10" spans="1:39" x14ac:dyDescent="0.35">
      <c r="A10" s="27">
        <v>100520337</v>
      </c>
      <c r="B10" s="28" t="s">
        <v>20</v>
      </c>
      <c r="C10" s="21">
        <v>7790360977960</v>
      </c>
      <c r="D10" s="22">
        <v>4.8</v>
      </c>
      <c r="E10" s="23">
        <v>30</v>
      </c>
      <c r="F10" s="24">
        <f t="shared" si="0"/>
        <v>28211.350203213358</v>
      </c>
      <c r="G10" s="23"/>
      <c r="H10" s="24">
        <f t="shared" si="10"/>
        <v>28211.350203213358</v>
      </c>
      <c r="I10" s="24">
        <f>+H10/E10</f>
        <v>940.37834010711197</v>
      </c>
      <c r="J10" s="24">
        <f>+I10*J$3</f>
        <v>197.4794514224935</v>
      </c>
      <c r="K10" s="24">
        <f>+I10+J10</f>
        <v>1137.8577915296055</v>
      </c>
      <c r="L10" s="24">
        <f>+K10*L$3</f>
        <v>375.49307120476982</v>
      </c>
      <c r="M10" s="24">
        <f>+K10+L10</f>
        <v>1513.3508627343754</v>
      </c>
      <c r="N10" s="24">
        <f>+M10*N$3</f>
        <v>605.34034509375022</v>
      </c>
      <c r="O10" s="25">
        <f>+M10+N10</f>
        <v>2118.6912078281257</v>
      </c>
      <c r="P10" s="185">
        <f t="shared" si="8"/>
        <v>5.0000000000000044E-2</v>
      </c>
      <c r="Q10" s="25">
        <v>26867.952574488911</v>
      </c>
      <c r="R10" s="184"/>
      <c r="S10"/>
      <c r="T10"/>
      <c r="U10"/>
      <c r="V10"/>
      <c r="W10"/>
      <c r="X10"/>
      <c r="AG10">
        <v>24370.025010874295</v>
      </c>
      <c r="AH10">
        <f t="shared" si="9"/>
        <v>0.15762500000000013</v>
      </c>
      <c r="AL10" s="211">
        <v>100520337</v>
      </c>
      <c r="AM10" s="24">
        <v>28211.350203213358</v>
      </c>
    </row>
    <row r="11" spans="1:39" x14ac:dyDescent="0.35">
      <c r="A11" s="84">
        <v>100021503</v>
      </c>
      <c r="B11" s="98" t="s">
        <v>21</v>
      </c>
      <c r="C11" s="99">
        <v>7790360966841</v>
      </c>
      <c r="D11" s="100">
        <v>3.3119999999999998</v>
      </c>
      <c r="E11" s="101">
        <v>12</v>
      </c>
      <c r="F11" s="85">
        <f t="shared" si="0"/>
        <v>19950.310569812969</v>
      </c>
      <c r="G11" s="200">
        <v>9.0909090909090912E-2</v>
      </c>
      <c r="H11" s="85">
        <f t="shared" si="10"/>
        <v>18136.645972557246</v>
      </c>
      <c r="I11" s="85">
        <f t="shared" si="1"/>
        <v>1511.3871643797704</v>
      </c>
      <c r="J11" s="85">
        <f t="shared" si="2"/>
        <v>317.39130451975177</v>
      </c>
      <c r="K11" s="85">
        <f t="shared" si="3"/>
        <v>1828.7784688995221</v>
      </c>
      <c r="L11" s="85">
        <f t="shared" si="4"/>
        <v>603.49689473684236</v>
      </c>
      <c r="M11" s="85">
        <f t="shared" si="5"/>
        <v>2432.2753636363645</v>
      </c>
      <c r="N11" s="85">
        <f t="shared" si="6"/>
        <v>972.91014545454584</v>
      </c>
      <c r="O11" s="102">
        <f t="shared" si="7"/>
        <v>3405.1855090909103</v>
      </c>
      <c r="P11" s="185">
        <f t="shared" si="8"/>
        <v>9.0821825163077907E-2</v>
      </c>
      <c r="Q11" s="25">
        <v>16626.58882888213</v>
      </c>
      <c r="R11" s="184"/>
      <c r="S11" t="s">
        <v>179</v>
      </c>
      <c r="T11"/>
      <c r="U11"/>
      <c r="V11"/>
      <c r="W11"/>
      <c r="X11"/>
      <c r="AG11">
        <v>16911.700739451939</v>
      </c>
      <c r="AH11">
        <f t="shared" si="9"/>
        <v>7.243181818181843E-2</v>
      </c>
      <c r="AL11" s="212">
        <v>100021503</v>
      </c>
      <c r="AM11" s="24">
        <v>19950.310569812969</v>
      </c>
    </row>
    <row r="12" spans="1:39" x14ac:dyDescent="0.35">
      <c r="A12" s="27">
        <v>100516201</v>
      </c>
      <c r="B12" s="28" t="s">
        <v>22</v>
      </c>
      <c r="C12" s="21">
        <v>7790360968548</v>
      </c>
      <c r="D12" s="22">
        <v>6.6239999999999997</v>
      </c>
      <c r="E12" s="23">
        <v>8</v>
      </c>
      <c r="F12" s="24">
        <f t="shared" si="0"/>
        <v>39562.393269703367</v>
      </c>
      <c r="G12" s="199"/>
      <c r="H12" s="24">
        <f t="shared" si="10"/>
        <v>39562.393269703367</v>
      </c>
      <c r="I12" s="24">
        <f t="shared" si="1"/>
        <v>4945.2991587129209</v>
      </c>
      <c r="J12" s="24">
        <f t="shared" si="2"/>
        <v>1038.5128233297135</v>
      </c>
      <c r="K12" s="24">
        <f t="shared" si="3"/>
        <v>5983.8119820426346</v>
      </c>
      <c r="L12" s="24">
        <f t="shared" si="4"/>
        <v>1974.6579540740695</v>
      </c>
      <c r="M12" s="24">
        <f t="shared" si="5"/>
        <v>7958.469936116704</v>
      </c>
      <c r="N12" s="24">
        <f t="shared" si="6"/>
        <v>3183.3879744466817</v>
      </c>
      <c r="O12" s="25">
        <f t="shared" si="7"/>
        <v>11141.857910563385</v>
      </c>
      <c r="P12" s="185">
        <f t="shared" si="8"/>
        <v>5.0000000000000044E-2</v>
      </c>
      <c r="Q12" s="25">
        <v>37678.469780669875</v>
      </c>
      <c r="R12" s="184"/>
      <c r="S12" s="193"/>
      <c r="T12"/>
      <c r="U12"/>
      <c r="V12"/>
      <c r="W12"/>
      <c r="X12"/>
      <c r="AG12">
        <v>34175.482794258387</v>
      </c>
      <c r="AH12">
        <f t="shared" si="9"/>
        <v>0.15762500000000004</v>
      </c>
      <c r="AL12" s="27">
        <v>100516201</v>
      </c>
      <c r="AM12" s="24">
        <v>39562.393269703367</v>
      </c>
    </row>
    <row r="13" spans="1:39" x14ac:dyDescent="0.35">
      <c r="A13" s="27">
        <v>100021643</v>
      </c>
      <c r="B13" s="28" t="s">
        <v>23</v>
      </c>
      <c r="C13" s="21">
        <v>7790360966797</v>
      </c>
      <c r="D13" s="22">
        <v>4.7039999999999997</v>
      </c>
      <c r="E13" s="23">
        <v>42</v>
      </c>
      <c r="F13" s="24">
        <f t="shared" si="0"/>
        <v>27190.84384515007</v>
      </c>
      <c r="G13" s="199"/>
      <c r="H13" s="24">
        <f t="shared" si="10"/>
        <v>27190.84384515007</v>
      </c>
      <c r="I13" s="24">
        <f t="shared" si="1"/>
        <v>647.40104393214449</v>
      </c>
      <c r="J13" s="24">
        <f t="shared" si="2"/>
        <v>135.95421922575034</v>
      </c>
      <c r="K13" s="24">
        <f t="shared" si="3"/>
        <v>783.3552631578948</v>
      </c>
      <c r="L13" s="24">
        <f t="shared" si="4"/>
        <v>258.50723684210527</v>
      </c>
      <c r="M13" s="24">
        <f t="shared" si="5"/>
        <v>1041.8625000000002</v>
      </c>
      <c r="N13" s="24">
        <f t="shared" si="6"/>
        <v>416.74500000000012</v>
      </c>
      <c r="O13" s="25">
        <f t="shared" si="7"/>
        <v>1458.6075000000003</v>
      </c>
      <c r="P13" s="185">
        <f t="shared" si="8"/>
        <v>0</v>
      </c>
      <c r="Q13" s="25">
        <v>27190.84384515007</v>
      </c>
      <c r="R13" s="184"/>
      <c r="S13" s="193"/>
      <c r="T13"/>
      <c r="U13"/>
      <c r="V13"/>
      <c r="W13"/>
      <c r="X13"/>
      <c r="AG13">
        <v>25896.04175728578</v>
      </c>
      <c r="AH13">
        <f t="shared" si="9"/>
        <v>5.000000000000001E-2</v>
      </c>
      <c r="AL13" s="212">
        <v>100021643</v>
      </c>
      <c r="AM13" s="24">
        <v>27190.84384515007</v>
      </c>
    </row>
    <row r="14" spans="1:39" x14ac:dyDescent="0.35">
      <c r="A14" s="27">
        <v>100516325</v>
      </c>
      <c r="B14" s="28" t="s">
        <v>24</v>
      </c>
      <c r="C14" s="21">
        <v>7790360967763</v>
      </c>
      <c r="D14" s="22">
        <v>4.7039999999999997</v>
      </c>
      <c r="E14" s="23">
        <v>21</v>
      </c>
      <c r="F14" s="24">
        <f t="shared" si="0"/>
        <v>26444.81847654887</v>
      </c>
      <c r="G14" s="199"/>
      <c r="H14" s="24">
        <f t="shared" si="10"/>
        <v>26444.81847654887</v>
      </c>
      <c r="I14" s="24">
        <f t="shared" si="1"/>
        <v>1259.2770703118508</v>
      </c>
      <c r="J14" s="24">
        <f t="shared" si="2"/>
        <v>264.44818476548869</v>
      </c>
      <c r="K14" s="24">
        <f t="shared" si="3"/>
        <v>1523.7252550773396</v>
      </c>
      <c r="L14" s="24">
        <f t="shared" si="4"/>
        <v>502.82933417552209</v>
      </c>
      <c r="M14" s="24">
        <f t="shared" si="5"/>
        <v>2026.5545892528617</v>
      </c>
      <c r="N14" s="24">
        <f t="shared" si="6"/>
        <v>810.62183570114473</v>
      </c>
      <c r="O14" s="25">
        <f t="shared" si="7"/>
        <v>2837.1764249540065</v>
      </c>
      <c r="P14" s="185">
        <f t="shared" si="8"/>
        <v>0</v>
      </c>
      <c r="Q14" s="25">
        <v>26444.81847654887</v>
      </c>
      <c r="R14" s="184"/>
      <c r="S14" s="193"/>
      <c r="T14"/>
      <c r="U14"/>
      <c r="V14"/>
      <c r="W14"/>
      <c r="X14"/>
      <c r="AG14">
        <v>23986.229910701921</v>
      </c>
      <c r="AH14">
        <f t="shared" si="9"/>
        <v>0.10250000000000008</v>
      </c>
      <c r="AL14" s="27">
        <v>100516325</v>
      </c>
      <c r="AM14" s="24">
        <v>26444.81847654887</v>
      </c>
    </row>
    <row r="15" spans="1:39" x14ac:dyDescent="0.35">
      <c r="A15" s="84">
        <v>100021676</v>
      </c>
      <c r="B15" s="98" t="s">
        <v>25</v>
      </c>
      <c r="C15" s="99">
        <v>7790360967411</v>
      </c>
      <c r="D15" s="100">
        <v>7.5</v>
      </c>
      <c r="E15" s="101">
        <v>30</v>
      </c>
      <c r="F15" s="85">
        <f t="shared" si="0"/>
        <v>58407.61246370367</v>
      </c>
      <c r="G15" s="200">
        <v>8.7999999999999995E-2</v>
      </c>
      <c r="H15" s="85">
        <f t="shared" si="10"/>
        <v>53267.742566897752</v>
      </c>
      <c r="I15" s="85">
        <f t="shared" si="1"/>
        <v>1775.5914188965917</v>
      </c>
      <c r="J15" s="85">
        <f t="shared" si="2"/>
        <v>372.87419796828425</v>
      </c>
      <c r="K15" s="85">
        <f t="shared" si="3"/>
        <v>2148.4656168648758</v>
      </c>
      <c r="L15" s="85">
        <f>+K15*0.33</f>
        <v>708.99365356540898</v>
      </c>
      <c r="M15" s="85">
        <f t="shared" si="5"/>
        <v>2857.459270430285</v>
      </c>
      <c r="N15" s="85">
        <f t="shared" si="6"/>
        <v>1142.9837081721141</v>
      </c>
      <c r="O15" s="102">
        <f t="shared" si="7"/>
        <v>4000.4429786023993</v>
      </c>
      <c r="P15" s="185">
        <f t="shared" si="8"/>
        <v>-8.7999999999999967E-2</v>
      </c>
      <c r="Q15" s="25">
        <v>58407.61246370367</v>
      </c>
      <c r="R15" s="184"/>
      <c r="S15" t="s">
        <v>207</v>
      </c>
      <c r="T15"/>
      <c r="U15"/>
      <c r="V15"/>
      <c r="W15"/>
      <c r="X15"/>
      <c r="AG15">
        <v>48161.296609939112</v>
      </c>
      <c r="AH15">
        <f t="shared" si="9"/>
        <v>0.10602800000000032</v>
      </c>
      <c r="AL15" s="212">
        <v>100021676</v>
      </c>
      <c r="AM15" s="24">
        <v>58407.61246370367</v>
      </c>
    </row>
    <row r="16" spans="1:39" x14ac:dyDescent="0.35">
      <c r="A16" s="84">
        <v>100516008</v>
      </c>
      <c r="B16" s="98" t="s">
        <v>26</v>
      </c>
      <c r="C16" s="99">
        <v>7790360967701</v>
      </c>
      <c r="D16" s="100">
        <v>5.76</v>
      </c>
      <c r="E16" s="101">
        <v>24</v>
      </c>
      <c r="F16" s="85">
        <f t="shared" si="0"/>
        <v>57960.920195249659</v>
      </c>
      <c r="G16" s="200">
        <v>8.3333333333333301E-2</v>
      </c>
      <c r="H16" s="85">
        <f t="shared" si="10"/>
        <v>53130.843512312189</v>
      </c>
      <c r="I16" s="85">
        <f t="shared" si="1"/>
        <v>2213.7851463463412</v>
      </c>
      <c r="J16" s="85">
        <f t="shared" si="2"/>
        <v>464.89488073273162</v>
      </c>
      <c r="K16" s="85">
        <f t="shared" si="3"/>
        <v>2678.6800270790727</v>
      </c>
      <c r="L16" s="85">
        <f t="shared" si="4"/>
        <v>883.96440893609406</v>
      </c>
      <c r="M16" s="85">
        <f t="shared" si="5"/>
        <v>3562.6444360151668</v>
      </c>
      <c r="N16" s="85">
        <f t="shared" si="6"/>
        <v>1425.0577744060668</v>
      </c>
      <c r="O16" s="102">
        <f t="shared" si="7"/>
        <v>4987.7022104212338</v>
      </c>
      <c r="P16" s="185">
        <f t="shared" si="8"/>
        <v>8.3232501008323467E-3</v>
      </c>
      <c r="Q16" s="25">
        <v>52692.272549501467</v>
      </c>
      <c r="R16" s="184"/>
      <c r="S16" t="s">
        <v>162</v>
      </c>
      <c r="T16"/>
      <c r="U16"/>
      <c r="V16"/>
      <c r="W16"/>
      <c r="X16"/>
      <c r="AG16">
        <v>52572.263215645944</v>
      </c>
      <c r="AH16">
        <f t="shared" si="9"/>
        <v>1.0625000000000129E-2</v>
      </c>
      <c r="AL16" s="212">
        <v>100516008</v>
      </c>
      <c r="AM16" s="24">
        <v>57960.920195249659</v>
      </c>
    </row>
    <row r="17" spans="1:39" x14ac:dyDescent="0.35">
      <c r="A17" s="27">
        <v>100520834</v>
      </c>
      <c r="B17" s="28" t="s">
        <v>27</v>
      </c>
      <c r="C17" s="21">
        <v>7790360980618</v>
      </c>
      <c r="D17" s="22">
        <v>6.66</v>
      </c>
      <c r="E17" s="23">
        <v>36</v>
      </c>
      <c r="F17" s="24">
        <f t="shared" si="0"/>
        <v>67713.604297627258</v>
      </c>
      <c r="G17" s="23"/>
      <c r="H17" s="24">
        <f t="shared" si="10"/>
        <v>67713.604297627258</v>
      </c>
      <c r="I17" s="24">
        <f t="shared" si="1"/>
        <v>1880.9334527118683</v>
      </c>
      <c r="J17" s="24">
        <f t="shared" si="2"/>
        <v>394.9960250694923</v>
      </c>
      <c r="K17" s="24">
        <f t="shared" si="3"/>
        <v>2275.9294777813607</v>
      </c>
      <c r="L17" s="24">
        <f t="shared" si="4"/>
        <v>751.05672766784903</v>
      </c>
      <c r="M17" s="24">
        <f t="shared" si="5"/>
        <v>3026.9862054492096</v>
      </c>
      <c r="N17" s="24">
        <f t="shared" si="6"/>
        <v>1210.7944821796839</v>
      </c>
      <c r="O17" s="25">
        <f t="shared" si="7"/>
        <v>4237.7806876288932</v>
      </c>
      <c r="P17" s="185">
        <f t="shared" si="8"/>
        <v>0</v>
      </c>
      <c r="Q17" s="25">
        <v>67713.604297627258</v>
      </c>
      <c r="R17" s="184"/>
      <c r="S17"/>
      <c r="T17"/>
      <c r="U17"/>
      <c r="V17"/>
      <c r="W17"/>
      <c r="X17"/>
      <c r="AG17">
        <v>58493.557324372967</v>
      </c>
      <c r="AH17">
        <f t="shared" si="9"/>
        <v>0.15762500000000004</v>
      </c>
      <c r="AL17" s="212">
        <v>100520834</v>
      </c>
      <c r="AM17" s="24">
        <v>67713.604297627258</v>
      </c>
    </row>
    <row r="18" spans="1:39" hidden="1" x14ac:dyDescent="0.35">
      <c r="A18" s="27">
        <v>100021680</v>
      </c>
      <c r="B18" s="28" t="s">
        <v>28</v>
      </c>
      <c r="C18" s="21">
        <v>7790360967688</v>
      </c>
      <c r="D18" s="22">
        <v>4.32</v>
      </c>
      <c r="E18" s="23">
        <v>18</v>
      </c>
      <c r="F18" s="24" t="e">
        <f t="shared" si="0"/>
        <v>#N/A</v>
      </c>
      <c r="G18" s="23"/>
      <c r="H18" s="24" t="e">
        <f t="shared" si="10"/>
        <v>#N/A</v>
      </c>
      <c r="I18" s="24" t="e">
        <f t="shared" si="1"/>
        <v>#N/A</v>
      </c>
      <c r="J18" s="24" t="e">
        <f t="shared" si="2"/>
        <v>#N/A</v>
      </c>
      <c r="K18" s="24" t="e">
        <f t="shared" si="3"/>
        <v>#N/A</v>
      </c>
      <c r="L18" s="24" t="e">
        <f t="shared" si="4"/>
        <v>#N/A</v>
      </c>
      <c r="M18" s="24" t="e">
        <f t="shared" si="5"/>
        <v>#N/A</v>
      </c>
      <c r="N18" s="24" t="e">
        <f t="shared" si="6"/>
        <v>#N/A</v>
      </c>
      <c r="O18" s="25" t="e">
        <f t="shared" si="7"/>
        <v>#N/A</v>
      </c>
      <c r="P18" s="185" t="e">
        <f t="shared" si="8"/>
        <v>#N/A</v>
      </c>
      <c r="Q18" s="25">
        <v>51589.615993061918</v>
      </c>
      <c r="R18" s="184"/>
      <c r="S18"/>
      <c r="T18"/>
      <c r="U18"/>
      <c r="V18"/>
      <c r="W18"/>
      <c r="X18"/>
      <c r="AG18">
        <v>44565.049988607636</v>
      </c>
      <c r="AH18" t="e">
        <f t="shared" si="9"/>
        <v>#N/A</v>
      </c>
      <c r="AL18" s="212">
        <v>100021644</v>
      </c>
      <c r="AM18" s="85">
        <v>20661.699801276809</v>
      </c>
    </row>
    <row r="19" spans="1:39" x14ac:dyDescent="0.35">
      <c r="A19" s="27">
        <v>100021644</v>
      </c>
      <c r="B19" s="28" t="s">
        <v>29</v>
      </c>
      <c r="C19" s="21">
        <v>7790360008541</v>
      </c>
      <c r="D19" s="22">
        <v>4.7039999999999997</v>
      </c>
      <c r="E19" s="23">
        <v>42</v>
      </c>
      <c r="F19" s="24">
        <f t="shared" si="0"/>
        <v>20661.699801276809</v>
      </c>
      <c r="G19" s="23"/>
      <c r="H19" s="24">
        <f t="shared" si="10"/>
        <v>20661.699801276809</v>
      </c>
      <c r="I19" s="24">
        <f t="shared" si="1"/>
        <v>491.94523336373356</v>
      </c>
      <c r="J19" s="24">
        <f t="shared" si="2"/>
        <v>103.30849900638404</v>
      </c>
      <c r="K19" s="24">
        <f t="shared" si="3"/>
        <v>595.25373237011763</v>
      </c>
      <c r="L19" s="24">
        <f>+K19*0.3</f>
        <v>178.57611971103529</v>
      </c>
      <c r="M19" s="24">
        <f t="shared" si="5"/>
        <v>773.82985208115292</v>
      </c>
      <c r="N19" s="24">
        <f t="shared" si="6"/>
        <v>309.5319408324612</v>
      </c>
      <c r="O19" s="25">
        <f t="shared" si="7"/>
        <v>1083.3617929136142</v>
      </c>
      <c r="P19" s="185">
        <f t="shared" si="8"/>
        <v>5.0000000000000044E-2</v>
      </c>
      <c r="Q19" s="25">
        <v>19677.80933454934</v>
      </c>
      <c r="R19" s="184"/>
      <c r="S19"/>
      <c r="T19"/>
      <c r="U19"/>
      <c r="V19"/>
      <c r="W19"/>
      <c r="X19"/>
      <c r="AG19">
        <v>15520.307076446288</v>
      </c>
      <c r="AH19">
        <f t="shared" si="9"/>
        <v>0.33126875000000028</v>
      </c>
      <c r="AL19" s="212">
        <v>100021677</v>
      </c>
      <c r="AM19" s="24">
        <v>16816.177376033062</v>
      </c>
    </row>
    <row r="20" spans="1:39" x14ac:dyDescent="0.35">
      <c r="A20" s="27">
        <v>100021677</v>
      </c>
      <c r="B20" s="28" t="s">
        <v>30</v>
      </c>
      <c r="C20" s="21">
        <v>7790360967404</v>
      </c>
      <c r="D20" s="22">
        <v>3.3119999999999998</v>
      </c>
      <c r="E20" s="23">
        <v>12</v>
      </c>
      <c r="F20" s="24">
        <f t="shared" si="0"/>
        <v>16816.177376033062</v>
      </c>
      <c r="G20" s="23"/>
      <c r="H20" s="24">
        <f t="shared" si="10"/>
        <v>16816.177376033062</v>
      </c>
      <c r="I20" s="24">
        <f t="shared" si="1"/>
        <v>1401.3481146694219</v>
      </c>
      <c r="J20" s="24">
        <f t="shared" si="2"/>
        <v>294.2831040805786</v>
      </c>
      <c r="K20" s="24">
        <f t="shared" si="3"/>
        <v>1695.6312187500005</v>
      </c>
      <c r="L20" s="29">
        <f>+K20*0.3</f>
        <v>508.68936562500011</v>
      </c>
      <c r="M20" s="24">
        <f t="shared" si="5"/>
        <v>2204.3205843750006</v>
      </c>
      <c r="N20" s="24">
        <f t="shared" si="6"/>
        <v>881.7282337500003</v>
      </c>
      <c r="O20" s="25">
        <f t="shared" si="7"/>
        <v>3086.0488181250012</v>
      </c>
      <c r="P20" s="185">
        <f t="shared" si="8"/>
        <v>0</v>
      </c>
      <c r="Q20" s="25">
        <v>16816.177376033062</v>
      </c>
      <c r="R20" s="184"/>
      <c r="S20"/>
      <c r="T20"/>
      <c r="U20"/>
      <c r="V20"/>
      <c r="W20"/>
      <c r="X20"/>
      <c r="AG20">
        <v>14526.446280991737</v>
      </c>
      <c r="AH20">
        <f t="shared" si="9"/>
        <v>0.15762500000000015</v>
      </c>
      <c r="AL20" s="27">
        <v>100021638</v>
      </c>
      <c r="AM20" s="24">
        <v>48130.216696383417</v>
      </c>
    </row>
    <row r="21" spans="1:39" x14ac:dyDescent="0.35">
      <c r="A21" s="27">
        <v>100021638</v>
      </c>
      <c r="B21" s="28" t="s">
        <v>31</v>
      </c>
      <c r="C21" s="21">
        <v>7790360026699</v>
      </c>
      <c r="D21" s="22">
        <v>4.8</v>
      </c>
      <c r="E21" s="23">
        <v>60</v>
      </c>
      <c r="F21" s="24">
        <f t="shared" si="0"/>
        <v>48130.216696383417</v>
      </c>
      <c r="G21" s="23"/>
      <c r="H21" s="24">
        <f t="shared" si="10"/>
        <v>48130.216696383417</v>
      </c>
      <c r="I21" s="24">
        <f t="shared" si="1"/>
        <v>802.17027827305697</v>
      </c>
      <c r="J21" s="24">
        <f t="shared" si="2"/>
        <v>168.45575843734196</v>
      </c>
      <c r="K21" s="24">
        <f t="shared" si="3"/>
        <v>970.62603671039892</v>
      </c>
      <c r="L21" s="24">
        <f t="shared" si="4"/>
        <v>320.30659211443168</v>
      </c>
      <c r="M21" s="24">
        <f t="shared" si="5"/>
        <v>1290.9326288248305</v>
      </c>
      <c r="N21" s="24">
        <f t="shared" si="6"/>
        <v>516.37305152993224</v>
      </c>
      <c r="O21" s="25">
        <f t="shared" si="7"/>
        <v>1807.3056803547629</v>
      </c>
      <c r="P21" s="185">
        <f t="shared" si="8"/>
        <v>0</v>
      </c>
      <c r="Q21" s="25">
        <v>48130.216696383417</v>
      </c>
      <c r="R21" s="184"/>
      <c r="S21"/>
      <c r="T21"/>
      <c r="U21"/>
      <c r="V21"/>
      <c r="W21"/>
      <c r="X21"/>
      <c r="AG21">
        <v>41576.690807803403</v>
      </c>
      <c r="AH21">
        <f t="shared" si="9"/>
        <v>0.15762500000000007</v>
      </c>
      <c r="AL21" s="27">
        <v>100021575</v>
      </c>
      <c r="AM21" s="24">
        <v>40652.510930933146</v>
      </c>
    </row>
    <row r="22" spans="1:39" x14ac:dyDescent="0.35">
      <c r="A22" s="27">
        <v>100021575</v>
      </c>
      <c r="B22" s="28" t="s">
        <v>32</v>
      </c>
      <c r="C22" s="21">
        <v>7790360007032</v>
      </c>
      <c r="D22" s="22">
        <v>4.1399999999999997</v>
      </c>
      <c r="E22" s="23">
        <v>60</v>
      </c>
      <c r="F22" s="24">
        <f t="shared" si="0"/>
        <v>40652.510930933146</v>
      </c>
      <c r="G22" s="23"/>
      <c r="H22" s="24">
        <f t="shared" si="10"/>
        <v>40652.510930933146</v>
      </c>
      <c r="I22" s="24">
        <f t="shared" si="1"/>
        <v>677.54184884888571</v>
      </c>
      <c r="J22" s="24">
        <f t="shared" si="2"/>
        <v>142.28378825826599</v>
      </c>
      <c r="K22" s="24">
        <f t="shared" si="3"/>
        <v>819.82563710715169</v>
      </c>
      <c r="L22" s="24">
        <f t="shared" si="4"/>
        <v>270.54246024536008</v>
      </c>
      <c r="M22" s="24">
        <f t="shared" si="5"/>
        <v>1090.3680973525118</v>
      </c>
      <c r="N22" s="24">
        <f t="shared" si="6"/>
        <v>436.14723894100473</v>
      </c>
      <c r="O22" s="25">
        <f t="shared" si="7"/>
        <v>1526.5153362935166</v>
      </c>
      <c r="P22" s="185">
        <f t="shared" si="8"/>
        <v>0</v>
      </c>
      <c r="Q22" s="25">
        <v>40652.510930933146</v>
      </c>
      <c r="R22" s="184"/>
      <c r="S22"/>
      <c r="T22"/>
      <c r="U22"/>
      <c r="V22"/>
      <c r="W22"/>
      <c r="X22"/>
      <c r="AG22">
        <v>35117.167416851866</v>
      </c>
      <c r="AH22">
        <f t="shared" si="9"/>
        <v>0.15762500000000013</v>
      </c>
      <c r="AL22" s="27">
        <v>100021514</v>
      </c>
      <c r="AM22" s="24">
        <v>37358.366247380967</v>
      </c>
    </row>
    <row r="23" spans="1:39" x14ac:dyDescent="0.35">
      <c r="A23" s="27">
        <v>100021514</v>
      </c>
      <c r="B23" s="28" t="s">
        <v>33</v>
      </c>
      <c r="C23" s="21">
        <v>7790360006943</v>
      </c>
      <c r="D23" s="22">
        <v>4.1399999999999997</v>
      </c>
      <c r="E23" s="23">
        <v>60</v>
      </c>
      <c r="F23" s="24">
        <f t="shared" si="0"/>
        <v>37358.366247380967</v>
      </c>
      <c r="G23" s="23"/>
      <c r="H23" s="24">
        <f t="shared" si="10"/>
        <v>37358.366247380967</v>
      </c>
      <c r="I23" s="24">
        <f t="shared" si="1"/>
        <v>622.63943745634947</v>
      </c>
      <c r="J23" s="24">
        <f t="shared" si="2"/>
        <v>130.75428186583338</v>
      </c>
      <c r="K23" s="24">
        <f t="shared" si="3"/>
        <v>753.39371932218285</v>
      </c>
      <c r="L23" s="24">
        <f t="shared" si="4"/>
        <v>248.61992737632036</v>
      </c>
      <c r="M23" s="24">
        <f t="shared" si="5"/>
        <v>1002.0136466985032</v>
      </c>
      <c r="N23" s="24">
        <f t="shared" si="6"/>
        <v>400.80545867940128</v>
      </c>
      <c r="O23" s="25">
        <f t="shared" si="7"/>
        <v>1402.8191053779044</v>
      </c>
      <c r="P23" s="185">
        <f t="shared" si="8"/>
        <v>0</v>
      </c>
      <c r="Q23" s="25">
        <v>37358.366247380967</v>
      </c>
      <c r="R23" s="184"/>
      <c r="S23"/>
      <c r="T23"/>
      <c r="U23"/>
      <c r="V23"/>
      <c r="W23"/>
      <c r="X23"/>
      <c r="AG23">
        <v>32271.561384196928</v>
      </c>
      <c r="AH23">
        <f t="shared" si="9"/>
        <v>0.15762499999999996</v>
      </c>
      <c r="AL23" s="26">
        <v>100516208</v>
      </c>
      <c r="AM23" s="24">
        <v>42872.09035877647</v>
      </c>
    </row>
    <row r="24" spans="1:39" x14ac:dyDescent="0.35">
      <c r="A24" s="26">
        <v>100516208</v>
      </c>
      <c r="B24" s="30" t="s">
        <v>34</v>
      </c>
      <c r="C24" s="31">
        <v>7790360968203</v>
      </c>
      <c r="D24" s="22">
        <f>60*0.08</f>
        <v>4.8</v>
      </c>
      <c r="E24" s="23">
        <v>60</v>
      </c>
      <c r="F24" s="24">
        <f t="shared" si="0"/>
        <v>42872.09035877647</v>
      </c>
      <c r="G24" s="23"/>
      <c r="H24" s="24">
        <f t="shared" si="10"/>
        <v>42872.09035877647</v>
      </c>
      <c r="I24" s="24">
        <f t="shared" si="1"/>
        <v>714.53483931294113</v>
      </c>
      <c r="J24" s="24">
        <f t="shared" si="2"/>
        <v>150.05231625571764</v>
      </c>
      <c r="K24" s="24">
        <f t="shared" si="3"/>
        <v>864.58715556865877</v>
      </c>
      <c r="L24" s="24">
        <f t="shared" si="4"/>
        <v>285.31376133765741</v>
      </c>
      <c r="M24" s="24">
        <f t="shared" si="5"/>
        <v>1149.9009169063161</v>
      </c>
      <c r="N24" s="24">
        <f t="shared" si="6"/>
        <v>459.96036676252646</v>
      </c>
      <c r="O24" s="25">
        <f t="shared" si="7"/>
        <v>1609.8612836688426</v>
      </c>
      <c r="P24" s="185">
        <f t="shared" si="8"/>
        <v>0</v>
      </c>
      <c r="Q24" s="25">
        <v>42872.09035877647</v>
      </c>
      <c r="R24" s="184"/>
      <c r="S24"/>
      <c r="T24"/>
      <c r="U24"/>
      <c r="V24"/>
      <c r="W24"/>
      <c r="X24"/>
      <c r="AG24">
        <v>37034.52357954991</v>
      </c>
      <c r="AH24">
        <f t="shared" si="9"/>
        <v>0.15762500000000013</v>
      </c>
      <c r="AL24" s="27">
        <v>100518346</v>
      </c>
      <c r="AM24" s="24">
        <v>61908.35483508739</v>
      </c>
    </row>
    <row r="25" spans="1:39" x14ac:dyDescent="0.35">
      <c r="A25" s="27">
        <v>100518346</v>
      </c>
      <c r="B25" s="28" t="s">
        <v>35</v>
      </c>
      <c r="C25" s="21">
        <v>7790360975478</v>
      </c>
      <c r="D25" s="22">
        <f>60*0.109</f>
        <v>6.54</v>
      </c>
      <c r="E25" s="23">
        <v>60</v>
      </c>
      <c r="F25" s="24">
        <f t="shared" si="0"/>
        <v>61908.35483508739</v>
      </c>
      <c r="G25" s="23"/>
      <c r="H25" s="24">
        <f t="shared" si="10"/>
        <v>61908.35483508739</v>
      </c>
      <c r="I25" s="24">
        <f t="shared" si="1"/>
        <v>1031.8059139181232</v>
      </c>
      <c r="J25" s="24">
        <f>I25*J3</f>
        <v>216.67924192280586</v>
      </c>
      <c r="K25" s="24">
        <f>J25+I25</f>
        <v>1248.4851558409291</v>
      </c>
      <c r="L25" s="24">
        <f>K25*L3</f>
        <v>412.00010142750665</v>
      </c>
      <c r="M25" s="24">
        <f>L25+K25</f>
        <v>1660.4852572684358</v>
      </c>
      <c r="N25" s="24">
        <f>M25*N3</f>
        <v>664.19410290737437</v>
      </c>
      <c r="O25" s="25">
        <f>N25+M25</f>
        <v>2324.67936017581</v>
      </c>
      <c r="P25" s="185">
        <f t="shared" si="8"/>
        <v>0</v>
      </c>
      <c r="Q25" s="25">
        <v>61908.35483508739</v>
      </c>
      <c r="R25" s="184"/>
      <c r="S25"/>
      <c r="T25"/>
      <c r="U25"/>
      <c r="V25"/>
      <c r="W25"/>
      <c r="X25"/>
      <c r="AG25">
        <v>53478.76456977638</v>
      </c>
      <c r="AH25">
        <f t="shared" si="9"/>
        <v>0.15762500000000015</v>
      </c>
      <c r="AL25" s="27">
        <v>100516259</v>
      </c>
      <c r="AM25" s="24">
        <v>138851.96694491903</v>
      </c>
    </row>
    <row r="26" spans="1:39" x14ac:dyDescent="0.35">
      <c r="A26" s="27">
        <v>100516259</v>
      </c>
      <c r="B26" s="28" t="s">
        <v>36</v>
      </c>
      <c r="C26" s="21">
        <v>7790360968340</v>
      </c>
      <c r="D26" s="22">
        <v>18.16</v>
      </c>
      <c r="E26" s="23">
        <v>48</v>
      </c>
      <c r="F26" s="24">
        <f t="shared" si="0"/>
        <v>138851.96694491903</v>
      </c>
      <c r="G26" s="23"/>
      <c r="H26" s="24">
        <f t="shared" si="10"/>
        <v>138851.96694491903</v>
      </c>
      <c r="I26" s="24">
        <f t="shared" si="1"/>
        <v>2892.7493113524797</v>
      </c>
      <c r="J26" s="24">
        <f t="shared" si="2"/>
        <v>607.47735538402071</v>
      </c>
      <c r="K26" s="24">
        <f t="shared" si="3"/>
        <v>3500.2266667365002</v>
      </c>
      <c r="L26" s="24">
        <f t="shared" si="4"/>
        <v>1155.0748000230451</v>
      </c>
      <c r="M26" s="24">
        <f t="shared" si="5"/>
        <v>4655.3014667595453</v>
      </c>
      <c r="N26" s="24">
        <f t="shared" si="6"/>
        <v>1862.1205867038182</v>
      </c>
      <c r="O26" s="25">
        <f t="shared" si="7"/>
        <v>6517.4220534633632</v>
      </c>
      <c r="P26" s="185">
        <f t="shared" si="8"/>
        <v>0</v>
      </c>
      <c r="Q26" s="25">
        <v>138851.96694491903</v>
      </c>
      <c r="R26" s="184"/>
      <c r="S26"/>
      <c r="T26"/>
      <c r="U26"/>
      <c r="V26"/>
      <c r="W26"/>
      <c r="X26"/>
      <c r="AG26">
        <v>119945.54967707074</v>
      </c>
      <c r="AH26">
        <f t="shared" si="9"/>
        <v>0.1576250000000001</v>
      </c>
      <c r="AL26" s="27">
        <v>100518095</v>
      </c>
      <c r="AM26" s="24">
        <v>69182.503682580078</v>
      </c>
    </row>
    <row r="27" spans="1:39" x14ac:dyDescent="0.35">
      <c r="A27" s="27">
        <v>100518095</v>
      </c>
      <c r="B27" s="28" t="s">
        <v>37</v>
      </c>
      <c r="C27" s="21">
        <v>7790360974785</v>
      </c>
      <c r="D27" s="22">
        <v>6.66</v>
      </c>
      <c r="E27" s="23">
        <v>36</v>
      </c>
      <c r="F27" s="24">
        <f t="shared" si="0"/>
        <v>69182.503682580078</v>
      </c>
      <c r="G27" s="23"/>
      <c r="H27" s="24">
        <f t="shared" si="10"/>
        <v>69182.503682580078</v>
      </c>
      <c r="I27" s="24">
        <f t="shared" si="1"/>
        <v>1921.7362134050022</v>
      </c>
      <c r="J27" s="24">
        <f>+I27*J$3</f>
        <v>403.56460481505047</v>
      </c>
      <c r="K27" s="24">
        <f>+I27+J27</f>
        <v>2325.3008182200529</v>
      </c>
      <c r="L27" s="24">
        <f>+K27*L$3</f>
        <v>767.34927001261747</v>
      </c>
      <c r="M27" s="24">
        <f>+K27+L27</f>
        <v>3092.6500882326704</v>
      </c>
      <c r="N27" s="24">
        <f>+M27*N$3</f>
        <v>1237.0600352930683</v>
      </c>
      <c r="O27" s="25">
        <f>+M27+N27</f>
        <v>4329.7101235257387</v>
      </c>
      <c r="P27" s="185">
        <f t="shared" si="8"/>
        <v>0</v>
      </c>
      <c r="Q27" s="25">
        <v>69182.503682580078</v>
      </c>
      <c r="R27" s="184"/>
      <c r="S27"/>
      <c r="T27"/>
      <c r="U27"/>
      <c r="V27"/>
      <c r="W27"/>
      <c r="X27"/>
      <c r="Z27" s="77"/>
      <c r="AG27">
        <v>59762.447841554975</v>
      </c>
      <c r="AH27">
        <f t="shared" si="9"/>
        <v>0.15762500000000002</v>
      </c>
      <c r="AL27" s="27">
        <v>100518223</v>
      </c>
      <c r="AM27" s="24">
        <v>53862.423901752642</v>
      </c>
    </row>
    <row r="28" spans="1:39" x14ac:dyDescent="0.35">
      <c r="A28" s="27">
        <v>100518223</v>
      </c>
      <c r="B28" s="28" t="s">
        <v>38</v>
      </c>
      <c r="C28" s="21">
        <v>7790360975065</v>
      </c>
      <c r="D28" s="22">
        <f>60*0.106</f>
        <v>6.3599999999999994</v>
      </c>
      <c r="E28" s="23">
        <v>30</v>
      </c>
      <c r="F28" s="24">
        <f t="shared" si="0"/>
        <v>53862.423901752642</v>
      </c>
      <c r="G28" s="23"/>
      <c r="H28" s="24">
        <f t="shared" si="10"/>
        <v>53862.423901752642</v>
      </c>
      <c r="I28" s="24">
        <f t="shared" si="1"/>
        <v>1795.4141300584213</v>
      </c>
      <c r="J28" s="24">
        <f>+I28*J$3</f>
        <v>377.03696731226847</v>
      </c>
      <c r="K28" s="24">
        <f>+I28+J28</f>
        <v>2172.4510973706897</v>
      </c>
      <c r="L28" s="24">
        <f>+K28*L$3</f>
        <v>716.90886213232761</v>
      </c>
      <c r="M28" s="24">
        <f>+K28+L28</f>
        <v>2889.3599595030173</v>
      </c>
      <c r="N28" s="24">
        <f>+M28*N$3</f>
        <v>1155.7439838012069</v>
      </c>
      <c r="O28" s="25">
        <f>+M28+N28</f>
        <v>4045.1039433042242</v>
      </c>
      <c r="P28" s="185">
        <f t="shared" si="8"/>
        <v>0</v>
      </c>
      <c r="Q28" s="25">
        <v>53862.423901752642</v>
      </c>
      <c r="R28" s="184"/>
      <c r="S28"/>
      <c r="T28"/>
      <c r="U28"/>
      <c r="V28"/>
      <c r="W28"/>
      <c r="X28"/>
      <c r="AG28">
        <v>46528.386914374372</v>
      </c>
      <c r="AH28">
        <f t="shared" si="9"/>
        <v>0.15762500000000018</v>
      </c>
      <c r="AL28" s="32"/>
      <c r="AM28" s="36" t="s">
        <v>171</v>
      </c>
    </row>
    <row r="29" spans="1:39" x14ac:dyDescent="0.35">
      <c r="A29" s="32"/>
      <c r="B29" s="33"/>
      <c r="C29" s="34"/>
      <c r="D29" s="33"/>
      <c r="E29" s="35"/>
      <c r="F29" s="36" t="e">
        <f t="shared" si="0"/>
        <v>#N/A</v>
      </c>
      <c r="G29" s="35"/>
      <c r="H29" s="36" t="e">
        <f t="shared" si="10"/>
        <v>#N/A</v>
      </c>
      <c r="I29" s="37" t="e">
        <f t="shared" si="1"/>
        <v>#N/A</v>
      </c>
      <c r="J29" s="38"/>
      <c r="K29" s="37"/>
      <c r="L29" s="17"/>
      <c r="M29" s="16"/>
      <c r="N29" s="17"/>
      <c r="O29" s="39"/>
      <c r="P29" s="185" t="e">
        <f t="shared" si="8"/>
        <v>#N/A</v>
      </c>
      <c r="Q29" s="39" t="e">
        <v>#N/A</v>
      </c>
      <c r="R29" s="184"/>
      <c r="S29"/>
      <c r="T29"/>
      <c r="U29"/>
      <c r="V29"/>
      <c r="W29"/>
      <c r="X29"/>
      <c r="Y29" t="s">
        <v>149</v>
      </c>
      <c r="Z29" t="s">
        <v>154</v>
      </c>
      <c r="AB29" t="s">
        <v>91</v>
      </c>
      <c r="AC29" t="s">
        <v>92</v>
      </c>
      <c r="AD29" t="s">
        <v>93</v>
      </c>
      <c r="AG29" t="e">
        <v>#N/A</v>
      </c>
      <c r="AH29" t="e">
        <f t="shared" si="9"/>
        <v>#N/A</v>
      </c>
      <c r="AL29" s="27">
        <v>100522204</v>
      </c>
      <c r="AM29" s="24">
        <v>26630.922051291152</v>
      </c>
    </row>
    <row r="30" spans="1:39" hidden="1" x14ac:dyDescent="0.35">
      <c r="A30" s="84">
        <v>100022085</v>
      </c>
      <c r="B30" s="98" t="s">
        <v>39</v>
      </c>
      <c r="C30" s="99">
        <v>7790360000132</v>
      </c>
      <c r="D30" s="100">
        <v>5.4</v>
      </c>
      <c r="E30" s="101">
        <v>24</v>
      </c>
      <c r="F30" s="85" t="e">
        <f t="shared" si="0"/>
        <v>#N/A</v>
      </c>
      <c r="G30" s="103">
        <v>0.25</v>
      </c>
      <c r="H30" s="85" t="e">
        <f t="shared" si="10"/>
        <v>#N/A</v>
      </c>
      <c r="I30" s="85" t="e">
        <f t="shared" si="1"/>
        <v>#N/A</v>
      </c>
      <c r="J30" s="85" t="e">
        <f t="shared" si="2"/>
        <v>#N/A</v>
      </c>
      <c r="K30" s="85" t="e">
        <f t="shared" si="3"/>
        <v>#N/A</v>
      </c>
      <c r="L30" s="85" t="e">
        <f t="shared" si="4"/>
        <v>#N/A</v>
      </c>
      <c r="M30" s="85" t="e">
        <f t="shared" si="5"/>
        <v>#N/A</v>
      </c>
      <c r="N30" s="85" t="e">
        <f t="shared" si="6"/>
        <v>#N/A</v>
      </c>
      <c r="O30" s="116" t="e">
        <f t="shared" si="7"/>
        <v>#N/A</v>
      </c>
      <c r="P30" s="185" t="e">
        <f t="shared" si="8"/>
        <v>#N/A</v>
      </c>
      <c r="Q30" s="25">
        <v>19973.191538468363</v>
      </c>
      <c r="R30" s="184"/>
      <c r="S30" s="1" t="s">
        <v>168</v>
      </c>
      <c r="T30"/>
      <c r="U30"/>
      <c r="V30"/>
      <c r="W30"/>
      <c r="X30"/>
      <c r="Y30">
        <v>1700</v>
      </c>
      <c r="Z30">
        <v>1750</v>
      </c>
      <c r="AB30" s="124">
        <v>1890</v>
      </c>
      <c r="AC30" s="124">
        <v>2153</v>
      </c>
      <c r="AD30" s="124">
        <v>2208</v>
      </c>
      <c r="AG30">
        <v>18109.026994877986</v>
      </c>
      <c r="AH30" t="e">
        <f t="shared" si="9"/>
        <v>#N/A</v>
      </c>
      <c r="AL30" s="27">
        <v>100522205</v>
      </c>
      <c r="AM30" s="24">
        <v>25299.3759487266</v>
      </c>
    </row>
    <row r="31" spans="1:39" x14ac:dyDescent="0.35">
      <c r="A31" s="84">
        <v>100522204</v>
      </c>
      <c r="B31" s="98" t="s">
        <v>39</v>
      </c>
      <c r="C31" s="99">
        <v>7790360983947</v>
      </c>
      <c r="D31" s="100">
        <v>5.4</v>
      </c>
      <c r="E31" s="101">
        <v>24</v>
      </c>
      <c r="F31" s="224">
        <f t="shared" si="0"/>
        <v>26630.922051291152</v>
      </c>
      <c r="G31" s="103">
        <v>0.25</v>
      </c>
      <c r="H31" s="85">
        <f t="shared" ref="H31" si="11">+F31*(1-G31)</f>
        <v>19973.191538468363</v>
      </c>
      <c r="I31" s="85">
        <f t="shared" ref="I31" si="12">+H31/E31</f>
        <v>832.21631410284851</v>
      </c>
      <c r="J31" s="85">
        <f t="shared" ref="J31" si="13">+I31*J$3</f>
        <v>174.76542596159817</v>
      </c>
      <c r="K31" s="85">
        <f t="shared" ref="K31" si="14">+I31+J31</f>
        <v>1006.9817400644467</v>
      </c>
      <c r="L31" s="85">
        <f t="shared" ref="L31" si="15">+K31*L$3</f>
        <v>332.30397422126742</v>
      </c>
      <c r="M31" s="85">
        <f t="shared" ref="M31" si="16">+K31+L31</f>
        <v>1339.2857142857142</v>
      </c>
      <c r="N31" s="85">
        <f t="shared" ref="N31" si="17">+M31*N$3</f>
        <v>535.71428571428567</v>
      </c>
      <c r="O31" s="116">
        <f t="shared" ref="O31" si="18">+M31+N31</f>
        <v>1875</v>
      </c>
      <c r="P31" s="185">
        <f t="shared" si="8"/>
        <v>0</v>
      </c>
      <c r="Q31" s="25">
        <v>19973.191538468363</v>
      </c>
      <c r="R31" s="184"/>
      <c r="S31" s="1" t="s">
        <v>168</v>
      </c>
      <c r="T31" s="162"/>
      <c r="U31" s="162"/>
      <c r="V31" s="190"/>
      <c r="W31" s="119"/>
      <c r="X31"/>
      <c r="AB31" s="124"/>
      <c r="AC31" s="124"/>
      <c r="AD31" s="124"/>
      <c r="AL31" s="27">
        <v>100516849</v>
      </c>
      <c r="AM31" s="24">
        <v>17895.97961846766</v>
      </c>
    </row>
    <row r="32" spans="1:39" hidden="1" x14ac:dyDescent="0.35">
      <c r="A32" s="84">
        <v>100022072</v>
      </c>
      <c r="B32" s="98" t="s">
        <v>40</v>
      </c>
      <c r="C32" s="99">
        <v>7790360024541</v>
      </c>
      <c r="D32" s="100">
        <v>5.4</v>
      </c>
      <c r="E32" s="101">
        <v>12</v>
      </c>
      <c r="F32" s="85" t="e">
        <f t="shared" si="0"/>
        <v>#N/A</v>
      </c>
      <c r="G32" s="103">
        <v>0.21060000000000001</v>
      </c>
      <c r="H32" s="85" t="e">
        <f t="shared" si="10"/>
        <v>#N/A</v>
      </c>
      <c r="I32" s="85" t="e">
        <f t="shared" si="1"/>
        <v>#N/A</v>
      </c>
      <c r="J32" s="85" t="e">
        <f t="shared" si="2"/>
        <v>#N/A</v>
      </c>
      <c r="K32" s="85" t="e">
        <f t="shared" si="3"/>
        <v>#N/A</v>
      </c>
      <c r="L32" s="85" t="e">
        <f>+K32*0.30667</f>
        <v>#N/A</v>
      </c>
      <c r="M32" s="85" t="e">
        <f t="shared" si="5"/>
        <v>#N/A</v>
      </c>
      <c r="N32" s="85" t="e">
        <f t="shared" si="6"/>
        <v>#N/A</v>
      </c>
      <c r="O32" s="116" t="e">
        <f t="shared" si="7"/>
        <v>#N/A</v>
      </c>
      <c r="P32" s="185" t="e">
        <f t="shared" si="8"/>
        <v>#N/A</v>
      </c>
      <c r="Q32" s="25">
        <v>18974.531961544948</v>
      </c>
      <c r="R32" s="184"/>
      <c r="S32" s="1" t="s">
        <v>163</v>
      </c>
      <c r="T32"/>
      <c r="U32"/>
      <c r="V32"/>
      <c r="W32"/>
      <c r="X32"/>
      <c r="Y32">
        <v>3300</v>
      </c>
      <c r="Z32">
        <v>3350</v>
      </c>
      <c r="AG32">
        <v>17576.408553852161</v>
      </c>
      <c r="AH32" t="e">
        <f t="shared" si="9"/>
        <v>#N/A</v>
      </c>
      <c r="AL32" s="27">
        <v>100522206</v>
      </c>
      <c r="AM32" s="24">
        <v>47623.273002860871</v>
      </c>
    </row>
    <row r="33" spans="1:39" x14ac:dyDescent="0.35">
      <c r="A33" s="84">
        <v>100522205</v>
      </c>
      <c r="B33" s="98" t="s">
        <v>40</v>
      </c>
      <c r="C33" s="99">
        <v>7790360983954</v>
      </c>
      <c r="D33" s="100">
        <v>5.4</v>
      </c>
      <c r="E33" s="101">
        <v>12</v>
      </c>
      <c r="F33" s="224">
        <f t="shared" si="0"/>
        <v>25299.3759487266</v>
      </c>
      <c r="G33" s="103">
        <v>0.21060000000000001</v>
      </c>
      <c r="H33" s="85">
        <f t="shared" ref="H33" si="19">+F33*(1-G33)</f>
        <v>19971.327373924778</v>
      </c>
      <c r="I33" s="85">
        <f t="shared" ref="I33" si="20">+H33/E33</f>
        <v>1664.2772811603982</v>
      </c>
      <c r="J33" s="85">
        <f t="shared" ref="J33" si="21">+I33*J$3</f>
        <v>349.49822904368358</v>
      </c>
      <c r="K33" s="85">
        <f t="shared" ref="K33" si="22">+I33+J33</f>
        <v>2013.7755102040817</v>
      </c>
      <c r="L33" s="85">
        <f>+K33*0.31239</f>
        <v>629.08333163265308</v>
      </c>
      <c r="M33" s="85">
        <f t="shared" ref="M33" si="23">+K33+L33</f>
        <v>2642.8588418367349</v>
      </c>
      <c r="N33" s="85">
        <f t="shared" ref="N33" si="24">+M33*N$3</f>
        <v>1057.143536734694</v>
      </c>
      <c r="O33" s="116">
        <f t="shared" ref="O33" si="25">+M33+N33</f>
        <v>3700.0023785714288</v>
      </c>
      <c r="P33" s="185">
        <f t="shared" si="8"/>
        <v>5.2533333333333543E-2</v>
      </c>
      <c r="Q33" s="25">
        <v>18974.531961544948</v>
      </c>
      <c r="R33" s="184"/>
      <c r="S33" s="1" t="s">
        <v>205</v>
      </c>
      <c r="T33"/>
      <c r="U33"/>
      <c r="V33"/>
      <c r="W33"/>
      <c r="X33"/>
      <c r="AL33" s="27">
        <v>100022058</v>
      </c>
      <c r="AM33" s="40">
        <v>15595.31377713196</v>
      </c>
    </row>
    <row r="34" spans="1:39" x14ac:dyDescent="0.35">
      <c r="A34" s="84">
        <v>100516849</v>
      </c>
      <c r="B34" s="98" t="s">
        <v>41</v>
      </c>
      <c r="C34" s="99">
        <v>7790360970053</v>
      </c>
      <c r="D34" s="100">
        <v>4.5599999990400004</v>
      </c>
      <c r="E34" s="101">
        <v>24</v>
      </c>
      <c r="F34" s="85">
        <f t="shared" si="0"/>
        <v>17895.97961846766</v>
      </c>
      <c r="G34" s="103"/>
      <c r="H34" s="85">
        <f t="shared" si="10"/>
        <v>17895.97961846766</v>
      </c>
      <c r="I34" s="85">
        <f t="shared" si="1"/>
        <v>745.66581743615245</v>
      </c>
      <c r="J34" s="85">
        <f t="shared" si="2"/>
        <v>156.589821661592</v>
      </c>
      <c r="K34" s="85">
        <f t="shared" si="3"/>
        <v>902.25563909774451</v>
      </c>
      <c r="L34" s="85">
        <f t="shared" si="4"/>
        <v>297.74436090225572</v>
      </c>
      <c r="M34" s="85">
        <f t="shared" si="5"/>
        <v>1200.0000000000002</v>
      </c>
      <c r="N34" s="85">
        <f t="shared" si="6"/>
        <v>480.00000000000011</v>
      </c>
      <c r="O34" s="116">
        <f t="shared" si="7"/>
        <v>1680.0000000000005</v>
      </c>
      <c r="P34" s="185">
        <f t="shared" si="8"/>
        <v>0.12000000000000011</v>
      </c>
      <c r="Q34" s="25">
        <v>15978.553230774694</v>
      </c>
      <c r="R34" s="184"/>
      <c r="S34" s="1" t="s">
        <v>206</v>
      </c>
      <c r="T34"/>
      <c r="U34"/>
      <c r="V34"/>
      <c r="W34"/>
      <c r="X34"/>
      <c r="Y34">
        <v>1450</v>
      </c>
      <c r="Z34">
        <v>1500</v>
      </c>
      <c r="AA34" t="s">
        <v>96</v>
      </c>
      <c r="AB34" s="124">
        <v>1534</v>
      </c>
      <c r="AG34">
        <v>15445.934789748871</v>
      </c>
      <c r="AH34">
        <f t="shared" si="9"/>
        <v>0.15862068965517254</v>
      </c>
      <c r="AL34" s="27">
        <v>100518151</v>
      </c>
      <c r="AM34" s="40">
        <v>58015.639781027436</v>
      </c>
    </row>
    <row r="35" spans="1:39" hidden="1" x14ac:dyDescent="0.35">
      <c r="A35" s="84">
        <v>100022039</v>
      </c>
      <c r="B35" s="98" t="s">
        <v>42</v>
      </c>
      <c r="C35" s="99">
        <v>7790360007063</v>
      </c>
      <c r="D35" s="100">
        <v>8.6999999999999993</v>
      </c>
      <c r="E35" s="101">
        <v>10</v>
      </c>
      <c r="F35" s="85" t="e">
        <f t="shared" si="0"/>
        <v>#N/A</v>
      </c>
      <c r="G35" s="103"/>
      <c r="H35" s="85" t="e">
        <f t="shared" si="10"/>
        <v>#N/A</v>
      </c>
      <c r="I35" s="85" t="e">
        <f t="shared" si="1"/>
        <v>#N/A</v>
      </c>
      <c r="J35" s="85" t="e">
        <f t="shared" si="2"/>
        <v>#N/A</v>
      </c>
      <c r="K35" s="85" t="e">
        <f t="shared" si="3"/>
        <v>#N/A</v>
      </c>
      <c r="L35" s="85" t="e">
        <f t="shared" si="4"/>
        <v>#N/A</v>
      </c>
      <c r="M35" s="85" t="e">
        <f t="shared" si="5"/>
        <v>#N/A</v>
      </c>
      <c r="N35" s="85" t="e">
        <f t="shared" si="6"/>
        <v>#N/A</v>
      </c>
      <c r="O35" s="102" t="e">
        <f t="shared" si="7"/>
        <v>#N/A</v>
      </c>
      <c r="P35" s="185" t="e">
        <f t="shared" si="8"/>
        <v>#N/A</v>
      </c>
      <c r="Q35" s="25">
        <v>47623.273002860871</v>
      </c>
      <c r="R35" s="184"/>
      <c r="S35"/>
      <c r="T35"/>
      <c r="U35"/>
      <c r="V35"/>
      <c r="W35"/>
      <c r="X35"/>
      <c r="AB35" t="s">
        <v>94</v>
      </c>
      <c r="AC35">
        <v>66</v>
      </c>
      <c r="AD35" t="s">
        <v>97</v>
      </c>
      <c r="AE35" t="s">
        <v>95</v>
      </c>
      <c r="AG35">
        <v>40388.004351343741</v>
      </c>
      <c r="AH35" t="e">
        <f t="shared" si="9"/>
        <v>#N/A</v>
      </c>
      <c r="AL35" s="32"/>
      <c r="AM35" s="36" t="s">
        <v>171</v>
      </c>
    </row>
    <row r="36" spans="1:39" x14ac:dyDescent="0.35">
      <c r="A36" s="27">
        <v>100522206</v>
      </c>
      <c r="B36" s="28" t="s">
        <v>42</v>
      </c>
      <c r="C36" s="21">
        <v>7790360983961</v>
      </c>
      <c r="D36" s="22">
        <v>8.6999999999999993</v>
      </c>
      <c r="E36" s="23">
        <v>10</v>
      </c>
      <c r="F36" s="40">
        <f t="shared" ref="F36:F71" si="26">+VLOOKUP(A36,$AL$4:$AM$110,2,FALSE)</f>
        <v>47623.273002860871</v>
      </c>
      <c r="G36" s="143"/>
      <c r="H36" s="24">
        <f t="shared" ref="H36" si="27">+F36*(1-G36)</f>
        <v>47623.273002860871</v>
      </c>
      <c r="I36" s="24">
        <f t="shared" ref="I36" si="28">+H36/E36</f>
        <v>4762.3273002860869</v>
      </c>
      <c r="J36" s="24">
        <f t="shared" ref="J36" si="29">+I36*J$3</f>
        <v>1000.0887330600782</v>
      </c>
      <c r="K36" s="24">
        <f t="shared" ref="K36" si="30">+I36+J36</f>
        <v>5762.416033346165</v>
      </c>
      <c r="L36" s="24">
        <f t="shared" ref="L36" si="31">+K36*L$3</f>
        <v>1901.5972910042346</v>
      </c>
      <c r="M36" s="24">
        <f t="shared" ref="M36" si="32">+K36+L36</f>
        <v>7664.0133243503997</v>
      </c>
      <c r="N36" s="24">
        <f t="shared" ref="N36" si="33">+M36*N$3</f>
        <v>3065.60532974016</v>
      </c>
      <c r="O36" s="194">
        <f t="shared" ref="O36" si="34">+M36+N36</f>
        <v>10729.61865409056</v>
      </c>
      <c r="P36" s="185"/>
      <c r="Q36" s="25">
        <v>47623.273002860871</v>
      </c>
      <c r="R36" s="184"/>
      <c r="S36"/>
      <c r="T36"/>
      <c r="U36"/>
      <c r="V36"/>
      <c r="W36"/>
      <c r="X36"/>
      <c r="AL36" s="27">
        <v>100021000</v>
      </c>
      <c r="AM36" s="24">
        <v>12962.273708363024</v>
      </c>
    </row>
    <row r="37" spans="1:39" x14ac:dyDescent="0.35">
      <c r="A37" s="27">
        <v>100022058</v>
      </c>
      <c r="B37" s="28" t="s">
        <v>43</v>
      </c>
      <c r="C37" s="21">
        <v>7790360026002</v>
      </c>
      <c r="D37" s="22">
        <v>4.5599999990400004</v>
      </c>
      <c r="E37" s="23">
        <v>24</v>
      </c>
      <c r="F37" s="40">
        <f t="shared" si="26"/>
        <v>15595.31377713196</v>
      </c>
      <c r="G37" s="144"/>
      <c r="H37" s="40">
        <f t="shared" si="10"/>
        <v>15595.31377713196</v>
      </c>
      <c r="I37" s="24">
        <f t="shared" si="1"/>
        <v>649.80474071383162</v>
      </c>
      <c r="J37" s="24">
        <f t="shared" si="2"/>
        <v>136.45899554990464</v>
      </c>
      <c r="K37" s="24">
        <f t="shared" si="3"/>
        <v>786.26373626373629</v>
      </c>
      <c r="L37" s="24">
        <f>+K37*0.3</f>
        <v>235.87912087912088</v>
      </c>
      <c r="M37" s="24">
        <f t="shared" si="5"/>
        <v>1022.1428571428571</v>
      </c>
      <c r="N37" s="24">
        <f t="shared" si="6"/>
        <v>408.85714285714289</v>
      </c>
      <c r="O37" s="25">
        <f t="shared" si="7"/>
        <v>1431</v>
      </c>
      <c r="P37" s="185">
        <f t="shared" si="8"/>
        <v>6.0000000000000053E-2</v>
      </c>
      <c r="Q37" s="25">
        <v>14712.560167105621</v>
      </c>
      <c r="R37" s="184"/>
      <c r="T37"/>
      <c r="U37"/>
      <c r="V37"/>
      <c r="W37"/>
      <c r="Y37">
        <v>980</v>
      </c>
      <c r="Z37" s="119">
        <f>+Y37</f>
        <v>980</v>
      </c>
      <c r="AA37" s="119" t="s">
        <v>159</v>
      </c>
      <c r="AB37" s="124">
        <v>766</v>
      </c>
      <c r="AC37" s="124">
        <v>818</v>
      </c>
      <c r="AD37" s="124">
        <v>825</v>
      </c>
      <c r="AE37" s="124">
        <v>765</v>
      </c>
      <c r="AG37">
        <v>10439.321444106135</v>
      </c>
      <c r="AH37">
        <f t="shared" si="9"/>
        <v>0.49390109890109862</v>
      </c>
      <c r="AL37" s="27">
        <v>100021001</v>
      </c>
      <c r="AM37" s="24">
        <v>12962.273708363024</v>
      </c>
    </row>
    <row r="38" spans="1:39" x14ac:dyDescent="0.35">
      <c r="A38" s="27">
        <v>100518151</v>
      </c>
      <c r="B38" s="28" t="s">
        <v>44</v>
      </c>
      <c r="C38" s="21">
        <v>7790360974990</v>
      </c>
      <c r="D38" s="22">
        <v>8.6999999999999993</v>
      </c>
      <c r="E38" s="23">
        <v>10</v>
      </c>
      <c r="F38" s="40">
        <f t="shared" si="26"/>
        <v>58015.639781027436</v>
      </c>
      <c r="G38" s="23"/>
      <c r="H38" s="40">
        <f t="shared" si="10"/>
        <v>58015.639781027436</v>
      </c>
      <c r="I38" s="24">
        <f t="shared" si="1"/>
        <v>5801.5639781027439</v>
      </c>
      <c r="J38" s="24">
        <f>+I38*J$3</f>
        <v>1218.3284354015761</v>
      </c>
      <c r="K38" s="24">
        <f>+I38+J38</f>
        <v>7019.8924135043198</v>
      </c>
      <c r="L38" s="29">
        <f>+K38*0.3</f>
        <v>2105.967724051296</v>
      </c>
      <c r="M38" s="24">
        <f>+K38+L38</f>
        <v>9125.8601375556154</v>
      </c>
      <c r="N38" s="24">
        <f>+M38*N$3</f>
        <v>3650.3440550222463</v>
      </c>
      <c r="O38" s="25">
        <f>+M38+N38</f>
        <v>12776.204192577861</v>
      </c>
      <c r="P38" s="185">
        <f t="shared" si="8"/>
        <v>0</v>
      </c>
      <c r="Q38" s="25">
        <v>58015.639781027436</v>
      </c>
      <c r="R38" s="184"/>
      <c r="S38"/>
      <c r="T38"/>
      <c r="U38"/>
      <c r="V38"/>
      <c r="W38"/>
      <c r="X38"/>
      <c r="Y38">
        <f>+Y37*24</f>
        <v>23520</v>
      </c>
      <c r="AA38" s="132"/>
      <c r="AB38" s="182"/>
      <c r="AD38" s="124" t="s">
        <v>156</v>
      </c>
      <c r="AG38">
        <v>49201.488351742817</v>
      </c>
      <c r="AH38">
        <f t="shared" si="9"/>
        <v>0.17914400000000008</v>
      </c>
      <c r="AL38" s="86">
        <v>100522277</v>
      </c>
      <c r="AM38" s="24">
        <v>12962.273708363024</v>
      </c>
    </row>
    <row r="39" spans="1:39" x14ac:dyDescent="0.35">
      <c r="A39" s="32"/>
      <c r="B39" s="33"/>
      <c r="C39" s="34"/>
      <c r="D39" s="33"/>
      <c r="E39" s="35"/>
      <c r="F39" s="36" t="e">
        <f t="shared" si="26"/>
        <v>#N/A</v>
      </c>
      <c r="G39" s="35"/>
      <c r="H39" s="36" t="e">
        <f t="shared" si="10"/>
        <v>#N/A</v>
      </c>
      <c r="I39" s="37" t="e">
        <f t="shared" si="1"/>
        <v>#N/A</v>
      </c>
      <c r="J39" s="38">
        <v>0.21</v>
      </c>
      <c r="K39" s="37"/>
      <c r="L39" s="17">
        <v>0.22</v>
      </c>
      <c r="M39" s="16"/>
      <c r="N39" s="17">
        <v>0.35</v>
      </c>
      <c r="O39" s="39"/>
      <c r="P39" s="185" t="e">
        <f t="shared" si="8"/>
        <v>#N/A</v>
      </c>
      <c r="Q39" s="39" t="e">
        <v>#N/A</v>
      </c>
      <c r="R39" s="184"/>
      <c r="S39"/>
      <c r="T39"/>
      <c r="U39"/>
      <c r="V39"/>
      <c r="W39"/>
      <c r="X39"/>
      <c r="Y39" s="119">
        <f>+Y38/1.21/1.33/1.4</f>
        <v>10439.321444106135</v>
      </c>
      <c r="Z39" s="131"/>
      <c r="AA39">
        <f>+Z32*12</f>
        <v>40200</v>
      </c>
      <c r="AG39" t="e">
        <v>#N/A</v>
      </c>
      <c r="AH39" t="e">
        <f t="shared" si="9"/>
        <v>#N/A</v>
      </c>
      <c r="AL39" s="86">
        <v>100522333</v>
      </c>
      <c r="AM39" s="24">
        <v>12962.273708363024</v>
      </c>
    </row>
    <row r="40" spans="1:39" ht="16" x14ac:dyDescent="0.4">
      <c r="A40" s="84">
        <v>100021000</v>
      </c>
      <c r="B40" s="98" t="s">
        <v>45</v>
      </c>
      <c r="C40" s="99">
        <v>7790360720382</v>
      </c>
      <c r="D40" s="100">
        <v>2.16</v>
      </c>
      <c r="E40" s="101">
        <v>24</v>
      </c>
      <c r="F40" s="85">
        <f t="shared" si="26"/>
        <v>12962.273708363024</v>
      </c>
      <c r="G40" s="103"/>
      <c r="H40" s="85">
        <f t="shared" si="10"/>
        <v>12962.273708363024</v>
      </c>
      <c r="I40" s="85">
        <f t="shared" si="1"/>
        <v>540.09473784845932</v>
      </c>
      <c r="J40" s="85">
        <f t="shared" si="2"/>
        <v>113.41989494817645</v>
      </c>
      <c r="K40" s="85">
        <f t="shared" si="3"/>
        <v>653.51463279663574</v>
      </c>
      <c r="L40" s="85">
        <f>+K40*L$39</f>
        <v>143.77321921525987</v>
      </c>
      <c r="M40" s="85">
        <f t="shared" si="5"/>
        <v>797.28785201189567</v>
      </c>
      <c r="N40" s="85">
        <f>+M40*N$39</f>
        <v>279.05074820416348</v>
      </c>
      <c r="O40" s="102">
        <f t="shared" si="7"/>
        <v>1076.3386002160591</v>
      </c>
      <c r="P40" s="185">
        <f t="shared" si="8"/>
        <v>5.0000000000000044E-2</v>
      </c>
      <c r="Q40" s="25">
        <v>12345.022579393355</v>
      </c>
      <c r="R40" s="184"/>
      <c r="S40" s="183"/>
      <c r="Y40" s="82">
        <f>+F37-Y39</f>
        <v>5155.9923330258243</v>
      </c>
      <c r="AA40">
        <f>+AA39/1.21/1.33/1.4</f>
        <v>17842.717774365072</v>
      </c>
      <c r="AG40">
        <v>10353.088375875002</v>
      </c>
      <c r="AH40">
        <f t="shared" si="9"/>
        <v>0.2520200000000003</v>
      </c>
      <c r="AL40" s="27">
        <v>100021045</v>
      </c>
      <c r="AM40" s="24">
        <v>12962.273708363022</v>
      </c>
    </row>
    <row r="41" spans="1:39" ht="16" x14ac:dyDescent="0.4">
      <c r="A41" s="84">
        <v>100021001</v>
      </c>
      <c r="B41" s="98" t="s">
        <v>46</v>
      </c>
      <c r="C41" s="99">
        <v>7790360720115</v>
      </c>
      <c r="D41" s="100">
        <v>2.16</v>
      </c>
      <c r="E41" s="101">
        <v>24</v>
      </c>
      <c r="F41" s="85">
        <f t="shared" si="26"/>
        <v>12962.273708363024</v>
      </c>
      <c r="G41" s="103"/>
      <c r="H41" s="85">
        <f t="shared" si="10"/>
        <v>12962.273708363024</v>
      </c>
      <c r="I41" s="85">
        <f t="shared" si="1"/>
        <v>540.09473784845932</v>
      </c>
      <c r="J41" s="85">
        <f t="shared" si="2"/>
        <v>113.41989494817645</v>
      </c>
      <c r="K41" s="85">
        <f t="shared" si="3"/>
        <v>653.51463279663574</v>
      </c>
      <c r="L41" s="85">
        <f t="shared" ref="L41:L56" si="35">+K41*L$39</f>
        <v>143.77321921525987</v>
      </c>
      <c r="M41" s="85">
        <f t="shared" si="5"/>
        <v>797.28785201189567</v>
      </c>
      <c r="N41" s="85">
        <f t="shared" ref="N41:N56" si="36">+M41*N$39</f>
        <v>279.05074820416348</v>
      </c>
      <c r="O41" s="102">
        <f t="shared" si="7"/>
        <v>1076.3386002160591</v>
      </c>
      <c r="P41" s="185">
        <f t="shared" si="8"/>
        <v>5.0000000000000044E-2</v>
      </c>
      <c r="Q41" s="25">
        <v>12345.022579393355</v>
      </c>
      <c r="R41" s="184"/>
      <c r="S41" s="183"/>
      <c r="Y41">
        <f>+Y40/F37</f>
        <v>0.33061164441502067</v>
      </c>
      <c r="AA41" s="82" t="e">
        <f>+F32-AA40</f>
        <v>#N/A</v>
      </c>
      <c r="AG41">
        <v>10353.088375875002</v>
      </c>
      <c r="AH41">
        <f t="shared" si="9"/>
        <v>0.2520200000000003</v>
      </c>
      <c r="AL41" s="27">
        <v>100021004</v>
      </c>
      <c r="AM41" s="24">
        <v>12962.273708363022</v>
      </c>
    </row>
    <row r="42" spans="1:39" ht="16" x14ac:dyDescent="0.4">
      <c r="A42" s="219">
        <v>100522277</v>
      </c>
      <c r="B42" s="98" t="s">
        <v>150</v>
      </c>
      <c r="C42" s="99"/>
      <c r="D42" s="100">
        <v>2.16</v>
      </c>
      <c r="E42" s="101">
        <v>24</v>
      </c>
      <c r="F42" s="85">
        <f t="shared" si="26"/>
        <v>12962.273708363024</v>
      </c>
      <c r="G42" s="103"/>
      <c r="H42" s="85">
        <f t="shared" ref="H42:H43" si="37">+F42*(1-G42)</f>
        <v>12962.273708363024</v>
      </c>
      <c r="I42" s="85">
        <f t="shared" ref="I42:I43" si="38">+H42/E42</f>
        <v>540.09473784845932</v>
      </c>
      <c r="J42" s="85">
        <f t="shared" ref="J42:J43" si="39">+I42*J$3</f>
        <v>113.41989494817645</v>
      </c>
      <c r="K42" s="85">
        <f t="shared" ref="K42:K43" si="40">+I42+J42</f>
        <v>653.51463279663574</v>
      </c>
      <c r="L42" s="85">
        <f t="shared" ref="L42:L43" si="41">+K42*L$39</f>
        <v>143.77321921525987</v>
      </c>
      <c r="M42" s="85">
        <f t="shared" ref="M42:M43" si="42">+K42+L42</f>
        <v>797.28785201189567</v>
      </c>
      <c r="N42" s="85">
        <f t="shared" ref="N42:N43" si="43">+M42*N$39</f>
        <v>279.05074820416348</v>
      </c>
      <c r="O42" s="102">
        <f t="shared" ref="O42:O43" si="44">+M42+N42</f>
        <v>1076.3386002160591</v>
      </c>
      <c r="P42" s="185">
        <f t="shared" si="8"/>
        <v>5.0000000000000044E-2</v>
      </c>
      <c r="Q42" s="25">
        <v>12345.022579393355</v>
      </c>
      <c r="R42" s="184"/>
      <c r="S42" s="183"/>
      <c r="AA42" s="82"/>
      <c r="AL42" s="27">
        <v>100021006</v>
      </c>
      <c r="AM42" s="24">
        <v>12962.273708363022</v>
      </c>
    </row>
    <row r="43" spans="1:39" x14ac:dyDescent="0.35">
      <c r="A43" s="219">
        <v>100522333</v>
      </c>
      <c r="B43" s="98" t="s">
        <v>151</v>
      </c>
      <c r="C43" s="99"/>
      <c r="D43" s="100">
        <v>2.16</v>
      </c>
      <c r="E43" s="101">
        <v>24</v>
      </c>
      <c r="F43" s="85">
        <f t="shared" si="26"/>
        <v>12962.273708363024</v>
      </c>
      <c r="G43" s="103"/>
      <c r="H43" s="85">
        <f t="shared" si="37"/>
        <v>12962.273708363024</v>
      </c>
      <c r="I43" s="85">
        <f t="shared" si="38"/>
        <v>540.09473784845932</v>
      </c>
      <c r="J43" s="85">
        <f t="shared" si="39"/>
        <v>113.41989494817645</v>
      </c>
      <c r="K43" s="85">
        <f t="shared" si="40"/>
        <v>653.51463279663574</v>
      </c>
      <c r="L43" s="85">
        <f t="shared" si="41"/>
        <v>143.77321921525987</v>
      </c>
      <c r="M43" s="85">
        <f t="shared" si="42"/>
        <v>797.28785201189567</v>
      </c>
      <c r="N43" s="85">
        <f t="shared" si="43"/>
        <v>279.05074820416348</v>
      </c>
      <c r="O43" s="102">
        <f t="shared" si="44"/>
        <v>1076.3386002160591</v>
      </c>
      <c r="P43" s="185">
        <f t="shared" si="8"/>
        <v>5.0000000000000044E-2</v>
      </c>
      <c r="Q43" s="25">
        <v>12345.022579393355</v>
      </c>
      <c r="R43" s="184"/>
      <c r="AA43" s="82"/>
      <c r="AL43" s="27">
        <v>100021007</v>
      </c>
      <c r="AM43" s="24">
        <v>15499.254843517137</v>
      </c>
    </row>
    <row r="44" spans="1:39" x14ac:dyDescent="0.35">
      <c r="A44" s="84">
        <v>100021045</v>
      </c>
      <c r="B44" s="98" t="s">
        <v>47</v>
      </c>
      <c r="C44" s="99">
        <v>7790360966582</v>
      </c>
      <c r="D44" s="100">
        <v>2.16</v>
      </c>
      <c r="E44" s="101">
        <v>24</v>
      </c>
      <c r="F44" s="85">
        <f t="shared" si="26"/>
        <v>12962.273708363022</v>
      </c>
      <c r="G44" s="103"/>
      <c r="H44" s="85">
        <f t="shared" si="10"/>
        <v>12962.273708363022</v>
      </c>
      <c r="I44" s="85">
        <f t="shared" si="1"/>
        <v>540.0947378484592</v>
      </c>
      <c r="J44" s="85">
        <f t="shared" si="2"/>
        <v>113.41989494817643</v>
      </c>
      <c r="K44" s="85">
        <f t="shared" si="3"/>
        <v>653.51463279663562</v>
      </c>
      <c r="L44" s="85">
        <f t="shared" si="35"/>
        <v>143.77321921525984</v>
      </c>
      <c r="M44" s="85">
        <f t="shared" si="5"/>
        <v>797.28785201189544</v>
      </c>
      <c r="N44" s="85">
        <f t="shared" si="36"/>
        <v>279.05074820416337</v>
      </c>
      <c r="O44" s="102">
        <f t="shared" si="7"/>
        <v>1076.3386002160587</v>
      </c>
      <c r="P44" s="185">
        <f t="shared" si="8"/>
        <v>5.0000000000000044E-2</v>
      </c>
      <c r="Q44" s="25">
        <v>12345.022579393353</v>
      </c>
      <c r="R44" s="184"/>
      <c r="AA44" t="e">
        <f>+AA41/F32</f>
        <v>#N/A</v>
      </c>
      <c r="AG44">
        <v>10088.4</v>
      </c>
      <c r="AH44">
        <f t="shared" si="9"/>
        <v>0.28486912774701856</v>
      </c>
      <c r="AL44" s="27">
        <v>100021013</v>
      </c>
      <c r="AM44" s="24">
        <v>15499.254843517137</v>
      </c>
    </row>
    <row r="45" spans="1:39" x14ac:dyDescent="0.35">
      <c r="A45" s="84">
        <v>100021004</v>
      </c>
      <c r="B45" s="98" t="s">
        <v>48</v>
      </c>
      <c r="C45" s="99">
        <v>7790360964526</v>
      </c>
      <c r="D45" s="100">
        <v>2.1120000000000001</v>
      </c>
      <c r="E45" s="101">
        <v>24</v>
      </c>
      <c r="F45" s="85">
        <f t="shared" si="26"/>
        <v>12962.273708363022</v>
      </c>
      <c r="G45" s="103"/>
      <c r="H45" s="85">
        <f t="shared" si="10"/>
        <v>12962.273708363022</v>
      </c>
      <c r="I45" s="85">
        <f t="shared" si="1"/>
        <v>540.0947378484592</v>
      </c>
      <c r="J45" s="85">
        <f t="shared" si="2"/>
        <v>113.41989494817643</v>
      </c>
      <c r="K45" s="85">
        <f t="shared" si="3"/>
        <v>653.51463279663562</v>
      </c>
      <c r="L45" s="85">
        <f t="shared" si="35"/>
        <v>143.77321921525984</v>
      </c>
      <c r="M45" s="85">
        <f t="shared" si="5"/>
        <v>797.28785201189544</v>
      </c>
      <c r="N45" s="85">
        <f t="shared" si="36"/>
        <v>279.05074820416337</v>
      </c>
      <c r="O45" s="102">
        <f t="shared" si="7"/>
        <v>1076.3386002160587</v>
      </c>
      <c r="P45" s="185">
        <f t="shared" si="8"/>
        <v>5.0000000000000044E-2</v>
      </c>
      <c r="Q45" s="25">
        <v>12345.022579393353</v>
      </c>
      <c r="R45" s="184"/>
      <c r="AG45">
        <v>10088.4</v>
      </c>
      <c r="AH45">
        <f t="shared" si="9"/>
        <v>0.28486912774701856</v>
      </c>
      <c r="AL45" s="27">
        <v>100021014</v>
      </c>
      <c r="AM45" s="24">
        <v>15499.254843517137</v>
      </c>
    </row>
    <row r="46" spans="1:39" x14ac:dyDescent="0.35">
      <c r="A46" s="84">
        <v>100021006</v>
      </c>
      <c r="B46" s="98" t="s">
        <v>49</v>
      </c>
      <c r="C46" s="99">
        <v>7790360964557</v>
      </c>
      <c r="D46" s="100">
        <v>2.1120000000000001</v>
      </c>
      <c r="E46" s="101">
        <v>24</v>
      </c>
      <c r="F46" s="85">
        <f t="shared" si="26"/>
        <v>12962.273708363022</v>
      </c>
      <c r="G46" s="103"/>
      <c r="H46" s="85">
        <f t="shared" si="10"/>
        <v>12962.273708363022</v>
      </c>
      <c r="I46" s="85">
        <f t="shared" si="1"/>
        <v>540.0947378484592</v>
      </c>
      <c r="J46" s="85">
        <f t="shared" si="2"/>
        <v>113.41989494817643</v>
      </c>
      <c r="K46" s="85">
        <f t="shared" si="3"/>
        <v>653.51463279663562</v>
      </c>
      <c r="L46" s="85">
        <f t="shared" si="35"/>
        <v>143.77321921525984</v>
      </c>
      <c r="M46" s="85">
        <f t="shared" si="5"/>
        <v>797.28785201189544</v>
      </c>
      <c r="N46" s="85">
        <f t="shared" si="36"/>
        <v>279.05074820416337</v>
      </c>
      <c r="O46" s="102">
        <f t="shared" si="7"/>
        <v>1076.3386002160587</v>
      </c>
      <c r="P46" s="185">
        <f t="shared" si="8"/>
        <v>5.0000000000000044E-2</v>
      </c>
      <c r="Q46" s="25">
        <v>12345.022579393353</v>
      </c>
      <c r="R46" s="184"/>
      <c r="AG46">
        <v>10088.4</v>
      </c>
      <c r="AH46">
        <f t="shared" si="9"/>
        <v>0.28486912774701856</v>
      </c>
      <c r="AL46" s="27">
        <v>100021054</v>
      </c>
      <c r="AM46" s="24">
        <v>15499.254843517137</v>
      </c>
    </row>
    <row r="47" spans="1:39" x14ac:dyDescent="0.35">
      <c r="A47" s="84">
        <v>100021007</v>
      </c>
      <c r="B47" s="98" t="s">
        <v>50</v>
      </c>
      <c r="C47" s="99">
        <v>7790360964540</v>
      </c>
      <c r="D47" s="100">
        <v>2.04</v>
      </c>
      <c r="E47" s="101">
        <v>24</v>
      </c>
      <c r="F47" s="85">
        <f t="shared" si="26"/>
        <v>15499.254843517137</v>
      </c>
      <c r="G47" s="103"/>
      <c r="H47" s="85">
        <f t="shared" si="10"/>
        <v>15499.254843517137</v>
      </c>
      <c r="I47" s="85">
        <f t="shared" si="1"/>
        <v>645.80228514654743</v>
      </c>
      <c r="J47" s="85">
        <f t="shared" si="2"/>
        <v>135.61847988077497</v>
      </c>
      <c r="K47" s="85">
        <f t="shared" si="3"/>
        <v>781.42076502732243</v>
      </c>
      <c r="L47" s="85">
        <f t="shared" si="35"/>
        <v>171.91256830601094</v>
      </c>
      <c r="M47" s="85">
        <f t="shared" si="5"/>
        <v>953.33333333333337</v>
      </c>
      <c r="N47" s="85">
        <f t="shared" si="36"/>
        <v>333.66666666666669</v>
      </c>
      <c r="O47" s="102">
        <f t="shared" si="7"/>
        <v>1287</v>
      </c>
      <c r="P47" s="185">
        <f t="shared" si="8"/>
        <v>9.9827334312910576E-2</v>
      </c>
      <c r="Q47" s="25">
        <v>14092.44375</v>
      </c>
      <c r="R47" s="184"/>
      <c r="AG47">
        <v>11917.5</v>
      </c>
      <c r="AH47">
        <f t="shared" si="9"/>
        <v>0.3005458228250168</v>
      </c>
      <c r="AL47" s="27">
        <v>100021055</v>
      </c>
      <c r="AM47" s="24">
        <v>15499.254843517137</v>
      </c>
    </row>
    <row r="48" spans="1:39" x14ac:dyDescent="0.35">
      <c r="A48" s="84">
        <v>100021013</v>
      </c>
      <c r="B48" s="98" t="s">
        <v>51</v>
      </c>
      <c r="C48" s="99">
        <v>7790360965714</v>
      </c>
      <c r="D48" s="100">
        <v>2.04</v>
      </c>
      <c r="E48" s="101">
        <v>24</v>
      </c>
      <c r="F48" s="85">
        <f t="shared" si="26"/>
        <v>15499.254843517137</v>
      </c>
      <c r="G48" s="103"/>
      <c r="H48" s="85">
        <f t="shared" si="10"/>
        <v>15499.254843517137</v>
      </c>
      <c r="I48" s="85">
        <f t="shared" si="1"/>
        <v>645.80228514654743</v>
      </c>
      <c r="J48" s="85">
        <f t="shared" si="2"/>
        <v>135.61847988077497</v>
      </c>
      <c r="K48" s="85">
        <f t="shared" si="3"/>
        <v>781.42076502732243</v>
      </c>
      <c r="L48" s="85">
        <f t="shared" si="35"/>
        <v>171.91256830601094</v>
      </c>
      <c r="M48" s="85">
        <f t="shared" si="5"/>
        <v>953.33333333333337</v>
      </c>
      <c r="N48" s="85">
        <f t="shared" si="36"/>
        <v>333.66666666666669</v>
      </c>
      <c r="O48" s="102">
        <f t="shared" si="7"/>
        <v>1287</v>
      </c>
      <c r="P48" s="185">
        <f t="shared" si="8"/>
        <v>9.9827334312910576E-2</v>
      </c>
      <c r="Q48" s="25">
        <v>14092.44375</v>
      </c>
      <c r="R48" s="184"/>
      <c r="AG48">
        <v>11917.5</v>
      </c>
      <c r="AH48">
        <f t="shared" si="9"/>
        <v>0.3005458228250168</v>
      </c>
      <c r="AL48" s="27">
        <v>100021015</v>
      </c>
      <c r="AM48" s="24">
        <v>15499.254843517137</v>
      </c>
    </row>
    <row r="49" spans="1:39" x14ac:dyDescent="0.35">
      <c r="A49" s="84">
        <v>100021014</v>
      </c>
      <c r="B49" s="98" t="s">
        <v>52</v>
      </c>
      <c r="C49" s="99">
        <v>7790360965721</v>
      </c>
      <c r="D49" s="100">
        <v>2.04</v>
      </c>
      <c r="E49" s="101">
        <v>24</v>
      </c>
      <c r="F49" s="85">
        <f t="shared" si="26"/>
        <v>15499.254843517137</v>
      </c>
      <c r="G49" s="103"/>
      <c r="H49" s="85">
        <f t="shared" si="10"/>
        <v>15499.254843517137</v>
      </c>
      <c r="I49" s="85">
        <f t="shared" si="1"/>
        <v>645.80228514654743</v>
      </c>
      <c r="J49" s="85">
        <f t="shared" si="2"/>
        <v>135.61847988077497</v>
      </c>
      <c r="K49" s="85">
        <f t="shared" si="3"/>
        <v>781.42076502732243</v>
      </c>
      <c r="L49" s="85">
        <f t="shared" si="35"/>
        <v>171.91256830601094</v>
      </c>
      <c r="M49" s="85">
        <f t="shared" si="5"/>
        <v>953.33333333333337</v>
      </c>
      <c r="N49" s="85">
        <f t="shared" si="36"/>
        <v>333.66666666666669</v>
      </c>
      <c r="O49" s="102">
        <f t="shared" si="7"/>
        <v>1287</v>
      </c>
      <c r="P49" s="185">
        <f t="shared" si="8"/>
        <v>9.9827334312910576E-2</v>
      </c>
      <c r="Q49" s="25">
        <v>14092.44375</v>
      </c>
      <c r="R49" s="184"/>
      <c r="AG49">
        <v>11917.5</v>
      </c>
      <c r="AH49">
        <f t="shared" si="9"/>
        <v>0.3005458228250168</v>
      </c>
      <c r="AL49" s="27">
        <v>100021008</v>
      </c>
      <c r="AM49" s="24">
        <v>10971.006927240942</v>
      </c>
    </row>
    <row r="50" spans="1:39" x14ac:dyDescent="0.35">
      <c r="A50" s="84">
        <v>100021054</v>
      </c>
      <c r="B50" s="98" t="s">
        <v>53</v>
      </c>
      <c r="C50" s="99">
        <v>7790360965707</v>
      </c>
      <c r="D50" s="100">
        <v>2.04</v>
      </c>
      <c r="E50" s="101">
        <v>24</v>
      </c>
      <c r="F50" s="85">
        <f t="shared" si="26"/>
        <v>15499.254843517137</v>
      </c>
      <c r="G50" s="103"/>
      <c r="H50" s="85">
        <f t="shared" si="10"/>
        <v>15499.254843517137</v>
      </c>
      <c r="I50" s="85">
        <f t="shared" si="1"/>
        <v>645.80228514654743</v>
      </c>
      <c r="J50" s="85">
        <f t="shared" si="2"/>
        <v>135.61847988077497</v>
      </c>
      <c r="K50" s="85">
        <f t="shared" si="3"/>
        <v>781.42076502732243</v>
      </c>
      <c r="L50" s="85">
        <f t="shared" si="35"/>
        <v>171.91256830601094</v>
      </c>
      <c r="M50" s="85">
        <f t="shared" si="5"/>
        <v>953.33333333333337</v>
      </c>
      <c r="N50" s="85">
        <f t="shared" si="36"/>
        <v>333.66666666666669</v>
      </c>
      <c r="O50" s="102">
        <f t="shared" si="7"/>
        <v>1287</v>
      </c>
      <c r="P50" s="185">
        <f t="shared" si="8"/>
        <v>9.9827334312910576E-2</v>
      </c>
      <c r="Q50" s="25">
        <v>14092.44375</v>
      </c>
      <c r="R50" s="184"/>
      <c r="AG50">
        <v>11917.5</v>
      </c>
      <c r="AH50">
        <f t="shared" si="9"/>
        <v>0.3005458228250168</v>
      </c>
      <c r="AL50" s="27">
        <v>100021009</v>
      </c>
      <c r="AM50" s="24">
        <v>10971.006927240942</v>
      </c>
    </row>
    <row r="51" spans="1:39" x14ac:dyDescent="0.35">
      <c r="A51" s="84">
        <v>100021055</v>
      </c>
      <c r="B51" s="98" t="s">
        <v>54</v>
      </c>
      <c r="C51" s="99">
        <v>7790360965189</v>
      </c>
      <c r="D51" s="100">
        <v>2.04</v>
      </c>
      <c r="E51" s="101">
        <v>24</v>
      </c>
      <c r="F51" s="85">
        <f t="shared" si="26"/>
        <v>15499.254843517137</v>
      </c>
      <c r="G51" s="103"/>
      <c r="H51" s="85">
        <f t="shared" si="10"/>
        <v>15499.254843517137</v>
      </c>
      <c r="I51" s="85">
        <f t="shared" si="1"/>
        <v>645.80228514654743</v>
      </c>
      <c r="J51" s="85">
        <f t="shared" si="2"/>
        <v>135.61847988077497</v>
      </c>
      <c r="K51" s="85">
        <f t="shared" si="3"/>
        <v>781.42076502732243</v>
      </c>
      <c r="L51" s="85">
        <f t="shared" si="35"/>
        <v>171.91256830601094</v>
      </c>
      <c r="M51" s="85">
        <f t="shared" si="5"/>
        <v>953.33333333333337</v>
      </c>
      <c r="N51" s="85">
        <f t="shared" si="36"/>
        <v>333.66666666666669</v>
      </c>
      <c r="O51" s="102">
        <f t="shared" si="7"/>
        <v>1287</v>
      </c>
      <c r="P51" s="185">
        <f t="shared" si="8"/>
        <v>9.9827334312910576E-2</v>
      </c>
      <c r="Q51" s="25">
        <v>14092.44375</v>
      </c>
      <c r="R51" s="184"/>
      <c r="AG51">
        <v>11917.5</v>
      </c>
      <c r="AH51">
        <f t="shared" si="9"/>
        <v>0.3005458228250168</v>
      </c>
      <c r="AL51" s="27">
        <v>100021010</v>
      </c>
      <c r="AM51" s="24">
        <v>10971.006927240942</v>
      </c>
    </row>
    <row r="52" spans="1:39" x14ac:dyDescent="0.35">
      <c r="A52" s="84">
        <v>100021015</v>
      </c>
      <c r="B52" s="98" t="s">
        <v>55</v>
      </c>
      <c r="C52" s="99">
        <v>7790360965202</v>
      </c>
      <c r="D52" s="100">
        <v>2.04</v>
      </c>
      <c r="E52" s="101">
        <v>24</v>
      </c>
      <c r="F52" s="85">
        <f t="shared" si="26"/>
        <v>15499.254843517137</v>
      </c>
      <c r="G52" s="103"/>
      <c r="H52" s="85">
        <f t="shared" si="10"/>
        <v>15499.254843517137</v>
      </c>
      <c r="I52" s="85">
        <f t="shared" si="1"/>
        <v>645.80228514654743</v>
      </c>
      <c r="J52" s="85">
        <f t="shared" si="2"/>
        <v>135.61847988077497</v>
      </c>
      <c r="K52" s="85">
        <f t="shared" si="3"/>
        <v>781.42076502732243</v>
      </c>
      <c r="L52" s="85">
        <f t="shared" si="35"/>
        <v>171.91256830601094</v>
      </c>
      <c r="M52" s="85">
        <f t="shared" si="5"/>
        <v>953.33333333333337</v>
      </c>
      <c r="N52" s="85">
        <f t="shared" si="36"/>
        <v>333.66666666666669</v>
      </c>
      <c r="O52" s="102">
        <f t="shared" si="7"/>
        <v>1287</v>
      </c>
      <c r="P52" s="185">
        <f t="shared" si="8"/>
        <v>9.9827334312910576E-2</v>
      </c>
      <c r="Q52" s="25">
        <v>14092.44375</v>
      </c>
      <c r="R52" s="184"/>
      <c r="AG52">
        <v>11917.5</v>
      </c>
      <c r="AH52">
        <f t="shared" si="9"/>
        <v>0.3005458228250168</v>
      </c>
      <c r="AL52" s="27">
        <v>100021011</v>
      </c>
      <c r="AM52" s="24">
        <v>10971.006927240942</v>
      </c>
    </row>
    <row r="53" spans="1:39" x14ac:dyDescent="0.35">
      <c r="A53" s="84">
        <v>100021008</v>
      </c>
      <c r="B53" s="98" t="s">
        <v>56</v>
      </c>
      <c r="C53" s="99">
        <v>7790360720122</v>
      </c>
      <c r="D53" s="100">
        <v>2.16</v>
      </c>
      <c r="E53" s="101">
        <v>24</v>
      </c>
      <c r="F53" s="85">
        <f t="shared" si="26"/>
        <v>10971.006927240942</v>
      </c>
      <c r="G53" s="103"/>
      <c r="H53" s="85">
        <f t="shared" si="10"/>
        <v>10971.006927240942</v>
      </c>
      <c r="I53" s="85">
        <f t="shared" si="1"/>
        <v>457.12528863503923</v>
      </c>
      <c r="J53" s="85">
        <f t="shared" si="2"/>
        <v>95.996310613358233</v>
      </c>
      <c r="K53" s="85">
        <f t="shared" si="3"/>
        <v>553.1215992483975</v>
      </c>
      <c r="L53" s="85">
        <f>+K53*0.2</f>
        <v>110.62431984967951</v>
      </c>
      <c r="M53" s="85">
        <f t="shared" si="5"/>
        <v>663.74591909807702</v>
      </c>
      <c r="N53" s="85">
        <f t="shared" si="36"/>
        <v>232.31107168432695</v>
      </c>
      <c r="O53" s="102">
        <f t="shared" si="7"/>
        <v>896.056990782404</v>
      </c>
      <c r="P53" s="185">
        <f t="shared" si="8"/>
        <v>5.0000000000000044E-2</v>
      </c>
      <c r="Q53" s="25">
        <v>10448.578025943754</v>
      </c>
      <c r="R53" s="184"/>
      <c r="AG53">
        <v>9046.387901250002</v>
      </c>
      <c r="AH53">
        <f t="shared" si="9"/>
        <v>0.21275000000000022</v>
      </c>
      <c r="AL53" s="32"/>
      <c r="AM53" s="36"/>
    </row>
    <row r="54" spans="1:39" x14ac:dyDescent="0.35">
      <c r="A54" s="84">
        <v>100021009</v>
      </c>
      <c r="B54" s="98" t="s">
        <v>57</v>
      </c>
      <c r="C54" s="99">
        <v>7790360965127</v>
      </c>
      <c r="D54" s="100">
        <v>2.16</v>
      </c>
      <c r="E54" s="101">
        <v>24</v>
      </c>
      <c r="F54" s="85">
        <f t="shared" si="26"/>
        <v>10971.006927240942</v>
      </c>
      <c r="G54" s="103"/>
      <c r="H54" s="85">
        <f t="shared" si="10"/>
        <v>10971.006927240942</v>
      </c>
      <c r="I54" s="85">
        <f t="shared" si="1"/>
        <v>457.12528863503923</v>
      </c>
      <c r="J54" s="85">
        <f t="shared" si="2"/>
        <v>95.996310613358233</v>
      </c>
      <c r="K54" s="85">
        <f t="shared" si="3"/>
        <v>553.1215992483975</v>
      </c>
      <c r="L54" s="85">
        <f>+K54*0.2</f>
        <v>110.62431984967951</v>
      </c>
      <c r="M54" s="85">
        <f t="shared" si="5"/>
        <v>663.74591909807702</v>
      </c>
      <c r="N54" s="85">
        <f t="shared" si="36"/>
        <v>232.31107168432695</v>
      </c>
      <c r="O54" s="102">
        <f t="shared" si="7"/>
        <v>896.056990782404</v>
      </c>
      <c r="P54" s="185">
        <f t="shared" si="8"/>
        <v>5.0000000000000044E-2</v>
      </c>
      <c r="Q54" s="25">
        <v>10448.578025943754</v>
      </c>
      <c r="R54" s="184"/>
      <c r="AG54">
        <v>9046.387901250002</v>
      </c>
      <c r="AH54">
        <f t="shared" si="9"/>
        <v>0.21275000000000022</v>
      </c>
      <c r="AL54" s="27">
        <v>100516217</v>
      </c>
      <c r="AM54" s="24">
        <v>25505.374073480652</v>
      </c>
    </row>
    <row r="55" spans="1:39" x14ac:dyDescent="0.35">
      <c r="A55" s="27">
        <v>100021010</v>
      </c>
      <c r="B55" s="28" t="s">
        <v>58</v>
      </c>
      <c r="C55" s="21">
        <v>7790920008707</v>
      </c>
      <c r="D55" s="22">
        <v>2.16</v>
      </c>
      <c r="E55" s="23">
        <v>24</v>
      </c>
      <c r="F55" s="24">
        <f t="shared" si="26"/>
        <v>10971.006927240942</v>
      </c>
      <c r="G55" s="23"/>
      <c r="H55" s="24">
        <f t="shared" si="10"/>
        <v>10971.006927240942</v>
      </c>
      <c r="I55" s="24">
        <f t="shared" si="1"/>
        <v>457.12528863503923</v>
      </c>
      <c r="J55" s="24">
        <f t="shared" si="2"/>
        <v>95.996310613358233</v>
      </c>
      <c r="K55" s="24">
        <f t="shared" si="3"/>
        <v>553.1215992483975</v>
      </c>
      <c r="L55" s="24">
        <f t="shared" si="35"/>
        <v>121.68675183464745</v>
      </c>
      <c r="M55" s="24">
        <f t="shared" si="5"/>
        <v>674.80835108304495</v>
      </c>
      <c r="N55" s="24">
        <f t="shared" si="36"/>
        <v>236.18292287906573</v>
      </c>
      <c r="O55" s="25">
        <f t="shared" si="7"/>
        <v>910.99127396211065</v>
      </c>
      <c r="P55" s="185">
        <f t="shared" si="8"/>
        <v>5.0000000000000044E-2</v>
      </c>
      <c r="Q55" s="25">
        <v>10448.578025943754</v>
      </c>
      <c r="R55" s="184"/>
      <c r="AG55">
        <v>9046.387901250002</v>
      </c>
      <c r="AH55">
        <f t="shared" si="9"/>
        <v>0.21275000000000022</v>
      </c>
      <c r="AL55" s="27">
        <v>100516214</v>
      </c>
      <c r="AM55" s="24">
        <v>35312.915854229308</v>
      </c>
    </row>
    <row r="56" spans="1:39" x14ac:dyDescent="0.35">
      <c r="A56" s="27">
        <v>100021011</v>
      </c>
      <c r="B56" s="28" t="s">
        <v>59</v>
      </c>
      <c r="C56" s="21">
        <v>7790920008714</v>
      </c>
      <c r="D56" s="22">
        <v>2.16</v>
      </c>
      <c r="E56" s="23">
        <v>24</v>
      </c>
      <c r="F56" s="24">
        <f t="shared" si="26"/>
        <v>10971.006927240942</v>
      </c>
      <c r="G56" s="23"/>
      <c r="H56" s="24">
        <f t="shared" si="10"/>
        <v>10971.006927240942</v>
      </c>
      <c r="I56" s="24">
        <f t="shared" si="1"/>
        <v>457.12528863503923</v>
      </c>
      <c r="J56" s="24">
        <f t="shared" si="2"/>
        <v>95.996310613358233</v>
      </c>
      <c r="K56" s="24">
        <f t="shared" si="3"/>
        <v>553.1215992483975</v>
      </c>
      <c r="L56" s="24">
        <f t="shared" si="35"/>
        <v>121.68675183464745</v>
      </c>
      <c r="M56" s="24">
        <f t="shared" si="5"/>
        <v>674.80835108304495</v>
      </c>
      <c r="N56" s="24">
        <f t="shared" si="36"/>
        <v>236.18292287906573</v>
      </c>
      <c r="O56" s="25">
        <f t="shared" si="7"/>
        <v>910.99127396211065</v>
      </c>
      <c r="P56" s="185">
        <f t="shared" si="8"/>
        <v>5.0000000000000044E-2</v>
      </c>
      <c r="Q56" s="25">
        <v>10448.578025943754</v>
      </c>
      <c r="R56" s="184"/>
      <c r="AG56">
        <v>9046.387901250002</v>
      </c>
      <c r="AH56">
        <f t="shared" si="9"/>
        <v>0.21275000000000022</v>
      </c>
      <c r="AL56" s="27">
        <v>100516215</v>
      </c>
      <c r="AM56" s="24">
        <v>35312.915854229308</v>
      </c>
    </row>
    <row r="57" spans="1:39" x14ac:dyDescent="0.35">
      <c r="A57" s="32"/>
      <c r="B57" s="33"/>
      <c r="C57" s="34"/>
      <c r="D57" s="33"/>
      <c r="E57" s="35"/>
      <c r="F57" s="36" t="e">
        <f t="shared" si="26"/>
        <v>#N/A</v>
      </c>
      <c r="G57" s="35"/>
      <c r="H57" s="36" t="e">
        <f t="shared" si="10"/>
        <v>#N/A</v>
      </c>
      <c r="I57" s="37" t="e">
        <f t="shared" si="1"/>
        <v>#N/A</v>
      </c>
      <c r="J57" s="38"/>
      <c r="K57" s="37"/>
      <c r="L57" s="17"/>
      <c r="M57" s="16"/>
      <c r="N57" s="17"/>
      <c r="O57" s="39"/>
      <c r="P57" s="185" t="e">
        <f t="shared" si="8"/>
        <v>#N/A</v>
      </c>
      <c r="Q57" s="39" t="e">
        <v>#N/A</v>
      </c>
      <c r="R57" s="184"/>
      <c r="AG57" t="e">
        <v>#N/A</v>
      </c>
      <c r="AH57" t="e">
        <f t="shared" si="9"/>
        <v>#N/A</v>
      </c>
      <c r="AL57" s="27">
        <v>100516216</v>
      </c>
      <c r="AM57" s="24">
        <v>35312.915854229308</v>
      </c>
    </row>
    <row r="58" spans="1:39" x14ac:dyDescent="0.35">
      <c r="A58" s="27">
        <v>100516217</v>
      </c>
      <c r="B58" s="28" t="s">
        <v>60</v>
      </c>
      <c r="C58" s="21">
        <v>7790360967824</v>
      </c>
      <c r="D58" s="22">
        <v>5.8</v>
      </c>
      <c r="E58" s="23">
        <v>20</v>
      </c>
      <c r="F58" s="24">
        <f t="shared" si="26"/>
        <v>25505.374073480652</v>
      </c>
      <c r="G58" s="143"/>
      <c r="H58" s="24">
        <f t="shared" si="10"/>
        <v>25505.374073480652</v>
      </c>
      <c r="I58" s="24">
        <f t="shared" si="1"/>
        <v>1275.2687036740326</v>
      </c>
      <c r="J58" s="24">
        <f t="shared" si="2"/>
        <v>267.80642777154685</v>
      </c>
      <c r="K58" s="24">
        <f t="shared" si="3"/>
        <v>1543.0751314455795</v>
      </c>
      <c r="L58" s="24">
        <f>+K58*0.3191</f>
        <v>492.39527444428438</v>
      </c>
      <c r="M58" s="24">
        <f t="shared" si="5"/>
        <v>2035.4704058898637</v>
      </c>
      <c r="N58" s="24">
        <f t="shared" si="6"/>
        <v>814.18816235594556</v>
      </c>
      <c r="O58" s="25">
        <f t="shared" si="7"/>
        <v>2849.6585682458094</v>
      </c>
      <c r="P58" s="185">
        <f t="shared" si="8"/>
        <v>0.11111111111111094</v>
      </c>
      <c r="Q58" s="25">
        <v>22954.836666132589</v>
      </c>
      <c r="R58" s="184"/>
      <c r="S58" s="1" t="s">
        <v>208</v>
      </c>
      <c r="AG58">
        <v>24041.261262588981</v>
      </c>
      <c r="AH58">
        <f t="shared" si="9"/>
        <v>6.0900000000000086E-2</v>
      </c>
      <c r="AL58" s="32"/>
      <c r="AM58" s="36"/>
    </row>
    <row r="59" spans="1:39" x14ac:dyDescent="0.35">
      <c r="A59" s="84">
        <v>100516214</v>
      </c>
      <c r="B59" s="98" t="s">
        <v>61</v>
      </c>
      <c r="C59" s="99">
        <v>7790360967794</v>
      </c>
      <c r="D59" s="100">
        <v>7</v>
      </c>
      <c r="E59" s="101">
        <v>20</v>
      </c>
      <c r="F59" s="85">
        <f t="shared" si="26"/>
        <v>35312.915854229308</v>
      </c>
      <c r="G59" s="97"/>
      <c r="H59" s="85">
        <f t="shared" si="10"/>
        <v>35312.915854229308</v>
      </c>
      <c r="I59" s="85">
        <f t="shared" si="1"/>
        <v>1765.6457927114654</v>
      </c>
      <c r="J59" s="85">
        <f t="shared" si="2"/>
        <v>370.78561646940773</v>
      </c>
      <c r="K59" s="85">
        <f t="shared" si="3"/>
        <v>2136.4314091808733</v>
      </c>
      <c r="L59" s="85">
        <f>+K59*0.304</f>
        <v>649.47514839098551</v>
      </c>
      <c r="M59" s="85">
        <f t="shared" si="5"/>
        <v>2785.9065575718587</v>
      </c>
      <c r="N59" s="85">
        <f t="shared" si="6"/>
        <v>1114.3626230287434</v>
      </c>
      <c r="O59" s="102">
        <f t="shared" si="7"/>
        <v>3900.2691806006023</v>
      </c>
      <c r="P59" s="185">
        <f t="shared" si="8"/>
        <v>-3.0000000000000138E-2</v>
      </c>
      <c r="Q59" s="25">
        <v>36405.067890958053</v>
      </c>
      <c r="R59" s="184"/>
      <c r="S59" s="1" t="s">
        <v>183</v>
      </c>
      <c r="AG59">
        <v>34315.268065753648</v>
      </c>
      <c r="AH59">
        <f t="shared" si="9"/>
        <v>2.9073000000000137E-2</v>
      </c>
      <c r="AL59" s="27">
        <v>100021704</v>
      </c>
      <c r="AM59" s="24">
        <v>36084.031149342401</v>
      </c>
    </row>
    <row r="60" spans="1:39" x14ac:dyDescent="0.35">
      <c r="A60" s="84">
        <v>100516215</v>
      </c>
      <c r="B60" s="98" t="s">
        <v>62</v>
      </c>
      <c r="C60" s="99">
        <v>7790360967800</v>
      </c>
      <c r="D60" s="100">
        <v>7</v>
      </c>
      <c r="E60" s="101">
        <v>20</v>
      </c>
      <c r="F60" s="85">
        <f t="shared" si="26"/>
        <v>35312.915854229308</v>
      </c>
      <c r="G60" s="97"/>
      <c r="H60" s="85">
        <f t="shared" si="10"/>
        <v>35312.915854229308</v>
      </c>
      <c r="I60" s="85">
        <f t="shared" si="1"/>
        <v>1765.6457927114654</v>
      </c>
      <c r="J60" s="85">
        <f t="shared" si="2"/>
        <v>370.78561646940773</v>
      </c>
      <c r="K60" s="85">
        <f t="shared" si="3"/>
        <v>2136.4314091808733</v>
      </c>
      <c r="L60" s="85">
        <f>+K60*0.304</f>
        <v>649.47514839098551</v>
      </c>
      <c r="M60" s="85">
        <f t="shared" si="5"/>
        <v>2785.9065575718587</v>
      </c>
      <c r="N60" s="85">
        <f t="shared" si="6"/>
        <v>1114.3626230287434</v>
      </c>
      <c r="O60" s="102">
        <f t="shared" si="7"/>
        <v>3900.2691806006023</v>
      </c>
      <c r="P60" s="185">
        <f t="shared" si="8"/>
        <v>-3.0000000000000138E-2</v>
      </c>
      <c r="Q60" s="25">
        <v>36405.067890958053</v>
      </c>
      <c r="R60" s="184"/>
      <c r="S60" s="1" t="s">
        <v>183</v>
      </c>
      <c r="AG60">
        <v>34315.268065753648</v>
      </c>
      <c r="AH60">
        <f t="shared" si="9"/>
        <v>2.9073000000000137E-2</v>
      </c>
      <c r="AL60" s="27">
        <v>100021705</v>
      </c>
      <c r="AM60" s="24">
        <v>32473.211800483499</v>
      </c>
    </row>
    <row r="61" spans="1:39" x14ac:dyDescent="0.35">
      <c r="A61" s="84">
        <v>100516216</v>
      </c>
      <c r="B61" s="98" t="s">
        <v>63</v>
      </c>
      <c r="C61" s="99">
        <v>7790360967817</v>
      </c>
      <c r="D61" s="100">
        <v>7</v>
      </c>
      <c r="E61" s="101">
        <v>20</v>
      </c>
      <c r="F61" s="85">
        <f t="shared" si="26"/>
        <v>35312.915854229308</v>
      </c>
      <c r="G61" s="97"/>
      <c r="H61" s="85">
        <f t="shared" si="10"/>
        <v>35312.915854229308</v>
      </c>
      <c r="I61" s="85">
        <f t="shared" si="1"/>
        <v>1765.6457927114654</v>
      </c>
      <c r="J61" s="85">
        <f t="shared" si="2"/>
        <v>370.78561646940773</v>
      </c>
      <c r="K61" s="85">
        <f t="shared" si="3"/>
        <v>2136.4314091808733</v>
      </c>
      <c r="L61" s="85">
        <f>+K61*0.304</f>
        <v>649.47514839098551</v>
      </c>
      <c r="M61" s="85">
        <f t="shared" si="5"/>
        <v>2785.9065575718587</v>
      </c>
      <c r="N61" s="85">
        <f t="shared" si="6"/>
        <v>1114.3626230287434</v>
      </c>
      <c r="O61" s="102">
        <f t="shared" si="7"/>
        <v>3900.2691806006023</v>
      </c>
      <c r="P61" s="185">
        <f t="shared" si="8"/>
        <v>-3.0000000000000138E-2</v>
      </c>
      <c r="Q61" s="25">
        <v>36405.067890958053</v>
      </c>
      <c r="R61" s="184"/>
      <c r="S61" s="1" t="s">
        <v>183</v>
      </c>
      <c r="AG61">
        <v>34315.268065753648</v>
      </c>
      <c r="AH61">
        <f t="shared" si="9"/>
        <v>2.9073000000000137E-2</v>
      </c>
      <c r="AL61" s="27">
        <v>100021709</v>
      </c>
      <c r="AM61" s="24">
        <v>54740.252050895244</v>
      </c>
    </row>
    <row r="62" spans="1:39" x14ac:dyDescent="0.35">
      <c r="A62" s="32"/>
      <c r="B62" s="33"/>
      <c r="C62" s="34"/>
      <c r="D62" s="33"/>
      <c r="E62" s="35"/>
      <c r="F62" s="36" t="e">
        <f t="shared" si="26"/>
        <v>#N/A</v>
      </c>
      <c r="G62" s="134"/>
      <c r="H62" s="36" t="e">
        <f t="shared" si="10"/>
        <v>#N/A</v>
      </c>
      <c r="I62" s="37" t="e">
        <f t="shared" si="1"/>
        <v>#N/A</v>
      </c>
      <c r="J62" s="38"/>
      <c r="K62" s="37"/>
      <c r="L62" s="17"/>
      <c r="M62" s="16"/>
      <c r="N62" s="17"/>
      <c r="O62" s="39"/>
      <c r="P62" s="185" t="e">
        <f t="shared" si="8"/>
        <v>#N/A</v>
      </c>
      <c r="Q62" s="39" t="e">
        <v>#N/A</v>
      </c>
      <c r="R62" s="184"/>
      <c r="AG62" t="e">
        <v>#N/A</v>
      </c>
      <c r="AH62" t="e">
        <f t="shared" si="9"/>
        <v>#N/A</v>
      </c>
      <c r="AL62" s="27">
        <v>100521357</v>
      </c>
      <c r="AM62" s="24">
        <v>44177.826000000015</v>
      </c>
    </row>
    <row r="63" spans="1:39" x14ac:dyDescent="0.35">
      <c r="A63" s="27">
        <v>100021704</v>
      </c>
      <c r="B63" s="28" t="s">
        <v>64</v>
      </c>
      <c r="C63" s="21">
        <v>7790360023902</v>
      </c>
      <c r="D63" s="22">
        <f>12*0.38</f>
        <v>4.5600000000000005</v>
      </c>
      <c r="E63" s="23">
        <v>12</v>
      </c>
      <c r="F63" s="24">
        <f t="shared" si="26"/>
        <v>36084.031149342401</v>
      </c>
      <c r="G63" s="135"/>
      <c r="H63" s="24">
        <f t="shared" si="10"/>
        <v>36084.031149342401</v>
      </c>
      <c r="I63" s="24">
        <f t="shared" si="1"/>
        <v>3007.0025957785333</v>
      </c>
      <c r="J63" s="24">
        <f t="shared" si="2"/>
        <v>631.47054511349199</v>
      </c>
      <c r="K63" s="24">
        <f t="shared" si="3"/>
        <v>3638.4731408920252</v>
      </c>
      <c r="L63" s="24">
        <f t="shared" si="4"/>
        <v>1200.6961364943684</v>
      </c>
      <c r="M63" s="24">
        <f t="shared" si="5"/>
        <v>4839.1692773863933</v>
      </c>
      <c r="N63" s="24">
        <f t="shared" si="6"/>
        <v>1935.6677109545574</v>
      </c>
      <c r="O63" s="25">
        <f t="shared" si="7"/>
        <v>6774.8369883409505</v>
      </c>
      <c r="P63" s="185">
        <f t="shared" si="8"/>
        <v>0</v>
      </c>
      <c r="Q63" s="25">
        <v>36084.031149342401</v>
      </c>
      <c r="R63" s="184"/>
      <c r="AG63">
        <v>34365.743951754666</v>
      </c>
      <c r="AH63">
        <f t="shared" si="9"/>
        <v>5.0000000000000051E-2</v>
      </c>
      <c r="AL63" s="233">
        <v>100521358</v>
      </c>
      <c r="AM63" s="234">
        <v>66266.739000000016</v>
      </c>
    </row>
    <row r="64" spans="1:39" x14ac:dyDescent="0.35">
      <c r="A64" s="27">
        <v>100021705</v>
      </c>
      <c r="B64" s="28" t="s">
        <v>65</v>
      </c>
      <c r="C64" s="21">
        <v>7790360024336</v>
      </c>
      <c r="D64" s="22">
        <f>12*0.38</f>
        <v>4.5600000000000005</v>
      </c>
      <c r="E64" s="23">
        <v>12</v>
      </c>
      <c r="F64" s="24">
        <f t="shared" si="26"/>
        <v>32473.211800483499</v>
      </c>
      <c r="G64" s="135"/>
      <c r="H64" s="24">
        <f t="shared" si="10"/>
        <v>32473.211800483499</v>
      </c>
      <c r="I64" s="24">
        <f t="shared" si="1"/>
        <v>2706.1009833736248</v>
      </c>
      <c r="J64" s="24">
        <f t="shared" si="2"/>
        <v>568.2812065084612</v>
      </c>
      <c r="K64" s="24">
        <f t="shared" si="3"/>
        <v>3274.3821898820861</v>
      </c>
      <c r="L64" s="24">
        <f t="shared" si="4"/>
        <v>1080.5461226610885</v>
      </c>
      <c r="M64" s="24">
        <f t="shared" si="5"/>
        <v>4354.9283125431748</v>
      </c>
      <c r="N64" s="24">
        <f t="shared" si="6"/>
        <v>1741.9713250172699</v>
      </c>
      <c r="O64" s="25">
        <f t="shared" si="7"/>
        <v>6096.8996375604447</v>
      </c>
      <c r="P64" s="185" t="e">
        <f t="shared" si="8"/>
        <v>#N/A</v>
      </c>
      <c r="Q64" s="25" t="e">
        <v>#N/A</v>
      </c>
      <c r="R64" s="184"/>
      <c r="AG64">
        <v>30926.868381412856</v>
      </c>
      <c r="AH64">
        <f t="shared" si="9"/>
        <v>0.05</v>
      </c>
      <c r="AL64" s="27">
        <v>100522130</v>
      </c>
      <c r="AM64" s="24">
        <v>36420.08712457501</v>
      </c>
    </row>
    <row r="65" spans="1:39" x14ac:dyDescent="0.35">
      <c r="A65" s="27">
        <v>100021709</v>
      </c>
      <c r="B65" s="28" t="s">
        <v>66</v>
      </c>
      <c r="C65" s="21">
        <v>7790360024701</v>
      </c>
      <c r="D65" s="22">
        <v>7.6</v>
      </c>
      <c r="E65" s="23">
        <v>10</v>
      </c>
      <c r="F65" s="24">
        <f t="shared" si="26"/>
        <v>54740.252050895244</v>
      </c>
      <c r="G65" s="136"/>
      <c r="H65" s="24">
        <f t="shared" si="10"/>
        <v>54740.252050895244</v>
      </c>
      <c r="I65" s="24">
        <f t="shared" si="1"/>
        <v>5474.0252050895242</v>
      </c>
      <c r="J65" s="24">
        <f t="shared" si="2"/>
        <v>1149.5452930688</v>
      </c>
      <c r="K65" s="24">
        <f t="shared" si="3"/>
        <v>6623.570498158324</v>
      </c>
      <c r="L65" s="24">
        <f t="shared" si="4"/>
        <v>2185.7782643922469</v>
      </c>
      <c r="M65" s="24">
        <f t="shared" si="5"/>
        <v>8809.3487625505713</v>
      </c>
      <c r="N65" s="24">
        <f t="shared" si="6"/>
        <v>3523.7395050202285</v>
      </c>
      <c r="O65" s="25">
        <f t="shared" si="7"/>
        <v>12333.0882675708</v>
      </c>
      <c r="P65" s="186">
        <f t="shared" si="8"/>
        <v>0</v>
      </c>
      <c r="Q65" s="25">
        <v>54740.252050895244</v>
      </c>
      <c r="R65" s="184"/>
      <c r="Z65" t="s">
        <v>135</v>
      </c>
      <c r="AG65">
        <v>43442.906699058105</v>
      </c>
      <c r="AH65">
        <f t="shared" si="9"/>
        <v>0.26005040201608054</v>
      </c>
      <c r="AL65" s="41">
        <v>100021725</v>
      </c>
      <c r="AM65" s="24">
        <v>27314.920754211387</v>
      </c>
    </row>
    <row r="66" spans="1:39" x14ac:dyDescent="0.35">
      <c r="A66" s="84">
        <v>100521357</v>
      </c>
      <c r="B66" s="98" t="s">
        <v>122</v>
      </c>
      <c r="C66" s="99">
        <v>7790360982018</v>
      </c>
      <c r="D66" s="100">
        <v>4.5599999999999996</v>
      </c>
      <c r="E66" s="101">
        <v>12</v>
      </c>
      <c r="F66" s="154">
        <f t="shared" si="26"/>
        <v>44177.826000000015</v>
      </c>
      <c r="G66" s="117">
        <v>0.33</v>
      </c>
      <c r="H66" s="85">
        <f t="shared" si="10"/>
        <v>29599.143420000008</v>
      </c>
      <c r="I66" s="85">
        <f t="shared" si="1"/>
        <v>2466.5952850000008</v>
      </c>
      <c r="J66" s="85">
        <f t="shared" si="2"/>
        <v>517.9850098500001</v>
      </c>
      <c r="K66" s="85">
        <f t="shared" si="3"/>
        <v>2984.5802948500009</v>
      </c>
      <c r="L66" s="85">
        <f t="shared" si="4"/>
        <v>984.91149730050029</v>
      </c>
      <c r="M66" s="85">
        <f t="shared" si="5"/>
        <v>3969.4917921505012</v>
      </c>
      <c r="N66" s="85">
        <f t="shared" si="6"/>
        <v>1587.7967168602006</v>
      </c>
      <c r="O66" s="102">
        <f t="shared" si="7"/>
        <v>5557.288509010702</v>
      </c>
      <c r="P66" s="185">
        <f t="shared" si="8"/>
        <v>0</v>
      </c>
      <c r="Q66" s="25">
        <v>29599.143420000008</v>
      </c>
      <c r="R66" s="184"/>
      <c r="S66" s="192" t="s">
        <v>201</v>
      </c>
      <c r="AG66">
        <v>42074.12000000001</v>
      </c>
      <c r="AL66" s="27">
        <v>100517055</v>
      </c>
      <c r="AM66" s="24">
        <v>27215.39023811392</v>
      </c>
    </row>
    <row r="67" spans="1:39" x14ac:dyDescent="0.35">
      <c r="A67" s="84">
        <v>100521358</v>
      </c>
      <c r="B67" s="98" t="s">
        <v>130</v>
      </c>
      <c r="C67" s="99">
        <v>7790360982025</v>
      </c>
      <c r="D67" s="100">
        <v>7.6</v>
      </c>
      <c r="E67" s="101">
        <v>10</v>
      </c>
      <c r="F67" s="154">
        <f t="shared" si="26"/>
        <v>66266.739000000016</v>
      </c>
      <c r="G67" s="117">
        <v>0.33</v>
      </c>
      <c r="H67" s="85">
        <f t="shared" ref="H67" si="45">+F67*(1-G67)</f>
        <v>44398.715130000004</v>
      </c>
      <c r="I67" s="85">
        <f t="shared" ref="I67" si="46">+H67/E67</f>
        <v>4439.871513</v>
      </c>
      <c r="J67" s="85">
        <f t="shared" ref="J67" si="47">+I67*J$3</f>
        <v>932.37301773000002</v>
      </c>
      <c r="K67" s="85">
        <f t="shared" ref="K67" si="48">+I67+J67</f>
        <v>5372.2445307300004</v>
      </c>
      <c r="L67" s="85">
        <f t="shared" ref="L67" si="49">+K67*L$3</f>
        <v>1772.8406951409002</v>
      </c>
      <c r="M67" s="85">
        <f t="shared" ref="M67" si="50">+K67+L67</f>
        <v>7145.0852258709001</v>
      </c>
      <c r="N67" s="85">
        <f t="shared" ref="N67" si="51">+M67*N$3</f>
        <v>2858.0340903483602</v>
      </c>
      <c r="O67" s="102">
        <f t="shared" ref="O67" si="52">+M67+N67</f>
        <v>10003.119316219261</v>
      </c>
      <c r="P67" s="185">
        <f t="shared" si="8"/>
        <v>-0.33000000000000007</v>
      </c>
      <c r="Q67" s="25">
        <v>66266.739000000016</v>
      </c>
      <c r="R67" s="184"/>
      <c r="S67" s="1" t="s">
        <v>209</v>
      </c>
      <c r="AA67" t="s">
        <v>134</v>
      </c>
      <c r="AB67" t="s">
        <v>93</v>
      </c>
      <c r="AG67">
        <v>63111.180000000008</v>
      </c>
      <c r="AL67" s="27">
        <v>100517186</v>
      </c>
      <c r="AM67" s="24">
        <v>69116.127027926646</v>
      </c>
    </row>
    <row r="68" spans="1:39" x14ac:dyDescent="0.35">
      <c r="A68" s="27">
        <v>100522130</v>
      </c>
      <c r="B68" s="28" t="s">
        <v>123</v>
      </c>
      <c r="C68" s="21">
        <v>7790360982445</v>
      </c>
      <c r="D68" s="22">
        <v>4.8</v>
      </c>
      <c r="E68" s="23">
        <v>12</v>
      </c>
      <c r="F68" s="46">
        <f t="shared" si="26"/>
        <v>36420.08712457501</v>
      </c>
      <c r="G68" s="136"/>
      <c r="H68" s="24">
        <f t="shared" si="10"/>
        <v>36420.08712457501</v>
      </c>
      <c r="I68" s="24">
        <f t="shared" si="1"/>
        <v>3035.0072603812509</v>
      </c>
      <c r="J68" s="24">
        <f t="shared" si="2"/>
        <v>637.35152468006265</v>
      </c>
      <c r="K68" s="24">
        <f t="shared" si="3"/>
        <v>3672.3587850613135</v>
      </c>
      <c r="L68" s="24">
        <f t="shared" si="4"/>
        <v>1211.8783990702334</v>
      </c>
      <c r="M68" s="24">
        <f t="shared" si="5"/>
        <v>4884.2371841315471</v>
      </c>
      <c r="N68" s="24">
        <f t="shared" si="6"/>
        <v>1953.694873652619</v>
      </c>
      <c r="O68" s="194">
        <f t="shared" si="7"/>
        <v>6837.9320577841663</v>
      </c>
      <c r="P68" s="185">
        <f t="shared" si="8"/>
        <v>5.0000000000000044E-2</v>
      </c>
      <c r="Q68" s="25">
        <v>34685.797261500011</v>
      </c>
      <c r="R68" s="184"/>
      <c r="Y68">
        <v>4000</v>
      </c>
      <c r="Z68" s="119">
        <v>4200</v>
      </c>
      <c r="AA68">
        <v>7900</v>
      </c>
      <c r="AB68">
        <v>4800</v>
      </c>
      <c r="AG68">
        <v>21304.737641032927</v>
      </c>
      <c r="AL68" s="80">
        <v>100521663</v>
      </c>
      <c r="AM68" s="24">
        <v>39946.383076936734</v>
      </c>
    </row>
    <row r="69" spans="1:39" x14ac:dyDescent="0.35">
      <c r="A69" s="41">
        <v>100021725</v>
      </c>
      <c r="B69" s="42" t="s">
        <v>67</v>
      </c>
      <c r="C69" s="43">
        <v>7790360027009</v>
      </c>
      <c r="D69" s="44">
        <v>6</v>
      </c>
      <c r="E69" s="45">
        <v>4</v>
      </c>
      <c r="F69" s="46">
        <f t="shared" si="26"/>
        <v>27314.920754211387</v>
      </c>
      <c r="G69" s="137"/>
      <c r="H69" s="46">
        <f t="shared" si="10"/>
        <v>27314.920754211387</v>
      </c>
      <c r="I69" s="46">
        <f t="shared" si="1"/>
        <v>6828.7301885528468</v>
      </c>
      <c r="J69" s="46">
        <f t="shared" si="2"/>
        <v>1434.0333395960977</v>
      </c>
      <c r="K69" s="46">
        <f t="shared" si="3"/>
        <v>8262.7635281489438</v>
      </c>
      <c r="L69" s="46">
        <f t="shared" si="4"/>
        <v>2726.7119642891516</v>
      </c>
      <c r="M69" s="46">
        <f t="shared" si="5"/>
        <v>10989.475492438096</v>
      </c>
      <c r="N69" s="46">
        <f t="shared" si="6"/>
        <v>4395.7901969752384</v>
      </c>
      <c r="O69" s="47">
        <f t="shared" si="7"/>
        <v>15385.265689413334</v>
      </c>
      <c r="P69" s="185">
        <f t="shared" si="8"/>
        <v>0</v>
      </c>
      <c r="Q69" s="47">
        <v>27314.920754211387</v>
      </c>
      <c r="R69" s="184"/>
      <c r="AG69">
        <v>26014.210242106081</v>
      </c>
      <c r="AH69">
        <f t="shared" si="9"/>
        <v>5.0000000000000093E-2</v>
      </c>
      <c r="AL69" s="41">
        <v>100021728</v>
      </c>
      <c r="AM69" s="24">
        <v>37847.094552753675</v>
      </c>
    </row>
    <row r="70" spans="1:39" x14ac:dyDescent="0.35">
      <c r="A70" s="27">
        <v>100517055</v>
      </c>
      <c r="B70" s="28" t="s">
        <v>68</v>
      </c>
      <c r="C70" s="21">
        <v>7790360971135</v>
      </c>
      <c r="D70" s="22">
        <v>3.12</v>
      </c>
      <c r="E70" s="23">
        <v>12</v>
      </c>
      <c r="F70" s="24">
        <f t="shared" si="26"/>
        <v>27215.39023811392</v>
      </c>
      <c r="G70" s="135"/>
      <c r="H70" s="24">
        <f t="shared" si="10"/>
        <v>27215.39023811392</v>
      </c>
      <c r="I70" s="24">
        <f t="shared" si="1"/>
        <v>2267.9491865094933</v>
      </c>
      <c r="J70" s="24">
        <f t="shared" si="2"/>
        <v>476.2693291669936</v>
      </c>
      <c r="K70" s="24">
        <f t="shared" si="3"/>
        <v>2744.2185156764867</v>
      </c>
      <c r="L70" s="24">
        <f t="shared" si="4"/>
        <v>905.59211017324071</v>
      </c>
      <c r="M70" s="24">
        <f t="shared" si="5"/>
        <v>3649.8106258497273</v>
      </c>
      <c r="N70" s="24">
        <f t="shared" si="6"/>
        <v>1459.9242503398909</v>
      </c>
      <c r="O70" s="25">
        <f t="shared" si="7"/>
        <v>5109.7348761896183</v>
      </c>
      <c r="P70" s="185">
        <f t="shared" si="8"/>
        <v>0</v>
      </c>
      <c r="Q70" s="25">
        <v>27215.39023811392</v>
      </c>
      <c r="R70" s="184"/>
      <c r="Z70">
        <f>+Z68*12</f>
        <v>50400</v>
      </c>
      <c r="AG70">
        <v>25919.419274394208</v>
      </c>
      <c r="AH70">
        <f t="shared" si="9"/>
        <v>5.0000000000000065E-2</v>
      </c>
      <c r="AL70" s="41">
        <v>100517679</v>
      </c>
      <c r="AM70" s="24">
        <v>35830.538453970417</v>
      </c>
    </row>
    <row r="71" spans="1:39" x14ac:dyDescent="0.35">
      <c r="A71" s="27">
        <v>100517186</v>
      </c>
      <c r="B71" s="28" t="s">
        <v>69</v>
      </c>
      <c r="C71" s="21">
        <v>7790360971395</v>
      </c>
      <c r="D71" s="22">
        <v>8</v>
      </c>
      <c r="E71" s="23">
        <v>8</v>
      </c>
      <c r="F71" s="24">
        <f t="shared" si="26"/>
        <v>69116.127027926646</v>
      </c>
      <c r="G71" s="135"/>
      <c r="H71" s="24">
        <f t="shared" si="10"/>
        <v>69116.127027926646</v>
      </c>
      <c r="I71" s="24">
        <f t="shared" si="1"/>
        <v>8639.5158784908308</v>
      </c>
      <c r="J71" s="24">
        <f t="shared" si="2"/>
        <v>1814.2983344830743</v>
      </c>
      <c r="K71" s="24">
        <f t="shared" si="3"/>
        <v>10453.814212973904</v>
      </c>
      <c r="L71" s="24">
        <f t="shared" si="4"/>
        <v>3449.7586902813887</v>
      </c>
      <c r="M71" s="24">
        <f t="shared" si="5"/>
        <v>13903.572903255294</v>
      </c>
      <c r="N71" s="24">
        <f t="shared" si="6"/>
        <v>5561.4291613021178</v>
      </c>
      <c r="O71" s="25">
        <f t="shared" si="7"/>
        <v>19465.002064557411</v>
      </c>
      <c r="P71" s="185">
        <f t="shared" si="8"/>
        <v>0</v>
      </c>
      <c r="Q71" s="25">
        <v>69116.127027926646</v>
      </c>
      <c r="R71" s="184"/>
      <c r="Z71">
        <f>+Z70/1.21/1.33/1.4</f>
        <v>22369.974523084569</v>
      </c>
      <c r="AG71">
        <v>65824.882883739658</v>
      </c>
      <c r="AH71">
        <f t="shared" si="9"/>
        <v>5.0000000000000086E-2</v>
      </c>
      <c r="AL71" s="32"/>
      <c r="AM71" s="36"/>
    </row>
    <row r="72" spans="1:39" x14ac:dyDescent="0.35">
      <c r="A72" s="125">
        <v>100521663</v>
      </c>
      <c r="B72" s="126" t="s">
        <v>124</v>
      </c>
      <c r="C72" s="99">
        <v>7790360982537</v>
      </c>
      <c r="D72" s="100">
        <v>4.8</v>
      </c>
      <c r="E72" s="101">
        <v>12</v>
      </c>
      <c r="F72" s="85">
        <v>39946.383076936734</v>
      </c>
      <c r="G72" s="117">
        <v>0.33</v>
      </c>
      <c r="H72" s="85">
        <f t="shared" ref="H72" si="53">+F72*(1-G72)</f>
        <v>26764.07666154761</v>
      </c>
      <c r="I72" s="85">
        <f t="shared" ref="I72" si="54">+H72/E72</f>
        <v>2230.339721795634</v>
      </c>
      <c r="J72" s="85">
        <f t="shared" ref="J72" si="55">+I72*J$3</f>
        <v>468.37134157708311</v>
      </c>
      <c r="K72" s="85">
        <f t="shared" ref="K72" si="56">+I72+J72</f>
        <v>2698.711063372717</v>
      </c>
      <c r="L72" s="85">
        <f>+K72*0.323</f>
        <v>871.6836734693876</v>
      </c>
      <c r="M72" s="85">
        <f t="shared" ref="M72" si="57">+K72+L72</f>
        <v>3570.3947368421045</v>
      </c>
      <c r="N72" s="85">
        <f t="shared" ref="N72" si="58">+M72*N$3</f>
        <v>1428.1578947368419</v>
      </c>
      <c r="O72" s="102">
        <f t="shared" ref="O72" si="59">+M72+N72</f>
        <v>4998.5526315789466</v>
      </c>
      <c r="P72" s="185">
        <f t="shared" ref="P72:P108" si="60">H72/Q72-1</f>
        <v>0</v>
      </c>
      <c r="Q72" s="25">
        <v>26764.07666154761</v>
      </c>
      <c r="R72" s="184"/>
      <c r="S72" s="192" t="s">
        <v>201</v>
      </c>
      <c r="Z72" s="82">
        <f>+F68-Z71</f>
        <v>14050.11260149044</v>
      </c>
      <c r="AG72">
        <v>42746.880000000005</v>
      </c>
      <c r="AL72" s="27">
        <v>100516219</v>
      </c>
      <c r="AM72" s="24">
        <v>16599.454447073913</v>
      </c>
    </row>
    <row r="73" spans="1:39" x14ac:dyDescent="0.35">
      <c r="A73" s="41">
        <v>100021728</v>
      </c>
      <c r="B73" s="42" t="s">
        <v>70</v>
      </c>
      <c r="C73" s="43">
        <v>7790360967558</v>
      </c>
      <c r="D73" s="44">
        <v>3.84</v>
      </c>
      <c r="E73" s="45">
        <v>12</v>
      </c>
      <c r="F73" s="46">
        <f t="shared" ref="F73:F100" si="61">+VLOOKUP(A73,$AL$4:$AM$110,2,FALSE)</f>
        <v>37847.094552753675</v>
      </c>
      <c r="G73" s="137"/>
      <c r="H73" s="46">
        <f t="shared" si="10"/>
        <v>37847.094552753675</v>
      </c>
      <c r="I73" s="46">
        <f t="shared" si="1"/>
        <v>3153.9245460628063</v>
      </c>
      <c r="J73" s="46">
        <f t="shared" si="2"/>
        <v>662.32415467318924</v>
      </c>
      <c r="K73" s="46">
        <f t="shared" si="3"/>
        <v>3816.2487007359955</v>
      </c>
      <c r="L73" s="46">
        <f t="shared" si="4"/>
        <v>1259.3620712428785</v>
      </c>
      <c r="M73" s="46">
        <f t="shared" si="5"/>
        <v>5075.6107719788743</v>
      </c>
      <c r="N73" s="46">
        <f t="shared" si="6"/>
        <v>2030.2443087915499</v>
      </c>
      <c r="O73" s="47">
        <f t="shared" si="7"/>
        <v>7105.8550807704241</v>
      </c>
      <c r="P73" s="185">
        <f t="shared" si="60"/>
        <v>0</v>
      </c>
      <c r="Q73" s="47">
        <v>37847.094552753675</v>
      </c>
      <c r="R73" s="184"/>
      <c r="Z73">
        <f>+Z72/F68</f>
        <v>0.38577921446019586</v>
      </c>
      <c r="AG73">
        <v>36044.851955003498</v>
      </c>
      <c r="AH73">
        <f t="shared" si="9"/>
        <v>5.0000000000000058E-2</v>
      </c>
      <c r="AL73" s="27">
        <v>100516220</v>
      </c>
      <c r="AM73" s="24">
        <v>17830.838018208367</v>
      </c>
    </row>
    <row r="74" spans="1:39" ht="15" thickBot="1" x14ac:dyDescent="0.4">
      <c r="A74" s="41">
        <v>100517679</v>
      </c>
      <c r="B74" s="42" t="s">
        <v>71</v>
      </c>
      <c r="C74" s="43">
        <v>7790360973498</v>
      </c>
      <c r="D74" s="44">
        <v>7.68</v>
      </c>
      <c r="E74" s="45">
        <v>8</v>
      </c>
      <c r="F74" s="46">
        <f t="shared" si="61"/>
        <v>35830.538453970417</v>
      </c>
      <c r="G74" s="137"/>
      <c r="H74" s="46">
        <f t="shared" si="10"/>
        <v>35830.538453970417</v>
      </c>
      <c r="I74" s="46">
        <f t="shared" si="1"/>
        <v>4478.8173067463022</v>
      </c>
      <c r="J74" s="46">
        <f t="shared" si="2"/>
        <v>940.55163441672346</v>
      </c>
      <c r="K74" s="46">
        <f t="shared" si="3"/>
        <v>5419.3689411630257</v>
      </c>
      <c r="L74" s="46">
        <f t="shared" si="4"/>
        <v>1788.3917505837985</v>
      </c>
      <c r="M74" s="46">
        <f t="shared" si="5"/>
        <v>7207.7606917468238</v>
      </c>
      <c r="N74" s="46">
        <f t="shared" si="6"/>
        <v>2883.1042766987298</v>
      </c>
      <c r="O74" s="47">
        <f t="shared" si="7"/>
        <v>10090.864968445554</v>
      </c>
      <c r="P74" s="185">
        <f t="shared" si="60"/>
        <v>0</v>
      </c>
      <c r="Q74" s="47">
        <v>35830.538453970417</v>
      </c>
      <c r="R74" s="184"/>
      <c r="AG74">
        <v>34124.322337114681</v>
      </c>
      <c r="AH74">
        <f t="shared" si="9"/>
        <v>5.0000000000000051E-2</v>
      </c>
      <c r="AL74" s="49"/>
      <c r="AM74" s="53">
        <v>0</v>
      </c>
    </row>
    <row r="75" spans="1:39" ht="15" thickBot="1" x14ac:dyDescent="0.4">
      <c r="A75" s="32"/>
      <c r="B75" s="33"/>
      <c r="C75" s="34"/>
      <c r="D75" s="33"/>
      <c r="E75" s="35"/>
      <c r="F75" s="36" t="e">
        <f t="shared" si="61"/>
        <v>#N/A</v>
      </c>
      <c r="G75" s="134"/>
      <c r="H75" s="36" t="e">
        <f t="shared" si="10"/>
        <v>#N/A</v>
      </c>
      <c r="I75" s="37" t="e">
        <f t="shared" si="1"/>
        <v>#N/A</v>
      </c>
      <c r="J75" s="38"/>
      <c r="K75" s="37"/>
      <c r="L75" s="17"/>
      <c r="M75" s="16"/>
      <c r="N75" s="17"/>
      <c r="O75" s="39"/>
      <c r="P75" s="185" t="e">
        <f t="shared" si="60"/>
        <v>#N/A</v>
      </c>
      <c r="Q75" s="39" t="e">
        <v>#N/A</v>
      </c>
      <c r="R75" s="184"/>
      <c r="AG75" t="e">
        <v>#N/A</v>
      </c>
      <c r="AH75" t="e">
        <f t="shared" si="9"/>
        <v>#N/A</v>
      </c>
      <c r="AL75" s="56">
        <v>100518158</v>
      </c>
      <c r="AM75" s="61">
        <v>72003.355496178468</v>
      </c>
    </row>
    <row r="76" spans="1:39" ht="15" hidden="1" customHeight="1" thickBot="1" x14ac:dyDescent="0.4">
      <c r="A76" s="27">
        <v>100516219</v>
      </c>
      <c r="B76" s="28" t="s">
        <v>72</v>
      </c>
      <c r="C76" s="48">
        <v>7790360967770</v>
      </c>
      <c r="D76" s="22">
        <v>10</v>
      </c>
      <c r="E76" s="23">
        <v>25</v>
      </c>
      <c r="F76" s="24">
        <f t="shared" si="61"/>
        <v>16599.454447073913</v>
      </c>
      <c r="G76" s="135"/>
      <c r="H76" s="24">
        <f t="shared" si="10"/>
        <v>16599.454447073913</v>
      </c>
      <c r="I76" s="24">
        <f t="shared" si="1"/>
        <v>663.97817788295652</v>
      </c>
      <c r="J76" s="24">
        <f t="shared" si="2"/>
        <v>139.43541735542087</v>
      </c>
      <c r="K76" s="24">
        <f t="shared" si="3"/>
        <v>803.41359523837741</v>
      </c>
      <c r="L76" s="24">
        <f t="shared" si="4"/>
        <v>265.12648642866458</v>
      </c>
      <c r="M76" s="24">
        <f t="shared" si="5"/>
        <v>1068.5400816670419</v>
      </c>
      <c r="N76" s="24">
        <f t="shared" si="6"/>
        <v>427.41603266681682</v>
      </c>
      <c r="O76" s="25">
        <f t="shared" si="7"/>
        <v>1495.9561143338587</v>
      </c>
      <c r="P76" s="185">
        <f t="shared" si="60"/>
        <v>0</v>
      </c>
      <c r="Q76" s="25">
        <v>16599.454447073913</v>
      </c>
      <c r="R76" s="184"/>
      <c r="AG76">
        <v>16599.454447073913</v>
      </c>
      <c r="AH76">
        <f t="shared" si="9"/>
        <v>0</v>
      </c>
      <c r="AL76" s="27">
        <v>100518160</v>
      </c>
      <c r="AM76" s="24">
        <v>72003.355496178468</v>
      </c>
    </row>
    <row r="77" spans="1:39" ht="15" hidden="1" customHeight="1" thickBot="1" x14ac:dyDescent="0.4">
      <c r="A77" s="27">
        <v>100516220</v>
      </c>
      <c r="B77" s="28" t="s">
        <v>73</v>
      </c>
      <c r="C77" s="48">
        <v>7790360967787</v>
      </c>
      <c r="D77" s="22">
        <v>12</v>
      </c>
      <c r="E77" s="23">
        <v>6</v>
      </c>
      <c r="F77" s="24">
        <f t="shared" si="61"/>
        <v>17830.838018208367</v>
      </c>
      <c r="G77" s="135"/>
      <c r="H77" s="24">
        <f t="shared" si="10"/>
        <v>17830.838018208367</v>
      </c>
      <c r="I77" s="24">
        <f t="shared" si="1"/>
        <v>2971.8063363680612</v>
      </c>
      <c r="J77" s="24">
        <f t="shared" si="2"/>
        <v>624.07933063729286</v>
      </c>
      <c r="K77" s="24">
        <f t="shared" si="3"/>
        <v>3595.8856670053542</v>
      </c>
      <c r="L77" s="24">
        <f t="shared" si="4"/>
        <v>1186.6422701117669</v>
      </c>
      <c r="M77" s="24">
        <f t="shared" si="5"/>
        <v>4782.5279371171209</v>
      </c>
      <c r="N77" s="24">
        <f t="shared" si="6"/>
        <v>1913.0111748468485</v>
      </c>
      <c r="O77" s="25">
        <f t="shared" si="7"/>
        <v>6695.5391119639698</v>
      </c>
      <c r="P77" s="185">
        <f t="shared" si="60"/>
        <v>0</v>
      </c>
      <c r="Q77" s="25">
        <v>17830.838018208367</v>
      </c>
      <c r="R77" s="184"/>
      <c r="AG77">
        <v>17830.838018208367</v>
      </c>
      <c r="AH77">
        <f t="shared" si="9"/>
        <v>0</v>
      </c>
      <c r="AL77" s="64">
        <v>100518463</v>
      </c>
      <c r="AM77" s="69">
        <v>33357.515625</v>
      </c>
    </row>
    <row r="78" spans="1:39" ht="15" hidden="1" customHeight="1" thickBot="1" x14ac:dyDescent="0.4">
      <c r="A78" s="49"/>
      <c r="B78" s="50"/>
      <c r="C78" s="51"/>
      <c r="D78" s="50"/>
      <c r="E78" s="52"/>
      <c r="F78" s="53" t="e">
        <f t="shared" si="61"/>
        <v>#N/A</v>
      </c>
      <c r="G78" s="138"/>
      <c r="H78" s="53" t="e">
        <f t="shared" si="10"/>
        <v>#N/A</v>
      </c>
      <c r="I78" s="53" t="e">
        <f t="shared" ref="I78:I84" si="62">+H78/E78</f>
        <v>#N/A</v>
      </c>
      <c r="J78" s="53"/>
      <c r="K78" s="53"/>
      <c r="L78" s="53"/>
      <c r="M78" s="53"/>
      <c r="N78" s="53"/>
      <c r="O78" s="54"/>
      <c r="P78" s="185" t="e">
        <f t="shared" si="60"/>
        <v>#N/A</v>
      </c>
      <c r="Q78" s="55" t="e">
        <v>#N/A</v>
      </c>
      <c r="R78" s="184"/>
      <c r="AG78" t="e">
        <v>#N/A</v>
      </c>
      <c r="AH78" t="e">
        <f t="shared" ref="AH78:AH106" si="63">+(H78-AG78)/AG78</f>
        <v>#N/A</v>
      </c>
      <c r="AL78" s="71"/>
      <c r="AM78" s="75"/>
    </row>
    <row r="79" spans="1:39" x14ac:dyDescent="0.35">
      <c r="A79" s="56">
        <v>100518158</v>
      </c>
      <c r="B79" s="57" t="s">
        <v>74</v>
      </c>
      <c r="C79" s="58">
        <v>7790360974280</v>
      </c>
      <c r="D79" s="59">
        <v>12</v>
      </c>
      <c r="E79" s="60">
        <v>24</v>
      </c>
      <c r="F79" s="61">
        <f t="shared" si="61"/>
        <v>72003.355496178468</v>
      </c>
      <c r="G79" s="139"/>
      <c r="H79" s="61">
        <f t="shared" ref="H79:H106" si="64">+F79*(1-G79)</f>
        <v>72003.355496178468</v>
      </c>
      <c r="I79" s="61">
        <f t="shared" si="62"/>
        <v>3000.1398123407694</v>
      </c>
      <c r="J79" s="61">
        <f>+I79*J$3</f>
        <v>630.0293605915615</v>
      </c>
      <c r="K79" s="61">
        <f>+I79+J79</f>
        <v>3630.1691729323311</v>
      </c>
      <c r="L79" s="61">
        <f>+K79*L$3</f>
        <v>1197.9558270676694</v>
      </c>
      <c r="M79" s="61">
        <f>+K79+L79</f>
        <v>4828.125</v>
      </c>
      <c r="N79" s="61">
        <f>+M79*N$3</f>
        <v>1931.25</v>
      </c>
      <c r="O79" s="62">
        <f>+M79+N79</f>
        <v>6759.375</v>
      </c>
      <c r="P79" s="185">
        <f t="shared" si="60"/>
        <v>0</v>
      </c>
      <c r="Q79" s="25">
        <v>72003.355496178468</v>
      </c>
      <c r="R79" s="184"/>
      <c r="AG79">
        <v>72003.355496178468</v>
      </c>
      <c r="AH79">
        <f t="shared" si="63"/>
        <v>0</v>
      </c>
      <c r="AL79" s="202">
        <v>100518291</v>
      </c>
      <c r="AM79" s="61">
        <v>13957.608582010695</v>
      </c>
    </row>
    <row r="80" spans="1:39" ht="15" thickBot="1" x14ac:dyDescent="0.4">
      <c r="A80" s="27">
        <v>100518160</v>
      </c>
      <c r="B80" s="28" t="s">
        <v>75</v>
      </c>
      <c r="C80" s="63">
        <v>7790360974686</v>
      </c>
      <c r="D80" s="22">
        <v>12</v>
      </c>
      <c r="E80" s="23">
        <v>12</v>
      </c>
      <c r="F80" s="24">
        <f t="shared" si="61"/>
        <v>72003.355496178468</v>
      </c>
      <c r="G80" s="135"/>
      <c r="H80" s="24">
        <f t="shared" si="64"/>
        <v>72003.355496178468</v>
      </c>
      <c r="I80" s="24">
        <f t="shared" si="62"/>
        <v>6000.2796246815387</v>
      </c>
      <c r="J80" s="24">
        <f>+I80*J$3</f>
        <v>1260.058721183123</v>
      </c>
      <c r="K80" s="24">
        <f>+I80+J80</f>
        <v>7260.3383458646622</v>
      </c>
      <c r="L80" s="24">
        <f>+K80*L$3</f>
        <v>2395.9116541353387</v>
      </c>
      <c r="M80" s="24">
        <f>+K80+L80</f>
        <v>9656.25</v>
      </c>
      <c r="N80" s="24">
        <f>+M80*N$3</f>
        <v>3862.5</v>
      </c>
      <c r="O80" s="25">
        <f>+M80+N80</f>
        <v>13518.75</v>
      </c>
      <c r="P80" s="185">
        <f t="shared" si="60"/>
        <v>0</v>
      </c>
      <c r="Q80" s="25">
        <v>72003.355496178468</v>
      </c>
      <c r="R80" s="184"/>
      <c r="AG80">
        <v>72003.355496178468</v>
      </c>
      <c r="AH80">
        <f t="shared" si="63"/>
        <v>0</v>
      </c>
      <c r="AL80" s="203">
        <v>100518292</v>
      </c>
      <c r="AM80" s="24">
        <v>32934.975824324232</v>
      </c>
    </row>
    <row r="81" spans="1:39" ht="15" thickBot="1" x14ac:dyDescent="0.4">
      <c r="A81" s="64">
        <v>100518463</v>
      </c>
      <c r="B81" s="65" t="s">
        <v>76</v>
      </c>
      <c r="C81" s="66">
        <v>7790360975188</v>
      </c>
      <c r="D81" s="67">
        <v>5</v>
      </c>
      <c r="E81" s="68">
        <v>1</v>
      </c>
      <c r="F81" s="69">
        <f t="shared" si="61"/>
        <v>33357.515625</v>
      </c>
      <c r="G81" s="140"/>
      <c r="H81" s="69">
        <f t="shared" si="64"/>
        <v>33357.515625</v>
      </c>
      <c r="I81" s="69">
        <f t="shared" si="62"/>
        <v>33357.515625</v>
      </c>
      <c r="J81" s="69">
        <f>+I81*J$3</f>
        <v>7005.0782812500001</v>
      </c>
      <c r="K81" s="69">
        <f>+I81+J81</f>
        <v>40362.593906249997</v>
      </c>
      <c r="L81" s="69">
        <f>+K81*L$3</f>
        <v>13319.655989062499</v>
      </c>
      <c r="M81" s="69">
        <f>+K81+L81</f>
        <v>53682.249895312496</v>
      </c>
      <c r="N81" s="69">
        <f>+M81*N$3</f>
        <v>21472.899958124999</v>
      </c>
      <c r="O81" s="70">
        <f>+M81+N81</f>
        <v>75155.149853437499</v>
      </c>
      <c r="P81" s="185">
        <f t="shared" si="60"/>
        <v>0</v>
      </c>
      <c r="Q81" s="25">
        <v>33357.515625</v>
      </c>
      <c r="R81" s="184"/>
      <c r="AG81">
        <v>33357.515625</v>
      </c>
      <c r="AH81">
        <f t="shared" si="63"/>
        <v>0</v>
      </c>
      <c r="AL81" s="71"/>
      <c r="AM81" s="75"/>
    </row>
    <row r="82" spans="1:39" ht="15" thickBot="1" x14ac:dyDescent="0.4">
      <c r="A82" s="71"/>
      <c r="B82" s="72"/>
      <c r="C82" s="73"/>
      <c r="D82" s="72"/>
      <c r="E82" s="74"/>
      <c r="F82" s="75" t="e">
        <f t="shared" si="61"/>
        <v>#N/A</v>
      </c>
      <c r="G82" s="141"/>
      <c r="H82" s="75" t="e">
        <f t="shared" si="64"/>
        <v>#N/A</v>
      </c>
      <c r="I82" s="75" t="e">
        <f t="shared" si="62"/>
        <v>#N/A</v>
      </c>
      <c r="J82" s="75"/>
      <c r="K82" s="75"/>
      <c r="L82" s="75"/>
      <c r="M82" s="75"/>
      <c r="N82" s="75"/>
      <c r="O82" s="76"/>
      <c r="P82" s="185" t="e">
        <f t="shared" si="60"/>
        <v>#N/A</v>
      </c>
      <c r="Q82" s="55" t="e">
        <v>#N/A</v>
      </c>
      <c r="R82" s="184"/>
      <c r="AG82" t="e">
        <v>#N/A</v>
      </c>
      <c r="AH82" t="e">
        <f t="shared" si="63"/>
        <v>#N/A</v>
      </c>
      <c r="AL82" s="202">
        <v>100517915</v>
      </c>
      <c r="AM82" s="61">
        <v>145920.01119803212</v>
      </c>
    </row>
    <row r="83" spans="1:39" ht="15" thickBot="1" x14ac:dyDescent="0.4">
      <c r="A83" s="113">
        <v>100518291</v>
      </c>
      <c r="B83" s="114" t="s">
        <v>77</v>
      </c>
      <c r="C83" s="110">
        <v>7790360975195</v>
      </c>
      <c r="D83" s="115">
        <v>5</v>
      </c>
      <c r="E83" s="115">
        <v>10</v>
      </c>
      <c r="F83" s="111">
        <f t="shared" si="61"/>
        <v>13957.608582010695</v>
      </c>
      <c r="G83" s="117"/>
      <c r="H83" s="85">
        <f t="shared" si="64"/>
        <v>13957.608582010695</v>
      </c>
      <c r="I83" s="111">
        <f t="shared" si="62"/>
        <v>1395.7608582010694</v>
      </c>
      <c r="J83" s="111">
        <f>+I83*J$3</f>
        <v>293.10978022222457</v>
      </c>
      <c r="K83" s="111">
        <f>+I83+J83</f>
        <v>1688.8706384232939</v>
      </c>
      <c r="L83" s="111">
        <f>+K83*L$39</f>
        <v>371.55154045312469</v>
      </c>
      <c r="M83" s="111">
        <f>+K83+L83</f>
        <v>2060.4221788764185</v>
      </c>
      <c r="N83" s="111">
        <f>+M83*N$39</f>
        <v>721.14776260674637</v>
      </c>
      <c r="O83" s="112">
        <f>+M83+N83</f>
        <v>2781.5699414831647</v>
      </c>
      <c r="P83" s="185">
        <f t="shared" si="60"/>
        <v>3.0000000000000027E-2</v>
      </c>
      <c r="Q83" s="25">
        <v>13551.076293214266</v>
      </c>
      <c r="R83" s="184"/>
      <c r="S83" s="1" t="s">
        <v>186</v>
      </c>
      <c r="AG83">
        <v>13551.076293214266</v>
      </c>
      <c r="AH83">
        <f t="shared" si="63"/>
        <v>3.0000000000000037E-2</v>
      </c>
      <c r="AL83" s="203">
        <v>100517914</v>
      </c>
      <c r="AM83" s="24">
        <v>159231.15888620811</v>
      </c>
    </row>
    <row r="84" spans="1:39" ht="15" thickBot="1" x14ac:dyDescent="0.4">
      <c r="A84" s="104">
        <v>100518292</v>
      </c>
      <c r="B84" s="105" t="s">
        <v>78</v>
      </c>
      <c r="C84" s="106">
        <v>7790360975201</v>
      </c>
      <c r="D84" s="107">
        <v>12</v>
      </c>
      <c r="E84" s="107">
        <v>12</v>
      </c>
      <c r="F84" s="85">
        <f t="shared" si="61"/>
        <v>32934.975824324232</v>
      </c>
      <c r="G84" s="117"/>
      <c r="H84" s="85">
        <f t="shared" si="64"/>
        <v>32934.975824324232</v>
      </c>
      <c r="I84" s="108">
        <f t="shared" si="62"/>
        <v>2744.5813186936862</v>
      </c>
      <c r="J84" s="108">
        <f>+I84*J$3</f>
        <v>576.36207692567405</v>
      </c>
      <c r="K84" s="108">
        <f>+I84+J84</f>
        <v>3320.9433956193602</v>
      </c>
      <c r="L84" s="108">
        <f>+K84*L$39</f>
        <v>730.60754703625923</v>
      </c>
      <c r="M84" s="108">
        <f>+K84+L84</f>
        <v>4051.5509426556196</v>
      </c>
      <c r="N84" s="108">
        <f>+M84*N$39</f>
        <v>1418.0428299294667</v>
      </c>
      <c r="O84" s="109">
        <f>+M84+N84</f>
        <v>5469.5937725850863</v>
      </c>
      <c r="P84" s="185">
        <f t="shared" si="60"/>
        <v>3.0000000000000027E-2</v>
      </c>
      <c r="Q84" s="25">
        <v>31975.704683809934</v>
      </c>
      <c r="R84" s="184"/>
      <c r="S84" s="1" t="s">
        <v>187</v>
      </c>
      <c r="AG84">
        <v>31975.704683809934</v>
      </c>
      <c r="AH84">
        <f t="shared" si="63"/>
        <v>3.0000000000000006E-2</v>
      </c>
      <c r="AL84" s="71"/>
      <c r="AM84" s="75"/>
    </row>
    <row r="85" spans="1:39" ht="15" thickBot="1" x14ac:dyDescent="0.4">
      <c r="A85" s="71"/>
      <c r="B85" s="72"/>
      <c r="C85" s="73"/>
      <c r="D85" s="72"/>
      <c r="E85" s="74"/>
      <c r="F85" s="75" t="e">
        <f t="shared" si="61"/>
        <v>#N/A</v>
      </c>
      <c r="G85" s="141"/>
      <c r="H85" s="75" t="e">
        <f t="shared" si="64"/>
        <v>#N/A</v>
      </c>
      <c r="I85" s="75" t="e">
        <f>+H85/E85</f>
        <v>#N/A</v>
      </c>
      <c r="J85" s="75">
        <v>0.105</v>
      </c>
      <c r="K85" s="75"/>
      <c r="L85" s="75">
        <v>0.3</v>
      </c>
      <c r="M85" s="75"/>
      <c r="N85" s="75">
        <v>0.4</v>
      </c>
      <c r="O85" s="76"/>
      <c r="P85" s="185" t="e">
        <f t="shared" si="60"/>
        <v>#N/A</v>
      </c>
      <c r="Q85" s="76" t="e">
        <v>#N/A</v>
      </c>
      <c r="R85" s="184"/>
      <c r="AG85" t="e">
        <v>#N/A</v>
      </c>
      <c r="AH85" t="e">
        <f t="shared" si="63"/>
        <v>#N/A</v>
      </c>
      <c r="AL85" s="27">
        <v>100010689</v>
      </c>
      <c r="AM85" s="24">
        <v>15000</v>
      </c>
    </row>
    <row r="86" spans="1:39" x14ac:dyDescent="0.35">
      <c r="A86" s="113">
        <v>100517915</v>
      </c>
      <c r="B86" s="114" t="s">
        <v>79</v>
      </c>
      <c r="C86" s="110">
        <v>7790360974020</v>
      </c>
      <c r="D86" s="115">
        <v>18</v>
      </c>
      <c r="E86" s="115">
        <v>36</v>
      </c>
      <c r="F86" s="111">
        <f t="shared" si="61"/>
        <v>145920.01119803212</v>
      </c>
      <c r="G86" s="97"/>
      <c r="H86" s="85">
        <f t="shared" si="64"/>
        <v>145920.01119803212</v>
      </c>
      <c r="I86" s="111">
        <f>+H86/E86</f>
        <v>4053.3336443897811</v>
      </c>
      <c r="J86" s="111">
        <f>+I86*J$85</f>
        <v>425.60003266092701</v>
      </c>
      <c r="K86" s="111">
        <f>+I86+J86</f>
        <v>4478.933677050708</v>
      </c>
      <c r="L86" s="111">
        <f>+K86*L$85</f>
        <v>1343.6801031152124</v>
      </c>
      <c r="M86" s="111">
        <f>+K86+L86</f>
        <v>5822.6137801659206</v>
      </c>
      <c r="N86" s="111">
        <f>+M86*N$85</f>
        <v>2329.0455120663682</v>
      </c>
      <c r="O86" s="112">
        <f>+M86+N86</f>
        <v>8151.6592922322889</v>
      </c>
      <c r="P86" s="185">
        <f t="shared" si="60"/>
        <v>0</v>
      </c>
      <c r="Q86" s="62">
        <v>145920.01119803212</v>
      </c>
      <c r="R86" s="184"/>
      <c r="AG86">
        <v>126062.62630281298</v>
      </c>
      <c r="AH86">
        <f t="shared" si="63"/>
        <v>0.15752000000000038</v>
      </c>
      <c r="AL86" s="27">
        <v>100518335</v>
      </c>
      <c r="AM86" s="24">
        <v>10714.285714285714</v>
      </c>
    </row>
    <row r="87" spans="1:39" ht="15" thickBot="1" x14ac:dyDescent="0.4">
      <c r="A87" s="104">
        <v>100517914</v>
      </c>
      <c r="B87" s="105" t="s">
        <v>80</v>
      </c>
      <c r="C87" s="106">
        <v>7790360974037</v>
      </c>
      <c r="D87" s="107">
        <v>20</v>
      </c>
      <c r="E87" s="107">
        <v>20</v>
      </c>
      <c r="F87" s="85">
        <f t="shared" si="61"/>
        <v>159231.15888620811</v>
      </c>
      <c r="G87" s="97"/>
      <c r="H87" s="85">
        <f t="shared" si="64"/>
        <v>159231.15888620811</v>
      </c>
      <c r="I87" s="108">
        <f>+H87/E87</f>
        <v>7961.5579443104052</v>
      </c>
      <c r="J87" s="108">
        <f>+I87*J$85</f>
        <v>835.96358415259249</v>
      </c>
      <c r="K87" s="108">
        <f>+I87+J87</f>
        <v>8797.5215284629976</v>
      </c>
      <c r="L87" s="108">
        <f>+K87*L$85</f>
        <v>2639.2564585388991</v>
      </c>
      <c r="M87" s="108">
        <f>+K87+L87</f>
        <v>11436.777987001897</v>
      </c>
      <c r="N87" s="108">
        <f>+M87*N$85</f>
        <v>4574.7111948007587</v>
      </c>
      <c r="O87" s="109">
        <f>+M87+N87</f>
        <v>16011.489181802655</v>
      </c>
      <c r="P87" s="185">
        <f t="shared" si="60"/>
        <v>0</v>
      </c>
      <c r="Q87" s="70">
        <v>159231.15888620811</v>
      </c>
      <c r="R87" s="184"/>
      <c r="AG87">
        <v>137562.33921332512</v>
      </c>
      <c r="AH87">
        <f t="shared" si="63"/>
        <v>0.15752000000000016</v>
      </c>
      <c r="AL87" s="27">
        <v>100518332</v>
      </c>
      <c r="AM87" s="24">
        <v>12321.428571428572</v>
      </c>
    </row>
    <row r="88" spans="1:39" x14ac:dyDescent="0.35">
      <c r="A88" s="71"/>
      <c r="B88" s="72"/>
      <c r="C88" s="73"/>
      <c r="D88" s="72"/>
      <c r="E88" s="74"/>
      <c r="F88" s="75" t="e">
        <f t="shared" si="61"/>
        <v>#N/A</v>
      </c>
      <c r="G88" s="141"/>
      <c r="H88" s="75" t="e">
        <f t="shared" si="64"/>
        <v>#N/A</v>
      </c>
      <c r="I88" s="75"/>
      <c r="J88" s="78">
        <v>0.105</v>
      </c>
      <c r="K88" s="78"/>
      <c r="L88" s="78">
        <v>0.3</v>
      </c>
      <c r="M88" s="78"/>
      <c r="N88" s="78">
        <v>0.4</v>
      </c>
      <c r="O88" s="79"/>
      <c r="P88" s="185" t="e">
        <f t="shared" si="60"/>
        <v>#N/A</v>
      </c>
      <c r="Q88" s="76" t="e">
        <v>#N/A</v>
      </c>
      <c r="R88" s="184"/>
      <c r="AG88" t="e">
        <v>#N/A</v>
      </c>
      <c r="AH88" t="e">
        <f t="shared" si="63"/>
        <v>#N/A</v>
      </c>
      <c r="AL88" s="27">
        <v>100518334</v>
      </c>
      <c r="AM88" s="24">
        <v>10928.571428571429</v>
      </c>
    </row>
    <row r="89" spans="1:39" x14ac:dyDescent="0.35">
      <c r="A89" s="27">
        <v>100010689</v>
      </c>
      <c r="B89" s="28" t="s">
        <v>81</v>
      </c>
      <c r="C89" s="21"/>
      <c r="D89" s="22">
        <v>22</v>
      </c>
      <c r="E89" s="23">
        <v>1</v>
      </c>
      <c r="F89" s="24">
        <f t="shared" si="61"/>
        <v>15000</v>
      </c>
      <c r="G89" s="135"/>
      <c r="H89" s="24">
        <f t="shared" si="64"/>
        <v>15000</v>
      </c>
      <c r="I89" s="24">
        <f t="shared" ref="I89:I94" si="65">+H89/E89</f>
        <v>15000</v>
      </c>
      <c r="J89" s="24">
        <f t="shared" ref="J89:J94" si="66">+I89*J$88</f>
        <v>1575</v>
      </c>
      <c r="K89" s="24">
        <f t="shared" ref="K89:K94" si="67">+I89+J89</f>
        <v>16575</v>
      </c>
      <c r="L89" s="24">
        <f t="shared" ref="L89:L94" si="68">+K89*L$88</f>
        <v>4972.5</v>
      </c>
      <c r="M89" s="24">
        <f t="shared" ref="M89:M94" si="69">+K89+L89</f>
        <v>21547.5</v>
      </c>
      <c r="N89" s="24">
        <f t="shared" ref="N89:N94" si="70">+M89*N$88</f>
        <v>8619</v>
      </c>
      <c r="O89" s="25">
        <f t="shared" ref="O89:O94" si="71">+M89+N89</f>
        <v>30166.5</v>
      </c>
      <c r="P89" s="185">
        <f t="shared" si="60"/>
        <v>5.0000000000000044E-2</v>
      </c>
      <c r="Q89" s="25">
        <v>14285.714285714286</v>
      </c>
      <c r="R89" s="184"/>
      <c r="AG89">
        <v>14255.102040816328</v>
      </c>
      <c r="AH89">
        <f t="shared" si="63"/>
        <v>5.2254831782390758E-2</v>
      </c>
      <c r="AL89" s="27">
        <v>100518227</v>
      </c>
      <c r="AM89" s="24">
        <v>12895.714285714286</v>
      </c>
    </row>
    <row r="90" spans="1:39" x14ac:dyDescent="0.35">
      <c r="A90" s="27">
        <v>100518335</v>
      </c>
      <c r="B90" s="28" t="s">
        <v>82</v>
      </c>
      <c r="C90" s="21"/>
      <c r="D90" s="22">
        <v>22.5</v>
      </c>
      <c r="E90" s="23">
        <v>1</v>
      </c>
      <c r="F90" s="24">
        <f t="shared" si="61"/>
        <v>10714.285714285714</v>
      </c>
      <c r="G90" s="135"/>
      <c r="H90" s="24">
        <f t="shared" si="64"/>
        <v>10714.285714285714</v>
      </c>
      <c r="I90" s="24">
        <f t="shared" si="65"/>
        <v>10714.285714285714</v>
      </c>
      <c r="J90" s="24">
        <f t="shared" si="66"/>
        <v>1125</v>
      </c>
      <c r="K90" s="24">
        <f t="shared" si="67"/>
        <v>11839.285714285714</v>
      </c>
      <c r="L90" s="24">
        <f t="shared" si="68"/>
        <v>3551.7857142857142</v>
      </c>
      <c r="M90" s="24">
        <f t="shared" si="69"/>
        <v>15391.071428571428</v>
      </c>
      <c r="N90" s="24">
        <f t="shared" si="70"/>
        <v>6156.4285714285716</v>
      </c>
      <c r="O90" s="25">
        <f t="shared" si="71"/>
        <v>21547.5</v>
      </c>
      <c r="P90" s="185">
        <f t="shared" si="60"/>
        <v>4.9999999999999822E-2</v>
      </c>
      <c r="Q90" s="25">
        <v>10204.081632653062</v>
      </c>
      <c r="R90" s="184"/>
      <c r="Z90" s="120"/>
      <c r="AG90">
        <v>9029.5918367346949</v>
      </c>
      <c r="AH90">
        <f t="shared" si="63"/>
        <v>0.186574754209515</v>
      </c>
      <c r="AL90" s="71"/>
      <c r="AM90" s="75"/>
    </row>
    <row r="91" spans="1:39" x14ac:dyDescent="0.35">
      <c r="A91" s="27">
        <v>100518332</v>
      </c>
      <c r="B91" s="28" t="s">
        <v>83</v>
      </c>
      <c r="C91" s="21"/>
      <c r="D91" s="22">
        <v>21.5</v>
      </c>
      <c r="E91" s="23">
        <v>1</v>
      </c>
      <c r="F91" s="24">
        <f t="shared" si="61"/>
        <v>12321.428571428572</v>
      </c>
      <c r="G91" s="135"/>
      <c r="H91" s="24">
        <f t="shared" si="64"/>
        <v>12321.428571428572</v>
      </c>
      <c r="I91" s="24">
        <f t="shared" si="65"/>
        <v>12321.428571428572</v>
      </c>
      <c r="J91" s="24">
        <f t="shared" si="66"/>
        <v>1293.75</v>
      </c>
      <c r="K91" s="24">
        <f t="shared" si="67"/>
        <v>13615.178571428572</v>
      </c>
      <c r="L91" s="24">
        <f t="shared" si="68"/>
        <v>4084.5535714285716</v>
      </c>
      <c r="M91" s="24">
        <f t="shared" si="69"/>
        <v>17699.732142857145</v>
      </c>
      <c r="N91" s="24">
        <f t="shared" si="70"/>
        <v>7079.8928571428587</v>
      </c>
      <c r="O91" s="25">
        <f t="shared" si="71"/>
        <v>24779.625000000004</v>
      </c>
      <c r="P91" s="185">
        <f t="shared" si="60"/>
        <v>5.0000000000000266E-2</v>
      </c>
      <c r="Q91" s="25">
        <v>11734.693877551019</v>
      </c>
      <c r="R91" s="184"/>
      <c r="Z91" s="120"/>
      <c r="AG91">
        <v>9717.3469387755104</v>
      </c>
      <c r="AH91">
        <f t="shared" si="63"/>
        <v>0.26798277853617564</v>
      </c>
      <c r="AL91" s="80">
        <v>100520837</v>
      </c>
      <c r="AM91" s="24">
        <v>33805.838700484463</v>
      </c>
    </row>
    <row r="92" spans="1:39" x14ac:dyDescent="0.35">
      <c r="A92" s="27">
        <v>100518334</v>
      </c>
      <c r="B92" s="28" t="s">
        <v>84</v>
      </c>
      <c r="C92" s="21"/>
      <c r="D92" s="22">
        <v>22.5</v>
      </c>
      <c r="E92" s="23">
        <v>1</v>
      </c>
      <c r="F92" s="24">
        <f t="shared" si="61"/>
        <v>10928.571428571429</v>
      </c>
      <c r="G92" s="135"/>
      <c r="H92" s="24">
        <f t="shared" si="64"/>
        <v>10928.571428571429</v>
      </c>
      <c r="I92" s="24">
        <f t="shared" si="65"/>
        <v>10928.571428571429</v>
      </c>
      <c r="J92" s="24">
        <f t="shared" si="66"/>
        <v>1147.5</v>
      </c>
      <c r="K92" s="24">
        <f t="shared" si="67"/>
        <v>12076.071428571429</v>
      </c>
      <c r="L92" s="24">
        <f t="shared" si="68"/>
        <v>3622.8214285714289</v>
      </c>
      <c r="M92" s="24">
        <f t="shared" si="69"/>
        <v>15698.892857142859</v>
      </c>
      <c r="N92" s="24">
        <f t="shared" si="70"/>
        <v>6279.5571428571438</v>
      </c>
      <c r="O92" s="25">
        <f t="shared" si="71"/>
        <v>21978.450000000004</v>
      </c>
      <c r="P92" s="185">
        <f t="shared" si="60"/>
        <v>5.0000000000000044E-2</v>
      </c>
      <c r="Q92" s="25">
        <v>10408.163265306122</v>
      </c>
      <c r="R92" s="184"/>
      <c r="Z92">
        <f>+Y96*24+Y4*144</f>
        <v>602750.59359849652</v>
      </c>
      <c r="AG92">
        <v>7997.9591836734699</v>
      </c>
      <c r="AH92">
        <f t="shared" si="63"/>
        <v>0.36642000510334272</v>
      </c>
      <c r="AL92" s="80">
        <v>100522395</v>
      </c>
      <c r="AM92" s="24">
        <v>34481.948800000006</v>
      </c>
    </row>
    <row r="93" spans="1:39" x14ac:dyDescent="0.35">
      <c r="A93" s="27">
        <v>100518227</v>
      </c>
      <c r="B93" s="28" t="s">
        <v>85</v>
      </c>
      <c r="C93" s="21"/>
      <c r="D93" s="22">
        <v>22.5</v>
      </c>
      <c r="E93" s="23">
        <v>1</v>
      </c>
      <c r="F93" s="24">
        <f t="shared" si="61"/>
        <v>12895.714285714286</v>
      </c>
      <c r="G93" s="135"/>
      <c r="H93" s="24">
        <f t="shared" si="64"/>
        <v>12895.714285714286</v>
      </c>
      <c r="I93" s="24">
        <f t="shared" si="65"/>
        <v>12895.714285714286</v>
      </c>
      <c r="J93" s="24">
        <f t="shared" si="66"/>
        <v>1354.05</v>
      </c>
      <c r="K93" s="24">
        <f t="shared" si="67"/>
        <v>14249.764285714286</v>
      </c>
      <c r="L93" s="24">
        <f t="shared" si="68"/>
        <v>4274.9292857142855</v>
      </c>
      <c r="M93" s="24">
        <f t="shared" si="69"/>
        <v>18524.693571428572</v>
      </c>
      <c r="N93" s="24">
        <f t="shared" si="70"/>
        <v>7409.8774285714289</v>
      </c>
      <c r="O93" s="25">
        <f t="shared" si="71"/>
        <v>25934.571</v>
      </c>
      <c r="P93" s="185">
        <f t="shared" si="60"/>
        <v>7.1000000000000174E-2</v>
      </c>
      <c r="Q93" s="25">
        <v>12040.81632653061</v>
      </c>
      <c r="R93" s="184"/>
      <c r="Z93">
        <f>+Y100*72+Y4*144</f>
        <v>712427.41229328141</v>
      </c>
      <c r="AG93">
        <v>7997.9591836734699</v>
      </c>
      <c r="AH93">
        <f t="shared" si="63"/>
        <v>0.6123756060219443</v>
      </c>
      <c r="AL93" s="80">
        <v>100522561</v>
      </c>
      <c r="AM93" s="24">
        <v>6824.5523666666677</v>
      </c>
    </row>
    <row r="94" spans="1:39" hidden="1" x14ac:dyDescent="0.35">
      <c r="A94" s="177">
        <v>100027726</v>
      </c>
      <c r="B94" s="178" t="s">
        <v>152</v>
      </c>
      <c r="C94" s="179"/>
      <c r="D94" s="81">
        <v>22.5</v>
      </c>
      <c r="E94" s="23">
        <v>1</v>
      </c>
      <c r="F94" s="24" t="e">
        <f t="shared" si="61"/>
        <v>#N/A</v>
      </c>
      <c r="G94" s="135"/>
      <c r="H94" s="24" t="e">
        <f t="shared" ref="H94" si="72">+F94*(1-G94)</f>
        <v>#N/A</v>
      </c>
      <c r="I94" s="24" t="e">
        <f t="shared" si="65"/>
        <v>#N/A</v>
      </c>
      <c r="J94" s="24" t="e">
        <f t="shared" si="66"/>
        <v>#N/A</v>
      </c>
      <c r="K94" s="24" t="e">
        <f t="shared" si="67"/>
        <v>#N/A</v>
      </c>
      <c r="L94" s="24" t="e">
        <f t="shared" si="68"/>
        <v>#N/A</v>
      </c>
      <c r="M94" s="24" t="e">
        <f t="shared" si="69"/>
        <v>#N/A</v>
      </c>
      <c r="N94" s="24" t="e">
        <f t="shared" si="70"/>
        <v>#N/A</v>
      </c>
      <c r="O94" s="25" t="e">
        <f t="shared" si="71"/>
        <v>#N/A</v>
      </c>
      <c r="P94" s="185" t="e">
        <f t="shared" si="60"/>
        <v>#N/A</v>
      </c>
      <c r="Q94" s="181">
        <v>6195</v>
      </c>
      <c r="R94" s="184"/>
      <c r="AL94" s="71"/>
      <c r="AM94" s="75"/>
    </row>
    <row r="95" spans="1:39" x14ac:dyDescent="0.35">
      <c r="A95" s="71"/>
      <c r="B95" s="72"/>
      <c r="C95" s="73"/>
      <c r="D95" s="72"/>
      <c r="E95" s="74"/>
      <c r="F95" s="75" t="e">
        <f t="shared" si="61"/>
        <v>#N/A</v>
      </c>
      <c r="G95" s="141"/>
      <c r="H95" s="75" t="e">
        <f t="shared" si="64"/>
        <v>#N/A</v>
      </c>
      <c r="I95" s="75"/>
      <c r="J95" s="78">
        <v>0.21</v>
      </c>
      <c r="K95" s="78"/>
      <c r="L95" s="78">
        <v>0.3</v>
      </c>
      <c r="M95" s="78"/>
      <c r="N95" s="78">
        <v>0.4</v>
      </c>
      <c r="O95" s="79"/>
      <c r="P95" s="185" t="e">
        <f t="shared" si="60"/>
        <v>#N/A</v>
      </c>
      <c r="Q95" s="76" t="e">
        <v>#N/A</v>
      </c>
      <c r="R95" s="184"/>
      <c r="AG95" t="e">
        <v>#N/A</v>
      </c>
      <c r="AH95" t="e">
        <f t="shared" si="63"/>
        <v>#N/A</v>
      </c>
      <c r="AL95" s="80">
        <v>100520902</v>
      </c>
      <c r="AM95" s="24">
        <v>30287.433583483747</v>
      </c>
    </row>
    <row r="96" spans="1:39" x14ac:dyDescent="0.35">
      <c r="A96" s="80">
        <v>100520837</v>
      </c>
      <c r="B96" s="42" t="s">
        <v>86</v>
      </c>
      <c r="C96" s="43">
        <v>7790360980625</v>
      </c>
      <c r="D96" s="81">
        <v>4.8</v>
      </c>
      <c r="E96" s="23">
        <v>12</v>
      </c>
      <c r="F96" s="24">
        <f t="shared" si="61"/>
        <v>33805.838700484463</v>
      </c>
      <c r="G96" s="135"/>
      <c r="H96" s="24">
        <f t="shared" si="64"/>
        <v>33805.838700484463</v>
      </c>
      <c r="I96" s="24">
        <f>+H96/E96</f>
        <v>2817.153225040372</v>
      </c>
      <c r="J96" s="24">
        <f>+I96*J$95</f>
        <v>591.60217725847815</v>
      </c>
      <c r="K96" s="24">
        <f>+I96+J96</f>
        <v>3408.7554022988502</v>
      </c>
      <c r="L96" s="24">
        <f>+K96*L$95</f>
        <v>1022.6266206896551</v>
      </c>
      <c r="M96" s="24">
        <f>+K96+L96</f>
        <v>4431.382022988505</v>
      </c>
      <c r="N96" s="24">
        <f>+M96*N$95</f>
        <v>1772.552809195402</v>
      </c>
      <c r="O96" s="25">
        <f>+M96+N96</f>
        <v>6203.934832183907</v>
      </c>
      <c r="P96" s="185">
        <f t="shared" si="60"/>
        <v>4.0000000000000036E-2</v>
      </c>
      <c r="Q96" s="25">
        <v>32505.614135081214</v>
      </c>
      <c r="R96" s="184"/>
      <c r="S96" s="187"/>
      <c r="T96" s="187"/>
      <c r="U96" s="187"/>
      <c r="V96" s="187"/>
      <c r="W96" s="187"/>
      <c r="X96" s="187"/>
      <c r="Y96">
        <f>+F96*0.1</f>
        <v>3380.5838700484464</v>
      </c>
      <c r="Z96" s="121">
        <v>0.1</v>
      </c>
      <c r="AA96" s="120">
        <f>+H96*(1-Z96)</f>
        <v>30425.254830436017</v>
      </c>
      <c r="AB96" s="120">
        <f>+AA96/E96</f>
        <v>2535.4379025363346</v>
      </c>
      <c r="AC96" s="120">
        <f>+AB96*1.21*1.3*1.4</f>
        <v>5583.5413489655157</v>
      </c>
      <c r="AD96" s="119" t="s">
        <v>112</v>
      </c>
      <c r="AE96" t="s">
        <v>111</v>
      </c>
      <c r="AG96">
        <v>30957.727747696394</v>
      </c>
      <c r="AH96">
        <f t="shared" si="63"/>
        <v>9.2000000000000026E-2</v>
      </c>
      <c r="AL96" s="80">
        <v>100522698</v>
      </c>
      <c r="AM96" s="24">
        <v>38836.761324799605</v>
      </c>
    </row>
    <row r="97" spans="1:39" x14ac:dyDescent="0.35">
      <c r="A97" s="125">
        <v>100522395</v>
      </c>
      <c r="B97" s="126" t="s">
        <v>160</v>
      </c>
      <c r="C97" s="127">
        <v>7790360980625</v>
      </c>
      <c r="D97" s="128">
        <v>4.8</v>
      </c>
      <c r="E97" s="101">
        <v>12</v>
      </c>
      <c r="F97" s="85">
        <f t="shared" si="61"/>
        <v>34481.948800000006</v>
      </c>
      <c r="G97" s="188">
        <v>0.33</v>
      </c>
      <c r="H97" s="85">
        <f t="shared" ref="H97" si="73">+F97*(1-G97)</f>
        <v>23102.905696000002</v>
      </c>
      <c r="I97" s="85">
        <f>+H97/E97</f>
        <v>1925.2421413333334</v>
      </c>
      <c r="J97" s="85">
        <f>+I97*J$95</f>
        <v>404.30084968</v>
      </c>
      <c r="K97" s="85">
        <f>+I97+J97</f>
        <v>2329.5429910133334</v>
      </c>
      <c r="L97" s="85">
        <f>+K97*L$95</f>
        <v>698.86289730400006</v>
      </c>
      <c r="M97" s="85">
        <f>+K97+L97</f>
        <v>3028.4058883173334</v>
      </c>
      <c r="N97" s="85">
        <f>+M97*N$95</f>
        <v>1211.3623553269333</v>
      </c>
      <c r="O97" s="102">
        <f>+M97+N97</f>
        <v>4239.7682436442665</v>
      </c>
      <c r="P97" s="185"/>
      <c r="Q97" s="181">
        <v>33155.72</v>
      </c>
      <c r="R97" s="184"/>
      <c r="S97" s="1" t="s">
        <v>202</v>
      </c>
      <c r="T97" s="187"/>
      <c r="U97" s="187"/>
      <c r="V97" s="187"/>
      <c r="W97" s="187"/>
      <c r="X97" s="187"/>
      <c r="Z97" s="121"/>
      <c r="AA97" s="120"/>
      <c r="AB97" s="120"/>
      <c r="AC97" s="120"/>
      <c r="AD97" s="119"/>
      <c r="AL97" s="71"/>
      <c r="AM97" s="75"/>
    </row>
    <row r="98" spans="1:39" x14ac:dyDescent="0.35">
      <c r="A98" s="125">
        <v>100522561</v>
      </c>
      <c r="B98" s="126" t="s">
        <v>169</v>
      </c>
      <c r="C98" s="127"/>
      <c r="D98" s="128">
        <v>16</v>
      </c>
      <c r="E98" s="101">
        <v>8</v>
      </c>
      <c r="F98" s="85">
        <f t="shared" si="61"/>
        <v>6824.5523666666677</v>
      </c>
      <c r="G98" s="188">
        <v>0.33</v>
      </c>
      <c r="H98" s="85">
        <f t="shared" ref="H98" si="74">+F98*(1-G98)</f>
        <v>4572.4500856666673</v>
      </c>
      <c r="I98" s="85">
        <f>+H98*2</f>
        <v>9144.9001713333346</v>
      </c>
      <c r="J98" s="85">
        <f>+I98*J$95</f>
        <v>1920.4290359800002</v>
      </c>
      <c r="K98" s="85">
        <f>+I98+J98</f>
        <v>11065.329207313334</v>
      </c>
      <c r="L98" s="85">
        <f>+K98*L$95</f>
        <v>3319.5987621940003</v>
      </c>
      <c r="M98" s="85">
        <f>+K98+L98</f>
        <v>14384.927969507335</v>
      </c>
      <c r="N98" s="85">
        <f>+M98*N$95</f>
        <v>5753.9711878029339</v>
      </c>
      <c r="O98" s="102">
        <f>+M98+N98</f>
        <v>20138.899157310268</v>
      </c>
      <c r="P98" s="185"/>
      <c r="Q98" s="181" t="e">
        <v>#N/A</v>
      </c>
      <c r="R98" s="184"/>
      <c r="S98" s="1" t="s">
        <v>203</v>
      </c>
      <c r="T98" s="187"/>
      <c r="U98" s="187"/>
      <c r="V98" s="187"/>
      <c r="W98" s="187"/>
      <c r="X98" s="187"/>
      <c r="Z98" s="121"/>
      <c r="AA98" s="120"/>
      <c r="AB98" s="120"/>
      <c r="AC98" s="120"/>
      <c r="AD98" s="119"/>
      <c r="AL98" s="80">
        <v>100521457</v>
      </c>
      <c r="AM98" s="24">
        <v>34485.72242804218</v>
      </c>
    </row>
    <row r="99" spans="1:39" x14ac:dyDescent="0.35">
      <c r="A99" s="71"/>
      <c r="B99" s="72"/>
      <c r="C99" s="73"/>
      <c r="D99" s="72"/>
      <c r="E99" s="74"/>
      <c r="F99" s="75" t="e">
        <f t="shared" si="61"/>
        <v>#N/A</v>
      </c>
      <c r="G99" s="141"/>
      <c r="H99" s="75" t="e">
        <f t="shared" si="64"/>
        <v>#N/A</v>
      </c>
      <c r="I99" s="75"/>
      <c r="J99" s="78">
        <v>0.21</v>
      </c>
      <c r="K99" s="78"/>
      <c r="L99" s="78">
        <v>0.33</v>
      </c>
      <c r="M99" s="78"/>
      <c r="N99" s="78">
        <v>0.4</v>
      </c>
      <c r="O99" s="79"/>
      <c r="P99" s="185" t="e">
        <f t="shared" si="60"/>
        <v>#N/A</v>
      </c>
      <c r="Q99" s="76" t="e">
        <v>#N/A</v>
      </c>
      <c r="R99" s="184"/>
      <c r="S99"/>
      <c r="AA99" s="130"/>
      <c r="AB99" s="130"/>
      <c r="AC99" s="130"/>
      <c r="AG99" t="e">
        <v>#N/A</v>
      </c>
      <c r="AH99" t="e">
        <f t="shared" si="63"/>
        <v>#N/A</v>
      </c>
      <c r="AL99" s="80">
        <v>100521455</v>
      </c>
      <c r="AM99" s="24">
        <v>34485.72242804218</v>
      </c>
    </row>
    <row r="100" spans="1:39" x14ac:dyDescent="0.35">
      <c r="A100" s="125">
        <v>100520902</v>
      </c>
      <c r="B100" s="126" t="s">
        <v>87</v>
      </c>
      <c r="C100" s="127">
        <v>7790360981042</v>
      </c>
      <c r="D100" s="128">
        <v>9.8000000000000007</v>
      </c>
      <c r="E100" s="101">
        <v>14</v>
      </c>
      <c r="F100" s="85">
        <f t="shared" si="61"/>
        <v>30287.433583483747</v>
      </c>
      <c r="G100" s="189">
        <v>0.125</v>
      </c>
      <c r="H100" s="85">
        <f t="shared" si="64"/>
        <v>26501.50438554828</v>
      </c>
      <c r="I100" s="85">
        <f>+H100/E100</f>
        <v>1892.9645989677342</v>
      </c>
      <c r="J100" s="85">
        <f>+I100*J$99</f>
        <v>397.5225657832242</v>
      </c>
      <c r="K100" s="85">
        <f>+I100+J100</f>
        <v>2290.4871647509585</v>
      </c>
      <c r="L100" s="85">
        <f>+K100*L$99</f>
        <v>755.86076436781639</v>
      </c>
      <c r="M100" s="85">
        <f>+K100+L100</f>
        <v>3046.347929118775</v>
      </c>
      <c r="N100" s="85">
        <f>+M100*N$99</f>
        <v>1218.5391716475101</v>
      </c>
      <c r="O100" s="102">
        <f>+M100+N100</f>
        <v>4264.8871007662856</v>
      </c>
      <c r="P100" s="185">
        <f t="shared" si="60"/>
        <v>3.0000000000000027E-2</v>
      </c>
      <c r="Q100" s="25">
        <v>25729.6159082993</v>
      </c>
      <c r="R100" s="184"/>
      <c r="S100" s="192" t="s">
        <v>184</v>
      </c>
      <c r="Y100">
        <f>+H100*0.1</f>
        <v>2650.1504385548283</v>
      </c>
      <c r="Z100" s="121">
        <v>0.1</v>
      </c>
      <c r="AA100" s="120">
        <f>+H100*(1-Z100)</f>
        <v>23851.353946993451</v>
      </c>
      <c r="AB100" s="120">
        <f>+AA100/E100</f>
        <v>1703.6681390709607</v>
      </c>
      <c r="AC100" s="120">
        <f>+AB100*1.21*1.3*1.4</f>
        <v>3751.817975862069</v>
      </c>
      <c r="AD100" s="119" t="s">
        <v>112</v>
      </c>
      <c r="AE100" t="s">
        <v>120</v>
      </c>
      <c r="AG100">
        <v>25729.6159082993</v>
      </c>
      <c r="AH100">
        <f t="shared" si="63"/>
        <v>3.0000000000000041E-2</v>
      </c>
      <c r="AL100" s="80">
        <v>100521453</v>
      </c>
      <c r="AM100" s="24">
        <v>33300.27571957824</v>
      </c>
    </row>
    <row r="101" spans="1:39" ht="15" thickBot="1" x14ac:dyDescent="0.4">
      <c r="A101" s="125">
        <v>100522698</v>
      </c>
      <c r="B101" s="126" t="s">
        <v>170</v>
      </c>
      <c r="C101" s="127">
        <v>7790360986511</v>
      </c>
      <c r="D101" s="128">
        <v>14</v>
      </c>
      <c r="E101" s="101">
        <v>7</v>
      </c>
      <c r="F101" s="108">
        <v>45309.54732734165</v>
      </c>
      <c r="G101" s="215">
        <f>1/7</f>
        <v>0.14285714285714285</v>
      </c>
      <c r="H101" s="85">
        <f t="shared" ref="H101" si="75">+F101*(1-G101)</f>
        <v>38836.754852007129</v>
      </c>
      <c r="I101" s="85">
        <f>+H101/E101</f>
        <v>5548.1078360010188</v>
      </c>
      <c r="J101" s="85">
        <f>+I101*J$99</f>
        <v>1165.1026455602139</v>
      </c>
      <c r="K101" s="85">
        <f>+I101+J101</f>
        <v>6713.2104815612329</v>
      </c>
      <c r="L101" s="85">
        <f>+K101*L$99</f>
        <v>2215.3594589152071</v>
      </c>
      <c r="M101" s="85">
        <f>+K101+L101</f>
        <v>8928.56994047644</v>
      </c>
      <c r="N101" s="85">
        <f>+M101*N$99</f>
        <v>3571.4279761905764</v>
      </c>
      <c r="O101" s="102">
        <f>+M101+N101</f>
        <v>12499.997916667016</v>
      </c>
      <c r="P101" s="185"/>
      <c r="Q101" s="184" t="e">
        <v>#N/A</v>
      </c>
      <c r="R101" s="184"/>
      <c r="S101" s="216" t="s">
        <v>189</v>
      </c>
      <c r="Z101" s="121"/>
      <c r="AA101" s="120"/>
      <c r="AB101" s="120"/>
      <c r="AC101" s="120"/>
      <c r="AD101" s="119"/>
      <c r="AL101" s="80">
        <v>100521454</v>
      </c>
      <c r="AM101" s="24">
        <v>33300.27571957824</v>
      </c>
    </row>
    <row r="102" spans="1:39" x14ac:dyDescent="0.35">
      <c r="A102" s="71"/>
      <c r="B102" s="72"/>
      <c r="C102" s="73"/>
      <c r="D102" s="72"/>
      <c r="E102" s="74"/>
      <c r="F102" s="75" t="e">
        <f>+VLOOKUP(A102,$AL$4:$AM$110,2,FALSE)</f>
        <v>#N/A</v>
      </c>
      <c r="G102" s="74"/>
      <c r="H102" s="75"/>
      <c r="I102" s="75"/>
      <c r="J102" s="78">
        <v>0.21</v>
      </c>
      <c r="K102" s="78"/>
      <c r="L102" s="78">
        <v>0.33</v>
      </c>
      <c r="M102" s="78"/>
      <c r="N102" s="78">
        <v>0.4</v>
      </c>
      <c r="O102" s="79"/>
      <c r="P102" s="185" t="e">
        <f t="shared" si="60"/>
        <v>#DIV/0!</v>
      </c>
      <c r="Q102" s="3"/>
      <c r="R102" s="184"/>
      <c r="S102"/>
      <c r="AL102" s="208"/>
      <c r="AM102" s="75"/>
    </row>
    <row r="103" spans="1:39" x14ac:dyDescent="0.35">
      <c r="A103" s="125">
        <v>100521457</v>
      </c>
      <c r="B103" s="126" t="s">
        <v>103</v>
      </c>
      <c r="C103" s="127">
        <v>7790360982254</v>
      </c>
      <c r="D103" s="128">
        <v>4.8</v>
      </c>
      <c r="E103" s="101">
        <v>16</v>
      </c>
      <c r="F103" s="85">
        <f>+VLOOKUP(A103,$AL$4:$AM$110,2,FALSE)</f>
        <v>34485.72242804218</v>
      </c>
      <c r="G103" s="223">
        <v>0.05</v>
      </c>
      <c r="H103" s="85">
        <f t="shared" si="64"/>
        <v>32761.436306640069</v>
      </c>
      <c r="I103" s="85">
        <f>+H103/E103</f>
        <v>2047.5897691650043</v>
      </c>
      <c r="J103" s="85">
        <f>+I103*J$102</f>
        <v>429.99385152465089</v>
      </c>
      <c r="K103" s="85">
        <f t="shared" ref="K103:K106" si="76">+I103+J103</f>
        <v>2477.5836206896552</v>
      </c>
      <c r="L103" s="85">
        <f>+K103*L$102</f>
        <v>817.60259482758624</v>
      </c>
      <c r="M103" s="85">
        <f t="shared" ref="M103:M106" si="77">+K103+L103</f>
        <v>3295.1862155172412</v>
      </c>
      <c r="N103" s="85">
        <f>+M103*N$102</f>
        <v>1318.0744862068966</v>
      </c>
      <c r="O103" s="102">
        <f t="shared" ref="O103:O106" si="78">+M103+N103</f>
        <v>4613.260701724138</v>
      </c>
      <c r="P103" s="185">
        <f t="shared" si="60"/>
        <v>7.8378378378378466E-2</v>
      </c>
      <c r="Q103" s="3">
        <v>30380.279281846681</v>
      </c>
      <c r="R103" s="184"/>
      <c r="S103" s="1" t="s">
        <v>185</v>
      </c>
      <c r="Z103" s="121">
        <v>0.15</v>
      </c>
      <c r="AA103" s="120">
        <f>+H103*(1-Z103)</f>
        <v>27847.220860644058</v>
      </c>
      <c r="AB103" s="120">
        <f>+AA103/E103</f>
        <v>1740.4513037902536</v>
      </c>
      <c r="AC103" s="120">
        <f>+AB103*1.21*1.3*1.4</f>
        <v>3832.8218612068963</v>
      </c>
      <c r="AD103" s="119" t="s">
        <v>112</v>
      </c>
      <c r="AE103" t="s">
        <v>121</v>
      </c>
      <c r="AG103">
        <v>28151.610145340554</v>
      </c>
      <c r="AH103">
        <f t="shared" si="63"/>
        <v>0.16375000000000001</v>
      </c>
      <c r="AL103" s="80">
        <v>100521457</v>
      </c>
      <c r="AM103" s="24">
        <v>32843.545169563979</v>
      </c>
    </row>
    <row r="104" spans="1:39" x14ac:dyDescent="0.35">
      <c r="A104" s="125">
        <v>100521455</v>
      </c>
      <c r="B104" s="126" t="s">
        <v>104</v>
      </c>
      <c r="C104" s="127">
        <v>7790360982247</v>
      </c>
      <c r="D104" s="128">
        <v>4.8</v>
      </c>
      <c r="E104" s="101">
        <v>16</v>
      </c>
      <c r="F104" s="85">
        <f>+VLOOKUP(A104,$AL$4:$AM$110,2,FALSE)</f>
        <v>34485.72242804218</v>
      </c>
      <c r="G104" s="223">
        <v>0.05</v>
      </c>
      <c r="H104" s="85">
        <f t="shared" si="64"/>
        <v>32761.436306640069</v>
      </c>
      <c r="I104" s="85">
        <f>+H104/E104</f>
        <v>2047.5897691650043</v>
      </c>
      <c r="J104" s="85">
        <f>+I104*J$102</f>
        <v>429.99385152465089</v>
      </c>
      <c r="K104" s="85">
        <f t="shared" si="76"/>
        <v>2477.5836206896552</v>
      </c>
      <c r="L104" s="85">
        <f>+K104*L$102</f>
        <v>817.60259482758624</v>
      </c>
      <c r="M104" s="85">
        <f t="shared" si="77"/>
        <v>3295.1862155172412</v>
      </c>
      <c r="N104" s="85">
        <f>+M104*N$102</f>
        <v>1318.0744862068966</v>
      </c>
      <c r="O104" s="102">
        <f t="shared" si="78"/>
        <v>4613.260701724138</v>
      </c>
      <c r="P104" s="185">
        <f t="shared" si="60"/>
        <v>7.8378378378378466E-2</v>
      </c>
      <c r="Q104" s="3">
        <v>30380.279281846681</v>
      </c>
      <c r="R104" s="184"/>
      <c r="S104" s="1" t="s">
        <v>185</v>
      </c>
      <c r="Y104">
        <f>+Z104*H104</f>
        <v>4914.2154459960102</v>
      </c>
      <c r="Z104" s="121">
        <v>0.15</v>
      </c>
      <c r="AA104" s="120">
        <f>+H104*(1-Z104)</f>
        <v>27847.220860644058</v>
      </c>
      <c r="AB104" s="120">
        <f>+AA104/E104</f>
        <v>1740.4513037902536</v>
      </c>
      <c r="AC104" s="120">
        <f>+AB104*1.21*1.3*1.4</f>
        <v>3832.8218612068963</v>
      </c>
      <c r="AD104" s="119" t="s">
        <v>112</v>
      </c>
      <c r="AE104" t="s">
        <v>121</v>
      </c>
      <c r="AG104">
        <v>28151.610145340554</v>
      </c>
      <c r="AH104">
        <f t="shared" si="63"/>
        <v>0.16375000000000001</v>
      </c>
      <c r="AL104" s="80">
        <v>100521455</v>
      </c>
      <c r="AM104" s="24">
        <v>32843.545169563979</v>
      </c>
    </row>
    <row r="105" spans="1:39" x14ac:dyDescent="0.35">
      <c r="A105" s="125">
        <v>100521453</v>
      </c>
      <c r="B105" s="126" t="s">
        <v>105</v>
      </c>
      <c r="C105" s="127">
        <v>7790360982223</v>
      </c>
      <c r="D105" s="128">
        <v>5.4</v>
      </c>
      <c r="E105" s="101">
        <v>18</v>
      </c>
      <c r="F105" s="85">
        <f>+VLOOKUP(A105,$AL$4:$AM$110,2,FALSE)</f>
        <v>33300.27571957824</v>
      </c>
      <c r="G105" s="223">
        <v>0.05</v>
      </c>
      <c r="H105" s="85">
        <f t="shared" si="64"/>
        <v>31635.261933599326</v>
      </c>
      <c r="I105" s="85">
        <f>+H105/E105</f>
        <v>1757.5145518666293</v>
      </c>
      <c r="J105" s="85">
        <f>+I105*J$102</f>
        <v>369.07805589199216</v>
      </c>
      <c r="K105" s="85">
        <f t="shared" si="76"/>
        <v>2126.5926077586214</v>
      </c>
      <c r="L105" s="85">
        <f>+K105*L$102</f>
        <v>701.77556056034507</v>
      </c>
      <c r="M105" s="85">
        <f t="shared" si="77"/>
        <v>2828.3681683189666</v>
      </c>
      <c r="N105" s="85">
        <f>+M105*N$102</f>
        <v>1131.3472673275867</v>
      </c>
      <c r="O105" s="102">
        <f t="shared" si="78"/>
        <v>3959.7154356465535</v>
      </c>
      <c r="P105" s="185">
        <f t="shared" si="60"/>
        <v>5.7837837837837913E-2</v>
      </c>
      <c r="Q105" s="3">
        <v>29905.587418067833</v>
      </c>
      <c r="R105" s="184"/>
      <c r="S105" s="1" t="s">
        <v>204</v>
      </c>
      <c r="Y105">
        <f>+Z105*H105</f>
        <v>4745.2892900398983</v>
      </c>
      <c r="Z105" s="121">
        <v>0.15</v>
      </c>
      <c r="AA105" s="120">
        <f>+H105*(1-Z105)</f>
        <v>26889.972643559428</v>
      </c>
      <c r="AB105" s="120">
        <f>+AA105/E105</f>
        <v>1493.8873690866349</v>
      </c>
      <c r="AC105" s="120">
        <f>+AB105*1.21*1.3*1.4</f>
        <v>3289.8387642025873</v>
      </c>
      <c r="AD105" s="119" t="s">
        <v>112</v>
      </c>
      <c r="AE105" t="s">
        <v>121</v>
      </c>
      <c r="AG105">
        <v>28481.511826731268</v>
      </c>
      <c r="AH105">
        <f t="shared" si="63"/>
        <v>0.11072972972972984</v>
      </c>
      <c r="AL105" s="80">
        <v>100521453</v>
      </c>
      <c r="AM105" s="24">
        <v>32330.364776289549</v>
      </c>
    </row>
    <row r="106" spans="1:39" x14ac:dyDescent="0.35">
      <c r="A106" s="125">
        <v>100521454</v>
      </c>
      <c r="B106" s="126" t="s">
        <v>106</v>
      </c>
      <c r="C106" s="127">
        <v>7790360982230</v>
      </c>
      <c r="D106" s="128">
        <v>5.3999999999999995</v>
      </c>
      <c r="E106" s="101">
        <v>18</v>
      </c>
      <c r="F106" s="85">
        <f>+VLOOKUP(A106,$AL$4:$AM$110,2,FALSE)</f>
        <v>33300.27571957824</v>
      </c>
      <c r="G106" s="223">
        <v>0.05</v>
      </c>
      <c r="H106" s="85">
        <f t="shared" si="64"/>
        <v>31635.261933599326</v>
      </c>
      <c r="I106" s="85">
        <f>+H106/E106</f>
        <v>1757.5145518666293</v>
      </c>
      <c r="J106" s="85">
        <f>+I106*J$102</f>
        <v>369.07805589199216</v>
      </c>
      <c r="K106" s="85">
        <f t="shared" si="76"/>
        <v>2126.5926077586214</v>
      </c>
      <c r="L106" s="85">
        <f>+K106*L$102</f>
        <v>701.77556056034507</v>
      </c>
      <c r="M106" s="85">
        <f t="shared" si="77"/>
        <v>2828.3681683189666</v>
      </c>
      <c r="N106" s="85">
        <f>+M106*N$102</f>
        <v>1131.3472673275867</v>
      </c>
      <c r="O106" s="102">
        <f t="shared" si="78"/>
        <v>3959.7154356465535</v>
      </c>
      <c r="P106" s="185">
        <f t="shared" si="60"/>
        <v>5.7837837837837913E-2</v>
      </c>
      <c r="Q106" s="3">
        <v>29905.587418067833</v>
      </c>
      <c r="R106" s="184"/>
      <c r="S106" s="1" t="s">
        <v>204</v>
      </c>
      <c r="Z106" s="121">
        <v>0.15</v>
      </c>
      <c r="AA106" s="120">
        <f>+H106*(1-Z106)</f>
        <v>26889.972643559428</v>
      </c>
      <c r="AB106" s="120">
        <f>+AA106/E106</f>
        <v>1493.8873690866349</v>
      </c>
      <c r="AC106" s="120">
        <f>+AB106*1.21*1.3*1.4</f>
        <v>3289.8387642025873</v>
      </c>
      <c r="AD106" s="119" t="s">
        <v>112</v>
      </c>
      <c r="AE106" t="s">
        <v>121</v>
      </c>
      <c r="AG106">
        <v>28481.511826731268</v>
      </c>
      <c r="AH106">
        <f t="shared" si="63"/>
        <v>0.11072972972972984</v>
      </c>
      <c r="AL106" s="80">
        <v>100521454</v>
      </c>
      <c r="AM106" s="24">
        <v>32330.364776289549</v>
      </c>
    </row>
    <row r="107" spans="1:39" x14ac:dyDescent="0.35">
      <c r="A107" s="71"/>
      <c r="B107" s="72"/>
      <c r="C107" s="73"/>
      <c r="D107" s="204"/>
      <c r="E107" s="74"/>
      <c r="F107" s="74"/>
      <c r="G107" s="74"/>
      <c r="H107" s="75"/>
      <c r="I107" s="75"/>
      <c r="J107" s="78">
        <v>0.21</v>
      </c>
      <c r="K107" s="78"/>
      <c r="L107" s="78">
        <v>0.22</v>
      </c>
      <c r="M107" s="78"/>
      <c r="N107" s="78">
        <v>0.35</v>
      </c>
      <c r="O107" s="79"/>
      <c r="Q107" s="3"/>
      <c r="R107" s="184"/>
      <c r="AL107" s="71"/>
      <c r="AM107" s="75">
        <v>0.35</v>
      </c>
    </row>
    <row r="108" spans="1:39" x14ac:dyDescent="0.35">
      <c r="A108" s="80">
        <v>100522246</v>
      </c>
      <c r="B108" s="42" t="s">
        <v>165</v>
      </c>
      <c r="C108" s="43">
        <v>7790360984234</v>
      </c>
      <c r="D108" s="81">
        <v>8.16</v>
      </c>
      <c r="E108" s="23">
        <v>48</v>
      </c>
      <c r="F108" s="24">
        <f>+VLOOKUP(A108,$AL$4:$AM$110,2,FALSE)</f>
        <v>106193.37939755226</v>
      </c>
      <c r="G108" s="231"/>
      <c r="H108" s="24">
        <f t="shared" ref="H108:H109" si="79">+F108*(1-G108)</f>
        <v>106193.37939755226</v>
      </c>
      <c r="I108" s="24">
        <f t="shared" ref="I108:I109" si="80">+H108/E108</f>
        <v>2212.3620707823388</v>
      </c>
      <c r="J108" s="24">
        <f t="shared" ref="J108:J109" si="81">+I108*J$3</f>
        <v>464.59603486429114</v>
      </c>
      <c r="K108" s="24">
        <f t="shared" ref="K108:K109" si="82">+I108+J108</f>
        <v>2676.95810564663</v>
      </c>
      <c r="L108" s="24">
        <f t="shared" ref="L108:L109" si="83">+K108*L$39</f>
        <v>588.9307832422586</v>
      </c>
      <c r="M108" s="24">
        <f t="shared" ref="M108:M109" si="84">+K108+L108</f>
        <v>3265.8888888888887</v>
      </c>
      <c r="N108" s="24">
        <f t="shared" ref="N108:N109" si="85">+M108*N$39</f>
        <v>1143.0611111111109</v>
      </c>
      <c r="O108" s="25">
        <f t="shared" ref="O108:O109" si="86">+M108+N108</f>
        <v>4408.95</v>
      </c>
      <c r="P108" s="185">
        <f t="shared" si="60"/>
        <v>0.26315789473684159</v>
      </c>
      <c r="Q108" s="1">
        <v>84069.7586897289</v>
      </c>
      <c r="R108" s="184"/>
      <c r="T108" s="184"/>
      <c r="U108" s="184"/>
      <c r="V108" s="184"/>
      <c r="W108" s="184"/>
      <c r="X108" s="184"/>
      <c r="Z108">
        <f>+Y104*9*2+Y105*8*2+Y4*144</f>
        <v>685997.08738590032</v>
      </c>
      <c r="AB108" t="s">
        <v>126</v>
      </c>
      <c r="AC108" t="s">
        <v>127</v>
      </c>
      <c r="AD108" s="119" t="s">
        <v>128</v>
      </c>
      <c r="AL108" s="80">
        <v>100522246</v>
      </c>
      <c r="AM108" s="24">
        <v>106193.37939755226</v>
      </c>
    </row>
    <row r="109" spans="1:39" x14ac:dyDescent="0.35">
      <c r="A109" s="80">
        <v>100522247</v>
      </c>
      <c r="B109" s="42" t="s">
        <v>166</v>
      </c>
      <c r="C109" s="43">
        <v>7790360984241</v>
      </c>
      <c r="D109" s="81">
        <v>8.16</v>
      </c>
      <c r="E109" s="23">
        <v>48</v>
      </c>
      <c r="F109" s="24">
        <f>+VLOOKUP(A109,$AL$4:$AM$110,2,FALSE)</f>
        <v>106193.37939755226</v>
      </c>
      <c r="G109" s="231"/>
      <c r="H109" s="24">
        <f t="shared" si="79"/>
        <v>106193.37939755226</v>
      </c>
      <c r="I109" s="24">
        <f t="shared" si="80"/>
        <v>2212.3620707823388</v>
      </c>
      <c r="J109" s="24">
        <f t="shared" si="81"/>
        <v>464.59603486429114</v>
      </c>
      <c r="K109" s="24">
        <f t="shared" si="82"/>
        <v>2676.95810564663</v>
      </c>
      <c r="L109" s="24">
        <f t="shared" si="83"/>
        <v>588.9307832422586</v>
      </c>
      <c r="M109" s="24">
        <f t="shared" si="84"/>
        <v>3265.8888888888887</v>
      </c>
      <c r="N109" s="24">
        <f t="shared" si="85"/>
        <v>1143.0611111111109</v>
      </c>
      <c r="O109" s="25">
        <f t="shared" si="86"/>
        <v>4408.95</v>
      </c>
      <c r="P109" s="185">
        <f t="shared" ref="P109" si="87">H109/Q109-1</f>
        <v>0.26315789473684159</v>
      </c>
      <c r="Q109" s="1">
        <v>84069.7586897289</v>
      </c>
      <c r="R109" s="184"/>
      <c r="T109" s="184"/>
      <c r="U109" s="184"/>
      <c r="V109" s="184"/>
      <c r="W109" s="184"/>
      <c r="X109" s="184"/>
      <c r="AB109">
        <v>5580</v>
      </c>
      <c r="AC109">
        <v>3750</v>
      </c>
      <c r="AD109">
        <v>4500</v>
      </c>
      <c r="AL109" s="80">
        <v>100522247</v>
      </c>
      <c r="AM109" s="24">
        <v>106193.37939755226</v>
      </c>
    </row>
    <row r="110" spans="1:39" x14ac:dyDescent="0.35">
      <c r="R110" s="184"/>
      <c r="S110" s="184"/>
      <c r="T110" s="184"/>
      <c r="U110" s="184"/>
      <c r="V110" s="184"/>
      <c r="W110" s="184"/>
      <c r="X110" s="184"/>
      <c r="AL110" s="80">
        <v>100521454</v>
      </c>
      <c r="AM110" s="24">
        <v>30790.823596466234</v>
      </c>
    </row>
    <row r="111" spans="1:39" x14ac:dyDescent="0.35">
      <c r="R111" s="184"/>
      <c r="S111" s="184"/>
      <c r="T111" s="184"/>
      <c r="U111" s="184"/>
      <c r="V111" s="184"/>
      <c r="W111" s="184"/>
      <c r="X111" s="184"/>
    </row>
    <row r="112" spans="1:39" x14ac:dyDescent="0.35">
      <c r="R112" s="184"/>
      <c r="S112" s="184"/>
      <c r="T112" s="184"/>
      <c r="U112" s="184"/>
      <c r="V112" s="184"/>
      <c r="W112" s="184"/>
      <c r="X112" s="184"/>
    </row>
    <row r="113" spans="18:24" x14ac:dyDescent="0.35">
      <c r="R113" s="184"/>
      <c r="S113" s="184"/>
      <c r="T113" s="184"/>
      <c r="U113" s="184"/>
      <c r="V113" s="184"/>
      <c r="W113" s="184"/>
      <c r="X113" s="184"/>
    </row>
    <row r="114" spans="18:24" x14ac:dyDescent="0.35">
      <c r="R114" s="184"/>
      <c r="S114" s="184"/>
      <c r="T114" s="184"/>
      <c r="U114" s="184"/>
      <c r="V114" s="184"/>
      <c r="W114" s="184"/>
      <c r="X114" s="184"/>
    </row>
    <row r="115" spans="18:24" x14ac:dyDescent="0.35">
      <c r="R115" s="184"/>
      <c r="S115" s="184"/>
      <c r="T115" s="184"/>
      <c r="U115" s="184"/>
      <c r="V115" s="184"/>
      <c r="W115" s="184"/>
      <c r="X115" s="184"/>
    </row>
    <row r="116" spans="18:24" x14ac:dyDescent="0.35">
      <c r="R116" s="184"/>
      <c r="S116" s="184"/>
      <c r="T116" s="184"/>
      <c r="U116" s="184"/>
      <c r="V116" s="184"/>
      <c r="W116" s="184"/>
      <c r="X116" s="184"/>
    </row>
    <row r="117" spans="18:24" x14ac:dyDescent="0.35">
      <c r="R117" s="184"/>
      <c r="S117" s="184"/>
      <c r="T117" s="184"/>
      <c r="U117" s="184"/>
      <c r="V117" s="184"/>
      <c r="W117" s="184"/>
      <c r="X117" s="184"/>
    </row>
    <row r="118" spans="18:24" x14ac:dyDescent="0.35">
      <c r="R118" s="184"/>
      <c r="S118" s="184"/>
      <c r="T118" s="184"/>
      <c r="U118" s="184"/>
      <c r="V118" s="184"/>
      <c r="W118" s="184"/>
      <c r="X118" s="184"/>
    </row>
    <row r="119" spans="18:24" x14ac:dyDescent="0.35">
      <c r="R119" s="184"/>
      <c r="S119" s="184"/>
      <c r="T119" s="184"/>
      <c r="U119" s="184"/>
      <c r="V119" s="184"/>
      <c r="W119" s="184"/>
      <c r="X119" s="184"/>
    </row>
  </sheetData>
  <mergeCells count="1">
    <mergeCell ref="Z1:AE1"/>
  </mergeCells>
  <conditionalFormatting sqref="A20:B20">
    <cfRule type="cellIs" dxfId="144" priority="178" stopIfTrue="1" operator="equal">
      <formula>0</formula>
    </cfRule>
  </conditionalFormatting>
  <conditionalFormatting sqref="A63:C63">
    <cfRule type="cellIs" dxfId="143" priority="123" stopIfTrue="1" operator="equal">
      <formula>0</formula>
    </cfRule>
  </conditionalFormatting>
  <conditionalFormatting sqref="A16:E19">
    <cfRule type="cellIs" dxfId="142" priority="176" stopIfTrue="1" operator="equal">
      <formula>0</formula>
    </cfRule>
  </conditionalFormatting>
  <conditionalFormatting sqref="A101:F101">
    <cfRule type="cellIs" dxfId="141" priority="1" stopIfTrue="1" operator="equal">
      <formula>0</formula>
    </cfRule>
  </conditionalFormatting>
  <conditionalFormatting sqref="A103:F106">
    <cfRule type="cellIs" dxfId="140" priority="138" stopIfTrue="1" operator="equal">
      <formula>0</formula>
    </cfRule>
  </conditionalFormatting>
  <conditionalFormatting sqref="A69:O69">
    <cfRule type="cellIs" dxfId="139" priority="110" stopIfTrue="1" operator="equal">
      <formula>0</formula>
    </cfRule>
  </conditionalFormatting>
  <conditionalFormatting sqref="A73:O74">
    <cfRule type="cellIs" dxfId="138" priority="109" stopIfTrue="1" operator="equal">
      <formula>0</formula>
    </cfRule>
  </conditionalFormatting>
  <conditionalFormatting sqref="A96:O98">
    <cfRule type="cellIs" dxfId="137" priority="18" stopIfTrue="1" operator="equal">
      <formula>0</formula>
    </cfRule>
  </conditionalFormatting>
  <conditionalFormatting sqref="A100:O100 H101:O101">
    <cfRule type="cellIs" dxfId="136" priority="57" stopIfTrue="1" operator="equal">
      <formula>0</formula>
    </cfRule>
  </conditionalFormatting>
  <conditionalFormatting sqref="B28">
    <cfRule type="cellIs" dxfId="135" priority="170" stopIfTrue="1" operator="equal">
      <formula>0</formula>
    </cfRule>
  </conditionalFormatting>
  <conditionalFormatting sqref="D20:E20">
    <cfRule type="cellIs" dxfId="134" priority="177" stopIfTrue="1" operator="equal">
      <formula>0</formula>
    </cfRule>
  </conditionalFormatting>
  <conditionalFormatting sqref="D89:O94">
    <cfRule type="cellIs" dxfId="133" priority="108" stopIfTrue="1" operator="equal">
      <formula>0</formula>
    </cfRule>
  </conditionalFormatting>
  <conditionalFormatting sqref="F16 H16:O16 F17:O20">
    <cfRule type="cellIs" dxfId="132" priority="158" stopIfTrue="1" operator="equal">
      <formula>0</formula>
    </cfRule>
  </conditionalFormatting>
  <conditionalFormatting sqref="F66:F68">
    <cfRule type="cellIs" dxfId="131" priority="128" stopIfTrue="1" operator="equal">
      <formula>0</formula>
    </cfRule>
  </conditionalFormatting>
  <conditionalFormatting sqref="F108:H109">
    <cfRule type="cellIs" dxfId="130" priority="36" stopIfTrue="1" operator="equal">
      <formula>0</formula>
    </cfRule>
  </conditionalFormatting>
  <conditionalFormatting sqref="H58:O58 D58:F61 I59:O61">
    <cfRule type="cellIs" dxfId="129" priority="173" stopIfTrue="1" operator="equal">
      <formula>0</formula>
    </cfRule>
  </conditionalFormatting>
  <conditionalFormatting sqref="H103:O106">
    <cfRule type="cellIs" dxfId="128" priority="126" stopIfTrue="1" operator="equal">
      <formula>0</formula>
    </cfRule>
  </conditionalFormatting>
  <conditionalFormatting sqref="L37:L38">
    <cfRule type="cellIs" dxfId="127" priority="171" stopIfTrue="1" operator="equal">
      <formula>0</formula>
    </cfRule>
  </conditionalFormatting>
  <conditionalFormatting sqref="Q16:R20">
    <cfRule type="cellIs" dxfId="126" priority="168" stopIfTrue="1" operator="equal">
      <formula>0</formula>
    </cfRule>
  </conditionalFormatting>
  <conditionalFormatting sqref="Q58:R61">
    <cfRule type="cellIs" dxfId="125" priority="167" stopIfTrue="1" operator="equal">
      <formula>0</formula>
    </cfRule>
  </conditionalFormatting>
  <conditionalFormatting sqref="Q69:R69">
    <cfRule type="cellIs" dxfId="124" priority="169" stopIfTrue="1" operator="equal">
      <formula>0</formula>
    </cfRule>
  </conditionalFormatting>
  <conditionalFormatting sqref="Q73:R74">
    <cfRule type="cellIs" dxfId="123" priority="166" stopIfTrue="1" operator="equal">
      <formula>0</formula>
    </cfRule>
  </conditionalFormatting>
  <conditionalFormatting sqref="Q89:R94">
    <cfRule type="cellIs" dxfId="122" priority="165" stopIfTrue="1" operator="equal">
      <formula>0</formula>
    </cfRule>
  </conditionalFormatting>
  <conditionalFormatting sqref="Q96:R98">
    <cfRule type="cellIs" dxfId="121" priority="162" stopIfTrue="1" operator="equal">
      <formula>0</formula>
    </cfRule>
  </conditionalFormatting>
  <conditionalFormatting sqref="Q100:R101">
    <cfRule type="cellIs" dxfId="120" priority="160" stopIfTrue="1" operator="equal">
      <formula>0</formula>
    </cfRule>
  </conditionalFormatting>
  <conditionalFormatting sqref="S12:S14">
    <cfRule type="cellIs" dxfId="119" priority="58" operator="greaterThan">
      <formula>0</formula>
    </cfRule>
  </conditionalFormatting>
  <conditionalFormatting sqref="AL59">
    <cfRule type="cellIs" dxfId="118" priority="15" stopIfTrue="1" operator="equal">
      <formula>0</formula>
    </cfRule>
  </conditionalFormatting>
  <conditionalFormatting sqref="AL68:AL70">
    <cfRule type="cellIs" dxfId="117" priority="13" stopIfTrue="1" operator="equal">
      <formula>0</formula>
    </cfRule>
  </conditionalFormatting>
  <conditionalFormatting sqref="AL108:AL109">
    <cfRule type="cellIs" dxfId="116" priority="27" stopIfTrue="1" operator="equal">
      <formula>0</formula>
    </cfRule>
  </conditionalFormatting>
  <conditionalFormatting sqref="AL65:AM65">
    <cfRule type="cellIs" dxfId="115" priority="5" stopIfTrue="1" operator="equal">
      <formula>0</formula>
    </cfRule>
  </conditionalFormatting>
  <conditionalFormatting sqref="AL91:AM93">
    <cfRule type="cellIs" dxfId="114" priority="3" stopIfTrue="1" operator="equal">
      <formula>0</formula>
    </cfRule>
  </conditionalFormatting>
  <conditionalFormatting sqref="AL95:AM96">
    <cfRule type="cellIs" dxfId="113" priority="2" stopIfTrue="1" operator="equal">
      <formula>0</formula>
    </cfRule>
  </conditionalFormatting>
  <conditionalFormatting sqref="AL98:AM101">
    <cfRule type="cellIs" dxfId="112" priority="7" stopIfTrue="1" operator="equal">
      <formula>0</formula>
    </cfRule>
  </conditionalFormatting>
  <conditionalFormatting sqref="AL103:AM106">
    <cfRule type="cellIs" dxfId="111" priority="23" stopIfTrue="1" operator="equal">
      <formula>0</formula>
    </cfRule>
  </conditionalFormatting>
  <conditionalFormatting sqref="AL110:AM110">
    <cfRule type="cellIs" dxfId="110" priority="80" stopIfTrue="1" operator="equal">
      <formula>0</formula>
    </cfRule>
  </conditionalFormatting>
  <conditionalFormatting sqref="AM16:AM19">
    <cfRule type="cellIs" dxfId="109" priority="6" stopIfTrue="1" operator="equal">
      <formula>0</formula>
    </cfRule>
  </conditionalFormatting>
  <conditionalFormatting sqref="AM54:AM57">
    <cfRule type="cellIs" dxfId="108" priority="9" stopIfTrue="1" operator="equal">
      <formula>0</formula>
    </cfRule>
  </conditionalFormatting>
  <conditionalFormatting sqref="AM69:AM70">
    <cfRule type="cellIs" dxfId="107" priority="4" stopIfTrue="1" operator="equal">
      <formula>0</formula>
    </cfRule>
  </conditionalFormatting>
  <conditionalFormatting sqref="AM85:AM89">
    <cfRule type="cellIs" dxfId="106" priority="8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434D-1A9A-486F-A2BB-771A99AE47C8}">
  <dimension ref="A1:X113"/>
  <sheetViews>
    <sheetView zoomScale="80" zoomScaleNormal="80" workbookViewId="0">
      <selection activeCell="A4" sqref="A4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21" width="11.453125" hidden="1" customWidth="1"/>
    <col min="22" max="22" width="11.453125" customWidth="1"/>
  </cols>
  <sheetData>
    <row r="1" spans="2:21" s="1" customFormat="1" ht="12.5" thickBot="1" x14ac:dyDescent="0.35">
      <c r="G1" s="2"/>
      <c r="I1" s="2"/>
      <c r="P1" s="3"/>
    </row>
    <row r="2" spans="2:21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90</v>
      </c>
      <c r="I2" s="7" t="s">
        <v>100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125</v>
      </c>
    </row>
    <row r="3" spans="2:21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1" x14ac:dyDescent="0.35">
      <c r="B4" s="19">
        <v>100021632</v>
      </c>
      <c r="C4" s="20" t="s">
        <v>14</v>
      </c>
      <c r="D4" s="21">
        <v>7790360026606</v>
      </c>
      <c r="E4" s="22">
        <v>4.8</v>
      </c>
      <c r="F4" s="23">
        <v>30</v>
      </c>
      <c r="G4" s="24">
        <f t="shared" ref="G4:G28" si="0">+VLOOKUP(B4,$T$4:$U$106,2,FALSE)</f>
        <v>44287.960151426363</v>
      </c>
      <c r="H4" s="23"/>
      <c r="I4" s="24">
        <f>+G4*(1-H4)</f>
        <v>44287.960151426363</v>
      </c>
      <c r="J4" s="24">
        <f t="shared" ref="J4:J38" si="1">+I4/F4</f>
        <v>1476.2653383808788</v>
      </c>
      <c r="K4" s="24">
        <f>+J4*K$3</f>
        <v>310.01572105998451</v>
      </c>
      <c r="L4" s="24">
        <f>+J4+K4</f>
        <v>1786.2810594408634</v>
      </c>
      <c r="M4" s="24">
        <f>+L4*M$3</f>
        <v>535.88431783225894</v>
      </c>
      <c r="N4" s="24">
        <f>+L4+M4</f>
        <v>2322.1653772731224</v>
      </c>
      <c r="O4" s="24">
        <f>+N4*O$3</f>
        <v>928.86615090924897</v>
      </c>
      <c r="P4" s="25">
        <f>+N4+O4</f>
        <v>3251.0315281823714</v>
      </c>
      <c r="R4" s="24">
        <v>42179.009668025108</v>
      </c>
      <c r="S4" s="118">
        <f>+(I4-R4)/R4</f>
        <v>4.9999999999999989E-2</v>
      </c>
      <c r="T4" s="19">
        <v>100021632</v>
      </c>
      <c r="U4" s="24">
        <v>44287.960151426363</v>
      </c>
    </row>
    <row r="5" spans="2:21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f t="shared" si="0"/>
        <v>55853.42950551727</v>
      </c>
      <c r="H5" s="23"/>
      <c r="I5" s="24">
        <f t="shared" ref="I5:I38" si="2">+G5*(1-H5)</f>
        <v>55853.42950551727</v>
      </c>
      <c r="J5" s="24">
        <f t="shared" si="1"/>
        <v>3102.9683058620703</v>
      </c>
      <c r="K5" s="24">
        <f t="shared" ref="K5:K77" si="3">+J5*K$3</f>
        <v>651.62334423103471</v>
      </c>
      <c r="L5" s="24">
        <f t="shared" ref="L5:L77" si="4">+J5+K5</f>
        <v>3754.5916500931053</v>
      </c>
      <c r="M5" s="24">
        <f t="shared" ref="M5:M77" si="5">+L5*M$3</f>
        <v>1126.3774950279314</v>
      </c>
      <c r="N5" s="24">
        <f t="shared" ref="N5:N77" si="6">+L5+M5</f>
        <v>4880.9691451210365</v>
      </c>
      <c r="O5" s="24">
        <f t="shared" ref="O5:O77" si="7">+N5*O$3</f>
        <v>1952.3876580484148</v>
      </c>
      <c r="P5" s="25">
        <f t="shared" ref="P5:P77" si="8">+N5+O5</f>
        <v>6833.3568031694513</v>
      </c>
      <c r="R5" s="24">
        <v>50775.845005015697</v>
      </c>
      <c r="S5" s="118">
        <f t="shared" ref="S5:S77" si="9">+(I5-R5)/R5</f>
        <v>0.10000000000000006</v>
      </c>
      <c r="T5" s="26">
        <v>100021652</v>
      </c>
      <c r="U5" s="24">
        <v>55853.42950551727</v>
      </c>
    </row>
    <row r="6" spans="2:21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f t="shared" si="0"/>
        <v>70798.248820551773</v>
      </c>
      <c r="H6" s="23"/>
      <c r="I6" s="24">
        <f t="shared" si="2"/>
        <v>70798.248820551773</v>
      </c>
      <c r="J6" s="24">
        <f t="shared" si="1"/>
        <v>8849.7811025689716</v>
      </c>
      <c r="K6" s="24">
        <f t="shared" si="3"/>
        <v>1858.454031539484</v>
      </c>
      <c r="L6" s="24">
        <f t="shared" si="4"/>
        <v>10708.235134108456</v>
      </c>
      <c r="M6" s="24">
        <f t="shared" si="5"/>
        <v>3212.4705402325367</v>
      </c>
      <c r="N6" s="24">
        <f t="shared" si="6"/>
        <v>13920.705674340992</v>
      </c>
      <c r="O6" s="24">
        <f t="shared" si="7"/>
        <v>5568.2822697363972</v>
      </c>
      <c r="P6" s="25">
        <f t="shared" si="8"/>
        <v>19488.987944077388</v>
      </c>
      <c r="R6" s="24">
        <v>64362.044382319793</v>
      </c>
      <c r="S6" s="118">
        <f t="shared" si="9"/>
        <v>0.1</v>
      </c>
      <c r="T6" s="26">
        <v>100021631</v>
      </c>
      <c r="U6" s="24">
        <v>70798.248820551773</v>
      </c>
    </row>
    <row r="7" spans="2:21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f t="shared" si="0"/>
        <v>86779.406928103519</v>
      </c>
      <c r="H7" s="23"/>
      <c r="I7" s="24">
        <f t="shared" si="2"/>
        <v>86779.406928103519</v>
      </c>
      <c r="J7" s="24">
        <f t="shared" si="1"/>
        <v>14463.234488017253</v>
      </c>
      <c r="K7" s="24">
        <f t="shared" si="3"/>
        <v>3037.279242483623</v>
      </c>
      <c r="L7" s="24">
        <f t="shared" si="4"/>
        <v>17500.513730500876</v>
      </c>
      <c r="M7" s="24">
        <f t="shared" si="5"/>
        <v>5250.1541191502629</v>
      </c>
      <c r="N7" s="24">
        <f t="shared" si="6"/>
        <v>22750.667849651138</v>
      </c>
      <c r="O7" s="24">
        <f t="shared" si="7"/>
        <v>9100.2671398604562</v>
      </c>
      <c r="P7" s="25">
        <f t="shared" si="8"/>
        <v>31850.934989511596</v>
      </c>
      <c r="R7" s="24">
        <v>78890.369934639559</v>
      </c>
      <c r="S7" s="118">
        <f t="shared" si="9"/>
        <v>0.10000000000000006</v>
      </c>
      <c r="T7" s="26">
        <v>100021630</v>
      </c>
      <c r="U7" s="24">
        <v>86779.406928103519</v>
      </c>
    </row>
    <row r="8" spans="2:21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f t="shared" si="0"/>
        <v>55676.292761793149</v>
      </c>
      <c r="H8" s="23"/>
      <c r="I8" s="24">
        <f t="shared" si="2"/>
        <v>55676.292761793149</v>
      </c>
      <c r="J8" s="24">
        <f t="shared" si="1"/>
        <v>3093.127375655175</v>
      </c>
      <c r="K8" s="24">
        <f t="shared" si="3"/>
        <v>649.55674888758676</v>
      </c>
      <c r="L8" s="24">
        <f t="shared" si="4"/>
        <v>3742.6841245427618</v>
      </c>
      <c r="M8" s="24">
        <f t="shared" si="5"/>
        <v>1122.8052373628284</v>
      </c>
      <c r="N8" s="24">
        <f t="shared" si="6"/>
        <v>4865.4893619055902</v>
      </c>
      <c r="O8" s="24">
        <f t="shared" si="7"/>
        <v>1946.1957447622362</v>
      </c>
      <c r="P8" s="25">
        <f t="shared" si="8"/>
        <v>6811.6851066678264</v>
      </c>
      <c r="R8" s="24">
        <v>55676.292761793149</v>
      </c>
      <c r="S8" s="118">
        <f t="shared" si="9"/>
        <v>0</v>
      </c>
      <c r="T8" s="27">
        <v>100021653</v>
      </c>
      <c r="U8" s="24">
        <v>55676.292761793149</v>
      </c>
    </row>
    <row r="9" spans="2:21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f t="shared" si="0"/>
        <v>51337.27209303002</v>
      </c>
      <c r="H9" s="23"/>
      <c r="I9" s="24">
        <f t="shared" si="2"/>
        <v>51337.27209303002</v>
      </c>
      <c r="J9" s="24">
        <f t="shared" si="1"/>
        <v>2852.0706718350011</v>
      </c>
      <c r="K9" s="24">
        <f t="shared" si="3"/>
        <v>598.93484108535017</v>
      </c>
      <c r="L9" s="24">
        <f t="shared" si="4"/>
        <v>3451.0055129203511</v>
      </c>
      <c r="M9" s="24">
        <f t="shared" si="5"/>
        <v>1035.3016538761053</v>
      </c>
      <c r="N9" s="24">
        <f t="shared" si="6"/>
        <v>4486.3071667964559</v>
      </c>
      <c r="O9" s="24">
        <f t="shared" si="7"/>
        <v>1794.5228667185825</v>
      </c>
      <c r="P9" s="25">
        <f t="shared" si="8"/>
        <v>6280.8300335150379</v>
      </c>
      <c r="R9" s="24">
        <v>51337.27209303002</v>
      </c>
      <c r="S9" s="118">
        <f t="shared" si="9"/>
        <v>0</v>
      </c>
      <c r="T9" s="27">
        <v>100516169</v>
      </c>
      <c r="U9" s="24">
        <v>51337.27209303002</v>
      </c>
    </row>
    <row r="10" spans="2:21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f t="shared" si="0"/>
        <v>31314.663479623836</v>
      </c>
      <c r="H10" s="23"/>
      <c r="I10" s="24">
        <f t="shared" si="2"/>
        <v>31314.663479623836</v>
      </c>
      <c r="J10" s="24">
        <f t="shared" si="1"/>
        <v>1043.8221159874613</v>
      </c>
      <c r="K10" s="24">
        <f>+J10*K$3</f>
        <v>219.20264435736686</v>
      </c>
      <c r="L10" s="24">
        <f>+J10+K10</f>
        <v>1263.0247603448281</v>
      </c>
      <c r="M10" s="24">
        <f>+L10*M$3</f>
        <v>378.90742810344841</v>
      </c>
      <c r="N10" s="24">
        <f>+L10+M10</f>
        <v>1641.9321884482765</v>
      </c>
      <c r="O10" s="24">
        <f>+N10*O$3</f>
        <v>656.77287537931068</v>
      </c>
      <c r="P10" s="25">
        <f>+N10+O10</f>
        <v>2298.7050638275873</v>
      </c>
      <c r="R10" s="24">
        <v>29823.489028213175</v>
      </c>
      <c r="S10" s="118">
        <f t="shared" si="9"/>
        <v>5.0000000000000086E-2</v>
      </c>
      <c r="T10" s="27">
        <v>100516170</v>
      </c>
      <c r="U10" s="24">
        <v>0</v>
      </c>
    </row>
    <row r="11" spans="2:21" x14ac:dyDescent="0.35">
      <c r="B11" s="27">
        <v>100021503</v>
      </c>
      <c r="C11" s="28" t="s">
        <v>21</v>
      </c>
      <c r="D11" s="21">
        <v>7790360966841</v>
      </c>
      <c r="E11" s="22">
        <v>3.3119999999999998</v>
      </c>
      <c r="F11" s="23">
        <v>12</v>
      </c>
      <c r="G11" s="24">
        <f t="shared" si="0"/>
        <v>23909.554608150476</v>
      </c>
      <c r="H11" s="220"/>
      <c r="I11" s="24">
        <f t="shared" si="2"/>
        <v>23909.554608150476</v>
      </c>
      <c r="J11" s="24">
        <f t="shared" si="1"/>
        <v>1992.4628840125397</v>
      </c>
      <c r="K11" s="24">
        <f t="shared" si="3"/>
        <v>418.41720564263329</v>
      </c>
      <c r="L11" s="24">
        <f t="shared" si="4"/>
        <v>2410.8800896551729</v>
      </c>
      <c r="M11" s="24">
        <f t="shared" si="5"/>
        <v>723.26402689655185</v>
      </c>
      <c r="N11" s="24">
        <f t="shared" si="6"/>
        <v>3134.1441165517249</v>
      </c>
      <c r="O11" s="24">
        <f t="shared" si="7"/>
        <v>1253.65764662069</v>
      </c>
      <c r="P11" s="25">
        <f t="shared" si="8"/>
        <v>4387.8017631724151</v>
      </c>
      <c r="Q11">
        <v>8.3299999999999999E-2</v>
      </c>
      <c r="R11" s="24">
        <v>20874.179723134799</v>
      </c>
      <c r="S11" s="118">
        <f t="shared" si="9"/>
        <v>0.14541289407657917</v>
      </c>
      <c r="T11" s="27">
        <v>100517438</v>
      </c>
      <c r="U11" s="24">
        <v>0</v>
      </c>
    </row>
    <row r="12" spans="2:21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f t="shared" si="0"/>
        <v>52240.111638521164</v>
      </c>
      <c r="H12" s="220"/>
      <c r="I12" s="24">
        <f t="shared" si="2"/>
        <v>52240.111638521164</v>
      </c>
      <c r="J12" s="24">
        <f t="shared" si="1"/>
        <v>6530.0139548151456</v>
      </c>
      <c r="K12" s="24">
        <f t="shared" si="3"/>
        <v>1371.3029305111804</v>
      </c>
      <c r="L12" s="24">
        <f t="shared" si="4"/>
        <v>7901.316885326326</v>
      </c>
      <c r="M12" s="24">
        <f t="shared" si="5"/>
        <v>2370.3950655978979</v>
      </c>
      <c r="N12" s="24">
        <f t="shared" si="6"/>
        <v>10271.711950924224</v>
      </c>
      <c r="O12" s="24">
        <f t="shared" si="7"/>
        <v>4108.6847803696901</v>
      </c>
      <c r="P12" s="25">
        <f t="shared" si="8"/>
        <v>14380.396731293913</v>
      </c>
      <c r="R12" s="24">
        <v>49752.487274782055</v>
      </c>
      <c r="S12" s="118">
        <f t="shared" si="9"/>
        <v>5.0000000000000128E-2</v>
      </c>
      <c r="T12" s="27">
        <v>100520337</v>
      </c>
      <c r="U12" s="24">
        <v>31314.663479623836</v>
      </c>
    </row>
    <row r="13" spans="2:21" x14ac:dyDescent="0.35">
      <c r="B13" s="84">
        <v>100021643</v>
      </c>
      <c r="C13" s="98" t="s">
        <v>23</v>
      </c>
      <c r="D13" s="99">
        <v>7790360966797</v>
      </c>
      <c r="E13" s="100">
        <v>4.7039999999999997</v>
      </c>
      <c r="F13" s="101">
        <v>42</v>
      </c>
      <c r="G13" s="85">
        <f t="shared" si="0"/>
        <v>32037.275794231991</v>
      </c>
      <c r="H13" s="200">
        <v>9.5238095238095205E-2</v>
      </c>
      <c r="I13" s="85">
        <f t="shared" si="2"/>
        <v>28986.106670971803</v>
      </c>
      <c r="J13" s="85">
        <f t="shared" si="1"/>
        <v>690.14539692790004</v>
      </c>
      <c r="K13" s="85">
        <f t="shared" si="3"/>
        <v>144.93053335485899</v>
      </c>
      <c r="L13" s="85">
        <f t="shared" si="4"/>
        <v>835.07593028275903</v>
      </c>
      <c r="M13" s="85">
        <f t="shared" si="5"/>
        <v>250.5227790848277</v>
      </c>
      <c r="N13" s="85">
        <f t="shared" si="6"/>
        <v>1085.5987093675867</v>
      </c>
      <c r="O13" s="85">
        <f t="shared" si="7"/>
        <v>434.23948374703468</v>
      </c>
      <c r="P13" s="102">
        <f t="shared" si="8"/>
        <v>1519.8381931146214</v>
      </c>
      <c r="R13" s="24">
        <v>30511.691232601897</v>
      </c>
      <c r="S13" s="118">
        <f t="shared" si="9"/>
        <v>-4.9999999999999968E-2</v>
      </c>
      <c r="T13" s="27">
        <v>100021503</v>
      </c>
      <c r="U13" s="24">
        <v>23909.554608150476</v>
      </c>
    </row>
    <row r="14" spans="2:21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f t="shared" si="0"/>
        <v>36030.606332659088</v>
      </c>
      <c r="H14" s="220"/>
      <c r="I14" s="24">
        <f t="shared" si="2"/>
        <v>36030.606332659088</v>
      </c>
      <c r="J14" s="24">
        <f t="shared" si="1"/>
        <v>1715.7431586980517</v>
      </c>
      <c r="K14" s="24">
        <f t="shared" si="3"/>
        <v>360.30606332659085</v>
      </c>
      <c r="L14" s="24">
        <f t="shared" si="4"/>
        <v>2076.0492220246424</v>
      </c>
      <c r="M14" s="24">
        <f t="shared" si="5"/>
        <v>622.8147666073927</v>
      </c>
      <c r="N14" s="24">
        <f t="shared" si="6"/>
        <v>2698.8639886320352</v>
      </c>
      <c r="O14" s="24">
        <f t="shared" si="7"/>
        <v>1079.545595452814</v>
      </c>
      <c r="P14" s="25">
        <f t="shared" si="8"/>
        <v>3778.4095840848495</v>
      </c>
      <c r="R14" s="24">
        <v>34314.863173961035</v>
      </c>
      <c r="S14" s="118">
        <f t="shared" si="9"/>
        <v>5.0000000000000031E-2</v>
      </c>
      <c r="T14" s="27">
        <v>100516201</v>
      </c>
      <c r="U14" s="24">
        <v>52240.111638521164</v>
      </c>
    </row>
    <row r="15" spans="2:21" x14ac:dyDescent="0.35">
      <c r="B15" s="27">
        <v>100021676</v>
      </c>
      <c r="C15" s="28" t="s">
        <v>25</v>
      </c>
      <c r="D15" s="21">
        <v>7790360967411</v>
      </c>
      <c r="E15" s="22">
        <v>7.5</v>
      </c>
      <c r="F15" s="23">
        <v>30</v>
      </c>
      <c r="G15" s="24">
        <f t="shared" si="0"/>
        <v>66855.304156739832</v>
      </c>
      <c r="H15" s="220"/>
      <c r="I15" s="24">
        <f t="shared" si="2"/>
        <v>66855.304156739832</v>
      </c>
      <c r="J15" s="24">
        <f t="shared" si="1"/>
        <v>2228.5101385579942</v>
      </c>
      <c r="K15" s="24">
        <f t="shared" si="3"/>
        <v>467.98712909717875</v>
      </c>
      <c r="L15" s="24">
        <f t="shared" si="4"/>
        <v>2696.4972676551729</v>
      </c>
      <c r="M15" s="24">
        <f t="shared" si="5"/>
        <v>808.94918029655184</v>
      </c>
      <c r="N15" s="24">
        <f t="shared" si="6"/>
        <v>3505.4464479517246</v>
      </c>
      <c r="O15" s="24">
        <f t="shared" si="7"/>
        <v>1402.1785791806899</v>
      </c>
      <c r="P15" s="25">
        <f t="shared" si="8"/>
        <v>4907.6250271324143</v>
      </c>
      <c r="Q15">
        <v>6.6699999999999995E-2</v>
      </c>
      <c r="R15" s="24">
        <v>62396.055369485286</v>
      </c>
      <c r="S15" s="118">
        <f t="shared" si="9"/>
        <v>7.1466838101360758E-2</v>
      </c>
      <c r="T15" s="27">
        <v>100021643</v>
      </c>
      <c r="U15" s="24">
        <v>32037.275794231991</v>
      </c>
    </row>
    <row r="16" spans="2:21" x14ac:dyDescent="0.35">
      <c r="B16" s="84">
        <v>100516008</v>
      </c>
      <c r="C16" s="98" t="s">
        <v>26</v>
      </c>
      <c r="D16" s="99">
        <v>7790360967701</v>
      </c>
      <c r="E16" s="100">
        <v>5.76</v>
      </c>
      <c r="F16" s="101">
        <v>24</v>
      </c>
      <c r="G16" s="85">
        <f t="shared" si="0"/>
        <v>56052.79545638174</v>
      </c>
      <c r="H16" s="200">
        <v>0.05</v>
      </c>
      <c r="I16" s="85">
        <f t="shared" si="2"/>
        <v>53250.155683562654</v>
      </c>
      <c r="J16" s="85">
        <f t="shared" si="1"/>
        <v>2218.7564868151107</v>
      </c>
      <c r="K16" s="85">
        <f t="shared" si="3"/>
        <v>465.93886223117323</v>
      </c>
      <c r="L16" s="85">
        <f t="shared" si="4"/>
        <v>2684.6953490462838</v>
      </c>
      <c r="M16" s="85">
        <f t="shared" si="5"/>
        <v>805.4086047138851</v>
      </c>
      <c r="N16" s="85">
        <f t="shared" si="6"/>
        <v>3490.1039537601691</v>
      </c>
      <c r="O16" s="85">
        <f t="shared" si="7"/>
        <v>1396.0415815040678</v>
      </c>
      <c r="P16" s="102">
        <f t="shared" si="8"/>
        <v>4886.145535264237</v>
      </c>
      <c r="Q16">
        <v>9.0899999999999995E-2</v>
      </c>
      <c r="R16" s="24">
        <v>50957.596349396641</v>
      </c>
      <c r="S16" s="118">
        <f t="shared" si="9"/>
        <v>4.4989550104498954E-2</v>
      </c>
      <c r="T16" s="27">
        <v>100516325</v>
      </c>
      <c r="U16" s="24">
        <v>36030.606332659088</v>
      </c>
    </row>
    <row r="17" spans="1:21" x14ac:dyDescent="0.35">
      <c r="B17" s="27">
        <v>100520834</v>
      </c>
      <c r="C17" s="28" t="s">
        <v>27</v>
      </c>
      <c r="D17" s="21">
        <v>7790360980618</v>
      </c>
      <c r="E17" s="22">
        <v>6.66</v>
      </c>
      <c r="F17" s="23">
        <v>36</v>
      </c>
      <c r="G17" s="24">
        <f t="shared" si="0"/>
        <v>69405.147209583316</v>
      </c>
      <c r="H17" s="23"/>
      <c r="I17" s="24">
        <f t="shared" si="2"/>
        <v>69405.147209583316</v>
      </c>
      <c r="J17" s="24">
        <f t="shared" si="1"/>
        <v>1927.9207558217588</v>
      </c>
      <c r="K17" s="24">
        <f>+J17*K$3</f>
        <v>404.86335872256933</v>
      </c>
      <c r="L17" s="24">
        <f>+J17+K17</f>
        <v>2332.7841145443281</v>
      </c>
      <c r="M17" s="24">
        <f>+L17*M$3</f>
        <v>699.83523436329835</v>
      </c>
      <c r="N17" s="24">
        <f>+L17+M17</f>
        <v>3032.6193489076263</v>
      </c>
      <c r="O17" s="24">
        <f>+N17*O$3</f>
        <v>1213.0477395630505</v>
      </c>
      <c r="P17" s="25">
        <f>+N17+O17</f>
        <v>4245.6670884706764</v>
      </c>
      <c r="R17" s="85">
        <v>69405.147209583316</v>
      </c>
      <c r="S17" s="118">
        <f t="shared" si="9"/>
        <v>0</v>
      </c>
      <c r="T17" s="27">
        <v>100021676</v>
      </c>
      <c r="U17" s="24">
        <v>66855.304156739832</v>
      </c>
    </row>
    <row r="18" spans="1:21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>
        <f t="shared" si="0"/>
        <v>55590.443355789168</v>
      </c>
      <c r="H18" s="23"/>
      <c r="I18" s="24">
        <f t="shared" si="2"/>
        <v>55590.443355789168</v>
      </c>
      <c r="J18" s="24">
        <f t="shared" si="1"/>
        <v>3088.3579642105092</v>
      </c>
      <c r="K18" s="24">
        <f t="shared" si="3"/>
        <v>648.55517248420688</v>
      </c>
      <c r="L18" s="24">
        <f t="shared" si="4"/>
        <v>3736.9131366947158</v>
      </c>
      <c r="M18" s="24">
        <f t="shared" si="5"/>
        <v>1121.0739410084147</v>
      </c>
      <c r="N18" s="24">
        <f t="shared" si="6"/>
        <v>4857.9870777031301</v>
      </c>
      <c r="O18" s="24">
        <f t="shared" si="7"/>
        <v>1943.1948310812522</v>
      </c>
      <c r="P18" s="25">
        <f t="shared" si="8"/>
        <v>6801.1819087843824</v>
      </c>
      <c r="R18" s="24">
        <v>55590.443355789168</v>
      </c>
      <c r="S18" s="118">
        <f t="shared" si="9"/>
        <v>0</v>
      </c>
      <c r="T18" s="27">
        <v>100021664</v>
      </c>
      <c r="U18" s="24">
        <v>0</v>
      </c>
    </row>
    <row r="19" spans="1:21" x14ac:dyDescent="0.35">
      <c r="B19" s="27">
        <v>100021644</v>
      </c>
      <c r="C19" s="28" t="s">
        <v>29</v>
      </c>
      <c r="D19" s="21">
        <v>7790360008541</v>
      </c>
      <c r="E19" s="22">
        <v>4.7039999999999997</v>
      </c>
      <c r="F19" s="23">
        <v>42</v>
      </c>
      <c r="G19" s="24">
        <f t="shared" si="0"/>
        <v>23198.823423740061</v>
      </c>
      <c r="H19" s="23"/>
      <c r="I19" s="24">
        <f t="shared" si="2"/>
        <v>23198.823423740061</v>
      </c>
      <c r="J19" s="24">
        <f t="shared" si="1"/>
        <v>552.35293866047766</v>
      </c>
      <c r="K19" s="24">
        <f t="shared" si="3"/>
        <v>115.9941171187003</v>
      </c>
      <c r="L19" s="24">
        <f t="shared" si="4"/>
        <v>668.34705577917794</v>
      </c>
      <c r="M19" s="29">
        <f>+L19*0.33</f>
        <v>220.55452840712874</v>
      </c>
      <c r="N19" s="24">
        <f t="shared" si="6"/>
        <v>888.90158418630665</v>
      </c>
      <c r="O19" s="24">
        <f t="shared" si="7"/>
        <v>355.56063367452271</v>
      </c>
      <c r="P19" s="25">
        <f t="shared" si="8"/>
        <v>1244.4622178608292</v>
      </c>
      <c r="R19" s="24">
        <v>21089.839476127327</v>
      </c>
      <c r="S19" s="118">
        <f t="shared" si="9"/>
        <v>0.10000000000000009</v>
      </c>
      <c r="T19" s="27">
        <v>100516008</v>
      </c>
      <c r="U19" s="24">
        <v>56052.79545638174</v>
      </c>
    </row>
    <row r="20" spans="1:21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f t="shared" si="0"/>
        <v>18410.953977453592</v>
      </c>
      <c r="H20" s="23"/>
      <c r="I20" s="24">
        <f t="shared" si="2"/>
        <v>18410.953977453592</v>
      </c>
      <c r="J20" s="24">
        <f t="shared" si="1"/>
        <v>1534.2461647877992</v>
      </c>
      <c r="K20" s="24">
        <f t="shared" si="3"/>
        <v>322.19169460543782</v>
      </c>
      <c r="L20" s="24">
        <f t="shared" si="4"/>
        <v>1856.437859393237</v>
      </c>
      <c r="M20" s="29">
        <f>+L20*0.33</f>
        <v>612.62449359976824</v>
      </c>
      <c r="N20" s="24">
        <f t="shared" si="6"/>
        <v>2469.0623529930053</v>
      </c>
      <c r="O20" s="24">
        <f t="shared" si="7"/>
        <v>987.62494119720213</v>
      </c>
      <c r="P20" s="25">
        <f t="shared" si="8"/>
        <v>3456.6872941902075</v>
      </c>
      <c r="R20" s="24">
        <v>16737.230888594171</v>
      </c>
      <c r="S20" s="118">
        <f t="shared" si="9"/>
        <v>0.1000000000000002</v>
      </c>
      <c r="T20" s="27">
        <v>100520834</v>
      </c>
      <c r="U20" s="24">
        <v>69405.147209583316</v>
      </c>
    </row>
    <row r="21" spans="1:21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f t="shared" si="0"/>
        <v>52286.133616622552</v>
      </c>
      <c r="H21" s="23"/>
      <c r="I21" s="24">
        <f t="shared" si="2"/>
        <v>52286.133616622552</v>
      </c>
      <c r="J21" s="24">
        <f t="shared" si="1"/>
        <v>871.43556027704255</v>
      </c>
      <c r="K21" s="24">
        <f t="shared" si="3"/>
        <v>183.00146765817894</v>
      </c>
      <c r="L21" s="24">
        <f t="shared" si="4"/>
        <v>1054.4370279352215</v>
      </c>
      <c r="M21" s="24">
        <f t="shared" si="5"/>
        <v>316.33110838056643</v>
      </c>
      <c r="N21" s="24">
        <f t="shared" si="6"/>
        <v>1370.7681363157881</v>
      </c>
      <c r="O21" s="24">
        <f t="shared" si="7"/>
        <v>548.30725452631521</v>
      </c>
      <c r="P21" s="25">
        <f t="shared" si="8"/>
        <v>1919.0753908421034</v>
      </c>
      <c r="R21" s="24">
        <v>52286.133616622552</v>
      </c>
      <c r="S21" s="118">
        <f t="shared" si="9"/>
        <v>0</v>
      </c>
      <c r="T21" s="27">
        <v>100021680</v>
      </c>
      <c r="U21" s="24">
        <v>55590.443355789168</v>
      </c>
    </row>
    <row r="22" spans="1:21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f t="shared" si="0"/>
        <v>42882.940853975058</v>
      </c>
      <c r="H22" s="23"/>
      <c r="I22" s="24">
        <f t="shared" si="2"/>
        <v>42882.940853975058</v>
      </c>
      <c r="J22" s="24">
        <f t="shared" si="1"/>
        <v>714.7156808995843</v>
      </c>
      <c r="K22" s="24">
        <f t="shared" si="3"/>
        <v>150.09029298891269</v>
      </c>
      <c r="L22" s="24">
        <f t="shared" si="4"/>
        <v>864.80597388849696</v>
      </c>
      <c r="M22" s="24">
        <f t="shared" si="5"/>
        <v>259.44179216654908</v>
      </c>
      <c r="N22" s="24">
        <f t="shared" si="6"/>
        <v>1124.247766055046</v>
      </c>
      <c r="O22" s="24">
        <f t="shared" si="7"/>
        <v>449.69910642201842</v>
      </c>
      <c r="P22" s="25">
        <f t="shared" si="8"/>
        <v>1573.9468724770645</v>
      </c>
      <c r="R22" s="24">
        <v>42882.940853975058</v>
      </c>
      <c r="S22" s="118">
        <f t="shared" si="9"/>
        <v>0</v>
      </c>
      <c r="T22" s="27">
        <v>100021644</v>
      </c>
      <c r="U22" s="24">
        <v>23198.823423740061</v>
      </c>
    </row>
    <row r="23" spans="1:21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f t="shared" si="0"/>
        <v>39023.233048076399</v>
      </c>
      <c r="H23" s="23"/>
      <c r="I23" s="24">
        <f t="shared" si="2"/>
        <v>39023.233048076399</v>
      </c>
      <c r="J23" s="24">
        <f t="shared" si="1"/>
        <v>650.38721746793999</v>
      </c>
      <c r="K23" s="24">
        <f t="shared" si="3"/>
        <v>136.58131566826739</v>
      </c>
      <c r="L23" s="24">
        <f t="shared" si="4"/>
        <v>786.96853313620738</v>
      </c>
      <c r="M23" s="24">
        <f t="shared" si="5"/>
        <v>236.09055994086219</v>
      </c>
      <c r="N23" s="24">
        <f t="shared" si="6"/>
        <v>1023.0590930770695</v>
      </c>
      <c r="O23" s="24">
        <f t="shared" si="7"/>
        <v>409.22363723082782</v>
      </c>
      <c r="P23" s="25">
        <f t="shared" si="8"/>
        <v>1432.2827303078973</v>
      </c>
      <c r="R23" s="24">
        <v>39023.233048076399</v>
      </c>
      <c r="S23" s="118">
        <f t="shared" si="9"/>
        <v>0</v>
      </c>
      <c r="T23" s="27">
        <v>100021677</v>
      </c>
      <c r="U23" s="24">
        <v>18410.953977453592</v>
      </c>
    </row>
    <row r="24" spans="1:21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45244.35203863302</v>
      </c>
      <c r="H24" s="23"/>
      <c r="I24" s="24">
        <f t="shared" si="2"/>
        <v>45244.35203863302</v>
      </c>
      <c r="J24" s="24">
        <f t="shared" si="1"/>
        <v>754.07253397721695</v>
      </c>
      <c r="K24" s="24">
        <f t="shared" si="3"/>
        <v>158.35523213521554</v>
      </c>
      <c r="L24" s="24">
        <f t="shared" si="4"/>
        <v>912.42776611243244</v>
      </c>
      <c r="M24" s="24">
        <f t="shared" si="5"/>
        <v>273.72832983372973</v>
      </c>
      <c r="N24" s="24">
        <f t="shared" si="6"/>
        <v>1186.1560959461622</v>
      </c>
      <c r="O24" s="24">
        <f t="shared" si="7"/>
        <v>474.46243837846487</v>
      </c>
      <c r="P24" s="25">
        <f t="shared" si="8"/>
        <v>1660.618534324627</v>
      </c>
      <c r="R24" s="24">
        <v>45244.35203863302</v>
      </c>
      <c r="S24" s="118">
        <f t="shared" si="9"/>
        <v>0</v>
      </c>
      <c r="T24" s="27">
        <v>100021638</v>
      </c>
      <c r="U24" s="24">
        <v>52286.133616622552</v>
      </c>
    </row>
    <row r="25" spans="1:21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f t="shared" si="0"/>
        <v>64667.28610012462</v>
      </c>
      <c r="H25" s="23"/>
      <c r="I25" s="24">
        <f t="shared" si="2"/>
        <v>64667.28610012462</v>
      </c>
      <c r="J25" s="24">
        <f t="shared" si="1"/>
        <v>1077.7881016687436</v>
      </c>
      <c r="K25" s="24">
        <f t="shared" si="3"/>
        <v>226.33550135043615</v>
      </c>
      <c r="L25" s="24">
        <f t="shared" si="4"/>
        <v>1304.1236030191797</v>
      </c>
      <c r="M25" s="24">
        <f t="shared" si="5"/>
        <v>391.23708090575388</v>
      </c>
      <c r="N25" s="24">
        <f t="shared" si="6"/>
        <v>1695.3606839249335</v>
      </c>
      <c r="O25" s="24">
        <f t="shared" si="7"/>
        <v>678.14427356997339</v>
      </c>
      <c r="P25" s="25">
        <f t="shared" si="8"/>
        <v>2373.5049574949071</v>
      </c>
      <c r="R25" s="24">
        <v>64667.28610012462</v>
      </c>
      <c r="S25" s="118">
        <f t="shared" si="9"/>
        <v>0</v>
      </c>
      <c r="T25" s="27">
        <v>100021575</v>
      </c>
      <c r="U25" s="24">
        <v>42882.940853975058</v>
      </c>
    </row>
    <row r="26" spans="1:21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f t="shared" si="0"/>
        <v>149620.03162527084</v>
      </c>
      <c r="H26" s="23"/>
      <c r="I26" s="24">
        <f t="shared" si="2"/>
        <v>149620.03162527084</v>
      </c>
      <c r="J26" s="24">
        <f t="shared" si="1"/>
        <v>3117.0839921931424</v>
      </c>
      <c r="K26" s="24">
        <f t="shared" si="3"/>
        <v>654.58763836055994</v>
      </c>
      <c r="L26" s="24">
        <f t="shared" si="4"/>
        <v>3771.6716305537025</v>
      </c>
      <c r="M26" s="24">
        <f t="shared" si="5"/>
        <v>1131.5014891661108</v>
      </c>
      <c r="N26" s="24">
        <f t="shared" si="6"/>
        <v>4903.1731197198133</v>
      </c>
      <c r="O26" s="24">
        <f t="shared" si="7"/>
        <v>1961.2692478879253</v>
      </c>
      <c r="P26" s="25">
        <f t="shared" si="8"/>
        <v>6864.4423676077386</v>
      </c>
      <c r="R26" s="24">
        <v>149620.03162527084</v>
      </c>
      <c r="S26" s="118">
        <f t="shared" si="9"/>
        <v>0</v>
      </c>
      <c r="T26" s="27">
        <v>100021514</v>
      </c>
      <c r="U26" s="24">
        <v>39023.233048076399</v>
      </c>
    </row>
    <row r="27" spans="1:21" x14ac:dyDescent="0.35">
      <c r="B27" s="86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f t="shared" si="0"/>
        <v>74547.677437555685</v>
      </c>
      <c r="H27" s="23"/>
      <c r="I27" s="24">
        <f t="shared" si="2"/>
        <v>74547.677437555685</v>
      </c>
      <c r="J27" s="24">
        <f t="shared" si="1"/>
        <v>2070.7688177098803</v>
      </c>
      <c r="K27" s="24">
        <f t="shared" si="3"/>
        <v>434.86145171907486</v>
      </c>
      <c r="L27" s="24">
        <f t="shared" si="4"/>
        <v>2505.6302694289552</v>
      </c>
      <c r="M27" s="24">
        <f t="shared" si="5"/>
        <v>751.68908082868654</v>
      </c>
      <c r="N27" s="24">
        <f t="shared" si="6"/>
        <v>3257.3193502576419</v>
      </c>
      <c r="O27" s="24">
        <f t="shared" si="7"/>
        <v>1302.9277401030567</v>
      </c>
      <c r="P27" s="25">
        <f t="shared" si="8"/>
        <v>4560.2470903606991</v>
      </c>
      <c r="R27" s="24">
        <v>74547.677437555685</v>
      </c>
      <c r="S27" s="118">
        <f t="shared" si="9"/>
        <v>0</v>
      </c>
      <c r="T27" s="26">
        <v>100516208</v>
      </c>
      <c r="U27" s="24">
        <v>45244.35203863302</v>
      </c>
    </row>
    <row r="28" spans="1:21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58039.509836990605</v>
      </c>
      <c r="H28" s="23"/>
      <c r="I28" s="24">
        <f t="shared" si="2"/>
        <v>58039.509836990605</v>
      </c>
      <c r="J28" s="24">
        <f t="shared" si="1"/>
        <v>1934.6503278996868</v>
      </c>
      <c r="K28" s="24">
        <f t="shared" si="3"/>
        <v>406.27656885893418</v>
      </c>
      <c r="L28" s="24">
        <f t="shared" si="4"/>
        <v>2340.9268967586208</v>
      </c>
      <c r="M28" s="24">
        <f t="shared" si="5"/>
        <v>702.27806902758618</v>
      </c>
      <c r="N28" s="24">
        <f t="shared" si="6"/>
        <v>3043.2049657862071</v>
      </c>
      <c r="O28" s="24">
        <f t="shared" si="7"/>
        <v>1217.281986314483</v>
      </c>
      <c r="P28" s="25">
        <f t="shared" si="8"/>
        <v>4260.4869521006904</v>
      </c>
      <c r="R28" s="24">
        <v>58039.509836990605</v>
      </c>
      <c r="S28" s="118">
        <f t="shared" si="9"/>
        <v>0</v>
      </c>
      <c r="T28" s="27">
        <v>100518346</v>
      </c>
      <c r="U28" s="24">
        <v>64667.28610012462</v>
      </c>
    </row>
    <row r="29" spans="1:21" x14ac:dyDescent="0.35">
      <c r="B29" s="32"/>
      <c r="C29" s="33"/>
      <c r="D29" s="34"/>
      <c r="E29" s="33"/>
      <c r="F29" s="35"/>
      <c r="G29" s="35"/>
      <c r="H29" s="35"/>
      <c r="I29" s="35"/>
      <c r="J29" s="37" t="e">
        <f t="shared" si="1"/>
        <v>#DIV/0!</v>
      </c>
      <c r="K29" s="38">
        <v>0.21</v>
      </c>
      <c r="L29" s="37"/>
      <c r="M29" s="38">
        <v>0.3</v>
      </c>
      <c r="N29" s="37"/>
      <c r="O29" s="38">
        <v>0.4</v>
      </c>
      <c r="P29" s="39"/>
      <c r="R29" s="35"/>
      <c r="S29" s="118" t="e">
        <f t="shared" si="9"/>
        <v>#DIV/0!</v>
      </c>
      <c r="T29" s="27">
        <v>100516259</v>
      </c>
      <c r="U29" s="24">
        <v>149620.03162527084</v>
      </c>
    </row>
    <row r="30" spans="1:21" hidden="1" x14ac:dyDescent="0.35">
      <c r="B30" s="84">
        <v>100022085</v>
      </c>
      <c r="C30" s="98" t="s">
        <v>39</v>
      </c>
      <c r="D30" s="99">
        <v>7790360000132</v>
      </c>
      <c r="E30" s="100">
        <v>5.4</v>
      </c>
      <c r="F30" s="101">
        <v>24</v>
      </c>
      <c r="G30" s="85" t="e">
        <f>+Litoral!H30*1.1</f>
        <v>#N/A</v>
      </c>
      <c r="H30" s="103"/>
      <c r="I30" s="85" t="e">
        <f t="shared" si="2"/>
        <v>#N/A</v>
      </c>
      <c r="J30" s="85" t="e">
        <f t="shared" si="1"/>
        <v>#N/A</v>
      </c>
      <c r="K30" s="85" t="e">
        <f t="shared" si="3"/>
        <v>#N/A</v>
      </c>
      <c r="L30" s="85" t="e">
        <f t="shared" si="4"/>
        <v>#N/A</v>
      </c>
      <c r="M30" s="85" t="e">
        <f t="shared" si="5"/>
        <v>#N/A</v>
      </c>
      <c r="N30" s="85" t="e">
        <f t="shared" si="6"/>
        <v>#N/A</v>
      </c>
      <c r="O30" s="85" t="e">
        <f t="shared" si="7"/>
        <v>#N/A</v>
      </c>
      <c r="P30" s="102" t="e">
        <f t="shared" si="8"/>
        <v>#N/A</v>
      </c>
      <c r="R30" s="85" t="e">
        <v>#N/A</v>
      </c>
      <c r="S30" s="129" t="e">
        <f t="shared" si="9"/>
        <v>#N/A</v>
      </c>
      <c r="T30" s="86">
        <v>100518095</v>
      </c>
      <c r="U30" s="24">
        <v>74547.677437555685</v>
      </c>
    </row>
    <row r="31" spans="1:21" x14ac:dyDescent="0.35">
      <c r="A31" s="27"/>
      <c r="B31" s="84">
        <v>100522204</v>
      </c>
      <c r="C31" s="98" t="s">
        <v>39</v>
      </c>
      <c r="D31" s="99">
        <v>7790360983947</v>
      </c>
      <c r="E31" s="100">
        <v>5.4</v>
      </c>
      <c r="F31" s="101">
        <v>24</v>
      </c>
      <c r="G31" s="85">
        <f>+Litoral!H31*1.1</f>
        <v>23601.532567049813</v>
      </c>
      <c r="H31" s="103">
        <v>8.3333333333333301E-2</v>
      </c>
      <c r="I31" s="85">
        <f t="shared" ref="I31" si="10">+G31*(1-H31)</f>
        <v>21634.738186462331</v>
      </c>
      <c r="J31" s="85">
        <f t="shared" ref="J31" si="11">+I31/F31</f>
        <v>901.44742443593043</v>
      </c>
      <c r="K31" s="85">
        <f t="shared" ref="K31" si="12">+J31*K$3</f>
        <v>189.30395913154538</v>
      </c>
      <c r="L31" s="85">
        <f t="shared" ref="L31" si="13">+J31+K31</f>
        <v>1090.7513835674758</v>
      </c>
      <c r="M31" s="85">
        <f t="shared" ref="M31" si="14">+L31*M$3</f>
        <v>327.22541507024272</v>
      </c>
      <c r="N31" s="85">
        <f t="shared" ref="N31" si="15">+L31+M31</f>
        <v>1417.9767986377185</v>
      </c>
      <c r="O31" s="85">
        <f t="shared" ref="O31" si="16">+N31*O$3</f>
        <v>567.19071945508745</v>
      </c>
      <c r="P31" s="102">
        <f t="shared" si="8"/>
        <v>1985.1675180928059</v>
      </c>
      <c r="R31" s="85">
        <v>23601.532567049813</v>
      </c>
      <c r="S31" s="129"/>
      <c r="T31" s="27">
        <v>100518223</v>
      </c>
      <c r="U31" s="24">
        <v>58039.509836990605</v>
      </c>
    </row>
    <row r="32" spans="1:21" hidden="1" x14ac:dyDescent="0.35">
      <c r="B32" s="84">
        <v>100022072</v>
      </c>
      <c r="C32" s="98" t="s">
        <v>40</v>
      </c>
      <c r="D32" s="99">
        <v>7790360024541</v>
      </c>
      <c r="E32" s="100">
        <v>5.4</v>
      </c>
      <c r="F32" s="101">
        <v>12</v>
      </c>
      <c r="G32" s="85" t="e">
        <f>+Litoral!H32*1.1</f>
        <v>#N/A</v>
      </c>
      <c r="H32" s="103"/>
      <c r="I32" s="85" t="e">
        <f t="shared" si="2"/>
        <v>#N/A</v>
      </c>
      <c r="J32" s="85" t="e">
        <f t="shared" si="1"/>
        <v>#N/A</v>
      </c>
      <c r="K32" s="85" t="e">
        <f t="shared" si="3"/>
        <v>#N/A</v>
      </c>
      <c r="L32" s="85" t="e">
        <f t="shared" si="4"/>
        <v>#N/A</v>
      </c>
      <c r="M32" s="85" t="e">
        <f t="shared" si="5"/>
        <v>#N/A</v>
      </c>
      <c r="N32" s="85" t="e">
        <f t="shared" si="6"/>
        <v>#N/A</v>
      </c>
      <c r="O32" s="85" t="e">
        <f t="shared" si="7"/>
        <v>#N/A</v>
      </c>
      <c r="P32" s="102" t="e">
        <f t="shared" si="8"/>
        <v>#N/A</v>
      </c>
      <c r="R32" s="24" t="e">
        <v>#N/A</v>
      </c>
      <c r="S32" s="129" t="e">
        <f t="shared" si="9"/>
        <v>#N/A</v>
      </c>
      <c r="T32" s="32"/>
      <c r="U32" s="35"/>
    </row>
    <row r="33" spans="1:24" x14ac:dyDescent="0.35">
      <c r="A33" s="27"/>
      <c r="B33" s="84">
        <v>100522205</v>
      </c>
      <c r="C33" s="98" t="s">
        <v>40</v>
      </c>
      <c r="D33" s="99">
        <v>7790360983954</v>
      </c>
      <c r="E33" s="100">
        <v>5.4</v>
      </c>
      <c r="F33" s="101">
        <v>12</v>
      </c>
      <c r="G33" s="85">
        <f>+Litoral!H33*1.1</f>
        <v>22421.455938697323</v>
      </c>
      <c r="H33" s="103">
        <v>8.3333333333333301E-2</v>
      </c>
      <c r="I33" s="85">
        <f t="shared" ref="I33" si="17">+G33*(1-H33)</f>
        <v>20553.001277139214</v>
      </c>
      <c r="J33" s="85">
        <f t="shared" ref="J33" si="18">+I33/F33</f>
        <v>1712.7501064282678</v>
      </c>
      <c r="K33" s="85">
        <f t="shared" ref="K33" si="19">+J33*K$3</f>
        <v>359.67752234993623</v>
      </c>
      <c r="L33" s="85">
        <f t="shared" ref="L33" si="20">+J33+K33</f>
        <v>2072.4276287782041</v>
      </c>
      <c r="M33" s="85">
        <f t="shared" ref="M33" si="21">+L33*M$3</f>
        <v>621.72828863346115</v>
      </c>
      <c r="N33" s="85">
        <f t="shared" ref="N33" si="22">+L33+M33</f>
        <v>2694.1559174116651</v>
      </c>
      <c r="O33" s="85">
        <f t="shared" ref="O33" si="23">+N33*O$3</f>
        <v>1077.662366964666</v>
      </c>
      <c r="P33" s="102">
        <f t="shared" si="8"/>
        <v>3771.8182843763311</v>
      </c>
      <c r="R33" s="24">
        <v>22421.455938697323</v>
      </c>
      <c r="S33" s="129"/>
      <c r="T33" s="27">
        <v>100022085</v>
      </c>
      <c r="U33" s="24">
        <v>25747.126436781611</v>
      </c>
    </row>
    <row r="34" spans="1:24" x14ac:dyDescent="0.35">
      <c r="B34" s="84">
        <v>100516849</v>
      </c>
      <c r="C34" s="98" t="s">
        <v>41</v>
      </c>
      <c r="D34" s="99">
        <v>7790360970053</v>
      </c>
      <c r="E34" s="100">
        <v>4.5599999990400004</v>
      </c>
      <c r="F34" s="101">
        <v>24</v>
      </c>
      <c r="G34" s="85">
        <f>+Litoral!H34*1.1</f>
        <v>19826.008275862067</v>
      </c>
      <c r="H34" s="103"/>
      <c r="I34" s="85">
        <f t="shared" si="2"/>
        <v>19826.008275862067</v>
      </c>
      <c r="J34" s="85">
        <f t="shared" si="1"/>
        <v>826.08367816091948</v>
      </c>
      <c r="K34" s="85">
        <f t="shared" si="3"/>
        <v>173.47757241379307</v>
      </c>
      <c r="L34" s="85">
        <f t="shared" si="4"/>
        <v>999.56125057471252</v>
      </c>
      <c r="M34" s="85">
        <f t="shared" si="5"/>
        <v>299.86837517241372</v>
      </c>
      <c r="N34" s="85">
        <f t="shared" si="6"/>
        <v>1299.4296257471262</v>
      </c>
      <c r="O34" s="85">
        <f t="shared" si="7"/>
        <v>519.7718502988505</v>
      </c>
      <c r="P34" s="102">
        <f t="shared" si="8"/>
        <v>1819.2014760459767</v>
      </c>
      <c r="R34" s="85">
        <v>19826.008275862067</v>
      </c>
      <c r="S34" s="129">
        <f t="shared" si="9"/>
        <v>0</v>
      </c>
      <c r="T34" s="27">
        <v>100522204</v>
      </c>
      <c r="U34" s="24">
        <v>25747.126436781611</v>
      </c>
    </row>
    <row r="35" spans="1:24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>
        <f t="shared" ref="G35:G38" si="24">+VLOOKUP(B35,$T$4:$U$106,2,FALSE)</f>
        <v>64728.26680978154</v>
      </c>
      <c r="H35" s="143"/>
      <c r="I35" s="24">
        <f t="shared" si="2"/>
        <v>64728.26680978154</v>
      </c>
      <c r="J35" s="24">
        <f t="shared" si="1"/>
        <v>6472.8266809781544</v>
      </c>
      <c r="K35" s="24">
        <f t="shared" si="3"/>
        <v>1359.2936030054125</v>
      </c>
      <c r="L35" s="24">
        <f t="shared" si="4"/>
        <v>7832.1202839835669</v>
      </c>
      <c r="M35" s="24">
        <f t="shared" si="5"/>
        <v>2349.6360851950699</v>
      </c>
      <c r="N35" s="24">
        <f t="shared" si="6"/>
        <v>10181.756369178636</v>
      </c>
      <c r="O35" s="24">
        <f t="shared" si="7"/>
        <v>4072.7025476714548</v>
      </c>
      <c r="P35" s="25">
        <f t="shared" si="8"/>
        <v>14254.458916850092</v>
      </c>
      <c r="R35" s="24">
        <v>61645.968390268135</v>
      </c>
      <c r="S35" s="129">
        <f t="shared" si="9"/>
        <v>4.9999999999999968E-2</v>
      </c>
      <c r="T35" s="27">
        <v>100022072</v>
      </c>
      <c r="U35" s="24">
        <v>24459.770114942534</v>
      </c>
    </row>
    <row r="36" spans="1:24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f t="shared" si="24"/>
        <v>64728.26680978154</v>
      </c>
      <c r="H36" s="143"/>
      <c r="I36" s="24">
        <f t="shared" ref="I36" si="25">+G36*(1-H36)</f>
        <v>64728.26680978154</v>
      </c>
      <c r="J36" s="24">
        <f t="shared" ref="J36" si="26">+I36/F36</f>
        <v>6472.8266809781544</v>
      </c>
      <c r="K36" s="24">
        <f t="shared" ref="K36" si="27">+J36*K$3</f>
        <v>1359.2936030054125</v>
      </c>
      <c r="L36" s="24">
        <f t="shared" ref="L36" si="28">+J36+K36</f>
        <v>7832.1202839835669</v>
      </c>
      <c r="M36" s="24">
        <f t="shared" ref="M36" si="29">+L36*M$3</f>
        <v>2349.6360851950699</v>
      </c>
      <c r="N36" s="24">
        <f t="shared" ref="N36" si="30">+L36+M36</f>
        <v>10181.756369178636</v>
      </c>
      <c r="O36" s="24">
        <f t="shared" ref="O36" si="31">+N36*O$3</f>
        <v>4072.7025476714548</v>
      </c>
      <c r="P36" s="25">
        <f t="shared" si="8"/>
        <v>14254.458916850092</v>
      </c>
      <c r="R36" s="24">
        <v>61645.968390268135</v>
      </c>
      <c r="S36" s="129"/>
      <c r="T36" s="27">
        <v>100522205</v>
      </c>
      <c r="U36" s="24">
        <v>24459.770114942534</v>
      </c>
    </row>
    <row r="37" spans="1:24" x14ac:dyDescent="0.35">
      <c r="B37" s="27">
        <v>100022058</v>
      </c>
      <c r="C37" s="28" t="s">
        <v>43</v>
      </c>
      <c r="D37" s="21">
        <v>7790360026002</v>
      </c>
      <c r="E37" s="22">
        <v>4.5599999990400004</v>
      </c>
      <c r="F37" s="23">
        <v>24</v>
      </c>
      <c r="G37" s="24">
        <f t="shared" si="24"/>
        <v>17361.948396431158</v>
      </c>
      <c r="H37" s="143"/>
      <c r="I37" s="24">
        <f t="shared" si="2"/>
        <v>17361.948396431158</v>
      </c>
      <c r="J37" s="24">
        <f t="shared" si="1"/>
        <v>723.4145165179649</v>
      </c>
      <c r="K37" s="24">
        <f t="shared" si="3"/>
        <v>151.91704846877263</v>
      </c>
      <c r="L37" s="24">
        <f t="shared" si="4"/>
        <v>875.33156498673748</v>
      </c>
      <c r="M37" s="24">
        <f>+L37*0.33</f>
        <v>288.85941644562337</v>
      </c>
      <c r="N37" s="24">
        <f t="shared" si="6"/>
        <v>1164.1909814323608</v>
      </c>
      <c r="O37" s="24">
        <f t="shared" si="7"/>
        <v>465.67639257294434</v>
      </c>
      <c r="P37" s="25">
        <f t="shared" si="8"/>
        <v>1629.867374005305</v>
      </c>
      <c r="R37" s="85">
        <v>17361.948396431158</v>
      </c>
      <c r="S37" s="129">
        <f t="shared" si="9"/>
        <v>0</v>
      </c>
      <c r="T37" s="27">
        <v>100516849</v>
      </c>
      <c r="U37" s="24">
        <v>19826.008275862067</v>
      </c>
      <c r="X37" s="1" t="s">
        <v>164</v>
      </c>
    </row>
    <row r="38" spans="1:24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f t="shared" si="24"/>
        <v>73741.829197311818</v>
      </c>
      <c r="H38" s="23"/>
      <c r="I38" s="24">
        <f t="shared" si="2"/>
        <v>73741.829197311818</v>
      </c>
      <c r="J38" s="24">
        <f t="shared" si="1"/>
        <v>7374.1829197311818</v>
      </c>
      <c r="K38" s="24">
        <f t="shared" si="3"/>
        <v>1548.578413143548</v>
      </c>
      <c r="L38" s="24">
        <f t="shared" si="4"/>
        <v>8922.7613328747302</v>
      </c>
      <c r="M38" s="24">
        <f>+L38*0.33</f>
        <v>2944.5112398486613</v>
      </c>
      <c r="N38" s="24">
        <f t="shared" si="6"/>
        <v>11867.272572723392</v>
      </c>
      <c r="O38" s="24">
        <f t="shared" si="7"/>
        <v>4746.9090290893573</v>
      </c>
      <c r="P38" s="25">
        <f t="shared" si="8"/>
        <v>16614.18160181275</v>
      </c>
      <c r="R38" s="24">
        <v>70230.313521249351</v>
      </c>
      <c r="S38" s="129">
        <f t="shared" si="9"/>
        <v>4.9999999999999989E-2</v>
      </c>
      <c r="T38" s="27">
        <v>100022039</v>
      </c>
      <c r="U38" s="24">
        <v>64728.26680978154</v>
      </c>
    </row>
    <row r="39" spans="1:24" x14ac:dyDescent="0.35">
      <c r="B39" s="32"/>
      <c r="C39" s="33"/>
      <c r="D39" s="34"/>
      <c r="E39" s="33"/>
      <c r="F39" s="35"/>
      <c r="G39" s="35"/>
      <c r="H39" s="35"/>
      <c r="I39" s="35"/>
      <c r="J39" s="37" t="e">
        <f t="shared" ref="J39:J76" si="32">+I39/F39</f>
        <v>#DIV/0!</v>
      </c>
      <c r="K39" s="38">
        <v>0.21</v>
      </c>
      <c r="L39" s="37"/>
      <c r="M39" s="38">
        <v>0.2</v>
      </c>
      <c r="N39" s="37"/>
      <c r="O39" s="38">
        <v>0.35</v>
      </c>
      <c r="P39" s="39"/>
      <c r="R39" s="35"/>
      <c r="S39" s="118" t="e">
        <f t="shared" si="9"/>
        <v>#DIV/0!</v>
      </c>
      <c r="T39" s="27">
        <v>100522206</v>
      </c>
      <c r="U39" s="24">
        <v>64728.26680978154</v>
      </c>
    </row>
    <row r="40" spans="1:24" x14ac:dyDescent="0.35">
      <c r="B40" s="84">
        <v>100021000</v>
      </c>
      <c r="C40" s="98" t="s">
        <v>45</v>
      </c>
      <c r="D40" s="99">
        <v>7790360720382</v>
      </c>
      <c r="E40" s="100">
        <v>2.16</v>
      </c>
      <c r="F40" s="101">
        <v>24</v>
      </c>
      <c r="G40" s="85">
        <f t="shared" ref="G40:G56" si="33">+VLOOKUP(B40,$T$4:$U$106,2,FALSE)</f>
        <v>14258.501079199326</v>
      </c>
      <c r="H40" s="103"/>
      <c r="I40" s="85">
        <f t="shared" ref="I40:I58" si="34">+G40*(1-H40)</f>
        <v>14258.501079199326</v>
      </c>
      <c r="J40" s="85">
        <f t="shared" si="32"/>
        <v>594.10421163330523</v>
      </c>
      <c r="K40" s="85">
        <f t="shared" si="3"/>
        <v>124.76188444299409</v>
      </c>
      <c r="L40" s="85">
        <f t="shared" si="4"/>
        <v>718.8660960762993</v>
      </c>
      <c r="M40" s="85">
        <f>+L40*M$39</f>
        <v>143.77321921525987</v>
      </c>
      <c r="N40" s="85">
        <f t="shared" si="6"/>
        <v>862.63931529155911</v>
      </c>
      <c r="O40" s="85">
        <f>+N40*O$39</f>
        <v>301.92376035204569</v>
      </c>
      <c r="P40" s="102">
        <f t="shared" si="8"/>
        <v>1164.5630756436049</v>
      </c>
      <c r="R40" s="85">
        <v>13579.524837332692</v>
      </c>
      <c r="S40" s="118">
        <f t="shared" si="9"/>
        <v>4.9999999999999968E-2</v>
      </c>
      <c r="T40" s="27">
        <v>100022058</v>
      </c>
      <c r="U40" s="24">
        <v>17361.948396431158</v>
      </c>
    </row>
    <row r="41" spans="1:24" x14ac:dyDescent="0.35">
      <c r="B41" s="84">
        <v>100021001</v>
      </c>
      <c r="C41" s="98" t="s">
        <v>46</v>
      </c>
      <c r="D41" s="99">
        <v>7790360720115</v>
      </c>
      <c r="E41" s="100">
        <v>2.16</v>
      </c>
      <c r="F41" s="101">
        <v>24</v>
      </c>
      <c r="G41" s="85">
        <f t="shared" si="33"/>
        <v>14258.501079199326</v>
      </c>
      <c r="H41" s="103"/>
      <c r="I41" s="85">
        <f t="shared" si="34"/>
        <v>14258.501079199326</v>
      </c>
      <c r="J41" s="85">
        <f t="shared" si="32"/>
        <v>594.10421163330523</v>
      </c>
      <c r="K41" s="85">
        <f t="shared" si="3"/>
        <v>124.76188444299409</v>
      </c>
      <c r="L41" s="85">
        <f t="shared" si="4"/>
        <v>718.8660960762993</v>
      </c>
      <c r="M41" s="85">
        <f t="shared" ref="M41:M56" si="35">+L41*M$39</f>
        <v>143.77321921525987</v>
      </c>
      <c r="N41" s="85">
        <f t="shared" si="6"/>
        <v>862.63931529155911</v>
      </c>
      <c r="O41" s="85">
        <f t="shared" ref="O41:O56" si="36">+N41*O$39</f>
        <v>301.92376035204569</v>
      </c>
      <c r="P41" s="102">
        <f t="shared" si="8"/>
        <v>1164.5630756436049</v>
      </c>
      <c r="R41" s="85">
        <v>13579.524837332692</v>
      </c>
      <c r="S41" s="118">
        <f t="shared" si="9"/>
        <v>4.9999999999999968E-2</v>
      </c>
      <c r="T41" s="27">
        <v>100518151</v>
      </c>
      <c r="U41" s="24">
        <v>73741.829197311818</v>
      </c>
    </row>
    <row r="42" spans="1:24" x14ac:dyDescent="0.35">
      <c r="A42" s="86"/>
      <c r="B42" s="219">
        <v>100522277</v>
      </c>
      <c r="C42" s="98" t="s">
        <v>150</v>
      </c>
      <c r="D42" s="99"/>
      <c r="E42" s="100">
        <v>2.16</v>
      </c>
      <c r="F42" s="101">
        <v>24</v>
      </c>
      <c r="G42" s="85">
        <f t="shared" si="33"/>
        <v>14258.501079199326</v>
      </c>
      <c r="H42" s="103"/>
      <c r="I42" s="85">
        <f t="shared" ref="I42:I43" si="37">+G42*(1-H42)</f>
        <v>14258.501079199326</v>
      </c>
      <c r="J42" s="85">
        <f t="shared" ref="J42:J43" si="38">+I42/F42</f>
        <v>594.10421163330523</v>
      </c>
      <c r="K42" s="85">
        <f t="shared" ref="K42:K43" si="39">+J42*K$3</f>
        <v>124.76188444299409</v>
      </c>
      <c r="L42" s="85">
        <f t="shared" ref="L42:L43" si="40">+J42+K42</f>
        <v>718.8660960762993</v>
      </c>
      <c r="M42" s="85">
        <f t="shared" ref="M42:M43" si="41">+L42*M$39</f>
        <v>143.77321921525987</v>
      </c>
      <c r="N42" s="85">
        <f t="shared" ref="N42:N43" si="42">+L42+M42</f>
        <v>862.63931529155911</v>
      </c>
      <c r="O42" s="85">
        <f t="shared" ref="O42:O43" si="43">+N42*O$39</f>
        <v>301.92376035204569</v>
      </c>
      <c r="P42" s="102">
        <f t="shared" si="8"/>
        <v>1164.5630756436049</v>
      </c>
      <c r="R42" s="85">
        <v>13579.524837332692</v>
      </c>
      <c r="S42" s="118"/>
      <c r="T42" s="32"/>
      <c r="U42" s="35"/>
    </row>
    <row r="43" spans="1:24" x14ac:dyDescent="0.35">
      <c r="A43" s="86"/>
      <c r="B43" s="219">
        <v>100522333</v>
      </c>
      <c r="C43" s="98" t="s">
        <v>151</v>
      </c>
      <c r="D43" s="99"/>
      <c r="E43" s="100">
        <v>2.16</v>
      </c>
      <c r="F43" s="101">
        <v>24</v>
      </c>
      <c r="G43" s="85">
        <f t="shared" si="33"/>
        <v>14258.501079199326</v>
      </c>
      <c r="H43" s="103"/>
      <c r="I43" s="85">
        <f t="shared" si="37"/>
        <v>14258.501079199326</v>
      </c>
      <c r="J43" s="85">
        <f t="shared" si="38"/>
        <v>594.10421163330523</v>
      </c>
      <c r="K43" s="85">
        <f t="shared" si="39"/>
        <v>124.76188444299409</v>
      </c>
      <c r="L43" s="85">
        <f t="shared" si="40"/>
        <v>718.8660960762993</v>
      </c>
      <c r="M43" s="85">
        <f t="shared" si="41"/>
        <v>143.77321921525987</v>
      </c>
      <c r="N43" s="85">
        <f t="shared" si="42"/>
        <v>862.63931529155911</v>
      </c>
      <c r="O43" s="85">
        <f t="shared" si="43"/>
        <v>301.92376035204569</v>
      </c>
      <c r="P43" s="102">
        <f t="shared" si="8"/>
        <v>1164.5630756436049</v>
      </c>
      <c r="R43" s="85">
        <v>13579.524837332692</v>
      </c>
      <c r="S43" s="118"/>
      <c r="T43" s="27">
        <v>100021000</v>
      </c>
      <c r="U43" s="24">
        <v>14258.501079199326</v>
      </c>
    </row>
    <row r="44" spans="1:24" x14ac:dyDescent="0.35">
      <c r="B44" s="84">
        <v>100021045</v>
      </c>
      <c r="C44" s="98" t="s">
        <v>47</v>
      </c>
      <c r="D44" s="99">
        <v>7790360966582</v>
      </c>
      <c r="E44" s="100">
        <v>2.16</v>
      </c>
      <c r="F44" s="101">
        <v>24</v>
      </c>
      <c r="G44" s="85">
        <f t="shared" si="33"/>
        <v>14258.501079199325</v>
      </c>
      <c r="H44" s="103"/>
      <c r="I44" s="85">
        <f t="shared" si="34"/>
        <v>14258.501079199325</v>
      </c>
      <c r="J44" s="85">
        <f t="shared" si="32"/>
        <v>594.10421163330523</v>
      </c>
      <c r="K44" s="85">
        <f t="shared" si="3"/>
        <v>124.76188444299409</v>
      </c>
      <c r="L44" s="85">
        <f t="shared" si="4"/>
        <v>718.8660960762993</v>
      </c>
      <c r="M44" s="85">
        <f t="shared" si="35"/>
        <v>143.77321921525987</v>
      </c>
      <c r="N44" s="85">
        <f t="shared" si="6"/>
        <v>862.63931529155911</v>
      </c>
      <c r="O44" s="85">
        <f t="shared" si="36"/>
        <v>301.92376035204569</v>
      </c>
      <c r="P44" s="102">
        <f t="shared" si="8"/>
        <v>1164.5630756436049</v>
      </c>
      <c r="R44" s="85">
        <v>13579.52483733269</v>
      </c>
      <c r="S44" s="118">
        <f t="shared" si="9"/>
        <v>4.9999999999999975E-2</v>
      </c>
      <c r="T44" s="27">
        <v>100021001</v>
      </c>
      <c r="U44" s="24">
        <v>14258.501079199326</v>
      </c>
    </row>
    <row r="45" spans="1:24" x14ac:dyDescent="0.35">
      <c r="B45" s="84">
        <v>100021004</v>
      </c>
      <c r="C45" s="98" t="s">
        <v>48</v>
      </c>
      <c r="D45" s="99">
        <v>7790360964526</v>
      </c>
      <c r="E45" s="100">
        <v>2.1120000000000001</v>
      </c>
      <c r="F45" s="101">
        <v>24</v>
      </c>
      <c r="G45" s="85">
        <f t="shared" si="33"/>
        <v>14258.501079199325</v>
      </c>
      <c r="H45" s="103"/>
      <c r="I45" s="85">
        <f t="shared" si="34"/>
        <v>14258.501079199325</v>
      </c>
      <c r="J45" s="85">
        <f t="shared" si="32"/>
        <v>594.10421163330523</v>
      </c>
      <c r="K45" s="85">
        <f t="shared" si="3"/>
        <v>124.76188444299409</v>
      </c>
      <c r="L45" s="85">
        <f t="shared" si="4"/>
        <v>718.8660960762993</v>
      </c>
      <c r="M45" s="85">
        <f t="shared" si="35"/>
        <v>143.77321921525987</v>
      </c>
      <c r="N45" s="85">
        <f t="shared" si="6"/>
        <v>862.63931529155911</v>
      </c>
      <c r="O45" s="85">
        <f t="shared" si="36"/>
        <v>301.92376035204569</v>
      </c>
      <c r="P45" s="102">
        <f t="shared" si="8"/>
        <v>1164.5630756436049</v>
      </c>
      <c r="R45" s="85">
        <v>13579.52483733269</v>
      </c>
      <c r="S45" s="118">
        <f t="shared" si="9"/>
        <v>4.9999999999999975E-2</v>
      </c>
      <c r="T45" s="86">
        <v>100522277</v>
      </c>
      <c r="U45" s="24">
        <v>14258.501079199326</v>
      </c>
    </row>
    <row r="46" spans="1:24" x14ac:dyDescent="0.35">
      <c r="B46" s="84">
        <v>100021006</v>
      </c>
      <c r="C46" s="98" t="s">
        <v>49</v>
      </c>
      <c r="D46" s="99">
        <v>7790360964557</v>
      </c>
      <c r="E46" s="100">
        <v>2.1120000000000001</v>
      </c>
      <c r="F46" s="101">
        <v>24</v>
      </c>
      <c r="G46" s="85">
        <f t="shared" si="33"/>
        <v>14258.501079199325</v>
      </c>
      <c r="H46" s="103"/>
      <c r="I46" s="85">
        <f t="shared" si="34"/>
        <v>14258.501079199325</v>
      </c>
      <c r="J46" s="85">
        <f t="shared" si="32"/>
        <v>594.10421163330523</v>
      </c>
      <c r="K46" s="85">
        <f t="shared" si="3"/>
        <v>124.76188444299409</v>
      </c>
      <c r="L46" s="85">
        <f t="shared" si="4"/>
        <v>718.8660960762993</v>
      </c>
      <c r="M46" s="85">
        <f t="shared" si="35"/>
        <v>143.77321921525987</v>
      </c>
      <c r="N46" s="85">
        <f t="shared" si="6"/>
        <v>862.63931529155911</v>
      </c>
      <c r="O46" s="85">
        <f t="shared" si="36"/>
        <v>301.92376035204569</v>
      </c>
      <c r="P46" s="102">
        <f t="shared" si="8"/>
        <v>1164.5630756436049</v>
      </c>
      <c r="R46" s="85">
        <v>13579.52483733269</v>
      </c>
      <c r="S46" s="118">
        <f t="shared" si="9"/>
        <v>4.9999999999999975E-2</v>
      </c>
      <c r="T46" s="86">
        <v>100522333</v>
      </c>
      <c r="U46" s="24">
        <v>14258.501079199326</v>
      </c>
    </row>
    <row r="47" spans="1:24" x14ac:dyDescent="0.35">
      <c r="B47" s="84">
        <v>100021007</v>
      </c>
      <c r="C47" s="98" t="s">
        <v>50</v>
      </c>
      <c r="D47" s="99">
        <v>7790360964540</v>
      </c>
      <c r="E47" s="100">
        <v>2.04</v>
      </c>
      <c r="F47" s="101">
        <v>24</v>
      </c>
      <c r="G47" s="85">
        <f t="shared" si="33"/>
        <v>17049.180327868853</v>
      </c>
      <c r="H47" s="103"/>
      <c r="I47" s="85">
        <f t="shared" si="34"/>
        <v>17049.180327868853</v>
      </c>
      <c r="J47" s="85">
        <f t="shared" si="32"/>
        <v>710.38251366120221</v>
      </c>
      <c r="K47" s="85">
        <f t="shared" si="3"/>
        <v>149.18032786885246</v>
      </c>
      <c r="L47" s="85">
        <f t="shared" si="4"/>
        <v>859.5628415300547</v>
      </c>
      <c r="M47" s="85">
        <f t="shared" si="35"/>
        <v>171.91256830601094</v>
      </c>
      <c r="N47" s="85">
        <f t="shared" si="6"/>
        <v>1031.4754098360656</v>
      </c>
      <c r="O47" s="85">
        <f t="shared" si="36"/>
        <v>361.01639344262293</v>
      </c>
      <c r="P47" s="102">
        <f t="shared" si="8"/>
        <v>1392.4918032786886</v>
      </c>
      <c r="R47" s="85">
        <v>15501.688125000002</v>
      </c>
      <c r="S47" s="118">
        <f t="shared" si="9"/>
        <v>9.9827334312910548E-2</v>
      </c>
      <c r="T47" s="27">
        <v>100021045</v>
      </c>
      <c r="U47" s="24">
        <v>14258.501079199325</v>
      </c>
    </row>
    <row r="48" spans="1:24" x14ac:dyDescent="0.35">
      <c r="B48" s="84">
        <v>100021013</v>
      </c>
      <c r="C48" s="98" t="s">
        <v>51</v>
      </c>
      <c r="D48" s="99">
        <v>7790360965714</v>
      </c>
      <c r="E48" s="100">
        <v>2.04</v>
      </c>
      <c r="F48" s="101">
        <v>24</v>
      </c>
      <c r="G48" s="85">
        <f t="shared" si="33"/>
        <v>17049.180327868853</v>
      </c>
      <c r="H48" s="103"/>
      <c r="I48" s="85">
        <f t="shared" si="34"/>
        <v>17049.180327868853</v>
      </c>
      <c r="J48" s="85">
        <f t="shared" si="32"/>
        <v>710.38251366120221</v>
      </c>
      <c r="K48" s="85">
        <f t="shared" si="3"/>
        <v>149.18032786885246</v>
      </c>
      <c r="L48" s="85">
        <f t="shared" si="4"/>
        <v>859.5628415300547</v>
      </c>
      <c r="M48" s="85">
        <f t="shared" si="35"/>
        <v>171.91256830601094</v>
      </c>
      <c r="N48" s="85">
        <f t="shared" si="6"/>
        <v>1031.4754098360656</v>
      </c>
      <c r="O48" s="85">
        <f t="shared" si="36"/>
        <v>361.01639344262293</v>
      </c>
      <c r="P48" s="102">
        <f t="shared" si="8"/>
        <v>1392.4918032786886</v>
      </c>
      <c r="R48" s="85">
        <v>15501.688125000002</v>
      </c>
      <c r="S48" s="118">
        <f t="shared" si="9"/>
        <v>9.9827334312910548E-2</v>
      </c>
      <c r="T48" s="27">
        <v>100021004</v>
      </c>
      <c r="U48" s="24">
        <v>14258.501079199325</v>
      </c>
    </row>
    <row r="49" spans="2:21" x14ac:dyDescent="0.35">
      <c r="B49" s="84">
        <v>100021014</v>
      </c>
      <c r="C49" s="98" t="s">
        <v>52</v>
      </c>
      <c r="D49" s="99">
        <v>7790360965721</v>
      </c>
      <c r="E49" s="100">
        <v>2.04</v>
      </c>
      <c r="F49" s="101">
        <v>24</v>
      </c>
      <c r="G49" s="85">
        <f t="shared" si="33"/>
        <v>17049.180327868853</v>
      </c>
      <c r="H49" s="103"/>
      <c r="I49" s="85">
        <f t="shared" si="34"/>
        <v>17049.180327868853</v>
      </c>
      <c r="J49" s="85">
        <f t="shared" si="32"/>
        <v>710.38251366120221</v>
      </c>
      <c r="K49" s="85">
        <f t="shared" si="3"/>
        <v>149.18032786885246</v>
      </c>
      <c r="L49" s="85">
        <f t="shared" si="4"/>
        <v>859.5628415300547</v>
      </c>
      <c r="M49" s="85">
        <f t="shared" si="35"/>
        <v>171.91256830601094</v>
      </c>
      <c r="N49" s="85">
        <f t="shared" si="6"/>
        <v>1031.4754098360656</v>
      </c>
      <c r="O49" s="85">
        <f t="shared" si="36"/>
        <v>361.01639344262293</v>
      </c>
      <c r="P49" s="102">
        <f t="shared" si="8"/>
        <v>1392.4918032786886</v>
      </c>
      <c r="R49" s="85">
        <v>15501.688125000002</v>
      </c>
      <c r="S49" s="118">
        <f t="shared" si="9"/>
        <v>9.9827334312910548E-2</v>
      </c>
      <c r="T49" s="27">
        <v>100021006</v>
      </c>
      <c r="U49" s="24">
        <v>14258.501079199325</v>
      </c>
    </row>
    <row r="50" spans="2:21" x14ac:dyDescent="0.35">
      <c r="B50" s="84">
        <v>100021054</v>
      </c>
      <c r="C50" s="98" t="s">
        <v>53</v>
      </c>
      <c r="D50" s="99">
        <v>7790360965707</v>
      </c>
      <c r="E50" s="100">
        <v>2.04</v>
      </c>
      <c r="F50" s="101">
        <v>24</v>
      </c>
      <c r="G50" s="85">
        <f t="shared" si="33"/>
        <v>17049.180327868853</v>
      </c>
      <c r="H50" s="103"/>
      <c r="I50" s="85">
        <f t="shared" si="34"/>
        <v>17049.180327868853</v>
      </c>
      <c r="J50" s="85">
        <f t="shared" si="32"/>
        <v>710.38251366120221</v>
      </c>
      <c r="K50" s="85">
        <f t="shared" si="3"/>
        <v>149.18032786885246</v>
      </c>
      <c r="L50" s="85">
        <f t="shared" si="4"/>
        <v>859.5628415300547</v>
      </c>
      <c r="M50" s="85">
        <f t="shared" si="35"/>
        <v>171.91256830601094</v>
      </c>
      <c r="N50" s="85">
        <f t="shared" si="6"/>
        <v>1031.4754098360656</v>
      </c>
      <c r="O50" s="85">
        <f t="shared" si="36"/>
        <v>361.01639344262293</v>
      </c>
      <c r="P50" s="102">
        <f t="shared" si="8"/>
        <v>1392.4918032786886</v>
      </c>
      <c r="R50" s="85">
        <v>15501.688125000002</v>
      </c>
      <c r="S50" s="118">
        <f t="shared" si="9"/>
        <v>9.9827334312910548E-2</v>
      </c>
      <c r="T50" s="27">
        <v>100021007</v>
      </c>
      <c r="U50" s="24">
        <v>17049.180327868853</v>
      </c>
    </row>
    <row r="51" spans="2:21" x14ac:dyDescent="0.35">
      <c r="B51" s="84">
        <v>100021055</v>
      </c>
      <c r="C51" s="98" t="s">
        <v>54</v>
      </c>
      <c r="D51" s="99">
        <v>7790360965189</v>
      </c>
      <c r="E51" s="100">
        <v>2.04</v>
      </c>
      <c r="F51" s="101">
        <v>24</v>
      </c>
      <c r="G51" s="85">
        <f t="shared" si="33"/>
        <v>17049.180327868853</v>
      </c>
      <c r="H51" s="103"/>
      <c r="I51" s="85">
        <f t="shared" si="34"/>
        <v>17049.180327868853</v>
      </c>
      <c r="J51" s="85">
        <f t="shared" si="32"/>
        <v>710.38251366120221</v>
      </c>
      <c r="K51" s="85">
        <f t="shared" si="3"/>
        <v>149.18032786885246</v>
      </c>
      <c r="L51" s="85">
        <f t="shared" si="4"/>
        <v>859.5628415300547</v>
      </c>
      <c r="M51" s="85">
        <f t="shared" si="35"/>
        <v>171.91256830601094</v>
      </c>
      <c r="N51" s="85">
        <f t="shared" si="6"/>
        <v>1031.4754098360656</v>
      </c>
      <c r="O51" s="85">
        <f t="shared" si="36"/>
        <v>361.01639344262293</v>
      </c>
      <c r="P51" s="102">
        <f t="shared" si="8"/>
        <v>1392.4918032786886</v>
      </c>
      <c r="R51" s="85">
        <v>15501.688125000002</v>
      </c>
      <c r="S51" s="118">
        <f t="shared" si="9"/>
        <v>9.9827334312910548E-2</v>
      </c>
      <c r="T51" s="27">
        <v>100021013</v>
      </c>
      <c r="U51" s="24">
        <v>17049.180327868853</v>
      </c>
    </row>
    <row r="52" spans="2:21" x14ac:dyDescent="0.35">
      <c r="B52" s="84">
        <v>100021015</v>
      </c>
      <c r="C52" s="98" t="s">
        <v>55</v>
      </c>
      <c r="D52" s="99">
        <v>7790360965202</v>
      </c>
      <c r="E52" s="100">
        <v>2.04</v>
      </c>
      <c r="F52" s="101">
        <v>24</v>
      </c>
      <c r="G52" s="85">
        <f t="shared" si="33"/>
        <v>17049.180327868853</v>
      </c>
      <c r="H52" s="103"/>
      <c r="I52" s="85">
        <f t="shared" si="34"/>
        <v>17049.180327868853</v>
      </c>
      <c r="J52" s="85">
        <f t="shared" si="32"/>
        <v>710.38251366120221</v>
      </c>
      <c r="K52" s="85">
        <f t="shared" si="3"/>
        <v>149.18032786885246</v>
      </c>
      <c r="L52" s="85">
        <f t="shared" si="4"/>
        <v>859.5628415300547</v>
      </c>
      <c r="M52" s="85">
        <f t="shared" si="35"/>
        <v>171.91256830601094</v>
      </c>
      <c r="N52" s="85">
        <f t="shared" si="6"/>
        <v>1031.4754098360656</v>
      </c>
      <c r="O52" s="85">
        <f t="shared" si="36"/>
        <v>361.01639344262293</v>
      </c>
      <c r="P52" s="102">
        <f t="shared" si="8"/>
        <v>1392.4918032786886</v>
      </c>
      <c r="R52" s="85">
        <v>15501.688125000002</v>
      </c>
      <c r="S52" s="118">
        <f t="shared" si="9"/>
        <v>9.9827334312910548E-2</v>
      </c>
      <c r="T52" s="27">
        <v>100021014</v>
      </c>
      <c r="U52" s="24">
        <v>17049.180327868853</v>
      </c>
    </row>
    <row r="53" spans="2:21" x14ac:dyDescent="0.35">
      <c r="B53" s="84">
        <v>100021008</v>
      </c>
      <c r="C53" s="98" t="s">
        <v>56</v>
      </c>
      <c r="D53" s="99">
        <v>7790360720122</v>
      </c>
      <c r="E53" s="100">
        <v>2.16</v>
      </c>
      <c r="F53" s="101">
        <v>24</v>
      </c>
      <c r="G53" s="85">
        <f t="shared" si="33"/>
        <v>12068.107619965038</v>
      </c>
      <c r="H53" s="103"/>
      <c r="I53" s="85">
        <f t="shared" si="34"/>
        <v>12068.107619965038</v>
      </c>
      <c r="J53" s="85">
        <f t="shared" si="32"/>
        <v>502.83781749854325</v>
      </c>
      <c r="K53" s="85">
        <f t="shared" si="3"/>
        <v>105.59594167469407</v>
      </c>
      <c r="L53" s="85">
        <f t="shared" si="4"/>
        <v>608.43375917323738</v>
      </c>
      <c r="M53" s="85">
        <f t="shared" si="35"/>
        <v>121.68675183464748</v>
      </c>
      <c r="N53" s="85">
        <f t="shared" si="6"/>
        <v>730.12051100788483</v>
      </c>
      <c r="O53" s="85">
        <f t="shared" si="36"/>
        <v>255.54217885275966</v>
      </c>
      <c r="P53" s="102">
        <f t="shared" si="8"/>
        <v>985.66268986064449</v>
      </c>
      <c r="R53" s="85">
        <v>11493.435828538131</v>
      </c>
      <c r="S53" s="118">
        <f t="shared" si="9"/>
        <v>0.05</v>
      </c>
      <c r="T53" s="27">
        <v>100021054</v>
      </c>
      <c r="U53" s="24">
        <v>17049.180327868853</v>
      </c>
    </row>
    <row r="54" spans="2:21" x14ac:dyDescent="0.35">
      <c r="B54" s="84">
        <v>100021009</v>
      </c>
      <c r="C54" s="98" t="s">
        <v>57</v>
      </c>
      <c r="D54" s="99">
        <v>7790360965127</v>
      </c>
      <c r="E54" s="100">
        <v>2.16</v>
      </c>
      <c r="F54" s="101">
        <v>24</v>
      </c>
      <c r="G54" s="85">
        <f t="shared" si="33"/>
        <v>12068.107619965038</v>
      </c>
      <c r="H54" s="103"/>
      <c r="I54" s="85">
        <f t="shared" si="34"/>
        <v>12068.107619965038</v>
      </c>
      <c r="J54" s="85">
        <f t="shared" si="32"/>
        <v>502.83781749854325</v>
      </c>
      <c r="K54" s="85">
        <f t="shared" si="3"/>
        <v>105.59594167469407</v>
      </c>
      <c r="L54" s="85">
        <f t="shared" si="4"/>
        <v>608.43375917323738</v>
      </c>
      <c r="M54" s="85">
        <f t="shared" si="35"/>
        <v>121.68675183464748</v>
      </c>
      <c r="N54" s="85">
        <f t="shared" si="6"/>
        <v>730.12051100788483</v>
      </c>
      <c r="O54" s="85">
        <f t="shared" si="36"/>
        <v>255.54217885275966</v>
      </c>
      <c r="P54" s="102">
        <f t="shared" si="8"/>
        <v>985.66268986064449</v>
      </c>
      <c r="R54" s="85">
        <v>11493.435828538131</v>
      </c>
      <c r="S54" s="118">
        <f t="shared" si="9"/>
        <v>0.05</v>
      </c>
      <c r="T54" s="27">
        <v>100021055</v>
      </c>
      <c r="U54" s="24">
        <v>17049.180327868853</v>
      </c>
    </row>
    <row r="55" spans="2:21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f t="shared" si="33"/>
        <v>12068.107619965038</v>
      </c>
      <c r="H55" s="23"/>
      <c r="I55" s="24">
        <f t="shared" si="34"/>
        <v>12068.107619965038</v>
      </c>
      <c r="J55" s="24">
        <f t="shared" si="32"/>
        <v>502.83781749854325</v>
      </c>
      <c r="K55" s="24">
        <f t="shared" si="3"/>
        <v>105.59594167469407</v>
      </c>
      <c r="L55" s="24">
        <f t="shared" si="4"/>
        <v>608.43375917323738</v>
      </c>
      <c r="M55" s="24">
        <f t="shared" si="35"/>
        <v>121.68675183464748</v>
      </c>
      <c r="N55" s="24">
        <f t="shared" si="6"/>
        <v>730.12051100788483</v>
      </c>
      <c r="O55" s="24">
        <f t="shared" si="36"/>
        <v>255.54217885275966</v>
      </c>
      <c r="P55" s="25">
        <f t="shared" si="8"/>
        <v>985.66268986064449</v>
      </c>
      <c r="R55" s="24">
        <v>11493.435828538131</v>
      </c>
      <c r="S55" s="118">
        <f t="shared" si="9"/>
        <v>0.05</v>
      </c>
      <c r="T55" s="27">
        <v>100021015</v>
      </c>
      <c r="U55" s="24">
        <v>17049.180327868853</v>
      </c>
    </row>
    <row r="56" spans="2:21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f t="shared" si="33"/>
        <v>12068.107619965038</v>
      </c>
      <c r="H56" s="23"/>
      <c r="I56" s="24">
        <f t="shared" si="34"/>
        <v>12068.107619965038</v>
      </c>
      <c r="J56" s="24">
        <f t="shared" si="32"/>
        <v>502.83781749854325</v>
      </c>
      <c r="K56" s="24">
        <f t="shared" si="3"/>
        <v>105.59594167469407</v>
      </c>
      <c r="L56" s="24">
        <f t="shared" si="4"/>
        <v>608.43375917323738</v>
      </c>
      <c r="M56" s="24">
        <f t="shared" si="35"/>
        <v>121.68675183464748</v>
      </c>
      <c r="N56" s="24">
        <f t="shared" si="6"/>
        <v>730.12051100788483</v>
      </c>
      <c r="O56" s="24">
        <f t="shared" si="36"/>
        <v>255.54217885275966</v>
      </c>
      <c r="P56" s="25">
        <f t="shared" si="8"/>
        <v>985.66268986064449</v>
      </c>
      <c r="R56" s="24">
        <v>11493.435828538131</v>
      </c>
      <c r="S56" s="118">
        <f t="shared" si="9"/>
        <v>0.05</v>
      </c>
      <c r="T56" s="27">
        <v>100021008</v>
      </c>
      <c r="U56" s="24">
        <v>12068.107619965038</v>
      </c>
    </row>
    <row r="57" spans="2:21" x14ac:dyDescent="0.35">
      <c r="B57" s="32"/>
      <c r="C57" s="33"/>
      <c r="D57" s="34"/>
      <c r="E57" s="33"/>
      <c r="F57" s="35"/>
      <c r="G57" s="35"/>
      <c r="H57" s="35"/>
      <c r="I57" s="35"/>
      <c r="J57" s="37" t="e">
        <f t="shared" si="32"/>
        <v>#DIV/0!</v>
      </c>
      <c r="K57" s="38">
        <v>0.21</v>
      </c>
      <c r="L57" s="37"/>
      <c r="M57" s="38">
        <v>0.3</v>
      </c>
      <c r="N57" s="37"/>
      <c r="O57" s="38">
        <v>0.4</v>
      </c>
      <c r="P57" s="39"/>
      <c r="R57" s="35"/>
      <c r="S57" s="118" t="e">
        <f t="shared" si="9"/>
        <v>#DIV/0!</v>
      </c>
      <c r="T57" s="27">
        <v>100021009</v>
      </c>
      <c r="U57" s="24">
        <v>12068.107619965038</v>
      </c>
    </row>
    <row r="58" spans="2:21" x14ac:dyDescent="0.35">
      <c r="B58" s="84">
        <v>100516217</v>
      </c>
      <c r="C58" s="98" t="s">
        <v>60</v>
      </c>
      <c r="D58" s="99">
        <v>7790360967824</v>
      </c>
      <c r="E58" s="100">
        <v>5.8</v>
      </c>
      <c r="F58" s="101">
        <v>20</v>
      </c>
      <c r="G58" s="85">
        <f>+VLOOKUP(B58,$T$4:$U$106,2,FALSE)</f>
        <v>28398.276388830345</v>
      </c>
      <c r="H58" s="97"/>
      <c r="I58" s="85">
        <f t="shared" si="34"/>
        <v>28398.276388830345</v>
      </c>
      <c r="J58" s="85">
        <f t="shared" si="32"/>
        <v>1419.9138194415173</v>
      </c>
      <c r="K58" s="85">
        <f t="shared" si="3"/>
        <v>298.18190208271864</v>
      </c>
      <c r="L58" s="85">
        <f t="shared" si="4"/>
        <v>1718.0957215242358</v>
      </c>
      <c r="M58" s="85">
        <f t="shared" si="5"/>
        <v>515.42871645727075</v>
      </c>
      <c r="N58" s="85">
        <f t="shared" si="6"/>
        <v>2233.5244379815067</v>
      </c>
      <c r="O58" s="85">
        <f t="shared" si="7"/>
        <v>893.40977519260275</v>
      </c>
      <c r="P58" s="102">
        <f t="shared" si="8"/>
        <v>3126.9342131741096</v>
      </c>
      <c r="R58" s="24">
        <v>27571.142125078</v>
      </c>
      <c r="S58" s="118">
        <f t="shared" si="9"/>
        <v>3.0000000000000176E-2</v>
      </c>
      <c r="T58" s="27">
        <v>100021010</v>
      </c>
      <c r="U58" s="24">
        <v>12068.107619965038</v>
      </c>
    </row>
    <row r="59" spans="2:21" x14ac:dyDescent="0.35">
      <c r="B59" s="84">
        <v>100516214</v>
      </c>
      <c r="C59" s="98" t="s">
        <v>61</v>
      </c>
      <c r="D59" s="99">
        <v>7790360967794</v>
      </c>
      <c r="E59" s="100">
        <v>7</v>
      </c>
      <c r="F59" s="101">
        <v>20</v>
      </c>
      <c r="G59" s="85">
        <f>+VLOOKUP(B59,$T$4:$U$106,2,FALSE)</f>
        <v>36665.099900000001</v>
      </c>
      <c r="H59" s="97"/>
      <c r="I59" s="85">
        <f t="shared" ref="I59:I100" si="44">+G59*(1-H59)</f>
        <v>36665.099900000001</v>
      </c>
      <c r="J59" s="85">
        <f t="shared" si="32"/>
        <v>1833.254995</v>
      </c>
      <c r="K59" s="85">
        <f t="shared" si="3"/>
        <v>384.98354895</v>
      </c>
      <c r="L59" s="85">
        <f t="shared" si="4"/>
        <v>2218.2385439499999</v>
      </c>
      <c r="M59" s="85">
        <f t="shared" si="5"/>
        <v>665.47156318499992</v>
      </c>
      <c r="N59" s="85">
        <f t="shared" si="6"/>
        <v>2883.7101071349998</v>
      </c>
      <c r="O59" s="85">
        <f t="shared" si="7"/>
        <v>1153.4840428539999</v>
      </c>
      <c r="P59" s="102">
        <f t="shared" si="8"/>
        <v>4037.1941499889999</v>
      </c>
      <c r="Q59">
        <v>0.05</v>
      </c>
      <c r="R59" s="85">
        <v>36665.104090179157</v>
      </c>
      <c r="S59" s="118">
        <f t="shared" si="9"/>
        <v>-1.142824835639773E-7</v>
      </c>
      <c r="T59" s="27">
        <v>100021011</v>
      </c>
      <c r="U59" s="24">
        <v>12068.107619965038</v>
      </c>
    </row>
    <row r="60" spans="2:21" x14ac:dyDescent="0.35">
      <c r="B60" s="84">
        <v>100516215</v>
      </c>
      <c r="C60" s="98" t="s">
        <v>62</v>
      </c>
      <c r="D60" s="99">
        <v>7790360967800</v>
      </c>
      <c r="E60" s="100">
        <v>7</v>
      </c>
      <c r="F60" s="101">
        <v>20</v>
      </c>
      <c r="G60" s="85">
        <f>+VLOOKUP(B60,$T$4:$U$106,2,FALSE)</f>
        <v>36665.099900000001</v>
      </c>
      <c r="H60" s="97"/>
      <c r="I60" s="85">
        <f t="shared" si="44"/>
        <v>36665.099900000001</v>
      </c>
      <c r="J60" s="85">
        <f t="shared" si="32"/>
        <v>1833.254995</v>
      </c>
      <c r="K60" s="85">
        <f t="shared" si="3"/>
        <v>384.98354895</v>
      </c>
      <c r="L60" s="85">
        <f t="shared" si="4"/>
        <v>2218.2385439499999</v>
      </c>
      <c r="M60" s="85">
        <f t="shared" si="5"/>
        <v>665.47156318499992</v>
      </c>
      <c r="N60" s="85">
        <f t="shared" si="6"/>
        <v>2883.7101071349998</v>
      </c>
      <c r="O60" s="85">
        <f t="shared" si="7"/>
        <v>1153.4840428539999</v>
      </c>
      <c r="P60" s="102">
        <f t="shared" si="8"/>
        <v>4037.1941499889999</v>
      </c>
      <c r="Q60">
        <v>0.05</v>
      </c>
      <c r="R60" s="85">
        <v>36665.104090179157</v>
      </c>
      <c r="S60" s="118">
        <f t="shared" si="9"/>
        <v>-1.142824835639773E-7</v>
      </c>
      <c r="T60" s="32"/>
      <c r="U60" s="35"/>
    </row>
    <row r="61" spans="2:21" x14ac:dyDescent="0.35">
      <c r="B61" s="84">
        <v>100516216</v>
      </c>
      <c r="C61" s="98" t="s">
        <v>63</v>
      </c>
      <c r="D61" s="99">
        <v>7790360967817</v>
      </c>
      <c r="E61" s="100">
        <v>7</v>
      </c>
      <c r="F61" s="101">
        <v>20</v>
      </c>
      <c r="G61" s="85">
        <f>+VLOOKUP(B61,$T$4:$U$106,2,FALSE)</f>
        <v>36665.099900000001</v>
      </c>
      <c r="H61" s="97"/>
      <c r="I61" s="85">
        <f t="shared" si="44"/>
        <v>36665.099900000001</v>
      </c>
      <c r="J61" s="85">
        <f t="shared" si="32"/>
        <v>1833.254995</v>
      </c>
      <c r="K61" s="85">
        <f t="shared" si="3"/>
        <v>384.98354895</v>
      </c>
      <c r="L61" s="85">
        <f t="shared" si="4"/>
        <v>2218.2385439499999</v>
      </c>
      <c r="M61" s="85">
        <f t="shared" si="5"/>
        <v>665.47156318499992</v>
      </c>
      <c r="N61" s="85">
        <f t="shared" si="6"/>
        <v>2883.7101071349998</v>
      </c>
      <c r="O61" s="85">
        <f t="shared" si="7"/>
        <v>1153.4840428539999</v>
      </c>
      <c r="P61" s="102">
        <f t="shared" si="8"/>
        <v>4037.1941499889999</v>
      </c>
      <c r="Q61">
        <v>0.05</v>
      </c>
      <c r="R61" s="85">
        <v>36665.104090179157</v>
      </c>
      <c r="S61" s="118">
        <f t="shared" si="9"/>
        <v>-1.142824835639773E-7</v>
      </c>
      <c r="T61" s="27">
        <v>100516217</v>
      </c>
      <c r="U61" s="24">
        <v>28398.276388830345</v>
      </c>
    </row>
    <row r="62" spans="2:21" x14ac:dyDescent="0.35">
      <c r="B62" s="32"/>
      <c r="C62" s="33"/>
      <c r="D62" s="34"/>
      <c r="E62" s="33"/>
      <c r="F62" s="35"/>
      <c r="G62" s="35"/>
      <c r="H62" s="134"/>
      <c r="I62" s="35"/>
      <c r="J62" s="37" t="e">
        <f t="shared" si="32"/>
        <v>#DIV/0!</v>
      </c>
      <c r="K62" s="38">
        <v>0.21</v>
      </c>
      <c r="L62" s="37"/>
      <c r="M62" s="38">
        <v>0.3</v>
      </c>
      <c r="N62" s="37"/>
      <c r="O62" s="38">
        <v>0.4</v>
      </c>
      <c r="P62" s="39"/>
      <c r="R62" s="35"/>
      <c r="S62" s="118" t="e">
        <f t="shared" si="9"/>
        <v>#DIV/0!</v>
      </c>
      <c r="T62" s="27">
        <v>100516214</v>
      </c>
      <c r="U62" s="24">
        <v>36665.099900000001</v>
      </c>
    </row>
    <row r="63" spans="2:21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f t="shared" ref="G63:G74" si="45">+VLOOKUP(B63,$T$4:$U$106,2,FALSE)</f>
        <v>41455.299372666384</v>
      </c>
      <c r="H63" s="135"/>
      <c r="I63" s="24">
        <f t="shared" si="44"/>
        <v>41455.299372666384</v>
      </c>
      <c r="J63" s="24">
        <f t="shared" si="32"/>
        <v>3454.6082810555322</v>
      </c>
      <c r="K63" s="24">
        <f t="shared" si="3"/>
        <v>725.46773902166171</v>
      </c>
      <c r="L63" s="24">
        <f t="shared" si="4"/>
        <v>4180.0760200771938</v>
      </c>
      <c r="M63" s="24">
        <f t="shared" si="5"/>
        <v>1254.0228060231582</v>
      </c>
      <c r="N63" s="24">
        <f t="shared" si="6"/>
        <v>5434.0988261003522</v>
      </c>
      <c r="O63" s="24">
        <f t="shared" si="7"/>
        <v>2173.6395304401408</v>
      </c>
      <c r="P63" s="25">
        <f t="shared" si="8"/>
        <v>7607.7383565404925</v>
      </c>
      <c r="R63" s="24">
        <v>41455.299372666384</v>
      </c>
      <c r="S63" s="118">
        <f t="shared" si="9"/>
        <v>0</v>
      </c>
      <c r="T63" s="27">
        <v>100516215</v>
      </c>
      <c r="U63" s="24">
        <v>36665.099900000001</v>
      </c>
    </row>
    <row r="64" spans="2:21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f t="shared" si="45"/>
        <v>37683.831852857693</v>
      </c>
      <c r="H64" s="135"/>
      <c r="I64" s="24">
        <f t="shared" si="44"/>
        <v>37683.831852857693</v>
      </c>
      <c r="J64" s="24">
        <f t="shared" si="32"/>
        <v>3140.3193210714744</v>
      </c>
      <c r="K64" s="24">
        <f t="shared" si="3"/>
        <v>659.46705742500956</v>
      </c>
      <c r="L64" s="24">
        <f t="shared" si="4"/>
        <v>3799.7863784964838</v>
      </c>
      <c r="M64" s="24">
        <f t="shared" si="5"/>
        <v>1139.9359135489451</v>
      </c>
      <c r="N64" s="24">
        <f t="shared" si="6"/>
        <v>4939.7222920454287</v>
      </c>
      <c r="O64" s="24">
        <f t="shared" si="7"/>
        <v>1975.8889168181715</v>
      </c>
      <c r="P64" s="25">
        <f t="shared" si="8"/>
        <v>6915.6112088636</v>
      </c>
      <c r="R64" s="24">
        <v>37683.831852857693</v>
      </c>
      <c r="S64" s="118">
        <f t="shared" si="9"/>
        <v>0</v>
      </c>
      <c r="T64" s="27">
        <v>100516216</v>
      </c>
      <c r="U64" s="24">
        <v>36665.099900000001</v>
      </c>
    </row>
    <row r="65" spans="2:21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f t="shared" si="45"/>
        <v>60469.386535052479</v>
      </c>
      <c r="H65" s="136"/>
      <c r="I65" s="24">
        <f t="shared" si="44"/>
        <v>60469.386535052479</v>
      </c>
      <c r="J65" s="24">
        <f t="shared" si="32"/>
        <v>6046.9386535052481</v>
      </c>
      <c r="K65" s="24">
        <f t="shared" si="3"/>
        <v>1269.8571172361021</v>
      </c>
      <c r="L65" s="24">
        <f t="shared" si="4"/>
        <v>7316.7957707413498</v>
      </c>
      <c r="M65" s="24">
        <f t="shared" si="5"/>
        <v>2195.0387312224047</v>
      </c>
      <c r="N65" s="24">
        <f t="shared" si="6"/>
        <v>9511.8345019637545</v>
      </c>
      <c r="O65" s="24">
        <f t="shared" si="7"/>
        <v>3804.7338007855019</v>
      </c>
      <c r="P65" s="25">
        <f t="shared" si="8"/>
        <v>13316.568302749256</v>
      </c>
      <c r="R65" s="85">
        <v>60469.386535052479</v>
      </c>
      <c r="S65" s="118">
        <f t="shared" si="9"/>
        <v>0</v>
      </c>
      <c r="T65" s="32"/>
      <c r="U65" s="35"/>
    </row>
    <row r="66" spans="2:21" x14ac:dyDescent="0.35">
      <c r="B66" s="84">
        <v>100521357</v>
      </c>
      <c r="C66" s="98" t="s">
        <v>122</v>
      </c>
      <c r="D66" s="99"/>
      <c r="E66" s="100">
        <v>4.5599999999999996</v>
      </c>
      <c r="F66" s="101">
        <v>12</v>
      </c>
      <c r="G66" s="85">
        <f t="shared" si="45"/>
        <v>48595.608600000021</v>
      </c>
      <c r="H66" s="117">
        <v>0.33</v>
      </c>
      <c r="I66" s="85">
        <f t="shared" si="44"/>
        <v>32559.057762000011</v>
      </c>
      <c r="J66" s="85">
        <f t="shared" ref="J66:J68" si="46">+I66/F66</f>
        <v>2713.2548135000011</v>
      </c>
      <c r="K66" s="85">
        <f t="shared" ref="K66:K68" si="47">+J66*K$3</f>
        <v>569.78351083500024</v>
      </c>
      <c r="L66" s="85">
        <f t="shared" ref="L66:L68" si="48">+J66+K66</f>
        <v>3283.0383243350016</v>
      </c>
      <c r="M66" s="85">
        <f t="shared" ref="M66:M68" si="49">+L66*M$3</f>
        <v>984.9114973005004</v>
      </c>
      <c r="N66" s="85">
        <f t="shared" ref="N66:N68" si="50">+L66+M66</f>
        <v>4267.9498216355023</v>
      </c>
      <c r="O66" s="85">
        <f t="shared" ref="O66:O68" si="51">+N66*O$3</f>
        <v>1707.1799286542009</v>
      </c>
      <c r="P66" s="102">
        <f t="shared" ref="P66:P68" si="52">+N66+O66</f>
        <v>5975.1297502897032</v>
      </c>
      <c r="Q66">
        <v>0.33</v>
      </c>
      <c r="R66" s="85">
        <v>32559.057762000011</v>
      </c>
      <c r="S66" s="118">
        <f t="shared" si="9"/>
        <v>0</v>
      </c>
      <c r="T66" s="27">
        <v>100021704</v>
      </c>
      <c r="U66" s="24">
        <v>41455.299372666384</v>
      </c>
    </row>
    <row r="67" spans="2:21" x14ac:dyDescent="0.35">
      <c r="B67" s="84">
        <v>100521358</v>
      </c>
      <c r="C67" s="98" t="s">
        <v>130</v>
      </c>
      <c r="D67" s="99">
        <v>7790360982025</v>
      </c>
      <c r="E67" s="100">
        <v>7.6</v>
      </c>
      <c r="F67" s="101">
        <v>10</v>
      </c>
      <c r="G67" s="85">
        <f t="shared" si="45"/>
        <v>72893.412900000025</v>
      </c>
      <c r="H67" s="117">
        <v>0.33</v>
      </c>
      <c r="I67" s="85">
        <f t="shared" ref="I67" si="53">+G67*(1-H67)</f>
        <v>48838.58664300001</v>
      </c>
      <c r="J67" s="85">
        <f t="shared" ref="J67" si="54">+I67/F67</f>
        <v>4883.8586643000008</v>
      </c>
      <c r="K67" s="85">
        <f t="shared" ref="K67" si="55">+J67*K$3</f>
        <v>1025.610319503</v>
      </c>
      <c r="L67" s="85">
        <f t="shared" ref="L67" si="56">+J67+K67</f>
        <v>5909.4689838030008</v>
      </c>
      <c r="M67" s="85">
        <f t="shared" ref="M67" si="57">+L67*M$3</f>
        <v>1772.8406951409002</v>
      </c>
      <c r="N67" s="85">
        <f t="shared" ref="N67" si="58">+L67+M67</f>
        <v>7682.3096789439005</v>
      </c>
      <c r="O67" s="85">
        <f t="shared" ref="O67" si="59">+N67*O$3</f>
        <v>3072.9238715775605</v>
      </c>
      <c r="P67" s="102">
        <f t="shared" ref="P67" si="60">+N67+O67</f>
        <v>10755.233550521461</v>
      </c>
      <c r="R67" s="85">
        <v>72893.412900000025</v>
      </c>
      <c r="S67" s="118"/>
      <c r="T67" s="27">
        <v>100021705</v>
      </c>
      <c r="U67" s="24">
        <v>37683.831852857693</v>
      </c>
    </row>
    <row r="68" spans="2:21" x14ac:dyDescent="0.35">
      <c r="B68" s="27">
        <v>100522130</v>
      </c>
      <c r="C68" s="28" t="s">
        <v>123</v>
      </c>
      <c r="D68" s="21"/>
      <c r="E68" s="22">
        <v>4.8</v>
      </c>
      <c r="F68" s="23">
        <v>12</v>
      </c>
      <c r="G68" s="24">
        <f t="shared" si="45"/>
        <v>40062.095837032517</v>
      </c>
      <c r="H68" s="136"/>
      <c r="I68" s="24">
        <f t="shared" si="44"/>
        <v>40062.095837032517</v>
      </c>
      <c r="J68" s="24">
        <f t="shared" si="46"/>
        <v>3338.5079864193763</v>
      </c>
      <c r="K68" s="24">
        <f t="shared" si="47"/>
        <v>701.08667714806904</v>
      </c>
      <c r="L68" s="24">
        <f t="shared" si="48"/>
        <v>4039.5946635674454</v>
      </c>
      <c r="M68" s="24">
        <f t="shared" si="49"/>
        <v>1211.8783990702336</v>
      </c>
      <c r="N68" s="24">
        <f t="shared" si="50"/>
        <v>5251.4730626376786</v>
      </c>
      <c r="O68" s="24">
        <f t="shared" si="51"/>
        <v>2100.5892250550714</v>
      </c>
      <c r="P68" s="25">
        <f t="shared" si="52"/>
        <v>7352.06228769275</v>
      </c>
      <c r="R68" s="85">
        <v>38154.376987650016</v>
      </c>
      <c r="S68" s="118">
        <f t="shared" si="9"/>
        <v>5.0000000000000017E-2</v>
      </c>
      <c r="T68" s="27">
        <v>100021707</v>
      </c>
      <c r="U68" s="24">
        <v>0</v>
      </c>
    </row>
    <row r="69" spans="2:21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f t="shared" si="45"/>
        <v>31255.569913892599</v>
      </c>
      <c r="H69" s="137"/>
      <c r="I69" s="46">
        <f t="shared" si="44"/>
        <v>31255.569913892599</v>
      </c>
      <c r="J69" s="46">
        <f t="shared" si="32"/>
        <v>7813.8924784731498</v>
      </c>
      <c r="K69" s="46">
        <f t="shared" si="3"/>
        <v>1640.9174204793615</v>
      </c>
      <c r="L69" s="46">
        <f t="shared" si="4"/>
        <v>9454.8098989525115</v>
      </c>
      <c r="M69" s="46">
        <f t="shared" si="5"/>
        <v>2836.4429696857533</v>
      </c>
      <c r="N69" s="46">
        <f t="shared" si="6"/>
        <v>12291.252868638265</v>
      </c>
      <c r="O69" s="46">
        <f t="shared" si="7"/>
        <v>4916.5011474553066</v>
      </c>
      <c r="P69" s="47">
        <f t="shared" si="8"/>
        <v>17207.754016093571</v>
      </c>
      <c r="R69" s="46">
        <v>31255.569913892599</v>
      </c>
      <c r="S69" s="118">
        <f t="shared" si="9"/>
        <v>0</v>
      </c>
      <c r="T69" s="27">
        <v>100021709</v>
      </c>
      <c r="U69" s="24">
        <v>60469.386535052479</v>
      </c>
    </row>
    <row r="70" spans="2:21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f t="shared" si="45"/>
        <v>31213.60900094096</v>
      </c>
      <c r="H70" s="135"/>
      <c r="I70" s="24">
        <f t="shared" si="44"/>
        <v>31213.60900094096</v>
      </c>
      <c r="J70" s="24">
        <f t="shared" si="32"/>
        <v>2601.1340834117468</v>
      </c>
      <c r="K70" s="24">
        <f t="shared" si="3"/>
        <v>546.2381575164668</v>
      </c>
      <c r="L70" s="24">
        <f t="shared" si="4"/>
        <v>3147.3722409282136</v>
      </c>
      <c r="M70" s="24">
        <f t="shared" si="5"/>
        <v>944.21167227846399</v>
      </c>
      <c r="N70" s="24">
        <f t="shared" si="6"/>
        <v>4091.5839132066776</v>
      </c>
      <c r="O70" s="24">
        <f t="shared" si="7"/>
        <v>1636.633565282671</v>
      </c>
      <c r="P70" s="25">
        <f t="shared" si="8"/>
        <v>5728.2174784893487</v>
      </c>
      <c r="R70" s="24">
        <v>31213.60900094096</v>
      </c>
      <c r="S70" s="118">
        <f t="shared" si="9"/>
        <v>0</v>
      </c>
      <c r="T70" s="27">
        <v>100521357</v>
      </c>
      <c r="U70" s="24">
        <v>48595.608600000021</v>
      </c>
    </row>
    <row r="71" spans="2:21" x14ac:dyDescent="0.35">
      <c r="B71" s="27">
        <v>100517186</v>
      </c>
      <c r="C71" s="28" t="s">
        <v>69</v>
      </c>
      <c r="D71" s="21">
        <v>7790360971395</v>
      </c>
      <c r="E71" s="22">
        <v>8</v>
      </c>
      <c r="F71" s="23">
        <v>8</v>
      </c>
      <c r="G71" s="24">
        <f t="shared" si="45"/>
        <v>78871.461568832005</v>
      </c>
      <c r="H71" s="135"/>
      <c r="I71" s="24">
        <f t="shared" si="44"/>
        <v>78871.461568832005</v>
      </c>
      <c r="J71" s="24">
        <f t="shared" si="32"/>
        <v>9858.9326961040006</v>
      </c>
      <c r="K71" s="24">
        <f t="shared" si="3"/>
        <v>2070.3758661818401</v>
      </c>
      <c r="L71" s="24">
        <f t="shared" si="4"/>
        <v>11929.308562285842</v>
      </c>
      <c r="M71" s="24">
        <f t="shared" si="5"/>
        <v>3578.7925686857525</v>
      </c>
      <c r="N71" s="24">
        <f t="shared" si="6"/>
        <v>15508.101130971594</v>
      </c>
      <c r="O71" s="24">
        <f t="shared" si="7"/>
        <v>6203.240452388638</v>
      </c>
      <c r="P71" s="25">
        <f t="shared" si="8"/>
        <v>21711.341583360234</v>
      </c>
      <c r="R71" s="24">
        <v>78871.461568832005</v>
      </c>
      <c r="S71" s="118">
        <f t="shared" si="9"/>
        <v>0</v>
      </c>
      <c r="T71" s="27">
        <v>100521358</v>
      </c>
      <c r="U71" s="24">
        <v>72893.412900000025</v>
      </c>
    </row>
    <row r="72" spans="2:21" x14ac:dyDescent="0.35">
      <c r="B72" s="125">
        <v>100521663</v>
      </c>
      <c r="C72" s="126" t="s">
        <v>124</v>
      </c>
      <c r="D72" s="99"/>
      <c r="E72" s="100">
        <v>4.8</v>
      </c>
      <c r="F72" s="101">
        <v>12</v>
      </c>
      <c r="G72" s="85">
        <v>41797.283176593519</v>
      </c>
      <c r="H72" s="117">
        <v>0.33</v>
      </c>
      <c r="I72" s="85">
        <f t="shared" ref="I72" si="61">+G72*(1-H72)</f>
        <v>28004.179728317653</v>
      </c>
      <c r="J72" s="85">
        <f t="shared" ref="J72" si="62">+I72/F72</f>
        <v>2333.6816440264711</v>
      </c>
      <c r="K72" s="85">
        <f t="shared" ref="K72" si="63">+J72*K$3</f>
        <v>490.07314524555892</v>
      </c>
      <c r="L72" s="85">
        <f t="shared" ref="L72" si="64">+J72+K72</f>
        <v>2823.7547892720299</v>
      </c>
      <c r="M72" s="85">
        <f t="shared" ref="M72" si="65">+L72*M$3</f>
        <v>847.12643678160896</v>
      </c>
      <c r="N72" s="85">
        <f t="shared" ref="N72" si="66">+L72+M72</f>
        <v>3670.8812260536388</v>
      </c>
      <c r="O72" s="85">
        <f t="shared" ref="O72" si="67">+N72*O$3</f>
        <v>1468.3524904214555</v>
      </c>
      <c r="P72" s="102">
        <f t="shared" ref="P72" si="68">+N72+O72</f>
        <v>5139.2337164750943</v>
      </c>
      <c r="Q72">
        <v>0.33</v>
      </c>
      <c r="R72" s="24">
        <v>28004.179728317653</v>
      </c>
      <c r="S72" s="118">
        <f t="shared" si="9"/>
        <v>0</v>
      </c>
      <c r="T72" s="27">
        <v>100522130</v>
      </c>
      <c r="U72" s="24">
        <v>40062.095837032517</v>
      </c>
    </row>
    <row r="73" spans="2:21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f t="shared" si="45"/>
        <v>39236.851140679726</v>
      </c>
      <c r="H73" s="137"/>
      <c r="I73" s="46">
        <f t="shared" si="44"/>
        <v>39236.851140679726</v>
      </c>
      <c r="J73" s="46">
        <f t="shared" si="32"/>
        <v>3269.7375950566438</v>
      </c>
      <c r="K73" s="46">
        <f t="shared" si="3"/>
        <v>686.64489496189515</v>
      </c>
      <c r="L73" s="46">
        <f t="shared" si="4"/>
        <v>3956.3824900185391</v>
      </c>
      <c r="M73" s="46">
        <f t="shared" si="5"/>
        <v>1186.9147470055616</v>
      </c>
      <c r="N73" s="46">
        <f t="shared" si="6"/>
        <v>5143.2972370241005</v>
      </c>
      <c r="O73" s="46">
        <f t="shared" si="7"/>
        <v>2057.3188948096404</v>
      </c>
      <c r="P73" s="47">
        <f t="shared" si="8"/>
        <v>7200.6161318337408</v>
      </c>
      <c r="R73" s="46">
        <v>39236.851140679726</v>
      </c>
      <c r="S73" s="118">
        <f t="shared" si="9"/>
        <v>0</v>
      </c>
      <c r="T73" s="41">
        <v>100021725</v>
      </c>
      <c r="U73" s="46">
        <v>31255.569913892599</v>
      </c>
    </row>
    <row r="74" spans="2:21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f t="shared" si="45"/>
        <v>39413.592299367461</v>
      </c>
      <c r="H74" s="137"/>
      <c r="I74" s="46">
        <f t="shared" si="44"/>
        <v>39413.592299367461</v>
      </c>
      <c r="J74" s="46">
        <f t="shared" si="3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 s="46">
        <v>39413.592299367461</v>
      </c>
      <c r="S74" s="118">
        <f t="shared" si="9"/>
        <v>0</v>
      </c>
      <c r="T74" s="27">
        <v>100517055</v>
      </c>
      <c r="U74" s="24">
        <v>31213.60900094096</v>
      </c>
    </row>
    <row r="75" spans="2:21" ht="15" thickBot="1" x14ac:dyDescent="0.4">
      <c r="B75" s="32"/>
      <c r="C75" s="33"/>
      <c r="D75" s="34"/>
      <c r="E75" s="33"/>
      <c r="F75" s="35"/>
      <c r="G75" s="36" t="e">
        <v>#VALUE!</v>
      </c>
      <c r="H75" s="134"/>
      <c r="I75" s="36" t="e">
        <f t="shared" si="44"/>
        <v>#VALUE!</v>
      </c>
      <c r="J75" s="37" t="e">
        <f t="shared" si="32"/>
        <v>#VALUE!</v>
      </c>
      <c r="K75" s="38">
        <v>0.21</v>
      </c>
      <c r="L75" s="37"/>
      <c r="M75" s="38">
        <v>0.3</v>
      </c>
      <c r="N75" s="37"/>
      <c r="O75" s="38">
        <v>0.4</v>
      </c>
      <c r="P75" s="39"/>
      <c r="R75" s="36" t="e">
        <v>#VALUE!</v>
      </c>
      <c r="S75" s="118" t="e">
        <f t="shared" si="9"/>
        <v>#VALUE!</v>
      </c>
      <c r="T75" s="27">
        <v>100517186</v>
      </c>
      <c r="U75" s="24">
        <v>78871.461568832005</v>
      </c>
    </row>
    <row r="76" spans="2:21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v>18259.399891781304</v>
      </c>
      <c r="H76" s="135"/>
      <c r="I76" s="24">
        <f t="shared" si="44"/>
        <v>18259.399891781304</v>
      </c>
      <c r="J76" s="24">
        <f t="shared" si="3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 s="24">
        <v>18259.399891781304</v>
      </c>
      <c r="S76" s="118">
        <f t="shared" si="9"/>
        <v>0</v>
      </c>
      <c r="T76" s="27">
        <v>100521663</v>
      </c>
      <c r="U76" s="24">
        <v>41797.283176593519</v>
      </c>
    </row>
    <row r="77" spans="2:21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v>19613.921820029205</v>
      </c>
      <c r="H77" s="135"/>
      <c r="I77" s="24">
        <f t="shared" si="44"/>
        <v>19613.921820029205</v>
      </c>
      <c r="J77" s="24">
        <f t="shared" ref="J77:J87" si="69">+I77/F77</f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 s="24">
        <v>19613.921820029205</v>
      </c>
      <c r="S77" s="118">
        <f t="shared" si="9"/>
        <v>0</v>
      </c>
      <c r="T77" s="41">
        <v>100021728</v>
      </c>
      <c r="U77" s="46">
        <v>39236.851140679726</v>
      </c>
    </row>
    <row r="78" spans="2:21" ht="15" hidden="1" thickBot="1" x14ac:dyDescent="0.4">
      <c r="B78" s="87"/>
      <c r="C78" s="88"/>
      <c r="D78" s="89"/>
      <c r="E78" s="88"/>
      <c r="F78" s="90"/>
      <c r="G78" s="91" t="e">
        <v>#VALUE!</v>
      </c>
      <c r="H78" s="138"/>
      <c r="I78" s="91" t="e">
        <f t="shared" si="44"/>
        <v>#VALUE!</v>
      </c>
      <c r="J78" s="37" t="e">
        <f t="shared" si="69"/>
        <v>#VALUE!</v>
      </c>
      <c r="K78" s="38"/>
      <c r="L78" s="37"/>
      <c r="M78" s="38"/>
      <c r="N78" s="37"/>
      <c r="O78" s="38"/>
      <c r="P78" s="39"/>
      <c r="R78" s="91" t="e">
        <v>#VALUE!</v>
      </c>
      <c r="S78" s="118" t="e">
        <f t="shared" ref="S78:S109" si="70">+(I78-R78)/R78</f>
        <v>#VALUE!</v>
      </c>
      <c r="T78" s="41">
        <v>100517679</v>
      </c>
      <c r="U78" s="46">
        <v>39413.592299367461</v>
      </c>
    </row>
    <row r="79" spans="2:21" x14ac:dyDescent="0.35">
      <c r="B79" s="86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f>+VLOOKUP(B79,$T$4:$U$106,2,FALSE)</f>
        <v>75339.602925809828</v>
      </c>
      <c r="H79" s="139"/>
      <c r="I79" s="24">
        <f t="shared" si="44"/>
        <v>75339.602925809828</v>
      </c>
      <c r="J79" s="24">
        <f t="shared" si="69"/>
        <v>3139.1501219087427</v>
      </c>
      <c r="K79" s="24">
        <f>+J79*K$3</f>
        <v>659.22152560083589</v>
      </c>
      <c r="L79" s="24">
        <f>+J79+K79</f>
        <v>3798.3716475095785</v>
      </c>
      <c r="M79" s="24">
        <f>+L79*M$3</f>
        <v>1139.5114942528735</v>
      </c>
      <c r="N79" s="24">
        <f>+L79+M79</f>
        <v>4937.8831417624515</v>
      </c>
      <c r="O79" s="24">
        <f>+N79*O$3</f>
        <v>1975.1532567049808</v>
      </c>
      <c r="P79" s="25">
        <f>+N79+O79</f>
        <v>6913.0363984674323</v>
      </c>
      <c r="R79" s="24">
        <v>75339.602925809828</v>
      </c>
      <c r="S79" s="118">
        <f t="shared" si="70"/>
        <v>0</v>
      </c>
      <c r="T79" s="32"/>
      <c r="U79" s="36" t="e">
        <v>#VALUE!</v>
      </c>
    </row>
    <row r="80" spans="2:21" x14ac:dyDescent="0.35">
      <c r="B80" s="86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f>+VLOOKUP(B80,$T$4:$U$106,2,FALSE)</f>
        <v>75339.602925809828</v>
      </c>
      <c r="H80" s="135"/>
      <c r="I80" s="24">
        <f t="shared" si="44"/>
        <v>75339.602925809828</v>
      </c>
      <c r="J80" s="24">
        <f t="shared" si="69"/>
        <v>6278.3002438174854</v>
      </c>
      <c r="K80" s="24">
        <f>+J80*K$3</f>
        <v>1318.4430512016718</v>
      </c>
      <c r="L80" s="24">
        <f>+J80+K80</f>
        <v>7596.7432950191569</v>
      </c>
      <c r="M80" s="24">
        <f>+L80*M$3</f>
        <v>2279.022988505747</v>
      </c>
      <c r="N80" s="24">
        <f>+L80+M80</f>
        <v>9875.766283524903</v>
      </c>
      <c r="O80" s="24">
        <f>+N80*O$3</f>
        <v>3950.3065134099616</v>
      </c>
      <c r="P80" s="25">
        <f>+N80+O80</f>
        <v>13826.072796934865</v>
      </c>
      <c r="R80" s="24">
        <v>75339.602925809828</v>
      </c>
      <c r="S80" s="118">
        <f t="shared" si="70"/>
        <v>0</v>
      </c>
      <c r="T80" s="27">
        <v>100516219</v>
      </c>
      <c r="U80" s="24">
        <v>18259.399891781304</v>
      </c>
    </row>
    <row r="81" spans="1:21" ht="15" thickBot="1" x14ac:dyDescent="0.4">
      <c r="B81" s="86">
        <v>100518463</v>
      </c>
      <c r="C81" s="28" t="s">
        <v>89</v>
      </c>
      <c r="D81" s="63"/>
      <c r="E81" s="22">
        <v>5</v>
      </c>
      <c r="F81" s="23">
        <v>1</v>
      </c>
      <c r="G81" s="24">
        <f>+VLOOKUP(B81,$T$4:$U$106,2,FALSE)</f>
        <v>36693.267187500001</v>
      </c>
      <c r="H81" s="140"/>
      <c r="I81" s="24">
        <f t="shared" si="44"/>
        <v>36693.267187500001</v>
      </c>
      <c r="J81" s="24">
        <f t="shared" si="69"/>
        <v>36693.267187500001</v>
      </c>
      <c r="K81" s="24">
        <f>+J81*K$3</f>
        <v>7705.586109375</v>
      </c>
      <c r="L81" s="24">
        <f>+J81+K81</f>
        <v>44398.853296875001</v>
      </c>
      <c r="M81" s="24">
        <f>+L81*M$3</f>
        <v>13319.655989062499</v>
      </c>
      <c r="N81" s="24">
        <f>+L81+M81</f>
        <v>57718.5092859375</v>
      </c>
      <c r="O81" s="24">
        <f>+N81*O$3</f>
        <v>23087.403714375003</v>
      </c>
      <c r="P81" s="25">
        <f>+N81+O81</f>
        <v>80805.913000312503</v>
      </c>
      <c r="R81" s="24">
        <v>36693.267187500001</v>
      </c>
      <c r="S81" s="118">
        <f t="shared" si="70"/>
        <v>0</v>
      </c>
      <c r="T81" s="27">
        <v>100516220</v>
      </c>
      <c r="U81" s="24">
        <v>19613.921820029205</v>
      </c>
    </row>
    <row r="82" spans="1:21" ht="15" thickBot="1" x14ac:dyDescent="0.4">
      <c r="B82" s="71"/>
      <c r="C82" s="72"/>
      <c r="D82" s="73"/>
      <c r="E82" s="72"/>
      <c r="F82" s="74"/>
      <c r="G82" s="75" t="e">
        <v>#VALUE!</v>
      </c>
      <c r="H82" s="141"/>
      <c r="I82" s="75" t="e">
        <f t="shared" si="44"/>
        <v>#VALUE!</v>
      </c>
      <c r="J82" s="37" t="e">
        <f t="shared" si="69"/>
        <v>#VALUE!</v>
      </c>
      <c r="K82" s="38"/>
      <c r="L82" s="37"/>
      <c r="M82" s="38">
        <v>0.2</v>
      </c>
      <c r="N82" s="37"/>
      <c r="O82" s="38">
        <v>0.35</v>
      </c>
      <c r="P82" s="39"/>
      <c r="R82" s="75" t="e">
        <v>#VALUE!</v>
      </c>
      <c r="S82" s="118" t="e">
        <f t="shared" si="70"/>
        <v>#VALUE!</v>
      </c>
      <c r="T82" s="87"/>
      <c r="U82" s="91" t="e">
        <v>#VALUE!</v>
      </c>
    </row>
    <row r="83" spans="1:21" x14ac:dyDescent="0.35">
      <c r="B83" s="113">
        <v>100518291</v>
      </c>
      <c r="C83" s="114" t="s">
        <v>77</v>
      </c>
      <c r="D83" s="110">
        <v>7790360975195</v>
      </c>
      <c r="E83" s="115">
        <v>5</v>
      </c>
      <c r="F83" s="115">
        <v>10</v>
      </c>
      <c r="G83" s="111">
        <f>+VLOOKUP(B83,$T$4:$U$106,2,FALSE)</f>
        <v>15651.49311866248</v>
      </c>
      <c r="H83" s="117"/>
      <c r="I83" s="85">
        <f t="shared" si="44"/>
        <v>15651.49311866248</v>
      </c>
      <c r="J83" s="111">
        <f t="shared" si="69"/>
        <v>1565.1493118662479</v>
      </c>
      <c r="K83" s="111">
        <f>+J83*K$3</f>
        <v>328.68135549191203</v>
      </c>
      <c r="L83" s="111">
        <f>+J83+K83</f>
        <v>1893.8306673581599</v>
      </c>
      <c r="M83" s="111">
        <f>+L83*M$39</f>
        <v>378.76613347163197</v>
      </c>
      <c r="N83" s="111">
        <f>+L83+M83</f>
        <v>2272.5968008297918</v>
      </c>
      <c r="O83" s="111">
        <f>+N83*O$39</f>
        <v>795.40888029042708</v>
      </c>
      <c r="P83" s="112">
        <f>+N83+O83</f>
        <v>3068.0056811202189</v>
      </c>
      <c r="Q83">
        <v>0.15</v>
      </c>
      <c r="R83" s="85">
        <v>14906.183922535694</v>
      </c>
      <c r="S83" s="118">
        <f t="shared" si="70"/>
        <v>5.0000000000000058E-2</v>
      </c>
      <c r="T83" s="86">
        <v>100518158</v>
      </c>
      <c r="U83" s="24">
        <v>75339.602925809828</v>
      </c>
    </row>
    <row r="84" spans="1:21" ht="15" thickBot="1" x14ac:dyDescent="0.4">
      <c r="B84" s="104">
        <v>100518292</v>
      </c>
      <c r="C84" s="105" t="s">
        <v>78</v>
      </c>
      <c r="D84" s="106">
        <v>7790360975201</v>
      </c>
      <c r="E84" s="107">
        <v>12</v>
      </c>
      <c r="F84" s="107">
        <v>12</v>
      </c>
      <c r="G84" s="108">
        <f>+VLOOKUP(B84,$T$4:$U$106,2,FALSE)</f>
        <v>36931.938909800476</v>
      </c>
      <c r="H84" s="117"/>
      <c r="I84" s="85">
        <f t="shared" si="44"/>
        <v>36931.938909800476</v>
      </c>
      <c r="J84" s="108">
        <f t="shared" si="69"/>
        <v>3077.6615758167063</v>
      </c>
      <c r="K84" s="108">
        <f>+J84*K$3</f>
        <v>646.30893092150825</v>
      </c>
      <c r="L84" s="108">
        <f>+J84+K84</f>
        <v>3723.9705067382147</v>
      </c>
      <c r="M84" s="108">
        <f>+L84*M$39</f>
        <v>744.79410134764294</v>
      </c>
      <c r="N84" s="108">
        <f>+L84+M84</f>
        <v>4468.7646080858576</v>
      </c>
      <c r="O84" s="108">
        <f>+N84*O$39</f>
        <v>1564.0676128300502</v>
      </c>
      <c r="P84" s="109">
        <f>+N84+O84</f>
        <v>6032.8322209159078</v>
      </c>
      <c r="Q84">
        <v>0.15</v>
      </c>
      <c r="R84" s="85">
        <v>35173.27515219093</v>
      </c>
      <c r="S84" s="118">
        <f t="shared" si="70"/>
        <v>4.9999999999999968E-2</v>
      </c>
      <c r="T84" s="86">
        <v>100518160</v>
      </c>
      <c r="U84" s="24">
        <v>75339.602925809828</v>
      </c>
    </row>
    <row r="85" spans="1:21" ht="15" thickBot="1" x14ac:dyDescent="0.4">
      <c r="B85" s="71"/>
      <c r="C85" s="72"/>
      <c r="D85" s="73"/>
      <c r="E85" s="72"/>
      <c r="F85" s="74"/>
      <c r="G85" s="75" t="e">
        <v>#VALUE!</v>
      </c>
      <c r="H85" s="141"/>
      <c r="I85" s="75" t="e">
        <f t="shared" si="44"/>
        <v>#VALUE!</v>
      </c>
      <c r="J85" s="37" t="e">
        <f t="shared" si="69"/>
        <v>#VALUE!</v>
      </c>
      <c r="K85" s="38">
        <v>0.105</v>
      </c>
      <c r="L85" s="37"/>
      <c r="M85" s="38">
        <v>0.3</v>
      </c>
      <c r="N85" s="37"/>
      <c r="O85" s="38">
        <v>0.4</v>
      </c>
      <c r="P85" s="39"/>
      <c r="R85" s="75" t="e">
        <v>#VALUE!</v>
      </c>
      <c r="S85" s="118" t="e">
        <f t="shared" si="70"/>
        <v>#VALUE!</v>
      </c>
      <c r="T85" s="86">
        <v>100518463</v>
      </c>
      <c r="U85" s="24">
        <v>36693.267187500001</v>
      </c>
    </row>
    <row r="86" spans="1:21" ht="15" thickBot="1" x14ac:dyDescent="0.4">
      <c r="B86" s="113">
        <v>100517915</v>
      </c>
      <c r="C86" s="114" t="s">
        <v>79</v>
      </c>
      <c r="D86" s="110">
        <v>7790360974020</v>
      </c>
      <c r="E86" s="115">
        <v>18</v>
      </c>
      <c r="F86" s="115">
        <v>36</v>
      </c>
      <c r="G86" s="111">
        <f t="shared" ref="G86:G98" si="71">+VLOOKUP(B86,$T$4:$U$106,2,FALSE)</f>
        <v>160512.01231783535</v>
      </c>
      <c r="H86" s="97"/>
      <c r="I86" s="85">
        <f t="shared" si="44"/>
        <v>160512.01231783535</v>
      </c>
      <c r="J86" s="111">
        <f t="shared" si="69"/>
        <v>4458.6670088287601</v>
      </c>
      <c r="K86" s="111">
        <f>+J86*K$85</f>
        <v>468.16003592701981</v>
      </c>
      <c r="L86" s="111">
        <f>+J86+K86</f>
        <v>4926.8270447557798</v>
      </c>
      <c r="M86" s="111">
        <f>+L86*M$85</f>
        <v>1478.0481134267338</v>
      </c>
      <c r="N86" s="111">
        <f>+L86+M86</f>
        <v>6404.8751581825136</v>
      </c>
      <c r="O86" s="111">
        <f>+N86*O$85</f>
        <v>2561.9500632730055</v>
      </c>
      <c r="P86" s="112">
        <f>+N86+O86</f>
        <v>8966.8252214555196</v>
      </c>
      <c r="R86" s="85">
        <v>160512.01231783535</v>
      </c>
      <c r="S86" s="118">
        <f t="shared" si="70"/>
        <v>0</v>
      </c>
      <c r="T86" s="71"/>
      <c r="U86" s="75" t="e">
        <v>#VALUE!</v>
      </c>
    </row>
    <row r="87" spans="1:21" ht="15" thickBot="1" x14ac:dyDescent="0.4">
      <c r="B87" s="104">
        <v>100517914</v>
      </c>
      <c r="C87" s="105" t="s">
        <v>80</v>
      </c>
      <c r="D87" s="106">
        <v>7790360974037</v>
      </c>
      <c r="E87" s="107">
        <v>20</v>
      </c>
      <c r="F87" s="107">
        <v>20</v>
      </c>
      <c r="G87" s="108">
        <f t="shared" si="71"/>
        <v>175154.27477482893</v>
      </c>
      <c r="H87" s="97"/>
      <c r="I87" s="85">
        <f t="shared" si="44"/>
        <v>175154.27477482893</v>
      </c>
      <c r="J87" s="108">
        <f t="shared" si="69"/>
        <v>8757.7137387414459</v>
      </c>
      <c r="K87" s="108">
        <f>+J87*K$85</f>
        <v>919.55994256785175</v>
      </c>
      <c r="L87" s="108">
        <f>+J87+K87</f>
        <v>9677.2736813092979</v>
      </c>
      <c r="M87" s="108">
        <f>+L87*M$85</f>
        <v>2903.1821043927894</v>
      </c>
      <c r="N87" s="108">
        <f>+L87+M87</f>
        <v>12580.455785702088</v>
      </c>
      <c r="O87" s="108">
        <f>+N87*O$85</f>
        <v>5032.1823142808353</v>
      </c>
      <c r="P87" s="109">
        <f>+N87+O87</f>
        <v>17612.638099982923</v>
      </c>
      <c r="R87" s="85">
        <v>175154.27477482893</v>
      </c>
      <c r="S87" s="118">
        <f t="shared" si="70"/>
        <v>0</v>
      </c>
      <c r="T87" s="202">
        <v>100518291</v>
      </c>
      <c r="U87" s="61">
        <v>15651.49311866248</v>
      </c>
    </row>
    <row r="88" spans="1:21" ht="15" thickBot="1" x14ac:dyDescent="0.4">
      <c r="B88" s="71"/>
      <c r="C88" s="72"/>
      <c r="D88" s="73"/>
      <c r="E88" s="72"/>
      <c r="F88" s="74"/>
      <c r="G88" s="75" t="e">
        <f t="shared" si="71"/>
        <v>#N/A</v>
      </c>
      <c r="H88" s="141"/>
      <c r="I88" s="75" t="e">
        <f t="shared" si="44"/>
        <v>#N/A</v>
      </c>
      <c r="J88" s="92"/>
      <c r="K88" s="93">
        <v>0.105</v>
      </c>
      <c r="L88" s="92"/>
      <c r="M88" s="94">
        <v>0.3</v>
      </c>
      <c r="N88" s="92"/>
      <c r="O88" s="94">
        <v>0.4</v>
      </c>
      <c r="P88" s="95"/>
      <c r="R88" s="75" t="e">
        <v>#N/A</v>
      </c>
      <c r="S88" s="118" t="e">
        <f t="shared" si="70"/>
        <v>#N/A</v>
      </c>
      <c r="T88" s="203">
        <v>100518292</v>
      </c>
      <c r="U88" s="69">
        <v>36931.938909800476</v>
      </c>
    </row>
    <row r="89" spans="1:21" ht="15" thickBot="1" x14ac:dyDescent="0.4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f t="shared" si="71"/>
        <v>16500</v>
      </c>
      <c r="H89" s="135"/>
      <c r="I89" s="24">
        <f t="shared" si="44"/>
        <v>16500</v>
      </c>
      <c r="J89" s="61">
        <f t="shared" ref="J89:J94" si="72">+I89/F89</f>
        <v>16500</v>
      </c>
      <c r="K89" s="61">
        <f t="shared" ref="K89:K94" si="73">+J89*K$88</f>
        <v>1732.5</v>
      </c>
      <c r="L89" s="61">
        <f t="shared" ref="L89:L94" si="74">+J89+K89</f>
        <v>18232.5</v>
      </c>
      <c r="M89" s="61">
        <f t="shared" ref="M89:M94" si="75">+L89*M$88</f>
        <v>5469.75</v>
      </c>
      <c r="N89" s="61">
        <f t="shared" ref="N89:N94" si="76">+L89+M89</f>
        <v>23702.25</v>
      </c>
      <c r="O89" s="61">
        <f t="shared" ref="O89:O94" si="77">+N89*O$88</f>
        <v>9480.9</v>
      </c>
      <c r="P89" s="62">
        <f t="shared" ref="P89:P94" si="78">+N89+O89</f>
        <v>33183.15</v>
      </c>
      <c r="R89" s="24">
        <v>15714.285714285716</v>
      </c>
      <c r="S89" s="118">
        <f t="shared" si="70"/>
        <v>4.9999999999999913E-2</v>
      </c>
      <c r="T89" s="71"/>
      <c r="U89" s="75" t="e">
        <v>#VALUE!</v>
      </c>
    </row>
    <row r="90" spans="1:21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f t="shared" si="71"/>
        <v>11785.714285714286</v>
      </c>
      <c r="H90" s="135"/>
      <c r="I90" s="24">
        <f t="shared" si="44"/>
        <v>11785.714285714286</v>
      </c>
      <c r="J90" s="24">
        <f t="shared" si="72"/>
        <v>11785.714285714286</v>
      </c>
      <c r="K90" s="24">
        <f t="shared" si="73"/>
        <v>1237.5</v>
      </c>
      <c r="L90" s="24">
        <f t="shared" si="74"/>
        <v>13023.214285714286</v>
      </c>
      <c r="M90" s="24">
        <f t="shared" si="75"/>
        <v>3906.9642857142858</v>
      </c>
      <c r="N90" s="24">
        <f t="shared" si="76"/>
        <v>16930.178571428572</v>
      </c>
      <c r="O90" s="24">
        <f t="shared" si="77"/>
        <v>6772.0714285714294</v>
      </c>
      <c r="P90" s="25">
        <f t="shared" si="78"/>
        <v>23702.25</v>
      </c>
      <c r="R90" s="24">
        <v>11224.489795918369</v>
      </c>
      <c r="S90" s="118">
        <f t="shared" si="70"/>
        <v>4.9999999999999885E-2</v>
      </c>
      <c r="T90" s="202">
        <v>100517915</v>
      </c>
      <c r="U90" s="61">
        <v>160512.01231783535</v>
      </c>
    </row>
    <row r="91" spans="1:21" ht="15" thickBot="1" x14ac:dyDescent="0.4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f t="shared" si="71"/>
        <v>13553.571428571431</v>
      </c>
      <c r="H91" s="135"/>
      <c r="I91" s="24">
        <f t="shared" si="44"/>
        <v>13553.571428571431</v>
      </c>
      <c r="J91" s="24">
        <f t="shared" si="72"/>
        <v>13553.571428571431</v>
      </c>
      <c r="K91" s="24">
        <f t="shared" si="73"/>
        <v>1423.1250000000002</v>
      </c>
      <c r="L91" s="24">
        <f t="shared" si="74"/>
        <v>14976.696428571431</v>
      </c>
      <c r="M91" s="24">
        <f t="shared" si="75"/>
        <v>4493.0089285714294</v>
      </c>
      <c r="N91" s="24">
        <f t="shared" si="76"/>
        <v>19469.705357142862</v>
      </c>
      <c r="O91" s="24">
        <f t="shared" si="77"/>
        <v>7787.8821428571455</v>
      </c>
      <c r="P91" s="25">
        <f t="shared" si="78"/>
        <v>27257.587500000009</v>
      </c>
      <c r="R91" s="24">
        <v>12908.163265306122</v>
      </c>
      <c r="S91" s="118">
        <f t="shared" si="70"/>
        <v>5.0000000000000204E-2</v>
      </c>
      <c r="T91" s="203">
        <v>100517914</v>
      </c>
      <c r="U91" s="69">
        <v>175154.27477482893</v>
      </c>
    </row>
    <row r="92" spans="1:21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f t="shared" si="71"/>
        <v>12021.428571428572</v>
      </c>
      <c r="H92" s="135"/>
      <c r="I92" s="24">
        <f t="shared" si="44"/>
        <v>12021.428571428572</v>
      </c>
      <c r="J92" s="24">
        <f t="shared" si="72"/>
        <v>12021.428571428572</v>
      </c>
      <c r="K92" s="24">
        <f t="shared" si="73"/>
        <v>1262.25</v>
      </c>
      <c r="L92" s="24">
        <f t="shared" si="74"/>
        <v>13283.678571428572</v>
      </c>
      <c r="M92" s="24">
        <f t="shared" si="75"/>
        <v>3985.1035714285717</v>
      </c>
      <c r="N92" s="24">
        <f t="shared" si="76"/>
        <v>17268.782142857144</v>
      </c>
      <c r="O92" s="24">
        <f t="shared" si="77"/>
        <v>6907.5128571428577</v>
      </c>
      <c r="P92" s="25">
        <f t="shared" si="78"/>
        <v>24176.295000000002</v>
      </c>
      <c r="R92" s="24">
        <v>11448.979591836736</v>
      </c>
      <c r="S92" s="118">
        <f t="shared" si="70"/>
        <v>4.9999999999999947E-2</v>
      </c>
      <c r="T92" s="71"/>
      <c r="U92" s="75"/>
    </row>
    <row r="93" spans="1:21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f t="shared" si="71"/>
        <v>14185.285714285716</v>
      </c>
      <c r="H93" s="135"/>
      <c r="I93" s="24">
        <f t="shared" si="44"/>
        <v>14185.285714285716</v>
      </c>
      <c r="J93" s="24">
        <f t="shared" si="72"/>
        <v>14185.285714285716</v>
      </c>
      <c r="K93" s="24">
        <f t="shared" si="73"/>
        <v>1489.4550000000002</v>
      </c>
      <c r="L93" s="24">
        <f t="shared" si="74"/>
        <v>15674.740714285716</v>
      </c>
      <c r="M93" s="24">
        <f t="shared" si="75"/>
        <v>4702.4222142857143</v>
      </c>
      <c r="N93" s="24">
        <f t="shared" si="76"/>
        <v>20377.16292857143</v>
      </c>
      <c r="O93" s="24">
        <f t="shared" si="77"/>
        <v>8150.8651714285725</v>
      </c>
      <c r="P93" s="25">
        <f t="shared" si="78"/>
        <v>28528.028100000003</v>
      </c>
      <c r="R93" s="24">
        <v>13244.897959183672</v>
      </c>
      <c r="S93" s="118">
        <f t="shared" si="70"/>
        <v>7.1000000000000188E-2</v>
      </c>
      <c r="T93" s="27">
        <v>100010689</v>
      </c>
      <c r="U93" s="24">
        <v>16500</v>
      </c>
    </row>
    <row r="94" spans="1:21" x14ac:dyDescent="0.35">
      <c r="A94" s="177"/>
      <c r="B94" s="177">
        <v>100027726</v>
      </c>
      <c r="C94" s="178" t="s">
        <v>152</v>
      </c>
      <c r="D94" s="81">
        <v>22.5</v>
      </c>
      <c r="E94" s="23">
        <v>1</v>
      </c>
      <c r="F94" s="23">
        <v>1</v>
      </c>
      <c r="G94" s="24">
        <f t="shared" si="71"/>
        <v>7155.2250000000004</v>
      </c>
      <c r="H94" s="135"/>
      <c r="I94" s="24">
        <f t="shared" ref="I94" si="79">+G94*(1-H94)</f>
        <v>7155.2250000000004</v>
      </c>
      <c r="J94" s="24">
        <f t="shared" si="72"/>
        <v>7155.2250000000004</v>
      </c>
      <c r="K94" s="24">
        <f t="shared" si="73"/>
        <v>751.29862500000002</v>
      </c>
      <c r="L94" s="24">
        <f t="shared" si="74"/>
        <v>7906.5236250000007</v>
      </c>
      <c r="M94" s="24">
        <f t="shared" si="75"/>
        <v>2371.9570874999999</v>
      </c>
      <c r="N94" s="24">
        <f t="shared" si="76"/>
        <v>10278.480712500001</v>
      </c>
      <c r="O94" s="24">
        <f t="shared" si="77"/>
        <v>4111.3922850000008</v>
      </c>
      <c r="P94" s="25">
        <f t="shared" si="78"/>
        <v>14389.872997500002</v>
      </c>
      <c r="R94" s="180">
        <v>6814.5000000000009</v>
      </c>
      <c r="S94" s="118"/>
      <c r="T94" s="27">
        <v>100518335</v>
      </c>
      <c r="U94" s="24">
        <v>11785.714285714286</v>
      </c>
    </row>
    <row r="95" spans="1:21" ht="15" thickBot="1" x14ac:dyDescent="0.4">
      <c r="B95" s="71"/>
      <c r="C95" s="72"/>
      <c r="D95" s="73"/>
      <c r="E95" s="72"/>
      <c r="F95" s="74"/>
      <c r="G95" s="75" t="e">
        <f t="shared" si="71"/>
        <v>#N/A</v>
      </c>
      <c r="H95" s="141"/>
      <c r="I95" s="75" t="e">
        <f t="shared" si="44"/>
        <v>#N/A</v>
      </c>
      <c r="J95" s="92"/>
      <c r="K95" s="93">
        <v>0.21</v>
      </c>
      <c r="L95" s="92"/>
      <c r="M95" s="38">
        <v>0.3</v>
      </c>
      <c r="N95" s="37"/>
      <c r="O95" s="38">
        <v>0.4</v>
      </c>
      <c r="P95" s="95"/>
      <c r="R95" s="75" t="e">
        <v>#N/A</v>
      </c>
      <c r="S95" s="118" t="e">
        <f t="shared" si="70"/>
        <v>#N/A</v>
      </c>
      <c r="T95" s="27">
        <v>100518332</v>
      </c>
      <c r="U95" s="24">
        <v>13553.571428571431</v>
      </c>
    </row>
    <row r="96" spans="1:21" ht="15" thickBot="1" x14ac:dyDescent="0.4">
      <c r="B96" s="27">
        <v>100520837</v>
      </c>
      <c r="C96" s="28" t="s">
        <v>86</v>
      </c>
      <c r="D96" s="21">
        <v>7790360980625</v>
      </c>
      <c r="E96" s="81">
        <v>4.8</v>
      </c>
      <c r="F96" s="23">
        <v>12</v>
      </c>
      <c r="G96" s="24">
        <f t="shared" si="71"/>
        <v>37186.422570532915</v>
      </c>
      <c r="H96" s="135"/>
      <c r="I96" s="24">
        <f t="shared" si="44"/>
        <v>37186.422570532915</v>
      </c>
      <c r="J96" s="46">
        <f>+I96/F96</f>
        <v>3098.8685475444095</v>
      </c>
      <c r="K96" s="46">
        <f>+J96*K$95</f>
        <v>650.76239498432597</v>
      </c>
      <c r="L96" s="43">
        <f>+J96+K96</f>
        <v>3749.6309425287354</v>
      </c>
      <c r="M96" s="81">
        <f>+L96*M$95</f>
        <v>1124.8892827586205</v>
      </c>
      <c r="N96" s="23">
        <f>+L96+M96</f>
        <v>4874.520225287356</v>
      </c>
      <c r="O96" s="61">
        <f>+N96*O$95</f>
        <v>1949.8080901149424</v>
      </c>
      <c r="P96" s="62">
        <f>+N96+O96</f>
        <v>6824.3283154022984</v>
      </c>
      <c r="R96" s="24">
        <v>35756.175548589337</v>
      </c>
      <c r="S96" s="118">
        <f t="shared" si="70"/>
        <v>4.0000000000000133E-2</v>
      </c>
      <c r="T96" s="27">
        <v>100518334</v>
      </c>
      <c r="U96" s="24">
        <v>12021.428571428572</v>
      </c>
    </row>
    <row r="97" spans="1:21" ht="15" thickBot="1" x14ac:dyDescent="0.4">
      <c r="A97" s="80"/>
      <c r="B97" s="80">
        <v>100522395</v>
      </c>
      <c r="C97" s="42" t="s">
        <v>160</v>
      </c>
      <c r="D97" s="43">
        <v>7790360980625</v>
      </c>
      <c r="E97" s="81">
        <v>4.8</v>
      </c>
      <c r="F97" s="23">
        <v>12</v>
      </c>
      <c r="G97" s="24">
        <f t="shared" si="71"/>
        <v>37930.143680000008</v>
      </c>
      <c r="H97" s="135"/>
      <c r="I97" s="24">
        <f t="shared" ref="I97" si="80">+G97*(1-H97)</f>
        <v>37930.143680000008</v>
      </c>
      <c r="J97" s="46">
        <f>+I97/F97</f>
        <v>3160.8453066666675</v>
      </c>
      <c r="K97" s="46">
        <f>+J97*K$95</f>
        <v>663.7775144000002</v>
      </c>
      <c r="L97" s="43">
        <f>+J97+K97</f>
        <v>3824.6228210666677</v>
      </c>
      <c r="M97" s="81">
        <f>+L97*M$95</f>
        <v>1147.3868463200004</v>
      </c>
      <c r="N97" s="23">
        <f>+L97+M97</f>
        <v>4972.0096673866683</v>
      </c>
      <c r="O97" s="61">
        <f>+N97*O$95</f>
        <v>1988.8038669546675</v>
      </c>
      <c r="P97" s="62">
        <f>+N97+O97</f>
        <v>6960.813534341336</v>
      </c>
      <c r="R97" s="180">
        <v>36471.292000000001</v>
      </c>
      <c r="S97" s="118">
        <f t="shared" si="70"/>
        <v>4.0000000000000188E-2</v>
      </c>
      <c r="T97" s="27">
        <v>100518227</v>
      </c>
      <c r="U97" s="24">
        <v>14185.285714285716</v>
      </c>
    </row>
    <row r="98" spans="1:21" x14ac:dyDescent="0.35">
      <c r="A98" s="80"/>
      <c r="B98" s="80">
        <v>100522561</v>
      </c>
      <c r="C98" s="42" t="s">
        <v>169</v>
      </c>
      <c r="D98" s="43"/>
      <c r="E98" s="81">
        <v>16</v>
      </c>
      <c r="F98" s="23">
        <v>8</v>
      </c>
      <c r="G98" s="24">
        <f t="shared" si="71"/>
        <v>7507.0076033333353</v>
      </c>
      <c r="H98" s="135"/>
      <c r="I98" s="24">
        <f t="shared" ref="I98" si="81">+G98*(1-H98)</f>
        <v>7507.0076033333353</v>
      </c>
      <c r="J98" s="46">
        <f>+I98*2</f>
        <v>15014.015206666671</v>
      </c>
      <c r="K98" s="46">
        <f>+J98*K$95</f>
        <v>3152.9431934000008</v>
      </c>
      <c r="L98" s="43">
        <f>+J98+K98</f>
        <v>18166.958400066673</v>
      </c>
      <c r="M98" s="81">
        <f>+L98*M$95</f>
        <v>5450.0875200200016</v>
      </c>
      <c r="N98" s="23">
        <f>+L98+M98</f>
        <v>23617.045920086675</v>
      </c>
      <c r="O98" s="61">
        <f>+N98*O$95</f>
        <v>9446.8183680346701</v>
      </c>
      <c r="P98" s="62">
        <f>+N98+O98</f>
        <v>33063.864288121345</v>
      </c>
      <c r="R98" s="180" t="e">
        <v>#N/A</v>
      </c>
      <c r="S98" s="118" t="e">
        <f t="shared" si="70"/>
        <v>#N/A</v>
      </c>
      <c r="T98" s="177">
        <v>100027726</v>
      </c>
      <c r="U98" s="24">
        <v>7155.2250000000004</v>
      </c>
    </row>
    <row r="99" spans="1:21" ht="15" thickBot="1" x14ac:dyDescent="0.4">
      <c r="B99" s="71"/>
      <c r="C99" s="72"/>
      <c r="D99" s="73"/>
      <c r="E99" s="72"/>
      <c r="F99" s="74"/>
      <c r="G99" s="75" t="e">
        <f>+VLOOKUP(B99,$T$4:$U$106,2,FALSE)</f>
        <v>#N/A</v>
      </c>
      <c r="H99" s="141"/>
      <c r="I99" s="75" t="e">
        <f t="shared" si="44"/>
        <v>#N/A</v>
      </c>
      <c r="J99" s="236"/>
      <c r="K99" s="237">
        <v>0.21</v>
      </c>
      <c r="L99" s="92"/>
      <c r="M99" s="38">
        <v>0.3</v>
      </c>
      <c r="N99" s="37"/>
      <c r="O99" s="38">
        <v>0.4</v>
      </c>
      <c r="P99" s="95"/>
      <c r="R99" s="75" t="e">
        <v>#N/A</v>
      </c>
      <c r="S99" s="118" t="e">
        <f t="shared" si="70"/>
        <v>#N/A</v>
      </c>
      <c r="T99" s="71"/>
      <c r="U99" s="75"/>
    </row>
    <row r="100" spans="1:21" ht="15" thickBot="1" x14ac:dyDescent="0.4">
      <c r="B100" s="84">
        <v>100520902</v>
      </c>
      <c r="C100" s="98" t="s">
        <v>87</v>
      </c>
      <c r="D100" s="99">
        <v>7790360981042</v>
      </c>
      <c r="E100" s="128">
        <v>9.8000000000000007</v>
      </c>
      <c r="F100" s="101">
        <v>14</v>
      </c>
      <c r="G100" s="85">
        <f>+VLOOKUP(B100,$T$4:$U$106,2,FALSE)</f>
        <v>33316.176941832127</v>
      </c>
      <c r="H100" s="189">
        <v>0.125</v>
      </c>
      <c r="I100" s="85">
        <f t="shared" si="44"/>
        <v>29151.654824103112</v>
      </c>
      <c r="J100" s="154">
        <f>+I100/F100</f>
        <v>2082.261058864508</v>
      </c>
      <c r="K100" s="154">
        <f>+J100*K$99</f>
        <v>437.27482236154668</v>
      </c>
      <c r="L100" s="127">
        <f>+J100+K100</f>
        <v>2519.5358812260547</v>
      </c>
      <c r="M100" s="128">
        <f>+L100*M$99</f>
        <v>755.86076436781639</v>
      </c>
      <c r="N100" s="101">
        <f>+L100+M100</f>
        <v>3275.3966455938712</v>
      </c>
      <c r="O100" s="111">
        <f>+N100*O$99</f>
        <v>1310.1586582375485</v>
      </c>
      <c r="P100" s="112">
        <f>+N100+O100</f>
        <v>4585.5553038314192</v>
      </c>
      <c r="Q100">
        <v>0.125</v>
      </c>
      <c r="R100" s="24">
        <v>28302.577499129231</v>
      </c>
      <c r="S100" s="118">
        <f t="shared" si="70"/>
        <v>3.0000000000000155E-2</v>
      </c>
      <c r="T100" s="27">
        <v>100520837</v>
      </c>
      <c r="U100" s="24">
        <v>37186.422570532915</v>
      </c>
    </row>
    <row r="101" spans="1:21" x14ac:dyDescent="0.35">
      <c r="A101" s="80"/>
      <c r="B101" s="125">
        <v>100522698</v>
      </c>
      <c r="C101" s="126" t="s">
        <v>170</v>
      </c>
      <c r="D101" s="127">
        <v>7790360986511</v>
      </c>
      <c r="E101" s="128">
        <v>14</v>
      </c>
      <c r="F101" s="101">
        <v>7</v>
      </c>
      <c r="G101" s="85">
        <f>+VLOOKUP(B101,$T$4:$U$106,2,FALSE)</f>
        <v>42261.697434111236</v>
      </c>
      <c r="H101" s="189"/>
      <c r="I101" s="85">
        <f t="shared" ref="I101" si="82">+G101*(1-H101)</f>
        <v>42261.697434111236</v>
      </c>
      <c r="J101" s="154">
        <f>+I101/F101</f>
        <v>6037.3853477301764</v>
      </c>
      <c r="K101" s="154">
        <f>+J101*K$99</f>
        <v>1267.8509230233369</v>
      </c>
      <c r="L101" s="127">
        <f>+J101+K101</f>
        <v>7305.2362707535131</v>
      </c>
      <c r="M101" s="128">
        <f>+L101*M$99</f>
        <v>2191.5708812260536</v>
      </c>
      <c r="N101" s="101">
        <f>+L101+M101</f>
        <v>9496.8071519795667</v>
      </c>
      <c r="O101" s="111">
        <f>+N101*O$99</f>
        <v>3798.7228607918269</v>
      </c>
      <c r="P101" s="112">
        <f>+N101+O101</f>
        <v>13295.530012771393</v>
      </c>
      <c r="Q101">
        <v>0.125</v>
      </c>
      <c r="R101" s="209" t="e">
        <v>#N/A</v>
      </c>
      <c r="S101" s="118" t="e">
        <f t="shared" si="70"/>
        <v>#N/A</v>
      </c>
      <c r="T101" s="80">
        <v>100522395</v>
      </c>
      <c r="U101" s="24">
        <v>37930.143680000008</v>
      </c>
    </row>
    <row r="102" spans="1:21" ht="15" thickBot="1" x14ac:dyDescent="0.4">
      <c r="B102" s="71"/>
      <c r="C102" s="72"/>
      <c r="D102" s="73"/>
      <c r="E102" s="72"/>
      <c r="F102" s="74"/>
      <c r="G102" s="75" t="e">
        <f>+VLOOKUP(B102,$T$4:$U$106,2,FALSE)</f>
        <v>#N/A</v>
      </c>
      <c r="H102" s="74"/>
      <c r="I102" s="75" t="e">
        <f t="shared" ref="I102" si="83">+G102*(1-H102)</f>
        <v>#N/A</v>
      </c>
      <c r="J102" s="236"/>
      <c r="K102" s="237">
        <v>0.21</v>
      </c>
      <c r="L102" s="92"/>
      <c r="M102" s="94">
        <v>0.3</v>
      </c>
      <c r="N102" s="92"/>
      <c r="O102" s="94">
        <v>0.4</v>
      </c>
      <c r="P102" s="95"/>
      <c r="R102" t="e">
        <v>#N/A</v>
      </c>
      <c r="T102" s="80">
        <v>100522561</v>
      </c>
      <c r="U102" s="24">
        <v>7507.0076033333353</v>
      </c>
    </row>
    <row r="103" spans="1:21" ht="15" thickBot="1" x14ac:dyDescent="0.4">
      <c r="B103" s="84">
        <v>100521457</v>
      </c>
      <c r="C103" s="98" t="s">
        <v>103</v>
      </c>
      <c r="D103" s="99">
        <v>7790360982254</v>
      </c>
      <c r="E103" s="128">
        <v>4.8</v>
      </c>
      <c r="F103" s="101">
        <v>16</v>
      </c>
      <c r="G103" s="85">
        <f>+VLOOKUP(B103,$T$4:$U$113,2,FALSE)</f>
        <v>37934.294670846401</v>
      </c>
      <c r="H103" s="223">
        <v>0.05</v>
      </c>
      <c r="I103" s="85">
        <f t="shared" ref="I103:I106" si="84">+G103*(1-H103)</f>
        <v>36037.579937304079</v>
      </c>
      <c r="J103" s="154">
        <f t="shared" ref="J103:J106" si="85">+I103/F103</f>
        <v>2252.3487460815049</v>
      </c>
      <c r="K103" s="154">
        <f>+J103*K$102</f>
        <v>472.99323667711604</v>
      </c>
      <c r="L103" s="127">
        <f>+J103+K103</f>
        <v>2725.3419827586208</v>
      </c>
      <c r="M103" s="128">
        <f>+L103*M$102</f>
        <v>817.60259482758624</v>
      </c>
      <c r="N103" s="101">
        <f>+L103+M103</f>
        <v>3542.9445775862068</v>
      </c>
      <c r="O103" s="111">
        <f>+N103*O$102</f>
        <v>1417.1778310344828</v>
      </c>
      <c r="P103" s="112">
        <f>+N103+O103</f>
        <v>4960.1224086206894</v>
      </c>
      <c r="Q103">
        <v>7.4999999999999997E-2</v>
      </c>
      <c r="R103">
        <v>33418.307210031351</v>
      </c>
      <c r="S103" s="118">
        <f t="shared" si="70"/>
        <v>7.8378378378378397E-2</v>
      </c>
      <c r="T103" s="71"/>
      <c r="U103" s="75"/>
    </row>
    <row r="104" spans="1:21" ht="15" thickBot="1" x14ac:dyDescent="0.4">
      <c r="B104" s="84">
        <v>100521455</v>
      </c>
      <c r="C104" s="98" t="s">
        <v>104</v>
      </c>
      <c r="D104" s="99">
        <v>7790360982247</v>
      </c>
      <c r="E104" s="128">
        <v>4.8</v>
      </c>
      <c r="F104" s="101">
        <v>16</v>
      </c>
      <c r="G104" s="85">
        <f>+VLOOKUP(B104,$T$4:$U$109,2,FALSE)</f>
        <v>37934.294670846401</v>
      </c>
      <c r="H104" s="223">
        <v>0.05</v>
      </c>
      <c r="I104" s="85">
        <f t="shared" si="84"/>
        <v>36037.579937304079</v>
      </c>
      <c r="J104" s="154">
        <f t="shared" si="85"/>
        <v>2252.3487460815049</v>
      </c>
      <c r="K104" s="154">
        <f>+J104*K$102</f>
        <v>472.99323667711604</v>
      </c>
      <c r="L104" s="127">
        <f t="shared" ref="L104:L106" si="86">+J104+K104</f>
        <v>2725.3419827586208</v>
      </c>
      <c r="M104" s="128">
        <f>+L104*M$102</f>
        <v>817.60259482758624</v>
      </c>
      <c r="N104" s="101">
        <f t="shared" ref="N104:N106" si="87">+L104+M104</f>
        <v>3542.9445775862068</v>
      </c>
      <c r="O104" s="111">
        <f>+N104*O$102</f>
        <v>1417.1778310344828</v>
      </c>
      <c r="P104" s="112">
        <f t="shared" ref="P104:P106" si="88">+N104+O104</f>
        <v>4960.1224086206894</v>
      </c>
      <c r="Q104">
        <v>7.4999999999999997E-2</v>
      </c>
      <c r="R104">
        <v>33418.307210031351</v>
      </c>
      <c r="S104" s="118">
        <f t="shared" si="70"/>
        <v>7.8378378378378397E-2</v>
      </c>
      <c r="T104" s="27">
        <v>100520902</v>
      </c>
      <c r="U104" s="24">
        <v>33316.176941832127</v>
      </c>
    </row>
    <row r="105" spans="1:21" ht="15" thickBot="1" x14ac:dyDescent="0.4">
      <c r="B105" s="84">
        <v>100521453</v>
      </c>
      <c r="C105" s="98" t="s">
        <v>105</v>
      </c>
      <c r="D105" s="99">
        <v>7790360982223</v>
      </c>
      <c r="E105" s="128">
        <v>5.4</v>
      </c>
      <c r="F105" s="101">
        <v>18</v>
      </c>
      <c r="G105" s="85">
        <f>+VLOOKUP(B105,$T$4:$U$109,2,FALSE)</f>
        <v>36630.303291536067</v>
      </c>
      <c r="H105" s="223">
        <v>0.05</v>
      </c>
      <c r="I105" s="85">
        <f t="shared" si="84"/>
        <v>34798.788126959262</v>
      </c>
      <c r="J105" s="154">
        <f t="shared" si="85"/>
        <v>1933.2660070532922</v>
      </c>
      <c r="K105" s="154">
        <f>+J105*K$102</f>
        <v>405.98586148119136</v>
      </c>
      <c r="L105" s="127">
        <f t="shared" si="86"/>
        <v>2339.2518685344835</v>
      </c>
      <c r="M105" s="128">
        <f>+L105*M$102</f>
        <v>701.77556056034507</v>
      </c>
      <c r="N105" s="101">
        <f t="shared" si="87"/>
        <v>3041.0274290948287</v>
      </c>
      <c r="O105" s="111">
        <f>+N105*O$102</f>
        <v>1216.4109716379314</v>
      </c>
      <c r="P105" s="112">
        <f t="shared" si="88"/>
        <v>4257.4384007327599</v>
      </c>
      <c r="Q105">
        <v>7.4999999999999997E-2</v>
      </c>
      <c r="R105">
        <v>32896.146159874617</v>
      </c>
      <c r="S105" s="118">
        <f t="shared" si="70"/>
        <v>5.7837837837837969E-2</v>
      </c>
      <c r="T105" s="27">
        <v>100522698</v>
      </c>
      <c r="U105" s="24">
        <v>42261.697434111236</v>
      </c>
    </row>
    <row r="106" spans="1:21" x14ac:dyDescent="0.35">
      <c r="B106" s="84">
        <v>100521454</v>
      </c>
      <c r="C106" s="98" t="s">
        <v>106</v>
      </c>
      <c r="D106" s="99">
        <v>7790360982230</v>
      </c>
      <c r="E106" s="128">
        <v>5.3999999999999995</v>
      </c>
      <c r="F106" s="101">
        <v>18</v>
      </c>
      <c r="G106" s="85">
        <f>+VLOOKUP(B106,$T$4:$U$113,2,FALSE)</f>
        <v>36630.303291536067</v>
      </c>
      <c r="H106" s="223">
        <v>0.05</v>
      </c>
      <c r="I106" s="85">
        <f t="shared" si="84"/>
        <v>34798.788126959262</v>
      </c>
      <c r="J106" s="154">
        <f t="shared" si="85"/>
        <v>1933.2660070532922</v>
      </c>
      <c r="K106" s="154">
        <f>+J106*K$102</f>
        <v>405.98586148119136</v>
      </c>
      <c r="L106" s="127">
        <f t="shared" si="86"/>
        <v>2339.2518685344835</v>
      </c>
      <c r="M106" s="128">
        <f>+L106*M$102</f>
        <v>701.77556056034507</v>
      </c>
      <c r="N106" s="101">
        <f t="shared" si="87"/>
        <v>3041.0274290948287</v>
      </c>
      <c r="O106" s="111">
        <f>+N106*O$102</f>
        <v>1216.4109716379314</v>
      </c>
      <c r="P106" s="112">
        <f t="shared" si="88"/>
        <v>4257.4384007327599</v>
      </c>
      <c r="Q106">
        <v>7.4999999999999997E-2</v>
      </c>
      <c r="R106">
        <v>32896.146159874617</v>
      </c>
      <c r="S106" s="118">
        <f t="shared" si="70"/>
        <v>5.7837837837837969E-2</v>
      </c>
      <c r="T106" s="71"/>
      <c r="U106" s="75"/>
    </row>
    <row r="107" spans="1:21" x14ac:dyDescent="0.35">
      <c r="B107" s="71"/>
      <c r="C107" s="72"/>
      <c r="D107" s="73"/>
      <c r="E107" s="204"/>
      <c r="F107" s="74"/>
      <c r="G107" s="74"/>
      <c r="H107" s="74"/>
      <c r="I107" s="75"/>
      <c r="J107" s="238"/>
      <c r="K107" s="239">
        <v>0.21</v>
      </c>
      <c r="L107" s="78"/>
      <c r="M107" s="78">
        <v>0.22</v>
      </c>
      <c r="N107" s="78"/>
      <c r="O107" s="78">
        <v>0.35</v>
      </c>
      <c r="P107" s="79"/>
      <c r="T107" s="27">
        <v>100521457</v>
      </c>
      <c r="U107" s="24">
        <v>37934.294670846401</v>
      </c>
    </row>
    <row r="108" spans="1:21" x14ac:dyDescent="0.35">
      <c r="B108" s="80">
        <v>100522246</v>
      </c>
      <c r="C108" s="42" t="s">
        <v>165</v>
      </c>
      <c r="D108" s="43">
        <v>7790360984234</v>
      </c>
      <c r="E108" s="81">
        <v>8.16</v>
      </c>
      <c r="F108" s="23">
        <v>48</v>
      </c>
      <c r="G108" s="24">
        <f>+VLOOKUP(B108,$T$4:$U$113,2,FALSE)</f>
        <v>116812.71733730749</v>
      </c>
      <c r="H108" s="231"/>
      <c r="I108" s="24">
        <f t="shared" ref="I108:I109" si="89">+G108*(1-H108)</f>
        <v>116812.71733730749</v>
      </c>
      <c r="J108" s="24">
        <f t="shared" ref="J108:J109" si="90">+I108/F108</f>
        <v>2433.5982778605726</v>
      </c>
      <c r="K108" s="24">
        <f t="shared" ref="K108:K109" si="91">+J108*K$3</f>
        <v>511.05563835072024</v>
      </c>
      <c r="L108" s="24">
        <f t="shared" ref="L108:L109" si="92">+J108+K108</f>
        <v>2944.6539162112927</v>
      </c>
      <c r="M108" s="24">
        <f t="shared" ref="M108:M109" si="93">+L108*M$39</f>
        <v>588.9307832422586</v>
      </c>
      <c r="N108" s="24">
        <f t="shared" ref="N108:N109" si="94">+L108+M108</f>
        <v>3533.5846994535514</v>
      </c>
      <c r="O108" s="24">
        <f t="shared" ref="O108:O109" si="95">+N108*O$39</f>
        <v>1236.7546448087428</v>
      </c>
      <c r="P108" s="25">
        <f t="shared" ref="P108:P109" si="96">+N108+O108</f>
        <v>4770.3393442622946</v>
      </c>
      <c r="Q108">
        <v>0.20833333333333301</v>
      </c>
      <c r="R108">
        <v>92476.734558701792</v>
      </c>
      <c r="S108" s="118">
        <f t="shared" si="70"/>
        <v>0.2631578947368417</v>
      </c>
      <c r="T108" s="27">
        <v>100521455</v>
      </c>
      <c r="U108" s="24">
        <v>37934.294670846401</v>
      </c>
    </row>
    <row r="109" spans="1:21" x14ac:dyDescent="0.35">
      <c r="B109" s="80">
        <v>100522247</v>
      </c>
      <c r="C109" s="42" t="s">
        <v>166</v>
      </c>
      <c r="D109" s="43">
        <v>7790360984241</v>
      </c>
      <c r="E109" s="81">
        <v>8.16</v>
      </c>
      <c r="F109" s="23">
        <v>48</v>
      </c>
      <c r="G109" s="24">
        <f>+VLOOKUP(B109,$T$4:$U$113,2,FALSE)</f>
        <v>116812.71733730749</v>
      </c>
      <c r="H109" s="231"/>
      <c r="I109" s="24">
        <f t="shared" si="89"/>
        <v>116812.71733730749</v>
      </c>
      <c r="J109" s="24">
        <f t="shared" si="90"/>
        <v>2433.5982778605726</v>
      </c>
      <c r="K109" s="24">
        <f t="shared" si="91"/>
        <v>511.05563835072024</v>
      </c>
      <c r="L109" s="24">
        <f t="shared" si="92"/>
        <v>2944.6539162112927</v>
      </c>
      <c r="M109" s="24">
        <f t="shared" si="93"/>
        <v>588.9307832422586</v>
      </c>
      <c r="N109" s="24">
        <f t="shared" si="94"/>
        <v>3533.5846994535514</v>
      </c>
      <c r="O109" s="24">
        <f t="shared" si="95"/>
        <v>1236.7546448087428</v>
      </c>
      <c r="P109" s="25">
        <f t="shared" si="96"/>
        <v>4770.3393442622946</v>
      </c>
      <c r="Q109">
        <v>0.20833333333333301</v>
      </c>
      <c r="R109">
        <v>92476.734558701792</v>
      </c>
      <c r="S109" s="118">
        <f t="shared" si="70"/>
        <v>0.2631578947368417</v>
      </c>
      <c r="T109" s="27">
        <v>100521453</v>
      </c>
      <c r="U109" s="24">
        <v>36630.303291536067</v>
      </c>
    </row>
    <row r="110" spans="1:21" x14ac:dyDescent="0.35">
      <c r="T110" s="27">
        <v>100521454</v>
      </c>
      <c r="U110" s="24">
        <v>36630.303291536067</v>
      </c>
    </row>
    <row r="111" spans="1:21" x14ac:dyDescent="0.35">
      <c r="T111" s="71"/>
      <c r="U111" s="75"/>
    </row>
    <row r="112" spans="1:21" x14ac:dyDescent="0.35">
      <c r="T112" s="27">
        <v>100522246</v>
      </c>
      <c r="U112" s="217">
        <v>116812.71733730749</v>
      </c>
    </row>
    <row r="113" spans="20:21" x14ac:dyDescent="0.35">
      <c r="T113" s="27">
        <v>100522247</v>
      </c>
      <c r="U113" s="217">
        <v>116812.71733730749</v>
      </c>
    </row>
  </sheetData>
  <conditionalFormatting sqref="A98:F98">
    <cfRule type="cellIs" dxfId="105" priority="3" stopIfTrue="1" operator="equal">
      <formula>0</formula>
    </cfRule>
  </conditionalFormatting>
  <conditionalFormatting sqref="A101:F101">
    <cfRule type="cellIs" dxfId="104" priority="1" stopIfTrue="1" operator="equal">
      <formula>0</formula>
    </cfRule>
  </conditionalFormatting>
  <conditionalFormatting sqref="B20:C20">
    <cfRule type="cellIs" dxfId="103" priority="67" stopIfTrue="1" operator="equal">
      <formula>0</formula>
    </cfRule>
  </conditionalFormatting>
  <conditionalFormatting sqref="B27:C27">
    <cfRule type="cellIs" dxfId="102" priority="58" stopIfTrue="1" operator="equal">
      <formula>0</formula>
    </cfRule>
  </conditionalFormatting>
  <conditionalFormatting sqref="B63:D63">
    <cfRule type="cellIs" dxfId="101" priority="65" stopIfTrue="1" operator="equal">
      <formula>0</formula>
    </cfRule>
  </conditionalFormatting>
  <conditionalFormatting sqref="B16:F19">
    <cfRule type="cellIs" dxfId="100" priority="54" stopIfTrue="1" operator="equal">
      <formula>0</formula>
    </cfRule>
  </conditionalFormatting>
  <conditionalFormatting sqref="B69:P69">
    <cfRule type="cellIs" dxfId="99" priority="7" stopIfTrue="1" operator="equal">
      <formula>0</formula>
    </cfRule>
  </conditionalFormatting>
  <conditionalFormatting sqref="B73:P74">
    <cfRule type="cellIs" dxfId="98" priority="6" stopIfTrue="1" operator="equal">
      <formula>0</formula>
    </cfRule>
  </conditionalFormatting>
  <conditionalFormatting sqref="C28">
    <cfRule type="cellIs" dxfId="97" priority="57" stopIfTrue="1" operator="equal">
      <formula>0</formula>
    </cfRule>
  </conditionalFormatting>
  <conditionalFormatting sqref="D94:F94">
    <cfRule type="cellIs" dxfId="96" priority="20" stopIfTrue="1" operator="equal">
      <formula>0</formula>
    </cfRule>
  </conditionalFormatting>
  <conditionalFormatting sqref="E20:F20">
    <cfRule type="cellIs" dxfId="95" priority="66" stopIfTrue="1" operator="equal">
      <formula>0</formula>
    </cfRule>
  </conditionalFormatting>
  <conditionalFormatting sqref="E89:F93">
    <cfRule type="cellIs" dxfId="94" priority="55" stopIfTrue="1" operator="equal">
      <formula>0</formula>
    </cfRule>
  </conditionalFormatting>
  <conditionalFormatting sqref="E96:F97">
    <cfRule type="cellIs" dxfId="93" priority="53" stopIfTrue="1" operator="equal">
      <formula>0</formula>
    </cfRule>
  </conditionalFormatting>
  <conditionalFormatting sqref="E100:F100">
    <cfRule type="cellIs" dxfId="92" priority="51" stopIfTrue="1" operator="equal">
      <formula>0</formula>
    </cfRule>
  </conditionalFormatting>
  <conditionalFormatting sqref="E103:F106">
    <cfRule type="cellIs" dxfId="91" priority="31" stopIfTrue="1" operator="equal">
      <formula>0</formula>
    </cfRule>
  </conditionalFormatting>
  <conditionalFormatting sqref="E58:G61">
    <cfRule type="cellIs" dxfId="90" priority="62" stopIfTrue="1" operator="equal">
      <formula>0</formula>
    </cfRule>
  </conditionalFormatting>
  <conditionalFormatting sqref="G16 I16:J16 G17:J20">
    <cfRule type="cellIs" dxfId="89" priority="49" stopIfTrue="1" operator="equal">
      <formula>0</formula>
    </cfRule>
  </conditionalFormatting>
  <conditionalFormatting sqref="H89:H94">
    <cfRule type="cellIs" dxfId="88" priority="5" stopIfTrue="1" operator="equal">
      <formula>0</formula>
    </cfRule>
  </conditionalFormatting>
  <conditionalFormatting sqref="H96:H98">
    <cfRule type="cellIs" dxfId="87" priority="9" stopIfTrue="1" operator="equal">
      <formula>0</formula>
    </cfRule>
  </conditionalFormatting>
  <conditionalFormatting sqref="H100:H101">
    <cfRule type="cellIs" dxfId="86" priority="8" stopIfTrue="1" operator="equal">
      <formula>0</formula>
    </cfRule>
  </conditionalFormatting>
  <conditionalFormatting sqref="H108:I109">
    <cfRule type="cellIs" dxfId="85" priority="4" stopIfTrue="1" operator="equal">
      <formula>0</formula>
    </cfRule>
  </conditionalFormatting>
  <conditionalFormatting sqref="J96:N98">
    <cfRule type="cellIs" dxfId="84" priority="52" stopIfTrue="1" operator="equal">
      <formula>0</formula>
    </cfRule>
  </conditionalFormatting>
  <conditionalFormatting sqref="J100:N101">
    <cfRule type="cellIs" dxfId="83" priority="50" stopIfTrue="1" operator="equal">
      <formula>0</formula>
    </cfRule>
  </conditionalFormatting>
  <conditionalFormatting sqref="J103:N106">
    <cfRule type="cellIs" dxfId="82" priority="28" stopIfTrue="1" operator="equal">
      <formula>0</formula>
    </cfRule>
  </conditionalFormatting>
  <conditionalFormatting sqref="J58:P61">
    <cfRule type="cellIs" dxfId="81" priority="47" stopIfTrue="1" operator="equal">
      <formula>0</formula>
    </cfRule>
  </conditionalFormatting>
  <conditionalFormatting sqref="J90:P94">
    <cfRule type="cellIs" dxfId="80" priority="56" stopIfTrue="1" operator="equal">
      <formula>0</formula>
    </cfRule>
  </conditionalFormatting>
  <conditionalFormatting sqref="M37:M38">
    <cfRule type="cellIs" dxfId="79" priority="60" stopIfTrue="1" operator="equal">
      <formula>0</formula>
    </cfRule>
  </conditionalFormatting>
  <conditionalFormatting sqref="M16:P20">
    <cfRule type="cellIs" dxfId="78" priority="59" stopIfTrue="1" operator="equal">
      <formula>0</formula>
    </cfRule>
  </conditionalFormatting>
  <conditionalFormatting sqref="R16:R20 R69">
    <cfRule type="cellIs" dxfId="77" priority="35" stopIfTrue="1" operator="equal">
      <formula>0</formula>
    </cfRule>
  </conditionalFormatting>
  <conditionalFormatting sqref="R58">
    <cfRule type="cellIs" dxfId="76" priority="33" stopIfTrue="1" operator="equal">
      <formula>0</formula>
    </cfRule>
  </conditionalFormatting>
  <conditionalFormatting sqref="R73:R74">
    <cfRule type="cellIs" dxfId="75" priority="34" stopIfTrue="1" operator="equal">
      <formula>0</formula>
    </cfRule>
  </conditionalFormatting>
  <conditionalFormatting sqref="T27">
    <cfRule type="cellIs" dxfId="74" priority="17" stopIfTrue="1" operator="equal">
      <formula>0</formula>
    </cfRule>
  </conditionalFormatting>
  <conditionalFormatting sqref="T66">
    <cfRule type="cellIs" dxfId="73" priority="18" stopIfTrue="1" operator="equal">
      <formula>0</formula>
    </cfRule>
  </conditionalFormatting>
  <conditionalFormatting sqref="T16:U18">
    <cfRule type="cellIs" dxfId="72" priority="12" stopIfTrue="1" operator="equal">
      <formula>0</formula>
    </cfRule>
  </conditionalFormatting>
  <conditionalFormatting sqref="T72:U72">
    <cfRule type="cellIs" dxfId="71" priority="11" stopIfTrue="1" operator="equal">
      <formula>0</formula>
    </cfRule>
  </conditionalFormatting>
  <conditionalFormatting sqref="T76:U77">
    <cfRule type="cellIs" dxfId="70" priority="10" stopIfTrue="1" operator="equal">
      <formula>0</formula>
    </cfRule>
  </conditionalFormatting>
  <conditionalFormatting sqref="U61:U64">
    <cfRule type="cellIs" dxfId="69" priority="13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EC1A-C29E-4792-B279-81D413924D60}">
  <dimension ref="A1:X113"/>
  <sheetViews>
    <sheetView topLeftCell="B1" zoomScale="80" zoomScaleNormal="80" workbookViewId="0">
      <selection activeCell="B11" sqref="B11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22" width="11.453125" hidden="1" customWidth="1"/>
    <col min="23" max="23" width="11.453125" customWidth="1"/>
  </cols>
  <sheetData>
    <row r="1" spans="2:22" s="1" customFormat="1" ht="12.5" thickBot="1" x14ac:dyDescent="0.35">
      <c r="G1" s="2"/>
      <c r="I1" s="2"/>
      <c r="P1" s="3"/>
    </row>
    <row r="2" spans="2:22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101</v>
      </c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119</v>
      </c>
    </row>
    <row r="3" spans="2:22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2" x14ac:dyDescent="0.35">
      <c r="B4" s="221">
        <v>100021632</v>
      </c>
      <c r="C4" s="218" t="s">
        <v>14</v>
      </c>
      <c r="D4" s="99">
        <v>7790360026606</v>
      </c>
      <c r="E4" s="100">
        <v>4.8</v>
      </c>
      <c r="F4" s="101">
        <v>30</v>
      </c>
      <c r="G4" s="85">
        <f t="shared" ref="G4:G43" si="0">+VLOOKUP(B4,$U$4:$V$106,2,FALSE)</f>
        <v>46396.4676069079</v>
      </c>
      <c r="H4" s="103">
        <v>7.0000000000000007E-2</v>
      </c>
      <c r="I4" s="85">
        <f>+G4*(1-H4)</f>
        <v>43148.714874424346</v>
      </c>
      <c r="J4" s="85">
        <f>+I4/F4</f>
        <v>1438.2904958141448</v>
      </c>
      <c r="K4" s="85">
        <f>+J4*K$3</f>
        <v>302.0410041209704</v>
      </c>
      <c r="L4" s="85">
        <f>+J4+K4</f>
        <v>1740.3314999351153</v>
      </c>
      <c r="M4" s="85">
        <f>+L4*M$3</f>
        <v>522.09944998053459</v>
      </c>
      <c r="N4" s="85">
        <f>+L4+M4</f>
        <v>2262.4309499156498</v>
      </c>
      <c r="O4" s="85">
        <f>+N4*O$3</f>
        <v>904.97237996625995</v>
      </c>
      <c r="P4" s="102">
        <f>+N4+O4</f>
        <v>3167.4033298819095</v>
      </c>
      <c r="R4">
        <v>44187.112006578951</v>
      </c>
      <c r="S4">
        <f>+(I4-R4)/R4</f>
        <v>-2.3499999999999993E-2</v>
      </c>
      <c r="U4" s="19">
        <v>100021632</v>
      </c>
      <c r="V4" s="24">
        <v>46396.4676069079</v>
      </c>
    </row>
    <row r="5" spans="2:22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f t="shared" si="0"/>
        <v>57541.051073863644</v>
      </c>
      <c r="H5" s="23"/>
      <c r="I5" s="24">
        <f t="shared" ref="I5:I77" si="1">+G5*(1-H5)</f>
        <v>57541.051073863644</v>
      </c>
      <c r="J5" s="24">
        <f t="shared" ref="J5:J77" si="2">+I5/F5</f>
        <v>3196.7250596590911</v>
      </c>
      <c r="K5" s="24">
        <f t="shared" ref="K5:K77" si="3">+J5*K$3</f>
        <v>671.31226252840906</v>
      </c>
      <c r="L5" s="24">
        <f t="shared" ref="L5:L77" si="4">+J5+K5</f>
        <v>3868.0373221875002</v>
      </c>
      <c r="M5" s="24">
        <f t="shared" ref="M5:M77" si="5">+L5*M$3</f>
        <v>1160.41119665625</v>
      </c>
      <c r="N5" s="24">
        <f t="shared" ref="N5:N77" si="6">+L5+M5</f>
        <v>5028.4485188437502</v>
      </c>
      <c r="O5" s="24">
        <f t="shared" ref="O5:O77" si="7">+N5*O$3</f>
        <v>2011.3794075375001</v>
      </c>
      <c r="P5" s="25">
        <f t="shared" ref="P5:P77" si="8">+N5+O5</f>
        <v>7039.8279263812501</v>
      </c>
      <c r="R5">
        <v>57541.051073863644</v>
      </c>
      <c r="S5">
        <f t="shared" ref="S5:S77" si="9">+(I5-R5)/R5</f>
        <v>0</v>
      </c>
      <c r="U5" s="26">
        <v>100021652</v>
      </c>
      <c r="V5" s="24">
        <v>57541.051073863644</v>
      </c>
    </row>
    <row r="6" spans="2:22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f t="shared" si="0"/>
        <v>67164.410250000001</v>
      </c>
      <c r="H6" s="23"/>
      <c r="I6" s="24">
        <f t="shared" si="1"/>
        <v>67164.410250000001</v>
      </c>
      <c r="J6" s="24">
        <f t="shared" si="2"/>
        <v>8395.5512812500001</v>
      </c>
      <c r="K6" s="24">
        <f t="shared" si="3"/>
        <v>1763.0657690625001</v>
      </c>
      <c r="L6" s="24">
        <f t="shared" si="4"/>
        <v>10158.617050312499</v>
      </c>
      <c r="M6" s="24">
        <f t="shared" si="5"/>
        <v>3047.5851150937497</v>
      </c>
      <c r="N6" s="24">
        <f t="shared" si="6"/>
        <v>13206.202165406248</v>
      </c>
      <c r="O6" s="24">
        <f t="shared" si="7"/>
        <v>5282.4808661624993</v>
      </c>
      <c r="P6" s="25">
        <f t="shared" si="8"/>
        <v>18488.683031568748</v>
      </c>
      <c r="R6">
        <v>67164.410250000001</v>
      </c>
      <c r="S6">
        <f t="shared" si="9"/>
        <v>0</v>
      </c>
      <c r="U6" s="26">
        <v>100021631</v>
      </c>
      <c r="V6" s="24">
        <v>67164.410250000001</v>
      </c>
    </row>
    <row r="7" spans="2:22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f t="shared" si="0"/>
        <v>82188.028332236849</v>
      </c>
      <c r="H7" s="23"/>
      <c r="I7" s="24">
        <f t="shared" si="1"/>
        <v>82188.028332236849</v>
      </c>
      <c r="J7" s="24">
        <f t="shared" si="2"/>
        <v>13698.004722039475</v>
      </c>
      <c r="K7" s="24">
        <f t="shared" si="3"/>
        <v>2876.5809916282897</v>
      </c>
      <c r="L7" s="24">
        <f t="shared" si="4"/>
        <v>16574.585713667766</v>
      </c>
      <c r="M7" s="24">
        <f t="shared" si="5"/>
        <v>4972.3757141003298</v>
      </c>
      <c r="N7" s="24">
        <f t="shared" si="6"/>
        <v>21546.961427768096</v>
      </c>
      <c r="O7" s="24">
        <f t="shared" si="7"/>
        <v>8618.7845711072387</v>
      </c>
      <c r="P7" s="25">
        <f t="shared" si="8"/>
        <v>30165.745998875333</v>
      </c>
      <c r="R7">
        <v>82188.028332236849</v>
      </c>
      <c r="S7">
        <f t="shared" si="9"/>
        <v>0</v>
      </c>
      <c r="U7" s="26">
        <v>100021630</v>
      </c>
      <c r="V7" s="24">
        <v>82188.028332236849</v>
      </c>
    </row>
    <row r="8" spans="2:22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f t="shared" si="0"/>
        <v>58326.987848684214</v>
      </c>
      <c r="H8" s="23"/>
      <c r="I8" s="24">
        <f t="shared" si="1"/>
        <v>58326.987848684214</v>
      </c>
      <c r="J8" s="24">
        <f t="shared" si="2"/>
        <v>3240.3882138157896</v>
      </c>
      <c r="K8" s="24">
        <f t="shared" si="3"/>
        <v>680.48152490131577</v>
      </c>
      <c r="L8" s="24">
        <f t="shared" si="4"/>
        <v>3920.8697387171055</v>
      </c>
      <c r="M8" s="24">
        <f t="shared" si="5"/>
        <v>1176.2609216151316</v>
      </c>
      <c r="N8" s="24">
        <f t="shared" si="6"/>
        <v>5097.1306603322373</v>
      </c>
      <c r="O8" s="24">
        <f t="shared" si="7"/>
        <v>2038.852264132895</v>
      </c>
      <c r="P8" s="25">
        <f t="shared" si="8"/>
        <v>7135.9829244651319</v>
      </c>
      <c r="R8">
        <v>58326.987848684214</v>
      </c>
      <c r="S8">
        <f t="shared" si="9"/>
        <v>0</v>
      </c>
      <c r="U8" s="27">
        <v>100021653</v>
      </c>
      <c r="V8" s="24">
        <v>58326.987848684214</v>
      </c>
    </row>
    <row r="9" spans="2:22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f t="shared" si="0"/>
        <v>47534.511197250016</v>
      </c>
      <c r="H9" s="23"/>
      <c r="I9" s="24">
        <f t="shared" si="1"/>
        <v>47534.511197250016</v>
      </c>
      <c r="J9" s="24">
        <f t="shared" si="2"/>
        <v>2640.8061776250011</v>
      </c>
      <c r="K9" s="24">
        <f t="shared" si="3"/>
        <v>554.56929730125023</v>
      </c>
      <c r="L9" s="24">
        <f t="shared" si="4"/>
        <v>3195.3754749262512</v>
      </c>
      <c r="M9" s="24">
        <f t="shared" si="5"/>
        <v>958.61264247787528</v>
      </c>
      <c r="N9" s="24">
        <f t="shared" si="6"/>
        <v>4153.9881174041266</v>
      </c>
      <c r="O9" s="24">
        <f t="shared" si="7"/>
        <v>1661.5952469616507</v>
      </c>
      <c r="P9" s="25">
        <f t="shared" si="8"/>
        <v>5815.583364365777</v>
      </c>
      <c r="R9">
        <v>47534.511197250016</v>
      </c>
      <c r="S9">
        <f t="shared" si="9"/>
        <v>0</v>
      </c>
      <c r="U9" s="27">
        <v>100516169</v>
      </c>
      <c r="V9" s="24">
        <v>47534.511197250016</v>
      </c>
    </row>
    <row r="10" spans="2:22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f t="shared" si="0"/>
        <v>31254.276315789473</v>
      </c>
      <c r="H10" s="23"/>
      <c r="I10" s="24">
        <f t="shared" si="1"/>
        <v>31254.276315789473</v>
      </c>
      <c r="J10" s="24">
        <f>+I10/F10</f>
        <v>1041.8092105263158</v>
      </c>
      <c r="K10" s="24">
        <f>+J10*K$3</f>
        <v>218.77993421052631</v>
      </c>
      <c r="L10" s="24">
        <f>+J10+K10</f>
        <v>1260.5891447368422</v>
      </c>
      <c r="M10" s="24">
        <f>+L10*M$3</f>
        <v>378.17674342105266</v>
      </c>
      <c r="N10" s="24">
        <f>+L10+M10</f>
        <v>1638.7658881578948</v>
      </c>
      <c r="O10" s="24">
        <f>+N10*O$3</f>
        <v>655.50635526315796</v>
      </c>
      <c r="P10" s="25">
        <f>+N10+O10</f>
        <v>2294.2722434210527</v>
      </c>
      <c r="Q10">
        <v>6.6600000000000006E-2</v>
      </c>
      <c r="R10">
        <v>27783.563345864663</v>
      </c>
      <c r="S10">
        <f t="shared" si="9"/>
        <v>0.12491964859652877</v>
      </c>
      <c r="U10" s="27">
        <v>100516170</v>
      </c>
      <c r="V10" s="24">
        <v>0</v>
      </c>
    </row>
    <row r="11" spans="2:22" x14ac:dyDescent="0.35">
      <c r="B11" s="84">
        <v>100021503</v>
      </c>
      <c r="C11" s="98" t="s">
        <v>21</v>
      </c>
      <c r="D11" s="99">
        <v>7790360966841</v>
      </c>
      <c r="E11" s="100">
        <v>3.3119999999999998</v>
      </c>
      <c r="F11" s="101">
        <v>12</v>
      </c>
      <c r="G11" s="85">
        <f t="shared" si="0"/>
        <v>25165.542165071773</v>
      </c>
      <c r="H11" s="196">
        <v>8.3333333333333301E-2</v>
      </c>
      <c r="I11" s="85">
        <f t="shared" si="1"/>
        <v>23068.413651315794</v>
      </c>
      <c r="J11" s="85">
        <f t="shared" si="2"/>
        <v>1922.3678042763161</v>
      </c>
      <c r="K11" s="85">
        <f t="shared" si="3"/>
        <v>403.69723889802634</v>
      </c>
      <c r="L11" s="85">
        <f t="shared" si="4"/>
        <v>2326.0650431743425</v>
      </c>
      <c r="M11" s="85">
        <f t="shared" si="5"/>
        <v>697.81951295230272</v>
      </c>
      <c r="N11" s="85">
        <f t="shared" si="6"/>
        <v>3023.8845561266453</v>
      </c>
      <c r="O11" s="85">
        <f t="shared" si="7"/>
        <v>1209.5538224506581</v>
      </c>
      <c r="P11" s="102">
        <f t="shared" si="8"/>
        <v>4233.4383785773034</v>
      </c>
      <c r="Q11">
        <v>0.16700000000000001</v>
      </c>
      <c r="R11">
        <v>20962.896623504785</v>
      </c>
      <c r="S11">
        <f t="shared" si="9"/>
        <v>0.10044017607042838</v>
      </c>
      <c r="U11" s="27">
        <v>100517438</v>
      </c>
      <c r="V11" s="24">
        <v>0</v>
      </c>
    </row>
    <row r="12" spans="2:22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f t="shared" si="0"/>
        <v>49695.701424801344</v>
      </c>
      <c r="H12" s="197"/>
      <c r="I12" s="24">
        <f t="shared" si="1"/>
        <v>49695.701424801344</v>
      </c>
      <c r="J12" s="24">
        <f t="shared" si="2"/>
        <v>6211.962678100168</v>
      </c>
      <c r="K12" s="24">
        <f t="shared" si="3"/>
        <v>1304.5121624010353</v>
      </c>
      <c r="L12" s="24">
        <f t="shared" si="4"/>
        <v>7516.4748405012033</v>
      </c>
      <c r="M12" s="24">
        <f t="shared" si="5"/>
        <v>2254.9424521503611</v>
      </c>
      <c r="N12" s="24">
        <f t="shared" si="6"/>
        <v>9771.4172926515639</v>
      </c>
      <c r="O12" s="24">
        <f t="shared" si="7"/>
        <v>3908.5669170606257</v>
      </c>
      <c r="P12" s="25">
        <f t="shared" si="8"/>
        <v>13679.984209712189</v>
      </c>
      <c r="R12">
        <v>49695.701424801344</v>
      </c>
      <c r="S12">
        <f t="shared" si="9"/>
        <v>0</v>
      </c>
      <c r="U12" s="27">
        <v>100520337</v>
      </c>
      <c r="V12" s="24">
        <v>31254.276315789473</v>
      </c>
    </row>
    <row r="13" spans="2:22" x14ac:dyDescent="0.35">
      <c r="B13" s="27">
        <v>100021643</v>
      </c>
      <c r="C13" s="28" t="s">
        <v>23</v>
      </c>
      <c r="D13" s="21">
        <v>7790360966797</v>
      </c>
      <c r="E13" s="22">
        <v>4.7039999999999997</v>
      </c>
      <c r="F13" s="23">
        <v>42</v>
      </c>
      <c r="G13" s="24">
        <f t="shared" si="0"/>
        <v>27852.631578947374</v>
      </c>
      <c r="H13" s="23"/>
      <c r="I13" s="24">
        <f t="shared" si="1"/>
        <v>27852.631578947374</v>
      </c>
      <c r="J13" s="24">
        <f t="shared" si="2"/>
        <v>663.1578947368422</v>
      </c>
      <c r="K13" s="24">
        <f t="shared" si="3"/>
        <v>139.26315789473685</v>
      </c>
      <c r="L13" s="24">
        <f t="shared" si="4"/>
        <v>802.42105263157907</v>
      </c>
      <c r="M13" s="24">
        <f t="shared" si="5"/>
        <v>240.72631578947372</v>
      </c>
      <c r="N13" s="24">
        <f t="shared" si="6"/>
        <v>1043.1473684210528</v>
      </c>
      <c r="O13" s="24">
        <f t="shared" si="7"/>
        <v>417.2589473684211</v>
      </c>
      <c r="P13" s="25">
        <f t="shared" si="8"/>
        <v>1460.4063157894739</v>
      </c>
      <c r="R13">
        <v>27852.631578947374</v>
      </c>
      <c r="S13">
        <f t="shared" si="9"/>
        <v>0</v>
      </c>
      <c r="U13" s="27">
        <v>100021503</v>
      </c>
      <c r="V13" s="24">
        <v>25165.542165071773</v>
      </c>
    </row>
    <row r="14" spans="2:22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f t="shared" si="0"/>
        <v>29947.061815119498</v>
      </c>
      <c r="H14" s="23"/>
      <c r="I14" s="24">
        <f t="shared" si="1"/>
        <v>29947.061815119498</v>
      </c>
      <c r="J14" s="24">
        <f t="shared" si="2"/>
        <v>1426.0505626247379</v>
      </c>
      <c r="K14" s="24">
        <f t="shared" si="3"/>
        <v>299.47061815119497</v>
      </c>
      <c r="L14" s="24">
        <f t="shared" si="4"/>
        <v>1725.5211807759329</v>
      </c>
      <c r="M14" s="24">
        <f t="shared" si="5"/>
        <v>517.65635423277979</v>
      </c>
      <c r="N14" s="24">
        <f t="shared" si="6"/>
        <v>2243.1775350087128</v>
      </c>
      <c r="O14" s="24">
        <f t="shared" si="7"/>
        <v>897.27101400348511</v>
      </c>
      <c r="P14" s="25">
        <f t="shared" si="8"/>
        <v>3140.4485490121979</v>
      </c>
      <c r="R14">
        <v>29947.061815119498</v>
      </c>
      <c r="S14">
        <f t="shared" si="9"/>
        <v>0</v>
      </c>
      <c r="U14" s="27">
        <v>100516201</v>
      </c>
      <c r="V14" s="24">
        <v>49695.701424801344</v>
      </c>
    </row>
    <row r="15" spans="2:22" x14ac:dyDescent="0.35">
      <c r="B15" s="27">
        <v>100021676</v>
      </c>
      <c r="C15" s="28" t="s">
        <v>25</v>
      </c>
      <c r="D15" s="21">
        <v>7790360967411</v>
      </c>
      <c r="E15" s="22">
        <v>7.5</v>
      </c>
      <c r="F15" s="23">
        <v>30</v>
      </c>
      <c r="G15" s="24">
        <f t="shared" si="0"/>
        <v>70541.904455741635</v>
      </c>
      <c r="H15" s="143"/>
      <c r="I15" s="24">
        <f t="shared" si="1"/>
        <v>70541.904455741635</v>
      </c>
      <c r="J15" s="24">
        <f t="shared" si="2"/>
        <v>2351.3968151913878</v>
      </c>
      <c r="K15" s="24">
        <f t="shared" si="3"/>
        <v>493.7933311901914</v>
      </c>
      <c r="L15" s="24">
        <f t="shared" si="4"/>
        <v>2845.1901463815793</v>
      </c>
      <c r="M15" s="24">
        <f t="shared" si="5"/>
        <v>853.55704391447375</v>
      </c>
      <c r="N15" s="24">
        <f t="shared" si="6"/>
        <v>3698.7471902960533</v>
      </c>
      <c r="O15" s="24">
        <f t="shared" si="7"/>
        <v>1479.4988761184213</v>
      </c>
      <c r="P15" s="25">
        <f t="shared" si="8"/>
        <v>5178.2460664144746</v>
      </c>
      <c r="R15">
        <v>70541.904455741635</v>
      </c>
      <c r="S15">
        <f t="shared" si="9"/>
        <v>0</v>
      </c>
      <c r="U15" s="27">
        <v>100021643</v>
      </c>
      <c r="V15" s="24">
        <v>27852.631578947374</v>
      </c>
    </row>
    <row r="16" spans="2:22" x14ac:dyDescent="0.35">
      <c r="B16" s="84">
        <v>100516008</v>
      </c>
      <c r="C16" s="98" t="s">
        <v>26</v>
      </c>
      <c r="D16" s="99">
        <v>7790360967701</v>
      </c>
      <c r="E16" s="100">
        <v>5.76</v>
      </c>
      <c r="F16" s="101">
        <v>24</v>
      </c>
      <c r="G16" s="85">
        <f t="shared" si="0"/>
        <v>68994.307364733933</v>
      </c>
      <c r="H16" s="200">
        <v>9.0899999999999995E-2</v>
      </c>
      <c r="I16" s="85">
        <f t="shared" si="1"/>
        <v>62722.72482527962</v>
      </c>
      <c r="J16" s="85">
        <f t="shared" si="2"/>
        <v>2613.4468677199843</v>
      </c>
      <c r="K16" s="85">
        <f t="shared" si="3"/>
        <v>548.82384222119674</v>
      </c>
      <c r="L16" s="85">
        <f t="shared" si="4"/>
        <v>3162.2707099411809</v>
      </c>
      <c r="M16" s="85">
        <f t="shared" si="5"/>
        <v>948.68121298235428</v>
      </c>
      <c r="N16" s="85">
        <f t="shared" si="6"/>
        <v>4110.9519229235357</v>
      </c>
      <c r="O16" s="85">
        <f t="shared" si="7"/>
        <v>1644.3807691694144</v>
      </c>
      <c r="P16" s="102">
        <f t="shared" si="8"/>
        <v>5755.3326920929503</v>
      </c>
      <c r="Q16">
        <v>9.0899999999999995E-2</v>
      </c>
      <c r="R16">
        <v>62722.72482527962</v>
      </c>
      <c r="S16">
        <f t="shared" si="9"/>
        <v>0</v>
      </c>
      <c r="U16" s="27">
        <v>100516325</v>
      </c>
      <c r="V16" s="24">
        <v>29947.061815119498</v>
      </c>
    </row>
    <row r="17" spans="1:22" x14ac:dyDescent="0.35">
      <c r="B17" s="27">
        <v>100520834</v>
      </c>
      <c r="C17" s="28" t="s">
        <v>27</v>
      </c>
      <c r="D17" s="21">
        <v>7790360980618</v>
      </c>
      <c r="E17" s="22">
        <v>6.66</v>
      </c>
      <c r="F17" s="23">
        <v>36</v>
      </c>
      <c r="G17" s="24">
        <f t="shared" si="0"/>
        <v>67560.058709650781</v>
      </c>
      <c r="H17" s="199"/>
      <c r="I17" s="24">
        <f t="shared" si="1"/>
        <v>67560.058709650781</v>
      </c>
      <c r="J17" s="24">
        <f>+I17/F17</f>
        <v>1876.6682974902994</v>
      </c>
      <c r="K17" s="24">
        <f>+J17*K$3</f>
        <v>394.10034247296289</v>
      </c>
      <c r="L17" s="24">
        <f>+J17+K17</f>
        <v>2270.7686399632621</v>
      </c>
      <c r="M17" s="24">
        <f>+L17*M$3</f>
        <v>681.23059198897863</v>
      </c>
      <c r="N17" s="24">
        <f>+L17+M17</f>
        <v>2951.9992319522407</v>
      </c>
      <c r="O17" s="24">
        <f>+N17*O$3</f>
        <v>1180.7996927808963</v>
      </c>
      <c r="P17" s="25">
        <f>+N17+O17</f>
        <v>4132.798924733137</v>
      </c>
      <c r="R17">
        <v>67560.058709650781</v>
      </c>
      <c r="S17">
        <f t="shared" si="9"/>
        <v>0</v>
      </c>
      <c r="U17" s="27">
        <v>100021676</v>
      </c>
      <c r="V17" s="24">
        <v>70541.904455741635</v>
      </c>
    </row>
    <row r="18" spans="1:22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>
        <f t="shared" si="0"/>
        <v>52915.790664043008</v>
      </c>
      <c r="H18" s="222"/>
      <c r="I18" s="24">
        <f t="shared" si="1"/>
        <v>52915.790664043008</v>
      </c>
      <c r="J18" s="24">
        <f t="shared" si="2"/>
        <v>2939.7661480023894</v>
      </c>
      <c r="K18" s="24">
        <f t="shared" si="3"/>
        <v>617.3508910805017</v>
      </c>
      <c r="L18" s="24">
        <f t="shared" si="4"/>
        <v>3557.1170390828911</v>
      </c>
      <c r="M18" s="24">
        <f t="shared" si="5"/>
        <v>1067.1351117248673</v>
      </c>
      <c r="N18" s="24">
        <f t="shared" si="6"/>
        <v>4624.2521508077589</v>
      </c>
      <c r="O18" s="24">
        <f t="shared" si="7"/>
        <v>1849.7008603231036</v>
      </c>
      <c r="P18" s="25">
        <f t="shared" si="8"/>
        <v>6473.9530111308623</v>
      </c>
      <c r="R18">
        <v>52915.790664043008</v>
      </c>
      <c r="S18">
        <f t="shared" si="9"/>
        <v>0</v>
      </c>
      <c r="U18" s="27">
        <v>100021664</v>
      </c>
      <c r="V18" s="24">
        <v>0</v>
      </c>
    </row>
    <row r="19" spans="1:22" x14ac:dyDescent="0.35">
      <c r="B19" s="84">
        <v>100021644</v>
      </c>
      <c r="C19" s="98" t="s">
        <v>29</v>
      </c>
      <c r="D19" s="99">
        <v>7790360008541</v>
      </c>
      <c r="E19" s="100">
        <v>4.7039999999999997</v>
      </c>
      <c r="F19" s="101">
        <v>42</v>
      </c>
      <c r="G19" s="85">
        <f t="shared" si="0"/>
        <v>23667.910269230775</v>
      </c>
      <c r="H19" s="200">
        <v>0.1</v>
      </c>
      <c r="I19" s="85">
        <f t="shared" si="1"/>
        <v>21301.119242307697</v>
      </c>
      <c r="J19" s="85">
        <f t="shared" si="2"/>
        <v>507.16950576923091</v>
      </c>
      <c r="K19" s="85">
        <f t="shared" si="3"/>
        <v>106.50559621153849</v>
      </c>
      <c r="L19" s="85">
        <f t="shared" si="4"/>
        <v>613.67510198076934</v>
      </c>
      <c r="M19" s="85">
        <f>+L19*0.33</f>
        <v>202.51278365365388</v>
      </c>
      <c r="N19" s="85">
        <f t="shared" si="6"/>
        <v>816.1878856344232</v>
      </c>
      <c r="O19" s="85">
        <f t="shared" si="7"/>
        <v>326.47515425376929</v>
      </c>
      <c r="P19" s="102">
        <f t="shared" si="8"/>
        <v>1142.6630398881925</v>
      </c>
      <c r="Q19">
        <v>5.3999999999999999E-2</v>
      </c>
      <c r="R19">
        <v>21323.660109230772</v>
      </c>
      <c r="S19">
        <f t="shared" si="9"/>
        <v>-1.0570824524311828E-3</v>
      </c>
      <c r="U19" s="27">
        <v>100516008</v>
      </c>
      <c r="V19" s="24">
        <v>68994.307364733933</v>
      </c>
    </row>
    <row r="20" spans="1:22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f t="shared" si="0"/>
        <v>17878.627158513988</v>
      </c>
      <c r="H20" s="23"/>
      <c r="I20" s="24">
        <f t="shared" si="1"/>
        <v>17878.627158513988</v>
      </c>
      <c r="J20" s="24">
        <f t="shared" si="2"/>
        <v>1489.8855965428322</v>
      </c>
      <c r="K20" s="24">
        <f t="shared" si="3"/>
        <v>312.87597527399475</v>
      </c>
      <c r="L20" s="24">
        <f t="shared" si="4"/>
        <v>1802.761571816827</v>
      </c>
      <c r="M20" s="29">
        <f>+L20*0.33</f>
        <v>594.91131869955291</v>
      </c>
      <c r="N20" s="24">
        <f t="shared" si="6"/>
        <v>2397.67289051638</v>
      </c>
      <c r="O20" s="24">
        <f t="shared" si="7"/>
        <v>959.06915620655207</v>
      </c>
      <c r="P20" s="25">
        <f t="shared" si="8"/>
        <v>3356.7420467229322</v>
      </c>
      <c r="R20">
        <v>17027.263960489512</v>
      </c>
      <c r="S20">
        <f t="shared" si="9"/>
        <v>4.9999999999999989E-2</v>
      </c>
      <c r="U20" s="27">
        <v>100520834</v>
      </c>
      <c r="V20" s="24">
        <v>67560.058709650781</v>
      </c>
    </row>
    <row r="21" spans="1:22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f t="shared" si="0"/>
        <v>53909.269862687011</v>
      </c>
      <c r="H21" s="23"/>
      <c r="I21" s="24">
        <f t="shared" si="1"/>
        <v>53909.269862687011</v>
      </c>
      <c r="J21" s="24">
        <f t="shared" si="2"/>
        <v>898.48783104478355</v>
      </c>
      <c r="K21" s="24">
        <f t="shared" si="3"/>
        <v>188.68244451940453</v>
      </c>
      <c r="L21" s="24">
        <f t="shared" si="4"/>
        <v>1087.1702755641882</v>
      </c>
      <c r="M21" s="24">
        <f t="shared" si="5"/>
        <v>326.15108266925643</v>
      </c>
      <c r="N21" s="24">
        <f t="shared" si="6"/>
        <v>1413.3213582334447</v>
      </c>
      <c r="O21" s="24">
        <f t="shared" si="7"/>
        <v>565.32854329337795</v>
      </c>
      <c r="P21" s="25">
        <f t="shared" si="8"/>
        <v>1978.6499015268228</v>
      </c>
      <c r="R21">
        <v>53909.269862687011</v>
      </c>
      <c r="S21">
        <f t="shared" si="9"/>
        <v>0</v>
      </c>
      <c r="U21" s="27">
        <v>100021680</v>
      </c>
      <c r="V21" s="24">
        <v>52915.790664043008</v>
      </c>
    </row>
    <row r="22" spans="1:22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f t="shared" si="0"/>
        <v>43782.410526416636</v>
      </c>
      <c r="H22" s="23"/>
      <c r="I22" s="24">
        <f t="shared" si="1"/>
        <v>43782.410526416636</v>
      </c>
      <c r="J22" s="24">
        <f t="shared" si="2"/>
        <v>729.7068421069439</v>
      </c>
      <c r="K22" s="24">
        <f t="shared" si="3"/>
        <v>153.23843684245821</v>
      </c>
      <c r="L22" s="24">
        <f t="shared" si="4"/>
        <v>882.94527894940211</v>
      </c>
      <c r="M22" s="24">
        <f t="shared" si="5"/>
        <v>264.88358368482062</v>
      </c>
      <c r="N22" s="24">
        <f t="shared" si="6"/>
        <v>1147.8288626342228</v>
      </c>
      <c r="O22" s="24">
        <f t="shared" si="7"/>
        <v>459.13154505368914</v>
      </c>
      <c r="P22" s="25">
        <f t="shared" si="8"/>
        <v>1606.9604076879118</v>
      </c>
      <c r="R22">
        <v>43782.410526416636</v>
      </c>
      <c r="S22">
        <f t="shared" si="9"/>
        <v>0</v>
      </c>
      <c r="U22" s="27">
        <v>100021644</v>
      </c>
      <c r="V22" s="24">
        <v>23667.910269230775</v>
      </c>
    </row>
    <row r="23" spans="1:22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f t="shared" si="0"/>
        <v>40234.644556591877</v>
      </c>
      <c r="H23" s="23"/>
      <c r="I23" s="24">
        <f t="shared" si="1"/>
        <v>40234.644556591877</v>
      </c>
      <c r="J23" s="24">
        <f t="shared" si="2"/>
        <v>670.57740927653128</v>
      </c>
      <c r="K23" s="24">
        <f t="shared" si="3"/>
        <v>140.82125594807155</v>
      </c>
      <c r="L23" s="24">
        <f t="shared" si="4"/>
        <v>811.39866522460284</v>
      </c>
      <c r="M23" s="24">
        <f t="shared" si="5"/>
        <v>243.41959956738083</v>
      </c>
      <c r="N23" s="24">
        <f t="shared" si="6"/>
        <v>1054.8182647919837</v>
      </c>
      <c r="O23" s="24">
        <f t="shared" si="7"/>
        <v>421.9273059167935</v>
      </c>
      <c r="P23" s="25">
        <f t="shared" si="8"/>
        <v>1476.7455707087772</v>
      </c>
      <c r="R23">
        <v>40234.644556591877</v>
      </c>
      <c r="S23">
        <f t="shared" si="9"/>
        <v>0</v>
      </c>
      <c r="U23" s="27">
        <v>100021677</v>
      </c>
      <c r="V23" s="24">
        <v>17878.627158513988</v>
      </c>
    </row>
    <row r="24" spans="1:22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46172.878802064566</v>
      </c>
      <c r="H24" s="23"/>
      <c r="I24" s="24">
        <f t="shared" si="1"/>
        <v>46172.878802064566</v>
      </c>
      <c r="J24" s="24">
        <f t="shared" si="2"/>
        <v>769.54798003440942</v>
      </c>
      <c r="K24" s="24">
        <f t="shared" si="3"/>
        <v>161.60507580722597</v>
      </c>
      <c r="L24" s="24">
        <f t="shared" si="4"/>
        <v>931.15305584163536</v>
      </c>
      <c r="M24" s="24">
        <f t="shared" si="5"/>
        <v>279.34591675249061</v>
      </c>
      <c r="N24" s="24">
        <f t="shared" si="6"/>
        <v>1210.4989725941259</v>
      </c>
      <c r="O24" s="24">
        <f t="shared" si="7"/>
        <v>484.19958903765041</v>
      </c>
      <c r="P24" s="25">
        <f t="shared" si="8"/>
        <v>1694.6985616317763</v>
      </c>
      <c r="R24">
        <v>46172.878802064566</v>
      </c>
      <c r="S24">
        <f t="shared" si="9"/>
        <v>0</v>
      </c>
      <c r="U24" s="27">
        <v>100021638</v>
      </c>
      <c r="V24" s="24">
        <v>53909.269862687011</v>
      </c>
    </row>
    <row r="25" spans="1:22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f t="shared" si="0"/>
        <v>63499.785407384043</v>
      </c>
      <c r="H25" s="23"/>
      <c r="I25" s="24">
        <f t="shared" si="1"/>
        <v>63499.785407384043</v>
      </c>
      <c r="J25" s="24">
        <f t="shared" si="2"/>
        <v>1058.3297567897341</v>
      </c>
      <c r="K25" s="24">
        <f t="shared" si="3"/>
        <v>222.24924892584417</v>
      </c>
      <c r="L25" s="24">
        <f t="shared" si="4"/>
        <v>1280.5790057155782</v>
      </c>
      <c r="M25" s="24">
        <f t="shared" si="5"/>
        <v>384.17370171467343</v>
      </c>
      <c r="N25" s="24">
        <f t="shared" si="6"/>
        <v>1664.7527074302516</v>
      </c>
      <c r="O25" s="24">
        <f t="shared" si="7"/>
        <v>665.90108297210065</v>
      </c>
      <c r="P25" s="25">
        <f t="shared" si="8"/>
        <v>2330.6537904023521</v>
      </c>
      <c r="R25">
        <v>63499.785407384043</v>
      </c>
      <c r="S25">
        <f t="shared" si="9"/>
        <v>0</v>
      </c>
      <c r="U25" s="27">
        <v>100021575</v>
      </c>
      <c r="V25" s="24">
        <v>43782.410526416636</v>
      </c>
    </row>
    <row r="26" spans="1:22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f t="shared" si="0"/>
        <v>149542.39430649939</v>
      </c>
      <c r="H26" s="23"/>
      <c r="I26" s="24">
        <f t="shared" si="1"/>
        <v>149542.39430649939</v>
      </c>
      <c r="J26" s="24">
        <f t="shared" si="2"/>
        <v>3115.4665480520707</v>
      </c>
      <c r="K26" s="24">
        <f t="shared" si="3"/>
        <v>654.2479750909348</v>
      </c>
      <c r="L26" s="24">
        <f t="shared" si="4"/>
        <v>3769.7145231430054</v>
      </c>
      <c r="M26" s="24">
        <f t="shared" si="5"/>
        <v>1130.9143569429016</v>
      </c>
      <c r="N26" s="24">
        <f t="shared" si="6"/>
        <v>4900.6288800859074</v>
      </c>
      <c r="O26" s="24">
        <f t="shared" si="7"/>
        <v>1960.2515520343632</v>
      </c>
      <c r="P26" s="25">
        <f t="shared" si="8"/>
        <v>6860.8804321202706</v>
      </c>
      <c r="R26">
        <v>149542.39430649939</v>
      </c>
      <c r="S26">
        <f t="shared" si="9"/>
        <v>0</v>
      </c>
      <c r="U26" s="27">
        <v>100021514</v>
      </c>
      <c r="V26" s="24">
        <v>40234.644556591877</v>
      </c>
    </row>
    <row r="27" spans="1:22" x14ac:dyDescent="0.35">
      <c r="B27" s="86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f t="shared" si="0"/>
        <v>70960.925217472526</v>
      </c>
      <c r="H27" s="23"/>
      <c r="I27" s="24">
        <f t="shared" si="1"/>
        <v>70960.925217472526</v>
      </c>
      <c r="J27" s="24">
        <f t="shared" si="2"/>
        <v>1971.136811596459</v>
      </c>
      <c r="K27" s="24">
        <f t="shared" si="3"/>
        <v>413.93873043525639</v>
      </c>
      <c r="L27" s="24">
        <f t="shared" si="4"/>
        <v>2385.0755420317155</v>
      </c>
      <c r="M27" s="24">
        <f t="shared" si="5"/>
        <v>715.52266260951467</v>
      </c>
      <c r="N27" s="24">
        <f t="shared" si="6"/>
        <v>3100.59820464123</v>
      </c>
      <c r="O27" s="24">
        <f t="shared" si="7"/>
        <v>1240.2392818564922</v>
      </c>
      <c r="P27" s="25">
        <f t="shared" si="8"/>
        <v>4340.8374864977222</v>
      </c>
      <c r="R27">
        <v>70960.925217472526</v>
      </c>
      <c r="S27">
        <f t="shared" si="9"/>
        <v>0</v>
      </c>
      <c r="U27" s="26">
        <v>100516208</v>
      </c>
      <c r="V27" s="24">
        <v>46172.878802064566</v>
      </c>
    </row>
    <row r="28" spans="1:22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55247.02390160058</v>
      </c>
      <c r="H28" s="23"/>
      <c r="I28" s="24">
        <f t="shared" si="1"/>
        <v>55247.02390160058</v>
      </c>
      <c r="J28" s="24">
        <f t="shared" si="2"/>
        <v>1841.5674633866861</v>
      </c>
      <c r="K28" s="24">
        <f t="shared" si="3"/>
        <v>386.72916731120404</v>
      </c>
      <c r="L28" s="24">
        <f t="shared" si="4"/>
        <v>2228.2966306978901</v>
      </c>
      <c r="M28" s="24">
        <f t="shared" si="5"/>
        <v>668.48898920936699</v>
      </c>
      <c r="N28" s="24">
        <f t="shared" si="6"/>
        <v>2896.7856199072571</v>
      </c>
      <c r="O28" s="24">
        <f t="shared" si="7"/>
        <v>1158.7142479629028</v>
      </c>
      <c r="P28" s="25">
        <f t="shared" si="8"/>
        <v>4055.49986787016</v>
      </c>
      <c r="R28">
        <v>55247.02390160058</v>
      </c>
      <c r="S28">
        <f t="shared" si="9"/>
        <v>0</v>
      </c>
      <c r="U28" s="27">
        <v>100518346</v>
      </c>
      <c r="V28" s="24">
        <v>63499.785407384043</v>
      </c>
    </row>
    <row r="29" spans="1:22" x14ac:dyDescent="0.35">
      <c r="B29" s="32"/>
      <c r="C29" s="33"/>
      <c r="D29" s="34"/>
      <c r="E29" s="33"/>
      <c r="F29" s="35"/>
      <c r="G29" s="35" t="e">
        <f t="shared" si="0"/>
        <v>#N/A</v>
      </c>
      <c r="H29" s="35"/>
      <c r="I29" s="35" t="e">
        <f t="shared" si="1"/>
        <v>#N/A</v>
      </c>
      <c r="J29" s="37" t="e">
        <f t="shared" si="2"/>
        <v>#N/A</v>
      </c>
      <c r="K29" s="38">
        <v>0.21</v>
      </c>
      <c r="L29" s="37"/>
      <c r="M29" s="38">
        <v>0.3</v>
      </c>
      <c r="N29" s="37"/>
      <c r="O29" s="38">
        <v>0.4</v>
      </c>
      <c r="P29" s="39"/>
      <c r="R29" t="e">
        <v>#N/A</v>
      </c>
      <c r="S29" t="e">
        <f t="shared" si="9"/>
        <v>#N/A</v>
      </c>
      <c r="U29" s="27">
        <v>100516259</v>
      </c>
      <c r="V29" s="24">
        <v>149542.39430649939</v>
      </c>
    </row>
    <row r="30" spans="1:22" hidden="1" x14ac:dyDescent="0.35">
      <c r="B30" s="84">
        <v>100022085</v>
      </c>
      <c r="C30" s="98" t="s">
        <v>39</v>
      </c>
      <c r="D30" s="99">
        <v>7790360000132</v>
      </c>
      <c r="E30" s="100">
        <v>5.4</v>
      </c>
      <c r="F30" s="101">
        <v>24</v>
      </c>
      <c r="G30" s="85">
        <f t="shared" si="0"/>
        <v>29294.014256420269</v>
      </c>
      <c r="H30" s="117">
        <f>0.0833333333333333*100%</f>
        <v>8.3333333333333301E-2</v>
      </c>
      <c r="I30" s="85">
        <f t="shared" si="1"/>
        <v>26852.846401718583</v>
      </c>
      <c r="J30" s="85">
        <f t="shared" si="2"/>
        <v>1118.8686000716077</v>
      </c>
      <c r="K30" s="85">
        <f t="shared" si="3"/>
        <v>234.9624060150376</v>
      </c>
      <c r="L30" s="85">
        <f t="shared" si="4"/>
        <v>1353.8310060866454</v>
      </c>
      <c r="M30" s="85">
        <f t="shared" si="5"/>
        <v>406.14930182599363</v>
      </c>
      <c r="N30" s="85">
        <f t="shared" si="6"/>
        <v>1759.9803079126391</v>
      </c>
      <c r="O30" s="85">
        <f t="shared" si="7"/>
        <v>703.99212316505566</v>
      </c>
      <c r="P30" s="102">
        <f t="shared" si="8"/>
        <v>2463.9724310776946</v>
      </c>
      <c r="Q30">
        <v>8.3333333333333301E-2</v>
      </c>
      <c r="R30">
        <v>26852.846401718583</v>
      </c>
      <c r="S30">
        <f t="shared" si="9"/>
        <v>0</v>
      </c>
      <c r="U30" s="86">
        <v>100518095</v>
      </c>
      <c r="V30" s="24">
        <v>70960.925217472526</v>
      </c>
    </row>
    <row r="31" spans="1:22" x14ac:dyDescent="0.35">
      <c r="A31" s="27"/>
      <c r="B31" s="84">
        <v>100522204</v>
      </c>
      <c r="C31" s="98" t="s">
        <v>39</v>
      </c>
      <c r="D31" s="99">
        <v>7790360983947</v>
      </c>
      <c r="E31" s="100">
        <v>5.4</v>
      </c>
      <c r="F31" s="101">
        <v>24</v>
      </c>
      <c r="G31" s="85">
        <f t="shared" si="0"/>
        <v>29294.014256420269</v>
      </c>
      <c r="H31" s="117">
        <v>0.16666666666666666</v>
      </c>
      <c r="I31" s="85">
        <f t="shared" ref="I31" si="10">+G31*(1-H31)</f>
        <v>24411.678547016891</v>
      </c>
      <c r="J31" s="85">
        <f t="shared" ref="J31" si="11">+I31/F31</f>
        <v>1017.1532727923704</v>
      </c>
      <c r="K31" s="85">
        <f t="shared" ref="K31" si="12">+J31*K$3</f>
        <v>213.60218728639779</v>
      </c>
      <c r="L31" s="85">
        <f t="shared" ref="L31" si="13">+J31+K31</f>
        <v>1230.7554600787682</v>
      </c>
      <c r="M31" s="85">
        <f t="shared" ref="M31" si="14">+L31*M$3</f>
        <v>369.22663802363047</v>
      </c>
      <c r="N31" s="85">
        <f t="shared" ref="N31" si="15">+L31+M31</f>
        <v>1599.9820981023986</v>
      </c>
      <c r="O31" s="85">
        <f t="shared" ref="O31" si="16">+N31*O$3</f>
        <v>639.99283924095948</v>
      </c>
      <c r="P31" s="102">
        <f t="shared" si="8"/>
        <v>2239.9749373433579</v>
      </c>
      <c r="Q31">
        <v>8.3333333333333301E-2</v>
      </c>
      <c r="R31">
        <v>26852.846401718583</v>
      </c>
      <c r="U31" s="27">
        <v>100518223</v>
      </c>
      <c r="V31" s="24">
        <v>55247.02390160058</v>
      </c>
    </row>
    <row r="32" spans="1:22" hidden="1" x14ac:dyDescent="0.35">
      <c r="B32" s="84">
        <v>100022072</v>
      </c>
      <c r="C32" s="98" t="s">
        <v>40</v>
      </c>
      <c r="D32" s="99">
        <v>7790360024541</v>
      </c>
      <c r="E32" s="100">
        <v>5.4</v>
      </c>
      <c r="F32" s="101">
        <v>12</v>
      </c>
      <c r="G32" s="85">
        <f t="shared" si="0"/>
        <v>27829.313543599263</v>
      </c>
      <c r="H32" s="117">
        <v>0.16666666666666666</v>
      </c>
      <c r="I32" s="85">
        <f t="shared" si="1"/>
        <v>23191.094619666052</v>
      </c>
      <c r="J32" s="85">
        <f t="shared" si="2"/>
        <v>1932.5912183055043</v>
      </c>
      <c r="K32" s="85">
        <f t="shared" si="3"/>
        <v>405.84415584415586</v>
      </c>
      <c r="L32" s="85">
        <f t="shared" si="4"/>
        <v>2338.4353741496602</v>
      </c>
      <c r="M32" s="85">
        <f t="shared" si="5"/>
        <v>701.53061224489807</v>
      </c>
      <c r="N32" s="85">
        <f t="shared" si="6"/>
        <v>3039.9659863945581</v>
      </c>
      <c r="O32" s="85">
        <f t="shared" si="7"/>
        <v>1215.9863945578234</v>
      </c>
      <c r="P32" s="102">
        <f t="shared" si="8"/>
        <v>4255.9523809523816</v>
      </c>
      <c r="Q32">
        <v>8.3333333333333301E-2</v>
      </c>
      <c r="R32">
        <v>25510.204081632659</v>
      </c>
      <c r="S32">
        <f t="shared" si="9"/>
        <v>-9.0909090909090981E-2</v>
      </c>
      <c r="U32" s="32"/>
      <c r="V32" s="35" t="e">
        <v>#VALUE!</v>
      </c>
    </row>
    <row r="33" spans="1:24" x14ac:dyDescent="0.35">
      <c r="A33" s="27"/>
      <c r="B33" s="84">
        <v>100522205</v>
      </c>
      <c r="C33" s="98" t="s">
        <v>40</v>
      </c>
      <c r="D33" s="99">
        <v>7790360983954</v>
      </c>
      <c r="E33" s="100">
        <v>5.4</v>
      </c>
      <c r="F33" s="101">
        <v>12</v>
      </c>
      <c r="G33" s="85">
        <f t="shared" si="0"/>
        <v>27829.313543599263</v>
      </c>
      <c r="H33" s="117">
        <v>0.16666666666666666</v>
      </c>
      <c r="I33" s="85">
        <f t="shared" ref="I33" si="17">+G33*(1-H33)</f>
        <v>23191.094619666052</v>
      </c>
      <c r="J33" s="85">
        <f t="shared" ref="J33" si="18">+I33/F33</f>
        <v>1932.5912183055043</v>
      </c>
      <c r="K33" s="85">
        <f t="shared" ref="K33" si="19">+J33*K$3</f>
        <v>405.84415584415586</v>
      </c>
      <c r="L33" s="85">
        <f t="shared" ref="L33" si="20">+J33+K33</f>
        <v>2338.4353741496602</v>
      </c>
      <c r="M33" s="85">
        <f t="shared" ref="M33" si="21">+L33*M$3</f>
        <v>701.53061224489807</v>
      </c>
      <c r="N33" s="85">
        <f t="shared" ref="N33" si="22">+L33+M33</f>
        <v>3039.9659863945581</v>
      </c>
      <c r="O33" s="85">
        <f t="shared" ref="O33" si="23">+N33*O$3</f>
        <v>1215.9863945578234</v>
      </c>
      <c r="P33" s="102">
        <f t="shared" si="8"/>
        <v>4255.9523809523816</v>
      </c>
      <c r="Q33">
        <v>8.3333333333333301E-2</v>
      </c>
      <c r="R33">
        <v>25510.204081632659</v>
      </c>
      <c r="U33" s="27">
        <v>100022085</v>
      </c>
      <c r="V33" s="24">
        <v>29294.014256420269</v>
      </c>
    </row>
    <row r="34" spans="1:24" x14ac:dyDescent="0.35">
      <c r="B34" s="84">
        <v>100516849</v>
      </c>
      <c r="C34" s="98" t="s">
        <v>41</v>
      </c>
      <c r="D34" s="99">
        <v>7790360970053</v>
      </c>
      <c r="E34" s="100">
        <v>4.5599999990400004</v>
      </c>
      <c r="F34" s="101">
        <v>24</v>
      </c>
      <c r="G34" s="85">
        <f t="shared" si="0"/>
        <v>22557.211209842793</v>
      </c>
      <c r="H34" s="103"/>
      <c r="I34" s="85">
        <f t="shared" si="1"/>
        <v>22557.211209842793</v>
      </c>
      <c r="J34" s="85">
        <f t="shared" si="2"/>
        <v>939.88380041011635</v>
      </c>
      <c r="K34" s="85">
        <f t="shared" si="3"/>
        <v>197.37559808612443</v>
      </c>
      <c r="L34" s="85">
        <f t="shared" si="4"/>
        <v>1137.2593984962407</v>
      </c>
      <c r="M34" s="85">
        <f t="shared" si="5"/>
        <v>341.17781954887221</v>
      </c>
      <c r="N34" s="85">
        <f t="shared" si="6"/>
        <v>1478.4372180451128</v>
      </c>
      <c r="O34" s="85">
        <f t="shared" si="7"/>
        <v>591.37488721804516</v>
      </c>
      <c r="P34" s="102">
        <f t="shared" si="8"/>
        <v>2069.8121052631577</v>
      </c>
      <c r="R34">
        <v>22557.211209842793</v>
      </c>
      <c r="S34">
        <f t="shared" si="9"/>
        <v>0</v>
      </c>
      <c r="U34" s="27">
        <v>100522204</v>
      </c>
      <c r="V34" s="24">
        <v>29294.014256420269</v>
      </c>
    </row>
    <row r="35" spans="1:24" hidden="1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>
        <f t="shared" si="0"/>
        <v>66403.468290369288</v>
      </c>
      <c r="H35" s="23"/>
      <c r="I35" s="24">
        <f t="shared" si="1"/>
        <v>66403.468290369288</v>
      </c>
      <c r="J35" s="24">
        <f t="shared" si="2"/>
        <v>6640.3468290369292</v>
      </c>
      <c r="K35" s="24">
        <f t="shared" si="3"/>
        <v>1394.4728340977551</v>
      </c>
      <c r="L35" s="24">
        <f t="shared" si="4"/>
        <v>8034.8196631346846</v>
      </c>
      <c r="M35" s="24">
        <f t="shared" si="5"/>
        <v>2410.4458989404052</v>
      </c>
      <c r="N35" s="24">
        <f t="shared" si="6"/>
        <v>10445.26556207509</v>
      </c>
      <c r="O35" s="24">
        <f t="shared" si="7"/>
        <v>4178.1062248300359</v>
      </c>
      <c r="P35" s="25">
        <f t="shared" si="8"/>
        <v>14623.371786905125</v>
      </c>
      <c r="R35">
        <v>66403.468290369288</v>
      </c>
      <c r="S35">
        <f t="shared" si="9"/>
        <v>0</v>
      </c>
      <c r="U35" s="27">
        <v>100022072</v>
      </c>
      <c r="V35" s="24">
        <v>27829.313543599263</v>
      </c>
    </row>
    <row r="36" spans="1:24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f t="shared" si="0"/>
        <v>66403.468290369288</v>
      </c>
      <c r="H36" s="143"/>
      <c r="I36" s="24">
        <f t="shared" ref="I36" si="24">+G36*(1-H36)</f>
        <v>66403.468290369288</v>
      </c>
      <c r="J36" s="24">
        <f t="shared" ref="J36" si="25">+I36/F36</f>
        <v>6640.3468290369292</v>
      </c>
      <c r="K36" s="24">
        <f t="shared" ref="K36" si="26">+J36*K$3</f>
        <v>1394.4728340977551</v>
      </c>
      <c r="L36" s="24">
        <f t="shared" ref="L36" si="27">+J36+K36</f>
        <v>8034.8196631346846</v>
      </c>
      <c r="M36" s="24">
        <f t="shared" ref="M36" si="28">+L36*M$3</f>
        <v>2410.4458989404052</v>
      </c>
      <c r="N36" s="24">
        <f t="shared" ref="N36" si="29">+L36+M36</f>
        <v>10445.26556207509</v>
      </c>
      <c r="O36" s="24">
        <f t="shared" ref="O36" si="30">+N36*O$3</f>
        <v>4178.1062248300359</v>
      </c>
      <c r="P36" s="25">
        <f t="shared" si="8"/>
        <v>14623.371786905125</v>
      </c>
      <c r="R36">
        <v>66403.468290369288</v>
      </c>
      <c r="U36" s="27">
        <v>100522205</v>
      </c>
      <c r="V36" s="24">
        <v>27829.313543599263</v>
      </c>
    </row>
    <row r="37" spans="1:24" x14ac:dyDescent="0.35">
      <c r="B37" s="27">
        <v>100022058</v>
      </c>
      <c r="C37" s="28" t="s">
        <v>43</v>
      </c>
      <c r="D37" s="21">
        <v>7790360026002</v>
      </c>
      <c r="E37" s="22">
        <v>4.5599999990400004</v>
      </c>
      <c r="F37" s="23">
        <v>24</v>
      </c>
      <c r="G37" s="24">
        <f t="shared" si="0"/>
        <v>17154.845154845156</v>
      </c>
      <c r="H37" s="143"/>
      <c r="I37" s="24">
        <f t="shared" si="1"/>
        <v>17154.845154845156</v>
      </c>
      <c r="J37" s="24">
        <f t="shared" si="2"/>
        <v>714.78521478521486</v>
      </c>
      <c r="K37" s="24">
        <f t="shared" si="3"/>
        <v>150.10489510489512</v>
      </c>
      <c r="L37" s="24">
        <f t="shared" si="4"/>
        <v>864.89010989011001</v>
      </c>
      <c r="M37" s="24">
        <f>+L37*0.33</f>
        <v>285.41373626373633</v>
      </c>
      <c r="N37" s="24">
        <f t="shared" si="6"/>
        <v>1150.3038461538463</v>
      </c>
      <c r="O37" s="24">
        <f t="shared" si="7"/>
        <v>460.12153846153853</v>
      </c>
      <c r="P37" s="25">
        <f t="shared" si="8"/>
        <v>1610.4253846153847</v>
      </c>
      <c r="R37">
        <v>16183.816183816185</v>
      </c>
      <c r="S37">
        <f t="shared" si="9"/>
        <v>5.9999999999999977E-2</v>
      </c>
      <c r="U37" s="27">
        <v>100516849</v>
      </c>
      <c r="V37" s="24">
        <v>22557.211209842793</v>
      </c>
      <c r="X37" s="1" t="s">
        <v>164</v>
      </c>
    </row>
    <row r="38" spans="1:24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f t="shared" si="0"/>
        <v>76363.988533924654</v>
      </c>
      <c r="H38" s="23"/>
      <c r="I38" s="24">
        <f t="shared" si="1"/>
        <v>76363.988533924654</v>
      </c>
      <c r="J38" s="24">
        <f t="shared" si="2"/>
        <v>7636.3988533924658</v>
      </c>
      <c r="K38" s="24">
        <f t="shared" si="3"/>
        <v>1603.6437592124178</v>
      </c>
      <c r="L38" s="24">
        <f t="shared" si="4"/>
        <v>9240.0426126048842</v>
      </c>
      <c r="M38" s="24">
        <f>+L38*0.33</f>
        <v>3049.2140621596118</v>
      </c>
      <c r="N38" s="24">
        <f t="shared" si="6"/>
        <v>12289.256674764496</v>
      </c>
      <c r="O38" s="24">
        <f t="shared" si="7"/>
        <v>4915.7026699057988</v>
      </c>
      <c r="P38" s="25">
        <f t="shared" si="8"/>
        <v>17204.959344670293</v>
      </c>
      <c r="R38">
        <v>76363.988533924654</v>
      </c>
      <c r="S38">
        <f t="shared" si="9"/>
        <v>0</v>
      </c>
      <c r="U38" s="27">
        <v>100022039</v>
      </c>
      <c r="V38" s="24">
        <v>66403.468290369288</v>
      </c>
    </row>
    <row r="39" spans="1:24" x14ac:dyDescent="0.35">
      <c r="B39" s="32"/>
      <c r="C39" s="33"/>
      <c r="D39" s="34"/>
      <c r="E39" s="33"/>
      <c r="F39" s="35"/>
      <c r="G39" s="35" t="e">
        <f t="shared" si="0"/>
        <v>#N/A</v>
      </c>
      <c r="H39" s="35"/>
      <c r="I39" s="35" t="e">
        <f t="shared" si="1"/>
        <v>#N/A</v>
      </c>
      <c r="J39" s="37" t="e">
        <f t="shared" si="2"/>
        <v>#N/A</v>
      </c>
      <c r="K39" s="38">
        <v>0.21</v>
      </c>
      <c r="L39" s="37"/>
      <c r="M39" s="38">
        <v>0.2</v>
      </c>
      <c r="N39" s="37"/>
      <c r="O39" s="38">
        <v>0.35</v>
      </c>
      <c r="P39" s="39"/>
      <c r="R39" t="e">
        <v>#N/A</v>
      </c>
      <c r="S39" t="e">
        <f t="shared" si="9"/>
        <v>#N/A</v>
      </c>
      <c r="U39" s="27">
        <v>100522206</v>
      </c>
      <c r="V39" s="24">
        <v>66403.468290369288</v>
      </c>
    </row>
    <row r="40" spans="1:24" x14ac:dyDescent="0.35">
      <c r="B40" s="84">
        <v>100021000</v>
      </c>
      <c r="C40" s="98" t="s">
        <v>45</v>
      </c>
      <c r="D40" s="99">
        <v>7790360720382</v>
      </c>
      <c r="E40" s="100">
        <v>2.16</v>
      </c>
      <c r="F40" s="101">
        <v>24</v>
      </c>
      <c r="G40" s="85">
        <f t="shared" si="0"/>
        <v>14258.501079199326</v>
      </c>
      <c r="H40" s="103"/>
      <c r="I40" s="85">
        <f t="shared" si="1"/>
        <v>14258.501079199326</v>
      </c>
      <c r="J40" s="85">
        <f t="shared" si="2"/>
        <v>594.10421163330523</v>
      </c>
      <c r="K40" s="85">
        <f t="shared" si="3"/>
        <v>124.76188444299409</v>
      </c>
      <c r="L40" s="85">
        <f t="shared" si="4"/>
        <v>718.8660960762993</v>
      </c>
      <c r="M40" s="85">
        <f>+L40*M$39</f>
        <v>143.77321921525987</v>
      </c>
      <c r="N40" s="85">
        <f t="shared" si="6"/>
        <v>862.63931529155911</v>
      </c>
      <c r="O40" s="85">
        <f>+N40*O$39</f>
        <v>301.92376035204569</v>
      </c>
      <c r="P40" s="102">
        <f t="shared" si="8"/>
        <v>1164.5630756436049</v>
      </c>
      <c r="R40">
        <v>13579.524837332692</v>
      </c>
      <c r="S40">
        <f t="shared" si="9"/>
        <v>4.9999999999999968E-2</v>
      </c>
      <c r="U40" s="27">
        <v>100022058</v>
      </c>
      <c r="V40" s="24">
        <v>17154.845154845156</v>
      </c>
    </row>
    <row r="41" spans="1:24" x14ac:dyDescent="0.35">
      <c r="B41" s="84">
        <v>100021001</v>
      </c>
      <c r="C41" s="98" t="s">
        <v>46</v>
      </c>
      <c r="D41" s="99">
        <v>7790360720115</v>
      </c>
      <c r="E41" s="100">
        <v>2.16</v>
      </c>
      <c r="F41" s="101">
        <v>24</v>
      </c>
      <c r="G41" s="85">
        <f t="shared" si="0"/>
        <v>14258.501079199326</v>
      </c>
      <c r="H41" s="103"/>
      <c r="I41" s="85">
        <f t="shared" si="1"/>
        <v>14258.501079199326</v>
      </c>
      <c r="J41" s="85">
        <f t="shared" si="2"/>
        <v>594.10421163330523</v>
      </c>
      <c r="K41" s="85">
        <f t="shared" si="3"/>
        <v>124.76188444299409</v>
      </c>
      <c r="L41" s="85">
        <f t="shared" si="4"/>
        <v>718.8660960762993</v>
      </c>
      <c r="M41" s="85">
        <f t="shared" ref="M41:M56" si="31">+L41*M$39</f>
        <v>143.77321921525987</v>
      </c>
      <c r="N41" s="85">
        <f t="shared" si="6"/>
        <v>862.63931529155911</v>
      </c>
      <c r="O41" s="85">
        <f t="shared" ref="O41:O56" si="32">+N41*O$39</f>
        <v>301.92376035204569</v>
      </c>
      <c r="P41" s="102">
        <f t="shared" si="8"/>
        <v>1164.5630756436049</v>
      </c>
      <c r="R41">
        <v>13579.524837332692</v>
      </c>
      <c r="S41">
        <f t="shared" si="9"/>
        <v>4.9999999999999968E-2</v>
      </c>
      <c r="U41" s="27">
        <v>100518151</v>
      </c>
      <c r="V41" s="24">
        <v>76363.988533924654</v>
      </c>
    </row>
    <row r="42" spans="1:24" x14ac:dyDescent="0.35">
      <c r="B42" s="219">
        <v>100522277</v>
      </c>
      <c r="C42" s="98" t="s">
        <v>150</v>
      </c>
      <c r="D42" s="99"/>
      <c r="E42" s="100">
        <v>2.16</v>
      </c>
      <c r="F42" s="101">
        <v>24</v>
      </c>
      <c r="G42" s="85">
        <f t="shared" si="0"/>
        <v>14258.501079199326</v>
      </c>
      <c r="H42" s="103"/>
      <c r="I42" s="85">
        <f t="shared" ref="I42:I43" si="33">+G42*(1-H42)</f>
        <v>14258.501079199326</v>
      </c>
      <c r="J42" s="85">
        <f t="shared" ref="J42:J43" si="34">+I42/F42</f>
        <v>594.10421163330523</v>
      </c>
      <c r="K42" s="85">
        <f t="shared" ref="K42:K43" si="35">+J42*K$3</f>
        <v>124.76188444299409</v>
      </c>
      <c r="L42" s="85">
        <f t="shared" ref="L42:L43" si="36">+J42+K42</f>
        <v>718.8660960762993</v>
      </c>
      <c r="M42" s="85">
        <f t="shared" ref="M42:M43" si="37">+L42*M$39</f>
        <v>143.77321921525987</v>
      </c>
      <c r="N42" s="85">
        <f t="shared" ref="N42:N43" si="38">+L42+M42</f>
        <v>862.63931529155911</v>
      </c>
      <c r="O42" s="85">
        <f t="shared" ref="O42:O43" si="39">+N42*O$39</f>
        <v>301.92376035204569</v>
      </c>
      <c r="P42" s="102">
        <f t="shared" si="8"/>
        <v>1164.5630756436049</v>
      </c>
      <c r="R42">
        <v>13579.524837332692</v>
      </c>
      <c r="U42" s="32"/>
      <c r="V42" s="35" t="e">
        <v>#VALUE!</v>
      </c>
    </row>
    <row r="43" spans="1:24" x14ac:dyDescent="0.35">
      <c r="B43" s="219">
        <v>100522333</v>
      </c>
      <c r="C43" s="98" t="s">
        <v>151</v>
      </c>
      <c r="D43" s="99"/>
      <c r="E43" s="100">
        <v>2.16</v>
      </c>
      <c r="F43" s="101">
        <v>24</v>
      </c>
      <c r="G43" s="85">
        <f t="shared" si="0"/>
        <v>14258.501079199326</v>
      </c>
      <c r="H43" s="103"/>
      <c r="I43" s="85">
        <f t="shared" si="33"/>
        <v>14258.501079199326</v>
      </c>
      <c r="J43" s="85">
        <f t="shared" si="34"/>
        <v>594.10421163330523</v>
      </c>
      <c r="K43" s="85">
        <f t="shared" si="35"/>
        <v>124.76188444299409</v>
      </c>
      <c r="L43" s="85">
        <f t="shared" si="36"/>
        <v>718.8660960762993</v>
      </c>
      <c r="M43" s="85">
        <f t="shared" si="37"/>
        <v>143.77321921525987</v>
      </c>
      <c r="N43" s="85">
        <f t="shared" si="38"/>
        <v>862.63931529155911</v>
      </c>
      <c r="O43" s="85">
        <f t="shared" si="39"/>
        <v>301.92376035204569</v>
      </c>
      <c r="P43" s="102">
        <f t="shared" si="8"/>
        <v>1164.5630756436049</v>
      </c>
      <c r="R43">
        <v>13579.524837332692</v>
      </c>
      <c r="U43" s="27">
        <v>100021000</v>
      </c>
      <c r="V43" s="24">
        <v>14258.501079199326</v>
      </c>
    </row>
    <row r="44" spans="1:24" x14ac:dyDescent="0.35">
      <c r="B44" s="84">
        <v>100021045</v>
      </c>
      <c r="C44" s="98" t="s">
        <v>47</v>
      </c>
      <c r="D44" s="99">
        <v>7790360966582</v>
      </c>
      <c r="E44" s="100">
        <v>2.16</v>
      </c>
      <c r="F44" s="101">
        <v>24</v>
      </c>
      <c r="G44" s="85">
        <f>+G45</f>
        <v>14258.501079199325</v>
      </c>
      <c r="H44" s="103"/>
      <c r="I44" s="85">
        <f t="shared" si="1"/>
        <v>14258.501079199325</v>
      </c>
      <c r="J44" s="85">
        <f t="shared" si="2"/>
        <v>594.10421163330523</v>
      </c>
      <c r="K44" s="85">
        <f t="shared" si="3"/>
        <v>124.76188444299409</v>
      </c>
      <c r="L44" s="85">
        <f t="shared" si="4"/>
        <v>718.8660960762993</v>
      </c>
      <c r="M44" s="85">
        <f t="shared" si="31"/>
        <v>143.77321921525987</v>
      </c>
      <c r="N44" s="85">
        <f t="shared" si="6"/>
        <v>862.63931529155911</v>
      </c>
      <c r="O44" s="85">
        <f t="shared" si="32"/>
        <v>301.92376035204569</v>
      </c>
      <c r="P44" s="102">
        <f t="shared" si="8"/>
        <v>1164.5630756436049</v>
      </c>
      <c r="R44">
        <v>13579.52483733269</v>
      </c>
      <c r="S44">
        <f t="shared" si="9"/>
        <v>4.9999999999999975E-2</v>
      </c>
      <c r="U44" s="27">
        <v>100021001</v>
      </c>
      <c r="V44" s="24">
        <v>14258.501079199326</v>
      </c>
    </row>
    <row r="45" spans="1:24" x14ac:dyDescent="0.35">
      <c r="B45" s="84">
        <v>100021004</v>
      </c>
      <c r="C45" s="98" t="s">
        <v>48</v>
      </c>
      <c r="D45" s="99">
        <v>7790360964526</v>
      </c>
      <c r="E45" s="100">
        <v>2.1120000000000001</v>
      </c>
      <c r="F45" s="101">
        <v>24</v>
      </c>
      <c r="G45" s="85">
        <f>+G46</f>
        <v>14258.501079199325</v>
      </c>
      <c r="H45" s="103"/>
      <c r="I45" s="85">
        <f t="shared" si="1"/>
        <v>14258.501079199325</v>
      </c>
      <c r="J45" s="85">
        <f t="shared" si="2"/>
        <v>594.10421163330523</v>
      </c>
      <c r="K45" s="85">
        <f t="shared" si="3"/>
        <v>124.76188444299409</v>
      </c>
      <c r="L45" s="85">
        <f t="shared" si="4"/>
        <v>718.8660960762993</v>
      </c>
      <c r="M45" s="85">
        <f t="shared" si="31"/>
        <v>143.77321921525987</v>
      </c>
      <c r="N45" s="85">
        <f t="shared" si="6"/>
        <v>862.63931529155911</v>
      </c>
      <c r="O45" s="85">
        <f t="shared" si="32"/>
        <v>301.92376035204569</v>
      </c>
      <c r="P45" s="102">
        <f t="shared" si="8"/>
        <v>1164.5630756436049</v>
      </c>
      <c r="R45">
        <v>13579.52483733269</v>
      </c>
      <c r="S45">
        <f t="shared" si="9"/>
        <v>4.9999999999999975E-2</v>
      </c>
      <c r="U45" s="86">
        <v>100522277</v>
      </c>
      <c r="V45" s="24">
        <v>14258.501079199326</v>
      </c>
    </row>
    <row r="46" spans="1:24" x14ac:dyDescent="0.35">
      <c r="B46" s="84">
        <v>100021006</v>
      </c>
      <c r="C46" s="98" t="s">
        <v>49</v>
      </c>
      <c r="D46" s="99">
        <v>7790360964557</v>
      </c>
      <c r="E46" s="100">
        <v>2.1120000000000001</v>
      </c>
      <c r="F46" s="101">
        <v>24</v>
      </c>
      <c r="G46" s="85">
        <f t="shared" ref="G46:G64" si="40">+VLOOKUP(B46,$U$4:$V$106,2,FALSE)</f>
        <v>14258.501079199325</v>
      </c>
      <c r="H46" s="103"/>
      <c r="I46" s="85">
        <f t="shared" si="1"/>
        <v>14258.501079199325</v>
      </c>
      <c r="J46" s="85">
        <f t="shared" si="2"/>
        <v>594.10421163330523</v>
      </c>
      <c r="K46" s="85">
        <f t="shared" si="3"/>
        <v>124.76188444299409</v>
      </c>
      <c r="L46" s="85">
        <f t="shared" si="4"/>
        <v>718.8660960762993</v>
      </c>
      <c r="M46" s="85">
        <f t="shared" si="31"/>
        <v>143.77321921525987</v>
      </c>
      <c r="N46" s="85">
        <f t="shared" si="6"/>
        <v>862.63931529155911</v>
      </c>
      <c r="O46" s="85">
        <f t="shared" si="32"/>
        <v>301.92376035204569</v>
      </c>
      <c r="P46" s="102">
        <f t="shared" si="8"/>
        <v>1164.5630756436049</v>
      </c>
      <c r="R46">
        <v>13579.52483733269</v>
      </c>
      <c r="S46">
        <f t="shared" si="9"/>
        <v>4.9999999999999975E-2</v>
      </c>
      <c r="U46" s="86">
        <v>100522333</v>
      </c>
      <c r="V46" s="24">
        <v>14258.501079199326</v>
      </c>
    </row>
    <row r="47" spans="1:24" x14ac:dyDescent="0.35">
      <c r="B47" s="84">
        <v>100021007</v>
      </c>
      <c r="C47" s="98" t="s">
        <v>50</v>
      </c>
      <c r="D47" s="99">
        <v>7790360964540</v>
      </c>
      <c r="E47" s="100">
        <v>2.04</v>
      </c>
      <c r="F47" s="101">
        <v>24</v>
      </c>
      <c r="G47" s="85">
        <f t="shared" si="40"/>
        <v>17049.180327868853</v>
      </c>
      <c r="H47" s="103"/>
      <c r="I47" s="85">
        <f t="shared" si="1"/>
        <v>17049.180327868853</v>
      </c>
      <c r="J47" s="85">
        <f t="shared" si="2"/>
        <v>710.38251366120221</v>
      </c>
      <c r="K47" s="85">
        <f t="shared" si="3"/>
        <v>149.18032786885246</v>
      </c>
      <c r="L47" s="85">
        <f t="shared" si="4"/>
        <v>859.5628415300547</v>
      </c>
      <c r="M47" s="85">
        <f t="shared" si="31"/>
        <v>171.91256830601094</v>
      </c>
      <c r="N47" s="85">
        <f t="shared" si="6"/>
        <v>1031.4754098360656</v>
      </c>
      <c r="O47" s="85">
        <f t="shared" si="32"/>
        <v>361.01639344262293</v>
      </c>
      <c r="P47" s="102">
        <f t="shared" si="8"/>
        <v>1392.4918032786886</v>
      </c>
      <c r="R47">
        <v>15501.688125000002</v>
      </c>
      <c r="S47">
        <f t="shared" si="9"/>
        <v>9.9827334312910548E-2</v>
      </c>
      <c r="U47" s="27">
        <v>100021045</v>
      </c>
      <c r="V47" s="24">
        <v>14258.501079199325</v>
      </c>
    </row>
    <row r="48" spans="1:24" x14ac:dyDescent="0.35">
      <c r="B48" s="84">
        <v>100021013</v>
      </c>
      <c r="C48" s="98" t="s">
        <v>51</v>
      </c>
      <c r="D48" s="99">
        <v>7790360965714</v>
      </c>
      <c r="E48" s="100">
        <v>2.04</v>
      </c>
      <c r="F48" s="101">
        <v>24</v>
      </c>
      <c r="G48" s="85">
        <f t="shared" si="40"/>
        <v>17049.180327868853</v>
      </c>
      <c r="H48" s="103"/>
      <c r="I48" s="85">
        <f t="shared" si="1"/>
        <v>17049.180327868853</v>
      </c>
      <c r="J48" s="85">
        <f t="shared" si="2"/>
        <v>710.38251366120221</v>
      </c>
      <c r="K48" s="85">
        <f t="shared" si="3"/>
        <v>149.18032786885246</v>
      </c>
      <c r="L48" s="85">
        <f t="shared" si="4"/>
        <v>859.5628415300547</v>
      </c>
      <c r="M48" s="85">
        <f t="shared" si="31"/>
        <v>171.91256830601094</v>
      </c>
      <c r="N48" s="85">
        <f t="shared" si="6"/>
        <v>1031.4754098360656</v>
      </c>
      <c r="O48" s="85">
        <f t="shared" si="32"/>
        <v>361.01639344262293</v>
      </c>
      <c r="P48" s="102">
        <f t="shared" si="8"/>
        <v>1392.4918032786886</v>
      </c>
      <c r="R48">
        <v>15501.688125000002</v>
      </c>
      <c r="S48">
        <f t="shared" si="9"/>
        <v>9.9827334312910548E-2</v>
      </c>
      <c r="U48" s="27">
        <v>100021004</v>
      </c>
      <c r="V48" s="24">
        <v>14258.501079199325</v>
      </c>
    </row>
    <row r="49" spans="2:22" x14ac:dyDescent="0.35">
      <c r="B49" s="84">
        <v>100021014</v>
      </c>
      <c r="C49" s="98" t="s">
        <v>52</v>
      </c>
      <c r="D49" s="99">
        <v>7790360965721</v>
      </c>
      <c r="E49" s="100">
        <v>2.04</v>
      </c>
      <c r="F49" s="101">
        <v>24</v>
      </c>
      <c r="G49" s="85">
        <f t="shared" si="40"/>
        <v>17049.180327868853</v>
      </c>
      <c r="H49" s="103"/>
      <c r="I49" s="85">
        <f t="shared" si="1"/>
        <v>17049.180327868853</v>
      </c>
      <c r="J49" s="85">
        <f t="shared" si="2"/>
        <v>710.38251366120221</v>
      </c>
      <c r="K49" s="85">
        <f t="shared" si="3"/>
        <v>149.18032786885246</v>
      </c>
      <c r="L49" s="85">
        <f t="shared" si="4"/>
        <v>859.5628415300547</v>
      </c>
      <c r="M49" s="85">
        <f t="shared" si="31"/>
        <v>171.91256830601094</v>
      </c>
      <c r="N49" s="85">
        <f t="shared" si="6"/>
        <v>1031.4754098360656</v>
      </c>
      <c r="O49" s="85">
        <f t="shared" si="32"/>
        <v>361.01639344262293</v>
      </c>
      <c r="P49" s="102">
        <f t="shared" si="8"/>
        <v>1392.4918032786886</v>
      </c>
      <c r="R49">
        <v>15501.688125000002</v>
      </c>
      <c r="S49">
        <f t="shared" si="9"/>
        <v>9.9827334312910548E-2</v>
      </c>
      <c r="U49" s="27">
        <v>100021006</v>
      </c>
      <c r="V49" s="24">
        <v>14258.501079199325</v>
      </c>
    </row>
    <row r="50" spans="2:22" x14ac:dyDescent="0.35">
      <c r="B50" s="84">
        <v>100021054</v>
      </c>
      <c r="C50" s="98" t="s">
        <v>53</v>
      </c>
      <c r="D50" s="99">
        <v>7790360965707</v>
      </c>
      <c r="E50" s="100">
        <v>2.04</v>
      </c>
      <c r="F50" s="101">
        <v>24</v>
      </c>
      <c r="G50" s="85">
        <f t="shared" si="40"/>
        <v>17049.180327868853</v>
      </c>
      <c r="H50" s="103"/>
      <c r="I50" s="85">
        <f t="shared" si="1"/>
        <v>17049.180327868853</v>
      </c>
      <c r="J50" s="85">
        <f t="shared" si="2"/>
        <v>710.38251366120221</v>
      </c>
      <c r="K50" s="85">
        <f t="shared" si="3"/>
        <v>149.18032786885246</v>
      </c>
      <c r="L50" s="85">
        <f t="shared" si="4"/>
        <v>859.5628415300547</v>
      </c>
      <c r="M50" s="85">
        <f t="shared" si="31"/>
        <v>171.91256830601094</v>
      </c>
      <c r="N50" s="85">
        <f t="shared" si="6"/>
        <v>1031.4754098360656</v>
      </c>
      <c r="O50" s="85">
        <f t="shared" si="32"/>
        <v>361.01639344262293</v>
      </c>
      <c r="P50" s="102">
        <f t="shared" si="8"/>
        <v>1392.4918032786886</v>
      </c>
      <c r="R50">
        <v>15501.688125000002</v>
      </c>
      <c r="S50">
        <f t="shared" si="9"/>
        <v>9.9827334312910548E-2</v>
      </c>
      <c r="U50" s="27">
        <v>100021007</v>
      </c>
      <c r="V50" s="24">
        <v>17049.180327868853</v>
      </c>
    </row>
    <row r="51" spans="2:22" x14ac:dyDescent="0.35">
      <c r="B51" s="84">
        <v>100021055</v>
      </c>
      <c r="C51" s="98" t="s">
        <v>54</v>
      </c>
      <c r="D51" s="99">
        <v>7790360965189</v>
      </c>
      <c r="E51" s="100">
        <v>2.04</v>
      </c>
      <c r="F51" s="101">
        <v>24</v>
      </c>
      <c r="G51" s="85">
        <f t="shared" si="40"/>
        <v>17049.180327868853</v>
      </c>
      <c r="H51" s="103"/>
      <c r="I51" s="85">
        <f t="shared" si="1"/>
        <v>17049.180327868853</v>
      </c>
      <c r="J51" s="85">
        <f t="shared" si="2"/>
        <v>710.38251366120221</v>
      </c>
      <c r="K51" s="85">
        <f t="shared" si="3"/>
        <v>149.18032786885246</v>
      </c>
      <c r="L51" s="85">
        <f t="shared" si="4"/>
        <v>859.5628415300547</v>
      </c>
      <c r="M51" s="85">
        <f t="shared" si="31"/>
        <v>171.91256830601094</v>
      </c>
      <c r="N51" s="85">
        <f t="shared" si="6"/>
        <v>1031.4754098360656</v>
      </c>
      <c r="O51" s="85">
        <f t="shared" si="32"/>
        <v>361.01639344262293</v>
      </c>
      <c r="P51" s="102">
        <f t="shared" si="8"/>
        <v>1392.4918032786886</v>
      </c>
      <c r="R51">
        <v>15501.688125000002</v>
      </c>
      <c r="S51">
        <f t="shared" si="9"/>
        <v>9.9827334312910548E-2</v>
      </c>
      <c r="U51" s="27">
        <v>100021013</v>
      </c>
      <c r="V51" s="24">
        <v>17049.180327868853</v>
      </c>
    </row>
    <row r="52" spans="2:22" x14ac:dyDescent="0.35">
      <c r="B52" s="84">
        <v>100021015</v>
      </c>
      <c r="C52" s="98" t="s">
        <v>55</v>
      </c>
      <c r="D52" s="99">
        <v>7790360965202</v>
      </c>
      <c r="E52" s="100">
        <v>2.04</v>
      </c>
      <c r="F52" s="101">
        <v>24</v>
      </c>
      <c r="G52" s="85">
        <f t="shared" si="40"/>
        <v>17049.180327868853</v>
      </c>
      <c r="H52" s="103"/>
      <c r="I52" s="85">
        <f t="shared" si="1"/>
        <v>17049.180327868853</v>
      </c>
      <c r="J52" s="85">
        <f t="shared" si="2"/>
        <v>710.38251366120221</v>
      </c>
      <c r="K52" s="85">
        <f t="shared" si="3"/>
        <v>149.18032786885246</v>
      </c>
      <c r="L52" s="85">
        <f t="shared" si="4"/>
        <v>859.5628415300547</v>
      </c>
      <c r="M52" s="85">
        <f t="shared" si="31"/>
        <v>171.91256830601094</v>
      </c>
      <c r="N52" s="85">
        <f t="shared" si="6"/>
        <v>1031.4754098360656</v>
      </c>
      <c r="O52" s="85">
        <f t="shared" si="32"/>
        <v>361.01639344262293</v>
      </c>
      <c r="P52" s="102">
        <f t="shared" si="8"/>
        <v>1392.4918032786886</v>
      </c>
      <c r="R52">
        <v>15501.688125000002</v>
      </c>
      <c r="S52">
        <f t="shared" si="9"/>
        <v>9.9827334312910548E-2</v>
      </c>
      <c r="U52" s="27">
        <v>100021014</v>
      </c>
      <c r="V52" s="24">
        <v>17049.180327868853</v>
      </c>
    </row>
    <row r="53" spans="2:22" x14ac:dyDescent="0.35">
      <c r="B53" s="84">
        <v>100021008</v>
      </c>
      <c r="C53" s="98" t="s">
        <v>56</v>
      </c>
      <c r="D53" s="99">
        <v>7790360720122</v>
      </c>
      <c r="E53" s="100">
        <v>2.16</v>
      </c>
      <c r="F53" s="101">
        <v>24</v>
      </c>
      <c r="G53" s="85">
        <f t="shared" si="40"/>
        <v>12068.107619965038</v>
      </c>
      <c r="H53" s="103"/>
      <c r="I53" s="85">
        <f t="shared" si="1"/>
        <v>12068.107619965038</v>
      </c>
      <c r="J53" s="85">
        <f t="shared" si="2"/>
        <v>502.83781749854325</v>
      </c>
      <c r="K53" s="85">
        <f t="shared" si="3"/>
        <v>105.59594167469407</v>
      </c>
      <c r="L53" s="85">
        <f t="shared" si="4"/>
        <v>608.43375917323738</v>
      </c>
      <c r="M53" s="85">
        <f t="shared" si="31"/>
        <v>121.68675183464748</v>
      </c>
      <c r="N53" s="85">
        <f t="shared" si="6"/>
        <v>730.12051100788483</v>
      </c>
      <c r="O53" s="85">
        <f t="shared" si="32"/>
        <v>255.54217885275966</v>
      </c>
      <c r="P53" s="102">
        <f t="shared" si="8"/>
        <v>985.66268986064449</v>
      </c>
      <c r="R53">
        <v>11493.435828538131</v>
      </c>
      <c r="S53">
        <f t="shared" si="9"/>
        <v>0.05</v>
      </c>
      <c r="U53" s="27">
        <v>100021054</v>
      </c>
      <c r="V53" s="24">
        <v>17049.180327868853</v>
      </c>
    </row>
    <row r="54" spans="2:22" x14ac:dyDescent="0.35">
      <c r="B54" s="84">
        <v>100021009</v>
      </c>
      <c r="C54" s="98" t="s">
        <v>57</v>
      </c>
      <c r="D54" s="99">
        <v>7790360965127</v>
      </c>
      <c r="E54" s="100">
        <v>2.16</v>
      </c>
      <c r="F54" s="101">
        <v>24</v>
      </c>
      <c r="G54" s="85">
        <f t="shared" si="40"/>
        <v>12068.107619965038</v>
      </c>
      <c r="H54" s="103"/>
      <c r="I54" s="85">
        <f t="shared" si="1"/>
        <v>12068.107619965038</v>
      </c>
      <c r="J54" s="85">
        <f t="shared" si="2"/>
        <v>502.83781749854325</v>
      </c>
      <c r="K54" s="85">
        <f t="shared" si="3"/>
        <v>105.59594167469407</v>
      </c>
      <c r="L54" s="85">
        <f t="shared" si="4"/>
        <v>608.43375917323738</v>
      </c>
      <c r="M54" s="85">
        <f t="shared" si="31"/>
        <v>121.68675183464748</v>
      </c>
      <c r="N54" s="85">
        <f t="shared" si="6"/>
        <v>730.12051100788483</v>
      </c>
      <c r="O54" s="85">
        <f t="shared" si="32"/>
        <v>255.54217885275966</v>
      </c>
      <c r="P54" s="102">
        <f t="shared" si="8"/>
        <v>985.66268986064449</v>
      </c>
      <c r="R54">
        <v>11493.435828538131</v>
      </c>
      <c r="S54">
        <f t="shared" si="9"/>
        <v>0.05</v>
      </c>
      <c r="U54" s="27">
        <v>100021055</v>
      </c>
      <c r="V54" s="24">
        <v>17049.180327868853</v>
      </c>
    </row>
    <row r="55" spans="2:22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f t="shared" si="40"/>
        <v>12068.107619965038</v>
      </c>
      <c r="H55" s="23"/>
      <c r="I55" s="24">
        <f t="shared" si="1"/>
        <v>12068.107619965038</v>
      </c>
      <c r="J55" s="24">
        <f t="shared" si="2"/>
        <v>502.83781749854325</v>
      </c>
      <c r="K55" s="24">
        <f t="shared" si="3"/>
        <v>105.59594167469407</v>
      </c>
      <c r="L55" s="24">
        <f t="shared" si="4"/>
        <v>608.43375917323738</v>
      </c>
      <c r="M55" s="24">
        <f t="shared" si="31"/>
        <v>121.68675183464748</v>
      </c>
      <c r="N55" s="24">
        <f t="shared" si="6"/>
        <v>730.12051100788483</v>
      </c>
      <c r="O55" s="24">
        <f t="shared" si="32"/>
        <v>255.54217885275966</v>
      </c>
      <c r="P55" s="25">
        <f t="shared" si="8"/>
        <v>985.66268986064449</v>
      </c>
      <c r="R55">
        <v>11493.435828538131</v>
      </c>
      <c r="S55">
        <f t="shared" si="9"/>
        <v>0.05</v>
      </c>
      <c r="U55" s="27">
        <v>100021015</v>
      </c>
      <c r="V55" s="24">
        <v>17049.180327868853</v>
      </c>
    </row>
    <row r="56" spans="2:22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f t="shared" si="40"/>
        <v>12068.107619965038</v>
      </c>
      <c r="H56" s="23"/>
      <c r="I56" s="24">
        <f t="shared" si="1"/>
        <v>12068.107619965038</v>
      </c>
      <c r="J56" s="24">
        <f t="shared" si="2"/>
        <v>502.83781749854325</v>
      </c>
      <c r="K56" s="24">
        <f t="shared" si="3"/>
        <v>105.59594167469407</v>
      </c>
      <c r="L56" s="24">
        <f t="shared" si="4"/>
        <v>608.43375917323738</v>
      </c>
      <c r="M56" s="24">
        <f t="shared" si="31"/>
        <v>121.68675183464748</v>
      </c>
      <c r="N56" s="24">
        <f t="shared" si="6"/>
        <v>730.12051100788483</v>
      </c>
      <c r="O56" s="24">
        <f t="shared" si="32"/>
        <v>255.54217885275966</v>
      </c>
      <c r="P56" s="25">
        <f t="shared" si="8"/>
        <v>985.66268986064449</v>
      </c>
      <c r="R56">
        <v>11493.435828538131</v>
      </c>
      <c r="S56">
        <f t="shared" si="9"/>
        <v>0.05</v>
      </c>
      <c r="U56" s="27">
        <v>100021008</v>
      </c>
      <c r="V56" s="24">
        <v>12068.107619965038</v>
      </c>
    </row>
    <row r="57" spans="2:22" x14ac:dyDescent="0.35">
      <c r="B57" s="32"/>
      <c r="C57" s="33"/>
      <c r="D57" s="34"/>
      <c r="E57" s="33"/>
      <c r="F57" s="35"/>
      <c r="G57" s="35" t="e">
        <f t="shared" si="40"/>
        <v>#N/A</v>
      </c>
      <c r="H57" s="35"/>
      <c r="I57" s="35" t="e">
        <f t="shared" si="1"/>
        <v>#N/A</v>
      </c>
      <c r="J57" s="37" t="e">
        <f t="shared" si="2"/>
        <v>#N/A</v>
      </c>
      <c r="K57" s="38">
        <v>0.21</v>
      </c>
      <c r="L57" s="37"/>
      <c r="M57" s="38">
        <v>0.3</v>
      </c>
      <c r="N57" s="37"/>
      <c r="O57" s="38">
        <v>0.4</v>
      </c>
      <c r="P57" s="39"/>
      <c r="R57" t="e">
        <v>#N/A</v>
      </c>
      <c r="S57" t="e">
        <f t="shared" si="9"/>
        <v>#N/A</v>
      </c>
      <c r="U57" s="27">
        <v>100021009</v>
      </c>
      <c r="V57" s="24">
        <v>12068.107619965038</v>
      </c>
    </row>
    <row r="58" spans="2:22" x14ac:dyDescent="0.35">
      <c r="B58" s="84">
        <v>100516217</v>
      </c>
      <c r="C58" s="98" t="s">
        <v>60</v>
      </c>
      <c r="D58" s="99">
        <v>7790360967824</v>
      </c>
      <c r="E58" s="100">
        <v>5.8</v>
      </c>
      <c r="F58" s="101">
        <v>20</v>
      </c>
      <c r="G58" s="85">
        <f t="shared" si="40"/>
        <v>28982.860398836285</v>
      </c>
      <c r="H58" s="97"/>
      <c r="I58" s="85">
        <f t="shared" si="1"/>
        <v>28982.860398836285</v>
      </c>
      <c r="J58" s="85">
        <f t="shared" si="2"/>
        <v>1449.1430199418141</v>
      </c>
      <c r="K58" s="85">
        <f t="shared" si="3"/>
        <v>304.32003418778095</v>
      </c>
      <c r="L58" s="85">
        <f t="shared" si="4"/>
        <v>1753.4630541295951</v>
      </c>
      <c r="M58" s="85">
        <f t="shared" si="5"/>
        <v>526.03891623887853</v>
      </c>
      <c r="N58" s="85">
        <f t="shared" si="6"/>
        <v>2279.5019703684738</v>
      </c>
      <c r="O58" s="85">
        <f t="shared" si="7"/>
        <v>911.80078814738954</v>
      </c>
      <c r="P58" s="102">
        <f t="shared" si="8"/>
        <v>3191.3027585158634</v>
      </c>
      <c r="R58">
        <v>28138.699416345906</v>
      </c>
      <c r="S58">
        <f t="shared" si="9"/>
        <v>3.0000000000000065E-2</v>
      </c>
      <c r="U58" s="27">
        <v>100021010</v>
      </c>
      <c r="V58" s="24">
        <v>12068.107619965038</v>
      </c>
    </row>
    <row r="59" spans="2:22" x14ac:dyDescent="0.35">
      <c r="B59" s="84">
        <v>100516214</v>
      </c>
      <c r="C59" s="98" t="s">
        <v>61</v>
      </c>
      <c r="D59" s="99">
        <v>7790360967794</v>
      </c>
      <c r="E59" s="100">
        <v>7</v>
      </c>
      <c r="F59" s="101">
        <v>20</v>
      </c>
      <c r="G59" s="85">
        <f t="shared" si="40"/>
        <v>38680.384634142938</v>
      </c>
      <c r="H59" s="97"/>
      <c r="I59" s="85">
        <f t="shared" si="1"/>
        <v>38680.384634142938</v>
      </c>
      <c r="J59" s="85">
        <f t="shared" si="2"/>
        <v>1934.0192317071469</v>
      </c>
      <c r="K59" s="85">
        <f t="shared" si="3"/>
        <v>406.14403865850085</v>
      </c>
      <c r="L59" s="85">
        <f t="shared" si="4"/>
        <v>2340.1632703656478</v>
      </c>
      <c r="M59" s="85">
        <f t="shared" si="5"/>
        <v>702.0489811096943</v>
      </c>
      <c r="N59" s="85">
        <f t="shared" si="6"/>
        <v>3042.2122514753419</v>
      </c>
      <c r="O59" s="85">
        <f t="shared" si="7"/>
        <v>1216.8849005901368</v>
      </c>
      <c r="P59" s="102">
        <f t="shared" si="8"/>
        <v>4259.0971520654784</v>
      </c>
      <c r="Q59">
        <v>0.05</v>
      </c>
      <c r="R59">
        <v>38680.384634142931</v>
      </c>
      <c r="S59">
        <f t="shared" si="9"/>
        <v>1.8810458280089036E-16</v>
      </c>
      <c r="U59" s="27">
        <v>100021011</v>
      </c>
      <c r="V59" s="24">
        <v>12068.107619965038</v>
      </c>
    </row>
    <row r="60" spans="2:22" x14ac:dyDescent="0.35">
      <c r="B60" s="84">
        <v>100516215</v>
      </c>
      <c r="C60" s="98" t="s">
        <v>62</v>
      </c>
      <c r="D60" s="99">
        <v>7790360967800</v>
      </c>
      <c r="E60" s="100">
        <v>7</v>
      </c>
      <c r="F60" s="101">
        <v>20</v>
      </c>
      <c r="G60" s="85">
        <f t="shared" si="40"/>
        <v>38680.384634142938</v>
      </c>
      <c r="H60" s="97"/>
      <c r="I60" s="85">
        <f t="shared" si="1"/>
        <v>38680.384634142938</v>
      </c>
      <c r="J60" s="85">
        <f t="shared" si="2"/>
        <v>1934.0192317071469</v>
      </c>
      <c r="K60" s="85">
        <f t="shared" si="3"/>
        <v>406.14403865850085</v>
      </c>
      <c r="L60" s="85">
        <f t="shared" si="4"/>
        <v>2340.1632703656478</v>
      </c>
      <c r="M60" s="85">
        <f t="shared" si="5"/>
        <v>702.0489811096943</v>
      </c>
      <c r="N60" s="85">
        <f t="shared" si="6"/>
        <v>3042.2122514753419</v>
      </c>
      <c r="O60" s="85">
        <f t="shared" si="7"/>
        <v>1216.8849005901368</v>
      </c>
      <c r="P60" s="102">
        <f t="shared" si="8"/>
        <v>4259.0971520654784</v>
      </c>
      <c r="Q60">
        <v>0.05</v>
      </c>
      <c r="R60">
        <v>38680.384634142931</v>
      </c>
      <c r="S60">
        <f t="shared" si="9"/>
        <v>1.8810458280089036E-16</v>
      </c>
      <c r="U60" s="32"/>
      <c r="V60" s="35" t="e">
        <v>#VALUE!</v>
      </c>
    </row>
    <row r="61" spans="2:22" x14ac:dyDescent="0.35">
      <c r="B61" s="84">
        <v>100516216</v>
      </c>
      <c r="C61" s="98" t="s">
        <v>63</v>
      </c>
      <c r="D61" s="99">
        <v>7790360967817</v>
      </c>
      <c r="E61" s="100">
        <v>7</v>
      </c>
      <c r="F61" s="101">
        <v>20</v>
      </c>
      <c r="G61" s="85">
        <f t="shared" si="40"/>
        <v>38680.384634142938</v>
      </c>
      <c r="H61" s="97"/>
      <c r="I61" s="85">
        <f t="shared" si="1"/>
        <v>38680.384634142938</v>
      </c>
      <c r="J61" s="85">
        <f t="shared" si="2"/>
        <v>1934.0192317071469</v>
      </c>
      <c r="K61" s="85">
        <f t="shared" si="3"/>
        <v>406.14403865850085</v>
      </c>
      <c r="L61" s="85">
        <f t="shared" si="4"/>
        <v>2340.1632703656478</v>
      </c>
      <c r="M61" s="85">
        <f t="shared" si="5"/>
        <v>702.0489811096943</v>
      </c>
      <c r="N61" s="85">
        <f t="shared" si="6"/>
        <v>3042.2122514753419</v>
      </c>
      <c r="O61" s="85">
        <f t="shared" si="7"/>
        <v>1216.8849005901368</v>
      </c>
      <c r="P61" s="102">
        <f t="shared" si="8"/>
        <v>4259.0971520654784</v>
      </c>
      <c r="Q61">
        <v>0.05</v>
      </c>
      <c r="R61">
        <v>38680.384634142931</v>
      </c>
      <c r="S61">
        <f t="shared" si="9"/>
        <v>1.8810458280089036E-16</v>
      </c>
      <c r="U61" s="27">
        <v>100516217</v>
      </c>
      <c r="V61" s="24">
        <v>28982.860398836285</v>
      </c>
    </row>
    <row r="62" spans="2:22" x14ac:dyDescent="0.35">
      <c r="B62" s="32"/>
      <c r="C62" s="33"/>
      <c r="D62" s="34"/>
      <c r="E62" s="33"/>
      <c r="F62" s="35"/>
      <c r="G62" s="35" t="e">
        <f t="shared" si="40"/>
        <v>#N/A</v>
      </c>
      <c r="H62" s="134"/>
      <c r="I62" s="35" t="e">
        <f t="shared" si="1"/>
        <v>#N/A</v>
      </c>
      <c r="J62" s="37" t="e">
        <f t="shared" si="2"/>
        <v>#N/A</v>
      </c>
      <c r="K62" s="38">
        <v>0.21</v>
      </c>
      <c r="L62" s="37"/>
      <c r="M62" s="38">
        <v>0.3</v>
      </c>
      <c r="N62" s="37"/>
      <c r="O62" s="38">
        <v>0.4</v>
      </c>
      <c r="P62" s="39"/>
      <c r="R62" t="e">
        <v>#N/A</v>
      </c>
      <c r="S62" t="e">
        <f t="shared" si="9"/>
        <v>#N/A</v>
      </c>
      <c r="U62" s="27">
        <v>100516214</v>
      </c>
      <c r="V62" s="24">
        <v>38680.384634142938</v>
      </c>
    </row>
    <row r="63" spans="2:22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f t="shared" si="40"/>
        <v>36137.296321829432</v>
      </c>
      <c r="H63" s="135"/>
      <c r="I63" s="24">
        <f t="shared" si="1"/>
        <v>36137.296321829432</v>
      </c>
      <c r="J63" s="24">
        <f t="shared" si="2"/>
        <v>3011.4413601524525</v>
      </c>
      <c r="K63" s="24">
        <f t="shared" si="3"/>
        <v>632.40268563201505</v>
      </c>
      <c r="L63" s="24">
        <f t="shared" si="4"/>
        <v>3643.8440457844677</v>
      </c>
      <c r="M63" s="24">
        <f t="shared" si="5"/>
        <v>1093.1532137353402</v>
      </c>
      <c r="N63" s="24">
        <f t="shared" si="6"/>
        <v>4736.9972595198078</v>
      </c>
      <c r="O63" s="24">
        <f t="shared" si="7"/>
        <v>1894.7989038079231</v>
      </c>
      <c r="P63" s="25">
        <f t="shared" si="8"/>
        <v>6631.7961633277309</v>
      </c>
      <c r="R63">
        <v>36137.296321829432</v>
      </c>
      <c r="S63">
        <f t="shared" si="9"/>
        <v>0</v>
      </c>
      <c r="U63" s="27">
        <v>100516215</v>
      </c>
      <c r="V63" s="24">
        <v>38680.384634142938</v>
      </c>
    </row>
    <row r="64" spans="2:22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f t="shared" si="40"/>
        <v>32860.30137569191</v>
      </c>
      <c r="H64" s="135"/>
      <c r="I64" s="24">
        <f t="shared" si="1"/>
        <v>32860.30137569191</v>
      </c>
      <c r="J64" s="24">
        <f t="shared" si="2"/>
        <v>2738.3584479743258</v>
      </c>
      <c r="K64" s="24">
        <f t="shared" si="3"/>
        <v>575.05527407460841</v>
      </c>
      <c r="L64" s="24">
        <f t="shared" si="4"/>
        <v>3313.4137220489342</v>
      </c>
      <c r="M64" s="24">
        <f t="shared" si="5"/>
        <v>994.02411661468022</v>
      </c>
      <c r="N64" s="24">
        <f t="shared" si="6"/>
        <v>4307.4378386636145</v>
      </c>
      <c r="O64" s="24">
        <f t="shared" si="7"/>
        <v>1722.9751354654459</v>
      </c>
      <c r="P64" s="25">
        <f t="shared" si="8"/>
        <v>6030.4129741290599</v>
      </c>
      <c r="R64" t="e">
        <v>#N/A</v>
      </c>
      <c r="S64" t="e">
        <f t="shared" si="9"/>
        <v>#N/A</v>
      </c>
      <c r="U64" s="27">
        <v>100516216</v>
      </c>
      <c r="V64" s="24">
        <v>38680.384634142938</v>
      </c>
    </row>
    <row r="65" spans="2:22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f>+'Sub NOA'!G65</f>
        <v>60214.277255984773</v>
      </c>
      <c r="H65" s="136"/>
      <c r="I65" s="24">
        <f t="shared" si="1"/>
        <v>60214.277255984773</v>
      </c>
      <c r="J65" s="24">
        <f t="shared" si="2"/>
        <v>6021.4277255984771</v>
      </c>
      <c r="K65" s="24">
        <f t="shared" si="3"/>
        <v>1264.4998223756802</v>
      </c>
      <c r="L65" s="24">
        <f t="shared" si="4"/>
        <v>7285.9275479741573</v>
      </c>
      <c r="M65" s="24">
        <f t="shared" si="5"/>
        <v>2185.7782643922469</v>
      </c>
      <c r="N65" s="24">
        <f t="shared" si="6"/>
        <v>9471.7058123664046</v>
      </c>
      <c r="O65" s="24">
        <f t="shared" si="7"/>
        <v>3788.6823249465619</v>
      </c>
      <c r="P65" s="25">
        <f t="shared" si="8"/>
        <v>13260.388137312966</v>
      </c>
      <c r="R65">
        <v>60214.277255984773</v>
      </c>
      <c r="S65">
        <f t="shared" si="9"/>
        <v>0</v>
      </c>
      <c r="U65" s="32"/>
      <c r="V65" s="35" t="e">
        <v>#VALUE!</v>
      </c>
    </row>
    <row r="66" spans="2:22" x14ac:dyDescent="0.35">
      <c r="B66" s="84">
        <v>100521357</v>
      </c>
      <c r="C66" s="98" t="s">
        <v>122</v>
      </c>
      <c r="D66" s="99"/>
      <c r="E66" s="100">
        <v>4.5599999999999996</v>
      </c>
      <c r="F66" s="101">
        <v>12</v>
      </c>
      <c r="G66" s="85">
        <f t="shared" ref="G66:G98" si="41">+VLOOKUP(B66,$U$4:$V$106,2,FALSE)</f>
        <v>48595.608600000021</v>
      </c>
      <c r="H66" s="117">
        <v>0.33</v>
      </c>
      <c r="I66" s="85">
        <f t="shared" si="1"/>
        <v>32559.057762000011</v>
      </c>
      <c r="J66" s="85">
        <f t="shared" si="2"/>
        <v>2713.2548135000011</v>
      </c>
      <c r="K66" s="85">
        <f t="shared" si="3"/>
        <v>569.78351083500024</v>
      </c>
      <c r="L66" s="85">
        <f t="shared" si="4"/>
        <v>3283.0383243350016</v>
      </c>
      <c r="M66" s="85">
        <f t="shared" si="5"/>
        <v>984.9114973005004</v>
      </c>
      <c r="N66" s="85">
        <f t="shared" si="6"/>
        <v>4267.9498216355023</v>
      </c>
      <c r="O66" s="85">
        <f t="shared" si="7"/>
        <v>1707.1799286542009</v>
      </c>
      <c r="P66" s="102">
        <f t="shared" si="8"/>
        <v>5975.1297502897032</v>
      </c>
      <c r="Q66">
        <v>0.33</v>
      </c>
      <c r="R66">
        <v>32559.057762000011</v>
      </c>
      <c r="U66" s="27">
        <v>100021704</v>
      </c>
      <c r="V66" s="24">
        <v>36137.296321829432</v>
      </c>
    </row>
    <row r="67" spans="2:22" x14ac:dyDescent="0.35">
      <c r="B67" s="84">
        <v>100521358</v>
      </c>
      <c r="C67" s="98" t="s">
        <v>130</v>
      </c>
      <c r="D67" s="99">
        <v>7790360982025</v>
      </c>
      <c r="E67" s="100">
        <v>7.6</v>
      </c>
      <c r="F67" s="101">
        <v>10</v>
      </c>
      <c r="G67" s="85">
        <f t="shared" si="41"/>
        <v>72893.412900000025</v>
      </c>
      <c r="H67" s="117">
        <v>0.33</v>
      </c>
      <c r="I67" s="85">
        <f t="shared" ref="I67" si="42">+G67*(1-H67)</f>
        <v>48838.58664300001</v>
      </c>
      <c r="J67" s="85">
        <f t="shared" ref="J67" si="43">+I67/F67</f>
        <v>4883.8586643000008</v>
      </c>
      <c r="K67" s="85">
        <f t="shared" ref="K67" si="44">+J67*K$3</f>
        <v>1025.610319503</v>
      </c>
      <c r="L67" s="85">
        <f t="shared" ref="L67" si="45">+J67+K67</f>
        <v>5909.4689838030008</v>
      </c>
      <c r="M67" s="85">
        <f t="shared" ref="M67" si="46">+L67*M$3</f>
        <v>1772.8406951409002</v>
      </c>
      <c r="N67" s="85">
        <f t="shared" ref="N67" si="47">+L67+M67</f>
        <v>7682.3096789439005</v>
      </c>
      <c r="O67" s="85">
        <f t="shared" ref="O67" si="48">+N67*O$3</f>
        <v>3072.9238715775605</v>
      </c>
      <c r="P67" s="102">
        <f t="shared" ref="P67" si="49">+N67+O67</f>
        <v>10755.233550521461</v>
      </c>
      <c r="R67">
        <v>72893.412900000025</v>
      </c>
      <c r="U67" s="27">
        <v>100021705</v>
      </c>
      <c r="V67" s="24">
        <v>32860.30137569191</v>
      </c>
    </row>
    <row r="68" spans="2:22" x14ac:dyDescent="0.35">
      <c r="B68" s="27">
        <v>100522130</v>
      </c>
      <c r="C68" s="28" t="s">
        <v>123</v>
      </c>
      <c r="D68" s="21"/>
      <c r="E68" s="22">
        <v>4.8</v>
      </c>
      <c r="F68" s="23">
        <v>12</v>
      </c>
      <c r="G68" s="24">
        <f t="shared" si="41"/>
        <v>40062.095837032517</v>
      </c>
      <c r="H68" s="136"/>
      <c r="I68" s="24">
        <f t="shared" si="1"/>
        <v>40062.095837032517</v>
      </c>
      <c r="J68" s="24">
        <f t="shared" si="2"/>
        <v>3338.5079864193763</v>
      </c>
      <c r="K68" s="24">
        <f t="shared" si="3"/>
        <v>701.08667714806904</v>
      </c>
      <c r="L68" s="24">
        <f t="shared" si="4"/>
        <v>4039.5946635674454</v>
      </c>
      <c r="M68" s="24">
        <f t="shared" si="5"/>
        <v>1211.8783990702336</v>
      </c>
      <c r="N68" s="24">
        <f t="shared" si="6"/>
        <v>5251.4730626376786</v>
      </c>
      <c r="O68" s="24">
        <f t="shared" si="7"/>
        <v>2100.5892250550714</v>
      </c>
      <c r="P68" s="25">
        <f t="shared" si="8"/>
        <v>7352.06228769275</v>
      </c>
      <c r="R68">
        <v>38154.376987650016</v>
      </c>
      <c r="U68" s="27">
        <v>100021707</v>
      </c>
      <c r="V68" s="24">
        <v>0</v>
      </c>
    </row>
    <row r="69" spans="2:22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f t="shared" si="41"/>
        <v>31749.879413747352</v>
      </c>
      <c r="H69" s="137"/>
      <c r="I69" s="46">
        <f t="shared" si="1"/>
        <v>31749.879413747352</v>
      </c>
      <c r="J69" s="46">
        <f t="shared" si="2"/>
        <v>7937.4698534368381</v>
      </c>
      <c r="K69" s="46">
        <f t="shared" si="3"/>
        <v>1666.8686692217359</v>
      </c>
      <c r="L69" s="46">
        <f t="shared" si="4"/>
        <v>9604.3385226585742</v>
      </c>
      <c r="M69" s="46">
        <f t="shared" si="5"/>
        <v>2881.3015567975722</v>
      </c>
      <c r="N69" s="46">
        <f t="shared" si="6"/>
        <v>12485.640079456147</v>
      </c>
      <c r="O69" s="46">
        <f t="shared" si="7"/>
        <v>4994.2560317824591</v>
      </c>
      <c r="P69" s="47">
        <f t="shared" si="8"/>
        <v>17479.896111238606</v>
      </c>
      <c r="R69">
        <v>31749.879413747352</v>
      </c>
      <c r="S69">
        <f t="shared" si="9"/>
        <v>0</v>
      </c>
      <c r="U69" s="27">
        <v>100021709</v>
      </c>
      <c r="V69" s="24">
        <v>62208.540703129322</v>
      </c>
    </row>
    <row r="70" spans="2:22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f t="shared" si="41"/>
        <v>27152.794840566257</v>
      </c>
      <c r="H70" s="135"/>
      <c r="I70" s="24">
        <f t="shared" si="1"/>
        <v>27152.794840566257</v>
      </c>
      <c r="J70" s="24">
        <f t="shared" si="2"/>
        <v>2262.7329033805213</v>
      </c>
      <c r="K70" s="24">
        <f t="shared" si="3"/>
        <v>475.17390970990948</v>
      </c>
      <c r="L70" s="24">
        <f t="shared" si="4"/>
        <v>2737.9068130904307</v>
      </c>
      <c r="M70" s="24">
        <f t="shared" si="5"/>
        <v>821.3720439271292</v>
      </c>
      <c r="N70" s="24">
        <f t="shared" si="6"/>
        <v>3559.2788570175599</v>
      </c>
      <c r="O70" s="24">
        <f t="shared" si="7"/>
        <v>1423.711542807024</v>
      </c>
      <c r="P70" s="25">
        <f t="shared" si="8"/>
        <v>4982.9903998245836</v>
      </c>
      <c r="R70">
        <v>27152.794840566257</v>
      </c>
      <c r="S70">
        <f t="shared" si="9"/>
        <v>0</v>
      </c>
      <c r="U70" s="27">
        <v>100521357</v>
      </c>
      <c r="V70" s="24">
        <v>48595.608600000021</v>
      </c>
    </row>
    <row r="71" spans="2:22" x14ac:dyDescent="0.35">
      <c r="B71" s="27">
        <v>100517186</v>
      </c>
      <c r="C71" s="28" t="s">
        <v>69</v>
      </c>
      <c r="D71" s="21">
        <v>7790360971395</v>
      </c>
      <c r="E71" s="22">
        <v>8</v>
      </c>
      <c r="F71" s="23">
        <v>8</v>
      </c>
      <c r="G71" s="24">
        <f t="shared" si="41"/>
        <v>68590.402333342587</v>
      </c>
      <c r="H71" s="135"/>
      <c r="I71" s="24">
        <f t="shared" si="1"/>
        <v>68590.402333342587</v>
      </c>
      <c r="J71" s="24">
        <f t="shared" si="2"/>
        <v>8573.8002916678233</v>
      </c>
      <c r="K71" s="24">
        <f t="shared" si="3"/>
        <v>1800.4980612502429</v>
      </c>
      <c r="L71" s="24">
        <f t="shared" si="4"/>
        <v>10374.298352918066</v>
      </c>
      <c r="M71" s="24">
        <f t="shared" si="5"/>
        <v>3112.2895058754198</v>
      </c>
      <c r="N71" s="24">
        <f t="shared" si="6"/>
        <v>13486.587858793486</v>
      </c>
      <c r="O71" s="24">
        <f t="shared" si="7"/>
        <v>5394.6351435173947</v>
      </c>
      <c r="P71" s="25">
        <f t="shared" si="8"/>
        <v>18881.223002310879</v>
      </c>
      <c r="R71">
        <v>68590.402333342587</v>
      </c>
      <c r="S71">
        <f t="shared" si="9"/>
        <v>0</v>
      </c>
      <c r="U71" s="27">
        <v>100521358</v>
      </c>
      <c r="V71" s="24">
        <v>72893.412900000025</v>
      </c>
    </row>
    <row r="72" spans="2:22" x14ac:dyDescent="0.35">
      <c r="B72" s="125">
        <v>100521663</v>
      </c>
      <c r="C72" s="126" t="s">
        <v>124</v>
      </c>
      <c r="D72" s="99"/>
      <c r="E72" s="100">
        <v>4.8</v>
      </c>
      <c r="F72" s="101">
        <v>12</v>
      </c>
      <c r="G72" s="85">
        <v>43941.02138463041</v>
      </c>
      <c r="H72" s="117">
        <v>0.33</v>
      </c>
      <c r="I72" s="85">
        <f t="shared" si="1"/>
        <v>29440.484327702372</v>
      </c>
      <c r="J72" s="85">
        <f t="shared" si="2"/>
        <v>2453.3736939751975</v>
      </c>
      <c r="K72" s="85">
        <f t="shared" si="3"/>
        <v>515.20847573479148</v>
      </c>
      <c r="L72" s="85">
        <f t="shared" si="4"/>
        <v>2968.5821697099891</v>
      </c>
      <c r="M72" s="85">
        <f t="shared" si="5"/>
        <v>890.57465091299673</v>
      </c>
      <c r="N72" s="85">
        <f t="shared" si="6"/>
        <v>3859.1568206229858</v>
      </c>
      <c r="O72" s="85">
        <f t="shared" si="7"/>
        <v>1543.6627282491945</v>
      </c>
      <c r="P72" s="102">
        <f t="shared" si="8"/>
        <v>5402.8195488721803</v>
      </c>
      <c r="Q72">
        <v>0.33</v>
      </c>
      <c r="R72">
        <v>29440.484327702372</v>
      </c>
      <c r="U72" s="27">
        <v>100522130</v>
      </c>
      <c r="V72" s="24">
        <v>40062.095837032517</v>
      </c>
    </row>
    <row r="73" spans="2:22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f t="shared" si="41"/>
        <v>41610.87745899515</v>
      </c>
      <c r="H73" s="137"/>
      <c r="I73" s="46">
        <f t="shared" si="1"/>
        <v>41610.87745899515</v>
      </c>
      <c r="J73" s="46">
        <f t="shared" si="2"/>
        <v>3467.5731215829292</v>
      </c>
      <c r="K73" s="46">
        <f t="shared" si="3"/>
        <v>728.19035553241508</v>
      </c>
      <c r="L73" s="46">
        <f t="shared" si="4"/>
        <v>4195.7634771153444</v>
      </c>
      <c r="M73" s="46">
        <f t="shared" si="5"/>
        <v>1258.7290431346032</v>
      </c>
      <c r="N73" s="46">
        <f t="shared" si="6"/>
        <v>5454.4925202499471</v>
      </c>
      <c r="O73" s="46">
        <f t="shared" si="7"/>
        <v>2181.7970080999789</v>
      </c>
      <c r="P73" s="47">
        <f t="shared" si="8"/>
        <v>7636.2895283499256</v>
      </c>
      <c r="R73">
        <v>41610.87745899515</v>
      </c>
      <c r="S73">
        <f t="shared" si="9"/>
        <v>0</v>
      </c>
      <c r="U73" s="41">
        <v>100021725</v>
      </c>
      <c r="V73" s="46">
        <v>31749.879413747352</v>
      </c>
    </row>
    <row r="74" spans="2:22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f t="shared" si="41"/>
        <v>39413.592299367461</v>
      </c>
      <c r="H74" s="137"/>
      <c r="I74" s="46">
        <f t="shared" si="1"/>
        <v>39413.592299367461</v>
      </c>
      <c r="J74" s="46">
        <f t="shared" si="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>
        <v>39413.592299367461</v>
      </c>
      <c r="S74">
        <f t="shared" si="9"/>
        <v>0</v>
      </c>
      <c r="U74" s="27">
        <v>100517055</v>
      </c>
      <c r="V74" s="24">
        <v>27152.794840566257</v>
      </c>
    </row>
    <row r="75" spans="2:22" ht="15" thickBot="1" x14ac:dyDescent="0.4">
      <c r="B75" s="32"/>
      <c r="C75" s="33"/>
      <c r="D75" s="34"/>
      <c r="E75" s="33"/>
      <c r="F75" s="35"/>
      <c r="G75" s="36" t="e">
        <f t="shared" si="41"/>
        <v>#N/A</v>
      </c>
      <c r="H75" s="134"/>
      <c r="I75" s="36" t="e">
        <f t="shared" si="1"/>
        <v>#N/A</v>
      </c>
      <c r="J75" s="37" t="e">
        <f t="shared" si="2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  <c r="R75" t="e">
        <v>#N/A</v>
      </c>
      <c r="S75" t="e">
        <f t="shared" si="9"/>
        <v>#N/A</v>
      </c>
      <c r="U75" s="27">
        <v>100517186</v>
      </c>
      <c r="V75" s="24">
        <v>68590.402333342587</v>
      </c>
    </row>
    <row r="76" spans="2:22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f t="shared" si="41"/>
        <v>18259.399891781304</v>
      </c>
      <c r="H76" s="135"/>
      <c r="I76" s="24">
        <f t="shared" si="1"/>
        <v>18259.399891781304</v>
      </c>
      <c r="J76" s="24">
        <f t="shared" si="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>
        <v>18259.399891781304</v>
      </c>
      <c r="S76">
        <f t="shared" si="9"/>
        <v>0</v>
      </c>
      <c r="U76" s="27">
        <v>100521663</v>
      </c>
      <c r="V76" s="24">
        <v>43941.02138463041</v>
      </c>
    </row>
    <row r="77" spans="2:22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f t="shared" si="41"/>
        <v>19613.921820029205</v>
      </c>
      <c r="H77" s="135"/>
      <c r="I77" s="24">
        <f t="shared" si="1"/>
        <v>19613.921820029205</v>
      </c>
      <c r="J77" s="24">
        <f t="shared" si="2"/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>
        <v>19613.921820029205</v>
      </c>
      <c r="S77">
        <f t="shared" si="9"/>
        <v>0</v>
      </c>
      <c r="U77" s="41">
        <v>100021728</v>
      </c>
      <c r="V77" s="46">
        <v>41610.87745899515</v>
      </c>
    </row>
    <row r="78" spans="2:22" ht="15" hidden="1" thickBot="1" x14ac:dyDescent="0.4">
      <c r="B78" s="87"/>
      <c r="C78" s="88"/>
      <c r="D78" s="89"/>
      <c r="E78" s="88"/>
      <c r="F78" s="90"/>
      <c r="G78" s="91" t="e">
        <f t="shared" si="41"/>
        <v>#N/A</v>
      </c>
      <c r="H78" s="138"/>
      <c r="I78" s="91" t="e">
        <f t="shared" ref="I78:I106" si="50">+G78*(1-H78)</f>
        <v>#N/A</v>
      </c>
      <c r="J78" s="37" t="e">
        <f t="shared" ref="J78:J84" si="51">+I78/F78</f>
        <v>#N/A</v>
      </c>
      <c r="K78" s="38"/>
      <c r="L78" s="37"/>
      <c r="M78" s="38"/>
      <c r="N78" s="37"/>
      <c r="O78" s="38"/>
      <c r="P78" s="39"/>
      <c r="R78" t="e">
        <v>#N/A</v>
      </c>
      <c r="S78" t="e">
        <f t="shared" ref="S78:S106" si="52">+(I78-R78)/R78</f>
        <v>#N/A</v>
      </c>
      <c r="U78" s="41">
        <v>100517679</v>
      </c>
      <c r="V78" s="46">
        <v>39413.592299367461</v>
      </c>
    </row>
    <row r="79" spans="2:22" x14ac:dyDescent="0.35">
      <c r="B79" s="86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f t="shared" si="41"/>
        <v>79203.691045796324</v>
      </c>
      <c r="H79" s="139"/>
      <c r="I79" s="24">
        <f t="shared" si="50"/>
        <v>79203.691045796324</v>
      </c>
      <c r="J79" s="24">
        <f t="shared" si="51"/>
        <v>3300.153793574847</v>
      </c>
      <c r="K79" s="24">
        <f>+J79*K$3</f>
        <v>693.03229665071785</v>
      </c>
      <c r="L79" s="24">
        <f>+J79+K79</f>
        <v>3993.1860902255648</v>
      </c>
      <c r="M79" s="24">
        <f>+L79*M$3</f>
        <v>1197.9558270676694</v>
      </c>
      <c r="N79" s="24">
        <f>+L79+M79</f>
        <v>5191.1419172932347</v>
      </c>
      <c r="O79" s="24">
        <f>+N79*O$3</f>
        <v>2076.4567669172939</v>
      </c>
      <c r="P79" s="25">
        <f>+N79+O79</f>
        <v>7267.5986842105285</v>
      </c>
      <c r="R79">
        <v>79203.691045796324</v>
      </c>
      <c r="S79">
        <f t="shared" si="52"/>
        <v>0</v>
      </c>
      <c r="U79" s="32"/>
      <c r="V79" s="36" t="e">
        <v>#VALUE!</v>
      </c>
    </row>
    <row r="80" spans="2:22" x14ac:dyDescent="0.35">
      <c r="B80" s="86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f t="shared" si="41"/>
        <v>79203.691045796324</v>
      </c>
      <c r="H80" s="135"/>
      <c r="I80" s="24">
        <f t="shared" si="50"/>
        <v>79203.691045796324</v>
      </c>
      <c r="J80" s="24">
        <f t="shared" si="51"/>
        <v>6600.307587149694</v>
      </c>
      <c r="K80" s="24">
        <f>+J80*K$3</f>
        <v>1386.0645933014357</v>
      </c>
      <c r="L80" s="24">
        <f>+J80+K80</f>
        <v>7986.3721804511297</v>
      </c>
      <c r="M80" s="24">
        <f>+L80*M$3</f>
        <v>2395.9116541353387</v>
      </c>
      <c r="N80" s="24">
        <f>+L80+M80</f>
        <v>10382.283834586469</v>
      </c>
      <c r="O80" s="24">
        <f>+N80*O$3</f>
        <v>4152.9135338345877</v>
      </c>
      <c r="P80" s="25">
        <f>+N80+O80</f>
        <v>14535.197368421057</v>
      </c>
      <c r="R80">
        <v>79203.691045796324</v>
      </c>
      <c r="S80">
        <f t="shared" si="52"/>
        <v>0</v>
      </c>
      <c r="U80" s="27">
        <v>100516219</v>
      </c>
      <c r="V80" s="24">
        <v>18259.399891781304</v>
      </c>
    </row>
    <row r="81" spans="1:22" ht="15" thickBot="1" x14ac:dyDescent="0.4">
      <c r="B81" s="86">
        <v>100518463</v>
      </c>
      <c r="C81" s="28" t="s">
        <v>89</v>
      </c>
      <c r="D81" s="63"/>
      <c r="E81" s="22">
        <v>5</v>
      </c>
      <c r="F81" s="23">
        <v>1</v>
      </c>
      <c r="G81" s="24">
        <f t="shared" si="41"/>
        <v>36649.894031605167</v>
      </c>
      <c r="H81" s="140"/>
      <c r="I81" s="24">
        <f t="shared" si="50"/>
        <v>36649.894031605167</v>
      </c>
      <c r="J81" s="24">
        <f t="shared" si="51"/>
        <v>36649.894031605167</v>
      </c>
      <c r="K81" s="24">
        <f>+J81*K$3</f>
        <v>7696.4777466370851</v>
      </c>
      <c r="L81" s="24">
        <f>+J81+K81</f>
        <v>44346.371778242254</v>
      </c>
      <c r="M81" s="24">
        <f>+L81*M$3</f>
        <v>13303.911533472676</v>
      </c>
      <c r="N81" s="24">
        <f>+L81+M81</f>
        <v>57650.283311714928</v>
      </c>
      <c r="O81" s="24">
        <f>+N81*O$3</f>
        <v>23060.113324685972</v>
      </c>
      <c r="P81" s="25">
        <f>+N81+O81</f>
        <v>80710.396636400896</v>
      </c>
      <c r="R81">
        <v>36649.894031605167</v>
      </c>
      <c r="S81">
        <f t="shared" si="52"/>
        <v>0</v>
      </c>
      <c r="U81" s="27">
        <v>100516220</v>
      </c>
      <c r="V81" s="24">
        <v>19613.921820029205</v>
      </c>
    </row>
    <row r="82" spans="1:22" ht="15" thickBot="1" x14ac:dyDescent="0.4">
      <c r="B82" s="71"/>
      <c r="C82" s="72"/>
      <c r="D82" s="73"/>
      <c r="E82" s="72"/>
      <c r="F82" s="74"/>
      <c r="G82" s="75" t="e">
        <f t="shared" si="41"/>
        <v>#N/A</v>
      </c>
      <c r="H82" s="141"/>
      <c r="I82" s="75" t="e">
        <f t="shared" si="50"/>
        <v>#N/A</v>
      </c>
      <c r="J82" s="37" t="e">
        <f t="shared" si="51"/>
        <v>#N/A</v>
      </c>
      <c r="K82" s="38"/>
      <c r="L82" s="37"/>
      <c r="M82" s="38"/>
      <c r="N82" s="37"/>
      <c r="O82" s="38"/>
      <c r="P82" s="39"/>
      <c r="R82" t="e">
        <v>#N/A</v>
      </c>
      <c r="S82" t="e">
        <f t="shared" si="52"/>
        <v>#N/A</v>
      </c>
      <c r="U82" s="87"/>
      <c r="V82" s="91" t="e">
        <v>#VALUE!</v>
      </c>
    </row>
    <row r="83" spans="1:22" x14ac:dyDescent="0.35">
      <c r="B83" s="113">
        <v>100518291</v>
      </c>
      <c r="C83" s="114" t="s">
        <v>77</v>
      </c>
      <c r="D83" s="110">
        <v>7790360975195</v>
      </c>
      <c r="E83" s="115">
        <v>5</v>
      </c>
      <c r="F83" s="115">
        <v>10</v>
      </c>
      <c r="G83" s="111">
        <f t="shared" si="41"/>
        <v>15651.49311866248</v>
      </c>
      <c r="H83" s="117"/>
      <c r="I83" s="85">
        <f t="shared" si="50"/>
        <v>15651.49311866248</v>
      </c>
      <c r="J83" s="111">
        <f t="shared" si="51"/>
        <v>1565.1493118662479</v>
      </c>
      <c r="K83" s="111">
        <f>+J83*K$3</f>
        <v>328.68135549191203</v>
      </c>
      <c r="L83" s="111">
        <f>+J83+K83</f>
        <v>1893.8306673581599</v>
      </c>
      <c r="M83" s="111">
        <f>+L83*M$39</f>
        <v>378.76613347163197</v>
      </c>
      <c r="N83" s="111">
        <f>+L83+M83</f>
        <v>2272.5968008297918</v>
      </c>
      <c r="O83" s="111">
        <f>+N83*O$39</f>
        <v>795.40888029042708</v>
      </c>
      <c r="P83" s="112">
        <f>+N83+O83</f>
        <v>3068.0056811202189</v>
      </c>
      <c r="Q83">
        <v>0.15</v>
      </c>
      <c r="R83">
        <v>14906.183922535694</v>
      </c>
      <c r="S83">
        <f t="shared" si="52"/>
        <v>5.0000000000000058E-2</v>
      </c>
      <c r="U83" s="86">
        <v>100518158</v>
      </c>
      <c r="V83" s="24">
        <v>79203.691045796324</v>
      </c>
    </row>
    <row r="84" spans="1:22" ht="15" thickBot="1" x14ac:dyDescent="0.4">
      <c r="B84" s="104">
        <v>100518292</v>
      </c>
      <c r="C84" s="105" t="s">
        <v>78</v>
      </c>
      <c r="D84" s="106">
        <v>7790360975201</v>
      </c>
      <c r="E84" s="107">
        <v>12</v>
      </c>
      <c r="F84" s="107">
        <v>12</v>
      </c>
      <c r="G84" s="108">
        <f t="shared" si="41"/>
        <v>36931.938909800476</v>
      </c>
      <c r="H84" s="117"/>
      <c r="I84" s="85">
        <f t="shared" si="50"/>
        <v>36931.938909800476</v>
      </c>
      <c r="J84" s="108">
        <f t="shared" si="51"/>
        <v>3077.6615758167063</v>
      </c>
      <c r="K84" s="108">
        <f>+J84*K$3</f>
        <v>646.30893092150825</v>
      </c>
      <c r="L84" s="108">
        <f>+J84+K84</f>
        <v>3723.9705067382147</v>
      </c>
      <c r="M84" s="108">
        <f>+L84*M$39</f>
        <v>744.79410134764294</v>
      </c>
      <c r="N84" s="108">
        <f>+L84+M84</f>
        <v>4468.7646080858576</v>
      </c>
      <c r="O84" s="108">
        <f>+N84*O$39</f>
        <v>1564.0676128300502</v>
      </c>
      <c r="P84" s="109">
        <f>+N84+O84</f>
        <v>6032.8322209159078</v>
      </c>
      <c r="Q84">
        <v>0.15</v>
      </c>
      <c r="R84">
        <v>35173.27515219093</v>
      </c>
      <c r="S84">
        <f t="shared" si="52"/>
        <v>4.9999999999999968E-2</v>
      </c>
      <c r="U84" s="86">
        <v>100518160</v>
      </c>
      <c r="V84" s="24">
        <v>79203.691045796324</v>
      </c>
    </row>
    <row r="85" spans="1:22" ht="15" thickBot="1" x14ac:dyDescent="0.4">
      <c r="B85" s="71"/>
      <c r="C85" s="72"/>
      <c r="D85" s="73"/>
      <c r="E85" s="72"/>
      <c r="F85" s="74"/>
      <c r="G85" s="75" t="e">
        <f t="shared" si="41"/>
        <v>#N/A</v>
      </c>
      <c r="H85" s="141"/>
      <c r="I85" s="75" t="e">
        <f t="shared" si="50"/>
        <v>#N/A</v>
      </c>
      <c r="J85" s="37" t="e">
        <f>+I85/F85</f>
        <v>#N/A</v>
      </c>
      <c r="K85" s="38">
        <v>0.105</v>
      </c>
      <c r="L85" s="37"/>
      <c r="M85" s="38">
        <v>0.2</v>
      </c>
      <c r="N85" s="37"/>
      <c r="O85" s="38">
        <v>0.35</v>
      </c>
      <c r="P85" s="39"/>
      <c r="R85" t="e">
        <v>#N/A</v>
      </c>
      <c r="S85" t="e">
        <f t="shared" si="52"/>
        <v>#N/A</v>
      </c>
      <c r="U85" s="86">
        <v>100518463</v>
      </c>
      <c r="V85" s="24">
        <v>36649.894031605167</v>
      </c>
    </row>
    <row r="86" spans="1:22" ht="15" thickBot="1" x14ac:dyDescent="0.4">
      <c r="B86" s="113">
        <v>100517915</v>
      </c>
      <c r="C86" s="114" t="s">
        <v>79</v>
      </c>
      <c r="D86" s="110">
        <v>7790360974020</v>
      </c>
      <c r="E86" s="115">
        <v>18</v>
      </c>
      <c r="F86" s="115">
        <v>36</v>
      </c>
      <c r="G86" s="111">
        <f t="shared" si="41"/>
        <v>160512.01231783535</v>
      </c>
      <c r="H86" s="97"/>
      <c r="I86" s="85">
        <f t="shared" si="50"/>
        <v>160512.01231783535</v>
      </c>
      <c r="J86" s="111">
        <f>+I86/F86</f>
        <v>4458.6670088287601</v>
      </c>
      <c r="K86" s="111">
        <f>+J86*K$85</f>
        <v>468.16003592701981</v>
      </c>
      <c r="L86" s="111">
        <f>+J86+K86</f>
        <v>4926.8270447557798</v>
      </c>
      <c r="M86" s="111">
        <f>+L86*M$85</f>
        <v>985.36540895115604</v>
      </c>
      <c r="N86" s="111">
        <f>+L86+M86</f>
        <v>5912.1924537069353</v>
      </c>
      <c r="O86" s="111">
        <f>+N86*O$85</f>
        <v>2069.2673587974273</v>
      </c>
      <c r="P86" s="112">
        <f>+N86+O86</f>
        <v>7981.4598125043631</v>
      </c>
      <c r="R86">
        <v>160512.01231783535</v>
      </c>
      <c r="S86">
        <f t="shared" si="52"/>
        <v>0</v>
      </c>
      <c r="U86" s="71"/>
      <c r="V86" s="75" t="e">
        <v>#VALUE!</v>
      </c>
    </row>
    <row r="87" spans="1:22" ht="15" thickBot="1" x14ac:dyDescent="0.4">
      <c r="B87" s="104">
        <v>100517914</v>
      </c>
      <c r="C87" s="105" t="s">
        <v>80</v>
      </c>
      <c r="D87" s="106">
        <v>7790360974037</v>
      </c>
      <c r="E87" s="107">
        <v>20</v>
      </c>
      <c r="F87" s="107">
        <v>20</v>
      </c>
      <c r="G87" s="108">
        <f t="shared" si="41"/>
        <v>175154.27477482893</v>
      </c>
      <c r="H87" s="97"/>
      <c r="I87" s="85">
        <f t="shared" si="50"/>
        <v>175154.27477482893</v>
      </c>
      <c r="J87" s="108">
        <f>+I87/F87</f>
        <v>8757.7137387414459</v>
      </c>
      <c r="K87" s="108">
        <f>+J87*K$85</f>
        <v>919.55994256785175</v>
      </c>
      <c r="L87" s="108">
        <f>+J87+K87</f>
        <v>9677.2736813092979</v>
      </c>
      <c r="M87" s="108">
        <f>+L87*M$85</f>
        <v>1935.4547362618596</v>
      </c>
      <c r="N87" s="108">
        <f>+L87+M87</f>
        <v>11612.728417571157</v>
      </c>
      <c r="O87" s="108">
        <f>+N87*O$85</f>
        <v>4064.454946149905</v>
      </c>
      <c r="P87" s="109">
        <f>+N87+O87</f>
        <v>15677.183363721062</v>
      </c>
      <c r="R87">
        <v>175154.27477482893</v>
      </c>
      <c r="S87">
        <f t="shared" si="52"/>
        <v>0</v>
      </c>
      <c r="U87" s="202">
        <v>100518291</v>
      </c>
      <c r="V87" s="61">
        <v>15651.49311866248</v>
      </c>
    </row>
    <row r="88" spans="1:22" ht="15" thickBot="1" x14ac:dyDescent="0.4">
      <c r="B88" s="71"/>
      <c r="C88" s="72"/>
      <c r="D88" s="73"/>
      <c r="E88" s="72"/>
      <c r="F88" s="74"/>
      <c r="G88" s="75" t="e">
        <f t="shared" si="41"/>
        <v>#N/A</v>
      </c>
      <c r="H88" s="141"/>
      <c r="I88" s="75" t="e">
        <f t="shared" si="50"/>
        <v>#N/A</v>
      </c>
      <c r="J88" s="92"/>
      <c r="K88" s="93">
        <v>0.105</v>
      </c>
      <c r="L88" s="92"/>
      <c r="M88" s="94">
        <v>0.3</v>
      </c>
      <c r="N88" s="92"/>
      <c r="O88" s="94">
        <v>0.4</v>
      </c>
      <c r="P88" s="95"/>
      <c r="R88" t="e">
        <v>#N/A</v>
      </c>
      <c r="S88" t="e">
        <f t="shared" si="52"/>
        <v>#N/A</v>
      </c>
      <c r="U88" s="203">
        <v>100518292</v>
      </c>
      <c r="V88" s="69">
        <v>36931.938909800476</v>
      </c>
    </row>
    <row r="89" spans="1:22" ht="15" thickBot="1" x14ac:dyDescent="0.4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f t="shared" si="41"/>
        <v>16500</v>
      </c>
      <c r="H89" s="135"/>
      <c r="I89" s="24">
        <f t="shared" si="50"/>
        <v>16500</v>
      </c>
      <c r="J89" s="61">
        <f t="shared" ref="J89:J94" si="53">+I89/F89</f>
        <v>16500</v>
      </c>
      <c r="K89" s="61">
        <f t="shared" ref="K89:K94" si="54">+J89*K$88</f>
        <v>1732.5</v>
      </c>
      <c r="L89" s="61">
        <f t="shared" ref="L89:L94" si="55">+J89+K89</f>
        <v>18232.5</v>
      </c>
      <c r="M89" s="61">
        <f t="shared" ref="M89:M94" si="56">+L89*M$88</f>
        <v>5469.75</v>
      </c>
      <c r="N89" s="61">
        <f t="shared" ref="N89:N94" si="57">+L89+M89</f>
        <v>23702.25</v>
      </c>
      <c r="O89" s="61">
        <f t="shared" ref="O89:O94" si="58">+N89*O$88</f>
        <v>9480.9</v>
      </c>
      <c r="P89" s="62">
        <f t="shared" ref="P89:P94" si="59">+N89+O89</f>
        <v>33183.15</v>
      </c>
      <c r="R89">
        <v>15714.285714285716</v>
      </c>
      <c r="S89">
        <f t="shared" si="52"/>
        <v>4.9999999999999913E-2</v>
      </c>
      <c r="U89" s="71"/>
      <c r="V89" s="75" t="e">
        <v>#VALUE!</v>
      </c>
    </row>
    <row r="90" spans="1:22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f t="shared" si="41"/>
        <v>11785.714285714286</v>
      </c>
      <c r="H90" s="135"/>
      <c r="I90" s="24">
        <f t="shared" si="50"/>
        <v>11785.714285714286</v>
      </c>
      <c r="J90" s="24">
        <f t="shared" si="53"/>
        <v>11785.714285714286</v>
      </c>
      <c r="K90" s="24">
        <f t="shared" si="54"/>
        <v>1237.5</v>
      </c>
      <c r="L90" s="24">
        <f t="shared" si="55"/>
        <v>13023.214285714286</v>
      </c>
      <c r="M90" s="24">
        <f t="shared" si="56"/>
        <v>3906.9642857142858</v>
      </c>
      <c r="N90" s="24">
        <f t="shared" si="57"/>
        <v>16930.178571428572</v>
      </c>
      <c r="O90" s="24">
        <f t="shared" si="58"/>
        <v>6772.0714285714294</v>
      </c>
      <c r="P90" s="25">
        <f t="shared" si="59"/>
        <v>23702.25</v>
      </c>
      <c r="R90">
        <v>11224.489795918369</v>
      </c>
      <c r="S90">
        <f t="shared" si="52"/>
        <v>4.9999999999999885E-2</v>
      </c>
      <c r="U90" s="202">
        <v>100517915</v>
      </c>
      <c r="V90" s="61">
        <v>160512.01231783535</v>
      </c>
    </row>
    <row r="91" spans="1:22" ht="15" thickBot="1" x14ac:dyDescent="0.4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f t="shared" si="41"/>
        <v>13553.571428571431</v>
      </c>
      <c r="H91" s="135"/>
      <c r="I91" s="24">
        <f t="shared" si="50"/>
        <v>13553.571428571431</v>
      </c>
      <c r="J91" s="24">
        <f t="shared" si="53"/>
        <v>13553.571428571431</v>
      </c>
      <c r="K91" s="24">
        <f t="shared" si="54"/>
        <v>1423.1250000000002</v>
      </c>
      <c r="L91" s="24">
        <f t="shared" si="55"/>
        <v>14976.696428571431</v>
      </c>
      <c r="M91" s="24">
        <f t="shared" si="56"/>
        <v>4493.0089285714294</v>
      </c>
      <c r="N91" s="24">
        <f t="shared" si="57"/>
        <v>19469.705357142862</v>
      </c>
      <c r="O91" s="24">
        <f t="shared" si="58"/>
        <v>7787.8821428571455</v>
      </c>
      <c r="P91" s="25">
        <f t="shared" si="59"/>
        <v>27257.587500000009</v>
      </c>
      <c r="R91">
        <v>12908.163265306122</v>
      </c>
      <c r="S91">
        <f t="shared" si="52"/>
        <v>5.0000000000000204E-2</v>
      </c>
      <c r="U91" s="203">
        <v>100517914</v>
      </c>
      <c r="V91" s="69">
        <v>175154.27477482893</v>
      </c>
    </row>
    <row r="92" spans="1:22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f t="shared" si="41"/>
        <v>12021.428571428572</v>
      </c>
      <c r="H92" s="135"/>
      <c r="I92" s="24">
        <f t="shared" si="50"/>
        <v>12021.428571428572</v>
      </c>
      <c r="J92" s="24">
        <f t="shared" si="53"/>
        <v>12021.428571428572</v>
      </c>
      <c r="K92" s="24">
        <f t="shared" si="54"/>
        <v>1262.25</v>
      </c>
      <c r="L92" s="24">
        <f t="shared" si="55"/>
        <v>13283.678571428572</v>
      </c>
      <c r="M92" s="24">
        <f t="shared" si="56"/>
        <v>3985.1035714285717</v>
      </c>
      <c r="N92" s="24">
        <f t="shared" si="57"/>
        <v>17268.782142857144</v>
      </c>
      <c r="O92" s="24">
        <f t="shared" si="58"/>
        <v>6907.5128571428577</v>
      </c>
      <c r="P92" s="25">
        <f t="shared" si="59"/>
        <v>24176.295000000002</v>
      </c>
      <c r="R92">
        <v>11448.979591836736</v>
      </c>
      <c r="S92">
        <f t="shared" si="52"/>
        <v>4.9999999999999947E-2</v>
      </c>
      <c r="U92" s="71"/>
      <c r="V92" s="75"/>
    </row>
    <row r="93" spans="1:22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f t="shared" si="41"/>
        <v>14185.285714285716</v>
      </c>
      <c r="H93" s="135"/>
      <c r="I93" s="24">
        <f t="shared" si="50"/>
        <v>14185.285714285716</v>
      </c>
      <c r="J93" s="24">
        <f t="shared" si="53"/>
        <v>14185.285714285716</v>
      </c>
      <c r="K93" s="24">
        <f t="shared" si="54"/>
        <v>1489.4550000000002</v>
      </c>
      <c r="L93" s="24">
        <f t="shared" si="55"/>
        <v>15674.740714285716</v>
      </c>
      <c r="M93" s="24">
        <f t="shared" si="56"/>
        <v>4702.4222142857143</v>
      </c>
      <c r="N93" s="24">
        <f t="shared" si="57"/>
        <v>20377.16292857143</v>
      </c>
      <c r="O93" s="24">
        <f t="shared" si="58"/>
        <v>8150.8651714285725</v>
      </c>
      <c r="P93" s="25">
        <f t="shared" si="59"/>
        <v>28528.028100000003</v>
      </c>
      <c r="R93">
        <v>13244.897959183672</v>
      </c>
      <c r="S93">
        <f t="shared" si="52"/>
        <v>7.1000000000000188E-2</v>
      </c>
      <c r="U93" s="27">
        <v>100010689</v>
      </c>
      <c r="V93" s="24">
        <v>16500</v>
      </c>
    </row>
    <row r="94" spans="1:22" x14ac:dyDescent="0.35">
      <c r="A94" s="177"/>
      <c r="B94" s="177">
        <v>100027726</v>
      </c>
      <c r="C94" s="178" t="s">
        <v>152</v>
      </c>
      <c r="D94" s="81">
        <v>22.5</v>
      </c>
      <c r="E94" s="23">
        <v>1</v>
      </c>
      <c r="F94" s="23">
        <v>1</v>
      </c>
      <c r="G94" s="24">
        <f t="shared" si="41"/>
        <v>7155.2250000000004</v>
      </c>
      <c r="H94" s="135"/>
      <c r="I94" s="24">
        <f t="shared" ref="I94" si="60">+G94*(1-H94)</f>
        <v>7155.2250000000004</v>
      </c>
      <c r="J94" s="24">
        <f t="shared" si="53"/>
        <v>7155.2250000000004</v>
      </c>
      <c r="K94" s="24">
        <f t="shared" si="54"/>
        <v>751.29862500000002</v>
      </c>
      <c r="L94" s="24">
        <f t="shared" si="55"/>
        <v>7906.5236250000007</v>
      </c>
      <c r="M94" s="24">
        <f t="shared" si="56"/>
        <v>2371.9570874999999</v>
      </c>
      <c r="N94" s="24">
        <f t="shared" si="57"/>
        <v>10278.480712500001</v>
      </c>
      <c r="O94" s="24">
        <f t="shared" si="58"/>
        <v>4111.3922850000008</v>
      </c>
      <c r="P94" s="25">
        <f t="shared" si="59"/>
        <v>14389.872997500002</v>
      </c>
      <c r="R94">
        <v>6814.5000000000009</v>
      </c>
      <c r="U94" s="27">
        <v>100518335</v>
      </c>
      <c r="V94" s="24">
        <v>11785.714285714286</v>
      </c>
    </row>
    <row r="95" spans="1:22" ht="15" thickBot="1" x14ac:dyDescent="0.4">
      <c r="B95" s="71"/>
      <c r="C95" s="72"/>
      <c r="D95" s="73"/>
      <c r="E95" s="72"/>
      <c r="F95" s="74"/>
      <c r="G95" s="75" t="e">
        <f t="shared" si="41"/>
        <v>#N/A</v>
      </c>
      <c r="H95" s="141"/>
      <c r="I95" s="75" t="e">
        <f t="shared" si="50"/>
        <v>#N/A</v>
      </c>
      <c r="J95" s="92"/>
      <c r="K95" s="93">
        <v>0.21</v>
      </c>
      <c r="L95" s="92"/>
      <c r="M95" s="38">
        <v>0.3</v>
      </c>
      <c r="N95" s="37"/>
      <c r="O95" s="38">
        <v>0.4</v>
      </c>
      <c r="P95" s="95"/>
      <c r="R95" t="e">
        <v>#N/A</v>
      </c>
      <c r="S95" t="e">
        <f t="shared" si="52"/>
        <v>#N/A</v>
      </c>
      <c r="U95" s="27">
        <v>100518332</v>
      </c>
      <c r="V95" s="24">
        <v>13553.571428571431</v>
      </c>
    </row>
    <row r="96" spans="1:22" ht="15" thickBot="1" x14ac:dyDescent="0.4">
      <c r="B96" s="27">
        <v>100520837</v>
      </c>
      <c r="C96" s="28" t="s">
        <v>86</v>
      </c>
      <c r="D96" s="21">
        <v>7790360980625</v>
      </c>
      <c r="E96" s="81">
        <v>4.8</v>
      </c>
      <c r="F96" s="23">
        <v>12</v>
      </c>
      <c r="G96" s="24">
        <f t="shared" si="41"/>
        <v>37186.422570532915</v>
      </c>
      <c r="H96" s="135"/>
      <c r="I96" s="24">
        <f t="shared" si="50"/>
        <v>37186.422570532915</v>
      </c>
      <c r="J96" s="226">
        <f>+I96/F96</f>
        <v>3098.8685475444095</v>
      </c>
      <c r="K96" s="226">
        <f>+J96*K$95</f>
        <v>650.76239498432597</v>
      </c>
      <c r="L96" s="43">
        <f>+J96+K96</f>
        <v>3749.6309425287354</v>
      </c>
      <c r="M96" s="81">
        <f>+L96*M$95</f>
        <v>1124.8892827586205</v>
      </c>
      <c r="N96" s="23">
        <f>+L96+M96</f>
        <v>4874.520225287356</v>
      </c>
      <c r="O96" s="61">
        <f>+N96*O$95</f>
        <v>1949.8080901149424</v>
      </c>
      <c r="P96" s="62">
        <f>+N96+O96</f>
        <v>6824.3283154022984</v>
      </c>
      <c r="R96">
        <v>35756.175548589337</v>
      </c>
      <c r="S96">
        <f t="shared" si="52"/>
        <v>4.0000000000000133E-2</v>
      </c>
      <c r="U96" s="27">
        <v>100518334</v>
      </c>
      <c r="V96" s="24">
        <v>12021.428571428572</v>
      </c>
    </row>
    <row r="97" spans="1:22" ht="15" thickBot="1" x14ac:dyDescent="0.4">
      <c r="A97" s="80">
        <v>100522395</v>
      </c>
      <c r="B97" s="80">
        <v>100522395</v>
      </c>
      <c r="C97" s="42" t="s">
        <v>160</v>
      </c>
      <c r="D97" s="43">
        <v>7790360980625</v>
      </c>
      <c r="E97" s="81">
        <v>4.8</v>
      </c>
      <c r="F97" s="23">
        <v>12</v>
      </c>
      <c r="G97" s="24">
        <f t="shared" si="41"/>
        <v>37930.143680000008</v>
      </c>
      <c r="H97" s="135"/>
      <c r="I97" s="24">
        <f t="shared" ref="I97" si="61">+G97*(1-H97)</f>
        <v>37930.143680000008</v>
      </c>
      <c r="J97" s="226">
        <f>+I97/F97</f>
        <v>3160.8453066666675</v>
      </c>
      <c r="K97" s="226">
        <f>+J97*K$95</f>
        <v>663.7775144000002</v>
      </c>
      <c r="L97" s="43">
        <f>+J97+K97</f>
        <v>3824.6228210666677</v>
      </c>
      <c r="M97" s="81">
        <f>+L97*M$95</f>
        <v>1147.3868463200004</v>
      </c>
      <c r="N97" s="23">
        <f>+L97+M97</f>
        <v>4972.0096673866683</v>
      </c>
      <c r="O97" s="61">
        <f>+N97*O$95</f>
        <v>1988.8038669546675</v>
      </c>
      <c r="P97" s="62">
        <f>+N97+O97</f>
        <v>6960.813534341336</v>
      </c>
      <c r="R97">
        <v>36471.292000000001</v>
      </c>
      <c r="U97" s="27">
        <v>100518227</v>
      </c>
      <c r="V97" s="24">
        <v>14185.285714285716</v>
      </c>
    </row>
    <row r="98" spans="1:22" x14ac:dyDescent="0.35">
      <c r="A98" s="80"/>
      <c r="B98" s="80">
        <v>100522561</v>
      </c>
      <c r="C98" s="42" t="s">
        <v>169</v>
      </c>
      <c r="D98" s="43"/>
      <c r="E98" s="81">
        <v>16</v>
      </c>
      <c r="F98" s="23">
        <v>8</v>
      </c>
      <c r="G98" s="24">
        <f t="shared" si="41"/>
        <v>7507.0076033333353</v>
      </c>
      <c r="H98" s="135"/>
      <c r="I98" s="24">
        <f t="shared" ref="I98" si="62">+G98*(1-H98)</f>
        <v>7507.0076033333353</v>
      </c>
      <c r="J98" s="226">
        <f>+I98*2</f>
        <v>15014.015206666671</v>
      </c>
      <c r="K98" s="226">
        <f>+J98*K$95</f>
        <v>3152.9431934000008</v>
      </c>
      <c r="L98" s="43">
        <f>+J98+K98</f>
        <v>18166.958400066673</v>
      </c>
      <c r="M98" s="81">
        <f>+L98*M$95</f>
        <v>5450.0875200200016</v>
      </c>
      <c r="N98" s="23">
        <f>+L98+M98</f>
        <v>23617.045920086675</v>
      </c>
      <c r="O98" s="61">
        <f>+N98*O$95</f>
        <v>9446.8183680346701</v>
      </c>
      <c r="P98" s="62">
        <f>+N98+O98</f>
        <v>33063.864288121345</v>
      </c>
      <c r="R98" t="e">
        <v>#N/A</v>
      </c>
      <c r="U98" s="177">
        <v>100027726</v>
      </c>
      <c r="V98" s="24">
        <v>7155.2250000000004</v>
      </c>
    </row>
    <row r="99" spans="1:22" ht="15" thickBot="1" x14ac:dyDescent="0.4">
      <c r="B99" s="71"/>
      <c r="C99" s="72"/>
      <c r="D99" s="73"/>
      <c r="E99" s="72"/>
      <c r="F99" s="74"/>
      <c r="G99" s="75" t="e">
        <f>+VLOOKUP(B99,$U$4:$V$106,2,FALSE)</f>
        <v>#N/A</v>
      </c>
      <c r="H99" s="141"/>
      <c r="I99" s="75" t="e">
        <f t="shared" si="50"/>
        <v>#N/A</v>
      </c>
      <c r="J99" s="229"/>
      <c r="K99" s="230">
        <v>0.21</v>
      </c>
      <c r="L99" s="92"/>
      <c r="M99" s="38">
        <v>0.3</v>
      </c>
      <c r="N99" s="37"/>
      <c r="O99" s="38">
        <v>0.4</v>
      </c>
      <c r="P99" s="95"/>
      <c r="R99" t="e">
        <v>#N/A</v>
      </c>
      <c r="S99" t="e">
        <f t="shared" si="52"/>
        <v>#N/A</v>
      </c>
      <c r="U99" s="71"/>
      <c r="V99" s="75"/>
    </row>
    <row r="100" spans="1:22" ht="15" thickBot="1" x14ac:dyDescent="0.4">
      <c r="B100" s="84">
        <v>100520902</v>
      </c>
      <c r="C100" s="98" t="s">
        <v>87</v>
      </c>
      <c r="D100" s="99">
        <v>7790360981042</v>
      </c>
      <c r="E100" s="128">
        <v>9.8000000000000007</v>
      </c>
      <c r="F100" s="101">
        <v>14</v>
      </c>
      <c r="G100" s="85">
        <f>+VLOOKUP(B100,$U$4:$V$106,2,FALSE)</f>
        <v>33316.176941832127</v>
      </c>
      <c r="H100" s="189">
        <v>0.125</v>
      </c>
      <c r="I100" s="85">
        <f t="shared" si="50"/>
        <v>29151.654824103112</v>
      </c>
      <c r="J100" s="227">
        <f>+I100/F100</f>
        <v>2082.261058864508</v>
      </c>
      <c r="K100" s="227">
        <f>+J100*K$99</f>
        <v>437.27482236154668</v>
      </c>
      <c r="L100" s="127">
        <f>+J100+K100</f>
        <v>2519.5358812260547</v>
      </c>
      <c r="M100" s="128">
        <f>+L100*M$99</f>
        <v>755.86076436781639</v>
      </c>
      <c r="N100" s="101">
        <f>+L100+M100</f>
        <v>3275.3966455938712</v>
      </c>
      <c r="O100" s="111">
        <f>+N100*O$99</f>
        <v>1310.1586582375485</v>
      </c>
      <c r="P100" s="112">
        <f>+N100+O100</f>
        <v>4585.5553038314192</v>
      </c>
      <c r="Q100">
        <v>0.125</v>
      </c>
      <c r="R100">
        <v>28302.577499129231</v>
      </c>
      <c r="S100">
        <f t="shared" si="52"/>
        <v>3.0000000000000155E-2</v>
      </c>
      <c r="U100" s="27">
        <v>100520837</v>
      </c>
      <c r="V100" s="24">
        <v>37186.422570532915</v>
      </c>
    </row>
    <row r="101" spans="1:22" x14ac:dyDescent="0.35">
      <c r="A101" s="80">
        <v>100522698</v>
      </c>
      <c r="B101" s="125">
        <v>100522698</v>
      </c>
      <c r="C101" s="126" t="s">
        <v>170</v>
      </c>
      <c r="D101" s="127">
        <v>7790360986511</v>
      </c>
      <c r="E101" s="128">
        <v>14</v>
      </c>
      <c r="F101" s="101">
        <v>7</v>
      </c>
      <c r="G101" s="85">
        <f>+VLOOKUP(B101,$U$4:$V$106,2,FALSE)</f>
        <v>42720.437457279571</v>
      </c>
      <c r="H101" s="189"/>
      <c r="I101" s="85">
        <f t="shared" ref="I101" si="63">+G101*(1-H101)</f>
        <v>42720.437457279571</v>
      </c>
      <c r="J101" s="227">
        <f>+I101/F101</f>
        <v>6102.9196367542245</v>
      </c>
      <c r="K101" s="227">
        <f>+J101*K$99</f>
        <v>1281.613123718387</v>
      </c>
      <c r="L101" s="127">
        <f>+J101+K101</f>
        <v>7384.5327604726117</v>
      </c>
      <c r="M101" s="128">
        <f>+L101*M$99</f>
        <v>2215.3598281417835</v>
      </c>
      <c r="N101" s="101">
        <f>+L101+M101</f>
        <v>9599.8925886143952</v>
      </c>
      <c r="O101" s="111">
        <f>+N101*O$99</f>
        <v>3839.9570354457583</v>
      </c>
      <c r="P101" s="112">
        <f>+N101+O101</f>
        <v>13439.849624060153</v>
      </c>
      <c r="Q101">
        <v>0.125</v>
      </c>
      <c r="R101" t="e">
        <v>#N/A</v>
      </c>
      <c r="U101" s="80">
        <v>100522395</v>
      </c>
      <c r="V101" s="24">
        <v>37930.143680000008</v>
      </c>
    </row>
    <row r="102" spans="1:22" ht="15" thickBot="1" x14ac:dyDescent="0.4">
      <c r="B102" s="71"/>
      <c r="C102" s="72"/>
      <c r="D102" s="73"/>
      <c r="E102" s="72"/>
      <c r="F102" s="74"/>
      <c r="G102" s="75"/>
      <c r="H102" s="74"/>
      <c r="I102" s="75"/>
      <c r="J102" s="92"/>
      <c r="K102" s="93">
        <v>0.21</v>
      </c>
      <c r="L102" s="92"/>
      <c r="M102" s="94">
        <v>0.3</v>
      </c>
      <c r="N102" s="92"/>
      <c r="O102" s="94">
        <v>0.4</v>
      </c>
      <c r="P102" s="95"/>
      <c r="U102" s="80">
        <v>100522561</v>
      </c>
      <c r="V102" s="24">
        <v>7507.0076033333353</v>
      </c>
    </row>
    <row r="103" spans="1:22" ht="15" thickBot="1" x14ac:dyDescent="0.4">
      <c r="B103" s="84">
        <v>100521457</v>
      </c>
      <c r="C103" s="98" t="s">
        <v>103</v>
      </c>
      <c r="D103" s="99">
        <v>7790360982254</v>
      </c>
      <c r="E103" s="128">
        <v>4.8</v>
      </c>
      <c r="F103" s="101">
        <v>16</v>
      </c>
      <c r="G103" s="85">
        <f>+VLOOKUP(B103,$U$4:$V$118,2,FALSE)</f>
        <v>37934.294670846401</v>
      </c>
      <c r="H103" s="223">
        <v>0.05</v>
      </c>
      <c r="I103" s="85">
        <f t="shared" si="50"/>
        <v>36037.579937304079</v>
      </c>
      <c r="J103" s="125">
        <f>+I103/F103</f>
        <v>2252.3487460815049</v>
      </c>
      <c r="K103" s="126">
        <f>+J103*K$102</f>
        <v>472.99323667711604</v>
      </c>
      <c r="L103" s="127">
        <f>+J103+K103</f>
        <v>2725.3419827586208</v>
      </c>
      <c r="M103" s="128">
        <f>+L103*M$102</f>
        <v>817.60259482758624</v>
      </c>
      <c r="N103" s="101">
        <f>+L103+M103</f>
        <v>3542.9445775862068</v>
      </c>
      <c r="O103" s="111">
        <f>+N103*O$102</f>
        <v>1417.1778310344828</v>
      </c>
      <c r="P103" s="112">
        <f>+N103+O103</f>
        <v>4960.1224086206894</v>
      </c>
      <c r="Q103">
        <v>7.4999999999999997E-2</v>
      </c>
      <c r="R103">
        <v>33418.307210031351</v>
      </c>
      <c r="S103">
        <f t="shared" si="52"/>
        <v>7.8378378378378397E-2</v>
      </c>
      <c r="U103" s="71"/>
      <c r="V103" s="75"/>
    </row>
    <row r="104" spans="1:22" ht="15" thickBot="1" x14ac:dyDescent="0.4">
      <c r="B104" s="84">
        <v>100521455</v>
      </c>
      <c r="C104" s="98" t="s">
        <v>104</v>
      </c>
      <c r="D104" s="99">
        <v>7790360982247</v>
      </c>
      <c r="E104" s="128">
        <v>4.8</v>
      </c>
      <c r="F104" s="101">
        <v>16</v>
      </c>
      <c r="G104" s="85">
        <f>+VLOOKUP(B104,$U$4:$V$118,2,FALSE)</f>
        <v>37934.294670846401</v>
      </c>
      <c r="H104" s="223">
        <v>0.05</v>
      </c>
      <c r="I104" s="85">
        <f t="shared" si="50"/>
        <v>36037.579937304079</v>
      </c>
      <c r="J104" s="125">
        <f>+I104/F104</f>
        <v>2252.3487460815049</v>
      </c>
      <c r="K104" s="126">
        <f>+J104*K$102</f>
        <v>472.99323667711604</v>
      </c>
      <c r="L104" s="127">
        <f t="shared" ref="L104:L106" si="64">+J104+K104</f>
        <v>2725.3419827586208</v>
      </c>
      <c r="M104" s="128">
        <f>+L104*M$102</f>
        <v>817.60259482758624</v>
      </c>
      <c r="N104" s="101">
        <f t="shared" ref="N104:N106" si="65">+L104+M104</f>
        <v>3542.9445775862068</v>
      </c>
      <c r="O104" s="111">
        <f>+N104*O$102</f>
        <v>1417.1778310344828</v>
      </c>
      <c r="P104" s="112">
        <f t="shared" ref="P104:P106" si="66">+N104+O104</f>
        <v>4960.1224086206894</v>
      </c>
      <c r="Q104">
        <v>7.4999999999999997E-2</v>
      </c>
      <c r="R104">
        <v>33418.307210031351</v>
      </c>
      <c r="S104">
        <f t="shared" si="52"/>
        <v>7.8378378378378397E-2</v>
      </c>
      <c r="U104" s="27">
        <v>100520902</v>
      </c>
      <c r="V104" s="24">
        <v>33316.176941832127</v>
      </c>
    </row>
    <row r="105" spans="1:22" ht="15" thickBot="1" x14ac:dyDescent="0.4">
      <c r="B105" s="84">
        <v>100521453</v>
      </c>
      <c r="C105" s="98" t="s">
        <v>105</v>
      </c>
      <c r="D105" s="99">
        <v>7790360982223</v>
      </c>
      <c r="E105" s="128">
        <v>5.4</v>
      </c>
      <c r="F105" s="101">
        <v>18</v>
      </c>
      <c r="G105" s="85">
        <f>+VLOOKUP(B105,$U$4:$V$118,2,FALSE)</f>
        <v>36630.303291536067</v>
      </c>
      <c r="H105" s="223">
        <v>0.05</v>
      </c>
      <c r="I105" s="85">
        <f t="shared" si="50"/>
        <v>34798.788126959262</v>
      </c>
      <c r="J105" s="125">
        <f>+I105/F105</f>
        <v>1933.2660070532922</v>
      </c>
      <c r="K105" s="126">
        <f>+J105*K$102</f>
        <v>405.98586148119136</v>
      </c>
      <c r="L105" s="127">
        <f t="shared" si="64"/>
        <v>2339.2518685344835</v>
      </c>
      <c r="M105" s="128">
        <f>+L105*M$102</f>
        <v>701.77556056034507</v>
      </c>
      <c r="N105" s="101">
        <f t="shared" si="65"/>
        <v>3041.0274290948287</v>
      </c>
      <c r="O105" s="111">
        <f>+N105*O$102</f>
        <v>1216.4109716379314</v>
      </c>
      <c r="P105" s="112">
        <f t="shared" si="66"/>
        <v>4257.4384007327599</v>
      </c>
      <c r="Q105">
        <v>7.4999999999999997E-2</v>
      </c>
      <c r="R105">
        <v>32896.146159874617</v>
      </c>
      <c r="S105">
        <f t="shared" si="52"/>
        <v>5.7837837837837969E-2</v>
      </c>
      <c r="U105" s="27">
        <v>100522698</v>
      </c>
      <c r="V105" s="24">
        <v>42720.437457279571</v>
      </c>
    </row>
    <row r="106" spans="1:22" x14ac:dyDescent="0.35">
      <c r="B106" s="84">
        <v>100521454</v>
      </c>
      <c r="C106" s="98" t="s">
        <v>106</v>
      </c>
      <c r="D106" s="99">
        <v>7790360982230</v>
      </c>
      <c r="E106" s="128">
        <v>5.3999999999999995</v>
      </c>
      <c r="F106" s="101">
        <v>18</v>
      </c>
      <c r="G106" s="85">
        <f>+VLOOKUP(B106,$U$4:$V$118,2,FALSE)</f>
        <v>36630.303291536067</v>
      </c>
      <c r="H106" s="223">
        <v>0.05</v>
      </c>
      <c r="I106" s="85">
        <f t="shared" si="50"/>
        <v>34798.788126959262</v>
      </c>
      <c r="J106" s="125">
        <f>+I106/F106</f>
        <v>1933.2660070532922</v>
      </c>
      <c r="K106" s="126">
        <f>+J106*K$102</f>
        <v>405.98586148119136</v>
      </c>
      <c r="L106" s="127">
        <f t="shared" si="64"/>
        <v>2339.2518685344835</v>
      </c>
      <c r="M106" s="128">
        <f>+L106*M$102</f>
        <v>701.77556056034507</v>
      </c>
      <c r="N106" s="101">
        <f t="shared" si="65"/>
        <v>3041.0274290948287</v>
      </c>
      <c r="O106" s="111">
        <f>+N106*O$102</f>
        <v>1216.4109716379314</v>
      </c>
      <c r="P106" s="112">
        <f t="shared" si="66"/>
        <v>4257.4384007327599</v>
      </c>
      <c r="Q106">
        <v>7.4999999999999997E-2</v>
      </c>
      <c r="R106">
        <v>32896.146159874617</v>
      </c>
      <c r="S106">
        <f t="shared" si="52"/>
        <v>5.7837837837837969E-2</v>
      </c>
      <c r="U106" s="71"/>
      <c r="V106" s="75"/>
    </row>
    <row r="107" spans="1:22" x14ac:dyDescent="0.35">
      <c r="B107" s="71"/>
      <c r="C107" s="72"/>
      <c r="D107" s="73"/>
      <c r="E107" s="204"/>
      <c r="F107" s="74"/>
      <c r="G107" s="74"/>
      <c r="H107" s="74"/>
      <c r="I107" s="75"/>
      <c r="J107" s="75"/>
      <c r="K107" s="78">
        <v>0.21</v>
      </c>
      <c r="L107" s="78"/>
      <c r="M107" s="78">
        <v>0.22</v>
      </c>
      <c r="N107" s="78"/>
      <c r="O107" s="78">
        <v>0.35</v>
      </c>
      <c r="P107" s="79"/>
      <c r="U107" s="27">
        <v>100521457</v>
      </c>
      <c r="V107" s="24">
        <v>37934.294670846401</v>
      </c>
    </row>
    <row r="108" spans="1:22" x14ac:dyDescent="0.35">
      <c r="B108" s="80">
        <v>100522246</v>
      </c>
      <c r="C108" s="42" t="s">
        <v>165</v>
      </c>
      <c r="D108" s="43">
        <v>7790360984234</v>
      </c>
      <c r="E108" s="81">
        <v>8.16</v>
      </c>
      <c r="F108" s="23">
        <v>48</v>
      </c>
      <c r="G108" s="24">
        <f>+VLOOKUP(B108,$U$4:$V$118,2,FALSE)</f>
        <v>116812.71733730749</v>
      </c>
      <c r="H108" s="231"/>
      <c r="I108" s="24">
        <f t="shared" ref="I108:I109" si="67">+G108*(1-H108)</f>
        <v>116812.71733730749</v>
      </c>
      <c r="J108" s="24">
        <f t="shared" ref="J108:J109" si="68">+I108/F108</f>
        <v>2433.5982778605726</v>
      </c>
      <c r="K108" s="24">
        <f t="shared" ref="K108:K109" si="69">+J108*K$3</f>
        <v>511.05563835072024</v>
      </c>
      <c r="L108" s="24">
        <f t="shared" ref="L108:L109" si="70">+J108+K108</f>
        <v>2944.6539162112927</v>
      </c>
      <c r="M108" s="24">
        <f t="shared" ref="M108:M109" si="71">+L108*M$39</f>
        <v>588.9307832422586</v>
      </c>
      <c r="N108" s="24">
        <f t="shared" ref="N108:N109" si="72">+L108+M108</f>
        <v>3533.5846994535514</v>
      </c>
      <c r="O108" s="24">
        <f t="shared" ref="O108:O109" si="73">+N108*O$39</f>
        <v>1236.7546448087428</v>
      </c>
      <c r="P108" s="25">
        <f t="shared" ref="P108:P109" si="74">+N108+O108</f>
        <v>4770.3393442622946</v>
      </c>
      <c r="Q108">
        <v>0.20833333333333301</v>
      </c>
      <c r="R108">
        <v>92476.734558701792</v>
      </c>
      <c r="U108" s="27">
        <v>100521455</v>
      </c>
      <c r="V108" s="24">
        <v>37934.294670846401</v>
      </c>
    </row>
    <row r="109" spans="1:22" x14ac:dyDescent="0.35">
      <c r="B109" s="80">
        <v>100522247</v>
      </c>
      <c r="C109" s="42" t="s">
        <v>166</v>
      </c>
      <c r="D109" s="43">
        <v>7790360984241</v>
      </c>
      <c r="E109" s="81">
        <v>8.16</v>
      </c>
      <c r="F109" s="23">
        <v>48</v>
      </c>
      <c r="G109" s="24">
        <f>+VLOOKUP(B109,$U$4:$V$118,2,FALSE)</f>
        <v>116812.71733730749</v>
      </c>
      <c r="H109" s="231"/>
      <c r="I109" s="24">
        <f t="shared" si="67"/>
        <v>116812.71733730749</v>
      </c>
      <c r="J109" s="24">
        <f t="shared" si="68"/>
        <v>2433.5982778605726</v>
      </c>
      <c r="K109" s="24">
        <f t="shared" si="69"/>
        <v>511.05563835072024</v>
      </c>
      <c r="L109" s="24">
        <f t="shared" si="70"/>
        <v>2944.6539162112927</v>
      </c>
      <c r="M109" s="24">
        <f t="shared" si="71"/>
        <v>588.9307832422586</v>
      </c>
      <c r="N109" s="24">
        <f t="shared" si="72"/>
        <v>3533.5846994535514</v>
      </c>
      <c r="O109" s="24">
        <f t="shared" si="73"/>
        <v>1236.7546448087428</v>
      </c>
      <c r="P109" s="25">
        <f t="shared" si="74"/>
        <v>4770.3393442622946</v>
      </c>
      <c r="Q109">
        <v>0.20833333333333301</v>
      </c>
      <c r="R109">
        <v>92476.734558701792</v>
      </c>
      <c r="U109" s="27">
        <v>100521453</v>
      </c>
      <c r="V109" s="24">
        <v>36630.303291536067</v>
      </c>
    </row>
    <row r="110" spans="1:22" x14ac:dyDescent="0.35">
      <c r="U110" s="27">
        <v>100521454</v>
      </c>
      <c r="V110" s="24">
        <v>36630.303291536067</v>
      </c>
    </row>
    <row r="111" spans="1:22" x14ac:dyDescent="0.35">
      <c r="U111" s="71"/>
      <c r="V111" s="75"/>
    </row>
    <row r="112" spans="1:22" x14ac:dyDescent="0.35">
      <c r="U112" s="27">
        <v>100522246</v>
      </c>
      <c r="V112" s="217">
        <v>116812.71733730749</v>
      </c>
    </row>
    <row r="113" spans="21:22" x14ac:dyDescent="0.35">
      <c r="U113" s="27">
        <v>100522247</v>
      </c>
      <c r="V113" s="217">
        <v>116812.71733730749</v>
      </c>
    </row>
  </sheetData>
  <conditionalFormatting sqref="A98:F98">
    <cfRule type="cellIs" dxfId="68" priority="4" stopIfTrue="1" operator="equal">
      <formula>0</formula>
    </cfRule>
  </conditionalFormatting>
  <conditionalFormatting sqref="A101:F101">
    <cfRule type="cellIs" dxfId="67" priority="2" stopIfTrue="1" operator="equal">
      <formula>0</formula>
    </cfRule>
  </conditionalFormatting>
  <conditionalFormatting sqref="B20:C20">
    <cfRule type="cellIs" dxfId="66" priority="64" stopIfTrue="1" operator="equal">
      <formula>0</formula>
    </cfRule>
  </conditionalFormatting>
  <conditionalFormatting sqref="B27:C27">
    <cfRule type="cellIs" dxfId="65" priority="55" stopIfTrue="1" operator="equal">
      <formula>0</formula>
    </cfRule>
  </conditionalFormatting>
  <conditionalFormatting sqref="B63:D63">
    <cfRule type="cellIs" dxfId="64" priority="62" stopIfTrue="1" operator="equal">
      <formula>0</formula>
    </cfRule>
  </conditionalFormatting>
  <conditionalFormatting sqref="B16:G19 I16:J19 E20:J20">
    <cfRule type="cellIs" dxfId="63" priority="46" stopIfTrue="1" operator="equal">
      <formula>0</formula>
    </cfRule>
  </conditionalFormatting>
  <conditionalFormatting sqref="B69:P69">
    <cfRule type="cellIs" dxfId="62" priority="9" stopIfTrue="1" operator="equal">
      <formula>0</formula>
    </cfRule>
  </conditionalFormatting>
  <conditionalFormatting sqref="B73:P74">
    <cfRule type="cellIs" dxfId="61" priority="8" stopIfTrue="1" operator="equal">
      <formula>0</formula>
    </cfRule>
  </conditionalFormatting>
  <conditionalFormatting sqref="C28">
    <cfRule type="cellIs" dxfId="60" priority="54" stopIfTrue="1" operator="equal">
      <formula>0</formula>
    </cfRule>
  </conditionalFormatting>
  <conditionalFormatting sqref="D94:F94">
    <cfRule type="cellIs" dxfId="59" priority="21" stopIfTrue="1" operator="equal">
      <formula>0</formula>
    </cfRule>
  </conditionalFormatting>
  <conditionalFormatting sqref="E89:F93">
    <cfRule type="cellIs" dxfId="58" priority="52" stopIfTrue="1" operator="equal">
      <formula>0</formula>
    </cfRule>
  </conditionalFormatting>
  <conditionalFormatting sqref="E96:F97">
    <cfRule type="cellIs" dxfId="57" priority="50" stopIfTrue="1" operator="equal">
      <formula>0</formula>
    </cfRule>
  </conditionalFormatting>
  <conditionalFormatting sqref="E100:F100">
    <cfRule type="cellIs" dxfId="56" priority="48" stopIfTrue="1" operator="equal">
      <formula>0</formula>
    </cfRule>
  </conditionalFormatting>
  <conditionalFormatting sqref="E103:F106">
    <cfRule type="cellIs" dxfId="55" priority="29" stopIfTrue="1" operator="equal">
      <formula>0</formula>
    </cfRule>
  </conditionalFormatting>
  <conditionalFormatting sqref="E58:G61 J59:P61">
    <cfRule type="cellIs" dxfId="54" priority="59" stopIfTrue="1" operator="equal">
      <formula>0</formula>
    </cfRule>
  </conditionalFormatting>
  <conditionalFormatting sqref="H18">
    <cfRule type="cellIs" dxfId="53" priority="1" operator="greaterThan">
      <formula>0</formula>
    </cfRule>
  </conditionalFormatting>
  <conditionalFormatting sqref="H89:H94">
    <cfRule type="cellIs" dxfId="52" priority="7" stopIfTrue="1" operator="equal">
      <formula>0</formula>
    </cfRule>
  </conditionalFormatting>
  <conditionalFormatting sqref="H96:H98">
    <cfRule type="cellIs" dxfId="51" priority="10" stopIfTrue="1" operator="equal">
      <formula>0</formula>
    </cfRule>
  </conditionalFormatting>
  <conditionalFormatting sqref="H100:H101">
    <cfRule type="cellIs" dxfId="50" priority="6" stopIfTrue="1" operator="equal">
      <formula>0</formula>
    </cfRule>
  </conditionalFormatting>
  <conditionalFormatting sqref="H108:I109">
    <cfRule type="cellIs" dxfId="49" priority="5" stopIfTrue="1" operator="equal">
      <formula>0</formula>
    </cfRule>
  </conditionalFormatting>
  <conditionalFormatting sqref="I58:P58">
    <cfRule type="cellIs" dxfId="48" priority="44" stopIfTrue="1" operator="equal">
      <formula>0</formula>
    </cfRule>
  </conditionalFormatting>
  <conditionalFormatting sqref="J96:N98">
    <cfRule type="cellIs" dxfId="47" priority="49" stopIfTrue="1" operator="equal">
      <formula>0</formula>
    </cfRule>
  </conditionalFormatting>
  <conditionalFormatting sqref="J100:N101">
    <cfRule type="cellIs" dxfId="46" priority="47" stopIfTrue="1" operator="equal">
      <formula>0</formula>
    </cfRule>
  </conditionalFormatting>
  <conditionalFormatting sqref="J103:N106">
    <cfRule type="cellIs" dxfId="45" priority="28" stopIfTrue="1" operator="equal">
      <formula>0</formula>
    </cfRule>
  </conditionalFormatting>
  <conditionalFormatting sqref="J90:P94">
    <cfRule type="cellIs" dxfId="44" priority="53" stopIfTrue="1" operator="equal">
      <formula>0</formula>
    </cfRule>
  </conditionalFormatting>
  <conditionalFormatting sqref="M37:M38">
    <cfRule type="cellIs" dxfId="43" priority="57" stopIfTrue="1" operator="equal">
      <formula>0</formula>
    </cfRule>
  </conditionalFormatting>
  <conditionalFormatting sqref="M16:P20">
    <cfRule type="cellIs" dxfId="42" priority="56" stopIfTrue="1" operator="equal">
      <formula>0</formula>
    </cfRule>
  </conditionalFormatting>
  <conditionalFormatting sqref="U27">
    <cfRule type="cellIs" dxfId="41" priority="19" stopIfTrue="1" operator="equal">
      <formula>0</formula>
    </cfRule>
  </conditionalFormatting>
  <conditionalFormatting sqref="U64">
    <cfRule type="cellIs" dxfId="40" priority="20" stopIfTrue="1" operator="equal">
      <formula>0</formula>
    </cfRule>
  </conditionalFormatting>
  <conditionalFormatting sqref="U16:V18">
    <cfRule type="cellIs" dxfId="39" priority="14" stopIfTrue="1" operator="equal">
      <formula>0</formula>
    </cfRule>
  </conditionalFormatting>
  <conditionalFormatting sqref="U70:V70">
    <cfRule type="cellIs" dxfId="38" priority="13" stopIfTrue="1" operator="equal">
      <formula>0</formula>
    </cfRule>
  </conditionalFormatting>
  <conditionalFormatting sqref="U74:V75">
    <cfRule type="cellIs" dxfId="37" priority="12" stopIfTrue="1" operator="equal">
      <formula>0</formula>
    </cfRule>
  </conditionalFormatting>
  <conditionalFormatting sqref="V59:V62">
    <cfRule type="cellIs" dxfId="36" priority="15" stopIfTrue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2AD1-0566-4BAE-801B-4DCA53673AEE}">
  <dimension ref="A1:X113"/>
  <sheetViews>
    <sheetView zoomScale="70" zoomScaleNormal="70" workbookViewId="0">
      <selection activeCell="A14" sqref="A14"/>
    </sheetView>
  </sheetViews>
  <sheetFormatPr baseColWidth="10" defaultColWidth="11.453125" defaultRowHeight="14.5" outlineLevelCol="1" x14ac:dyDescent="0.35"/>
  <cols>
    <col min="1" max="1" width="2.81640625" customWidth="1"/>
    <col min="2" max="2" width="11.81640625" customWidth="1"/>
    <col min="3" max="3" width="46.1796875" bestFit="1" customWidth="1"/>
    <col min="4" max="4" width="12.1796875" hidden="1" customWidth="1"/>
    <col min="5" max="5" width="8" bestFit="1" customWidth="1"/>
    <col min="6" max="6" width="9.453125" bestFit="1" customWidth="1"/>
    <col min="7" max="7" width="9.453125" style="82" bestFit="1" customWidth="1"/>
    <col min="8" max="8" width="9.453125" customWidth="1"/>
    <col min="9" max="9" width="9.453125" style="82" bestFit="1" customWidth="1"/>
    <col min="10" max="15" width="11.453125" customWidth="1" outlineLevel="1"/>
    <col min="16" max="16" width="11.453125" style="77" customWidth="1"/>
    <col min="17" max="22" width="11.453125" hidden="1" customWidth="1"/>
    <col min="23" max="24" width="11.453125" customWidth="1"/>
  </cols>
  <sheetData>
    <row r="1" spans="2:22" s="1" customFormat="1" ht="12.5" thickBot="1" x14ac:dyDescent="0.35">
      <c r="G1" s="2"/>
      <c r="I1" s="2"/>
      <c r="P1" s="3"/>
    </row>
    <row r="2" spans="2:22" s="1" customFormat="1" ht="36.5" thickBot="1" x14ac:dyDescent="0.35">
      <c r="B2" s="4" t="s">
        <v>0</v>
      </c>
      <c r="C2" s="5" t="s">
        <v>1</v>
      </c>
      <c r="D2" s="6" t="s">
        <v>2</v>
      </c>
      <c r="E2" s="6" t="s">
        <v>3</v>
      </c>
      <c r="F2" s="6" t="s">
        <v>4</v>
      </c>
      <c r="G2" s="7" t="s">
        <v>88</v>
      </c>
      <c r="H2" s="6" t="s">
        <v>90</v>
      </c>
      <c r="I2" s="7" t="s">
        <v>5</v>
      </c>
      <c r="J2" s="8" t="s">
        <v>6</v>
      </c>
      <c r="K2" s="8" t="s">
        <v>7</v>
      </c>
      <c r="L2" s="8" t="s">
        <v>8</v>
      </c>
      <c r="M2" s="8" t="s">
        <v>9</v>
      </c>
      <c r="N2" s="8" t="s">
        <v>10</v>
      </c>
      <c r="O2" s="8" t="s">
        <v>11</v>
      </c>
      <c r="P2" s="9" t="s">
        <v>12</v>
      </c>
      <c r="R2" s="1" t="s">
        <v>118</v>
      </c>
    </row>
    <row r="3" spans="2:22" s="1" customFormat="1" ht="12" x14ac:dyDescent="0.3">
      <c r="B3" s="12"/>
      <c r="C3" s="13"/>
      <c r="D3" s="14"/>
      <c r="E3" s="13"/>
      <c r="F3" s="13"/>
      <c r="G3" s="15"/>
      <c r="H3" s="13"/>
      <c r="I3" s="15"/>
      <c r="J3" s="16"/>
      <c r="K3" s="17">
        <v>0.21</v>
      </c>
      <c r="L3" s="16"/>
      <c r="M3" s="17">
        <v>0.3</v>
      </c>
      <c r="N3" s="16"/>
      <c r="O3" s="17">
        <v>0.4</v>
      </c>
      <c r="P3" s="18"/>
    </row>
    <row r="4" spans="2:22" x14ac:dyDescent="0.35">
      <c r="B4" s="19">
        <v>100021632</v>
      </c>
      <c r="C4" s="20" t="s">
        <v>14</v>
      </c>
      <c r="D4" s="21">
        <v>7790360026606</v>
      </c>
      <c r="E4" s="22">
        <v>4.8</v>
      </c>
      <c r="F4" s="23">
        <v>30</v>
      </c>
      <c r="G4" s="24">
        <f t="shared" ref="G4:G35" si="0">+VLOOKUP(B4,$U$4:$V$106,2,FALSE)</f>
        <v>39845.711027018559</v>
      </c>
      <c r="H4" s="23"/>
      <c r="I4" s="24">
        <f>+G4*(1-H4)</f>
        <v>39845.711027018559</v>
      </c>
      <c r="J4" s="24">
        <f>+I4/F4</f>
        <v>1328.1903675672852</v>
      </c>
      <c r="K4" s="24">
        <f>+J4*K$3</f>
        <v>278.9199771891299</v>
      </c>
      <c r="L4" s="24">
        <f>+J4+K4</f>
        <v>1607.1103447564151</v>
      </c>
      <c r="M4" s="24">
        <f>+L4*M$3</f>
        <v>482.13310342692449</v>
      </c>
      <c r="N4" s="24">
        <f>+L4+M4</f>
        <v>2089.2434481833398</v>
      </c>
      <c r="O4" s="24">
        <f>+N4*O$3</f>
        <v>835.69737927333597</v>
      </c>
      <c r="P4" s="25">
        <f>+N4+O4</f>
        <v>2924.9408274566758</v>
      </c>
      <c r="R4" s="24">
        <v>37948.296216208153</v>
      </c>
      <c r="S4">
        <f>+(I4-R4)/R4</f>
        <v>4.999999999999994E-2</v>
      </c>
      <c r="U4" s="19">
        <v>100021632</v>
      </c>
      <c r="V4" s="24">
        <v>39845.711027018559</v>
      </c>
    </row>
    <row r="5" spans="2:22" x14ac:dyDescent="0.35">
      <c r="B5" s="26">
        <v>100021652</v>
      </c>
      <c r="C5" s="20" t="s">
        <v>15</v>
      </c>
      <c r="D5" s="21">
        <v>7790360026576</v>
      </c>
      <c r="E5" s="22">
        <v>5.76</v>
      </c>
      <c r="F5" s="23">
        <v>18</v>
      </c>
      <c r="G5" s="24">
        <f t="shared" si="0"/>
        <v>54129.556706339725</v>
      </c>
      <c r="H5" s="23"/>
      <c r="I5" s="24">
        <f t="shared" ref="I5:I77" si="1">+G5*(1-H5)</f>
        <v>54129.556706339725</v>
      </c>
      <c r="J5" s="24">
        <f t="shared" ref="J5:J77" si="2">+I5/F5</f>
        <v>3007.1975947966512</v>
      </c>
      <c r="K5" s="24">
        <f t="shared" ref="K5:K77" si="3">+J5*K$3</f>
        <v>631.51149490729676</v>
      </c>
      <c r="L5" s="24">
        <f t="shared" ref="L5:L77" si="4">+J5+K5</f>
        <v>3638.7090897039479</v>
      </c>
      <c r="M5" s="24">
        <f t="shared" ref="M5:M77" si="5">+L5*M$3</f>
        <v>1091.6127269111844</v>
      </c>
      <c r="N5" s="24">
        <f t="shared" ref="N5:N77" si="6">+L5+M5</f>
        <v>4730.3218166151328</v>
      </c>
      <c r="O5" s="24">
        <f t="shared" ref="O5:O77" si="7">+N5*O$3</f>
        <v>1892.1287266460531</v>
      </c>
      <c r="P5" s="25">
        <f t="shared" ref="P5:P77" si="8">+N5+O5</f>
        <v>6622.4505432611859</v>
      </c>
      <c r="R5" s="24">
        <v>54129.556706339725</v>
      </c>
      <c r="S5">
        <f t="shared" ref="S5:S77" si="9">+(I5-R5)/R5</f>
        <v>0</v>
      </c>
      <c r="U5" s="26">
        <v>100021652</v>
      </c>
      <c r="V5" s="24">
        <v>54129.556706339725</v>
      </c>
    </row>
    <row r="6" spans="2:22" x14ac:dyDescent="0.35">
      <c r="B6" s="26">
        <v>100021631</v>
      </c>
      <c r="C6" s="20" t="s">
        <v>16</v>
      </c>
      <c r="D6" s="21">
        <v>7790360026590</v>
      </c>
      <c r="E6" s="22">
        <v>7.68</v>
      </c>
      <c r="F6" s="23">
        <v>8</v>
      </c>
      <c r="G6" s="24">
        <f t="shared" si="0"/>
        <v>66789.001340526345</v>
      </c>
      <c r="H6" s="23"/>
      <c r="I6" s="24">
        <f t="shared" si="1"/>
        <v>66789.001340526345</v>
      </c>
      <c r="J6" s="24">
        <f t="shared" si="2"/>
        <v>8348.6251675657932</v>
      </c>
      <c r="K6" s="24">
        <f t="shared" si="3"/>
        <v>1753.2112851888164</v>
      </c>
      <c r="L6" s="24">
        <f t="shared" si="4"/>
        <v>10101.836452754609</v>
      </c>
      <c r="M6" s="24">
        <f t="shared" si="5"/>
        <v>3030.5509358263826</v>
      </c>
      <c r="N6" s="24">
        <f t="shared" si="6"/>
        <v>13132.387388580992</v>
      </c>
      <c r="O6" s="24">
        <f t="shared" si="7"/>
        <v>5252.9549554323967</v>
      </c>
      <c r="P6" s="25">
        <f t="shared" si="8"/>
        <v>18385.342344013388</v>
      </c>
      <c r="R6" s="24">
        <v>66789.001340526345</v>
      </c>
      <c r="S6">
        <f t="shared" si="9"/>
        <v>0</v>
      </c>
      <c r="U6" s="26">
        <v>100021631</v>
      </c>
      <c r="V6" s="24">
        <v>66789.001340526345</v>
      </c>
    </row>
    <row r="7" spans="2:22" x14ac:dyDescent="0.35">
      <c r="B7" s="26">
        <v>100021630</v>
      </c>
      <c r="C7" s="20" t="s">
        <v>17</v>
      </c>
      <c r="D7" s="21">
        <v>7790360026583</v>
      </c>
      <c r="E7" s="22">
        <v>9.6</v>
      </c>
      <c r="F7" s="23">
        <v>6</v>
      </c>
      <c r="G7" s="24">
        <f t="shared" si="0"/>
        <v>83486.251675657943</v>
      </c>
      <c r="H7" s="23"/>
      <c r="I7" s="24">
        <f t="shared" si="1"/>
        <v>83486.251675657943</v>
      </c>
      <c r="J7" s="24">
        <f t="shared" si="2"/>
        <v>13914.375279276324</v>
      </c>
      <c r="K7" s="24">
        <f t="shared" si="3"/>
        <v>2922.018808648028</v>
      </c>
      <c r="L7" s="24">
        <f t="shared" si="4"/>
        <v>16836.394087924353</v>
      </c>
      <c r="M7" s="24">
        <f t="shared" si="5"/>
        <v>5050.9182263773055</v>
      </c>
      <c r="N7" s="24">
        <f t="shared" si="6"/>
        <v>21887.312314301656</v>
      </c>
      <c r="O7" s="24">
        <f t="shared" si="7"/>
        <v>8754.9249257206629</v>
      </c>
      <c r="P7" s="25">
        <f t="shared" si="8"/>
        <v>30642.237240022318</v>
      </c>
      <c r="R7" s="24">
        <v>83486.251675657943</v>
      </c>
      <c r="S7">
        <f t="shared" si="9"/>
        <v>0</v>
      </c>
      <c r="U7" s="26">
        <v>100021630</v>
      </c>
      <c r="V7" s="24">
        <v>83486.251675657943</v>
      </c>
    </row>
    <row r="8" spans="2:22" x14ac:dyDescent="0.35">
      <c r="B8" s="27">
        <v>100021653</v>
      </c>
      <c r="C8" s="28" t="s">
        <v>18</v>
      </c>
      <c r="D8" s="21">
        <v>7790360026682</v>
      </c>
      <c r="E8" s="22">
        <v>5.76</v>
      </c>
      <c r="F8" s="23">
        <v>18</v>
      </c>
      <c r="G8" s="24">
        <f t="shared" si="0"/>
        <v>54129.556706339725</v>
      </c>
      <c r="H8" s="23"/>
      <c r="I8" s="24">
        <f t="shared" si="1"/>
        <v>54129.556706339725</v>
      </c>
      <c r="J8" s="24">
        <f t="shared" si="2"/>
        <v>3007.1975947966512</v>
      </c>
      <c r="K8" s="24">
        <f t="shared" si="3"/>
        <v>631.51149490729676</v>
      </c>
      <c r="L8" s="24">
        <f t="shared" si="4"/>
        <v>3638.7090897039479</v>
      </c>
      <c r="M8" s="24">
        <f t="shared" si="5"/>
        <v>1091.6127269111844</v>
      </c>
      <c r="N8" s="24">
        <f t="shared" si="6"/>
        <v>4730.3218166151328</v>
      </c>
      <c r="O8" s="24">
        <f t="shared" si="7"/>
        <v>1892.1287266460531</v>
      </c>
      <c r="P8" s="25">
        <f t="shared" si="8"/>
        <v>6622.4505432611859</v>
      </c>
      <c r="R8" s="24">
        <v>54129.556706339725</v>
      </c>
      <c r="S8">
        <f t="shared" si="9"/>
        <v>0</v>
      </c>
      <c r="U8" s="27">
        <v>100021653</v>
      </c>
      <c r="V8" s="24">
        <v>54129.556706339725</v>
      </c>
    </row>
    <row r="9" spans="2:22" x14ac:dyDescent="0.35">
      <c r="B9" s="27">
        <v>100516169</v>
      </c>
      <c r="C9" s="28" t="s">
        <v>19</v>
      </c>
      <c r="D9" s="21">
        <v>7790360967961</v>
      </c>
      <c r="E9" s="22">
        <v>5.76</v>
      </c>
      <c r="F9" s="23">
        <v>18</v>
      </c>
      <c r="G9" s="24">
        <f t="shared" si="0"/>
        <v>49911.236757112521</v>
      </c>
      <c r="H9" s="23"/>
      <c r="I9" s="24">
        <f t="shared" si="1"/>
        <v>49911.236757112521</v>
      </c>
      <c r="J9" s="24">
        <f t="shared" si="2"/>
        <v>2772.846486506251</v>
      </c>
      <c r="K9" s="24">
        <f t="shared" si="3"/>
        <v>582.29776216631274</v>
      </c>
      <c r="L9" s="24">
        <f t="shared" si="4"/>
        <v>3355.1442486725637</v>
      </c>
      <c r="M9" s="24">
        <f t="shared" si="5"/>
        <v>1006.5432746017691</v>
      </c>
      <c r="N9" s="24">
        <f t="shared" si="6"/>
        <v>4361.6875232743332</v>
      </c>
      <c r="O9" s="24">
        <f t="shared" si="7"/>
        <v>1744.6750093097335</v>
      </c>
      <c r="P9" s="25">
        <f t="shared" si="8"/>
        <v>6106.3625325840667</v>
      </c>
      <c r="R9" s="24">
        <v>49911.236757112521</v>
      </c>
      <c r="S9">
        <f t="shared" si="9"/>
        <v>0</v>
      </c>
      <c r="U9" s="27">
        <v>100516169</v>
      </c>
      <c r="V9" s="24">
        <v>49911.236757112521</v>
      </c>
    </row>
    <row r="10" spans="2:22" x14ac:dyDescent="0.35">
      <c r="B10" s="27">
        <v>100520337</v>
      </c>
      <c r="C10" s="28" t="s">
        <v>20</v>
      </c>
      <c r="D10" s="21">
        <v>7790360977960</v>
      </c>
      <c r="E10" s="22">
        <v>4.8</v>
      </c>
      <c r="F10" s="23">
        <v>30</v>
      </c>
      <c r="G10" s="24">
        <f t="shared" si="0"/>
        <v>31032.485223534695</v>
      </c>
      <c r="H10" s="23"/>
      <c r="I10" s="24">
        <f t="shared" si="1"/>
        <v>31032.485223534695</v>
      </c>
      <c r="J10" s="24">
        <f>+I10/F10</f>
        <v>1034.4161741178232</v>
      </c>
      <c r="K10" s="24">
        <f>+J10*K$3</f>
        <v>217.22739656474286</v>
      </c>
      <c r="L10" s="24">
        <f>+J10+K10</f>
        <v>1251.643570682566</v>
      </c>
      <c r="M10" s="24">
        <f>+L10*M$3</f>
        <v>375.49307120476976</v>
      </c>
      <c r="N10" s="24">
        <f>+L10+M10</f>
        <v>1627.1366418873358</v>
      </c>
      <c r="O10" s="24">
        <f>+N10*O$3</f>
        <v>650.85465675493435</v>
      </c>
      <c r="P10" s="25">
        <f>+N10+O10</f>
        <v>2277.9912986422701</v>
      </c>
      <c r="R10" s="24">
        <v>29554.747831937802</v>
      </c>
      <c r="S10">
        <f t="shared" si="9"/>
        <v>5.0000000000000093E-2</v>
      </c>
      <c r="U10" s="27">
        <v>100516170</v>
      </c>
      <c r="V10" s="24">
        <v>0</v>
      </c>
    </row>
    <row r="11" spans="2:22" x14ac:dyDescent="0.35">
      <c r="B11" s="84">
        <v>100021503</v>
      </c>
      <c r="C11" s="98" t="s">
        <v>21</v>
      </c>
      <c r="D11" s="99">
        <v>7790360966841</v>
      </c>
      <c r="E11" s="100">
        <v>3.3119999999999998</v>
      </c>
      <c r="F11" s="101">
        <v>12</v>
      </c>
      <c r="G11" s="85">
        <f t="shared" si="0"/>
        <v>21945.341626794267</v>
      </c>
      <c r="H11" s="200">
        <v>9.0909090909090912E-2</v>
      </c>
      <c r="I11" s="85">
        <f t="shared" si="1"/>
        <v>19950.310569812969</v>
      </c>
      <c r="J11" s="85">
        <f t="shared" si="2"/>
        <v>1662.5258808177475</v>
      </c>
      <c r="K11" s="85">
        <f t="shared" si="3"/>
        <v>349.13043497172697</v>
      </c>
      <c r="L11" s="85">
        <f t="shared" si="4"/>
        <v>2011.6563157894745</v>
      </c>
      <c r="M11" s="85">
        <f t="shared" si="5"/>
        <v>603.49689473684236</v>
      </c>
      <c r="N11" s="85">
        <f t="shared" si="6"/>
        <v>2615.1532105263168</v>
      </c>
      <c r="O11" s="85">
        <f t="shared" si="7"/>
        <v>1046.0612842105268</v>
      </c>
      <c r="P11" s="102">
        <f t="shared" si="8"/>
        <v>3661.2144947368433</v>
      </c>
      <c r="Q11">
        <v>0.1666</v>
      </c>
      <c r="R11" s="24">
        <v>18289.247711770342</v>
      </c>
      <c r="S11">
        <f t="shared" si="9"/>
        <v>9.0821825163077838E-2</v>
      </c>
      <c r="U11" s="27">
        <v>100517438</v>
      </c>
      <c r="V11" s="24">
        <v>0</v>
      </c>
    </row>
    <row r="12" spans="2:22" x14ac:dyDescent="0.35">
      <c r="B12" s="27">
        <v>100516201</v>
      </c>
      <c r="C12" s="28" t="s">
        <v>22</v>
      </c>
      <c r="D12" s="21">
        <v>7790360968548</v>
      </c>
      <c r="E12" s="22">
        <v>6.6239999999999997</v>
      </c>
      <c r="F12" s="23">
        <v>8</v>
      </c>
      <c r="G12" s="24">
        <f t="shared" si="0"/>
        <v>43518.632596673706</v>
      </c>
      <c r="H12" s="199"/>
      <c r="I12" s="24">
        <f t="shared" si="1"/>
        <v>43518.632596673706</v>
      </c>
      <c r="J12" s="24">
        <f t="shared" si="2"/>
        <v>5439.8290745842132</v>
      </c>
      <c r="K12" s="24">
        <f t="shared" si="3"/>
        <v>1142.3641056626848</v>
      </c>
      <c r="L12" s="24">
        <f t="shared" si="4"/>
        <v>6582.193180246898</v>
      </c>
      <c r="M12" s="24">
        <f t="shared" si="5"/>
        <v>1974.6579540740693</v>
      </c>
      <c r="N12" s="24">
        <f t="shared" si="6"/>
        <v>8556.8511343209666</v>
      </c>
      <c r="O12" s="24">
        <f t="shared" si="7"/>
        <v>3422.7404537283869</v>
      </c>
      <c r="P12" s="25">
        <f t="shared" si="8"/>
        <v>11979.591588049354</v>
      </c>
      <c r="R12" s="24">
        <v>41446.316758736866</v>
      </c>
      <c r="S12">
        <f t="shared" si="9"/>
        <v>4.9999999999999913E-2</v>
      </c>
      <c r="U12" s="27">
        <v>100520337</v>
      </c>
      <c r="V12" s="24">
        <v>31032.485223534695</v>
      </c>
    </row>
    <row r="13" spans="2:22" x14ac:dyDescent="0.35">
      <c r="B13" s="27">
        <v>100021643</v>
      </c>
      <c r="C13" s="28" t="s">
        <v>23</v>
      </c>
      <c r="D13" s="21">
        <v>7790360966797</v>
      </c>
      <c r="E13" s="22">
        <v>4.7039999999999997</v>
      </c>
      <c r="F13" s="23">
        <v>42</v>
      </c>
      <c r="G13" s="24">
        <f t="shared" si="0"/>
        <v>29909.928229665078</v>
      </c>
      <c r="H13" s="199"/>
      <c r="I13" s="24">
        <f t="shared" si="1"/>
        <v>29909.928229665078</v>
      </c>
      <c r="J13" s="24">
        <f t="shared" si="2"/>
        <v>712.14114832535904</v>
      </c>
      <c r="K13" s="24">
        <f t="shared" si="3"/>
        <v>149.54964114832541</v>
      </c>
      <c r="L13" s="24">
        <f t="shared" si="4"/>
        <v>861.69078947368439</v>
      </c>
      <c r="M13" s="24">
        <f t="shared" si="5"/>
        <v>258.50723684210533</v>
      </c>
      <c r="N13" s="24">
        <f t="shared" si="6"/>
        <v>1120.1980263157898</v>
      </c>
      <c r="O13" s="24">
        <f t="shared" si="7"/>
        <v>448.07921052631593</v>
      </c>
      <c r="P13" s="25">
        <f t="shared" si="8"/>
        <v>1568.2772368421056</v>
      </c>
      <c r="R13" s="24">
        <v>29909.928229665078</v>
      </c>
      <c r="S13">
        <f t="shared" si="9"/>
        <v>0</v>
      </c>
      <c r="U13" s="27">
        <v>100021503</v>
      </c>
      <c r="V13" s="24">
        <v>21945.341626794267</v>
      </c>
    </row>
    <row r="14" spans="2:22" x14ac:dyDescent="0.35">
      <c r="B14" s="27">
        <v>100516325</v>
      </c>
      <c r="C14" s="28" t="s">
        <v>24</v>
      </c>
      <c r="D14" s="21">
        <v>7790360967763</v>
      </c>
      <c r="E14" s="22">
        <v>4.7039999999999997</v>
      </c>
      <c r="F14" s="23">
        <v>21</v>
      </c>
      <c r="G14" s="24">
        <f t="shared" si="0"/>
        <v>29089.300324203759</v>
      </c>
      <c r="H14" s="199"/>
      <c r="I14" s="24">
        <f t="shared" si="1"/>
        <v>29089.300324203759</v>
      </c>
      <c r="J14" s="24">
        <f t="shared" si="2"/>
        <v>1385.2047773430361</v>
      </c>
      <c r="K14" s="24">
        <f t="shared" si="3"/>
        <v>290.89300324203759</v>
      </c>
      <c r="L14" s="24">
        <f t="shared" si="4"/>
        <v>1676.0977805850737</v>
      </c>
      <c r="M14" s="24">
        <f t="shared" si="5"/>
        <v>502.82933417552209</v>
      </c>
      <c r="N14" s="24">
        <f t="shared" si="6"/>
        <v>2178.9271147605959</v>
      </c>
      <c r="O14" s="24">
        <f t="shared" si="7"/>
        <v>871.57084590423847</v>
      </c>
      <c r="P14" s="25">
        <f t="shared" si="8"/>
        <v>3050.4979606648344</v>
      </c>
      <c r="R14" s="24">
        <v>29089.300324203759</v>
      </c>
      <c r="S14">
        <f t="shared" si="9"/>
        <v>0</v>
      </c>
      <c r="U14" s="27">
        <v>100516201</v>
      </c>
      <c r="V14" s="24">
        <v>43518.632596673706</v>
      </c>
    </row>
    <row r="15" spans="2:22" x14ac:dyDescent="0.35">
      <c r="B15" s="84">
        <v>100021676</v>
      </c>
      <c r="C15" s="98" t="s">
        <v>25</v>
      </c>
      <c r="D15" s="99">
        <v>7790360967411</v>
      </c>
      <c r="E15" s="100">
        <v>7.5</v>
      </c>
      <c r="F15" s="101">
        <v>30</v>
      </c>
      <c r="G15" s="85">
        <f t="shared" si="0"/>
        <v>64248.37371007404</v>
      </c>
      <c r="H15" s="200">
        <v>8.7999999999999995E-2</v>
      </c>
      <c r="I15" s="85">
        <f t="shared" si="1"/>
        <v>58594.516823587524</v>
      </c>
      <c r="J15" s="85">
        <f t="shared" si="2"/>
        <v>1953.1505607862507</v>
      </c>
      <c r="K15" s="85">
        <f t="shared" si="3"/>
        <v>410.16161776511262</v>
      </c>
      <c r="L15" s="85">
        <f t="shared" si="4"/>
        <v>2363.3121785513631</v>
      </c>
      <c r="M15" s="85">
        <f t="shared" si="5"/>
        <v>708.99365356540886</v>
      </c>
      <c r="N15" s="85">
        <f t="shared" si="6"/>
        <v>3072.3058321167719</v>
      </c>
      <c r="O15" s="85">
        <f t="shared" si="7"/>
        <v>1228.9223328467087</v>
      </c>
      <c r="P15" s="102">
        <f t="shared" si="8"/>
        <v>4301.2281649634806</v>
      </c>
      <c r="R15" s="24">
        <v>64248.37371007404</v>
      </c>
      <c r="S15">
        <f t="shared" si="9"/>
        <v>-8.7999999999999995E-2</v>
      </c>
      <c r="U15" s="27">
        <v>100021643</v>
      </c>
      <c r="V15" s="24">
        <v>29909.928229665078</v>
      </c>
    </row>
    <row r="16" spans="2:22" x14ac:dyDescent="0.35">
      <c r="B16" s="84">
        <v>100516008</v>
      </c>
      <c r="C16" s="98" t="s">
        <v>26</v>
      </c>
      <c r="D16" s="99">
        <v>7790360967701</v>
      </c>
      <c r="E16" s="100">
        <v>5.76</v>
      </c>
      <c r="F16" s="101">
        <v>24</v>
      </c>
      <c r="G16" s="85">
        <f t="shared" si="0"/>
        <v>63757.01221477463</v>
      </c>
      <c r="H16" s="200">
        <v>8.3333333333333301E-2</v>
      </c>
      <c r="I16" s="85">
        <f t="shared" si="1"/>
        <v>58443.927863543417</v>
      </c>
      <c r="J16" s="85">
        <f t="shared" si="2"/>
        <v>2435.1636609809757</v>
      </c>
      <c r="K16" s="85">
        <f t="shared" si="3"/>
        <v>511.38436880600489</v>
      </c>
      <c r="L16" s="85">
        <f t="shared" si="4"/>
        <v>2946.5480297869808</v>
      </c>
      <c r="M16" s="85">
        <f t="shared" si="5"/>
        <v>883.96440893609417</v>
      </c>
      <c r="N16" s="85">
        <f t="shared" si="6"/>
        <v>3830.5124387230749</v>
      </c>
      <c r="O16" s="85">
        <f t="shared" si="7"/>
        <v>1532.20497548923</v>
      </c>
      <c r="P16" s="102">
        <f t="shared" si="8"/>
        <v>5362.7174142123049</v>
      </c>
      <c r="Q16">
        <v>9.0899999999999995E-2</v>
      </c>
      <c r="R16" s="24">
        <v>57961.499804451618</v>
      </c>
      <c r="S16">
        <f t="shared" si="9"/>
        <v>8.3232501008323953E-3</v>
      </c>
      <c r="U16" s="27">
        <v>100516325</v>
      </c>
      <c r="V16" s="24">
        <v>29089.300324203759</v>
      </c>
    </row>
    <row r="17" spans="1:22" x14ac:dyDescent="0.35">
      <c r="B17" s="146">
        <v>100520834</v>
      </c>
      <c r="C17" s="147" t="s">
        <v>27</v>
      </c>
      <c r="D17" s="148">
        <v>7790360980618</v>
      </c>
      <c r="E17" s="149">
        <v>6.66</v>
      </c>
      <c r="F17" s="150">
        <v>36</v>
      </c>
      <c r="G17" s="145">
        <f t="shared" si="0"/>
        <v>74484.96472738999</v>
      </c>
      <c r="H17" s="150"/>
      <c r="I17" s="145">
        <f t="shared" si="1"/>
        <v>74484.96472738999</v>
      </c>
      <c r="J17" s="145">
        <f>+I17/F17</f>
        <v>2069.0267979830551</v>
      </c>
      <c r="K17" s="145">
        <f>+J17*K$3</f>
        <v>434.49562757644156</v>
      </c>
      <c r="L17" s="145">
        <f>+J17+K17</f>
        <v>2503.5224255594967</v>
      </c>
      <c r="M17" s="145">
        <f>+L17*M$3</f>
        <v>751.05672766784903</v>
      </c>
      <c r="N17" s="145">
        <f>+L17+M17</f>
        <v>3254.5791532273456</v>
      </c>
      <c r="O17" s="145">
        <f>+N17*O$3</f>
        <v>1301.8316612909384</v>
      </c>
      <c r="P17" s="153">
        <f>+N17+O17</f>
        <v>4556.4108145182836</v>
      </c>
      <c r="R17" s="85">
        <v>74484.96472738999</v>
      </c>
      <c r="S17">
        <f t="shared" si="9"/>
        <v>0</v>
      </c>
      <c r="U17" s="27">
        <v>100021676</v>
      </c>
      <c r="V17" s="24">
        <v>64248.37371007404</v>
      </c>
    </row>
    <row r="18" spans="1:22" x14ac:dyDescent="0.35">
      <c r="B18" s="27">
        <v>100021680</v>
      </c>
      <c r="C18" s="28" t="s">
        <v>28</v>
      </c>
      <c r="D18" s="21">
        <v>7790360967688</v>
      </c>
      <c r="E18" s="22">
        <v>4.32</v>
      </c>
      <c r="F18" s="23">
        <v>18</v>
      </c>
      <c r="G18" s="24">
        <f t="shared" si="0"/>
        <v>56748.577592368114</v>
      </c>
      <c r="H18" s="23"/>
      <c r="I18" s="24">
        <f t="shared" si="1"/>
        <v>56748.577592368114</v>
      </c>
      <c r="J18" s="24">
        <f t="shared" si="2"/>
        <v>3152.6987551315619</v>
      </c>
      <c r="K18" s="24">
        <f t="shared" si="3"/>
        <v>662.06673857762803</v>
      </c>
      <c r="L18" s="24">
        <f t="shared" si="4"/>
        <v>3814.7654937091902</v>
      </c>
      <c r="M18" s="24">
        <f t="shared" si="5"/>
        <v>1144.4296481127569</v>
      </c>
      <c r="N18" s="24">
        <f t="shared" si="6"/>
        <v>4959.1951418219469</v>
      </c>
      <c r="O18" s="24">
        <f t="shared" si="7"/>
        <v>1983.6780567287788</v>
      </c>
      <c r="P18" s="25">
        <f t="shared" si="8"/>
        <v>6942.8731985507256</v>
      </c>
      <c r="R18" s="24">
        <v>56748.577592368114</v>
      </c>
      <c r="S18">
        <f t="shared" si="9"/>
        <v>0</v>
      </c>
      <c r="U18" s="27">
        <v>100021664</v>
      </c>
      <c r="V18" s="24">
        <v>0</v>
      </c>
    </row>
    <row r="19" spans="1:22" x14ac:dyDescent="0.35">
      <c r="B19" s="27">
        <v>100021644</v>
      </c>
      <c r="C19" s="28" t="s">
        <v>29</v>
      </c>
      <c r="D19" s="21">
        <v>7790360008541</v>
      </c>
      <c r="E19" s="22">
        <v>4.7039999999999997</v>
      </c>
      <c r="F19" s="23">
        <v>42</v>
      </c>
      <c r="G19" s="24">
        <f t="shared" si="0"/>
        <v>22727.869781404494</v>
      </c>
      <c r="H19" s="23"/>
      <c r="I19" s="24">
        <f t="shared" si="1"/>
        <v>22727.869781404494</v>
      </c>
      <c r="J19" s="24">
        <f t="shared" si="2"/>
        <v>541.139756700107</v>
      </c>
      <c r="K19" s="24">
        <f t="shared" si="3"/>
        <v>113.63934890702247</v>
      </c>
      <c r="L19" s="24">
        <f t="shared" si="4"/>
        <v>654.77910560712951</v>
      </c>
      <c r="M19" s="29">
        <f>+L19*0.33</f>
        <v>216.07710485035275</v>
      </c>
      <c r="N19" s="24">
        <f t="shared" si="6"/>
        <v>870.85621045748223</v>
      </c>
      <c r="O19" s="24">
        <f t="shared" si="7"/>
        <v>348.34248418299291</v>
      </c>
      <c r="P19" s="25">
        <f t="shared" si="8"/>
        <v>1219.1986946404752</v>
      </c>
      <c r="R19" s="24">
        <v>21645.590268004275</v>
      </c>
      <c r="S19">
        <f t="shared" si="9"/>
        <v>5.0000000000000246E-2</v>
      </c>
      <c r="U19" s="27">
        <v>100516008</v>
      </c>
      <c r="V19" s="24">
        <v>63757.01221477463</v>
      </c>
    </row>
    <row r="20" spans="1:22" x14ac:dyDescent="0.35">
      <c r="B20" s="27">
        <v>100021677</v>
      </c>
      <c r="C20" s="28" t="s">
        <v>30</v>
      </c>
      <c r="D20" s="21">
        <v>7790360967404</v>
      </c>
      <c r="E20" s="22">
        <v>3.3119999999999998</v>
      </c>
      <c r="F20" s="23">
        <v>12</v>
      </c>
      <c r="G20" s="24">
        <f t="shared" si="0"/>
        <v>18497.79511363637</v>
      </c>
      <c r="H20" s="23"/>
      <c r="I20" s="24">
        <f t="shared" si="1"/>
        <v>18497.79511363637</v>
      </c>
      <c r="J20" s="24">
        <f t="shared" si="2"/>
        <v>1541.4829261363641</v>
      </c>
      <c r="K20" s="24">
        <f t="shared" si="3"/>
        <v>323.71141448863642</v>
      </c>
      <c r="L20" s="24">
        <f t="shared" si="4"/>
        <v>1865.1943406250005</v>
      </c>
      <c r="M20" s="29">
        <f>+L20*0.33</f>
        <v>615.51413240625016</v>
      </c>
      <c r="N20" s="24">
        <f t="shared" si="6"/>
        <v>2480.7084730312508</v>
      </c>
      <c r="O20" s="24">
        <f t="shared" si="7"/>
        <v>992.28338921250042</v>
      </c>
      <c r="P20" s="25">
        <f t="shared" si="8"/>
        <v>3472.9918622437513</v>
      </c>
      <c r="R20" s="24">
        <v>18497.79511363637</v>
      </c>
      <c r="S20">
        <f t="shared" si="9"/>
        <v>0</v>
      </c>
      <c r="U20" s="27">
        <v>100520834</v>
      </c>
      <c r="V20" s="24">
        <v>74484.96472738999</v>
      </c>
    </row>
    <row r="21" spans="1:22" x14ac:dyDescent="0.35">
      <c r="B21" s="27">
        <v>100021638</v>
      </c>
      <c r="C21" s="28" t="s">
        <v>31</v>
      </c>
      <c r="D21" s="21">
        <v>7790360026699</v>
      </c>
      <c r="E21" s="22">
        <v>4.8</v>
      </c>
      <c r="F21" s="23">
        <v>60</v>
      </c>
      <c r="G21" s="24">
        <f t="shared" si="0"/>
        <v>52943.23836602176</v>
      </c>
      <c r="H21" s="23"/>
      <c r="I21" s="24">
        <f t="shared" si="1"/>
        <v>52943.23836602176</v>
      </c>
      <c r="J21" s="24">
        <f t="shared" si="2"/>
        <v>882.38730610036271</v>
      </c>
      <c r="K21" s="24">
        <f t="shared" si="3"/>
        <v>185.30133428107615</v>
      </c>
      <c r="L21" s="24">
        <f t="shared" si="4"/>
        <v>1067.6886403814387</v>
      </c>
      <c r="M21" s="24">
        <f t="shared" si="5"/>
        <v>320.30659211443162</v>
      </c>
      <c r="N21" s="24">
        <f t="shared" si="6"/>
        <v>1387.9952324958704</v>
      </c>
      <c r="O21" s="24">
        <f t="shared" si="7"/>
        <v>555.19809299834822</v>
      </c>
      <c r="P21" s="25">
        <f t="shared" si="8"/>
        <v>1943.1933254942187</v>
      </c>
      <c r="R21" s="24">
        <v>52943.23836602176</v>
      </c>
      <c r="S21">
        <f t="shared" si="9"/>
        <v>0</v>
      </c>
      <c r="U21" s="27">
        <v>100021680</v>
      </c>
      <c r="V21" s="24">
        <v>56748.577592368114</v>
      </c>
    </row>
    <row r="22" spans="1:22" x14ac:dyDescent="0.35">
      <c r="B22" s="27">
        <v>100021575</v>
      </c>
      <c r="C22" s="28" t="s">
        <v>32</v>
      </c>
      <c r="D22" s="21">
        <v>7790360007032</v>
      </c>
      <c r="E22" s="22">
        <v>4.1399999999999997</v>
      </c>
      <c r="F22" s="23">
        <v>60</v>
      </c>
      <c r="G22" s="24">
        <f t="shared" si="0"/>
        <v>44717.762024026466</v>
      </c>
      <c r="H22" s="23"/>
      <c r="I22" s="24">
        <f t="shared" si="1"/>
        <v>44717.762024026466</v>
      </c>
      <c r="J22" s="24">
        <f t="shared" si="2"/>
        <v>745.29603373377438</v>
      </c>
      <c r="K22" s="24">
        <f t="shared" si="3"/>
        <v>156.51216708409262</v>
      </c>
      <c r="L22" s="24">
        <f t="shared" si="4"/>
        <v>901.80820081786703</v>
      </c>
      <c r="M22" s="24">
        <f t="shared" si="5"/>
        <v>270.54246024536008</v>
      </c>
      <c r="N22" s="24">
        <f t="shared" si="6"/>
        <v>1172.3506610632271</v>
      </c>
      <c r="O22" s="24">
        <f t="shared" si="7"/>
        <v>468.94026442529088</v>
      </c>
      <c r="P22" s="25">
        <f t="shared" si="8"/>
        <v>1641.290925488518</v>
      </c>
      <c r="R22" s="24">
        <v>44717.762024026466</v>
      </c>
      <c r="S22">
        <f t="shared" si="9"/>
        <v>0</v>
      </c>
      <c r="U22" s="27">
        <v>100021644</v>
      </c>
      <c r="V22" s="24">
        <v>22727.869781404494</v>
      </c>
    </row>
    <row r="23" spans="1:22" x14ac:dyDescent="0.35">
      <c r="B23" s="27">
        <v>100021514</v>
      </c>
      <c r="C23" s="28" t="s">
        <v>33</v>
      </c>
      <c r="D23" s="21">
        <v>7790360006943</v>
      </c>
      <c r="E23" s="22">
        <v>4.1399999999999997</v>
      </c>
      <c r="F23" s="23">
        <v>60</v>
      </c>
      <c r="G23" s="24">
        <f t="shared" si="0"/>
        <v>41094.202872119065</v>
      </c>
      <c r="H23" s="23"/>
      <c r="I23" s="24">
        <f t="shared" si="1"/>
        <v>41094.202872119065</v>
      </c>
      <c r="J23" s="24">
        <f t="shared" si="2"/>
        <v>684.90338120198442</v>
      </c>
      <c r="K23" s="24">
        <f t="shared" si="3"/>
        <v>143.82971005241671</v>
      </c>
      <c r="L23" s="24">
        <f t="shared" si="4"/>
        <v>828.73309125440119</v>
      </c>
      <c r="M23" s="24">
        <f t="shared" si="5"/>
        <v>248.61992737632033</v>
      </c>
      <c r="N23" s="24">
        <f t="shared" si="6"/>
        <v>1077.3530186307216</v>
      </c>
      <c r="O23" s="24">
        <f t="shared" si="7"/>
        <v>430.94120745228867</v>
      </c>
      <c r="P23" s="25">
        <f t="shared" si="8"/>
        <v>1508.2942260830102</v>
      </c>
      <c r="R23" s="24">
        <v>41094.202872119065</v>
      </c>
      <c r="S23">
        <f t="shared" si="9"/>
        <v>0</v>
      </c>
      <c r="U23" s="27">
        <v>100021677</v>
      </c>
      <c r="V23" s="24">
        <v>18497.79511363637</v>
      </c>
    </row>
    <row r="24" spans="1:22" x14ac:dyDescent="0.35">
      <c r="B24" s="26">
        <v>100516208</v>
      </c>
      <c r="C24" s="30" t="s">
        <v>34</v>
      </c>
      <c r="D24" s="31">
        <v>7790360968203</v>
      </c>
      <c r="E24" s="22">
        <f>60*0.08</f>
        <v>4.8</v>
      </c>
      <c r="F24" s="23">
        <v>60</v>
      </c>
      <c r="G24" s="24">
        <f t="shared" si="0"/>
        <v>47159.299394654117</v>
      </c>
      <c r="H24" s="23"/>
      <c r="I24" s="24">
        <f t="shared" si="1"/>
        <v>47159.299394654117</v>
      </c>
      <c r="J24" s="24">
        <f t="shared" si="2"/>
        <v>785.98832324423529</v>
      </c>
      <c r="K24" s="24">
        <f t="shared" si="3"/>
        <v>165.05754788128939</v>
      </c>
      <c r="L24" s="24">
        <f t="shared" si="4"/>
        <v>951.04587112552463</v>
      </c>
      <c r="M24" s="24">
        <f t="shared" si="5"/>
        <v>285.31376133765735</v>
      </c>
      <c r="N24" s="24">
        <f t="shared" si="6"/>
        <v>1236.3596324631819</v>
      </c>
      <c r="O24" s="24">
        <f t="shared" si="7"/>
        <v>494.54385298527279</v>
      </c>
      <c r="P24" s="25">
        <f t="shared" si="8"/>
        <v>1730.9034854484548</v>
      </c>
      <c r="R24" s="24">
        <v>47159.299394654117</v>
      </c>
      <c r="S24">
        <f t="shared" si="9"/>
        <v>0</v>
      </c>
      <c r="U24" s="27">
        <v>100021638</v>
      </c>
      <c r="V24" s="24">
        <v>52943.23836602176</v>
      </c>
    </row>
    <row r="25" spans="1:22" x14ac:dyDescent="0.35">
      <c r="B25" s="27">
        <v>100518346</v>
      </c>
      <c r="C25" s="28" t="s">
        <v>35</v>
      </c>
      <c r="D25" s="21"/>
      <c r="E25" s="22">
        <v>6.54</v>
      </c>
      <c r="F25" s="23">
        <v>60</v>
      </c>
      <c r="G25" s="24">
        <f t="shared" si="0"/>
        <v>68099.190318596127</v>
      </c>
      <c r="H25" s="23"/>
      <c r="I25" s="24">
        <f t="shared" si="1"/>
        <v>68099.190318596127</v>
      </c>
      <c r="J25" s="24">
        <f t="shared" si="2"/>
        <v>1134.9865053099354</v>
      </c>
      <c r="K25" s="24">
        <f t="shared" si="3"/>
        <v>238.34716611508642</v>
      </c>
      <c r="L25" s="24">
        <f t="shared" si="4"/>
        <v>1373.3336714250217</v>
      </c>
      <c r="M25" s="24">
        <f t="shared" si="5"/>
        <v>412.00010142750654</v>
      </c>
      <c r="N25" s="24">
        <f t="shared" si="6"/>
        <v>1785.3337728525282</v>
      </c>
      <c r="O25" s="24">
        <f t="shared" si="7"/>
        <v>714.13350914101136</v>
      </c>
      <c r="P25" s="25">
        <f t="shared" si="8"/>
        <v>2499.4672819935395</v>
      </c>
      <c r="R25" s="24">
        <v>68099.190318596127</v>
      </c>
      <c r="S25">
        <f t="shared" si="9"/>
        <v>0</v>
      </c>
      <c r="U25" s="27">
        <v>100021575</v>
      </c>
      <c r="V25" s="24">
        <v>44717.762024026466</v>
      </c>
    </row>
    <row r="26" spans="1:22" x14ac:dyDescent="0.35">
      <c r="B26" s="27">
        <v>100516259</v>
      </c>
      <c r="C26" s="28" t="s">
        <v>36</v>
      </c>
      <c r="D26" s="21">
        <v>7790360968340</v>
      </c>
      <c r="E26" s="22">
        <v>18.16</v>
      </c>
      <c r="F26" s="23">
        <v>48</v>
      </c>
      <c r="G26" s="24">
        <f t="shared" si="0"/>
        <v>152737.16363941095</v>
      </c>
      <c r="H26" s="23"/>
      <c r="I26" s="24">
        <f t="shared" si="1"/>
        <v>152737.16363941095</v>
      </c>
      <c r="J26" s="24">
        <f t="shared" si="2"/>
        <v>3182.0242424877283</v>
      </c>
      <c r="K26" s="24">
        <f t="shared" si="3"/>
        <v>668.22509092242296</v>
      </c>
      <c r="L26" s="24">
        <f t="shared" si="4"/>
        <v>3850.2493334101514</v>
      </c>
      <c r="M26" s="24">
        <f t="shared" si="5"/>
        <v>1155.0748000230453</v>
      </c>
      <c r="N26" s="24">
        <f t="shared" si="6"/>
        <v>5005.3241334331969</v>
      </c>
      <c r="O26" s="24">
        <f t="shared" si="7"/>
        <v>2002.1296533732789</v>
      </c>
      <c r="P26" s="25">
        <f t="shared" si="8"/>
        <v>7007.4537868064763</v>
      </c>
      <c r="R26" s="24">
        <v>152737.16363941095</v>
      </c>
      <c r="S26">
        <f t="shared" si="9"/>
        <v>0</v>
      </c>
      <c r="U26" s="27">
        <v>100021514</v>
      </c>
      <c r="V26" s="24">
        <v>41094.202872119065</v>
      </c>
    </row>
    <row r="27" spans="1:22" x14ac:dyDescent="0.35">
      <c r="B27" s="86">
        <v>100518095</v>
      </c>
      <c r="C27" s="28" t="s">
        <v>37</v>
      </c>
      <c r="D27" s="21">
        <v>7790360974785</v>
      </c>
      <c r="E27" s="22">
        <v>6.66</v>
      </c>
      <c r="F27" s="23">
        <v>36</v>
      </c>
      <c r="G27" s="24">
        <f t="shared" si="0"/>
        <v>76100.754050838092</v>
      </c>
      <c r="H27" s="23"/>
      <c r="I27" s="24">
        <f t="shared" si="1"/>
        <v>76100.754050838092</v>
      </c>
      <c r="J27" s="24">
        <f t="shared" si="2"/>
        <v>2113.9098347455024</v>
      </c>
      <c r="K27" s="24">
        <f t="shared" si="3"/>
        <v>443.92106529655547</v>
      </c>
      <c r="L27" s="24">
        <f t="shared" si="4"/>
        <v>2557.8309000420577</v>
      </c>
      <c r="M27" s="24">
        <f t="shared" si="5"/>
        <v>767.34927001261724</v>
      </c>
      <c r="N27" s="24">
        <f t="shared" si="6"/>
        <v>3325.1801700546748</v>
      </c>
      <c r="O27" s="24">
        <f t="shared" si="7"/>
        <v>1330.0720680218701</v>
      </c>
      <c r="P27" s="25">
        <f t="shared" si="8"/>
        <v>4655.2522380765449</v>
      </c>
      <c r="R27" s="24">
        <v>76100.754050838092</v>
      </c>
      <c r="S27">
        <f t="shared" si="9"/>
        <v>0</v>
      </c>
      <c r="U27" s="26">
        <v>100516208</v>
      </c>
      <c r="V27" s="24">
        <v>47159.299394654117</v>
      </c>
    </row>
    <row r="28" spans="1:22" x14ac:dyDescent="0.35">
      <c r="B28" s="27">
        <v>100518223</v>
      </c>
      <c r="C28" s="28" t="s">
        <v>38</v>
      </c>
      <c r="D28" s="21">
        <v>7790360975065</v>
      </c>
      <c r="E28" s="22">
        <f>60*0.106</f>
        <v>6.3599999999999994</v>
      </c>
      <c r="F28" s="23">
        <v>30</v>
      </c>
      <c r="G28" s="24">
        <f t="shared" si="0"/>
        <v>59248.666291927912</v>
      </c>
      <c r="H28" s="23"/>
      <c r="I28" s="24">
        <f t="shared" si="1"/>
        <v>59248.666291927912</v>
      </c>
      <c r="J28" s="24">
        <f t="shared" si="2"/>
        <v>1974.9555430642638</v>
      </c>
      <c r="K28" s="24">
        <f t="shared" si="3"/>
        <v>414.74066404349537</v>
      </c>
      <c r="L28" s="24">
        <f t="shared" si="4"/>
        <v>2389.6962071077592</v>
      </c>
      <c r="M28" s="24">
        <f t="shared" si="5"/>
        <v>716.90886213232773</v>
      </c>
      <c r="N28" s="24">
        <f t="shared" si="6"/>
        <v>3106.6050692400868</v>
      </c>
      <c r="O28" s="24">
        <f t="shared" si="7"/>
        <v>1242.6420276960348</v>
      </c>
      <c r="P28" s="25">
        <f t="shared" si="8"/>
        <v>4349.247096936122</v>
      </c>
      <c r="R28" s="24">
        <v>59248.666291927912</v>
      </c>
      <c r="S28">
        <f t="shared" si="9"/>
        <v>0</v>
      </c>
      <c r="U28" s="27">
        <v>100518346</v>
      </c>
      <c r="V28" s="24">
        <v>68099.190318596127</v>
      </c>
    </row>
    <row r="29" spans="1:22" x14ac:dyDescent="0.35">
      <c r="B29" s="32"/>
      <c r="C29" s="33"/>
      <c r="D29" s="34"/>
      <c r="E29" s="33"/>
      <c r="F29" s="35"/>
      <c r="G29" s="35" t="e">
        <f t="shared" si="0"/>
        <v>#N/A</v>
      </c>
      <c r="H29" s="35"/>
      <c r="I29" s="35" t="e">
        <f t="shared" si="1"/>
        <v>#N/A</v>
      </c>
      <c r="J29" s="37" t="e">
        <f t="shared" si="2"/>
        <v>#N/A</v>
      </c>
      <c r="K29" s="38">
        <v>0.21</v>
      </c>
      <c r="L29" s="37"/>
      <c r="M29" s="17">
        <v>0.3</v>
      </c>
      <c r="N29" s="16"/>
      <c r="O29" s="17">
        <v>0.4</v>
      </c>
      <c r="P29" s="39"/>
      <c r="R29" s="35" t="e">
        <v>#N/A</v>
      </c>
      <c r="S29" t="e">
        <f t="shared" si="9"/>
        <v>#N/A</v>
      </c>
      <c r="U29" s="27">
        <v>100516259</v>
      </c>
      <c r="V29" s="24">
        <v>152737.16363941095</v>
      </c>
    </row>
    <row r="30" spans="1:22" hidden="1" x14ac:dyDescent="0.35">
      <c r="B30" s="84">
        <v>100022085</v>
      </c>
      <c r="C30" s="98" t="s">
        <v>39</v>
      </c>
      <c r="D30" s="99">
        <v>7790360000132</v>
      </c>
      <c r="E30" s="100">
        <v>5.4</v>
      </c>
      <c r="F30" s="101">
        <v>24</v>
      </c>
      <c r="G30" s="85">
        <f t="shared" si="0"/>
        <v>29294.014256420269</v>
      </c>
      <c r="H30" s="103">
        <v>0.25</v>
      </c>
      <c r="I30" s="85">
        <f t="shared" si="1"/>
        <v>21970.510692315202</v>
      </c>
      <c r="J30" s="85">
        <f t="shared" si="2"/>
        <v>915.4379455131334</v>
      </c>
      <c r="K30" s="85">
        <f t="shared" si="3"/>
        <v>192.24196855775801</v>
      </c>
      <c r="L30" s="85">
        <f t="shared" si="4"/>
        <v>1107.6799140708913</v>
      </c>
      <c r="M30" s="85">
        <f t="shared" si="5"/>
        <v>332.30397422126737</v>
      </c>
      <c r="N30" s="85">
        <f t="shared" si="6"/>
        <v>1439.9838882921586</v>
      </c>
      <c r="O30" s="85">
        <f t="shared" si="7"/>
        <v>575.99355531686342</v>
      </c>
      <c r="P30" s="102">
        <f t="shared" si="8"/>
        <v>2015.977443609022</v>
      </c>
      <c r="Q30">
        <v>0.25</v>
      </c>
      <c r="R30" s="85">
        <v>21970.510692315202</v>
      </c>
      <c r="S30">
        <f t="shared" si="9"/>
        <v>0</v>
      </c>
      <c r="U30" s="86">
        <v>100518095</v>
      </c>
      <c r="V30" s="24">
        <v>76100.754050838092</v>
      </c>
    </row>
    <row r="31" spans="1:22" x14ac:dyDescent="0.35">
      <c r="A31" s="27"/>
      <c r="B31" s="84">
        <v>100522204</v>
      </c>
      <c r="C31" s="98" t="s">
        <v>39</v>
      </c>
      <c r="D31" s="99">
        <v>7790360983947</v>
      </c>
      <c r="E31" s="100">
        <v>5.4</v>
      </c>
      <c r="F31" s="101">
        <v>24</v>
      </c>
      <c r="G31" s="85">
        <f t="shared" si="0"/>
        <v>29294.014256420269</v>
      </c>
      <c r="H31" s="103">
        <v>0.25</v>
      </c>
      <c r="I31" s="85">
        <f t="shared" ref="I31" si="10">+G31*(1-H31)</f>
        <v>21970.510692315202</v>
      </c>
      <c r="J31" s="85">
        <f t="shared" ref="J31" si="11">+I31/F31</f>
        <v>915.4379455131334</v>
      </c>
      <c r="K31" s="85">
        <f t="shared" ref="K31" si="12">+J31*K$3</f>
        <v>192.24196855775801</v>
      </c>
      <c r="L31" s="85">
        <f t="shared" ref="L31" si="13">+J31+K31</f>
        <v>1107.6799140708913</v>
      </c>
      <c r="M31" s="85">
        <f t="shared" ref="M31" si="14">+L31*M$3</f>
        <v>332.30397422126737</v>
      </c>
      <c r="N31" s="85">
        <f t="shared" ref="N31" si="15">+L31+M31</f>
        <v>1439.9838882921586</v>
      </c>
      <c r="O31" s="85">
        <f t="shared" ref="O31" si="16">+N31*O$3</f>
        <v>575.99355531686342</v>
      </c>
      <c r="P31" s="102">
        <f t="shared" si="8"/>
        <v>2015.977443609022</v>
      </c>
      <c r="Q31">
        <v>0.25</v>
      </c>
      <c r="R31" s="85">
        <v>21970.510692315202</v>
      </c>
      <c r="U31" s="27">
        <v>100518223</v>
      </c>
      <c r="V31" s="24">
        <v>59248.666291927912</v>
      </c>
    </row>
    <row r="32" spans="1:22" hidden="1" x14ac:dyDescent="0.35">
      <c r="B32" s="84">
        <v>100022072</v>
      </c>
      <c r="C32" s="98" t="s">
        <v>40</v>
      </c>
      <c r="D32" s="99">
        <v>7790360024541</v>
      </c>
      <c r="E32" s="100">
        <v>5.4</v>
      </c>
      <c r="F32" s="101">
        <v>12</v>
      </c>
      <c r="G32" s="85">
        <f t="shared" si="0"/>
        <v>27829.313543599263</v>
      </c>
      <c r="H32" s="103">
        <v>0.21060000000000001</v>
      </c>
      <c r="I32" s="85">
        <f t="shared" si="1"/>
        <v>21968.460111317258</v>
      </c>
      <c r="J32" s="85">
        <f t="shared" si="2"/>
        <v>1830.7050092764382</v>
      </c>
      <c r="K32" s="85">
        <f t="shared" si="3"/>
        <v>384.44805194805201</v>
      </c>
      <c r="L32" s="85">
        <f t="shared" si="4"/>
        <v>2215.1530612244901</v>
      </c>
      <c r="M32" s="85">
        <f t="shared" si="5"/>
        <v>664.54591836734699</v>
      </c>
      <c r="N32" s="85">
        <f t="shared" si="6"/>
        <v>2879.6989795918371</v>
      </c>
      <c r="O32" s="85">
        <f t="shared" si="7"/>
        <v>1151.8795918367348</v>
      </c>
      <c r="P32" s="102">
        <f t="shared" si="8"/>
        <v>4031.5785714285721</v>
      </c>
      <c r="Q32">
        <v>0.25</v>
      </c>
      <c r="R32" s="24">
        <v>20871.985157699448</v>
      </c>
      <c r="S32">
        <f t="shared" si="9"/>
        <v>5.2533333333333272E-2</v>
      </c>
      <c r="U32" s="32"/>
      <c r="V32" s="35" t="e">
        <v>#VALUE!</v>
      </c>
    </row>
    <row r="33" spans="1:24" x14ac:dyDescent="0.35">
      <c r="A33" s="27"/>
      <c r="B33" s="84">
        <v>100522205</v>
      </c>
      <c r="C33" s="98" t="s">
        <v>40</v>
      </c>
      <c r="D33" s="99">
        <v>7790360983954</v>
      </c>
      <c r="E33" s="100">
        <v>5.4</v>
      </c>
      <c r="F33" s="101">
        <v>12</v>
      </c>
      <c r="G33" s="85">
        <f t="shared" si="0"/>
        <v>27829.313543599263</v>
      </c>
      <c r="H33" s="103">
        <v>0.21060000000000001</v>
      </c>
      <c r="I33" s="85">
        <f t="shared" ref="I33" si="17">+G33*(1-H33)</f>
        <v>21968.460111317258</v>
      </c>
      <c r="J33" s="85">
        <f t="shared" ref="J33" si="18">+I33/F33</f>
        <v>1830.7050092764382</v>
      </c>
      <c r="K33" s="85">
        <f t="shared" ref="K33" si="19">+J33*K$3</f>
        <v>384.44805194805201</v>
      </c>
      <c r="L33" s="85">
        <f t="shared" ref="L33" si="20">+J33+K33</f>
        <v>2215.1530612244901</v>
      </c>
      <c r="M33" s="85">
        <f t="shared" ref="M33" si="21">+L33*M$3</f>
        <v>664.54591836734699</v>
      </c>
      <c r="N33" s="85">
        <f t="shared" ref="N33" si="22">+L33+M33</f>
        <v>2879.6989795918371</v>
      </c>
      <c r="O33" s="85">
        <f t="shared" ref="O33" si="23">+N33*O$3</f>
        <v>1151.8795918367348</v>
      </c>
      <c r="P33" s="102">
        <f t="shared" si="8"/>
        <v>4031.5785714285721</v>
      </c>
      <c r="Q33">
        <v>0.25</v>
      </c>
      <c r="R33" s="24">
        <v>20871.985157699448</v>
      </c>
      <c r="U33" s="27">
        <v>100022085</v>
      </c>
      <c r="V33" s="24">
        <v>29294.014256420269</v>
      </c>
    </row>
    <row r="34" spans="1:24" x14ac:dyDescent="0.35">
      <c r="B34" s="84">
        <v>100516849</v>
      </c>
      <c r="C34" s="98" t="s">
        <v>41</v>
      </c>
      <c r="D34" s="99">
        <v>7790360970053</v>
      </c>
      <c r="E34" s="100">
        <v>4.5599999990400004</v>
      </c>
      <c r="F34" s="101">
        <v>24</v>
      </c>
      <c r="G34" s="85">
        <f t="shared" si="0"/>
        <v>19685.577580314428</v>
      </c>
      <c r="H34" s="103"/>
      <c r="I34" s="85">
        <f t="shared" si="1"/>
        <v>19685.577580314428</v>
      </c>
      <c r="J34" s="85">
        <f t="shared" si="2"/>
        <v>820.23239917976787</v>
      </c>
      <c r="K34" s="85">
        <f t="shared" si="3"/>
        <v>172.24880382775123</v>
      </c>
      <c r="L34" s="85">
        <f t="shared" si="4"/>
        <v>992.48120300751907</v>
      </c>
      <c r="M34" s="85">
        <f t="shared" si="5"/>
        <v>297.74436090225572</v>
      </c>
      <c r="N34" s="85">
        <f t="shared" si="6"/>
        <v>1290.2255639097748</v>
      </c>
      <c r="O34" s="85">
        <f t="shared" si="7"/>
        <v>516.09022556390994</v>
      </c>
      <c r="P34" s="102">
        <f t="shared" si="8"/>
        <v>1806.3157894736846</v>
      </c>
      <c r="R34" s="85">
        <v>17576.408553852165</v>
      </c>
      <c r="S34">
        <f t="shared" si="9"/>
        <v>0.12000000000000018</v>
      </c>
      <c r="U34" s="27">
        <v>100522204</v>
      </c>
      <c r="V34" s="24">
        <v>29294.014256420269</v>
      </c>
    </row>
    <row r="35" spans="1:24" hidden="1" x14ac:dyDescent="0.35">
      <c r="B35" s="27">
        <v>100022039</v>
      </c>
      <c r="C35" s="28" t="s">
        <v>42</v>
      </c>
      <c r="D35" s="21">
        <v>7790360007063</v>
      </c>
      <c r="E35" s="22">
        <v>8.6999999999999993</v>
      </c>
      <c r="F35" s="23">
        <v>10</v>
      </c>
      <c r="G35" s="24">
        <f t="shared" si="0"/>
        <v>52385.600303146959</v>
      </c>
      <c r="H35" s="143"/>
      <c r="I35" s="24">
        <f t="shared" si="1"/>
        <v>52385.600303146959</v>
      </c>
      <c r="J35" s="24">
        <f t="shared" si="2"/>
        <v>5238.5600303146957</v>
      </c>
      <c r="K35" s="24">
        <f t="shared" si="3"/>
        <v>1100.097606366086</v>
      </c>
      <c r="L35" s="24">
        <f t="shared" si="4"/>
        <v>6338.6576366807822</v>
      </c>
      <c r="M35" s="24">
        <f t="shared" si="5"/>
        <v>1901.5972910042346</v>
      </c>
      <c r="N35" s="24">
        <f t="shared" si="6"/>
        <v>8240.2549276850168</v>
      </c>
      <c r="O35" s="24">
        <f t="shared" si="7"/>
        <v>3296.101971074007</v>
      </c>
      <c r="P35" s="25">
        <f t="shared" si="8"/>
        <v>11536.356898759024</v>
      </c>
      <c r="R35" s="24">
        <v>52385.600303146959</v>
      </c>
      <c r="S35">
        <f t="shared" si="9"/>
        <v>0</v>
      </c>
      <c r="U35" s="27">
        <v>100022072</v>
      </c>
      <c r="V35" s="24">
        <v>27829.313543599263</v>
      </c>
    </row>
    <row r="36" spans="1:24" x14ac:dyDescent="0.35">
      <c r="A36" s="27"/>
      <c r="B36" s="27">
        <v>100522206</v>
      </c>
      <c r="C36" s="28" t="s">
        <v>42</v>
      </c>
      <c r="D36" s="21">
        <v>7790360983961</v>
      </c>
      <c r="E36" s="22">
        <v>8.6999999999999993</v>
      </c>
      <c r="F36" s="23">
        <v>10</v>
      </c>
      <c r="G36" s="24">
        <f t="shared" ref="G36:G67" si="24">+VLOOKUP(B36,$U$4:$V$106,2,FALSE)</f>
        <v>52385.600303146959</v>
      </c>
      <c r="H36" s="143"/>
      <c r="I36" s="24">
        <f t="shared" ref="I36" si="25">+G36*(1-H36)</f>
        <v>52385.600303146959</v>
      </c>
      <c r="J36" s="24">
        <f t="shared" ref="J36" si="26">+I36/F36</f>
        <v>5238.5600303146957</v>
      </c>
      <c r="K36" s="24">
        <f t="shared" ref="K36" si="27">+J36*K$3</f>
        <v>1100.097606366086</v>
      </c>
      <c r="L36" s="24">
        <f t="shared" ref="L36" si="28">+J36+K36</f>
        <v>6338.6576366807822</v>
      </c>
      <c r="M36" s="24">
        <f t="shared" ref="M36" si="29">+L36*M$3</f>
        <v>1901.5972910042346</v>
      </c>
      <c r="N36" s="24">
        <f t="shared" ref="N36" si="30">+L36+M36</f>
        <v>8240.2549276850168</v>
      </c>
      <c r="O36" s="24">
        <f t="shared" ref="O36" si="31">+N36*O$3</f>
        <v>3296.101971074007</v>
      </c>
      <c r="P36" s="25">
        <f t="shared" si="8"/>
        <v>11536.356898759024</v>
      </c>
      <c r="R36" s="24">
        <v>52385.600303146959</v>
      </c>
      <c r="U36" s="27">
        <v>100522205</v>
      </c>
      <c r="V36" s="24">
        <v>27829.313543599263</v>
      </c>
    </row>
    <row r="37" spans="1:24" x14ac:dyDescent="0.35">
      <c r="B37" s="27">
        <v>100022058</v>
      </c>
      <c r="C37" s="28" t="s">
        <v>43</v>
      </c>
      <c r="D37" s="21">
        <v>7790360026002</v>
      </c>
      <c r="E37" s="22">
        <v>4.5599999990400004</v>
      </c>
      <c r="F37" s="23">
        <v>24</v>
      </c>
      <c r="G37" s="24">
        <f t="shared" si="24"/>
        <v>17154.845154845156</v>
      </c>
      <c r="H37" s="144"/>
      <c r="I37" s="24">
        <f t="shared" si="1"/>
        <v>17154.845154845156</v>
      </c>
      <c r="J37" s="24">
        <f t="shared" si="2"/>
        <v>714.78521478521486</v>
      </c>
      <c r="K37" s="24">
        <f t="shared" si="3"/>
        <v>150.10489510489512</v>
      </c>
      <c r="L37" s="24">
        <f t="shared" si="4"/>
        <v>864.89010989011001</v>
      </c>
      <c r="M37" s="24">
        <f>+L37*0.33</f>
        <v>285.41373626373633</v>
      </c>
      <c r="N37" s="24">
        <f t="shared" si="6"/>
        <v>1150.3038461538463</v>
      </c>
      <c r="O37" s="24">
        <f t="shared" si="7"/>
        <v>460.12153846153853</v>
      </c>
      <c r="P37" s="25">
        <f t="shared" si="8"/>
        <v>1610.4253846153847</v>
      </c>
      <c r="R37" s="85">
        <v>16183.816183816185</v>
      </c>
      <c r="S37">
        <f t="shared" si="9"/>
        <v>5.9999999999999977E-2</v>
      </c>
      <c r="U37" s="27">
        <v>100516849</v>
      </c>
      <c r="V37" s="24">
        <v>19685.577580314428</v>
      </c>
      <c r="X37" s="1" t="s">
        <v>164</v>
      </c>
    </row>
    <row r="38" spans="1:24" x14ac:dyDescent="0.35">
      <c r="B38" s="27">
        <v>100518151</v>
      </c>
      <c r="C38" s="28" t="s">
        <v>44</v>
      </c>
      <c r="D38" s="21">
        <v>7790360974990</v>
      </c>
      <c r="E38" s="22">
        <v>8.6999999999999993</v>
      </c>
      <c r="F38" s="23">
        <v>10</v>
      </c>
      <c r="G38" s="24">
        <f t="shared" si="24"/>
        <v>63817.203759130185</v>
      </c>
      <c r="H38" s="23"/>
      <c r="I38" s="24">
        <f t="shared" si="1"/>
        <v>63817.203759130185</v>
      </c>
      <c r="J38" s="24">
        <f t="shared" si="2"/>
        <v>6381.7203759130189</v>
      </c>
      <c r="K38" s="24">
        <f t="shared" si="3"/>
        <v>1340.1612789417338</v>
      </c>
      <c r="L38" s="24">
        <f t="shared" si="4"/>
        <v>7721.8816548547529</v>
      </c>
      <c r="M38" s="24">
        <f>+L38*0.33</f>
        <v>2548.2209461020684</v>
      </c>
      <c r="N38" s="24">
        <f t="shared" si="6"/>
        <v>10270.102600956821</v>
      </c>
      <c r="O38" s="24">
        <f t="shared" si="7"/>
        <v>4108.0410403827291</v>
      </c>
      <c r="P38" s="25">
        <f t="shared" si="8"/>
        <v>14378.14364133955</v>
      </c>
      <c r="R38" s="24">
        <v>63817.203759130185</v>
      </c>
      <c r="S38">
        <f t="shared" si="9"/>
        <v>0</v>
      </c>
      <c r="U38" s="27">
        <v>100022039</v>
      </c>
      <c r="V38" s="24">
        <v>52385.600303146959</v>
      </c>
    </row>
    <row r="39" spans="1:24" x14ac:dyDescent="0.35">
      <c r="B39" s="32"/>
      <c r="C39" s="33"/>
      <c r="D39" s="34"/>
      <c r="E39" s="33"/>
      <c r="F39" s="35"/>
      <c r="G39" s="35" t="e">
        <f t="shared" si="24"/>
        <v>#N/A</v>
      </c>
      <c r="H39" s="35"/>
      <c r="I39" s="35" t="e">
        <f t="shared" si="1"/>
        <v>#N/A</v>
      </c>
      <c r="J39" s="37" t="e">
        <f t="shared" si="2"/>
        <v>#N/A</v>
      </c>
      <c r="K39" s="38">
        <v>0.21</v>
      </c>
      <c r="L39" s="37"/>
      <c r="M39" s="38">
        <v>0.2</v>
      </c>
      <c r="N39" s="37"/>
      <c r="O39" s="38">
        <v>0.35</v>
      </c>
      <c r="P39" s="39"/>
      <c r="R39" s="35" t="e">
        <v>#N/A</v>
      </c>
      <c r="S39" t="e">
        <f t="shared" si="9"/>
        <v>#N/A</v>
      </c>
      <c r="U39" s="27">
        <v>100522206</v>
      </c>
      <c r="V39" s="24">
        <v>52385.600303146959</v>
      </c>
    </row>
    <row r="40" spans="1:24" x14ac:dyDescent="0.35">
      <c r="B40" s="84">
        <v>100021000</v>
      </c>
      <c r="C40" s="98" t="s">
        <v>45</v>
      </c>
      <c r="D40" s="99">
        <v>7790360720382</v>
      </c>
      <c r="E40" s="100">
        <v>2.16</v>
      </c>
      <c r="F40" s="101">
        <v>24</v>
      </c>
      <c r="G40" s="85">
        <f t="shared" si="24"/>
        <v>14258.501079199326</v>
      </c>
      <c r="H40" s="103"/>
      <c r="I40" s="85">
        <f t="shared" si="1"/>
        <v>14258.501079199326</v>
      </c>
      <c r="J40" s="85">
        <f t="shared" si="2"/>
        <v>594.10421163330523</v>
      </c>
      <c r="K40" s="85">
        <f t="shared" si="3"/>
        <v>124.76188444299409</v>
      </c>
      <c r="L40" s="85">
        <f t="shared" si="4"/>
        <v>718.8660960762993</v>
      </c>
      <c r="M40" s="85">
        <f>+L40*M$39</f>
        <v>143.77321921525987</v>
      </c>
      <c r="N40" s="85">
        <f t="shared" si="6"/>
        <v>862.63931529155911</v>
      </c>
      <c r="O40" s="85">
        <f>+N40*O$39</f>
        <v>301.92376035204569</v>
      </c>
      <c r="P40" s="102">
        <f t="shared" si="8"/>
        <v>1164.5630756436049</v>
      </c>
      <c r="R40" s="85">
        <v>13579.524837332692</v>
      </c>
      <c r="S40">
        <f t="shared" si="9"/>
        <v>4.9999999999999968E-2</v>
      </c>
      <c r="U40" s="27">
        <v>100022058</v>
      </c>
      <c r="V40" s="24">
        <v>17154.845154845156</v>
      </c>
    </row>
    <row r="41" spans="1:24" x14ac:dyDescent="0.35">
      <c r="B41" s="84">
        <v>100021001</v>
      </c>
      <c r="C41" s="98" t="s">
        <v>46</v>
      </c>
      <c r="D41" s="99">
        <v>7790360720115</v>
      </c>
      <c r="E41" s="100">
        <v>2.16</v>
      </c>
      <c r="F41" s="101">
        <v>24</v>
      </c>
      <c r="G41" s="85">
        <f t="shared" si="24"/>
        <v>14258.501079199326</v>
      </c>
      <c r="H41" s="103"/>
      <c r="I41" s="85">
        <f t="shared" si="1"/>
        <v>14258.501079199326</v>
      </c>
      <c r="J41" s="85">
        <f t="shared" si="2"/>
        <v>594.10421163330523</v>
      </c>
      <c r="K41" s="85">
        <f t="shared" si="3"/>
        <v>124.76188444299409</v>
      </c>
      <c r="L41" s="85">
        <f t="shared" si="4"/>
        <v>718.8660960762993</v>
      </c>
      <c r="M41" s="85">
        <f t="shared" ref="M41:M56" si="32">+L41*M$39</f>
        <v>143.77321921525987</v>
      </c>
      <c r="N41" s="85">
        <f t="shared" si="6"/>
        <v>862.63931529155911</v>
      </c>
      <c r="O41" s="85">
        <f t="shared" ref="O41:O56" si="33">+N41*O$39</f>
        <v>301.92376035204569</v>
      </c>
      <c r="P41" s="102">
        <f t="shared" si="8"/>
        <v>1164.5630756436049</v>
      </c>
      <c r="R41" s="85">
        <v>13579.524837332692</v>
      </c>
      <c r="S41">
        <f t="shared" si="9"/>
        <v>4.9999999999999968E-2</v>
      </c>
      <c r="U41" s="27">
        <v>100518151</v>
      </c>
      <c r="V41" s="24">
        <v>63817.203759130185</v>
      </c>
    </row>
    <row r="42" spans="1:24" x14ac:dyDescent="0.35">
      <c r="B42" s="219">
        <v>100522277</v>
      </c>
      <c r="C42" s="98" t="s">
        <v>150</v>
      </c>
      <c r="D42" s="99"/>
      <c r="E42" s="100">
        <v>2.16</v>
      </c>
      <c r="F42" s="101">
        <v>24</v>
      </c>
      <c r="G42" s="85">
        <f t="shared" si="24"/>
        <v>14258.501079199326</v>
      </c>
      <c r="H42" s="103"/>
      <c r="I42" s="85">
        <f t="shared" ref="I42:I43" si="34">+G42*(1-H42)</f>
        <v>14258.501079199326</v>
      </c>
      <c r="J42" s="85">
        <f t="shared" ref="J42:J43" si="35">+I42/F42</f>
        <v>594.10421163330523</v>
      </c>
      <c r="K42" s="85">
        <f t="shared" ref="K42:K43" si="36">+J42*K$3</f>
        <v>124.76188444299409</v>
      </c>
      <c r="L42" s="85">
        <f t="shared" ref="L42:L43" si="37">+J42+K42</f>
        <v>718.8660960762993</v>
      </c>
      <c r="M42" s="85">
        <f t="shared" ref="M42:M43" si="38">+L42*M$39</f>
        <v>143.77321921525987</v>
      </c>
      <c r="N42" s="85">
        <f t="shared" ref="N42:N43" si="39">+L42+M42</f>
        <v>862.63931529155911</v>
      </c>
      <c r="O42" s="85">
        <f t="shared" ref="O42:O43" si="40">+N42*O$39</f>
        <v>301.92376035204569</v>
      </c>
      <c r="P42" s="102">
        <f t="shared" si="8"/>
        <v>1164.5630756436049</v>
      </c>
      <c r="R42" s="85">
        <v>13579.524837332692</v>
      </c>
      <c r="U42" s="32"/>
      <c r="V42" s="35" t="e">
        <v>#VALUE!</v>
      </c>
    </row>
    <row r="43" spans="1:24" x14ac:dyDescent="0.35">
      <c r="B43" s="219">
        <v>100522333</v>
      </c>
      <c r="C43" s="98" t="s">
        <v>151</v>
      </c>
      <c r="D43" s="99"/>
      <c r="E43" s="100">
        <v>2.16</v>
      </c>
      <c r="F43" s="101">
        <v>24</v>
      </c>
      <c r="G43" s="85">
        <f t="shared" si="24"/>
        <v>14258.501079199326</v>
      </c>
      <c r="H43" s="103"/>
      <c r="I43" s="85">
        <f t="shared" si="34"/>
        <v>14258.501079199326</v>
      </c>
      <c r="J43" s="85">
        <f t="shared" si="35"/>
        <v>594.10421163330523</v>
      </c>
      <c r="K43" s="85">
        <f t="shared" si="36"/>
        <v>124.76188444299409</v>
      </c>
      <c r="L43" s="85">
        <f t="shared" si="37"/>
        <v>718.8660960762993</v>
      </c>
      <c r="M43" s="85">
        <f t="shared" si="38"/>
        <v>143.77321921525987</v>
      </c>
      <c r="N43" s="85">
        <f t="shared" si="39"/>
        <v>862.63931529155911</v>
      </c>
      <c r="O43" s="85">
        <f t="shared" si="40"/>
        <v>301.92376035204569</v>
      </c>
      <c r="P43" s="102">
        <f t="shared" si="8"/>
        <v>1164.5630756436049</v>
      </c>
      <c r="R43" s="85">
        <v>13579.524837332692</v>
      </c>
      <c r="U43" s="27">
        <v>100021000</v>
      </c>
      <c r="V43" s="24">
        <v>14258.501079199326</v>
      </c>
    </row>
    <row r="44" spans="1:24" x14ac:dyDescent="0.35">
      <c r="B44" s="84">
        <v>100021045</v>
      </c>
      <c r="C44" s="98" t="s">
        <v>47</v>
      </c>
      <c r="D44" s="99">
        <v>7790360966582</v>
      </c>
      <c r="E44" s="100">
        <v>2.16</v>
      </c>
      <c r="F44" s="101">
        <v>24</v>
      </c>
      <c r="G44" s="85">
        <f t="shared" si="24"/>
        <v>14258.501079199325</v>
      </c>
      <c r="H44" s="103"/>
      <c r="I44" s="85">
        <f t="shared" si="1"/>
        <v>14258.501079199325</v>
      </c>
      <c r="J44" s="85">
        <f t="shared" si="2"/>
        <v>594.10421163330523</v>
      </c>
      <c r="K44" s="85">
        <f t="shared" si="3"/>
        <v>124.76188444299409</v>
      </c>
      <c r="L44" s="85">
        <f t="shared" si="4"/>
        <v>718.8660960762993</v>
      </c>
      <c r="M44" s="85">
        <f t="shared" si="32"/>
        <v>143.77321921525987</v>
      </c>
      <c r="N44" s="85">
        <f t="shared" si="6"/>
        <v>862.63931529155911</v>
      </c>
      <c r="O44" s="85">
        <f t="shared" si="33"/>
        <v>301.92376035204569</v>
      </c>
      <c r="P44" s="102">
        <f t="shared" si="8"/>
        <v>1164.5630756436049</v>
      </c>
      <c r="R44" s="85">
        <v>13579.52483733269</v>
      </c>
      <c r="S44">
        <f t="shared" si="9"/>
        <v>4.9999999999999975E-2</v>
      </c>
      <c r="U44" s="27">
        <v>100021001</v>
      </c>
      <c r="V44" s="24">
        <v>14258.501079199326</v>
      </c>
    </row>
    <row r="45" spans="1:24" x14ac:dyDescent="0.35">
      <c r="B45" s="84">
        <v>100021004</v>
      </c>
      <c r="C45" s="98" t="s">
        <v>48</v>
      </c>
      <c r="D45" s="99">
        <v>7790360964526</v>
      </c>
      <c r="E45" s="100">
        <v>2.1120000000000001</v>
      </c>
      <c r="F45" s="101">
        <v>24</v>
      </c>
      <c r="G45" s="85">
        <f t="shared" si="24"/>
        <v>14258.501079199325</v>
      </c>
      <c r="H45" s="103"/>
      <c r="I45" s="85">
        <f t="shared" si="1"/>
        <v>14258.501079199325</v>
      </c>
      <c r="J45" s="85">
        <f t="shared" si="2"/>
        <v>594.10421163330523</v>
      </c>
      <c r="K45" s="85">
        <f t="shared" si="3"/>
        <v>124.76188444299409</v>
      </c>
      <c r="L45" s="85">
        <f t="shared" si="4"/>
        <v>718.8660960762993</v>
      </c>
      <c r="M45" s="85">
        <f t="shared" si="32"/>
        <v>143.77321921525987</v>
      </c>
      <c r="N45" s="85">
        <f t="shared" si="6"/>
        <v>862.63931529155911</v>
      </c>
      <c r="O45" s="85">
        <f t="shared" si="33"/>
        <v>301.92376035204569</v>
      </c>
      <c r="P45" s="102">
        <f t="shared" si="8"/>
        <v>1164.5630756436049</v>
      </c>
      <c r="R45" s="85">
        <v>13579.52483733269</v>
      </c>
      <c r="S45">
        <f t="shared" si="9"/>
        <v>4.9999999999999975E-2</v>
      </c>
      <c r="U45" s="86">
        <v>100522277</v>
      </c>
      <c r="V45" s="24">
        <v>14258.501079199326</v>
      </c>
    </row>
    <row r="46" spans="1:24" x14ac:dyDescent="0.35">
      <c r="B46" s="84">
        <v>100021006</v>
      </c>
      <c r="C46" s="98" t="s">
        <v>49</v>
      </c>
      <c r="D46" s="99">
        <v>7790360964557</v>
      </c>
      <c r="E46" s="100">
        <v>2.1120000000000001</v>
      </c>
      <c r="F46" s="101">
        <v>24</v>
      </c>
      <c r="G46" s="85">
        <f t="shared" si="24"/>
        <v>14258.501079199325</v>
      </c>
      <c r="H46" s="103"/>
      <c r="I46" s="85">
        <f t="shared" si="1"/>
        <v>14258.501079199325</v>
      </c>
      <c r="J46" s="85">
        <f t="shared" si="2"/>
        <v>594.10421163330523</v>
      </c>
      <c r="K46" s="85">
        <f t="shared" si="3"/>
        <v>124.76188444299409</v>
      </c>
      <c r="L46" s="85">
        <f t="shared" si="4"/>
        <v>718.8660960762993</v>
      </c>
      <c r="M46" s="85">
        <f t="shared" si="32"/>
        <v>143.77321921525987</v>
      </c>
      <c r="N46" s="85">
        <f t="shared" si="6"/>
        <v>862.63931529155911</v>
      </c>
      <c r="O46" s="85">
        <f t="shared" si="33"/>
        <v>301.92376035204569</v>
      </c>
      <c r="P46" s="102">
        <f t="shared" si="8"/>
        <v>1164.5630756436049</v>
      </c>
      <c r="R46" s="85">
        <v>13579.52483733269</v>
      </c>
      <c r="S46">
        <f t="shared" si="9"/>
        <v>4.9999999999999975E-2</v>
      </c>
      <c r="U46" s="86">
        <v>100522333</v>
      </c>
      <c r="V46" s="24">
        <v>14258.501079199326</v>
      </c>
    </row>
    <row r="47" spans="1:24" x14ac:dyDescent="0.35">
      <c r="B47" s="84">
        <v>100021007</v>
      </c>
      <c r="C47" s="98" t="s">
        <v>50</v>
      </c>
      <c r="D47" s="99">
        <v>7790360964540</v>
      </c>
      <c r="E47" s="100">
        <v>2.04</v>
      </c>
      <c r="F47" s="101">
        <v>24</v>
      </c>
      <c r="G47" s="85">
        <f t="shared" si="24"/>
        <v>17049.180327868853</v>
      </c>
      <c r="H47" s="103"/>
      <c r="I47" s="85">
        <f t="shared" si="1"/>
        <v>17049.180327868853</v>
      </c>
      <c r="J47" s="85">
        <f t="shared" si="2"/>
        <v>710.38251366120221</v>
      </c>
      <c r="K47" s="85">
        <f t="shared" si="3"/>
        <v>149.18032786885246</v>
      </c>
      <c r="L47" s="85">
        <f t="shared" si="4"/>
        <v>859.5628415300547</v>
      </c>
      <c r="M47" s="85">
        <f t="shared" si="32"/>
        <v>171.91256830601094</v>
      </c>
      <c r="N47" s="85">
        <f t="shared" si="6"/>
        <v>1031.4754098360656</v>
      </c>
      <c r="O47" s="85">
        <f t="shared" si="33"/>
        <v>361.01639344262293</v>
      </c>
      <c r="P47" s="102">
        <f t="shared" si="8"/>
        <v>1392.4918032786886</v>
      </c>
      <c r="R47" s="85">
        <v>15501.688125000002</v>
      </c>
      <c r="S47">
        <f t="shared" si="9"/>
        <v>9.9827334312910548E-2</v>
      </c>
      <c r="U47" s="27">
        <v>100021045</v>
      </c>
      <c r="V47" s="24">
        <v>14258.501079199325</v>
      </c>
    </row>
    <row r="48" spans="1:24" x14ac:dyDescent="0.35">
      <c r="B48" s="84">
        <v>100021013</v>
      </c>
      <c r="C48" s="98" t="s">
        <v>51</v>
      </c>
      <c r="D48" s="99">
        <v>7790360965714</v>
      </c>
      <c r="E48" s="100">
        <v>2.04</v>
      </c>
      <c r="F48" s="101">
        <v>24</v>
      </c>
      <c r="G48" s="85">
        <f t="shared" si="24"/>
        <v>17049.180327868853</v>
      </c>
      <c r="H48" s="103"/>
      <c r="I48" s="85">
        <f t="shared" si="1"/>
        <v>17049.180327868853</v>
      </c>
      <c r="J48" s="85">
        <f t="shared" si="2"/>
        <v>710.38251366120221</v>
      </c>
      <c r="K48" s="85">
        <f t="shared" si="3"/>
        <v>149.18032786885246</v>
      </c>
      <c r="L48" s="85">
        <f t="shared" si="4"/>
        <v>859.5628415300547</v>
      </c>
      <c r="M48" s="85">
        <f t="shared" si="32"/>
        <v>171.91256830601094</v>
      </c>
      <c r="N48" s="85">
        <f t="shared" si="6"/>
        <v>1031.4754098360656</v>
      </c>
      <c r="O48" s="85">
        <f t="shared" si="33"/>
        <v>361.01639344262293</v>
      </c>
      <c r="P48" s="102">
        <f t="shared" si="8"/>
        <v>1392.4918032786886</v>
      </c>
      <c r="R48" s="85">
        <v>15501.688125000002</v>
      </c>
      <c r="S48">
        <f t="shared" si="9"/>
        <v>9.9827334312910548E-2</v>
      </c>
      <c r="U48" s="27">
        <v>100021004</v>
      </c>
      <c r="V48" s="24">
        <v>14258.501079199325</v>
      </c>
    </row>
    <row r="49" spans="2:22" x14ac:dyDescent="0.35">
      <c r="B49" s="84">
        <v>100021014</v>
      </c>
      <c r="C49" s="98" t="s">
        <v>52</v>
      </c>
      <c r="D49" s="99">
        <v>7790360965721</v>
      </c>
      <c r="E49" s="100">
        <v>2.04</v>
      </c>
      <c r="F49" s="101">
        <v>24</v>
      </c>
      <c r="G49" s="85">
        <f t="shared" si="24"/>
        <v>17049.180327868853</v>
      </c>
      <c r="H49" s="103"/>
      <c r="I49" s="85">
        <f t="shared" si="1"/>
        <v>17049.180327868853</v>
      </c>
      <c r="J49" s="85">
        <f t="shared" si="2"/>
        <v>710.38251366120221</v>
      </c>
      <c r="K49" s="85">
        <f t="shared" si="3"/>
        <v>149.18032786885246</v>
      </c>
      <c r="L49" s="85">
        <f t="shared" si="4"/>
        <v>859.5628415300547</v>
      </c>
      <c r="M49" s="85">
        <f t="shared" si="32"/>
        <v>171.91256830601094</v>
      </c>
      <c r="N49" s="85">
        <f t="shared" si="6"/>
        <v>1031.4754098360656</v>
      </c>
      <c r="O49" s="85">
        <f t="shared" si="33"/>
        <v>361.01639344262293</v>
      </c>
      <c r="P49" s="102">
        <f t="shared" si="8"/>
        <v>1392.4918032786886</v>
      </c>
      <c r="R49" s="85">
        <v>15501.688125000002</v>
      </c>
      <c r="S49">
        <f t="shared" si="9"/>
        <v>9.9827334312910548E-2</v>
      </c>
      <c r="U49" s="27">
        <v>100021006</v>
      </c>
      <c r="V49" s="24">
        <v>14258.501079199325</v>
      </c>
    </row>
    <row r="50" spans="2:22" x14ac:dyDescent="0.35">
      <c r="B50" s="84">
        <v>100021054</v>
      </c>
      <c r="C50" s="98" t="s">
        <v>53</v>
      </c>
      <c r="D50" s="99">
        <v>7790360965707</v>
      </c>
      <c r="E50" s="100">
        <v>2.04</v>
      </c>
      <c r="F50" s="101">
        <v>24</v>
      </c>
      <c r="G50" s="85">
        <f t="shared" si="24"/>
        <v>17049.180327868853</v>
      </c>
      <c r="H50" s="103"/>
      <c r="I50" s="85">
        <f t="shared" si="1"/>
        <v>17049.180327868853</v>
      </c>
      <c r="J50" s="85">
        <f t="shared" si="2"/>
        <v>710.38251366120221</v>
      </c>
      <c r="K50" s="85">
        <f t="shared" si="3"/>
        <v>149.18032786885246</v>
      </c>
      <c r="L50" s="85">
        <f t="shared" si="4"/>
        <v>859.5628415300547</v>
      </c>
      <c r="M50" s="85">
        <f t="shared" si="32"/>
        <v>171.91256830601094</v>
      </c>
      <c r="N50" s="85">
        <f t="shared" si="6"/>
        <v>1031.4754098360656</v>
      </c>
      <c r="O50" s="85">
        <f t="shared" si="33"/>
        <v>361.01639344262293</v>
      </c>
      <c r="P50" s="102">
        <f t="shared" si="8"/>
        <v>1392.4918032786886</v>
      </c>
      <c r="R50" s="85">
        <v>15501.688125000002</v>
      </c>
      <c r="S50">
        <f t="shared" si="9"/>
        <v>9.9827334312910548E-2</v>
      </c>
      <c r="U50" s="27">
        <v>100021007</v>
      </c>
      <c r="V50" s="24">
        <v>17049.180327868853</v>
      </c>
    </row>
    <row r="51" spans="2:22" x14ac:dyDescent="0.35">
      <c r="B51" s="84">
        <v>100021055</v>
      </c>
      <c r="C51" s="98" t="s">
        <v>54</v>
      </c>
      <c r="D51" s="99">
        <v>7790360965189</v>
      </c>
      <c r="E51" s="100">
        <v>2.04</v>
      </c>
      <c r="F51" s="101">
        <v>24</v>
      </c>
      <c r="G51" s="85">
        <f t="shared" si="24"/>
        <v>17049.180327868853</v>
      </c>
      <c r="H51" s="103"/>
      <c r="I51" s="85">
        <f t="shared" si="1"/>
        <v>17049.180327868853</v>
      </c>
      <c r="J51" s="85">
        <f t="shared" si="2"/>
        <v>710.38251366120221</v>
      </c>
      <c r="K51" s="85">
        <f t="shared" si="3"/>
        <v>149.18032786885246</v>
      </c>
      <c r="L51" s="85">
        <f t="shared" si="4"/>
        <v>859.5628415300547</v>
      </c>
      <c r="M51" s="85">
        <f t="shared" si="32"/>
        <v>171.91256830601094</v>
      </c>
      <c r="N51" s="85">
        <f t="shared" si="6"/>
        <v>1031.4754098360656</v>
      </c>
      <c r="O51" s="85">
        <f t="shared" si="33"/>
        <v>361.01639344262293</v>
      </c>
      <c r="P51" s="102">
        <f t="shared" si="8"/>
        <v>1392.4918032786886</v>
      </c>
      <c r="R51" s="85">
        <v>15501.688125000002</v>
      </c>
      <c r="S51">
        <f t="shared" si="9"/>
        <v>9.9827334312910548E-2</v>
      </c>
      <c r="U51" s="27">
        <v>100021013</v>
      </c>
      <c r="V51" s="24">
        <v>17049.180327868853</v>
      </c>
    </row>
    <row r="52" spans="2:22" x14ac:dyDescent="0.35">
      <c r="B52" s="84">
        <v>100021015</v>
      </c>
      <c r="C52" s="98" t="s">
        <v>55</v>
      </c>
      <c r="D52" s="99">
        <v>7790360965202</v>
      </c>
      <c r="E52" s="100">
        <v>2.04</v>
      </c>
      <c r="F52" s="101">
        <v>24</v>
      </c>
      <c r="G52" s="85">
        <f t="shared" si="24"/>
        <v>17049.180327868853</v>
      </c>
      <c r="H52" s="103"/>
      <c r="I52" s="85">
        <f t="shared" si="1"/>
        <v>17049.180327868853</v>
      </c>
      <c r="J52" s="85">
        <f t="shared" si="2"/>
        <v>710.38251366120221</v>
      </c>
      <c r="K52" s="85">
        <f t="shared" si="3"/>
        <v>149.18032786885246</v>
      </c>
      <c r="L52" s="85">
        <f t="shared" si="4"/>
        <v>859.5628415300547</v>
      </c>
      <c r="M52" s="85">
        <f t="shared" si="32"/>
        <v>171.91256830601094</v>
      </c>
      <c r="N52" s="85">
        <f t="shared" si="6"/>
        <v>1031.4754098360656</v>
      </c>
      <c r="O52" s="85">
        <f t="shared" si="33"/>
        <v>361.01639344262293</v>
      </c>
      <c r="P52" s="102">
        <f t="shared" si="8"/>
        <v>1392.4918032786886</v>
      </c>
      <c r="R52" s="85">
        <v>15501.688125000002</v>
      </c>
      <c r="S52">
        <f t="shared" si="9"/>
        <v>9.9827334312910548E-2</v>
      </c>
      <c r="U52" s="27">
        <v>100021014</v>
      </c>
      <c r="V52" s="24">
        <v>17049.180327868853</v>
      </c>
    </row>
    <row r="53" spans="2:22" x14ac:dyDescent="0.35">
      <c r="B53" s="84">
        <v>100021008</v>
      </c>
      <c r="C53" s="98" t="s">
        <v>56</v>
      </c>
      <c r="D53" s="99">
        <v>7790360720122</v>
      </c>
      <c r="E53" s="100">
        <v>2.16</v>
      </c>
      <c r="F53" s="101">
        <v>24</v>
      </c>
      <c r="G53" s="85">
        <f t="shared" si="24"/>
        <v>12068.107619965038</v>
      </c>
      <c r="H53" s="103"/>
      <c r="I53" s="85">
        <f t="shared" si="1"/>
        <v>12068.107619965038</v>
      </c>
      <c r="J53" s="85">
        <f t="shared" si="2"/>
        <v>502.83781749854325</v>
      </c>
      <c r="K53" s="85">
        <f t="shared" si="3"/>
        <v>105.59594167469407</v>
      </c>
      <c r="L53" s="85">
        <f t="shared" si="4"/>
        <v>608.43375917323738</v>
      </c>
      <c r="M53" s="85">
        <f t="shared" si="32"/>
        <v>121.68675183464748</v>
      </c>
      <c r="N53" s="85">
        <f t="shared" si="6"/>
        <v>730.12051100788483</v>
      </c>
      <c r="O53" s="85">
        <f t="shared" si="33"/>
        <v>255.54217885275966</v>
      </c>
      <c r="P53" s="102">
        <f t="shared" si="8"/>
        <v>985.66268986064449</v>
      </c>
      <c r="R53" s="85">
        <v>11493.435828538131</v>
      </c>
      <c r="S53">
        <f t="shared" si="9"/>
        <v>0.05</v>
      </c>
      <c r="U53" s="27">
        <v>100021054</v>
      </c>
      <c r="V53" s="24">
        <v>17049.180327868853</v>
      </c>
    </row>
    <row r="54" spans="2:22" x14ac:dyDescent="0.35">
      <c r="B54" s="84">
        <v>100021009</v>
      </c>
      <c r="C54" s="98" t="s">
        <v>57</v>
      </c>
      <c r="D54" s="99">
        <v>7790360965127</v>
      </c>
      <c r="E54" s="100">
        <v>2.16</v>
      </c>
      <c r="F54" s="101">
        <v>24</v>
      </c>
      <c r="G54" s="85">
        <f t="shared" si="24"/>
        <v>12068.107619965038</v>
      </c>
      <c r="H54" s="103"/>
      <c r="I54" s="85">
        <f t="shared" si="1"/>
        <v>12068.107619965038</v>
      </c>
      <c r="J54" s="85">
        <f t="shared" si="2"/>
        <v>502.83781749854325</v>
      </c>
      <c r="K54" s="85">
        <f t="shared" si="3"/>
        <v>105.59594167469407</v>
      </c>
      <c r="L54" s="85">
        <f t="shared" si="4"/>
        <v>608.43375917323738</v>
      </c>
      <c r="M54" s="85">
        <f t="shared" si="32"/>
        <v>121.68675183464748</v>
      </c>
      <c r="N54" s="85">
        <f t="shared" si="6"/>
        <v>730.12051100788483</v>
      </c>
      <c r="O54" s="85">
        <f t="shared" si="33"/>
        <v>255.54217885275966</v>
      </c>
      <c r="P54" s="102">
        <f t="shared" si="8"/>
        <v>985.66268986064449</v>
      </c>
      <c r="R54" s="85">
        <v>11493.435828538131</v>
      </c>
      <c r="S54">
        <f t="shared" si="9"/>
        <v>0.05</v>
      </c>
      <c r="U54" s="27">
        <v>100021055</v>
      </c>
      <c r="V54" s="24">
        <v>17049.180327868853</v>
      </c>
    </row>
    <row r="55" spans="2:22" x14ac:dyDescent="0.35">
      <c r="B55" s="27">
        <v>100021010</v>
      </c>
      <c r="C55" s="28" t="s">
        <v>58</v>
      </c>
      <c r="D55" s="21">
        <v>7790920008707</v>
      </c>
      <c r="E55" s="22">
        <v>2.16</v>
      </c>
      <c r="F55" s="23">
        <v>24</v>
      </c>
      <c r="G55" s="24">
        <f t="shared" si="24"/>
        <v>12068.107619965038</v>
      </c>
      <c r="H55" s="23"/>
      <c r="I55" s="24">
        <f t="shared" si="1"/>
        <v>12068.107619965038</v>
      </c>
      <c r="J55" s="24">
        <f t="shared" si="2"/>
        <v>502.83781749854325</v>
      </c>
      <c r="K55" s="24">
        <f t="shared" si="3"/>
        <v>105.59594167469407</v>
      </c>
      <c r="L55" s="24">
        <f t="shared" si="4"/>
        <v>608.43375917323738</v>
      </c>
      <c r="M55" s="24">
        <f t="shared" si="32"/>
        <v>121.68675183464748</v>
      </c>
      <c r="N55" s="24">
        <f t="shared" si="6"/>
        <v>730.12051100788483</v>
      </c>
      <c r="O55" s="24">
        <f t="shared" si="33"/>
        <v>255.54217885275966</v>
      </c>
      <c r="P55" s="25">
        <f t="shared" si="8"/>
        <v>985.66268986064449</v>
      </c>
      <c r="R55" s="24">
        <v>11493.435828538131</v>
      </c>
      <c r="S55">
        <f t="shared" si="9"/>
        <v>0.05</v>
      </c>
      <c r="U55" s="27">
        <v>100021015</v>
      </c>
      <c r="V55" s="24">
        <v>17049.180327868853</v>
      </c>
    </row>
    <row r="56" spans="2:22" x14ac:dyDescent="0.35">
      <c r="B56" s="27">
        <v>100021011</v>
      </c>
      <c r="C56" s="28" t="s">
        <v>59</v>
      </c>
      <c r="D56" s="21">
        <v>7790920008714</v>
      </c>
      <c r="E56" s="22">
        <v>2.16</v>
      </c>
      <c r="F56" s="23">
        <v>24</v>
      </c>
      <c r="G56" s="24">
        <f t="shared" si="24"/>
        <v>12068.107619965038</v>
      </c>
      <c r="H56" s="23"/>
      <c r="I56" s="24">
        <f t="shared" si="1"/>
        <v>12068.107619965038</v>
      </c>
      <c r="J56" s="24">
        <f t="shared" si="2"/>
        <v>502.83781749854325</v>
      </c>
      <c r="K56" s="24">
        <f t="shared" si="3"/>
        <v>105.59594167469407</v>
      </c>
      <c r="L56" s="24">
        <f t="shared" si="4"/>
        <v>608.43375917323738</v>
      </c>
      <c r="M56" s="24">
        <f t="shared" si="32"/>
        <v>121.68675183464748</v>
      </c>
      <c r="N56" s="24">
        <f t="shared" si="6"/>
        <v>730.12051100788483</v>
      </c>
      <c r="O56" s="24">
        <f t="shared" si="33"/>
        <v>255.54217885275966</v>
      </c>
      <c r="P56" s="25">
        <f t="shared" si="8"/>
        <v>985.66268986064449</v>
      </c>
      <c r="R56" s="24">
        <v>11493.435828538131</v>
      </c>
      <c r="S56">
        <f t="shared" si="9"/>
        <v>0.05</v>
      </c>
      <c r="U56" s="27">
        <v>100021008</v>
      </c>
      <c r="V56" s="24">
        <v>12068.107619965038</v>
      </c>
    </row>
    <row r="57" spans="2:22" x14ac:dyDescent="0.35">
      <c r="B57" s="32"/>
      <c r="C57" s="33"/>
      <c r="D57" s="34"/>
      <c r="E57" s="33"/>
      <c r="F57" s="35"/>
      <c r="G57" s="35" t="e">
        <f t="shared" si="24"/>
        <v>#N/A</v>
      </c>
      <c r="H57" s="35"/>
      <c r="I57" s="35" t="e">
        <f t="shared" si="1"/>
        <v>#N/A</v>
      </c>
      <c r="J57" s="37" t="e">
        <f t="shared" si="2"/>
        <v>#N/A</v>
      </c>
      <c r="K57" s="38">
        <v>0.21</v>
      </c>
      <c r="L57" s="37"/>
      <c r="M57" s="38">
        <v>0.3</v>
      </c>
      <c r="N57" s="37"/>
      <c r="O57" s="38">
        <v>0.4</v>
      </c>
      <c r="P57" s="39"/>
      <c r="R57" s="35" t="e">
        <v>#N/A</v>
      </c>
      <c r="S57" t="e">
        <f t="shared" si="9"/>
        <v>#N/A</v>
      </c>
      <c r="U57" s="27">
        <v>100021009</v>
      </c>
      <c r="V57" s="24">
        <v>12068.107619965038</v>
      </c>
    </row>
    <row r="58" spans="2:22" x14ac:dyDescent="0.35">
      <c r="B58" s="84">
        <v>100516217</v>
      </c>
      <c r="C58" s="98" t="s">
        <v>60</v>
      </c>
      <c r="D58" s="99">
        <v>7790360967824</v>
      </c>
      <c r="E58" s="100">
        <v>5.8</v>
      </c>
      <c r="F58" s="101">
        <v>20</v>
      </c>
      <c r="G58" s="85">
        <f t="shared" si="24"/>
        <v>28055.91148082872</v>
      </c>
      <c r="H58" s="97"/>
      <c r="I58" s="85">
        <f t="shared" si="1"/>
        <v>28055.91148082872</v>
      </c>
      <c r="J58" s="85">
        <f t="shared" si="2"/>
        <v>1402.7955740414359</v>
      </c>
      <c r="K58" s="85">
        <f t="shared" si="3"/>
        <v>294.58707054870155</v>
      </c>
      <c r="L58" s="85">
        <f t="shared" si="4"/>
        <v>1697.3826445901375</v>
      </c>
      <c r="M58" s="85">
        <f t="shared" si="5"/>
        <v>509.21479337704125</v>
      </c>
      <c r="N58" s="85">
        <f t="shared" si="6"/>
        <v>2206.5974379671788</v>
      </c>
      <c r="O58" s="85">
        <f t="shared" si="7"/>
        <v>882.63897518687156</v>
      </c>
      <c r="P58" s="102">
        <f t="shared" si="8"/>
        <v>3089.2364131540503</v>
      </c>
      <c r="Q58">
        <v>0.1</v>
      </c>
      <c r="R58" s="24">
        <v>25250.320332745847</v>
      </c>
      <c r="S58">
        <f t="shared" si="9"/>
        <v>0.11111111111111115</v>
      </c>
      <c r="U58" s="27">
        <v>100021010</v>
      </c>
      <c r="V58" s="24">
        <v>12068.107619965038</v>
      </c>
    </row>
    <row r="59" spans="2:22" x14ac:dyDescent="0.35">
      <c r="B59" s="84">
        <v>100516214</v>
      </c>
      <c r="C59" s="98" t="s">
        <v>61</v>
      </c>
      <c r="D59" s="99">
        <v>7790360967794</v>
      </c>
      <c r="E59" s="100">
        <v>7</v>
      </c>
      <c r="F59" s="101">
        <v>20</v>
      </c>
      <c r="G59" s="85">
        <f t="shared" si="24"/>
        <v>38844.207439652244</v>
      </c>
      <c r="H59" s="97"/>
      <c r="I59" s="85">
        <f t="shared" si="1"/>
        <v>38844.207439652244</v>
      </c>
      <c r="J59" s="85">
        <f t="shared" si="2"/>
        <v>1942.2103719826123</v>
      </c>
      <c r="K59" s="85">
        <f t="shared" si="3"/>
        <v>407.86417811634857</v>
      </c>
      <c r="L59" s="85">
        <f t="shared" si="4"/>
        <v>2350.074550098961</v>
      </c>
      <c r="M59" s="85">
        <f t="shared" si="5"/>
        <v>705.02236502968833</v>
      </c>
      <c r="N59" s="85">
        <f t="shared" si="6"/>
        <v>3055.0969151286495</v>
      </c>
      <c r="O59" s="85">
        <f t="shared" si="7"/>
        <v>1222.0387660514598</v>
      </c>
      <c r="P59" s="102">
        <f t="shared" si="8"/>
        <v>4277.1356811801088</v>
      </c>
      <c r="Q59">
        <v>0.05</v>
      </c>
      <c r="R59" s="85">
        <v>40045.574680053855</v>
      </c>
      <c r="S59">
        <f t="shared" si="9"/>
        <v>-2.9999999999999874E-2</v>
      </c>
      <c r="U59" s="27">
        <v>100021011</v>
      </c>
      <c r="V59" s="24">
        <v>12068.107619965038</v>
      </c>
    </row>
    <row r="60" spans="2:22" x14ac:dyDescent="0.35">
      <c r="B60" s="84">
        <v>100516215</v>
      </c>
      <c r="C60" s="98" t="s">
        <v>62</v>
      </c>
      <c r="D60" s="99">
        <v>7790360967800</v>
      </c>
      <c r="E60" s="100">
        <v>7</v>
      </c>
      <c r="F60" s="101">
        <v>20</v>
      </c>
      <c r="G60" s="85">
        <f t="shared" si="24"/>
        <v>38844.207439652244</v>
      </c>
      <c r="H60" s="97"/>
      <c r="I60" s="85">
        <f t="shared" si="1"/>
        <v>38844.207439652244</v>
      </c>
      <c r="J60" s="85">
        <f t="shared" si="2"/>
        <v>1942.2103719826123</v>
      </c>
      <c r="K60" s="85">
        <f t="shared" si="3"/>
        <v>407.86417811634857</v>
      </c>
      <c r="L60" s="85">
        <f t="shared" si="4"/>
        <v>2350.074550098961</v>
      </c>
      <c r="M60" s="85">
        <f t="shared" si="5"/>
        <v>705.02236502968833</v>
      </c>
      <c r="N60" s="85">
        <f t="shared" si="6"/>
        <v>3055.0969151286495</v>
      </c>
      <c r="O60" s="85">
        <f t="shared" si="7"/>
        <v>1222.0387660514598</v>
      </c>
      <c r="P60" s="102">
        <f t="shared" si="8"/>
        <v>4277.1356811801088</v>
      </c>
      <c r="Q60">
        <v>0.05</v>
      </c>
      <c r="R60" s="85">
        <v>40045.574680053855</v>
      </c>
      <c r="S60">
        <f t="shared" si="9"/>
        <v>-2.9999999999999874E-2</v>
      </c>
      <c r="U60" s="32"/>
      <c r="V60" s="35" t="e">
        <v>#VALUE!</v>
      </c>
    </row>
    <row r="61" spans="2:22" x14ac:dyDescent="0.35">
      <c r="B61" s="84">
        <v>100516216</v>
      </c>
      <c r="C61" s="98" t="s">
        <v>63</v>
      </c>
      <c r="D61" s="99">
        <v>7790360967817</v>
      </c>
      <c r="E61" s="100">
        <v>7</v>
      </c>
      <c r="F61" s="101">
        <v>20</v>
      </c>
      <c r="G61" s="85">
        <f t="shared" si="24"/>
        <v>38844.207439652244</v>
      </c>
      <c r="H61" s="97"/>
      <c r="I61" s="85">
        <f t="shared" si="1"/>
        <v>38844.207439652244</v>
      </c>
      <c r="J61" s="85">
        <f t="shared" si="2"/>
        <v>1942.2103719826123</v>
      </c>
      <c r="K61" s="85">
        <f t="shared" si="3"/>
        <v>407.86417811634857</v>
      </c>
      <c r="L61" s="85">
        <f t="shared" si="4"/>
        <v>2350.074550098961</v>
      </c>
      <c r="M61" s="85">
        <f t="shared" si="5"/>
        <v>705.02236502968833</v>
      </c>
      <c r="N61" s="85">
        <f t="shared" si="6"/>
        <v>3055.0969151286495</v>
      </c>
      <c r="O61" s="85">
        <f t="shared" si="7"/>
        <v>1222.0387660514598</v>
      </c>
      <c r="P61" s="102">
        <f t="shared" si="8"/>
        <v>4277.1356811801088</v>
      </c>
      <c r="Q61">
        <v>0.05</v>
      </c>
      <c r="R61" s="85">
        <v>40045.574680053855</v>
      </c>
      <c r="S61">
        <f t="shared" si="9"/>
        <v>-2.9999999999999874E-2</v>
      </c>
      <c r="U61" s="27">
        <v>100516217</v>
      </c>
      <c r="V61" s="24">
        <v>28055.91148082872</v>
      </c>
    </row>
    <row r="62" spans="2:22" x14ac:dyDescent="0.35">
      <c r="B62" s="32"/>
      <c r="C62" s="33"/>
      <c r="D62" s="34"/>
      <c r="E62" s="33"/>
      <c r="F62" s="35"/>
      <c r="G62" s="35" t="e">
        <f t="shared" si="24"/>
        <v>#N/A</v>
      </c>
      <c r="H62" s="134"/>
      <c r="I62" s="35" t="e">
        <f t="shared" si="1"/>
        <v>#N/A</v>
      </c>
      <c r="J62" s="37" t="e">
        <f t="shared" si="2"/>
        <v>#N/A</v>
      </c>
      <c r="K62" s="38">
        <v>0.21</v>
      </c>
      <c r="L62" s="37"/>
      <c r="M62" s="38">
        <v>0.3</v>
      </c>
      <c r="N62" s="37"/>
      <c r="O62" s="38">
        <v>0.4</v>
      </c>
      <c r="P62" s="39"/>
      <c r="R62" s="35" t="e">
        <v>#N/A</v>
      </c>
      <c r="S62" t="e">
        <f t="shared" si="9"/>
        <v>#N/A</v>
      </c>
      <c r="U62" s="27">
        <v>100516214</v>
      </c>
      <c r="V62" s="24">
        <v>38844.207439652244</v>
      </c>
    </row>
    <row r="63" spans="2:22" x14ac:dyDescent="0.35">
      <c r="B63" s="27">
        <v>100021704</v>
      </c>
      <c r="C63" s="28" t="s">
        <v>64</v>
      </c>
      <c r="D63" s="21">
        <v>7790360023902</v>
      </c>
      <c r="E63" s="22">
        <f>12*0.38</f>
        <v>4.5600000000000005</v>
      </c>
      <c r="F63" s="23">
        <v>12</v>
      </c>
      <c r="G63" s="24">
        <f t="shared" si="24"/>
        <v>39692.434264276642</v>
      </c>
      <c r="H63" s="135"/>
      <c r="I63" s="24">
        <f t="shared" si="1"/>
        <v>39692.434264276642</v>
      </c>
      <c r="J63" s="24">
        <f t="shared" si="2"/>
        <v>3307.7028553563869</v>
      </c>
      <c r="K63" s="24">
        <f t="shared" si="3"/>
        <v>694.6175996248412</v>
      </c>
      <c r="L63" s="24">
        <f t="shared" si="4"/>
        <v>4002.3204549812281</v>
      </c>
      <c r="M63" s="24">
        <f t="shared" si="5"/>
        <v>1200.6961364943684</v>
      </c>
      <c r="N63" s="24">
        <f t="shared" si="6"/>
        <v>5203.0165914755962</v>
      </c>
      <c r="O63" s="24">
        <f t="shared" si="7"/>
        <v>2081.2066365902388</v>
      </c>
      <c r="P63" s="25">
        <f t="shared" si="8"/>
        <v>7284.2232280658354</v>
      </c>
      <c r="R63" s="24">
        <v>39692.434264276642</v>
      </c>
      <c r="S63">
        <f t="shared" si="9"/>
        <v>0</v>
      </c>
      <c r="U63" s="27">
        <v>100516215</v>
      </c>
      <c r="V63" s="24">
        <v>38844.207439652244</v>
      </c>
    </row>
    <row r="64" spans="2:22" x14ac:dyDescent="0.35">
      <c r="B64" s="27">
        <v>100021705</v>
      </c>
      <c r="C64" s="28" t="s">
        <v>65</v>
      </c>
      <c r="D64" s="21">
        <v>7790360024336</v>
      </c>
      <c r="E64" s="22">
        <f>12*0.38</f>
        <v>4.5600000000000005</v>
      </c>
      <c r="F64" s="23">
        <v>12</v>
      </c>
      <c r="G64" s="24">
        <f t="shared" si="24"/>
        <v>35720.532980531854</v>
      </c>
      <c r="H64" s="135"/>
      <c r="I64" s="24">
        <f t="shared" si="1"/>
        <v>35720.532980531854</v>
      </c>
      <c r="J64" s="24">
        <f t="shared" si="2"/>
        <v>2976.7110817109879</v>
      </c>
      <c r="K64" s="24">
        <f t="shared" si="3"/>
        <v>625.10932715930744</v>
      </c>
      <c r="L64" s="24">
        <f t="shared" si="4"/>
        <v>3601.8204088702951</v>
      </c>
      <c r="M64" s="24">
        <f t="shared" si="5"/>
        <v>1080.5461226610885</v>
      </c>
      <c r="N64" s="24">
        <f t="shared" si="6"/>
        <v>4682.3665315313838</v>
      </c>
      <c r="O64" s="24">
        <f t="shared" si="7"/>
        <v>1872.9466126125535</v>
      </c>
      <c r="P64" s="25">
        <f t="shared" si="8"/>
        <v>6555.3131441439373</v>
      </c>
      <c r="R64" s="24" t="e">
        <v>#N/A</v>
      </c>
      <c r="S64" t="e">
        <f t="shared" si="9"/>
        <v>#N/A</v>
      </c>
      <c r="U64" s="27">
        <v>100516216</v>
      </c>
      <c r="V64" s="24">
        <v>38844.207439652244</v>
      </c>
    </row>
    <row r="65" spans="2:22" x14ac:dyDescent="0.35">
      <c r="B65" s="27">
        <v>100021709</v>
      </c>
      <c r="C65" s="28" t="s">
        <v>66</v>
      </c>
      <c r="D65" s="21">
        <v>7790360024701</v>
      </c>
      <c r="E65" s="22">
        <v>7.6</v>
      </c>
      <c r="F65" s="23">
        <v>10</v>
      </c>
      <c r="G65" s="24">
        <f t="shared" si="24"/>
        <v>60214.277255984773</v>
      </c>
      <c r="H65" s="136"/>
      <c r="I65" s="24">
        <f t="shared" si="1"/>
        <v>60214.277255984773</v>
      </c>
      <c r="J65" s="24">
        <f t="shared" si="2"/>
        <v>6021.4277255984771</v>
      </c>
      <c r="K65" s="24">
        <f t="shared" si="3"/>
        <v>1264.4998223756802</v>
      </c>
      <c r="L65" s="24">
        <f t="shared" si="4"/>
        <v>7285.9275479741573</v>
      </c>
      <c r="M65" s="24">
        <f t="shared" si="5"/>
        <v>2185.7782643922469</v>
      </c>
      <c r="N65" s="24">
        <f t="shared" si="6"/>
        <v>9471.7058123664046</v>
      </c>
      <c r="O65" s="24">
        <f t="shared" si="7"/>
        <v>3788.6823249465619</v>
      </c>
      <c r="P65" s="25">
        <f t="shared" si="8"/>
        <v>13260.388137312966</v>
      </c>
      <c r="R65" s="85">
        <v>60214.277255984773</v>
      </c>
      <c r="S65">
        <f t="shared" si="9"/>
        <v>0</v>
      </c>
      <c r="U65" s="32"/>
      <c r="V65" s="35" t="e">
        <v>#VALUE!</v>
      </c>
    </row>
    <row r="66" spans="2:22" x14ac:dyDescent="0.35">
      <c r="B66" s="84">
        <v>100521357</v>
      </c>
      <c r="C66" s="98" t="s">
        <v>122</v>
      </c>
      <c r="D66" s="99"/>
      <c r="E66" s="100">
        <v>4.5599999999999996</v>
      </c>
      <c r="F66" s="101">
        <v>12</v>
      </c>
      <c r="G66" s="85">
        <f t="shared" si="24"/>
        <v>48595.608600000021</v>
      </c>
      <c r="H66" s="117">
        <v>0.33</v>
      </c>
      <c r="I66" s="85">
        <f t="shared" si="1"/>
        <v>32559.057762000011</v>
      </c>
      <c r="J66" s="85">
        <f t="shared" si="2"/>
        <v>2713.2548135000011</v>
      </c>
      <c r="K66" s="85">
        <f t="shared" si="3"/>
        <v>569.78351083500024</v>
      </c>
      <c r="L66" s="85">
        <f t="shared" si="4"/>
        <v>3283.0383243350016</v>
      </c>
      <c r="M66" s="85">
        <f t="shared" si="5"/>
        <v>984.9114973005004</v>
      </c>
      <c r="N66" s="85">
        <f t="shared" si="6"/>
        <v>4267.9498216355023</v>
      </c>
      <c r="O66" s="85">
        <f t="shared" si="7"/>
        <v>1707.1799286542009</v>
      </c>
      <c r="P66" s="102">
        <f t="shared" si="8"/>
        <v>5975.1297502897032</v>
      </c>
      <c r="Q66">
        <v>0.33</v>
      </c>
      <c r="R66" s="46">
        <v>32559.057762000011</v>
      </c>
      <c r="U66" s="27">
        <v>100021704</v>
      </c>
      <c r="V66" s="24">
        <v>39692.434264276642</v>
      </c>
    </row>
    <row r="67" spans="2:22" x14ac:dyDescent="0.35">
      <c r="B67" s="84">
        <v>100521358</v>
      </c>
      <c r="C67" s="98" t="s">
        <v>130</v>
      </c>
      <c r="D67" s="99">
        <v>7790360982025</v>
      </c>
      <c r="E67" s="100">
        <v>7.6</v>
      </c>
      <c r="F67" s="101">
        <v>10</v>
      </c>
      <c r="G67" s="85">
        <f t="shared" si="24"/>
        <v>72893.412900000025</v>
      </c>
      <c r="H67" s="117">
        <v>0.33</v>
      </c>
      <c r="I67" s="85">
        <f t="shared" ref="I67" si="41">+G67*(1-H67)</f>
        <v>48838.58664300001</v>
      </c>
      <c r="J67" s="85">
        <f t="shared" ref="J67" si="42">+I67/F67</f>
        <v>4883.8586643000008</v>
      </c>
      <c r="K67" s="85">
        <f t="shared" ref="K67" si="43">+J67*K$3</f>
        <v>1025.610319503</v>
      </c>
      <c r="L67" s="85">
        <f t="shared" ref="L67" si="44">+J67+K67</f>
        <v>5909.4689838030008</v>
      </c>
      <c r="M67" s="85">
        <f t="shared" ref="M67" si="45">+L67*M$3</f>
        <v>1772.8406951409002</v>
      </c>
      <c r="N67" s="85">
        <f t="shared" ref="N67" si="46">+L67+M67</f>
        <v>7682.3096789439005</v>
      </c>
      <c r="O67" s="85">
        <f t="shared" ref="O67" si="47">+N67*O$3</f>
        <v>3072.9238715775605</v>
      </c>
      <c r="P67" s="102">
        <f t="shared" ref="P67" si="48">+N67+O67</f>
        <v>10755.233550521461</v>
      </c>
      <c r="R67" s="46">
        <v>72893.412900000025</v>
      </c>
      <c r="U67" s="27">
        <v>100021705</v>
      </c>
      <c r="V67" s="24">
        <v>35720.532980531854</v>
      </c>
    </row>
    <row r="68" spans="2:22" x14ac:dyDescent="0.35">
      <c r="B68" s="27">
        <v>100522130</v>
      </c>
      <c r="C68" s="28" t="s">
        <v>123</v>
      </c>
      <c r="D68" s="21"/>
      <c r="E68" s="22">
        <v>4.8</v>
      </c>
      <c r="F68" s="23">
        <v>12</v>
      </c>
      <c r="G68" s="24">
        <f t="shared" ref="G68:G98" si="49">+VLOOKUP(B68,$U$4:$V$106,2,FALSE)</f>
        <v>40062.095837032517</v>
      </c>
      <c r="H68" s="136"/>
      <c r="I68" s="24">
        <f t="shared" si="1"/>
        <v>40062.095837032517</v>
      </c>
      <c r="J68" s="24">
        <f t="shared" si="2"/>
        <v>3338.5079864193763</v>
      </c>
      <c r="K68" s="24">
        <f t="shared" si="3"/>
        <v>701.08667714806904</v>
      </c>
      <c r="L68" s="24">
        <f t="shared" si="4"/>
        <v>4039.5946635674454</v>
      </c>
      <c r="M68" s="24">
        <f t="shared" si="5"/>
        <v>1211.8783990702336</v>
      </c>
      <c r="N68" s="24">
        <f t="shared" si="6"/>
        <v>5251.4730626376786</v>
      </c>
      <c r="O68" s="24">
        <f t="shared" si="7"/>
        <v>2100.5892250550714</v>
      </c>
      <c r="P68" s="25">
        <f t="shared" si="8"/>
        <v>7352.06228769275</v>
      </c>
      <c r="R68" s="24">
        <v>38154.376987650016</v>
      </c>
      <c r="U68" s="27">
        <v>100021707</v>
      </c>
      <c r="V68" s="24">
        <v>0</v>
      </c>
    </row>
    <row r="69" spans="2:22" x14ac:dyDescent="0.35">
      <c r="B69" s="41">
        <v>100021725</v>
      </c>
      <c r="C69" s="42" t="s">
        <v>67</v>
      </c>
      <c r="D69" s="43">
        <v>7790360027009</v>
      </c>
      <c r="E69" s="44">
        <v>6</v>
      </c>
      <c r="F69" s="45">
        <v>4</v>
      </c>
      <c r="G69" s="46">
        <f t="shared" si="49"/>
        <v>30046.412829632529</v>
      </c>
      <c r="H69" s="137"/>
      <c r="I69" s="46">
        <f t="shared" si="1"/>
        <v>30046.412829632529</v>
      </c>
      <c r="J69" s="46">
        <f t="shared" si="2"/>
        <v>7511.6032074081322</v>
      </c>
      <c r="K69" s="46">
        <f t="shared" si="3"/>
        <v>1577.4366735557078</v>
      </c>
      <c r="L69" s="46">
        <f t="shared" si="4"/>
        <v>9089.0398809638391</v>
      </c>
      <c r="M69" s="46">
        <f t="shared" si="5"/>
        <v>2726.7119642891516</v>
      </c>
      <c r="N69" s="46">
        <f t="shared" si="6"/>
        <v>11815.751845252991</v>
      </c>
      <c r="O69" s="46">
        <f t="shared" si="7"/>
        <v>4726.3007381011967</v>
      </c>
      <c r="P69" s="47">
        <f t="shared" si="8"/>
        <v>16542.052583354187</v>
      </c>
      <c r="R69" s="46">
        <v>30046.412829632529</v>
      </c>
      <c r="S69">
        <f t="shared" si="9"/>
        <v>0</v>
      </c>
      <c r="U69" s="27">
        <v>100021709</v>
      </c>
      <c r="V69" s="24">
        <v>60214.277255984773</v>
      </c>
    </row>
    <row r="70" spans="2:22" x14ac:dyDescent="0.35">
      <c r="B70" s="27">
        <v>100517055</v>
      </c>
      <c r="C70" s="28" t="s">
        <v>68</v>
      </c>
      <c r="D70" s="21">
        <v>7790360971135</v>
      </c>
      <c r="E70" s="22">
        <v>3.12</v>
      </c>
      <c r="F70" s="23">
        <v>12</v>
      </c>
      <c r="G70" s="24">
        <f t="shared" si="49"/>
        <v>29936.929261925314</v>
      </c>
      <c r="H70" s="135"/>
      <c r="I70" s="24">
        <f t="shared" si="1"/>
        <v>29936.929261925314</v>
      </c>
      <c r="J70" s="24">
        <f t="shared" si="2"/>
        <v>2494.7441051604428</v>
      </c>
      <c r="K70" s="24">
        <f t="shared" si="3"/>
        <v>523.89626208369293</v>
      </c>
      <c r="L70" s="24">
        <f t="shared" si="4"/>
        <v>3018.6403672441356</v>
      </c>
      <c r="M70" s="24">
        <f t="shared" si="5"/>
        <v>905.59211017324071</v>
      </c>
      <c r="N70" s="24">
        <f t="shared" si="6"/>
        <v>3924.2324774173762</v>
      </c>
      <c r="O70" s="24">
        <f t="shared" si="7"/>
        <v>1569.6929909669507</v>
      </c>
      <c r="P70" s="25">
        <f t="shared" si="8"/>
        <v>5493.9254683843265</v>
      </c>
      <c r="R70" s="24">
        <v>29936.929261925314</v>
      </c>
      <c r="S70">
        <f t="shared" si="9"/>
        <v>0</v>
      </c>
      <c r="U70" s="27">
        <v>100521357</v>
      </c>
      <c r="V70" s="24">
        <v>48595.608600000021</v>
      </c>
    </row>
    <row r="71" spans="2:22" x14ac:dyDescent="0.35">
      <c r="B71" s="27">
        <v>100517186</v>
      </c>
      <c r="C71" s="28" t="s">
        <v>69</v>
      </c>
      <c r="D71" s="21">
        <v>7790360971395</v>
      </c>
      <c r="E71" s="22">
        <v>8</v>
      </c>
      <c r="F71" s="23">
        <v>8</v>
      </c>
      <c r="G71" s="24">
        <f t="shared" si="49"/>
        <v>76027.739730719317</v>
      </c>
      <c r="H71" s="135"/>
      <c r="I71" s="24">
        <f t="shared" si="1"/>
        <v>76027.739730719317</v>
      </c>
      <c r="J71" s="24">
        <f t="shared" si="2"/>
        <v>9503.4674663399146</v>
      </c>
      <c r="K71" s="24">
        <f t="shared" si="3"/>
        <v>1995.7281679313819</v>
      </c>
      <c r="L71" s="24">
        <f t="shared" si="4"/>
        <v>11499.195634271297</v>
      </c>
      <c r="M71" s="24">
        <f t="shared" si="5"/>
        <v>3449.7586902813887</v>
      </c>
      <c r="N71" s="24">
        <f t="shared" si="6"/>
        <v>14948.954324552686</v>
      </c>
      <c r="O71" s="24">
        <f t="shared" si="7"/>
        <v>5979.581729821075</v>
      </c>
      <c r="P71" s="25">
        <f t="shared" si="8"/>
        <v>20928.536054373762</v>
      </c>
      <c r="R71" s="24">
        <v>76027.739730719317</v>
      </c>
      <c r="S71">
        <f t="shared" si="9"/>
        <v>0</v>
      </c>
      <c r="U71" s="27">
        <v>100521358</v>
      </c>
      <c r="V71" s="24">
        <v>72893.412900000025</v>
      </c>
    </row>
    <row r="72" spans="2:22" x14ac:dyDescent="0.35">
      <c r="B72" s="125">
        <v>100521663</v>
      </c>
      <c r="C72" s="126" t="s">
        <v>124</v>
      </c>
      <c r="D72" s="99"/>
      <c r="E72" s="100">
        <v>4.8</v>
      </c>
      <c r="F72" s="101">
        <v>12</v>
      </c>
      <c r="G72" s="85">
        <v>43941.02138463041</v>
      </c>
      <c r="H72" s="117">
        <v>0.33</v>
      </c>
      <c r="I72" s="85">
        <f t="shared" si="1"/>
        <v>29440.484327702372</v>
      </c>
      <c r="J72" s="85">
        <f t="shared" si="2"/>
        <v>2453.3736939751975</v>
      </c>
      <c r="K72" s="85">
        <f t="shared" si="3"/>
        <v>515.20847573479148</v>
      </c>
      <c r="L72" s="85">
        <f t="shared" si="4"/>
        <v>2968.5821697099891</v>
      </c>
      <c r="M72" s="85">
        <f t="shared" si="5"/>
        <v>890.57465091299673</v>
      </c>
      <c r="N72" s="85">
        <f t="shared" si="6"/>
        <v>3859.1568206229858</v>
      </c>
      <c r="O72" s="85">
        <f t="shared" si="7"/>
        <v>1543.6627282491945</v>
      </c>
      <c r="P72" s="102">
        <f t="shared" si="8"/>
        <v>5402.8195488721803</v>
      </c>
      <c r="Q72">
        <v>0.33</v>
      </c>
      <c r="R72" s="46">
        <v>29440.484327702372</v>
      </c>
      <c r="U72" s="27">
        <v>100522130</v>
      </c>
      <c r="V72" s="24">
        <v>40062.095837032517</v>
      </c>
    </row>
    <row r="73" spans="2:22" x14ac:dyDescent="0.35">
      <c r="B73" s="41">
        <v>100021728</v>
      </c>
      <c r="C73" s="42" t="s">
        <v>70</v>
      </c>
      <c r="D73" s="43">
        <v>7790360967558</v>
      </c>
      <c r="E73" s="44">
        <v>3.84</v>
      </c>
      <c r="F73" s="45">
        <v>12</v>
      </c>
      <c r="G73" s="46">
        <f t="shared" si="49"/>
        <v>41631.804008029045</v>
      </c>
      <c r="H73" s="137"/>
      <c r="I73" s="46">
        <f t="shared" si="1"/>
        <v>41631.804008029045</v>
      </c>
      <c r="J73" s="46">
        <f t="shared" si="2"/>
        <v>3469.3170006690871</v>
      </c>
      <c r="K73" s="46">
        <f t="shared" si="3"/>
        <v>728.55657014050826</v>
      </c>
      <c r="L73" s="46">
        <f t="shared" si="4"/>
        <v>4197.8735708095955</v>
      </c>
      <c r="M73" s="46">
        <f t="shared" si="5"/>
        <v>1259.3620712428785</v>
      </c>
      <c r="N73" s="46">
        <f t="shared" si="6"/>
        <v>5457.2356420524738</v>
      </c>
      <c r="O73" s="46">
        <f t="shared" si="7"/>
        <v>2182.8942568209895</v>
      </c>
      <c r="P73" s="47">
        <f t="shared" si="8"/>
        <v>7640.1298988734634</v>
      </c>
      <c r="R73" s="46">
        <v>41631.804008029045</v>
      </c>
      <c r="S73">
        <f t="shared" si="9"/>
        <v>0</v>
      </c>
      <c r="U73" s="41">
        <v>100021725</v>
      </c>
      <c r="V73" s="46">
        <v>30046.412829632529</v>
      </c>
    </row>
    <row r="74" spans="2:22" x14ac:dyDescent="0.35">
      <c r="B74" s="41">
        <v>100517679</v>
      </c>
      <c r="C74" s="42" t="s">
        <v>71</v>
      </c>
      <c r="D74" s="43"/>
      <c r="E74" s="44">
        <v>7.68</v>
      </c>
      <c r="F74" s="45">
        <v>8</v>
      </c>
      <c r="G74" s="46">
        <f t="shared" si="49"/>
        <v>39413.592299367461</v>
      </c>
      <c r="H74" s="137"/>
      <c r="I74" s="46">
        <f t="shared" si="1"/>
        <v>39413.592299367461</v>
      </c>
      <c r="J74" s="46">
        <f t="shared" si="2"/>
        <v>4926.6990374209327</v>
      </c>
      <c r="K74" s="46">
        <f t="shared" si="3"/>
        <v>1034.6067978583958</v>
      </c>
      <c r="L74" s="46">
        <f t="shared" si="4"/>
        <v>5961.3058352793287</v>
      </c>
      <c r="M74" s="46">
        <f t="shared" si="5"/>
        <v>1788.3917505837985</v>
      </c>
      <c r="N74" s="46">
        <f t="shared" si="6"/>
        <v>7749.6975858631267</v>
      </c>
      <c r="O74" s="46">
        <f t="shared" si="7"/>
        <v>3099.8790343452511</v>
      </c>
      <c r="P74" s="47">
        <f t="shared" si="8"/>
        <v>10849.576620208378</v>
      </c>
      <c r="R74" s="46">
        <v>39413.592299367461</v>
      </c>
      <c r="S74">
        <f t="shared" si="9"/>
        <v>0</v>
      </c>
      <c r="U74" s="27">
        <v>100517055</v>
      </c>
      <c r="V74" s="24">
        <v>29936.929261925314</v>
      </c>
    </row>
    <row r="75" spans="2:22" ht="15" thickBot="1" x14ac:dyDescent="0.4">
      <c r="B75" s="32"/>
      <c r="C75" s="33"/>
      <c r="D75" s="34"/>
      <c r="E75" s="33"/>
      <c r="F75" s="35"/>
      <c r="G75" s="36" t="e">
        <f t="shared" si="49"/>
        <v>#N/A</v>
      </c>
      <c r="H75" s="134"/>
      <c r="I75" s="36" t="e">
        <f t="shared" si="1"/>
        <v>#N/A</v>
      </c>
      <c r="J75" s="37" t="e">
        <f t="shared" si="2"/>
        <v>#N/A</v>
      </c>
      <c r="K75" s="38">
        <v>0.21</v>
      </c>
      <c r="L75" s="37"/>
      <c r="M75" s="38">
        <v>0.3</v>
      </c>
      <c r="N75" s="37"/>
      <c r="O75" s="38">
        <v>0.4</v>
      </c>
      <c r="P75" s="39"/>
      <c r="R75" s="36" t="e">
        <v>#N/A</v>
      </c>
      <c r="S75" t="e">
        <f t="shared" si="9"/>
        <v>#N/A</v>
      </c>
      <c r="U75" s="27">
        <v>100517186</v>
      </c>
      <c r="V75" s="24">
        <v>76027.739730719317</v>
      </c>
    </row>
    <row r="76" spans="2:22" ht="15" hidden="1" thickBot="1" x14ac:dyDescent="0.4">
      <c r="B76" s="27">
        <v>100516219</v>
      </c>
      <c r="C76" s="28" t="s">
        <v>72</v>
      </c>
      <c r="D76" s="48">
        <v>7790360967770</v>
      </c>
      <c r="E76" s="22">
        <v>10</v>
      </c>
      <c r="F76" s="23">
        <v>25</v>
      </c>
      <c r="G76" s="24">
        <f t="shared" si="49"/>
        <v>18259.399891781304</v>
      </c>
      <c r="H76" s="135"/>
      <c r="I76" s="24">
        <f t="shared" si="1"/>
        <v>18259.399891781304</v>
      </c>
      <c r="J76" s="24">
        <f t="shared" si="2"/>
        <v>730.37599567125221</v>
      </c>
      <c r="K76" s="24">
        <f t="shared" si="3"/>
        <v>153.37895909096295</v>
      </c>
      <c r="L76" s="24">
        <f t="shared" si="4"/>
        <v>883.75495476221522</v>
      </c>
      <c r="M76" s="24">
        <f t="shared" si="5"/>
        <v>265.12648642866458</v>
      </c>
      <c r="N76" s="24">
        <f t="shared" si="6"/>
        <v>1148.8814411908797</v>
      </c>
      <c r="O76" s="24">
        <f t="shared" si="7"/>
        <v>459.55257647635193</v>
      </c>
      <c r="P76" s="25">
        <f t="shared" si="8"/>
        <v>1608.4340176672317</v>
      </c>
      <c r="R76" s="24">
        <v>18259.399891781304</v>
      </c>
      <c r="S76">
        <f t="shared" si="9"/>
        <v>0</v>
      </c>
      <c r="U76" s="27">
        <v>100521663</v>
      </c>
      <c r="V76" s="24">
        <v>43941.02138463041</v>
      </c>
    </row>
    <row r="77" spans="2:22" ht="15" hidden="1" thickBot="1" x14ac:dyDescent="0.4">
      <c r="B77" s="27">
        <v>100516220</v>
      </c>
      <c r="C77" s="28" t="s">
        <v>73</v>
      </c>
      <c r="D77" s="48">
        <v>7790360967787</v>
      </c>
      <c r="E77" s="22">
        <v>12</v>
      </c>
      <c r="F77" s="23">
        <v>6</v>
      </c>
      <c r="G77" s="24">
        <f t="shared" si="49"/>
        <v>19613.921820029205</v>
      </c>
      <c r="H77" s="135"/>
      <c r="I77" s="24">
        <f t="shared" si="1"/>
        <v>19613.921820029205</v>
      </c>
      <c r="J77" s="24">
        <f t="shared" si="2"/>
        <v>3268.9869700048675</v>
      </c>
      <c r="K77" s="24">
        <f t="shared" si="3"/>
        <v>686.48726370102213</v>
      </c>
      <c r="L77" s="24">
        <f t="shared" si="4"/>
        <v>3955.4742337058897</v>
      </c>
      <c r="M77" s="24">
        <f t="shared" si="5"/>
        <v>1186.6422701117669</v>
      </c>
      <c r="N77" s="24">
        <f t="shared" si="6"/>
        <v>5142.1165038176568</v>
      </c>
      <c r="O77" s="24">
        <f t="shared" si="7"/>
        <v>2056.8466015270628</v>
      </c>
      <c r="P77" s="25">
        <f t="shared" si="8"/>
        <v>7198.9631053447192</v>
      </c>
      <c r="R77" s="24">
        <v>19613.921820029205</v>
      </c>
      <c r="S77">
        <f t="shared" si="9"/>
        <v>0</v>
      </c>
      <c r="U77" s="41">
        <v>100021728</v>
      </c>
      <c r="V77" s="46">
        <v>41631.804008029045</v>
      </c>
    </row>
    <row r="78" spans="2:22" ht="15" hidden="1" thickBot="1" x14ac:dyDescent="0.4">
      <c r="B78" s="87"/>
      <c r="C78" s="88"/>
      <c r="D78" s="89"/>
      <c r="E78" s="88"/>
      <c r="F78" s="90"/>
      <c r="G78" s="91" t="e">
        <f t="shared" si="49"/>
        <v>#N/A</v>
      </c>
      <c r="H78" s="138"/>
      <c r="I78" s="91" t="e">
        <f t="shared" ref="I78:I106" si="50">+G78*(1-H78)</f>
        <v>#N/A</v>
      </c>
      <c r="J78" s="37" t="e">
        <f t="shared" ref="J78:J84" si="51">+I78/F78</f>
        <v>#N/A</v>
      </c>
      <c r="K78" s="38"/>
      <c r="L78" s="37"/>
      <c r="M78" s="38"/>
      <c r="N78" s="37"/>
      <c r="O78" s="38"/>
      <c r="P78" s="39"/>
      <c r="R78" s="91" t="e">
        <v>#N/A</v>
      </c>
      <c r="S78" t="e">
        <f t="shared" ref="S78:S106" si="52">+(I78-R78)/R78</f>
        <v>#N/A</v>
      </c>
      <c r="U78" s="41">
        <v>100517679</v>
      </c>
      <c r="V78" s="46">
        <v>39413.592299367461</v>
      </c>
    </row>
    <row r="79" spans="2:22" x14ac:dyDescent="0.35">
      <c r="B79" s="86">
        <v>100518158</v>
      </c>
      <c r="C79" s="28" t="s">
        <v>74</v>
      </c>
      <c r="D79" s="63">
        <v>7790360974280</v>
      </c>
      <c r="E79" s="22">
        <v>12</v>
      </c>
      <c r="F79" s="23">
        <v>24</v>
      </c>
      <c r="G79" s="24">
        <f t="shared" si="49"/>
        <v>79203.691045796324</v>
      </c>
      <c r="H79" s="139"/>
      <c r="I79" s="24">
        <f t="shared" si="50"/>
        <v>79203.691045796324</v>
      </c>
      <c r="J79" s="24">
        <f t="shared" si="51"/>
        <v>3300.153793574847</v>
      </c>
      <c r="K79" s="24">
        <f>+J79*K$3</f>
        <v>693.03229665071785</v>
      </c>
      <c r="L79" s="24">
        <f>+J79+K79</f>
        <v>3993.1860902255648</v>
      </c>
      <c r="M79" s="24">
        <f>+L79*M$3</f>
        <v>1197.9558270676694</v>
      </c>
      <c r="N79" s="24">
        <f>+L79+M79</f>
        <v>5191.1419172932347</v>
      </c>
      <c r="O79" s="24">
        <f>+N79*O$3</f>
        <v>2076.4567669172939</v>
      </c>
      <c r="P79" s="25">
        <f>+N79+O79</f>
        <v>7267.5986842105285</v>
      </c>
      <c r="R79" s="24">
        <v>79203.691045796324</v>
      </c>
      <c r="S79">
        <f t="shared" si="52"/>
        <v>0</v>
      </c>
      <c r="U79" s="32"/>
      <c r="V79" s="36" t="e">
        <v>#VALUE!</v>
      </c>
    </row>
    <row r="80" spans="2:22" x14ac:dyDescent="0.35">
      <c r="B80" s="86">
        <v>100518160</v>
      </c>
      <c r="C80" s="28" t="s">
        <v>75</v>
      </c>
      <c r="D80" s="63">
        <v>7790360974686</v>
      </c>
      <c r="E80" s="22">
        <v>12</v>
      </c>
      <c r="F80" s="23">
        <v>12</v>
      </c>
      <c r="G80" s="24">
        <f t="shared" si="49"/>
        <v>79203.691045796324</v>
      </c>
      <c r="H80" s="135"/>
      <c r="I80" s="24">
        <f t="shared" si="50"/>
        <v>79203.691045796324</v>
      </c>
      <c r="J80" s="24">
        <f t="shared" si="51"/>
        <v>6600.307587149694</v>
      </c>
      <c r="K80" s="24">
        <f>+J80*K$3</f>
        <v>1386.0645933014357</v>
      </c>
      <c r="L80" s="24">
        <f>+J80+K80</f>
        <v>7986.3721804511297</v>
      </c>
      <c r="M80" s="24">
        <f>+L80*M$3</f>
        <v>2395.9116541353387</v>
      </c>
      <c r="N80" s="24">
        <f>+L80+M80</f>
        <v>10382.283834586469</v>
      </c>
      <c r="O80" s="24">
        <f>+N80*O$3</f>
        <v>4152.9135338345877</v>
      </c>
      <c r="P80" s="25">
        <f>+N80+O80</f>
        <v>14535.197368421057</v>
      </c>
      <c r="R80" s="24">
        <v>79203.691045796324</v>
      </c>
      <c r="S80">
        <f t="shared" si="52"/>
        <v>0</v>
      </c>
      <c r="U80" s="27">
        <v>100516219</v>
      </c>
      <c r="V80" s="24">
        <v>18259.399891781304</v>
      </c>
    </row>
    <row r="81" spans="2:22" ht="15" thickBot="1" x14ac:dyDescent="0.4">
      <c r="B81" s="86">
        <v>100518463</v>
      </c>
      <c r="C81" s="28" t="s">
        <v>89</v>
      </c>
      <c r="D81" s="63"/>
      <c r="E81" s="22">
        <v>5</v>
      </c>
      <c r="F81" s="23">
        <v>1</v>
      </c>
      <c r="G81" s="24">
        <f t="shared" si="49"/>
        <v>36693.267187500001</v>
      </c>
      <c r="H81" s="140"/>
      <c r="I81" s="24">
        <f t="shared" si="50"/>
        <v>36693.267187500001</v>
      </c>
      <c r="J81" s="24">
        <f t="shared" si="51"/>
        <v>36693.267187500001</v>
      </c>
      <c r="K81" s="24">
        <f>+J81*K$3</f>
        <v>7705.586109375</v>
      </c>
      <c r="L81" s="24">
        <f>+J81+K81</f>
        <v>44398.853296875001</v>
      </c>
      <c r="M81" s="24">
        <f>+L81*M$3</f>
        <v>13319.655989062499</v>
      </c>
      <c r="N81" s="24">
        <f>+L81+M81</f>
        <v>57718.5092859375</v>
      </c>
      <c r="O81" s="24">
        <f>+N81*O$3</f>
        <v>23087.403714375003</v>
      </c>
      <c r="P81" s="25">
        <f>+N81+O81</f>
        <v>80805.913000312503</v>
      </c>
      <c r="R81" s="24">
        <v>36693.267187500001</v>
      </c>
      <c r="S81">
        <f t="shared" si="52"/>
        <v>0</v>
      </c>
      <c r="U81" s="27">
        <v>100516220</v>
      </c>
      <c r="V81" s="24">
        <v>19613.921820029205</v>
      </c>
    </row>
    <row r="82" spans="2:22" ht="15" thickBot="1" x14ac:dyDescent="0.4">
      <c r="B82" s="71"/>
      <c r="C82" s="72"/>
      <c r="D82" s="73"/>
      <c r="E82" s="72"/>
      <c r="F82" s="74"/>
      <c r="G82" s="75" t="e">
        <f t="shared" si="49"/>
        <v>#N/A</v>
      </c>
      <c r="H82" s="141"/>
      <c r="I82" s="75" t="e">
        <f t="shared" si="50"/>
        <v>#N/A</v>
      </c>
      <c r="J82" s="37" t="e">
        <f t="shared" si="51"/>
        <v>#N/A</v>
      </c>
      <c r="K82" s="38"/>
      <c r="L82" s="37"/>
      <c r="M82" s="38"/>
      <c r="N82" s="37"/>
      <c r="O82" s="38"/>
      <c r="P82" s="39"/>
      <c r="R82" s="75" t="e">
        <v>#N/A</v>
      </c>
      <c r="S82" t="e">
        <f t="shared" si="52"/>
        <v>#N/A</v>
      </c>
      <c r="U82" s="87"/>
      <c r="V82" s="91" t="e">
        <v>#VALUE!</v>
      </c>
    </row>
    <row r="83" spans="2:22" x14ac:dyDescent="0.35">
      <c r="B83" s="113">
        <v>100518291</v>
      </c>
      <c r="C83" s="114" t="s">
        <v>77</v>
      </c>
      <c r="D83" s="110">
        <v>7790360975195</v>
      </c>
      <c r="E83" s="115">
        <v>5</v>
      </c>
      <c r="F83" s="115">
        <v>10</v>
      </c>
      <c r="G83" s="111">
        <f t="shared" si="49"/>
        <v>15353.369440211765</v>
      </c>
      <c r="H83" s="117"/>
      <c r="I83" s="85">
        <f t="shared" si="50"/>
        <v>15353.369440211765</v>
      </c>
      <c r="J83" s="111">
        <f t="shared" si="51"/>
        <v>1535.3369440211766</v>
      </c>
      <c r="K83" s="111">
        <f>+J83*K$3</f>
        <v>322.42075824444709</v>
      </c>
      <c r="L83" s="111">
        <f>+J83+K83</f>
        <v>1857.7577022656237</v>
      </c>
      <c r="M83" s="111">
        <f>+L83*M$39</f>
        <v>371.55154045312474</v>
      </c>
      <c r="N83" s="111">
        <f>+L83+M83</f>
        <v>2229.3092427187485</v>
      </c>
      <c r="O83" s="111">
        <f>+N83*O$39</f>
        <v>780.25823495156192</v>
      </c>
      <c r="P83" s="112">
        <f>+N83+O83</f>
        <v>3009.5674776703104</v>
      </c>
      <c r="Q83">
        <v>0.15</v>
      </c>
      <c r="R83" s="111">
        <v>14906.183922535694</v>
      </c>
      <c r="S83">
        <f t="shared" si="52"/>
        <v>3.0000000000000009E-2</v>
      </c>
      <c r="U83" s="86">
        <v>100518158</v>
      </c>
      <c r="V83" s="24">
        <v>79203.691045796324</v>
      </c>
    </row>
    <row r="84" spans="2:22" ht="15" thickBot="1" x14ac:dyDescent="0.4">
      <c r="B84" s="104">
        <v>100518292</v>
      </c>
      <c r="C84" s="105" t="s">
        <v>78</v>
      </c>
      <c r="D84" s="106">
        <v>7790360975201</v>
      </c>
      <c r="E84" s="107">
        <v>12</v>
      </c>
      <c r="F84" s="107">
        <v>12</v>
      </c>
      <c r="G84" s="108">
        <f t="shared" si="49"/>
        <v>36228.473406756661</v>
      </c>
      <c r="H84" s="117"/>
      <c r="I84" s="85">
        <f t="shared" si="50"/>
        <v>36228.473406756661</v>
      </c>
      <c r="J84" s="108">
        <f t="shared" si="51"/>
        <v>3019.0394505630552</v>
      </c>
      <c r="K84" s="108">
        <f>+J84*K$3</f>
        <v>633.99828461824154</v>
      </c>
      <c r="L84" s="108">
        <f>+J84+K84</f>
        <v>3653.0377351812967</v>
      </c>
      <c r="M84" s="108">
        <f>+L84*M$39</f>
        <v>730.60754703625935</v>
      </c>
      <c r="N84" s="108">
        <f>+L84+M84</f>
        <v>4383.6452822175561</v>
      </c>
      <c r="O84" s="108">
        <f>+N84*O$39</f>
        <v>1534.2758487761446</v>
      </c>
      <c r="P84" s="109">
        <f>+N84+O84</f>
        <v>5917.9211309937009</v>
      </c>
      <c r="Q84">
        <v>0.15</v>
      </c>
      <c r="R84" s="108">
        <v>35173.27515219093</v>
      </c>
      <c r="S84">
        <f t="shared" si="52"/>
        <v>3.0000000000000065E-2</v>
      </c>
      <c r="U84" s="86">
        <v>100518160</v>
      </c>
      <c r="V84" s="24">
        <v>79203.691045796324</v>
      </c>
    </row>
    <row r="85" spans="2:22" ht="15" thickBot="1" x14ac:dyDescent="0.4">
      <c r="B85" s="71"/>
      <c r="C85" s="72"/>
      <c r="D85" s="73"/>
      <c r="E85" s="72"/>
      <c r="F85" s="74"/>
      <c r="G85" s="75" t="e">
        <f t="shared" si="49"/>
        <v>#N/A</v>
      </c>
      <c r="H85" s="141"/>
      <c r="I85" s="75" t="e">
        <f t="shared" si="50"/>
        <v>#N/A</v>
      </c>
      <c r="J85" s="37" t="e">
        <f>+I85/F85</f>
        <v>#N/A</v>
      </c>
      <c r="K85" s="38">
        <v>0.105</v>
      </c>
      <c r="L85" s="37"/>
      <c r="M85" s="38">
        <v>0.3</v>
      </c>
      <c r="N85" s="37"/>
      <c r="O85" s="38">
        <v>0.4</v>
      </c>
      <c r="P85" s="39"/>
      <c r="R85" s="75" t="e">
        <v>#N/A</v>
      </c>
      <c r="S85" t="e">
        <f t="shared" si="52"/>
        <v>#N/A</v>
      </c>
      <c r="U85" s="86">
        <v>100518463</v>
      </c>
      <c r="V85" s="24">
        <v>36693.267187500001</v>
      </c>
    </row>
    <row r="86" spans="2:22" ht="15" thickBot="1" x14ac:dyDescent="0.4">
      <c r="B86" s="113">
        <v>100517915</v>
      </c>
      <c r="C86" s="114" t="s">
        <v>79</v>
      </c>
      <c r="D86" s="110">
        <v>7790360974020</v>
      </c>
      <c r="E86" s="115">
        <v>18</v>
      </c>
      <c r="F86" s="115">
        <v>36</v>
      </c>
      <c r="G86" s="111">
        <f t="shared" si="49"/>
        <v>160512.01231783535</v>
      </c>
      <c r="H86" s="97"/>
      <c r="I86" s="85">
        <f t="shared" si="50"/>
        <v>160512.01231783535</v>
      </c>
      <c r="J86" s="111">
        <f>+I86/F86</f>
        <v>4458.6670088287601</v>
      </c>
      <c r="K86" s="111">
        <f>+J86*K$85</f>
        <v>468.16003592701981</v>
      </c>
      <c r="L86" s="111">
        <f>+J86+K86</f>
        <v>4926.8270447557798</v>
      </c>
      <c r="M86" s="111">
        <f>+L86*M$85</f>
        <v>1478.0481134267338</v>
      </c>
      <c r="N86" s="111">
        <f>+L86+M86</f>
        <v>6404.8751581825136</v>
      </c>
      <c r="O86" s="111">
        <f>+N86*O$85</f>
        <v>2561.9500632730055</v>
      </c>
      <c r="P86" s="112">
        <f>+N86+O86</f>
        <v>8966.8252214555196</v>
      </c>
      <c r="R86" s="111">
        <v>160512.01231783535</v>
      </c>
      <c r="S86">
        <f t="shared" si="52"/>
        <v>0</v>
      </c>
      <c r="U86" s="71"/>
      <c r="V86" s="75" t="e">
        <v>#VALUE!</v>
      </c>
    </row>
    <row r="87" spans="2:22" ht="15" thickBot="1" x14ac:dyDescent="0.4">
      <c r="B87" s="104">
        <v>100517914</v>
      </c>
      <c r="C87" s="105" t="s">
        <v>80</v>
      </c>
      <c r="D87" s="106">
        <v>7790360974037</v>
      </c>
      <c r="E87" s="107">
        <v>20</v>
      </c>
      <c r="F87" s="107">
        <v>20</v>
      </c>
      <c r="G87" s="108">
        <f t="shared" si="49"/>
        <v>175154.27477482893</v>
      </c>
      <c r="H87" s="97"/>
      <c r="I87" s="85">
        <f t="shared" si="50"/>
        <v>175154.27477482893</v>
      </c>
      <c r="J87" s="108">
        <f>+I87/F87</f>
        <v>8757.7137387414459</v>
      </c>
      <c r="K87" s="108">
        <f>+J87*K$85</f>
        <v>919.55994256785175</v>
      </c>
      <c r="L87" s="108">
        <f>+J87+K87</f>
        <v>9677.2736813092979</v>
      </c>
      <c r="M87" s="108">
        <f>+L87*M$85</f>
        <v>2903.1821043927894</v>
      </c>
      <c r="N87" s="108">
        <f>+L87+M87</f>
        <v>12580.455785702088</v>
      </c>
      <c r="O87" s="108">
        <f>+N87*O$85</f>
        <v>5032.1823142808353</v>
      </c>
      <c r="P87" s="109">
        <f>+N87+O87</f>
        <v>17612.638099982923</v>
      </c>
      <c r="R87" s="108">
        <v>175154.27477482893</v>
      </c>
      <c r="S87">
        <f t="shared" si="52"/>
        <v>0</v>
      </c>
      <c r="U87" s="202">
        <v>100518291</v>
      </c>
      <c r="V87" s="61">
        <v>15353.369440211765</v>
      </c>
    </row>
    <row r="88" spans="2:22" ht="15" thickBot="1" x14ac:dyDescent="0.4">
      <c r="B88" s="71"/>
      <c r="C88" s="72"/>
      <c r="D88" s="73"/>
      <c r="E88" s="72"/>
      <c r="F88" s="74"/>
      <c r="G88" s="75" t="e">
        <f t="shared" si="49"/>
        <v>#N/A</v>
      </c>
      <c r="H88" s="141"/>
      <c r="I88" s="75" t="e">
        <f t="shared" si="50"/>
        <v>#N/A</v>
      </c>
      <c r="J88" s="92"/>
      <c r="K88" s="93">
        <v>0.105</v>
      </c>
      <c r="L88" s="92"/>
      <c r="M88" s="38">
        <v>0.3</v>
      </c>
      <c r="N88" s="37"/>
      <c r="O88" s="38">
        <v>0.4</v>
      </c>
      <c r="P88" s="95"/>
      <c r="R88" s="75" t="e">
        <v>#N/A</v>
      </c>
      <c r="S88" t="e">
        <f t="shared" si="52"/>
        <v>#N/A</v>
      </c>
      <c r="U88" s="203">
        <v>100518292</v>
      </c>
      <c r="V88" s="69">
        <v>36228.473406756661</v>
      </c>
    </row>
    <row r="89" spans="2:22" ht="15" thickBot="1" x14ac:dyDescent="0.4">
      <c r="B89" s="27">
        <v>100010689</v>
      </c>
      <c r="C89" s="28" t="s">
        <v>81</v>
      </c>
      <c r="D89" s="21"/>
      <c r="E89" s="81">
        <v>22</v>
      </c>
      <c r="F89" s="23">
        <v>1</v>
      </c>
      <c r="G89" s="24">
        <f t="shared" si="49"/>
        <v>16500</v>
      </c>
      <c r="H89" s="135"/>
      <c r="I89" s="24">
        <f t="shared" si="50"/>
        <v>16500</v>
      </c>
      <c r="J89" s="61">
        <f t="shared" ref="J89:J94" si="53">+I89/F89</f>
        <v>16500</v>
      </c>
      <c r="K89" s="61">
        <f t="shared" ref="K89:K94" si="54">+J89*K$88</f>
        <v>1732.5</v>
      </c>
      <c r="L89" s="61">
        <f t="shared" ref="L89:L94" si="55">+J89+K89</f>
        <v>18232.5</v>
      </c>
      <c r="M89" s="61">
        <f t="shared" ref="M89:M94" si="56">+L89*M$88</f>
        <v>5469.75</v>
      </c>
      <c r="N89" s="61">
        <f t="shared" ref="N89:N94" si="57">+L89+M89</f>
        <v>23702.25</v>
      </c>
      <c r="O89" s="61">
        <f t="shared" ref="O89:O94" si="58">+N89*O$88</f>
        <v>9480.9</v>
      </c>
      <c r="P89" s="62">
        <f t="shared" ref="P89:P94" si="59">+N89+O89</f>
        <v>33183.15</v>
      </c>
      <c r="R89" s="24">
        <v>15714.285714285716</v>
      </c>
      <c r="S89">
        <f t="shared" si="52"/>
        <v>4.9999999999999913E-2</v>
      </c>
      <c r="U89" s="71"/>
      <c r="V89" s="75" t="e">
        <v>#VALUE!</v>
      </c>
    </row>
    <row r="90" spans="2:22" x14ac:dyDescent="0.35">
      <c r="B90" s="27">
        <v>100518335</v>
      </c>
      <c r="C90" s="28" t="s">
        <v>82</v>
      </c>
      <c r="D90" s="21"/>
      <c r="E90" s="81">
        <v>22.5</v>
      </c>
      <c r="F90" s="23">
        <v>1</v>
      </c>
      <c r="G90" s="24">
        <f t="shared" si="49"/>
        <v>11785.714285714286</v>
      </c>
      <c r="H90" s="135"/>
      <c r="I90" s="24">
        <f t="shared" si="50"/>
        <v>11785.714285714286</v>
      </c>
      <c r="J90" s="24">
        <f t="shared" si="53"/>
        <v>11785.714285714286</v>
      </c>
      <c r="K90" s="24">
        <f t="shared" si="54"/>
        <v>1237.5</v>
      </c>
      <c r="L90" s="24">
        <f t="shared" si="55"/>
        <v>13023.214285714286</v>
      </c>
      <c r="M90" s="24">
        <f t="shared" si="56"/>
        <v>3906.9642857142858</v>
      </c>
      <c r="N90" s="24">
        <f t="shared" si="57"/>
        <v>16930.178571428572</v>
      </c>
      <c r="O90" s="24">
        <f t="shared" si="58"/>
        <v>6772.0714285714294</v>
      </c>
      <c r="P90" s="25">
        <f t="shared" si="59"/>
        <v>23702.25</v>
      </c>
      <c r="R90" s="24">
        <v>11224.489795918369</v>
      </c>
      <c r="S90">
        <f t="shared" si="52"/>
        <v>4.9999999999999885E-2</v>
      </c>
      <c r="U90" s="202">
        <v>100517915</v>
      </c>
      <c r="V90" s="61">
        <v>160512.01231783535</v>
      </c>
    </row>
    <row r="91" spans="2:22" ht="15" thickBot="1" x14ac:dyDescent="0.4">
      <c r="B91" s="27">
        <v>100518332</v>
      </c>
      <c r="C91" s="28" t="s">
        <v>83</v>
      </c>
      <c r="D91" s="21"/>
      <c r="E91" s="81">
        <v>21.5</v>
      </c>
      <c r="F91" s="23">
        <v>1</v>
      </c>
      <c r="G91" s="24">
        <f t="shared" si="49"/>
        <v>13553.571428571431</v>
      </c>
      <c r="H91" s="135"/>
      <c r="I91" s="24">
        <f t="shared" si="50"/>
        <v>13553.571428571431</v>
      </c>
      <c r="J91" s="24">
        <f t="shared" si="53"/>
        <v>13553.571428571431</v>
      </c>
      <c r="K91" s="24">
        <f t="shared" si="54"/>
        <v>1423.1250000000002</v>
      </c>
      <c r="L91" s="24">
        <f t="shared" si="55"/>
        <v>14976.696428571431</v>
      </c>
      <c r="M91" s="24">
        <f t="shared" si="56"/>
        <v>4493.0089285714294</v>
      </c>
      <c r="N91" s="24">
        <f t="shared" si="57"/>
        <v>19469.705357142862</v>
      </c>
      <c r="O91" s="24">
        <f t="shared" si="58"/>
        <v>7787.8821428571455</v>
      </c>
      <c r="P91" s="25">
        <f t="shared" si="59"/>
        <v>27257.587500000009</v>
      </c>
      <c r="R91" s="24">
        <v>12908.163265306122</v>
      </c>
      <c r="S91">
        <f t="shared" si="52"/>
        <v>5.0000000000000204E-2</v>
      </c>
      <c r="U91" s="203">
        <v>100517914</v>
      </c>
      <c r="V91" s="69">
        <v>175154.27477482893</v>
      </c>
    </row>
    <row r="92" spans="2:22" x14ac:dyDescent="0.35">
      <c r="B92" s="27">
        <v>100518334</v>
      </c>
      <c r="C92" s="28" t="s">
        <v>84</v>
      </c>
      <c r="D92" s="21"/>
      <c r="E92" s="81">
        <v>22.5</v>
      </c>
      <c r="F92" s="23">
        <v>1</v>
      </c>
      <c r="G92" s="24">
        <f t="shared" si="49"/>
        <v>12021.428571428572</v>
      </c>
      <c r="H92" s="135"/>
      <c r="I92" s="24">
        <f t="shared" si="50"/>
        <v>12021.428571428572</v>
      </c>
      <c r="J92" s="24">
        <f t="shared" si="53"/>
        <v>12021.428571428572</v>
      </c>
      <c r="K92" s="24">
        <f t="shared" si="54"/>
        <v>1262.25</v>
      </c>
      <c r="L92" s="24">
        <f t="shared" si="55"/>
        <v>13283.678571428572</v>
      </c>
      <c r="M92" s="24">
        <f t="shared" si="56"/>
        <v>3985.1035714285717</v>
      </c>
      <c r="N92" s="24">
        <f t="shared" si="57"/>
        <v>17268.782142857144</v>
      </c>
      <c r="O92" s="24">
        <f t="shared" si="58"/>
        <v>6907.5128571428577</v>
      </c>
      <c r="P92" s="25">
        <f t="shared" si="59"/>
        <v>24176.295000000002</v>
      </c>
      <c r="R92" s="24">
        <v>11448.979591836736</v>
      </c>
      <c r="S92">
        <f t="shared" si="52"/>
        <v>4.9999999999999947E-2</v>
      </c>
      <c r="U92" s="71"/>
      <c r="V92" s="75"/>
    </row>
    <row r="93" spans="2:22" x14ac:dyDescent="0.35">
      <c r="B93" s="27">
        <v>100518227</v>
      </c>
      <c r="C93" s="28" t="s">
        <v>85</v>
      </c>
      <c r="D93" s="21"/>
      <c r="E93" s="81">
        <v>22.5</v>
      </c>
      <c r="F93" s="23">
        <v>1</v>
      </c>
      <c r="G93" s="24">
        <f t="shared" si="49"/>
        <v>14185.285714285716</v>
      </c>
      <c r="H93" s="135"/>
      <c r="I93" s="24">
        <f t="shared" si="50"/>
        <v>14185.285714285716</v>
      </c>
      <c r="J93" s="24">
        <f t="shared" si="53"/>
        <v>14185.285714285716</v>
      </c>
      <c r="K93" s="24">
        <f t="shared" si="54"/>
        <v>1489.4550000000002</v>
      </c>
      <c r="L93" s="24">
        <f t="shared" si="55"/>
        <v>15674.740714285716</v>
      </c>
      <c r="M93" s="24">
        <f t="shared" si="56"/>
        <v>4702.4222142857143</v>
      </c>
      <c r="N93" s="24">
        <f t="shared" si="57"/>
        <v>20377.16292857143</v>
      </c>
      <c r="O93" s="24">
        <f t="shared" si="58"/>
        <v>8150.8651714285725</v>
      </c>
      <c r="P93" s="25">
        <f t="shared" si="59"/>
        <v>28528.028100000003</v>
      </c>
      <c r="R93" s="24">
        <v>13244.897959183672</v>
      </c>
      <c r="S93">
        <f t="shared" si="52"/>
        <v>7.1000000000000188E-2</v>
      </c>
      <c r="U93" s="27">
        <v>100010689</v>
      </c>
      <c r="V93" s="24">
        <v>16500</v>
      </c>
    </row>
    <row r="94" spans="2:22" x14ac:dyDescent="0.35">
      <c r="B94" s="177">
        <v>100027726</v>
      </c>
      <c r="C94" s="178" t="s">
        <v>152</v>
      </c>
      <c r="D94" s="179"/>
      <c r="E94" s="81">
        <v>22.5</v>
      </c>
      <c r="F94" s="23">
        <v>1</v>
      </c>
      <c r="G94" s="24">
        <f t="shared" si="49"/>
        <v>7155.2250000000004</v>
      </c>
      <c r="H94" s="135"/>
      <c r="I94" s="24">
        <f t="shared" ref="I94" si="60">+G94*(1-H94)</f>
        <v>7155.2250000000004</v>
      </c>
      <c r="J94" s="24">
        <f t="shared" si="53"/>
        <v>7155.2250000000004</v>
      </c>
      <c r="K94" s="24">
        <f t="shared" si="54"/>
        <v>751.29862500000002</v>
      </c>
      <c r="L94" s="24">
        <f t="shared" si="55"/>
        <v>7906.5236250000007</v>
      </c>
      <c r="M94" s="24">
        <f t="shared" si="56"/>
        <v>2371.9570874999999</v>
      </c>
      <c r="N94" s="24">
        <f t="shared" si="57"/>
        <v>10278.480712500001</v>
      </c>
      <c r="O94" s="24">
        <f t="shared" si="58"/>
        <v>4111.3922850000008</v>
      </c>
      <c r="P94" s="25">
        <f t="shared" si="59"/>
        <v>14389.872997500002</v>
      </c>
      <c r="R94" s="180">
        <v>6814.5000000000009</v>
      </c>
      <c r="U94" s="27">
        <v>100518335</v>
      </c>
      <c r="V94" s="24">
        <v>11785.714285714286</v>
      </c>
    </row>
    <row r="95" spans="2:22" ht="15" thickBot="1" x14ac:dyDescent="0.4">
      <c r="B95" s="71"/>
      <c r="C95" s="72"/>
      <c r="D95" s="73"/>
      <c r="E95" s="72"/>
      <c r="F95" s="74"/>
      <c r="G95" s="75" t="e">
        <f t="shared" si="49"/>
        <v>#N/A</v>
      </c>
      <c r="H95" s="141"/>
      <c r="I95" s="75" t="e">
        <f t="shared" si="50"/>
        <v>#N/A</v>
      </c>
      <c r="J95" s="92"/>
      <c r="K95" s="93">
        <v>0.21</v>
      </c>
      <c r="L95" s="92"/>
      <c r="M95" s="38">
        <v>0.3</v>
      </c>
      <c r="N95" s="37"/>
      <c r="O95" s="38">
        <v>0.4</v>
      </c>
      <c r="P95" s="95"/>
      <c r="R95" s="75" t="e">
        <v>#N/A</v>
      </c>
      <c r="S95" t="e">
        <f t="shared" si="52"/>
        <v>#N/A</v>
      </c>
      <c r="U95" s="27">
        <v>100518332</v>
      </c>
      <c r="V95" s="24">
        <v>13553.571428571431</v>
      </c>
    </row>
    <row r="96" spans="2:22" ht="15" thickBot="1" x14ac:dyDescent="0.4">
      <c r="B96" s="27">
        <v>100520837</v>
      </c>
      <c r="C96" s="28" t="s">
        <v>86</v>
      </c>
      <c r="D96" s="21">
        <v>7790360980625</v>
      </c>
      <c r="E96" s="81">
        <v>4.8</v>
      </c>
      <c r="F96" s="23">
        <v>12</v>
      </c>
      <c r="G96" s="24">
        <f t="shared" si="49"/>
        <v>37186.422570532915</v>
      </c>
      <c r="H96" s="135"/>
      <c r="I96" s="24">
        <f t="shared" si="50"/>
        <v>37186.422570532915</v>
      </c>
      <c r="J96" s="226">
        <f>+I96/F96</f>
        <v>3098.8685475444095</v>
      </c>
      <c r="K96" s="226">
        <f>+J96*K$95</f>
        <v>650.76239498432597</v>
      </c>
      <c r="L96" s="43">
        <f>+J96+K96</f>
        <v>3749.6309425287354</v>
      </c>
      <c r="M96" s="81">
        <f>+L96*M$95</f>
        <v>1124.8892827586205</v>
      </c>
      <c r="N96" s="23">
        <f>+L96+M96</f>
        <v>4874.520225287356</v>
      </c>
      <c r="O96" s="61">
        <f>+N96*O$95</f>
        <v>1949.8080901149424</v>
      </c>
      <c r="P96" s="62">
        <f>+N96+O96</f>
        <v>6824.3283154022984</v>
      </c>
      <c r="R96" s="24">
        <v>35756.175548589337</v>
      </c>
      <c r="S96">
        <f t="shared" si="52"/>
        <v>4.0000000000000133E-2</v>
      </c>
      <c r="U96" s="27">
        <v>100518334</v>
      </c>
      <c r="V96" s="24">
        <v>12021.428571428572</v>
      </c>
    </row>
    <row r="97" spans="1:22" ht="15" thickBot="1" x14ac:dyDescent="0.4">
      <c r="A97" s="80"/>
      <c r="B97" s="80">
        <v>100522395</v>
      </c>
      <c r="C97" s="42" t="s">
        <v>160</v>
      </c>
      <c r="D97" s="43">
        <v>7790360980625</v>
      </c>
      <c r="E97" s="81">
        <v>4.8</v>
      </c>
      <c r="F97" s="23">
        <v>12</v>
      </c>
      <c r="G97" s="24">
        <f t="shared" si="49"/>
        <v>37930.143680000008</v>
      </c>
      <c r="H97" s="135"/>
      <c r="I97" s="24">
        <f t="shared" ref="I97" si="61">+G97*(1-H97)</f>
        <v>37930.143680000008</v>
      </c>
      <c r="J97" s="226">
        <f>+I97/F97</f>
        <v>3160.8453066666675</v>
      </c>
      <c r="K97" s="226">
        <f>+J97*K$95</f>
        <v>663.7775144000002</v>
      </c>
      <c r="L97" s="43">
        <f>+J97+K97</f>
        <v>3824.6228210666677</v>
      </c>
      <c r="M97" s="81">
        <f>+L97*M$95</f>
        <v>1147.3868463200004</v>
      </c>
      <c r="N97" s="23">
        <f>+L97+M97</f>
        <v>4972.0096673866683</v>
      </c>
      <c r="O97" s="61">
        <f>+N97*O$95</f>
        <v>1988.8038669546675</v>
      </c>
      <c r="P97" s="62">
        <f>+N97+O97</f>
        <v>6960.813534341336</v>
      </c>
      <c r="R97" s="180">
        <v>36471.292000000001</v>
      </c>
      <c r="U97" s="27">
        <v>100518227</v>
      </c>
      <c r="V97" s="24">
        <v>14185.285714285716</v>
      </c>
    </row>
    <row r="98" spans="1:22" x14ac:dyDescent="0.35">
      <c r="A98" s="80"/>
      <c r="B98" s="80">
        <v>100522561</v>
      </c>
      <c r="C98" s="42" t="s">
        <v>169</v>
      </c>
      <c r="D98" s="43"/>
      <c r="E98" s="81">
        <v>16</v>
      </c>
      <c r="F98" s="23">
        <v>8</v>
      </c>
      <c r="G98" s="24">
        <f t="shared" si="49"/>
        <v>7507.0076033333353</v>
      </c>
      <c r="H98" s="135"/>
      <c r="I98" s="24">
        <f t="shared" ref="I98" si="62">+G98*(1-H98)</f>
        <v>7507.0076033333353</v>
      </c>
      <c r="J98" s="226">
        <f>+I98*2</f>
        <v>15014.015206666671</v>
      </c>
      <c r="K98" s="226">
        <f>+J98*K$95</f>
        <v>3152.9431934000008</v>
      </c>
      <c r="L98" s="43">
        <f>+J98+K98</f>
        <v>18166.958400066673</v>
      </c>
      <c r="M98" s="81">
        <f>+L98*M$95</f>
        <v>5450.0875200200016</v>
      </c>
      <c r="N98" s="23">
        <f>+L98+M98</f>
        <v>23617.045920086675</v>
      </c>
      <c r="O98" s="61">
        <f>+N98*O$95</f>
        <v>9446.8183680346701</v>
      </c>
      <c r="P98" s="62">
        <f>+N98+O98</f>
        <v>33063.864288121345</v>
      </c>
      <c r="R98" s="180" t="e">
        <v>#N/A</v>
      </c>
      <c r="U98" s="177">
        <v>100027726</v>
      </c>
      <c r="V98" s="24">
        <v>7155.2250000000004</v>
      </c>
    </row>
    <row r="99" spans="1:22" ht="15" thickBot="1" x14ac:dyDescent="0.4">
      <c r="B99" s="71"/>
      <c r="C99" s="72"/>
      <c r="D99" s="73"/>
      <c r="E99" s="72"/>
      <c r="F99" s="74"/>
      <c r="G99" s="75" t="e">
        <f>+VLOOKUP(B99,$U$4:$V$106,2,FALSE)</f>
        <v>#N/A</v>
      </c>
      <c r="H99" s="141"/>
      <c r="I99" s="75" t="e">
        <f t="shared" si="50"/>
        <v>#N/A</v>
      </c>
      <c r="J99" s="92"/>
      <c r="K99" s="93">
        <v>0.21</v>
      </c>
      <c r="L99" s="92"/>
      <c r="M99" s="38">
        <v>0.3</v>
      </c>
      <c r="N99" s="37"/>
      <c r="O99" s="38">
        <v>0.4</v>
      </c>
      <c r="P99" s="95"/>
      <c r="R99" s="75" t="e">
        <v>#N/A</v>
      </c>
      <c r="S99" t="e">
        <f t="shared" si="52"/>
        <v>#N/A</v>
      </c>
      <c r="U99" s="71"/>
      <c r="V99" s="75"/>
    </row>
    <row r="100" spans="1:22" ht="15" thickBot="1" x14ac:dyDescent="0.4">
      <c r="B100" s="125">
        <v>100520902</v>
      </c>
      <c r="C100" s="126" t="s">
        <v>87</v>
      </c>
      <c r="D100" s="127">
        <v>7790360981042</v>
      </c>
      <c r="E100" s="128">
        <v>9.8000000000000007</v>
      </c>
      <c r="F100" s="101">
        <v>14</v>
      </c>
      <c r="G100" s="85">
        <f>+VLOOKUP(B100,$U$4:$V$106,2,FALSE)</f>
        <v>33316.176941832127</v>
      </c>
      <c r="H100" s="117">
        <v>0.125</v>
      </c>
      <c r="I100" s="85">
        <f t="shared" si="50"/>
        <v>29151.654824103112</v>
      </c>
      <c r="J100" s="227">
        <f>+I100/F100</f>
        <v>2082.261058864508</v>
      </c>
      <c r="K100" s="228">
        <f>+J100*K$99</f>
        <v>437.27482236154668</v>
      </c>
      <c r="L100" s="127">
        <f>+J100+K100</f>
        <v>2519.5358812260547</v>
      </c>
      <c r="M100" s="128">
        <f>+L100*M$99</f>
        <v>755.86076436781639</v>
      </c>
      <c r="N100" s="101">
        <f>+L100+M100</f>
        <v>3275.3966455938712</v>
      </c>
      <c r="O100" s="111">
        <f>+N100*O$99</f>
        <v>1310.1586582375485</v>
      </c>
      <c r="P100" s="112">
        <f>+N100+O100</f>
        <v>4585.5553038314192</v>
      </c>
      <c r="Q100">
        <v>0.125</v>
      </c>
      <c r="R100" s="85">
        <v>28302.577499129231</v>
      </c>
      <c r="S100">
        <f t="shared" si="52"/>
        <v>3.0000000000000155E-2</v>
      </c>
      <c r="U100" s="27">
        <v>100520837</v>
      </c>
      <c r="V100" s="24">
        <v>37186.422570532915</v>
      </c>
    </row>
    <row r="101" spans="1:22" x14ac:dyDescent="0.35">
      <c r="A101" s="80"/>
      <c r="B101" s="125">
        <v>100522698</v>
      </c>
      <c r="C101" s="126" t="s">
        <v>170</v>
      </c>
      <c r="D101" s="127">
        <v>7790360986511</v>
      </c>
      <c r="E101" s="128">
        <v>14</v>
      </c>
      <c r="F101" s="101">
        <v>7</v>
      </c>
      <c r="G101" s="85">
        <f>+VLOOKUP(B101,$U$4:$V$106,2,FALSE)</f>
        <v>42720.437457279571</v>
      </c>
      <c r="H101" s="189"/>
      <c r="I101" s="85">
        <f t="shared" ref="I101" si="63">+G101*(1-H101)</f>
        <v>42720.437457279571</v>
      </c>
      <c r="J101" s="227">
        <f>+I101/F101</f>
        <v>6102.9196367542245</v>
      </c>
      <c r="K101" s="228">
        <f>+J101*K$99</f>
        <v>1281.613123718387</v>
      </c>
      <c r="L101" s="127">
        <f>+J101+K101</f>
        <v>7384.5327604726117</v>
      </c>
      <c r="M101" s="128">
        <f>+L101*M$99</f>
        <v>2215.3598281417835</v>
      </c>
      <c r="N101" s="101">
        <f>+L101+M101</f>
        <v>9599.8925886143952</v>
      </c>
      <c r="O101" s="111">
        <f>+N101*O$99</f>
        <v>3839.9570354457583</v>
      </c>
      <c r="P101" s="112">
        <f>+N101+O101</f>
        <v>13439.849624060153</v>
      </c>
      <c r="Q101">
        <v>0.125</v>
      </c>
      <c r="R101" s="207" t="e">
        <v>#N/A</v>
      </c>
      <c r="U101" s="80">
        <v>100522395</v>
      </c>
      <c r="V101" s="24">
        <v>37930.143680000008</v>
      </c>
    </row>
    <row r="102" spans="1:22" ht="15" thickBot="1" x14ac:dyDescent="0.4">
      <c r="B102" s="71"/>
      <c r="C102" s="72"/>
      <c r="D102" s="73"/>
      <c r="E102" s="72"/>
      <c r="F102" s="74"/>
      <c r="G102" s="75"/>
      <c r="H102" s="74"/>
      <c r="I102" s="75"/>
      <c r="J102" s="92"/>
      <c r="K102" s="93">
        <v>0.21</v>
      </c>
      <c r="L102" s="92"/>
      <c r="M102" s="94">
        <v>0.3</v>
      </c>
      <c r="N102" s="92"/>
      <c r="O102" s="94">
        <v>0.4</v>
      </c>
      <c r="P102" s="95"/>
      <c r="R102" s="75"/>
      <c r="U102" s="80">
        <v>100522561</v>
      </c>
      <c r="V102" s="24">
        <v>7507.0076033333353</v>
      </c>
    </row>
    <row r="103" spans="1:22" ht="15" thickBot="1" x14ac:dyDescent="0.4">
      <c r="B103" s="125">
        <v>100521457</v>
      </c>
      <c r="C103" s="126" t="s">
        <v>103</v>
      </c>
      <c r="D103" s="127">
        <v>7790360982254</v>
      </c>
      <c r="E103" s="128">
        <v>4.8</v>
      </c>
      <c r="F103" s="101">
        <v>16</v>
      </c>
      <c r="G103" s="85">
        <f>+VLOOKUP(B103,$U$4:$V$132,2,FALSE)</f>
        <v>37934.294670846401</v>
      </c>
      <c r="H103" s="223">
        <v>0.05</v>
      </c>
      <c r="I103" s="85">
        <f t="shared" si="50"/>
        <v>36037.579937304079</v>
      </c>
      <c r="J103" s="227">
        <f>+G103/F103</f>
        <v>2370.8934169279</v>
      </c>
      <c r="K103" s="228">
        <f>+J103*K$102</f>
        <v>497.88761755485899</v>
      </c>
      <c r="L103" s="127">
        <f>+J103+K103</f>
        <v>2868.781034482759</v>
      </c>
      <c r="M103" s="128">
        <f>+L103*M$102</f>
        <v>860.63431034482767</v>
      </c>
      <c r="N103" s="101">
        <f>+L103+M103</f>
        <v>3729.4153448275865</v>
      </c>
      <c r="O103" s="111">
        <f>+N103*O$102</f>
        <v>1491.7661379310348</v>
      </c>
      <c r="P103" s="112">
        <f>+N103+O103</f>
        <v>5221.1814827586213</v>
      </c>
      <c r="Q103">
        <v>7.4999999999999997E-2</v>
      </c>
      <c r="R103" s="85">
        <v>33418.307210031351</v>
      </c>
      <c r="S103">
        <f t="shared" si="52"/>
        <v>7.8378378378378397E-2</v>
      </c>
      <c r="U103" s="71"/>
      <c r="V103" s="75"/>
    </row>
    <row r="104" spans="1:22" ht="15" thickBot="1" x14ac:dyDescent="0.4">
      <c r="B104" s="125">
        <v>100521455</v>
      </c>
      <c r="C104" s="126" t="s">
        <v>104</v>
      </c>
      <c r="D104" s="127">
        <v>7790360982247</v>
      </c>
      <c r="E104" s="128">
        <v>4.8</v>
      </c>
      <c r="F104" s="101">
        <v>16</v>
      </c>
      <c r="G104" s="85">
        <f>+VLOOKUP(B104,$U$4:$V$112,2,FALSE)</f>
        <v>37934.294670846401</v>
      </c>
      <c r="H104" s="223">
        <v>0.05</v>
      </c>
      <c r="I104" s="85">
        <f t="shared" si="50"/>
        <v>36037.579937304079</v>
      </c>
      <c r="J104" s="154">
        <f>+G104/F104</f>
        <v>2370.8934169279</v>
      </c>
      <c r="K104" s="225">
        <f>+J104*K$102</f>
        <v>497.88761755485899</v>
      </c>
      <c r="L104" s="127">
        <f t="shared" ref="L104:L106" si="64">+J104+K104</f>
        <v>2868.781034482759</v>
      </c>
      <c r="M104" s="128">
        <f>+L104*M$102</f>
        <v>860.63431034482767</v>
      </c>
      <c r="N104" s="101">
        <f t="shared" ref="N104:N106" si="65">+L104+M104</f>
        <v>3729.4153448275865</v>
      </c>
      <c r="O104" s="111">
        <f>+N104*O$102</f>
        <v>1491.7661379310348</v>
      </c>
      <c r="P104" s="112">
        <f t="shared" ref="P104:P106" si="66">+N104+O104</f>
        <v>5221.1814827586213</v>
      </c>
      <c r="Q104">
        <v>7.4999999999999997E-2</v>
      </c>
      <c r="R104" s="85">
        <v>33418.307210031351</v>
      </c>
      <c r="S104">
        <f t="shared" si="52"/>
        <v>7.8378378378378397E-2</v>
      </c>
      <c r="U104" s="80">
        <v>100520902</v>
      </c>
      <c r="V104" s="24">
        <v>33316.176941832127</v>
      </c>
    </row>
    <row r="105" spans="1:22" ht="15" thickBot="1" x14ac:dyDescent="0.4">
      <c r="B105" s="125">
        <v>100521453</v>
      </c>
      <c r="C105" s="126" t="s">
        <v>105</v>
      </c>
      <c r="D105" s="127">
        <v>7790360982223</v>
      </c>
      <c r="E105" s="128">
        <v>5.4</v>
      </c>
      <c r="F105" s="101">
        <v>18</v>
      </c>
      <c r="G105" s="85">
        <f>+VLOOKUP(B105,$U$4:$V$112,2,FALSE)</f>
        <v>36630.303291536067</v>
      </c>
      <c r="H105" s="223">
        <v>0.05</v>
      </c>
      <c r="I105" s="85">
        <f t="shared" si="50"/>
        <v>34798.788126959262</v>
      </c>
      <c r="J105" s="154">
        <f>+G105/F105</f>
        <v>2035.0168495297814</v>
      </c>
      <c r="K105" s="225">
        <f>+J105*K$102</f>
        <v>427.35353840125407</v>
      </c>
      <c r="L105" s="127">
        <f t="shared" si="64"/>
        <v>2462.3703879310356</v>
      </c>
      <c r="M105" s="128">
        <f>+L105*M$102</f>
        <v>738.71111637931062</v>
      </c>
      <c r="N105" s="101">
        <f t="shared" si="65"/>
        <v>3201.0815043103462</v>
      </c>
      <c r="O105" s="111">
        <f>+N105*O$102</f>
        <v>1280.4326017241385</v>
      </c>
      <c r="P105" s="112">
        <f t="shared" si="66"/>
        <v>4481.5141060344849</v>
      </c>
      <c r="Q105">
        <v>7.4999999999999997E-2</v>
      </c>
      <c r="R105" s="85">
        <v>32896.146159874617</v>
      </c>
      <c r="S105">
        <f t="shared" si="52"/>
        <v>5.7837837837837969E-2</v>
      </c>
      <c r="U105" s="80">
        <v>100522698</v>
      </c>
      <c r="V105" s="24">
        <v>42720.437457279571</v>
      </c>
    </row>
    <row r="106" spans="1:22" x14ac:dyDescent="0.35">
      <c r="B106" s="125">
        <v>100521454</v>
      </c>
      <c r="C106" s="126" t="s">
        <v>106</v>
      </c>
      <c r="D106" s="127">
        <v>7790360982230</v>
      </c>
      <c r="E106" s="128">
        <v>5.3999999999999995</v>
      </c>
      <c r="F106" s="101">
        <v>18</v>
      </c>
      <c r="G106" s="85">
        <f>+VLOOKUP(B106,$U$4:$V$112,2,FALSE)</f>
        <v>36630.303291536067</v>
      </c>
      <c r="H106" s="223">
        <v>0.05</v>
      </c>
      <c r="I106" s="85">
        <f t="shared" si="50"/>
        <v>34798.788126959262</v>
      </c>
      <c r="J106" s="154">
        <f>+G106/F106</f>
        <v>2035.0168495297814</v>
      </c>
      <c r="K106" s="225">
        <f>+J106*K$102</f>
        <v>427.35353840125407</v>
      </c>
      <c r="L106" s="127">
        <f t="shared" si="64"/>
        <v>2462.3703879310356</v>
      </c>
      <c r="M106" s="128">
        <f>+L106*M$102</f>
        <v>738.71111637931062</v>
      </c>
      <c r="N106" s="101">
        <f t="shared" si="65"/>
        <v>3201.0815043103462</v>
      </c>
      <c r="O106" s="111">
        <f>+N106*O$102</f>
        <v>1280.4326017241385</v>
      </c>
      <c r="P106" s="112">
        <f t="shared" si="66"/>
        <v>4481.5141060344849</v>
      </c>
      <c r="Q106">
        <v>7.4999999999999997E-2</v>
      </c>
      <c r="R106" s="85">
        <v>32896.146159874617</v>
      </c>
      <c r="S106">
        <f t="shared" si="52"/>
        <v>5.7837837837837969E-2</v>
      </c>
      <c r="U106" s="71"/>
      <c r="V106" s="75"/>
    </row>
    <row r="107" spans="1:22" x14ac:dyDescent="0.35">
      <c r="B107" s="71"/>
      <c r="C107" s="72"/>
      <c r="D107" s="73"/>
      <c r="E107" s="204"/>
      <c r="F107" s="74"/>
      <c r="G107" s="74"/>
      <c r="H107" s="74"/>
      <c r="I107" s="75"/>
      <c r="J107" s="75"/>
      <c r="K107" s="78">
        <v>0.21</v>
      </c>
      <c r="L107" s="78"/>
      <c r="M107" s="78">
        <v>0.22</v>
      </c>
      <c r="N107" s="78"/>
      <c r="O107" s="78">
        <v>0.35</v>
      </c>
      <c r="P107" s="79"/>
      <c r="U107" s="80">
        <v>100521457</v>
      </c>
      <c r="V107" s="24">
        <v>37934.294670846401</v>
      </c>
    </row>
    <row r="108" spans="1:22" x14ac:dyDescent="0.35">
      <c r="B108" s="80">
        <v>100522246</v>
      </c>
      <c r="C108" s="42" t="s">
        <v>165</v>
      </c>
      <c r="D108" s="43">
        <v>7790360984234</v>
      </c>
      <c r="E108" s="81">
        <v>8.16</v>
      </c>
      <c r="F108" s="23">
        <v>48</v>
      </c>
      <c r="G108" s="24">
        <f>+VLOOKUP(B108,$U$4:$V$112,2,FALSE)</f>
        <v>116812.71733730749</v>
      </c>
      <c r="H108" s="231"/>
      <c r="I108" s="24">
        <f t="shared" ref="I108:I109" si="67">+G108*(1-H108)</f>
        <v>116812.71733730749</v>
      </c>
      <c r="J108" s="24">
        <f t="shared" ref="J108:J109" si="68">+I108/F108</f>
        <v>2433.5982778605726</v>
      </c>
      <c r="K108" s="24">
        <f t="shared" ref="K108:K109" si="69">+J108*K$3</f>
        <v>511.05563835072024</v>
      </c>
      <c r="L108" s="24">
        <f t="shared" ref="L108:L109" si="70">+J108+K108</f>
        <v>2944.6539162112927</v>
      </c>
      <c r="M108" s="24">
        <f t="shared" ref="M108:M109" si="71">+L108*M$39</f>
        <v>588.9307832422586</v>
      </c>
      <c r="N108" s="24">
        <f t="shared" ref="N108:N109" si="72">+L108+M108</f>
        <v>3533.5846994535514</v>
      </c>
      <c r="O108" s="24">
        <f t="shared" ref="O108:O109" si="73">+N108*O$39</f>
        <v>1236.7546448087428</v>
      </c>
      <c r="P108" s="25">
        <f t="shared" ref="P108:P109" si="74">+N108+O108</f>
        <v>4770.3393442622946</v>
      </c>
      <c r="Q108">
        <v>0.20833333333333301</v>
      </c>
      <c r="R108">
        <v>92476.734558701792</v>
      </c>
      <c r="U108" s="80">
        <v>100521455</v>
      </c>
      <c r="V108" s="24">
        <v>37934.294670846401</v>
      </c>
    </row>
    <row r="109" spans="1:22" x14ac:dyDescent="0.35">
      <c r="B109" s="80">
        <v>100522247</v>
      </c>
      <c r="C109" s="42" t="s">
        <v>166</v>
      </c>
      <c r="D109" s="43">
        <v>7790360984241</v>
      </c>
      <c r="E109" s="81">
        <v>8.16</v>
      </c>
      <c r="F109" s="23">
        <v>48</v>
      </c>
      <c r="G109" s="24">
        <f>+VLOOKUP(B109,$U$4:$V$132,2,FALSE)</f>
        <v>116812.71733730749</v>
      </c>
      <c r="H109" s="231"/>
      <c r="I109" s="24">
        <f t="shared" si="67"/>
        <v>116812.71733730749</v>
      </c>
      <c r="J109" s="24">
        <f t="shared" si="68"/>
        <v>2433.5982778605726</v>
      </c>
      <c r="K109" s="24">
        <f t="shared" si="69"/>
        <v>511.05563835072024</v>
      </c>
      <c r="L109" s="24">
        <f t="shared" si="70"/>
        <v>2944.6539162112927</v>
      </c>
      <c r="M109" s="24">
        <f t="shared" si="71"/>
        <v>588.9307832422586</v>
      </c>
      <c r="N109" s="24">
        <f t="shared" si="72"/>
        <v>3533.5846994535514</v>
      </c>
      <c r="O109" s="24">
        <f t="shared" si="73"/>
        <v>1236.7546448087428</v>
      </c>
      <c r="P109" s="25">
        <f t="shared" si="74"/>
        <v>4770.3393442622946</v>
      </c>
      <c r="Q109">
        <v>0.20833333333333301</v>
      </c>
      <c r="R109">
        <v>92476.734558701792</v>
      </c>
      <c r="U109" s="80">
        <v>100521453</v>
      </c>
      <c r="V109" s="24">
        <v>36630.303291536067</v>
      </c>
    </row>
    <row r="110" spans="1:22" x14ac:dyDescent="0.35">
      <c r="U110" s="80">
        <v>100521454</v>
      </c>
      <c r="V110" s="24">
        <v>36630.303291536067</v>
      </c>
    </row>
    <row r="111" spans="1:22" x14ac:dyDescent="0.35">
      <c r="U111" s="71"/>
      <c r="V111" s="75"/>
    </row>
    <row r="112" spans="1:22" x14ac:dyDescent="0.35">
      <c r="U112" s="80">
        <v>100522246</v>
      </c>
      <c r="V112" s="24">
        <v>116812.71733730749</v>
      </c>
    </row>
    <row r="113" spans="21:22" x14ac:dyDescent="0.35">
      <c r="U113" s="80">
        <v>100522247</v>
      </c>
      <c r="V113" s="24">
        <v>116812.71733730749</v>
      </c>
    </row>
  </sheetData>
  <conditionalFormatting sqref="A98:F98">
    <cfRule type="cellIs" dxfId="35" priority="3" stopIfTrue="1" operator="equal">
      <formula>0</formula>
    </cfRule>
  </conditionalFormatting>
  <conditionalFormatting sqref="A101:F101">
    <cfRule type="cellIs" dxfId="34" priority="1" stopIfTrue="1" operator="equal">
      <formula>0</formula>
    </cfRule>
  </conditionalFormatting>
  <conditionalFormatting sqref="B20:C20">
    <cfRule type="cellIs" dxfId="33" priority="66" stopIfTrue="1" operator="equal">
      <formula>0</formula>
    </cfRule>
  </conditionalFormatting>
  <conditionalFormatting sqref="B27:C27">
    <cfRule type="cellIs" dxfId="32" priority="57" stopIfTrue="1" operator="equal">
      <formula>0</formula>
    </cfRule>
  </conditionalFormatting>
  <conditionalFormatting sqref="B63:D63">
    <cfRule type="cellIs" dxfId="31" priority="64" stopIfTrue="1" operator="equal">
      <formula>0</formula>
    </cfRule>
  </conditionalFormatting>
  <conditionalFormatting sqref="B16:F19">
    <cfRule type="cellIs" dxfId="30" priority="53" stopIfTrue="1" operator="equal">
      <formula>0</formula>
    </cfRule>
  </conditionalFormatting>
  <conditionalFormatting sqref="B100:F100">
    <cfRule type="cellIs" dxfId="29" priority="50" stopIfTrue="1" operator="equal">
      <formula>0</formula>
    </cfRule>
  </conditionalFormatting>
  <conditionalFormatting sqref="B103:F106">
    <cfRule type="cellIs" dxfId="28" priority="36" stopIfTrue="1" operator="equal">
      <formula>0</formula>
    </cfRule>
  </conditionalFormatting>
  <conditionalFormatting sqref="B69:P69">
    <cfRule type="cellIs" dxfId="27" priority="8" stopIfTrue="1" operator="equal">
      <formula>0</formula>
    </cfRule>
  </conditionalFormatting>
  <conditionalFormatting sqref="B73:P74">
    <cfRule type="cellIs" dxfId="26" priority="7" stopIfTrue="1" operator="equal">
      <formula>0</formula>
    </cfRule>
  </conditionalFormatting>
  <conditionalFormatting sqref="C28">
    <cfRule type="cellIs" dxfId="25" priority="56" stopIfTrue="1" operator="equal">
      <formula>0</formula>
    </cfRule>
  </conditionalFormatting>
  <conditionalFormatting sqref="D94:F94">
    <cfRule type="cellIs" dxfId="24" priority="26" stopIfTrue="1" operator="equal">
      <formula>0</formula>
    </cfRule>
  </conditionalFormatting>
  <conditionalFormatting sqref="E20:F20">
    <cfRule type="cellIs" dxfId="23" priority="65" stopIfTrue="1" operator="equal">
      <formula>0</formula>
    </cfRule>
  </conditionalFormatting>
  <conditionalFormatting sqref="E89:F93">
    <cfRule type="cellIs" dxfId="22" priority="54" stopIfTrue="1" operator="equal">
      <formula>0</formula>
    </cfRule>
  </conditionalFormatting>
  <conditionalFormatting sqref="E96:F97">
    <cfRule type="cellIs" dxfId="21" priority="52" stopIfTrue="1" operator="equal">
      <formula>0</formula>
    </cfRule>
  </conditionalFormatting>
  <conditionalFormatting sqref="E58:G61 J59:P61">
    <cfRule type="cellIs" dxfId="20" priority="61" stopIfTrue="1" operator="equal">
      <formula>0</formula>
    </cfRule>
  </conditionalFormatting>
  <conditionalFormatting sqref="G16 I16:J16 G17:J20">
    <cfRule type="cellIs" dxfId="19" priority="48" stopIfTrue="1" operator="equal">
      <formula>0</formula>
    </cfRule>
  </conditionalFormatting>
  <conditionalFormatting sqref="H89:H94">
    <cfRule type="cellIs" dxfId="18" priority="6" stopIfTrue="1" operator="equal">
      <formula>0</formula>
    </cfRule>
  </conditionalFormatting>
  <conditionalFormatting sqref="H96:H98">
    <cfRule type="cellIs" dxfId="17" priority="9" stopIfTrue="1" operator="equal">
      <formula>0</formula>
    </cfRule>
  </conditionalFormatting>
  <conditionalFormatting sqref="H100:H101">
    <cfRule type="cellIs" dxfId="16" priority="5" stopIfTrue="1" operator="equal">
      <formula>0</formula>
    </cfRule>
  </conditionalFormatting>
  <conditionalFormatting sqref="H108:I109">
    <cfRule type="cellIs" dxfId="15" priority="4" stopIfTrue="1" operator="equal">
      <formula>0</formula>
    </cfRule>
  </conditionalFormatting>
  <conditionalFormatting sqref="I58:P58">
    <cfRule type="cellIs" dxfId="14" priority="47" stopIfTrue="1" operator="equal">
      <formula>0</formula>
    </cfRule>
  </conditionalFormatting>
  <conditionalFormatting sqref="J96:N98">
    <cfRule type="cellIs" dxfId="13" priority="51" stopIfTrue="1" operator="equal">
      <formula>0</formula>
    </cfRule>
  </conditionalFormatting>
  <conditionalFormatting sqref="J100:N101">
    <cfRule type="cellIs" dxfId="12" priority="49" stopIfTrue="1" operator="equal">
      <formula>0</formula>
    </cfRule>
  </conditionalFormatting>
  <conditionalFormatting sqref="J103:N106">
    <cfRule type="cellIs" dxfId="11" priority="35" stopIfTrue="1" operator="equal">
      <formula>0</formula>
    </cfRule>
  </conditionalFormatting>
  <conditionalFormatting sqref="J90:P94">
    <cfRule type="cellIs" dxfId="10" priority="55" stopIfTrue="1" operator="equal">
      <formula>0</formula>
    </cfRule>
  </conditionalFormatting>
  <conditionalFormatting sqref="M37:M38">
    <cfRule type="cellIs" dxfId="9" priority="59" stopIfTrue="1" operator="equal">
      <formula>0</formula>
    </cfRule>
  </conditionalFormatting>
  <conditionalFormatting sqref="M16:P20">
    <cfRule type="cellIs" dxfId="8" priority="58" stopIfTrue="1" operator="equal">
      <formula>0</formula>
    </cfRule>
  </conditionalFormatting>
  <conditionalFormatting sqref="U27">
    <cfRule type="cellIs" dxfId="7" priority="24" stopIfTrue="1" operator="equal">
      <formula>0</formula>
    </cfRule>
  </conditionalFormatting>
  <conditionalFormatting sqref="U66">
    <cfRule type="cellIs" dxfId="6" priority="25" stopIfTrue="1" operator="equal">
      <formula>0</formula>
    </cfRule>
  </conditionalFormatting>
  <conditionalFormatting sqref="U104">
    <cfRule type="cellIs" dxfId="5" priority="22" stopIfTrue="1" operator="equal">
      <formula>0</formula>
    </cfRule>
  </conditionalFormatting>
  <conditionalFormatting sqref="U106:U109">
    <cfRule type="cellIs" dxfId="4" priority="21" stopIfTrue="1" operator="equal">
      <formula>0</formula>
    </cfRule>
  </conditionalFormatting>
  <conditionalFormatting sqref="U16:V18">
    <cfRule type="cellIs" dxfId="3" priority="17" stopIfTrue="1" operator="equal">
      <formula>0</formula>
    </cfRule>
  </conditionalFormatting>
  <conditionalFormatting sqref="U72:V72">
    <cfRule type="cellIs" dxfId="2" priority="16" stopIfTrue="1" operator="equal">
      <formula>0</formula>
    </cfRule>
  </conditionalFormatting>
  <conditionalFormatting sqref="U76:V77">
    <cfRule type="cellIs" dxfId="1" priority="15" stopIfTrue="1" operator="equal">
      <formula>0</formula>
    </cfRule>
  </conditionalFormatting>
  <conditionalFormatting sqref="V61:V64">
    <cfRule type="cellIs" dxfId="0" priority="18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Litoral</vt:lpstr>
      <vt:lpstr>NEA</vt:lpstr>
      <vt:lpstr>NOA</vt:lpstr>
      <vt:lpstr>Sub Litoral</vt:lpstr>
      <vt:lpstr>Sub NEA</vt:lpstr>
      <vt:lpstr>Sub NOA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Pizarro</dc:creator>
  <cp:lastModifiedBy>Juan Bessone</cp:lastModifiedBy>
  <dcterms:created xsi:type="dcterms:W3CDTF">2025-03-05T13:00:54Z</dcterms:created>
  <dcterms:modified xsi:type="dcterms:W3CDTF">2026-02-05T15:56:53Z</dcterms:modified>
</cp:coreProperties>
</file>