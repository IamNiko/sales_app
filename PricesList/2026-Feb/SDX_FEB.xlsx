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Feb/"/>
    </mc:Choice>
  </mc:AlternateContent>
  <xr:revisionPtr revIDLastSave="0" documentId="8_{B0BCACDF-5EF0-4DDC-8E68-C370CC58E3B8}" xr6:coauthVersionLast="47" xr6:coauthVersionMax="47" xr10:uidLastSave="{00000000-0000-0000-0000-000000000000}"/>
  <bookViews>
    <workbookView xWindow="-120" yWindow="-120" windowWidth="20730" windowHeight="11040" xr2:uid="{2AF5219A-55C8-44AE-9F55-1F6E4AF415EC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 l="1"/>
  <c r="I109" i="1" s="1"/>
  <c r="J108" i="1"/>
  <c r="K108" i="1" s="1"/>
  <c r="I108" i="1"/>
  <c r="S108" i="1" s="1"/>
  <c r="G108" i="1"/>
  <c r="G106" i="1"/>
  <c r="I106" i="1" s="1"/>
  <c r="I105" i="1"/>
  <c r="J105" i="1" s="1"/>
  <c r="G105" i="1"/>
  <c r="G104" i="1"/>
  <c r="I104" i="1" s="1"/>
  <c r="J103" i="1"/>
  <c r="K103" i="1" s="1"/>
  <c r="I103" i="1"/>
  <c r="S103" i="1" s="1"/>
  <c r="G103" i="1"/>
  <c r="G102" i="1"/>
  <c r="I102" i="1" s="1"/>
  <c r="I101" i="1"/>
  <c r="J101" i="1" s="1"/>
  <c r="G101" i="1"/>
  <c r="G100" i="1"/>
  <c r="I100" i="1" s="1"/>
  <c r="S99" i="1"/>
  <c r="I99" i="1"/>
  <c r="G99" i="1"/>
  <c r="G98" i="1"/>
  <c r="I98" i="1" s="1"/>
  <c r="J97" i="1"/>
  <c r="G97" i="1"/>
  <c r="I97" i="1" s="1"/>
  <c r="S97" i="1" s="1"/>
  <c r="I96" i="1"/>
  <c r="J96" i="1" s="1"/>
  <c r="K96" i="1" s="1"/>
  <c r="G96" i="1"/>
  <c r="G95" i="1"/>
  <c r="I95" i="1" s="1"/>
  <c r="S95" i="1" s="1"/>
  <c r="G94" i="1"/>
  <c r="I94" i="1" s="1"/>
  <c r="J94" i="1" s="1"/>
  <c r="J93" i="1"/>
  <c r="G93" i="1"/>
  <c r="I93" i="1" s="1"/>
  <c r="S93" i="1" s="1"/>
  <c r="I92" i="1"/>
  <c r="J92" i="1" s="1"/>
  <c r="K92" i="1" s="1"/>
  <c r="G92" i="1"/>
  <c r="K91" i="1"/>
  <c r="J91" i="1"/>
  <c r="L91" i="1" s="1"/>
  <c r="I91" i="1"/>
  <c r="S91" i="1" s="1"/>
  <c r="G91" i="1"/>
  <c r="G90" i="1"/>
  <c r="I90" i="1" s="1"/>
  <c r="G89" i="1"/>
  <c r="I89" i="1" s="1"/>
  <c r="S89" i="1" s="1"/>
  <c r="S88" i="1"/>
  <c r="I88" i="1"/>
  <c r="G88" i="1"/>
  <c r="G87" i="1"/>
  <c r="I87" i="1" s="1"/>
  <c r="S86" i="1"/>
  <c r="I86" i="1"/>
  <c r="J86" i="1" s="1"/>
  <c r="G86" i="1"/>
  <c r="J85" i="1"/>
  <c r="I85" i="1"/>
  <c r="S85" i="1" s="1"/>
  <c r="N84" i="1"/>
  <c r="K84" i="1"/>
  <c r="J84" i="1"/>
  <c r="L84" i="1" s="1"/>
  <c r="M84" i="1" s="1"/>
  <c r="I84" i="1"/>
  <c r="S84" i="1" s="1"/>
  <c r="G84" i="1"/>
  <c r="G83" i="1"/>
  <c r="I83" i="1" s="1"/>
  <c r="I82" i="1"/>
  <c r="J82" i="1" s="1"/>
  <c r="J81" i="1"/>
  <c r="K81" i="1" s="1"/>
  <c r="I81" i="1"/>
  <c r="S81" i="1" s="1"/>
  <c r="G81" i="1"/>
  <c r="G80" i="1"/>
  <c r="I80" i="1" s="1"/>
  <c r="I79" i="1"/>
  <c r="G79" i="1"/>
  <c r="J78" i="1"/>
  <c r="I78" i="1"/>
  <c r="S78" i="1" s="1"/>
  <c r="K77" i="1"/>
  <c r="J77" i="1"/>
  <c r="L77" i="1" s="1"/>
  <c r="M77" i="1" s="1"/>
  <c r="I77" i="1"/>
  <c r="S77" i="1" s="1"/>
  <c r="L76" i="1"/>
  <c r="M76" i="1" s="1"/>
  <c r="K76" i="1"/>
  <c r="J76" i="1"/>
  <c r="I76" i="1"/>
  <c r="S76" i="1" s="1"/>
  <c r="S75" i="1"/>
  <c r="J75" i="1"/>
  <c r="I75" i="1"/>
  <c r="G74" i="1"/>
  <c r="I74" i="1" s="1"/>
  <c r="J73" i="1"/>
  <c r="I73" i="1"/>
  <c r="S73" i="1" s="1"/>
  <c r="G73" i="1"/>
  <c r="L72" i="1"/>
  <c r="K72" i="1"/>
  <c r="J72" i="1"/>
  <c r="I72" i="1"/>
  <c r="S72" i="1" s="1"/>
  <c r="G71" i="1"/>
  <c r="I71" i="1" s="1"/>
  <c r="G70" i="1"/>
  <c r="I70" i="1" s="1"/>
  <c r="S69" i="1"/>
  <c r="I69" i="1"/>
  <c r="J69" i="1" s="1"/>
  <c r="K69" i="1" s="1"/>
  <c r="G69" i="1"/>
  <c r="K68" i="1"/>
  <c r="J68" i="1"/>
  <c r="I68" i="1"/>
  <c r="S68" i="1" s="1"/>
  <c r="G68" i="1"/>
  <c r="K67" i="1"/>
  <c r="G67" i="1"/>
  <c r="I67" i="1" s="1"/>
  <c r="J67" i="1" s="1"/>
  <c r="L67" i="1" s="1"/>
  <c r="S66" i="1"/>
  <c r="I66" i="1"/>
  <c r="J66" i="1" s="1"/>
  <c r="G66" i="1"/>
  <c r="G65" i="1"/>
  <c r="I65" i="1" s="1"/>
  <c r="S64" i="1"/>
  <c r="J64" i="1"/>
  <c r="I64" i="1"/>
  <c r="G64" i="1"/>
  <c r="E64" i="1"/>
  <c r="G63" i="1"/>
  <c r="I63" i="1" s="1"/>
  <c r="E63" i="1"/>
  <c r="S62" i="1"/>
  <c r="J62" i="1"/>
  <c r="J61" i="1"/>
  <c r="I61" i="1"/>
  <c r="S61" i="1" s="1"/>
  <c r="G61" i="1"/>
  <c r="G60" i="1"/>
  <c r="I60" i="1" s="1"/>
  <c r="I59" i="1"/>
  <c r="G59" i="1"/>
  <c r="G58" i="1"/>
  <c r="I58" i="1" s="1"/>
  <c r="S57" i="1"/>
  <c r="J57" i="1"/>
  <c r="G56" i="1"/>
  <c r="I56" i="1" s="1"/>
  <c r="I55" i="1"/>
  <c r="J55" i="1" s="1"/>
  <c r="G55" i="1"/>
  <c r="G54" i="1"/>
  <c r="I54" i="1" s="1"/>
  <c r="I53" i="1"/>
  <c r="G53" i="1"/>
  <c r="G52" i="1"/>
  <c r="I52" i="1" s="1"/>
  <c r="S51" i="1"/>
  <c r="J51" i="1"/>
  <c r="I51" i="1"/>
  <c r="G51" i="1"/>
  <c r="G50" i="1"/>
  <c r="I50" i="1" s="1"/>
  <c r="I49" i="1"/>
  <c r="S49" i="1" s="1"/>
  <c r="G49" i="1"/>
  <c r="G48" i="1"/>
  <c r="I48" i="1" s="1"/>
  <c r="I47" i="1"/>
  <c r="G47" i="1"/>
  <c r="G46" i="1"/>
  <c r="I46" i="1" s="1"/>
  <c r="S45" i="1"/>
  <c r="I45" i="1"/>
  <c r="J45" i="1" s="1"/>
  <c r="G45" i="1"/>
  <c r="G44" i="1"/>
  <c r="I44" i="1" s="1"/>
  <c r="G43" i="1"/>
  <c r="I43" i="1" s="1"/>
  <c r="J43" i="1" s="1"/>
  <c r="J42" i="1"/>
  <c r="I42" i="1"/>
  <c r="G42" i="1"/>
  <c r="G41" i="1"/>
  <c r="I41" i="1" s="1"/>
  <c r="I40" i="1"/>
  <c r="S40" i="1" s="1"/>
  <c r="G40" i="1"/>
  <c r="S39" i="1"/>
  <c r="J39" i="1"/>
  <c r="I38" i="1"/>
  <c r="G38" i="1"/>
  <c r="G37" i="1"/>
  <c r="I37" i="1" s="1"/>
  <c r="G36" i="1"/>
  <c r="I36" i="1" s="1"/>
  <c r="J36" i="1" s="1"/>
  <c r="S35" i="1"/>
  <c r="J35" i="1"/>
  <c r="I35" i="1"/>
  <c r="G35" i="1"/>
  <c r="I34" i="1"/>
  <c r="G34" i="1"/>
  <c r="I33" i="1"/>
  <c r="J33" i="1" s="1"/>
  <c r="G33" i="1"/>
  <c r="G32" i="1"/>
  <c r="I32" i="1" s="1"/>
  <c r="G31" i="1"/>
  <c r="I31" i="1" s="1"/>
  <c r="J31" i="1" s="1"/>
  <c r="S30" i="1"/>
  <c r="I30" i="1"/>
  <c r="J30" i="1" s="1"/>
  <c r="G30" i="1"/>
  <c r="S29" i="1"/>
  <c r="J29" i="1"/>
  <c r="I28" i="1"/>
  <c r="J28" i="1" s="1"/>
  <c r="G28" i="1"/>
  <c r="E28" i="1"/>
  <c r="G27" i="1"/>
  <c r="I27" i="1" s="1"/>
  <c r="S27" i="1" s="1"/>
  <c r="G26" i="1"/>
  <c r="I26" i="1" s="1"/>
  <c r="I25" i="1"/>
  <c r="G25" i="1"/>
  <c r="J24" i="1"/>
  <c r="K24" i="1" s="1"/>
  <c r="I24" i="1"/>
  <c r="S24" i="1" s="1"/>
  <c r="G24" i="1"/>
  <c r="E24" i="1"/>
  <c r="G23" i="1"/>
  <c r="I23" i="1" s="1"/>
  <c r="I22" i="1"/>
  <c r="J22" i="1" s="1"/>
  <c r="G22" i="1"/>
  <c r="I21" i="1"/>
  <c r="J21" i="1" s="1"/>
  <c r="G21" i="1"/>
  <c r="G20" i="1"/>
  <c r="I20" i="1" s="1"/>
  <c r="G19" i="1"/>
  <c r="I19" i="1" s="1"/>
  <c r="G18" i="1"/>
  <c r="I18" i="1" s="1"/>
  <c r="S17" i="1"/>
  <c r="J17" i="1"/>
  <c r="I17" i="1"/>
  <c r="G17" i="1"/>
  <c r="G16" i="1"/>
  <c r="I16" i="1" s="1"/>
  <c r="G15" i="1"/>
  <c r="I15" i="1" s="1"/>
  <c r="I14" i="1"/>
  <c r="J14" i="1" s="1"/>
  <c r="G14" i="1"/>
  <c r="S13" i="1"/>
  <c r="J13" i="1"/>
  <c r="I13" i="1"/>
  <c r="G13" i="1"/>
  <c r="G12" i="1"/>
  <c r="I12" i="1" s="1"/>
  <c r="G11" i="1"/>
  <c r="I11" i="1" s="1"/>
  <c r="G10" i="1"/>
  <c r="I10" i="1" s="1"/>
  <c r="S9" i="1"/>
  <c r="J9" i="1"/>
  <c r="I9" i="1"/>
  <c r="G9" i="1"/>
  <c r="G8" i="1"/>
  <c r="I8" i="1" s="1"/>
  <c r="G7" i="1"/>
  <c r="I7" i="1" s="1"/>
  <c r="G6" i="1"/>
  <c r="I6" i="1" s="1"/>
  <c r="I5" i="1"/>
  <c r="S5" i="1" s="1"/>
  <c r="G5" i="1"/>
  <c r="G4" i="1"/>
  <c r="I4" i="1" s="1"/>
  <c r="J18" i="1" l="1"/>
  <c r="S18" i="1"/>
  <c r="S6" i="1"/>
  <c r="J6" i="1"/>
  <c r="S10" i="1"/>
  <c r="J10" i="1"/>
  <c r="K9" i="1"/>
  <c r="L9" i="1" s="1"/>
  <c r="K33" i="1"/>
  <c r="L33" i="1"/>
  <c r="S65" i="1"/>
  <c r="J65" i="1"/>
  <c r="J5" i="1"/>
  <c r="S11" i="1"/>
  <c r="J11" i="1"/>
  <c r="S22" i="1"/>
  <c r="L24" i="1"/>
  <c r="K36" i="1"/>
  <c r="L36" i="1"/>
  <c r="J79" i="1"/>
  <c r="S79" i="1"/>
  <c r="J4" i="1"/>
  <c r="S4" i="1"/>
  <c r="S14" i="1"/>
  <c r="S23" i="1"/>
  <c r="J23" i="1"/>
  <c r="J34" i="1"/>
  <c r="S34" i="1"/>
  <c r="K43" i="1"/>
  <c r="L43" i="1" s="1"/>
  <c r="S46" i="1"/>
  <c r="J46" i="1"/>
  <c r="S50" i="1"/>
  <c r="J50" i="1"/>
  <c r="M91" i="1"/>
  <c r="N91" i="1"/>
  <c r="J38" i="1"/>
  <c r="S38" i="1"/>
  <c r="J27" i="1"/>
  <c r="L13" i="1"/>
  <c r="K28" i="1"/>
  <c r="L28" i="1" s="1"/>
  <c r="S53" i="1"/>
  <c r="J53" i="1"/>
  <c r="J16" i="1"/>
  <c r="S16" i="1"/>
  <c r="K45" i="1"/>
  <c r="L45" i="1"/>
  <c r="J8" i="1"/>
  <c r="S8" i="1"/>
  <c r="L21" i="1"/>
  <c r="L31" i="1"/>
  <c r="K31" i="1"/>
  <c r="K13" i="1"/>
  <c r="S19" i="1"/>
  <c r="J19" i="1"/>
  <c r="K21" i="1"/>
  <c r="S28" i="1"/>
  <c r="S41" i="1"/>
  <c r="J41" i="1"/>
  <c r="J47" i="1"/>
  <c r="S47" i="1"/>
  <c r="K61" i="1"/>
  <c r="L61" i="1"/>
  <c r="K22" i="1"/>
  <c r="L22" i="1"/>
  <c r="S7" i="1"/>
  <c r="J7" i="1"/>
  <c r="S15" i="1"/>
  <c r="J15" i="1"/>
  <c r="J25" i="1"/>
  <c r="S25" i="1"/>
  <c r="J12" i="1"/>
  <c r="S12" i="1"/>
  <c r="L17" i="1"/>
  <c r="S21" i="1"/>
  <c r="S26" i="1"/>
  <c r="J26" i="1"/>
  <c r="S32" i="1"/>
  <c r="J32" i="1"/>
  <c r="M67" i="1"/>
  <c r="N67" i="1"/>
  <c r="K17" i="1"/>
  <c r="L35" i="1"/>
  <c r="K35" i="1"/>
  <c r="S70" i="1"/>
  <c r="J70" i="1"/>
  <c r="K14" i="1"/>
  <c r="L14" i="1"/>
  <c r="J20" i="1"/>
  <c r="S20" i="1"/>
  <c r="J59" i="1"/>
  <c r="S59" i="1"/>
  <c r="K30" i="1"/>
  <c r="L30" i="1" s="1"/>
  <c r="J63" i="1"/>
  <c r="S63" i="1"/>
  <c r="K94" i="1"/>
  <c r="L94" i="1" s="1"/>
  <c r="S54" i="1"/>
  <c r="J54" i="1"/>
  <c r="J90" i="1"/>
  <c r="S90" i="1"/>
  <c r="J48" i="1"/>
  <c r="S48" i="1"/>
  <c r="J56" i="1"/>
  <c r="S56" i="1"/>
  <c r="K73" i="1"/>
  <c r="L73" i="1" s="1"/>
  <c r="J87" i="1"/>
  <c r="S87" i="1"/>
  <c r="L92" i="1"/>
  <c r="L96" i="1"/>
  <c r="S100" i="1"/>
  <c r="J100" i="1"/>
  <c r="J40" i="1"/>
  <c r="J49" i="1"/>
  <c r="S55" i="1"/>
  <c r="J60" i="1"/>
  <c r="S60" i="1"/>
  <c r="N77" i="1"/>
  <c r="J106" i="1"/>
  <c r="S106" i="1"/>
  <c r="L69" i="1"/>
  <c r="K42" i="1"/>
  <c r="L42" i="1" s="1"/>
  <c r="J44" i="1"/>
  <c r="S44" i="1"/>
  <c r="K51" i="1"/>
  <c r="L51" i="1" s="1"/>
  <c r="K64" i="1"/>
  <c r="L64" i="1"/>
  <c r="K66" i="1"/>
  <c r="L66" i="1" s="1"/>
  <c r="S74" i="1"/>
  <c r="J74" i="1"/>
  <c r="O84" i="1"/>
  <c r="P84" i="1" s="1"/>
  <c r="K93" i="1"/>
  <c r="L93" i="1" s="1"/>
  <c r="K97" i="1"/>
  <c r="L97" i="1" s="1"/>
  <c r="S104" i="1"/>
  <c r="J104" i="1"/>
  <c r="J98" i="1"/>
  <c r="S98" i="1"/>
  <c r="K101" i="1"/>
  <c r="L101" i="1" s="1"/>
  <c r="K55" i="1"/>
  <c r="L55" i="1" s="1"/>
  <c r="L68" i="1"/>
  <c r="M72" i="1"/>
  <c r="N72" i="1"/>
  <c r="J83" i="1"/>
  <c r="S83" i="1"/>
  <c r="S101" i="1"/>
  <c r="J80" i="1"/>
  <c r="S80" i="1"/>
  <c r="K105" i="1"/>
  <c r="L105" i="1" s="1"/>
  <c r="S109" i="1"/>
  <c r="J109" i="1"/>
  <c r="S37" i="1"/>
  <c r="J37" i="1"/>
  <c r="J52" i="1"/>
  <c r="S52" i="1"/>
  <c r="S58" i="1"/>
  <c r="J58" i="1"/>
  <c r="J71" i="1"/>
  <c r="S71" i="1"/>
  <c r="K86" i="1"/>
  <c r="L86" i="1" s="1"/>
  <c r="J89" i="1"/>
  <c r="S105" i="1"/>
  <c r="N76" i="1"/>
  <c r="L81" i="1"/>
  <c r="S82" i="1"/>
  <c r="L103" i="1"/>
  <c r="L108" i="1"/>
  <c r="S92" i="1"/>
  <c r="S96" i="1"/>
  <c r="M43" i="1" l="1"/>
  <c r="N43" i="1" s="1"/>
  <c r="M97" i="1"/>
  <c r="N97" i="1" s="1"/>
  <c r="M93" i="1"/>
  <c r="N93" i="1" s="1"/>
  <c r="M55" i="1"/>
  <c r="N55" i="1" s="1"/>
  <c r="M101" i="1"/>
  <c r="N101" i="1" s="1"/>
  <c r="M42" i="1"/>
  <c r="N42" i="1" s="1"/>
  <c r="M73" i="1"/>
  <c r="N73" i="1" s="1"/>
  <c r="M28" i="1"/>
  <c r="N28" i="1" s="1"/>
  <c r="M9" i="1"/>
  <c r="N9" i="1"/>
  <c r="M30" i="1"/>
  <c r="N30" i="1"/>
  <c r="M51" i="1"/>
  <c r="N51" i="1" s="1"/>
  <c r="M105" i="1"/>
  <c r="N105" i="1" s="1"/>
  <c r="M94" i="1"/>
  <c r="N94" i="1" s="1"/>
  <c r="M86" i="1"/>
  <c r="N86" i="1" s="1"/>
  <c r="M66" i="1"/>
  <c r="N66" i="1" s="1"/>
  <c r="K59" i="1"/>
  <c r="L59" i="1" s="1"/>
  <c r="K41" i="1"/>
  <c r="L41" i="1"/>
  <c r="K53" i="1"/>
  <c r="L53" i="1"/>
  <c r="K6" i="1"/>
  <c r="L6" i="1" s="1"/>
  <c r="K100" i="1"/>
  <c r="L100" i="1" s="1"/>
  <c r="M36" i="1"/>
  <c r="N36" i="1" s="1"/>
  <c r="M33" i="1"/>
  <c r="N33" i="1" s="1"/>
  <c r="O72" i="1"/>
  <c r="P72" i="1" s="1"/>
  <c r="M96" i="1"/>
  <c r="N96" i="1" s="1"/>
  <c r="M14" i="1"/>
  <c r="N14" i="1" s="1"/>
  <c r="K12" i="1"/>
  <c r="L12" i="1"/>
  <c r="K8" i="1"/>
  <c r="L8" i="1" s="1"/>
  <c r="K18" i="1"/>
  <c r="L18" i="1"/>
  <c r="K58" i="1"/>
  <c r="L58" i="1" s="1"/>
  <c r="K74" i="1"/>
  <c r="L74" i="1" s="1"/>
  <c r="K48" i="1"/>
  <c r="L48" i="1" s="1"/>
  <c r="M61" i="1"/>
  <c r="N61" i="1" s="1"/>
  <c r="M45" i="1"/>
  <c r="N45" i="1"/>
  <c r="K46" i="1"/>
  <c r="L46" i="1"/>
  <c r="O76" i="1"/>
  <c r="P76" i="1" s="1"/>
  <c r="M68" i="1"/>
  <c r="N68" i="1"/>
  <c r="K44" i="1"/>
  <c r="L44" i="1" s="1"/>
  <c r="K60" i="1"/>
  <c r="L60" i="1" s="1"/>
  <c r="K70" i="1"/>
  <c r="L70" i="1" s="1"/>
  <c r="K25" i="1"/>
  <c r="L25" i="1"/>
  <c r="K27" i="1"/>
  <c r="L27" i="1"/>
  <c r="K11" i="1"/>
  <c r="L11" i="1" s="1"/>
  <c r="K10" i="1"/>
  <c r="L10" i="1"/>
  <c r="M69" i="1"/>
  <c r="N69" i="1" s="1"/>
  <c r="M35" i="1"/>
  <c r="N35" i="1"/>
  <c r="M31" i="1"/>
  <c r="N31" i="1" s="1"/>
  <c r="O91" i="1"/>
  <c r="P91" i="1" s="1"/>
  <c r="K65" i="1"/>
  <c r="L65" i="1" s="1"/>
  <c r="K34" i="1"/>
  <c r="L34" i="1"/>
  <c r="M103" i="1"/>
  <c r="N103" i="1" s="1"/>
  <c r="K109" i="1"/>
  <c r="L109" i="1" s="1"/>
  <c r="K106" i="1"/>
  <c r="L106" i="1" s="1"/>
  <c r="K56" i="1"/>
  <c r="L56" i="1" s="1"/>
  <c r="K20" i="1"/>
  <c r="L20" i="1" s="1"/>
  <c r="M22" i="1"/>
  <c r="N22" i="1" s="1"/>
  <c r="K23" i="1"/>
  <c r="L23" i="1" s="1"/>
  <c r="K71" i="1"/>
  <c r="L71" i="1" s="1"/>
  <c r="K98" i="1"/>
  <c r="L98" i="1" s="1"/>
  <c r="O77" i="1"/>
  <c r="P77" i="1" s="1"/>
  <c r="M81" i="1"/>
  <c r="N81" i="1" s="1"/>
  <c r="M92" i="1"/>
  <c r="N92" i="1" s="1"/>
  <c r="K63" i="1"/>
  <c r="L63" i="1"/>
  <c r="K19" i="1"/>
  <c r="L19" i="1" s="1"/>
  <c r="M13" i="1"/>
  <c r="N13" i="1" s="1"/>
  <c r="K87" i="1"/>
  <c r="L87" i="1" s="1"/>
  <c r="K90" i="1"/>
  <c r="L90" i="1" s="1"/>
  <c r="K26" i="1"/>
  <c r="L26" i="1" s="1"/>
  <c r="K15" i="1"/>
  <c r="L15" i="1" s="1"/>
  <c r="K4" i="1"/>
  <c r="L4" i="1" s="1"/>
  <c r="K7" i="1"/>
  <c r="L7" i="1" s="1"/>
  <c r="K79" i="1"/>
  <c r="L79" i="1" s="1"/>
  <c r="M108" i="1"/>
  <c r="N108" i="1" s="1"/>
  <c r="K83" i="1"/>
  <c r="L83" i="1" s="1"/>
  <c r="O67" i="1"/>
  <c r="P67" i="1" s="1"/>
  <c r="K50" i="1"/>
  <c r="L50" i="1" s="1"/>
  <c r="M24" i="1"/>
  <c r="N24" i="1"/>
  <c r="K104" i="1"/>
  <c r="L104" i="1" s="1"/>
  <c r="K32" i="1"/>
  <c r="L32" i="1"/>
  <c r="K89" i="1"/>
  <c r="L89" i="1" s="1"/>
  <c r="K52" i="1"/>
  <c r="L52" i="1"/>
  <c r="K80" i="1"/>
  <c r="L80" i="1" s="1"/>
  <c r="K49" i="1"/>
  <c r="L49" i="1"/>
  <c r="L54" i="1"/>
  <c r="K54" i="1"/>
  <c r="K47" i="1"/>
  <c r="L47" i="1" s="1"/>
  <c r="K16" i="1"/>
  <c r="L16" i="1" s="1"/>
  <c r="K38" i="1"/>
  <c r="L38" i="1"/>
  <c r="L5" i="1"/>
  <c r="K5" i="1"/>
  <c r="M64" i="1"/>
  <c r="N64" i="1" s="1"/>
  <c r="M17" i="1"/>
  <c r="N17" i="1" s="1"/>
  <c r="K37" i="1"/>
  <c r="L37" i="1"/>
  <c r="K40" i="1"/>
  <c r="L40" i="1" s="1"/>
  <c r="M21" i="1"/>
  <c r="N21" i="1" s="1"/>
  <c r="M4" i="1" l="1"/>
  <c r="N4" i="1" s="1"/>
  <c r="O21" i="1"/>
  <c r="P21" i="1" s="1"/>
  <c r="M15" i="1"/>
  <c r="N15" i="1" s="1"/>
  <c r="O31" i="1"/>
  <c r="P31" i="1" s="1"/>
  <c r="M40" i="1"/>
  <c r="N40" i="1" s="1"/>
  <c r="O81" i="1"/>
  <c r="P81" i="1" s="1"/>
  <c r="P97" i="1"/>
  <c r="O97" i="1"/>
  <c r="O36" i="1"/>
  <c r="P36" i="1"/>
  <c r="M47" i="1"/>
  <c r="N47" i="1" s="1"/>
  <c r="M87" i="1"/>
  <c r="N87" i="1"/>
  <c r="P69" i="1"/>
  <c r="O69" i="1"/>
  <c r="M8" i="1"/>
  <c r="N8" i="1"/>
  <c r="O28" i="1"/>
  <c r="P28" i="1" s="1"/>
  <c r="O17" i="1"/>
  <c r="P17" i="1" s="1"/>
  <c r="P108" i="1"/>
  <c r="O108" i="1"/>
  <c r="O13" i="1"/>
  <c r="P13" i="1" s="1"/>
  <c r="M71" i="1"/>
  <c r="N71" i="1" s="1"/>
  <c r="M60" i="1"/>
  <c r="N60" i="1"/>
  <c r="N6" i="1"/>
  <c r="M6" i="1"/>
  <c r="O94" i="1"/>
  <c r="P94" i="1"/>
  <c r="O73" i="1"/>
  <c r="P73" i="1" s="1"/>
  <c r="M74" i="1"/>
  <c r="N74" i="1" s="1"/>
  <c r="O55" i="1"/>
  <c r="P55" i="1" s="1"/>
  <c r="O92" i="1"/>
  <c r="P92" i="1" s="1"/>
  <c r="O93" i="1"/>
  <c r="P93" i="1" s="1"/>
  <c r="M50" i="1"/>
  <c r="N50" i="1" s="1"/>
  <c r="M106" i="1"/>
  <c r="N106" i="1" s="1"/>
  <c r="M59" i="1"/>
  <c r="N59" i="1"/>
  <c r="M109" i="1"/>
  <c r="N109" i="1" s="1"/>
  <c r="O43" i="1"/>
  <c r="P43" i="1"/>
  <c r="N89" i="1"/>
  <c r="M89" i="1"/>
  <c r="M98" i="1"/>
  <c r="N98" i="1" s="1"/>
  <c r="M70" i="1"/>
  <c r="N70" i="1" s="1"/>
  <c r="M100" i="1"/>
  <c r="N100" i="1" s="1"/>
  <c r="O86" i="1"/>
  <c r="P86" i="1" s="1"/>
  <c r="O64" i="1"/>
  <c r="P64" i="1" s="1"/>
  <c r="M79" i="1"/>
  <c r="N79" i="1" s="1"/>
  <c r="M19" i="1"/>
  <c r="N19" i="1" s="1"/>
  <c r="N23" i="1"/>
  <c r="M23" i="1"/>
  <c r="M44" i="1"/>
  <c r="N44" i="1"/>
  <c r="O61" i="1"/>
  <c r="P61" i="1" s="1"/>
  <c r="O105" i="1"/>
  <c r="P105" i="1"/>
  <c r="O42" i="1"/>
  <c r="P42" i="1" s="1"/>
  <c r="M20" i="1"/>
  <c r="N20" i="1" s="1"/>
  <c r="O96" i="1"/>
  <c r="P96" i="1" s="1"/>
  <c r="M80" i="1"/>
  <c r="N80" i="1"/>
  <c r="M56" i="1"/>
  <c r="N56" i="1" s="1"/>
  <c r="M58" i="1"/>
  <c r="N58" i="1" s="1"/>
  <c r="M26" i="1"/>
  <c r="N26" i="1" s="1"/>
  <c r="O33" i="1"/>
  <c r="P33" i="1"/>
  <c r="N16" i="1"/>
  <c r="M16" i="1"/>
  <c r="M90" i="1"/>
  <c r="N90" i="1" s="1"/>
  <c r="O66" i="1"/>
  <c r="P66" i="1"/>
  <c r="M83" i="1"/>
  <c r="N83" i="1" s="1"/>
  <c r="P103" i="1"/>
  <c r="O103" i="1"/>
  <c r="M104" i="1"/>
  <c r="N104" i="1" s="1"/>
  <c r="M7" i="1"/>
  <c r="N7" i="1" s="1"/>
  <c r="O22" i="1"/>
  <c r="P22" i="1" s="1"/>
  <c r="N65" i="1"/>
  <c r="M65" i="1"/>
  <c r="M11" i="1"/>
  <c r="N11" i="1" s="1"/>
  <c r="M48" i="1"/>
  <c r="N48" i="1"/>
  <c r="O14" i="1"/>
  <c r="P14" i="1"/>
  <c r="O51" i="1"/>
  <c r="P51" i="1" s="1"/>
  <c r="O101" i="1"/>
  <c r="P101" i="1"/>
  <c r="M52" i="1"/>
  <c r="N52" i="1"/>
  <c r="M18" i="1"/>
  <c r="N18" i="1" s="1"/>
  <c r="M25" i="1"/>
  <c r="N25" i="1" s="1"/>
  <c r="M10" i="1"/>
  <c r="N10" i="1" s="1"/>
  <c r="O24" i="1"/>
  <c r="P24" i="1" s="1"/>
  <c r="O68" i="1"/>
  <c r="P68" i="1" s="1"/>
  <c r="M5" i="1"/>
  <c r="N5" i="1" s="1"/>
  <c r="M54" i="1"/>
  <c r="N54" i="1" s="1"/>
  <c r="M37" i="1"/>
  <c r="N37" i="1"/>
  <c r="M38" i="1"/>
  <c r="N38" i="1" s="1"/>
  <c r="N49" i="1"/>
  <c r="M49" i="1"/>
  <c r="M32" i="1"/>
  <c r="N32" i="1"/>
  <c r="M63" i="1"/>
  <c r="N63" i="1" s="1"/>
  <c r="M46" i="1"/>
  <c r="N46" i="1" s="1"/>
  <c r="N12" i="1"/>
  <c r="M12" i="1"/>
  <c r="M53" i="1"/>
  <c r="N53" i="1" s="1"/>
  <c r="O30" i="1"/>
  <c r="P30" i="1" s="1"/>
  <c r="M34" i="1"/>
  <c r="N34" i="1" s="1"/>
  <c r="P35" i="1"/>
  <c r="O35" i="1"/>
  <c r="M27" i="1"/>
  <c r="N27" i="1" s="1"/>
  <c r="O45" i="1"/>
  <c r="P45" i="1" s="1"/>
  <c r="M41" i="1"/>
  <c r="N41" i="1" s="1"/>
  <c r="P9" i="1"/>
  <c r="O9" i="1"/>
  <c r="O50" i="1" l="1"/>
  <c r="P50" i="1"/>
  <c r="O47" i="1"/>
  <c r="P47" i="1"/>
  <c r="O46" i="1"/>
  <c r="P46" i="1" s="1"/>
  <c r="O19" i="1"/>
  <c r="P19" i="1" s="1"/>
  <c r="O63" i="1"/>
  <c r="P63" i="1"/>
  <c r="O11" i="1"/>
  <c r="P11" i="1" s="1"/>
  <c r="O26" i="1"/>
  <c r="P26" i="1" s="1"/>
  <c r="O79" i="1"/>
  <c r="P79" i="1"/>
  <c r="O4" i="1"/>
  <c r="P4" i="1" s="1"/>
  <c r="O5" i="1"/>
  <c r="P5" i="1" s="1"/>
  <c r="O58" i="1"/>
  <c r="P58" i="1" s="1"/>
  <c r="O34" i="1"/>
  <c r="P34" i="1"/>
  <c r="O56" i="1"/>
  <c r="P56" i="1" s="1"/>
  <c r="O109" i="1"/>
  <c r="P109" i="1" s="1"/>
  <c r="O74" i="1"/>
  <c r="P74" i="1" s="1"/>
  <c r="O71" i="1"/>
  <c r="P71" i="1"/>
  <c r="O18" i="1"/>
  <c r="P18" i="1" s="1"/>
  <c r="O20" i="1"/>
  <c r="P20" i="1"/>
  <c r="O15" i="1"/>
  <c r="P15" i="1" s="1"/>
  <c r="O90" i="1"/>
  <c r="P90" i="1"/>
  <c r="O100" i="1"/>
  <c r="P100" i="1" s="1"/>
  <c r="O53" i="1"/>
  <c r="P53" i="1" s="1"/>
  <c r="O10" i="1"/>
  <c r="P10" i="1"/>
  <c r="O7" i="1"/>
  <c r="P7" i="1"/>
  <c r="O70" i="1"/>
  <c r="P70" i="1" s="1"/>
  <c r="O40" i="1"/>
  <c r="P40" i="1" s="1"/>
  <c r="O27" i="1"/>
  <c r="P27" i="1"/>
  <c r="O54" i="1"/>
  <c r="P54" i="1" s="1"/>
  <c r="O83" i="1"/>
  <c r="P83" i="1"/>
  <c r="O41" i="1"/>
  <c r="P41" i="1"/>
  <c r="O38" i="1"/>
  <c r="P38" i="1"/>
  <c r="O25" i="1"/>
  <c r="P25" i="1" s="1"/>
  <c r="O104" i="1"/>
  <c r="P104" i="1" s="1"/>
  <c r="O98" i="1"/>
  <c r="P98" i="1"/>
  <c r="O106" i="1"/>
  <c r="P106" i="1" s="1"/>
  <c r="O8" i="1"/>
  <c r="P8" i="1" s="1"/>
  <c r="O44" i="1"/>
  <c r="P44" i="1" s="1"/>
  <c r="O12" i="1"/>
  <c r="P12" i="1"/>
  <c r="O49" i="1"/>
  <c r="P49" i="1" s="1"/>
  <c r="O65" i="1"/>
  <c r="P65" i="1"/>
  <c r="O16" i="1"/>
  <c r="P16" i="1"/>
  <c r="O23" i="1"/>
  <c r="P23" i="1" s="1"/>
  <c r="O89" i="1"/>
  <c r="P89" i="1" s="1"/>
  <c r="O6" i="1"/>
  <c r="P6" i="1" s="1"/>
  <c r="O32" i="1"/>
  <c r="P32" i="1"/>
  <c r="O59" i="1"/>
  <c r="P59" i="1"/>
  <c r="O80" i="1"/>
  <c r="P80" i="1" s="1"/>
  <c r="O60" i="1"/>
  <c r="P60" i="1" s="1"/>
  <c r="O87" i="1"/>
  <c r="P87" i="1" s="1"/>
  <c r="O37" i="1"/>
  <c r="P37" i="1"/>
  <c r="O52" i="1"/>
  <c r="P52" i="1" s="1"/>
  <c r="O48" i="1"/>
  <c r="P48" i="1" s="1"/>
</calcChain>
</file>

<file path=xl/sharedStrings.xml><?xml version="1.0" encoding="utf-8"?>
<sst xmlns="http://schemas.openxmlformats.org/spreadsheetml/2006/main" count="110" uniqueCount="107">
  <si>
    <t>Código</t>
  </si>
  <si>
    <t>Descripción</t>
  </si>
  <si>
    <t>EAN</t>
  </si>
  <si>
    <t>Kg. x Caja</t>
  </si>
  <si>
    <t>Cant. X Caja</t>
  </si>
  <si>
    <t>Precio de Lista</t>
  </si>
  <si>
    <t>Dcto</t>
  </si>
  <si>
    <t>Precio de factura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</si>
  <si>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</si>
  <si>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</si>
  <si>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</si>
  <si>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</si>
  <si>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</si>
  <si>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</si>
  <si>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</si>
  <si>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PX MAYO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</si>
  <si>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</si>
  <si>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</si>
  <si>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</si>
  <si>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</si>
  <si>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</si>
  <si>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</si>
  <si>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</si>
  <si>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</si>
  <si>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</si>
  <si>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</si>
  <si>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</si>
  <si>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</si>
  <si>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Aptos Narrow"/>
        <family val="2"/>
        <scheme val="minor"/>
      </rPr>
      <t>CASERA</t>
    </r>
    <r>
      <rPr>
        <sz val="9"/>
        <rFont val="Aptos Narrow"/>
        <family val="2"/>
        <scheme val="minor"/>
      </rPr>
      <t xml:space="preserve"> SWIFT</t>
    </r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</si>
  <si>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</si>
  <si>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</si>
  <si>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</si>
  <si>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</si>
  <si>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</si>
  <si>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</si>
  <si>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</si>
  <si>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</si>
  <si>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</si>
  <si>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</si>
  <si>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</si>
  <si>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</si>
  <si>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</si>
  <si>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</si>
  <si>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</si>
  <si>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</si>
  <si>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</si>
  <si>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>Ver posicionamiento por verba según necesidad de la zona</t>
  </si>
  <si>
    <t xml:space="preserve">SALCHICHAS LARGAS 10 x 12 x 870g  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</si>
  <si>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</si>
  <si>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</si>
  <si>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</si>
  <si>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</si>
  <si>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</si>
  <si>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</si>
  <si>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</si>
  <si>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</si>
  <si>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</si>
  <si>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</si>
  <si>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</si>
  <si>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</si>
  <si>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</si>
  <si>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</si>
  <si>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</si>
  <si>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</si>
  <si>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</si>
  <si>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</si>
  <si>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</si>
  <si>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</si>
  <si>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</si>
  <si>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</si>
  <si>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</si>
  <si>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</si>
  <si>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</si>
  <si>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</si>
  <si>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</si>
  <si>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</si>
  <si>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</si>
  <si>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</si>
  <si>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</si>
  <si>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</si>
  <si>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</si>
  <si>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</si>
  <si>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</si>
  <si>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</si>
  <si>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</si>
  <si>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>MILANESAS DE CARNE VACUNA CONG GRANEL 5 kg (CAL GR)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</si>
  <si>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</si>
  <si>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</si>
  <si>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</si>
  <si>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</si>
  <si>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</si>
  <si>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</si>
  <si>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</si>
  <si>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</si>
  <si>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</si>
  <si>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BONDIOLA DE CERDO CONGELADA</t>
  </si>
  <si>
    <t>CHORIZOS FRESCOS DE CERDO LIBRE DE GLUTEN</t>
  </si>
  <si>
    <t>CHORIZOS FRESCOS DE CERDO CONGELADOS LIBRE DE GLUTEN 12u x 400g</t>
  </si>
  <si>
    <t>CHORIZOS CONGELADOS DE CERDO LIBRE DE GLUTEN SWIFT GRANEL</t>
  </si>
  <si>
    <t>PAPAS PRE COCIDAS SUPERCONGELADAS LIBRES DE GLUTEN 700G</t>
  </si>
  <si>
    <t>Papas Prefritas Supercongeladas libres de gluten 7u x 2 kg</t>
  </si>
  <si>
    <t>NUGGETS DE ESPINACA 300GR</t>
  </si>
  <si>
    <t>NUGGETS DE BRÓCOLI 300GR</t>
  </si>
  <si>
    <t>MEDALLÓN DE CALABAZA Y CHOCLO 300GR</t>
  </si>
  <si>
    <t>MEDALLÓN DE ESPINACA 300GR</t>
  </si>
  <si>
    <t>LOMO DE ATUN AL NATURAL SWIFT 170g</t>
  </si>
  <si>
    <t>LOMO DE ATUN EN ACEITE SWIFT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</si>
</sst>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#,##0.00_ ;[Red]\-#,##0.00\ "/>
    <numFmt numFmtId="165" formatCode="#,##0_ ;[Red]\-#,##0\ "/>
    <numFmt numFmtId="166" formatCode="0.0%"/>
    <numFmt numFmtId="167" formatCode="#,##0.0_ ;[Red]\-#,##0.0\ "/>
    <numFmt numFmtId="168" formatCode="0.00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0" fontId="5" fillId="2" borderId="1" xfId="2" applyFont="1" applyFill="1" applyBorder="1" applyAlignment="1">
      <alignment horizontal="center" vertical="distributed"/>
    </xf>
    <xf numFmtId="0" fontId="5" fillId="2" borderId="2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distributed"/>
    </xf>
    <xf numFmtId="2" fontId="5" fillId="2" borderId="2" xfId="2" applyNumberFormat="1" applyFont="1" applyFill="1" applyBorder="1" applyAlignment="1">
      <alignment horizontal="center" vertical="distributed"/>
    </xf>
    <xf numFmtId="0" fontId="5" fillId="2" borderId="2" xfId="2" applyFont="1" applyFill="1" applyBorder="1" applyAlignment="1">
      <alignment horizontal="center" vertical="center" wrapText="1"/>
    </xf>
    <xf numFmtId="1" fontId="5" fillId="2" borderId="3" xfId="2" applyNumberFormat="1" applyFont="1" applyFill="1" applyBorder="1" applyAlignment="1">
      <alignment horizontal="center" vertical="center" wrapText="1"/>
    </xf>
    <xf numFmtId="0" fontId="6" fillId="3" borderId="4" xfId="2" applyFont="1" applyFill="1" applyBorder="1" applyAlignment="1" applyProtection="1">
      <alignment horizontal="center" vertical="center"/>
      <protection hidden="1"/>
    </xf>
    <xf numFmtId="0" fontId="6" fillId="3" borderId="5" xfId="2" applyFont="1" applyFill="1" applyBorder="1" applyAlignment="1" applyProtection="1">
      <alignment vertical="center"/>
      <protection hidden="1"/>
    </xf>
    <xf numFmtId="0" fontId="6" fillId="3" borderId="5" xfId="2" applyFont="1" applyFill="1" applyBorder="1" applyAlignment="1" applyProtection="1">
      <alignment horizontal="center" vertical="center"/>
      <protection hidden="1"/>
    </xf>
    <xf numFmtId="2" fontId="6" fillId="3" borderId="5" xfId="2" applyNumberFormat="1" applyFont="1" applyFill="1" applyBorder="1" applyAlignment="1" applyProtection="1">
      <alignment vertical="center"/>
      <protection hidden="1"/>
    </xf>
    <xf numFmtId="0" fontId="3" fillId="4" borderId="5" xfId="0" applyFont="1" applyFill="1" applyBorder="1"/>
    <xf numFmtId="9" fontId="3" fillId="4" borderId="5" xfId="0" applyNumberFormat="1" applyFont="1" applyFill="1" applyBorder="1"/>
    <xf numFmtId="1" fontId="3" fillId="4" borderId="6" xfId="0" applyNumberFormat="1" applyFont="1" applyFill="1" applyBorder="1"/>
    <xf numFmtId="0" fontId="7" fillId="0" borderId="7" xfId="3" applyFont="1" applyBorder="1" applyAlignment="1">
      <alignment horizontal="center"/>
    </xf>
    <xf numFmtId="0" fontId="7" fillId="0" borderId="8" xfId="3" applyFont="1" applyBorder="1"/>
    <xf numFmtId="1" fontId="7" fillId="0" borderId="8" xfId="2" applyNumberFormat="1" applyFont="1" applyBorder="1" applyAlignment="1">
      <alignment horizontal="center"/>
    </xf>
    <xf numFmtId="164" fontId="6" fillId="0" borderId="8" xfId="2" applyNumberFormat="1" applyFont="1" applyBorder="1" applyAlignment="1">
      <alignment horizontal="center"/>
    </xf>
    <xf numFmtId="165" fontId="6" fillId="0" borderId="8" xfId="2" applyNumberFormat="1" applyFont="1" applyBorder="1" applyAlignment="1">
      <alignment horizontal="center"/>
    </xf>
    <xf numFmtId="2" fontId="7" fillId="0" borderId="8" xfId="2" applyNumberFormat="1" applyFont="1" applyBorder="1" applyAlignment="1">
      <alignment horizontal="center"/>
    </xf>
    <xf numFmtId="1" fontId="7" fillId="0" borderId="9" xfId="2" applyNumberFormat="1" applyFont="1" applyBorder="1" applyAlignment="1">
      <alignment horizontal="center"/>
    </xf>
    <xf numFmtId="9" fontId="0" fillId="0" borderId="0" xfId="1" applyFont="1"/>
    <xf numFmtId="0" fontId="7" fillId="0" borderId="7" xfId="3" applyFont="1" applyFill="1" applyBorder="1" applyAlignment="1">
      <alignment horizontal="center"/>
    </xf>
    <xf numFmtId="0" fontId="7" fillId="0" borderId="7" xfId="2" applyFont="1" applyBorder="1" applyAlignment="1">
      <alignment horizontal="center"/>
    </xf>
    <xf numFmtId="0" fontId="7" fillId="0" borderId="8" xfId="2" applyFont="1" applyBorder="1" applyAlignment="1">
      <alignment horizontal="left"/>
    </xf>
    <xf numFmtId="9" fontId="8" fillId="0" borderId="8" xfId="1" applyFont="1" applyBorder="1" applyAlignment="1">
      <alignment horizontal="center"/>
    </xf>
    <xf numFmtId="0" fontId="7" fillId="5" borderId="7" xfId="2" applyFont="1" applyFill="1" applyBorder="1" applyAlignment="1">
      <alignment horizontal="center"/>
    </xf>
    <xf numFmtId="0" fontId="7" fillId="5" borderId="8" xfId="2" applyFont="1" applyFill="1" applyBorder="1" applyAlignment="1">
      <alignment horizontal="left"/>
    </xf>
    <xf numFmtId="1" fontId="7" fillId="5" borderId="8" xfId="2" applyNumberFormat="1" applyFont="1" applyFill="1" applyBorder="1" applyAlignment="1">
      <alignment horizontal="center"/>
    </xf>
    <xf numFmtId="164" fontId="6" fillId="5" borderId="8" xfId="2" applyNumberFormat="1" applyFont="1" applyFill="1" applyBorder="1" applyAlignment="1">
      <alignment horizontal="center"/>
    </xf>
    <xf numFmtId="165" fontId="6" fillId="5" borderId="8" xfId="2" applyNumberFormat="1" applyFont="1" applyFill="1" applyBorder="1" applyAlignment="1">
      <alignment horizontal="center"/>
    </xf>
    <xf numFmtId="2" fontId="7" fillId="5" borderId="8" xfId="2" applyNumberFormat="1" applyFont="1" applyFill="1" applyBorder="1" applyAlignment="1">
      <alignment horizontal="center"/>
    </xf>
    <xf numFmtId="9" fontId="8" fillId="5" borderId="8" xfId="1" applyFont="1" applyFill="1" applyBorder="1" applyAlignment="1">
      <alignment horizontal="center"/>
    </xf>
    <xf numFmtId="1" fontId="7" fillId="5" borderId="9" xfId="2" applyNumberFormat="1" applyFont="1" applyFill="1" applyBorder="1" applyAlignment="1">
      <alignment horizontal="center"/>
    </xf>
    <xf numFmtId="2" fontId="7" fillId="6" borderId="8" xfId="2" applyNumberFormat="1" applyFont="1" applyFill="1" applyBorder="1" applyAlignment="1">
      <alignment horizontal="center"/>
    </xf>
    <xf numFmtId="0" fontId="7" fillId="0" borderId="8" xfId="3" applyFont="1" applyFill="1" applyBorder="1"/>
    <xf numFmtId="1" fontId="7" fillId="0" borderId="8" xfId="3" applyNumberFormat="1" applyFont="1" applyFill="1" applyBorder="1" applyAlignment="1">
      <alignment horizontal="center"/>
    </xf>
    <xf numFmtId="0" fontId="7" fillId="0" borderId="8" xfId="2" applyFont="1" applyBorder="1" applyAlignment="1">
      <alignment horizontal="center"/>
    </xf>
    <xf numFmtId="0" fontId="6" fillId="3" borderId="7" xfId="2" applyFont="1" applyFill="1" applyBorder="1" applyAlignment="1" applyProtection="1">
      <alignment horizontal="center" vertical="center"/>
      <protection hidden="1"/>
    </xf>
    <xf numFmtId="0" fontId="6" fillId="3" borderId="8" xfId="2" applyFont="1" applyFill="1" applyBorder="1" applyAlignment="1" applyProtection="1">
      <alignment vertical="center"/>
      <protection hidden="1"/>
    </xf>
    <xf numFmtId="0" fontId="6" fillId="3" borderId="8" xfId="2" applyFont="1" applyFill="1" applyBorder="1" applyAlignment="1" applyProtection="1">
      <alignment horizontal="center" vertical="center"/>
      <protection hidden="1"/>
    </xf>
    <xf numFmtId="165" fontId="6" fillId="3" borderId="8" xfId="2" applyNumberFormat="1" applyFont="1" applyFill="1" applyBorder="1" applyAlignment="1" applyProtection="1">
      <alignment vertical="center"/>
      <protection hidden="1"/>
    </xf>
    <xf numFmtId="0" fontId="3" fillId="4" borderId="8" xfId="0" applyFont="1" applyFill="1" applyBorder="1"/>
    <xf numFmtId="9" fontId="3" fillId="4" borderId="8" xfId="0" applyNumberFormat="1" applyFont="1" applyFill="1" applyBorder="1"/>
    <xf numFmtId="1" fontId="3" fillId="4" borderId="9" xfId="0" applyNumberFormat="1" applyFont="1" applyFill="1" applyBorder="1"/>
    <xf numFmtId="9" fontId="6" fillId="5" borderId="8" xfId="1" applyFont="1" applyFill="1" applyBorder="1" applyAlignment="1">
      <alignment horizontal="center"/>
    </xf>
    <xf numFmtId="10" fontId="0" fillId="0" borderId="0" xfId="1" applyNumberFormat="1" applyFont="1"/>
    <xf numFmtId="9" fontId="6" fillId="0" borderId="8" xfId="1" applyFont="1" applyFill="1" applyBorder="1" applyAlignment="1">
      <alignment horizontal="center"/>
    </xf>
    <xf numFmtId="0" fontId="7" fillId="5" borderId="8" xfId="2" applyFont="1" applyFill="1" applyBorder="1" applyAlignment="1">
      <alignment horizontal="center"/>
    </xf>
    <xf numFmtId="166" fontId="6" fillId="5" borderId="8" xfId="1" applyNumberFormat="1" applyFont="1" applyFill="1" applyBorder="1" applyAlignment="1">
      <alignment horizontal="center"/>
    </xf>
    <xf numFmtId="10" fontId="6" fillId="3" borderId="8" xfId="2" applyNumberFormat="1" applyFont="1" applyFill="1" applyBorder="1" applyAlignment="1" applyProtection="1">
      <alignment vertical="center"/>
      <protection hidden="1"/>
    </xf>
    <xf numFmtId="10" fontId="6" fillId="0" borderId="8" xfId="2" applyNumberFormat="1" applyFont="1" applyBorder="1" applyAlignment="1">
      <alignment horizontal="center"/>
    </xf>
    <xf numFmtId="10" fontId="6" fillId="0" borderId="8" xfId="1" applyNumberFormat="1" applyFont="1" applyFill="1" applyBorder="1" applyAlignment="1">
      <alignment horizontal="center"/>
    </xf>
    <xf numFmtId="10" fontId="6" fillId="5" borderId="8" xfId="1" applyNumberFormat="1" applyFont="1" applyFill="1" applyBorder="1" applyAlignment="1">
      <alignment horizontal="center"/>
    </xf>
    <xf numFmtId="0" fontId="9" fillId="0" borderId="7" xfId="2" applyFont="1" applyBorder="1" applyAlignment="1">
      <alignment horizontal="center"/>
    </xf>
    <xf numFmtId="0" fontId="9" fillId="0" borderId="8" xfId="2" applyFont="1" applyBorder="1" applyAlignment="1">
      <alignment horizontal="left"/>
    </xf>
    <xf numFmtId="1" fontId="9" fillId="0" borderId="8" xfId="2" applyNumberFormat="1" applyFont="1" applyBorder="1" applyAlignment="1">
      <alignment horizontal="center"/>
    </xf>
    <xf numFmtId="164" fontId="10" fillId="0" borderId="8" xfId="2" applyNumberFormat="1" applyFont="1" applyBorder="1" applyAlignment="1">
      <alignment horizontal="center"/>
    </xf>
    <xf numFmtId="165" fontId="10" fillId="0" borderId="8" xfId="2" applyNumberFormat="1" applyFont="1" applyBorder="1" applyAlignment="1">
      <alignment horizontal="center"/>
    </xf>
    <xf numFmtId="2" fontId="9" fillId="0" borderId="8" xfId="2" applyNumberFormat="1" applyFont="1" applyBorder="1" applyAlignment="1">
      <alignment horizontal="center"/>
    </xf>
    <xf numFmtId="10" fontId="10" fillId="0" borderId="8" xfId="2" applyNumberFormat="1" applyFont="1" applyBorder="1" applyAlignment="1">
      <alignment horizontal="center"/>
    </xf>
    <xf numFmtId="1" fontId="9" fillId="0" borderId="9" xfId="2" applyNumberFormat="1" applyFont="1" applyBorder="1" applyAlignment="1">
      <alignment horizontal="center"/>
    </xf>
    <xf numFmtId="0" fontId="9" fillId="5" borderId="8" xfId="2" applyFont="1" applyFill="1" applyBorder="1" applyAlignment="1">
      <alignment horizontal="center"/>
    </xf>
    <xf numFmtId="0" fontId="9" fillId="5" borderId="8" xfId="2" applyFont="1" applyFill="1" applyBorder="1" applyAlignment="1">
      <alignment horizontal="left"/>
    </xf>
    <xf numFmtId="2" fontId="7" fillId="3" borderId="8" xfId="2" applyNumberFormat="1" applyFont="1" applyFill="1" applyBorder="1" applyAlignment="1" applyProtection="1">
      <alignment vertical="center"/>
      <protection hidden="1"/>
    </xf>
    <xf numFmtId="1" fontId="9" fillId="0" borderId="8" xfId="2" applyNumberFormat="1" applyFont="1" applyBorder="1" applyAlignment="1">
      <alignment horizontal="left"/>
    </xf>
    <xf numFmtId="0" fontId="6" fillId="3" borderId="10" xfId="2" applyFont="1" applyFill="1" applyBorder="1" applyAlignment="1" applyProtection="1">
      <alignment horizontal="center" vertical="center"/>
      <protection hidden="1"/>
    </xf>
    <xf numFmtId="0" fontId="6" fillId="3" borderId="11" xfId="2" applyFont="1" applyFill="1" applyBorder="1" applyAlignment="1" applyProtection="1">
      <alignment vertical="center"/>
      <protection hidden="1"/>
    </xf>
    <xf numFmtId="0" fontId="6" fillId="3" borderId="11" xfId="2" applyFont="1" applyFill="1" applyBorder="1" applyAlignment="1" applyProtection="1">
      <alignment horizontal="center" vertical="center"/>
      <protection hidden="1"/>
    </xf>
    <xf numFmtId="165" fontId="6" fillId="3" borderId="11" xfId="2" applyNumberFormat="1" applyFont="1" applyFill="1" applyBorder="1" applyAlignment="1" applyProtection="1">
      <alignment vertical="center"/>
      <protection hidden="1"/>
    </xf>
    <xf numFmtId="2" fontId="7" fillId="3" borderId="11" xfId="2" applyNumberFormat="1" applyFont="1" applyFill="1" applyBorder="1" applyAlignment="1" applyProtection="1">
      <alignment vertical="center"/>
      <protection hidden="1"/>
    </xf>
    <xf numFmtId="10" fontId="6" fillId="3" borderId="12" xfId="2" applyNumberFormat="1" applyFont="1" applyFill="1" applyBorder="1" applyAlignment="1" applyProtection="1">
      <alignment vertical="center"/>
      <protection hidden="1"/>
    </xf>
    <xf numFmtId="1" fontId="9" fillId="0" borderId="13" xfId="2" applyNumberFormat="1" applyFont="1" applyBorder="1" applyAlignment="1">
      <alignment horizontal="left"/>
    </xf>
    <xf numFmtId="10" fontId="6" fillId="0" borderId="14" xfId="2" applyNumberFormat="1" applyFont="1" applyBorder="1" applyAlignment="1">
      <alignment horizontal="center"/>
    </xf>
    <xf numFmtId="10" fontId="6" fillId="0" borderId="11" xfId="2" applyNumberFormat="1" applyFont="1" applyBorder="1" applyAlignment="1">
      <alignment horizontal="center"/>
    </xf>
    <xf numFmtId="0" fontId="6" fillId="3" borderId="15" xfId="2" applyFont="1" applyFill="1" applyBorder="1" applyAlignment="1" applyProtection="1">
      <alignment horizontal="center" vertical="center"/>
      <protection hidden="1"/>
    </xf>
    <xf numFmtId="0" fontId="6" fillId="3" borderId="16" xfId="2" applyFont="1" applyFill="1" applyBorder="1" applyAlignment="1" applyProtection="1">
      <alignment vertical="center"/>
      <protection hidden="1"/>
    </xf>
    <xf numFmtId="0" fontId="6" fillId="3" borderId="16" xfId="2" applyFont="1" applyFill="1" applyBorder="1" applyAlignment="1" applyProtection="1">
      <alignment horizontal="center" vertical="center"/>
      <protection hidden="1"/>
    </xf>
    <xf numFmtId="165" fontId="6" fillId="3" borderId="16" xfId="2" applyNumberFormat="1" applyFont="1" applyFill="1" applyBorder="1" applyAlignment="1" applyProtection="1">
      <alignment vertical="center"/>
      <protection hidden="1"/>
    </xf>
    <xf numFmtId="2" fontId="7" fillId="3" borderId="16" xfId="2" applyNumberFormat="1" applyFont="1" applyFill="1" applyBorder="1" applyAlignment="1" applyProtection="1">
      <alignment vertical="center"/>
      <protection hidden="1"/>
    </xf>
    <xf numFmtId="10" fontId="6" fillId="3" borderId="16" xfId="2" applyNumberFormat="1" applyFont="1" applyFill="1" applyBorder="1" applyAlignment="1" applyProtection="1">
      <alignment vertical="center"/>
      <protection hidden="1"/>
    </xf>
    <xf numFmtId="0" fontId="11" fillId="5" borderId="17" xfId="4" applyFont="1" applyFill="1" applyBorder="1" applyAlignment="1">
      <alignment horizontal="center"/>
    </xf>
    <xf numFmtId="0" fontId="11" fillId="5" borderId="14" xfId="4" applyFont="1" applyFill="1" applyBorder="1"/>
    <xf numFmtId="1" fontId="9" fillId="5" borderId="18" xfId="2" applyNumberFormat="1" applyFont="1" applyFill="1" applyBorder="1" applyAlignment="1">
      <alignment horizontal="left"/>
    </xf>
    <xf numFmtId="0" fontId="12" fillId="5" borderId="14" xfId="4" applyFont="1" applyFill="1" applyBorder="1"/>
    <xf numFmtId="2" fontId="7" fillId="5" borderId="14" xfId="2" applyNumberFormat="1" applyFont="1" applyFill="1" applyBorder="1" applyAlignment="1">
      <alignment horizontal="center"/>
    </xf>
    <xf numFmtId="1" fontId="7" fillId="5" borderId="19" xfId="2" applyNumberFormat="1" applyFont="1" applyFill="1" applyBorder="1" applyAlignment="1">
      <alignment horizontal="center"/>
    </xf>
    <xf numFmtId="0" fontId="11" fillId="5" borderId="10" xfId="4" applyFont="1" applyFill="1" applyBorder="1" applyAlignment="1">
      <alignment horizontal="center"/>
    </xf>
    <xf numFmtId="0" fontId="11" fillId="5" borderId="11" xfId="4" applyFont="1" applyFill="1" applyBorder="1"/>
    <xf numFmtId="1" fontId="9" fillId="5" borderId="20" xfId="2" applyNumberFormat="1" applyFont="1" applyFill="1" applyBorder="1" applyAlignment="1">
      <alignment horizontal="left"/>
    </xf>
    <xf numFmtId="0" fontId="12" fillId="5" borderId="11" xfId="4" applyFont="1" applyFill="1" applyBorder="1"/>
    <xf numFmtId="2" fontId="7" fillId="5" borderId="11" xfId="2" applyNumberFormat="1" applyFont="1" applyFill="1" applyBorder="1" applyAlignment="1">
      <alignment horizontal="center"/>
    </xf>
    <xf numFmtId="1" fontId="7" fillId="5" borderId="21" xfId="2" applyNumberFormat="1" applyFont="1" applyFill="1" applyBorder="1" applyAlignment="1">
      <alignment horizontal="center"/>
    </xf>
    <xf numFmtId="0" fontId="11" fillId="0" borderId="17" xfId="4" applyFont="1" applyBorder="1" applyAlignment="1">
      <alignment horizontal="center"/>
    </xf>
    <xf numFmtId="2" fontId="7" fillId="0" borderId="14" xfId="2" applyNumberFormat="1" applyFont="1" applyBorder="1" applyAlignment="1">
      <alignment horizontal="center"/>
    </xf>
    <xf numFmtId="0" fontId="3" fillId="4" borderId="16" xfId="0" applyFont="1" applyFill="1" applyBorder="1"/>
    <xf numFmtId="166" fontId="3" fillId="4" borderId="16" xfId="0" applyNumberFormat="1" applyFont="1" applyFill="1" applyBorder="1"/>
    <xf numFmtId="9" fontId="3" fillId="4" borderId="16" xfId="0" applyNumberFormat="1" applyFont="1" applyFill="1" applyBorder="1"/>
    <xf numFmtId="1" fontId="3" fillId="4" borderId="22" xfId="0" applyNumberFormat="1" applyFont="1" applyFill="1" applyBorder="1"/>
    <xf numFmtId="0" fontId="11" fillId="0" borderId="10" xfId="4" applyFont="1" applyBorder="1" applyAlignment="1">
      <alignment horizontal="center"/>
    </xf>
    <xf numFmtId="2" fontId="7" fillId="0" borderId="11" xfId="2" applyNumberFormat="1" applyFont="1" applyBorder="1" applyAlignment="1">
      <alignment horizontal="center"/>
    </xf>
    <xf numFmtId="167" fontId="6" fillId="0" borderId="8" xfId="2" applyNumberFormat="1" applyFont="1" applyBorder="1" applyAlignment="1">
      <alignment horizontal="center"/>
    </xf>
    <xf numFmtId="1" fontId="7" fillId="0" borderId="19" xfId="2" applyNumberFormat="1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7" fillId="0" borderId="16" xfId="2" applyFont="1" applyBorder="1" applyAlignment="1">
      <alignment horizontal="left"/>
    </xf>
    <xf numFmtId="2" fontId="7" fillId="0" borderId="16" xfId="2" applyNumberFormat="1" applyFont="1" applyBorder="1" applyAlignment="1">
      <alignment horizontal="center"/>
    </xf>
    <xf numFmtId="0" fontId="9" fillId="0" borderId="8" xfId="2" applyFont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166" fontId="3" fillId="4" borderId="16" xfId="0" applyNumberFormat="1" applyFont="1" applyFill="1" applyBorder="1" applyAlignment="1">
      <alignment horizontal="center"/>
    </xf>
    <xf numFmtId="167" fontId="6" fillId="5" borderId="8" xfId="2" applyNumberFormat="1" applyFont="1" applyFill="1" applyBorder="1" applyAlignment="1">
      <alignment horizontal="center"/>
    </xf>
    <xf numFmtId="168" fontId="6" fillId="5" borderId="8" xfId="1" applyNumberFormat="1" applyFont="1" applyFill="1" applyBorder="1" applyAlignment="1">
      <alignment horizontal="center"/>
    </xf>
    <xf numFmtId="2" fontId="9" fillId="5" borderId="8" xfId="2" applyNumberFormat="1" applyFont="1" applyFill="1" applyBorder="1" applyAlignment="1">
      <alignment horizontal="center"/>
    </xf>
    <xf numFmtId="1" fontId="9" fillId="5" borderId="8" xfId="2" applyNumberFormat="1" applyFont="1" applyFill="1" applyBorder="1" applyAlignment="1">
      <alignment horizontal="center"/>
    </xf>
    <xf numFmtId="2" fontId="7" fillId="0" borderId="0" xfId="2" applyNumberFormat="1" applyFont="1" applyAlignment="1">
      <alignment horizontal="center"/>
    </xf>
    <xf numFmtId="166" fontId="2" fillId="5" borderId="8" xfId="1" applyNumberFormat="1" applyFont="1" applyFill="1" applyBorder="1" applyAlignment="1">
      <alignment horizontal="center"/>
    </xf>
    <xf numFmtId="9" fontId="6" fillId="3" borderId="16" xfId="2" applyNumberFormat="1" applyFont="1" applyFill="1" applyBorder="1" applyAlignment="1" applyProtection="1">
      <alignment vertical="center"/>
      <protection hidden="1"/>
    </xf>
    <xf numFmtId="2" fontId="7" fillId="3" borderId="16" xfId="2" applyNumberFormat="1" applyFont="1" applyFill="1" applyBorder="1" applyAlignment="1" applyProtection="1">
      <alignment horizontal="center" vertical="center"/>
      <protection hidden="1"/>
    </xf>
    <xf numFmtId="10" fontId="7" fillId="3" borderId="16" xfId="1" applyNumberFormat="1" applyFont="1" applyFill="1" applyBorder="1" applyAlignment="1" applyProtection="1">
      <alignment horizontal="center" vertical="center"/>
      <protection hidden="1"/>
    </xf>
    <xf numFmtId="10" fontId="7" fillId="3" borderId="16" xfId="1" applyNumberFormat="1" applyFont="1" applyFill="1" applyBorder="1" applyAlignment="1" applyProtection="1">
      <alignment vertical="center"/>
      <protection hidden="1"/>
    </xf>
    <xf numFmtId="10" fontId="7" fillId="3" borderId="22" xfId="1" applyNumberFormat="1" applyFont="1" applyFill="1" applyBorder="1" applyAlignment="1" applyProtection="1">
      <alignment vertical="center"/>
      <protection hidden="1"/>
    </xf>
    <xf numFmtId="10" fontId="7" fillId="0" borderId="8" xfId="2" applyNumberFormat="1" applyFont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44" fontId="7" fillId="0" borderId="8" xfId="5" applyFont="1" applyFill="1" applyBorder="1" applyAlignment="1">
      <alignment horizontal="center"/>
    </xf>
  </cellXfs>
  <cellStyles count="6">
    <cellStyle name="Moneda 16" xfId="5" xr:uid="{2006131A-0F65-4ABC-A81D-04C09D21A809}"/>
    <cellStyle name="Normal" xfId="0" builtinId="0"/>
    <cellStyle name="Normal 3" xfId="3" xr:uid="{C2EFD793-2E48-4CB2-B08D-434CE0DC6CC5}"/>
    <cellStyle name="Normal_ARQUITECTURA DE PRECIOS 1 0" xfId="2" xr:uid="{D8236390-671D-4F7B-8A1B-8A930EA5CC05}"/>
    <cellStyle name="Normal_Precio públicos al 01-03" xfId="4" xr:uid="{11AA7069-9EF2-4F9D-AF82-CC8B0A00E412}"/>
    <cellStyle name="Porcentaje" xfId="1" builtinId="5"/>
  </cellStyles>
  <dxfs count="3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colas.gentile\AppData\Local\Microsoft\Windows\INetCache\Content.Outlook\HN0QK0FS\Copia%20de%20Lista%20y%20Acciones%20Dx%20y%20Sub%20FEB%2026-%20Litoral%20Nea%20y%20NOA%20v3.xlsx" TargetMode="External"/><Relationship Id="rId1" Type="http://schemas.openxmlformats.org/officeDocument/2006/relationships/externalLinkPath" Target="file:///C:\Users\nicolas.gentile\AppData\Local\Microsoft\Windows\INetCache\Content.Outlook\HN0QK0FS\Copia%20de%20Lista%20y%20Acciones%20Dx%20y%20Sub%20FEB%2026-%20Litoral%20Nea%20y%20NOA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toral"/>
      <sheetName val="NEA"/>
      <sheetName val="NOA"/>
      <sheetName val="Sub Litoral"/>
      <sheetName val="Sub NEA"/>
      <sheetName val="Sub NOA"/>
    </sheetNames>
    <sheetDataSet>
      <sheetData sheetId="0">
        <row r="30">
          <cell r="H30" t="e">
            <v>#N/A</v>
          </cell>
        </row>
        <row r="31">
          <cell r="H31">
            <v>21455.938697318012</v>
          </cell>
        </row>
        <row r="32">
          <cell r="H32" t="e">
            <v>#N/A</v>
          </cell>
        </row>
        <row r="33">
          <cell r="H33">
            <v>20383.141762452109</v>
          </cell>
        </row>
        <row r="34">
          <cell r="H34">
            <v>18023.643887147333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7333-CE2D-4220-A77E-1226C8485F9D}">
  <dimension ref="A1:X113"/>
  <sheetViews>
    <sheetView tabSelected="1" topLeftCell="C1" workbookViewId="0">
      <selection activeCell="C5" sqref="C5"/>
    </sheetView>
  </sheetViews>
  <sheetFormatPr baseColWidth="10" defaultColWidth="11.42578125" defaultRowHeight="15" outlineLevelCol="1" x14ac:dyDescent="0.25"/>
  <cols>
    <col min="1" max="1" width="2.85546875" customWidth="1"/>
    <col min="2" max="2" width="11.85546875" customWidth="1"/>
    <col min="3" max="3" width="46.140625" bestFit="1" customWidth="1"/>
    <col min="4" max="4" width="12.140625" hidden="1" customWidth="1"/>
    <col min="5" max="5" width="8" bestFit="1" customWidth="1"/>
    <col min="6" max="6" width="9.42578125" bestFit="1" customWidth="1"/>
    <col min="7" max="7" width="9.42578125" style="124" bestFit="1" customWidth="1"/>
    <col min="8" max="8" width="9.42578125" customWidth="1"/>
    <col min="9" max="9" width="9.42578125" style="124" bestFit="1" customWidth="1"/>
    <col min="10" max="15" width="11.42578125" outlineLevel="1"/>
    <col min="16" max="16" width="11.42578125" style="125"/>
    <col min="17" max="21" width="11.42578125" hidden="1" customWidth="1"/>
  </cols>
  <sheetData>
    <row r="1" spans="2:21" s="1" customFormat="1" ht="12.75" thickBot="1" x14ac:dyDescent="0.25">
      <c r="G1" s="2"/>
      <c r="I1" s="2"/>
      <c r="P1" s="3"/>
    </row>
    <row r="2" spans="2:21" s="1" customFormat="1" ht="36.75" thickBot="1" x14ac:dyDescent="0.2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5</v>
      </c>
      <c r="H2" s="6" t="s">
        <v>6</v>
      </c>
      <c r="I2" s="7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R2" s="1" t="s">
        <v>15</v>
      </c>
    </row>
    <row r="3" spans="2:21" s="1" customFormat="1" ht="12" x14ac:dyDescent="0.2">
      <c r="B3" s="10"/>
      <c r="C3" s="11"/>
      <c r="D3" s="12"/>
      <c r="E3" s="11"/>
      <c r="F3" s="11"/>
      <c r="G3" s="13"/>
      <c r="H3" s="11"/>
      <c r="I3" s="13"/>
      <c r="J3" s="14"/>
      <c r="K3" s="15">
        <v>0.21</v>
      </c>
      <c r="L3" s="14"/>
      <c r="M3" s="15">
        <v>0.3</v>
      </c>
      <c r="N3" s="14"/>
      <c r="O3" s="15">
        <v>0.4</v>
      </c>
      <c r="P3" s="16"/>
    </row>
    <row r="4" spans="2:21" x14ac:dyDescent="0.25">
      <c r="B4" s="17">
        <v>100021632</v>
      </c>
      <c r="C4" s="18" t="s">
        <v>16</v>
      </c>
      <c r="D4" s="19">
        <v>7790360026606</v>
      </c>
      <c r="E4" s="20">
        <v>4.8</v>
      </c>
      <c r="F4" s="21">
        <v>30</v>
      </c>
      <c r="G4" s="22">
        <f t="shared" ref="G4:G28" si="0">+VLOOKUP(B4,$T$4:$U$106,2,FALSE)</f>
        <v>44287.960151426363</v>
      </c>
      <c r="H4" s="21"/>
      <c r="I4" s="22">
        <f>+G4*(1-H4)</f>
        <v>44287.960151426363</v>
      </c>
      <c r="J4" s="22">
        <f t="shared" ref="J4:J67" si="1">+I4/F4</f>
        <v>1476.2653383808788</v>
      </c>
      <c r="K4" s="22">
        <f>+J4*K$3</f>
        <v>310.01572105998451</v>
      </c>
      <c r="L4" s="22">
        <f>+J4+K4</f>
        <v>1786.2810594408634</v>
      </c>
      <c r="M4" s="22">
        <f>+L4*M$3</f>
        <v>535.88431783225894</v>
      </c>
      <c r="N4" s="22">
        <f>+L4+M4</f>
        <v>2322.1653772731224</v>
      </c>
      <c r="O4" s="22">
        <f>+N4*O$3</f>
        <v>928.86615090924897</v>
      </c>
      <c r="P4" s="23">
        <f>+N4+O4</f>
        <v>3251.0315281823714</v>
      </c>
      <c r="R4" s="22">
        <v>42179.009668025108</v>
      </c>
      <c r="S4" s="24">
        <f>+(I4-R4)/R4</f>
        <v>4.9999999999999989E-2</v>
      </c>
      <c r="T4" s="17">
        <v>100021632</v>
      </c>
      <c r="U4" s="22">
        <v>44287.960151426363</v>
      </c>
    </row>
    <row r="5" spans="2:21" x14ac:dyDescent="0.25">
      <c r="B5" s="25">
        <v>100021652</v>
      </c>
      <c r="C5" s="18" t="s">
        <v>17</v>
      </c>
      <c r="D5" s="19">
        <v>7790360026576</v>
      </c>
      <c r="E5" s="20">
        <v>5.76</v>
      </c>
      <c r="F5" s="21">
        <v>18</v>
      </c>
      <c r="G5" s="22">
        <f t="shared" si="0"/>
        <v>55853.42950551727</v>
      </c>
      <c r="H5" s="21"/>
      <c r="I5" s="22">
        <f t="shared" ref="I5:I38" si="2">+G5*(1-H5)</f>
        <v>55853.42950551727</v>
      </c>
      <c r="J5" s="22">
        <f t="shared" si="1"/>
        <v>3102.9683058620703</v>
      </c>
      <c r="K5" s="22">
        <f t="shared" ref="K5:K77" si="3">+J5*K$3</f>
        <v>651.62334423103471</v>
      </c>
      <c r="L5" s="22">
        <f t="shared" ref="L5:L77" si="4">+J5+K5</f>
        <v>3754.5916500931053</v>
      </c>
      <c r="M5" s="22">
        <f t="shared" ref="M5:M77" si="5">+L5*M$3</f>
        <v>1126.3774950279314</v>
      </c>
      <c r="N5" s="22">
        <f t="shared" ref="N5:N77" si="6">+L5+M5</f>
        <v>4880.9691451210365</v>
      </c>
      <c r="O5" s="22">
        <f t="shared" ref="O5:O77" si="7">+N5*O$3</f>
        <v>1952.3876580484148</v>
      </c>
      <c r="P5" s="23">
        <f t="shared" ref="P5:P77" si="8">+N5+O5</f>
        <v>6833.3568031694513</v>
      </c>
      <c r="R5" s="22">
        <v>50775.845005015697</v>
      </c>
      <c r="S5" s="24">
        <f t="shared" ref="S5:S77" si="9">+(I5-R5)/R5</f>
        <v>0.10000000000000006</v>
      </c>
      <c r="T5" s="25">
        <v>100021652</v>
      </c>
      <c r="U5" s="22">
        <v>55853.42950551727</v>
      </c>
    </row>
    <row r="6" spans="2:21" x14ac:dyDescent="0.25">
      <c r="B6" s="25">
        <v>100021631</v>
      </c>
      <c r="C6" s="18" t="s">
        <v>18</v>
      </c>
      <c r="D6" s="19">
        <v>7790360026590</v>
      </c>
      <c r="E6" s="20">
        <v>7.68</v>
      </c>
      <c r="F6" s="21">
        <v>8</v>
      </c>
      <c r="G6" s="22">
        <f t="shared" si="0"/>
        <v>70798.248820551773</v>
      </c>
      <c r="H6" s="21"/>
      <c r="I6" s="22">
        <f t="shared" si="2"/>
        <v>70798.248820551773</v>
      </c>
      <c r="J6" s="22">
        <f t="shared" si="1"/>
        <v>8849.7811025689716</v>
      </c>
      <c r="K6" s="22">
        <f t="shared" si="3"/>
        <v>1858.454031539484</v>
      </c>
      <c r="L6" s="22">
        <f t="shared" si="4"/>
        <v>10708.235134108456</v>
      </c>
      <c r="M6" s="22">
        <f t="shared" si="5"/>
        <v>3212.4705402325367</v>
      </c>
      <c r="N6" s="22">
        <f t="shared" si="6"/>
        <v>13920.705674340992</v>
      </c>
      <c r="O6" s="22">
        <f t="shared" si="7"/>
        <v>5568.2822697363972</v>
      </c>
      <c r="P6" s="23">
        <f t="shared" si="8"/>
        <v>19488.987944077388</v>
      </c>
      <c r="R6" s="22">
        <v>64362.044382319793</v>
      </c>
      <c r="S6" s="24">
        <f t="shared" si="9"/>
        <v>0.1</v>
      </c>
      <c r="T6" s="25">
        <v>100021631</v>
      </c>
      <c r="U6" s="22">
        <v>70798.248820551773</v>
      </c>
    </row>
    <row r="7" spans="2:21" x14ac:dyDescent="0.25">
      <c r="B7" s="25">
        <v>100021630</v>
      </c>
      <c r="C7" s="18" t="s">
        <v>19</v>
      </c>
      <c r="D7" s="19">
        <v>7790360026583</v>
      </c>
      <c r="E7" s="20">
        <v>9.6</v>
      </c>
      <c r="F7" s="21">
        <v>6</v>
      </c>
      <c r="G7" s="22">
        <f t="shared" si="0"/>
        <v>86779.406928103519</v>
      </c>
      <c r="H7" s="21"/>
      <c r="I7" s="22">
        <f t="shared" si="2"/>
        <v>86779.406928103519</v>
      </c>
      <c r="J7" s="22">
        <f t="shared" si="1"/>
        <v>14463.234488017253</v>
      </c>
      <c r="K7" s="22">
        <f t="shared" si="3"/>
        <v>3037.279242483623</v>
      </c>
      <c r="L7" s="22">
        <f t="shared" si="4"/>
        <v>17500.513730500876</v>
      </c>
      <c r="M7" s="22">
        <f t="shared" si="5"/>
        <v>5250.1541191502629</v>
      </c>
      <c r="N7" s="22">
        <f t="shared" si="6"/>
        <v>22750.667849651138</v>
      </c>
      <c r="O7" s="22">
        <f t="shared" si="7"/>
        <v>9100.2671398604562</v>
      </c>
      <c r="P7" s="23">
        <f t="shared" si="8"/>
        <v>31850.934989511596</v>
      </c>
      <c r="R7" s="22">
        <v>78890.369934639559</v>
      </c>
      <c r="S7" s="24">
        <f t="shared" si="9"/>
        <v>0.10000000000000006</v>
      </c>
      <c r="T7" s="25">
        <v>100021630</v>
      </c>
      <c r="U7" s="22">
        <v>86779.406928103519</v>
      </c>
    </row>
    <row r="8" spans="2:21" x14ac:dyDescent="0.25">
      <c r="B8" s="26">
        <v>100021653</v>
      </c>
      <c r="C8" s="27" t="s">
        <v>20</v>
      </c>
      <c r="D8" s="19">
        <v>7790360026682</v>
      </c>
      <c r="E8" s="20">
        <v>5.76</v>
      </c>
      <c r="F8" s="21">
        <v>18</v>
      </c>
      <c r="G8" s="22">
        <f t="shared" si="0"/>
        <v>55676.292761793149</v>
      </c>
      <c r="H8" s="21"/>
      <c r="I8" s="22">
        <f t="shared" si="2"/>
        <v>55676.292761793149</v>
      </c>
      <c r="J8" s="22">
        <f t="shared" si="1"/>
        <v>3093.127375655175</v>
      </c>
      <c r="K8" s="22">
        <f t="shared" si="3"/>
        <v>649.55674888758676</v>
      </c>
      <c r="L8" s="22">
        <f t="shared" si="4"/>
        <v>3742.6841245427618</v>
      </c>
      <c r="M8" s="22">
        <f t="shared" si="5"/>
        <v>1122.8052373628284</v>
      </c>
      <c r="N8" s="22">
        <f t="shared" si="6"/>
        <v>4865.4893619055902</v>
      </c>
      <c r="O8" s="22">
        <f t="shared" si="7"/>
        <v>1946.1957447622362</v>
      </c>
      <c r="P8" s="23">
        <f t="shared" si="8"/>
        <v>6811.6851066678264</v>
      </c>
      <c r="R8" s="22">
        <v>55676.292761793149</v>
      </c>
      <c r="S8" s="24">
        <f t="shared" si="9"/>
        <v>0</v>
      </c>
      <c r="T8" s="26">
        <v>100021653</v>
      </c>
      <c r="U8" s="22">
        <v>55676.292761793149</v>
      </c>
    </row>
    <row r="9" spans="2:21" x14ac:dyDescent="0.25">
      <c r="B9" s="26">
        <v>100516169</v>
      </c>
      <c r="C9" s="27" t="s">
        <v>21</v>
      </c>
      <c r="D9" s="19">
        <v>7790360967961</v>
      </c>
      <c r="E9" s="20">
        <v>5.76</v>
      </c>
      <c r="F9" s="21">
        <v>18</v>
      </c>
      <c r="G9" s="22">
        <f t="shared" si="0"/>
        <v>51337.27209303002</v>
      </c>
      <c r="H9" s="21"/>
      <c r="I9" s="22">
        <f t="shared" si="2"/>
        <v>51337.27209303002</v>
      </c>
      <c r="J9" s="22">
        <f t="shared" si="1"/>
        <v>2852.0706718350011</v>
      </c>
      <c r="K9" s="22">
        <f t="shared" si="3"/>
        <v>598.93484108535017</v>
      </c>
      <c r="L9" s="22">
        <f t="shared" si="4"/>
        <v>3451.0055129203511</v>
      </c>
      <c r="M9" s="22">
        <f t="shared" si="5"/>
        <v>1035.3016538761053</v>
      </c>
      <c r="N9" s="22">
        <f t="shared" si="6"/>
        <v>4486.3071667964559</v>
      </c>
      <c r="O9" s="22">
        <f t="shared" si="7"/>
        <v>1794.5228667185825</v>
      </c>
      <c r="P9" s="23">
        <f t="shared" si="8"/>
        <v>6280.8300335150379</v>
      </c>
      <c r="R9" s="22">
        <v>51337.27209303002</v>
      </c>
      <c r="S9" s="24">
        <f t="shared" si="9"/>
        <v>0</v>
      </c>
      <c r="T9" s="26">
        <v>100516169</v>
      </c>
      <c r="U9" s="22">
        <v>51337.27209303002</v>
      </c>
    </row>
    <row r="10" spans="2:21" x14ac:dyDescent="0.25">
      <c r="B10" s="26">
        <v>100520337</v>
      </c>
      <c r="C10" s="27" t="s">
        <v>22</v>
      </c>
      <c r="D10" s="19">
        <v>7790360977960</v>
      </c>
      <c r="E10" s="20">
        <v>4.8</v>
      </c>
      <c r="F10" s="21">
        <v>30</v>
      </c>
      <c r="G10" s="22">
        <f t="shared" si="0"/>
        <v>31314.663479623836</v>
      </c>
      <c r="H10" s="21"/>
      <c r="I10" s="22">
        <f t="shared" si="2"/>
        <v>31314.663479623836</v>
      </c>
      <c r="J10" s="22">
        <f t="shared" si="1"/>
        <v>1043.8221159874613</v>
      </c>
      <c r="K10" s="22">
        <f>+J10*K$3</f>
        <v>219.20264435736686</v>
      </c>
      <c r="L10" s="22">
        <f>+J10+K10</f>
        <v>1263.0247603448281</v>
      </c>
      <c r="M10" s="22">
        <f>+L10*M$3</f>
        <v>378.90742810344841</v>
      </c>
      <c r="N10" s="22">
        <f>+L10+M10</f>
        <v>1641.9321884482765</v>
      </c>
      <c r="O10" s="22">
        <f>+N10*O$3</f>
        <v>656.77287537931068</v>
      </c>
      <c r="P10" s="23">
        <f>+N10+O10</f>
        <v>2298.7050638275873</v>
      </c>
      <c r="R10" s="22">
        <v>29823.489028213175</v>
      </c>
      <c r="S10" s="24">
        <f t="shared" si="9"/>
        <v>5.0000000000000086E-2</v>
      </c>
      <c r="T10" s="26">
        <v>100516170</v>
      </c>
      <c r="U10" s="22">
        <v>0</v>
      </c>
    </row>
    <row r="11" spans="2:21" x14ac:dyDescent="0.25">
      <c r="B11" s="26">
        <v>100021503</v>
      </c>
      <c r="C11" s="27" t="s">
        <v>23</v>
      </c>
      <c r="D11" s="19">
        <v>7790360966841</v>
      </c>
      <c r="E11" s="20">
        <v>3.3119999999999998</v>
      </c>
      <c r="F11" s="21">
        <v>12</v>
      </c>
      <c r="G11" s="22">
        <f t="shared" si="0"/>
        <v>23909.554608150476</v>
      </c>
      <c r="H11" s="28"/>
      <c r="I11" s="22">
        <f t="shared" si="2"/>
        <v>23909.554608150476</v>
      </c>
      <c r="J11" s="22">
        <f t="shared" si="1"/>
        <v>1992.4628840125397</v>
      </c>
      <c r="K11" s="22">
        <f t="shared" si="3"/>
        <v>418.41720564263329</v>
      </c>
      <c r="L11" s="22">
        <f t="shared" si="4"/>
        <v>2410.8800896551729</v>
      </c>
      <c r="M11" s="22">
        <f t="shared" si="5"/>
        <v>723.26402689655185</v>
      </c>
      <c r="N11" s="22">
        <f t="shared" si="6"/>
        <v>3134.1441165517249</v>
      </c>
      <c r="O11" s="22">
        <f t="shared" si="7"/>
        <v>1253.65764662069</v>
      </c>
      <c r="P11" s="23">
        <f t="shared" si="8"/>
        <v>4387.8017631724151</v>
      </c>
      <c r="Q11">
        <v>8.3299999999999999E-2</v>
      </c>
      <c r="R11" s="22">
        <v>20874.179723134799</v>
      </c>
      <c r="S11" s="24">
        <f t="shared" si="9"/>
        <v>0.14541289407657917</v>
      </c>
      <c r="T11" s="26">
        <v>100517438</v>
      </c>
      <c r="U11" s="22">
        <v>0</v>
      </c>
    </row>
    <row r="12" spans="2:21" x14ac:dyDescent="0.25">
      <c r="B12" s="26">
        <v>100516201</v>
      </c>
      <c r="C12" s="27" t="s">
        <v>24</v>
      </c>
      <c r="D12" s="19">
        <v>7790360968548</v>
      </c>
      <c r="E12" s="20">
        <v>6.6239999999999997</v>
      </c>
      <c r="F12" s="21">
        <v>8</v>
      </c>
      <c r="G12" s="22">
        <f t="shared" si="0"/>
        <v>52240.111638521164</v>
      </c>
      <c r="H12" s="28"/>
      <c r="I12" s="22">
        <f t="shared" si="2"/>
        <v>52240.111638521164</v>
      </c>
      <c r="J12" s="22">
        <f t="shared" si="1"/>
        <v>6530.0139548151456</v>
      </c>
      <c r="K12" s="22">
        <f t="shared" si="3"/>
        <v>1371.3029305111804</v>
      </c>
      <c r="L12" s="22">
        <f t="shared" si="4"/>
        <v>7901.316885326326</v>
      </c>
      <c r="M12" s="22">
        <f t="shared" si="5"/>
        <v>2370.3950655978979</v>
      </c>
      <c r="N12" s="22">
        <f t="shared" si="6"/>
        <v>10271.711950924224</v>
      </c>
      <c r="O12" s="22">
        <f t="shared" si="7"/>
        <v>4108.6847803696901</v>
      </c>
      <c r="P12" s="23">
        <f t="shared" si="8"/>
        <v>14380.396731293913</v>
      </c>
      <c r="R12" s="22">
        <v>49752.487274782055</v>
      </c>
      <c r="S12" s="24">
        <f t="shared" si="9"/>
        <v>5.0000000000000128E-2</v>
      </c>
      <c r="T12" s="26">
        <v>100520337</v>
      </c>
      <c r="U12" s="22">
        <v>31314.663479623836</v>
      </c>
    </row>
    <row r="13" spans="2:21" x14ac:dyDescent="0.25">
      <c r="B13" s="29">
        <v>100021643</v>
      </c>
      <c r="C13" s="30" t="s">
        <v>25</v>
      </c>
      <c r="D13" s="31">
        <v>7790360966797</v>
      </c>
      <c r="E13" s="32">
        <v>4.7039999999999997</v>
      </c>
      <c r="F13" s="33">
        <v>42</v>
      </c>
      <c r="G13" s="34">
        <f t="shared" si="0"/>
        <v>32037.275794231991</v>
      </c>
      <c r="H13" s="35">
        <v>9.5238095238095205E-2</v>
      </c>
      <c r="I13" s="34">
        <f t="shared" si="2"/>
        <v>28986.106670971803</v>
      </c>
      <c r="J13" s="34">
        <f t="shared" si="1"/>
        <v>690.14539692790004</v>
      </c>
      <c r="K13" s="34">
        <f t="shared" si="3"/>
        <v>144.93053335485899</v>
      </c>
      <c r="L13" s="34">
        <f t="shared" si="4"/>
        <v>835.07593028275903</v>
      </c>
      <c r="M13" s="34">
        <f t="shared" si="5"/>
        <v>250.5227790848277</v>
      </c>
      <c r="N13" s="34">
        <f t="shared" si="6"/>
        <v>1085.5987093675867</v>
      </c>
      <c r="O13" s="34">
        <f t="shared" si="7"/>
        <v>434.23948374703468</v>
      </c>
      <c r="P13" s="36">
        <f t="shared" si="8"/>
        <v>1519.8381931146214</v>
      </c>
      <c r="R13" s="22">
        <v>30511.691232601897</v>
      </c>
      <c r="S13" s="24">
        <f t="shared" si="9"/>
        <v>-4.9999999999999968E-2</v>
      </c>
      <c r="T13" s="26">
        <v>100021503</v>
      </c>
      <c r="U13" s="22">
        <v>23909.554608150476</v>
      </c>
    </row>
    <row r="14" spans="2:21" x14ac:dyDescent="0.25">
      <c r="B14" s="26">
        <v>100516325</v>
      </c>
      <c r="C14" s="27" t="s">
        <v>26</v>
      </c>
      <c r="D14" s="19">
        <v>7790360967763</v>
      </c>
      <c r="E14" s="20">
        <v>4.7039999999999997</v>
      </c>
      <c r="F14" s="21">
        <v>21</v>
      </c>
      <c r="G14" s="22">
        <f t="shared" si="0"/>
        <v>36030.606332659088</v>
      </c>
      <c r="H14" s="28"/>
      <c r="I14" s="22">
        <f t="shared" si="2"/>
        <v>36030.606332659088</v>
      </c>
      <c r="J14" s="22">
        <f t="shared" si="1"/>
        <v>1715.7431586980517</v>
      </c>
      <c r="K14" s="22">
        <f t="shared" si="3"/>
        <v>360.30606332659085</v>
      </c>
      <c r="L14" s="22">
        <f t="shared" si="4"/>
        <v>2076.0492220246424</v>
      </c>
      <c r="M14" s="22">
        <f t="shared" si="5"/>
        <v>622.8147666073927</v>
      </c>
      <c r="N14" s="22">
        <f t="shared" si="6"/>
        <v>2698.8639886320352</v>
      </c>
      <c r="O14" s="22">
        <f t="shared" si="7"/>
        <v>1079.545595452814</v>
      </c>
      <c r="P14" s="23">
        <f t="shared" si="8"/>
        <v>3778.4095840848495</v>
      </c>
      <c r="R14" s="22">
        <v>34314.863173961035</v>
      </c>
      <c r="S14" s="24">
        <f t="shared" si="9"/>
        <v>5.0000000000000031E-2</v>
      </c>
      <c r="T14" s="26">
        <v>100516201</v>
      </c>
      <c r="U14" s="22">
        <v>52240.111638521164</v>
      </c>
    </row>
    <row r="15" spans="2:21" x14ac:dyDescent="0.25">
      <c r="B15" s="26">
        <v>100021676</v>
      </c>
      <c r="C15" s="27" t="s">
        <v>27</v>
      </c>
      <c r="D15" s="19">
        <v>7790360967411</v>
      </c>
      <c r="E15" s="20">
        <v>7.5</v>
      </c>
      <c r="F15" s="21">
        <v>30</v>
      </c>
      <c r="G15" s="22">
        <f t="shared" si="0"/>
        <v>66855.304156739832</v>
      </c>
      <c r="H15" s="28"/>
      <c r="I15" s="22">
        <f t="shared" si="2"/>
        <v>66855.304156739832</v>
      </c>
      <c r="J15" s="22">
        <f t="shared" si="1"/>
        <v>2228.5101385579942</v>
      </c>
      <c r="K15" s="22">
        <f t="shared" si="3"/>
        <v>467.98712909717875</v>
      </c>
      <c r="L15" s="22">
        <f t="shared" si="4"/>
        <v>2696.4972676551729</v>
      </c>
      <c r="M15" s="22">
        <f t="shared" si="5"/>
        <v>808.94918029655184</v>
      </c>
      <c r="N15" s="22">
        <f t="shared" si="6"/>
        <v>3505.4464479517246</v>
      </c>
      <c r="O15" s="22">
        <f t="shared" si="7"/>
        <v>1402.1785791806899</v>
      </c>
      <c r="P15" s="23">
        <f t="shared" si="8"/>
        <v>4907.6250271324143</v>
      </c>
      <c r="Q15">
        <v>6.6699999999999995E-2</v>
      </c>
      <c r="R15" s="22">
        <v>62396.055369485286</v>
      </c>
      <c r="S15" s="24">
        <f t="shared" si="9"/>
        <v>7.1466838101360758E-2</v>
      </c>
      <c r="T15" s="26">
        <v>100021643</v>
      </c>
      <c r="U15" s="22">
        <v>32037.275794231991</v>
      </c>
    </row>
    <row r="16" spans="2:21" x14ac:dyDescent="0.25">
      <c r="B16" s="29">
        <v>100516008</v>
      </c>
      <c r="C16" s="30" t="s">
        <v>28</v>
      </c>
      <c r="D16" s="31">
        <v>7790360967701</v>
      </c>
      <c r="E16" s="32">
        <v>5.76</v>
      </c>
      <c r="F16" s="33">
        <v>24</v>
      </c>
      <c r="G16" s="34">
        <f t="shared" si="0"/>
        <v>56052.79545638174</v>
      </c>
      <c r="H16" s="35">
        <v>0.05</v>
      </c>
      <c r="I16" s="34">
        <f t="shared" si="2"/>
        <v>53250.155683562654</v>
      </c>
      <c r="J16" s="34">
        <f t="shared" si="1"/>
        <v>2218.7564868151107</v>
      </c>
      <c r="K16" s="34">
        <f t="shared" si="3"/>
        <v>465.93886223117323</v>
      </c>
      <c r="L16" s="34">
        <f t="shared" si="4"/>
        <v>2684.6953490462838</v>
      </c>
      <c r="M16" s="34">
        <f t="shared" si="5"/>
        <v>805.4086047138851</v>
      </c>
      <c r="N16" s="34">
        <f t="shared" si="6"/>
        <v>3490.1039537601691</v>
      </c>
      <c r="O16" s="34">
        <f t="shared" si="7"/>
        <v>1396.0415815040678</v>
      </c>
      <c r="P16" s="36">
        <f t="shared" si="8"/>
        <v>4886.145535264237</v>
      </c>
      <c r="Q16">
        <v>9.0899999999999995E-2</v>
      </c>
      <c r="R16" s="22">
        <v>50957.596349396641</v>
      </c>
      <c r="S16" s="24">
        <f t="shared" si="9"/>
        <v>4.4989550104498954E-2</v>
      </c>
      <c r="T16" s="26">
        <v>100516325</v>
      </c>
      <c r="U16" s="22">
        <v>36030.606332659088</v>
      </c>
    </row>
    <row r="17" spans="1:21" x14ac:dyDescent="0.25">
      <c r="B17" s="26">
        <v>100520834</v>
      </c>
      <c r="C17" s="27" t="s">
        <v>29</v>
      </c>
      <c r="D17" s="19">
        <v>7790360980618</v>
      </c>
      <c r="E17" s="20">
        <v>6.66</v>
      </c>
      <c r="F17" s="21">
        <v>36</v>
      </c>
      <c r="G17" s="22">
        <f t="shared" si="0"/>
        <v>69405.147209583316</v>
      </c>
      <c r="H17" s="21"/>
      <c r="I17" s="22">
        <f t="shared" si="2"/>
        <v>69405.147209583316</v>
      </c>
      <c r="J17" s="22">
        <f t="shared" si="1"/>
        <v>1927.9207558217588</v>
      </c>
      <c r="K17" s="22">
        <f>+J17*K$3</f>
        <v>404.86335872256933</v>
      </c>
      <c r="L17" s="22">
        <f>+J17+K17</f>
        <v>2332.7841145443281</v>
      </c>
      <c r="M17" s="22">
        <f>+L17*M$3</f>
        <v>699.83523436329835</v>
      </c>
      <c r="N17" s="22">
        <f>+L17+M17</f>
        <v>3032.6193489076263</v>
      </c>
      <c r="O17" s="22">
        <f>+N17*O$3</f>
        <v>1213.0477395630505</v>
      </c>
      <c r="P17" s="23">
        <f>+N17+O17</f>
        <v>4245.6670884706764</v>
      </c>
      <c r="R17" s="34">
        <v>69405.147209583316</v>
      </c>
      <c r="S17" s="24">
        <f t="shared" si="9"/>
        <v>0</v>
      </c>
      <c r="T17" s="26">
        <v>100021676</v>
      </c>
      <c r="U17" s="22">
        <v>66855.304156739832</v>
      </c>
    </row>
    <row r="18" spans="1:21" x14ac:dyDescent="0.25">
      <c r="B18" s="26">
        <v>100021680</v>
      </c>
      <c r="C18" s="27" t="s">
        <v>30</v>
      </c>
      <c r="D18" s="19">
        <v>7790360967688</v>
      </c>
      <c r="E18" s="20">
        <v>4.32</v>
      </c>
      <c r="F18" s="21">
        <v>18</v>
      </c>
      <c r="G18" s="22">
        <f t="shared" si="0"/>
        <v>55590.443355789168</v>
      </c>
      <c r="H18" s="21"/>
      <c r="I18" s="22">
        <f t="shared" si="2"/>
        <v>55590.443355789168</v>
      </c>
      <c r="J18" s="22">
        <f t="shared" si="1"/>
        <v>3088.3579642105092</v>
      </c>
      <c r="K18" s="22">
        <f t="shared" si="3"/>
        <v>648.55517248420688</v>
      </c>
      <c r="L18" s="22">
        <f t="shared" si="4"/>
        <v>3736.9131366947158</v>
      </c>
      <c r="M18" s="22">
        <f t="shared" si="5"/>
        <v>1121.0739410084147</v>
      </c>
      <c r="N18" s="22">
        <f t="shared" si="6"/>
        <v>4857.9870777031301</v>
      </c>
      <c r="O18" s="22">
        <f t="shared" si="7"/>
        <v>1943.1948310812522</v>
      </c>
      <c r="P18" s="23">
        <f t="shared" si="8"/>
        <v>6801.1819087843824</v>
      </c>
      <c r="R18" s="22">
        <v>55590.443355789168</v>
      </c>
      <c r="S18" s="24">
        <f t="shared" si="9"/>
        <v>0</v>
      </c>
      <c r="T18" s="26">
        <v>100021664</v>
      </c>
      <c r="U18" s="22">
        <v>0</v>
      </c>
    </row>
    <row r="19" spans="1:21" x14ac:dyDescent="0.25">
      <c r="B19" s="26">
        <v>100021644</v>
      </c>
      <c r="C19" s="27" t="s">
        <v>31</v>
      </c>
      <c r="D19" s="19">
        <v>7790360008541</v>
      </c>
      <c r="E19" s="20">
        <v>4.7039999999999997</v>
      </c>
      <c r="F19" s="21">
        <v>42</v>
      </c>
      <c r="G19" s="22">
        <f t="shared" si="0"/>
        <v>23198.823423740061</v>
      </c>
      <c r="H19" s="21"/>
      <c r="I19" s="22">
        <f t="shared" si="2"/>
        <v>23198.823423740061</v>
      </c>
      <c r="J19" s="22">
        <f t="shared" si="1"/>
        <v>552.35293866047766</v>
      </c>
      <c r="K19" s="22">
        <f t="shared" si="3"/>
        <v>115.9941171187003</v>
      </c>
      <c r="L19" s="22">
        <f t="shared" si="4"/>
        <v>668.34705577917794</v>
      </c>
      <c r="M19" s="37">
        <f>+L19*0.33</f>
        <v>220.55452840712874</v>
      </c>
      <c r="N19" s="22">
        <f t="shared" si="6"/>
        <v>888.90158418630665</v>
      </c>
      <c r="O19" s="22">
        <f t="shared" si="7"/>
        <v>355.56063367452271</v>
      </c>
      <c r="P19" s="23">
        <f t="shared" si="8"/>
        <v>1244.4622178608292</v>
      </c>
      <c r="R19" s="22">
        <v>21089.839476127327</v>
      </c>
      <c r="S19" s="24">
        <f t="shared" si="9"/>
        <v>0.10000000000000009</v>
      </c>
      <c r="T19" s="26">
        <v>100516008</v>
      </c>
      <c r="U19" s="22">
        <v>56052.79545638174</v>
      </c>
    </row>
    <row r="20" spans="1:21" x14ac:dyDescent="0.25">
      <c r="B20" s="26">
        <v>100021677</v>
      </c>
      <c r="C20" s="27" t="s">
        <v>32</v>
      </c>
      <c r="D20" s="19">
        <v>7790360967404</v>
      </c>
      <c r="E20" s="20">
        <v>3.3119999999999998</v>
      </c>
      <c r="F20" s="21">
        <v>12</v>
      </c>
      <c r="G20" s="22">
        <f t="shared" si="0"/>
        <v>18410.953977453592</v>
      </c>
      <c r="H20" s="21"/>
      <c r="I20" s="22">
        <f t="shared" si="2"/>
        <v>18410.953977453592</v>
      </c>
      <c r="J20" s="22">
        <f t="shared" si="1"/>
        <v>1534.2461647877992</v>
      </c>
      <c r="K20" s="22">
        <f t="shared" si="3"/>
        <v>322.19169460543782</v>
      </c>
      <c r="L20" s="22">
        <f t="shared" si="4"/>
        <v>1856.437859393237</v>
      </c>
      <c r="M20" s="37">
        <f>+L20*0.33</f>
        <v>612.62449359976824</v>
      </c>
      <c r="N20" s="22">
        <f t="shared" si="6"/>
        <v>2469.0623529930053</v>
      </c>
      <c r="O20" s="22">
        <f t="shared" si="7"/>
        <v>987.62494119720213</v>
      </c>
      <c r="P20" s="23">
        <f t="shared" si="8"/>
        <v>3456.6872941902075</v>
      </c>
      <c r="R20" s="22">
        <v>16737.230888594171</v>
      </c>
      <c r="S20" s="24">
        <f t="shared" si="9"/>
        <v>0.1000000000000002</v>
      </c>
      <c r="T20" s="26">
        <v>100520834</v>
      </c>
      <c r="U20" s="22">
        <v>69405.147209583316</v>
      </c>
    </row>
    <row r="21" spans="1:21" x14ac:dyDescent="0.25">
      <c r="B21" s="26">
        <v>100021638</v>
      </c>
      <c r="C21" s="27" t="s">
        <v>33</v>
      </c>
      <c r="D21" s="19">
        <v>7790360026699</v>
      </c>
      <c r="E21" s="20">
        <v>4.8</v>
      </c>
      <c r="F21" s="21">
        <v>60</v>
      </c>
      <c r="G21" s="22">
        <f t="shared" si="0"/>
        <v>52286.133616622552</v>
      </c>
      <c r="H21" s="21"/>
      <c r="I21" s="22">
        <f t="shared" si="2"/>
        <v>52286.133616622552</v>
      </c>
      <c r="J21" s="22">
        <f t="shared" si="1"/>
        <v>871.43556027704255</v>
      </c>
      <c r="K21" s="22">
        <f t="shared" si="3"/>
        <v>183.00146765817894</v>
      </c>
      <c r="L21" s="22">
        <f t="shared" si="4"/>
        <v>1054.4370279352215</v>
      </c>
      <c r="M21" s="22">
        <f t="shared" si="5"/>
        <v>316.33110838056643</v>
      </c>
      <c r="N21" s="22">
        <f t="shared" si="6"/>
        <v>1370.7681363157881</v>
      </c>
      <c r="O21" s="22">
        <f t="shared" si="7"/>
        <v>548.30725452631521</v>
      </c>
      <c r="P21" s="23">
        <f t="shared" si="8"/>
        <v>1919.0753908421034</v>
      </c>
      <c r="R21" s="22">
        <v>52286.133616622552</v>
      </c>
      <c r="S21" s="24">
        <f t="shared" si="9"/>
        <v>0</v>
      </c>
      <c r="T21" s="26">
        <v>100021680</v>
      </c>
      <c r="U21" s="22">
        <v>55590.443355789168</v>
      </c>
    </row>
    <row r="22" spans="1:21" x14ac:dyDescent="0.25">
      <c r="B22" s="26">
        <v>100021575</v>
      </c>
      <c r="C22" s="27" t="s">
        <v>34</v>
      </c>
      <c r="D22" s="19">
        <v>7790360007032</v>
      </c>
      <c r="E22" s="20">
        <v>4.1399999999999997</v>
      </c>
      <c r="F22" s="21">
        <v>60</v>
      </c>
      <c r="G22" s="22">
        <f t="shared" si="0"/>
        <v>42882.940853975058</v>
      </c>
      <c r="H22" s="21"/>
      <c r="I22" s="22">
        <f t="shared" si="2"/>
        <v>42882.940853975058</v>
      </c>
      <c r="J22" s="22">
        <f t="shared" si="1"/>
        <v>714.7156808995843</v>
      </c>
      <c r="K22" s="22">
        <f t="shared" si="3"/>
        <v>150.09029298891269</v>
      </c>
      <c r="L22" s="22">
        <f t="shared" si="4"/>
        <v>864.80597388849696</v>
      </c>
      <c r="M22" s="22">
        <f t="shared" si="5"/>
        <v>259.44179216654908</v>
      </c>
      <c r="N22" s="22">
        <f t="shared" si="6"/>
        <v>1124.247766055046</v>
      </c>
      <c r="O22" s="22">
        <f t="shared" si="7"/>
        <v>449.69910642201842</v>
      </c>
      <c r="P22" s="23">
        <f t="shared" si="8"/>
        <v>1573.9468724770645</v>
      </c>
      <c r="R22" s="22">
        <v>42882.940853975058</v>
      </c>
      <c r="S22" s="24">
        <f t="shared" si="9"/>
        <v>0</v>
      </c>
      <c r="T22" s="26">
        <v>100021644</v>
      </c>
      <c r="U22" s="22">
        <v>23198.823423740061</v>
      </c>
    </row>
    <row r="23" spans="1:21" x14ac:dyDescent="0.25">
      <c r="B23" s="26">
        <v>100021514</v>
      </c>
      <c r="C23" s="27" t="s">
        <v>35</v>
      </c>
      <c r="D23" s="19">
        <v>7790360006943</v>
      </c>
      <c r="E23" s="20">
        <v>4.1399999999999997</v>
      </c>
      <c r="F23" s="21">
        <v>60</v>
      </c>
      <c r="G23" s="22">
        <f t="shared" si="0"/>
        <v>39023.233048076399</v>
      </c>
      <c r="H23" s="21"/>
      <c r="I23" s="22">
        <f t="shared" si="2"/>
        <v>39023.233048076399</v>
      </c>
      <c r="J23" s="22">
        <f t="shared" si="1"/>
        <v>650.38721746793999</v>
      </c>
      <c r="K23" s="22">
        <f t="shared" si="3"/>
        <v>136.58131566826739</v>
      </c>
      <c r="L23" s="22">
        <f t="shared" si="4"/>
        <v>786.96853313620738</v>
      </c>
      <c r="M23" s="22">
        <f t="shared" si="5"/>
        <v>236.09055994086219</v>
      </c>
      <c r="N23" s="22">
        <f t="shared" si="6"/>
        <v>1023.0590930770695</v>
      </c>
      <c r="O23" s="22">
        <f t="shared" si="7"/>
        <v>409.22363723082782</v>
      </c>
      <c r="P23" s="23">
        <f t="shared" si="8"/>
        <v>1432.2827303078973</v>
      </c>
      <c r="R23" s="22">
        <v>39023.233048076399</v>
      </c>
      <c r="S23" s="24">
        <f t="shared" si="9"/>
        <v>0</v>
      </c>
      <c r="T23" s="26">
        <v>100021677</v>
      </c>
      <c r="U23" s="22">
        <v>18410.953977453592</v>
      </c>
    </row>
    <row r="24" spans="1:21" x14ac:dyDescent="0.25">
      <c r="B24" s="25">
        <v>100516208</v>
      </c>
      <c r="C24" s="38" t="s">
        <v>36</v>
      </c>
      <c r="D24" s="39">
        <v>7790360968203</v>
      </c>
      <c r="E24" s="20">
        <f>60*0.08</f>
        <v>4.8</v>
      </c>
      <c r="F24" s="21">
        <v>60</v>
      </c>
      <c r="G24" s="22">
        <f t="shared" si="0"/>
        <v>45244.35203863302</v>
      </c>
      <c r="H24" s="21"/>
      <c r="I24" s="22">
        <f t="shared" si="2"/>
        <v>45244.35203863302</v>
      </c>
      <c r="J24" s="22">
        <f t="shared" si="1"/>
        <v>754.07253397721695</v>
      </c>
      <c r="K24" s="22">
        <f t="shared" si="3"/>
        <v>158.35523213521554</v>
      </c>
      <c r="L24" s="22">
        <f t="shared" si="4"/>
        <v>912.42776611243244</v>
      </c>
      <c r="M24" s="22">
        <f t="shared" si="5"/>
        <v>273.72832983372973</v>
      </c>
      <c r="N24" s="22">
        <f t="shared" si="6"/>
        <v>1186.1560959461622</v>
      </c>
      <c r="O24" s="22">
        <f t="shared" si="7"/>
        <v>474.46243837846487</v>
      </c>
      <c r="P24" s="23">
        <f t="shared" si="8"/>
        <v>1660.618534324627</v>
      </c>
      <c r="R24" s="22">
        <v>45244.35203863302</v>
      </c>
      <c r="S24" s="24">
        <f t="shared" si="9"/>
        <v>0</v>
      </c>
      <c r="T24" s="26">
        <v>100021638</v>
      </c>
      <c r="U24" s="22">
        <v>52286.133616622552</v>
      </c>
    </row>
    <row r="25" spans="1:21" x14ac:dyDescent="0.25">
      <c r="B25" s="26">
        <v>100518346</v>
      </c>
      <c r="C25" s="27" t="s">
        <v>37</v>
      </c>
      <c r="D25" s="19"/>
      <c r="E25" s="20">
        <v>6.54</v>
      </c>
      <c r="F25" s="21">
        <v>60</v>
      </c>
      <c r="G25" s="22">
        <f t="shared" si="0"/>
        <v>64667.28610012462</v>
      </c>
      <c r="H25" s="21"/>
      <c r="I25" s="22">
        <f t="shared" si="2"/>
        <v>64667.28610012462</v>
      </c>
      <c r="J25" s="22">
        <f t="shared" si="1"/>
        <v>1077.7881016687436</v>
      </c>
      <c r="K25" s="22">
        <f t="shared" si="3"/>
        <v>226.33550135043615</v>
      </c>
      <c r="L25" s="22">
        <f t="shared" si="4"/>
        <v>1304.1236030191797</v>
      </c>
      <c r="M25" s="22">
        <f t="shared" si="5"/>
        <v>391.23708090575388</v>
      </c>
      <c r="N25" s="22">
        <f t="shared" si="6"/>
        <v>1695.3606839249335</v>
      </c>
      <c r="O25" s="22">
        <f t="shared" si="7"/>
        <v>678.14427356997339</v>
      </c>
      <c r="P25" s="23">
        <f t="shared" si="8"/>
        <v>2373.5049574949071</v>
      </c>
      <c r="R25" s="22">
        <v>64667.28610012462</v>
      </c>
      <c r="S25" s="24">
        <f t="shared" si="9"/>
        <v>0</v>
      </c>
      <c r="T25" s="26">
        <v>100021575</v>
      </c>
      <c r="U25" s="22">
        <v>42882.940853975058</v>
      </c>
    </row>
    <row r="26" spans="1:21" x14ac:dyDescent="0.25">
      <c r="B26" s="26">
        <v>100516259</v>
      </c>
      <c r="C26" s="27" t="s">
        <v>38</v>
      </c>
      <c r="D26" s="19">
        <v>7790360968340</v>
      </c>
      <c r="E26" s="20">
        <v>18.16</v>
      </c>
      <c r="F26" s="21">
        <v>48</v>
      </c>
      <c r="G26" s="22">
        <f t="shared" si="0"/>
        <v>149620.03162527084</v>
      </c>
      <c r="H26" s="21"/>
      <c r="I26" s="22">
        <f t="shared" si="2"/>
        <v>149620.03162527084</v>
      </c>
      <c r="J26" s="22">
        <f t="shared" si="1"/>
        <v>3117.0839921931424</v>
      </c>
      <c r="K26" s="22">
        <f t="shared" si="3"/>
        <v>654.58763836055994</v>
      </c>
      <c r="L26" s="22">
        <f t="shared" si="4"/>
        <v>3771.6716305537025</v>
      </c>
      <c r="M26" s="22">
        <f t="shared" si="5"/>
        <v>1131.5014891661108</v>
      </c>
      <c r="N26" s="22">
        <f t="shared" si="6"/>
        <v>4903.1731197198133</v>
      </c>
      <c r="O26" s="22">
        <f t="shared" si="7"/>
        <v>1961.2692478879253</v>
      </c>
      <c r="P26" s="23">
        <f t="shared" si="8"/>
        <v>6864.4423676077386</v>
      </c>
      <c r="R26" s="22">
        <v>149620.03162527084</v>
      </c>
      <c r="S26" s="24">
        <f t="shared" si="9"/>
        <v>0</v>
      </c>
      <c r="T26" s="26">
        <v>100021514</v>
      </c>
      <c r="U26" s="22">
        <v>39023.233048076399</v>
      </c>
    </row>
    <row r="27" spans="1:21" x14ac:dyDescent="0.25">
      <c r="B27" s="40">
        <v>100518095</v>
      </c>
      <c r="C27" s="27" t="s">
        <v>39</v>
      </c>
      <c r="D27" s="19">
        <v>7790360974785</v>
      </c>
      <c r="E27" s="20">
        <v>6.66</v>
      </c>
      <c r="F27" s="21">
        <v>36</v>
      </c>
      <c r="G27" s="22">
        <f t="shared" si="0"/>
        <v>74547.677437555685</v>
      </c>
      <c r="H27" s="21"/>
      <c r="I27" s="22">
        <f t="shared" si="2"/>
        <v>74547.677437555685</v>
      </c>
      <c r="J27" s="22">
        <f t="shared" si="1"/>
        <v>2070.7688177098803</v>
      </c>
      <c r="K27" s="22">
        <f t="shared" si="3"/>
        <v>434.86145171907486</v>
      </c>
      <c r="L27" s="22">
        <f t="shared" si="4"/>
        <v>2505.6302694289552</v>
      </c>
      <c r="M27" s="22">
        <f t="shared" si="5"/>
        <v>751.68908082868654</v>
      </c>
      <c r="N27" s="22">
        <f t="shared" si="6"/>
        <v>3257.3193502576419</v>
      </c>
      <c r="O27" s="22">
        <f t="shared" si="7"/>
        <v>1302.9277401030567</v>
      </c>
      <c r="P27" s="23">
        <f t="shared" si="8"/>
        <v>4560.2470903606991</v>
      </c>
      <c r="R27" s="22">
        <v>74547.677437555685</v>
      </c>
      <c r="S27" s="24">
        <f t="shared" si="9"/>
        <v>0</v>
      </c>
      <c r="T27" s="25">
        <v>100516208</v>
      </c>
      <c r="U27" s="22">
        <v>45244.35203863302</v>
      </c>
    </row>
    <row r="28" spans="1:21" x14ac:dyDescent="0.25">
      <c r="B28" s="26">
        <v>100518223</v>
      </c>
      <c r="C28" s="27" t="s">
        <v>40</v>
      </c>
      <c r="D28" s="19">
        <v>7790360975065</v>
      </c>
      <c r="E28" s="20">
        <f>60*0.106</f>
        <v>6.3599999999999994</v>
      </c>
      <c r="F28" s="21">
        <v>30</v>
      </c>
      <c r="G28" s="22">
        <f t="shared" si="0"/>
        <v>58039.509836990605</v>
      </c>
      <c r="H28" s="21"/>
      <c r="I28" s="22">
        <f t="shared" si="2"/>
        <v>58039.509836990605</v>
      </c>
      <c r="J28" s="22">
        <f t="shared" si="1"/>
        <v>1934.6503278996868</v>
      </c>
      <c r="K28" s="22">
        <f t="shared" si="3"/>
        <v>406.27656885893418</v>
      </c>
      <c r="L28" s="22">
        <f t="shared" si="4"/>
        <v>2340.9268967586208</v>
      </c>
      <c r="M28" s="22">
        <f t="shared" si="5"/>
        <v>702.27806902758618</v>
      </c>
      <c r="N28" s="22">
        <f t="shared" si="6"/>
        <v>3043.2049657862071</v>
      </c>
      <c r="O28" s="22">
        <f t="shared" si="7"/>
        <v>1217.281986314483</v>
      </c>
      <c r="P28" s="23">
        <f t="shared" si="8"/>
        <v>4260.4869521006904</v>
      </c>
      <c r="R28" s="22">
        <v>58039.509836990605</v>
      </c>
      <c r="S28" s="24">
        <f t="shared" si="9"/>
        <v>0</v>
      </c>
      <c r="T28" s="26">
        <v>100518346</v>
      </c>
      <c r="U28" s="22">
        <v>64667.28610012462</v>
      </c>
    </row>
    <row r="29" spans="1:21" x14ac:dyDescent="0.25">
      <c r="B29" s="41"/>
      <c r="C29" s="42"/>
      <c r="D29" s="43"/>
      <c r="E29" s="42"/>
      <c r="F29" s="44"/>
      <c r="G29" s="44"/>
      <c r="H29" s="44"/>
      <c r="I29" s="44"/>
      <c r="J29" s="45" t="e">
        <f t="shared" si="1"/>
        <v>#DIV/0!</v>
      </c>
      <c r="K29" s="46">
        <v>0.21</v>
      </c>
      <c r="L29" s="45"/>
      <c r="M29" s="46">
        <v>0.3</v>
      </c>
      <c r="N29" s="45"/>
      <c r="O29" s="46">
        <v>0.4</v>
      </c>
      <c r="P29" s="47"/>
      <c r="R29" s="44"/>
      <c r="S29" s="24" t="e">
        <f t="shared" si="9"/>
        <v>#DIV/0!</v>
      </c>
      <c r="T29" s="26">
        <v>100516259</v>
      </c>
      <c r="U29" s="22">
        <v>149620.03162527084</v>
      </c>
    </row>
    <row r="30" spans="1:21" hidden="1" x14ac:dyDescent="0.25">
      <c r="B30" s="29">
        <v>100022085</v>
      </c>
      <c r="C30" s="30" t="s">
        <v>41</v>
      </c>
      <c r="D30" s="31">
        <v>7790360000132</v>
      </c>
      <c r="E30" s="32">
        <v>5.4</v>
      </c>
      <c r="F30" s="33">
        <v>24</v>
      </c>
      <c r="G30" s="34" t="e">
        <f>+[1]Litoral!H30*1.1</f>
        <v>#N/A</v>
      </c>
      <c r="H30" s="48"/>
      <c r="I30" s="34" t="e">
        <f t="shared" si="2"/>
        <v>#N/A</v>
      </c>
      <c r="J30" s="34" t="e">
        <f t="shared" si="1"/>
        <v>#N/A</v>
      </c>
      <c r="K30" s="34" t="e">
        <f t="shared" si="3"/>
        <v>#N/A</v>
      </c>
      <c r="L30" s="34" t="e">
        <f t="shared" si="4"/>
        <v>#N/A</v>
      </c>
      <c r="M30" s="34" t="e">
        <f t="shared" si="5"/>
        <v>#N/A</v>
      </c>
      <c r="N30" s="34" t="e">
        <f t="shared" si="6"/>
        <v>#N/A</v>
      </c>
      <c r="O30" s="34" t="e">
        <f t="shared" si="7"/>
        <v>#N/A</v>
      </c>
      <c r="P30" s="36" t="e">
        <f t="shared" si="8"/>
        <v>#N/A</v>
      </c>
      <c r="R30" s="34" t="e">
        <v>#N/A</v>
      </c>
      <c r="S30" s="49" t="e">
        <f t="shared" si="9"/>
        <v>#N/A</v>
      </c>
      <c r="T30" s="40">
        <v>100518095</v>
      </c>
      <c r="U30" s="22">
        <v>74547.677437555685</v>
      </c>
    </row>
    <row r="31" spans="1:21" x14ac:dyDescent="0.25">
      <c r="A31" s="26"/>
      <c r="B31" s="29">
        <v>100522204</v>
      </c>
      <c r="C31" s="30" t="s">
        <v>41</v>
      </c>
      <c r="D31" s="31">
        <v>7790360983947</v>
      </c>
      <c r="E31" s="32">
        <v>5.4</v>
      </c>
      <c r="F31" s="33">
        <v>24</v>
      </c>
      <c r="G31" s="34">
        <f>+[1]Litoral!H31*1.1</f>
        <v>23601.532567049813</v>
      </c>
      <c r="H31" s="48">
        <v>8.3333333333333301E-2</v>
      </c>
      <c r="I31" s="34">
        <f t="shared" si="2"/>
        <v>21634.738186462331</v>
      </c>
      <c r="J31" s="34">
        <f t="shared" si="1"/>
        <v>901.44742443593043</v>
      </c>
      <c r="K31" s="34">
        <f t="shared" si="3"/>
        <v>189.30395913154538</v>
      </c>
      <c r="L31" s="34">
        <f t="shared" si="4"/>
        <v>1090.7513835674758</v>
      </c>
      <c r="M31" s="34">
        <f t="shared" si="5"/>
        <v>327.22541507024272</v>
      </c>
      <c r="N31" s="34">
        <f t="shared" si="6"/>
        <v>1417.9767986377185</v>
      </c>
      <c r="O31" s="34">
        <f t="shared" si="7"/>
        <v>567.19071945508745</v>
      </c>
      <c r="P31" s="36">
        <f t="shared" si="8"/>
        <v>1985.1675180928059</v>
      </c>
      <c r="R31" s="34">
        <v>23601.532567049813</v>
      </c>
      <c r="S31" s="49"/>
      <c r="T31" s="26">
        <v>100518223</v>
      </c>
      <c r="U31" s="22">
        <v>58039.509836990605</v>
      </c>
    </row>
    <row r="32" spans="1:21" hidden="1" x14ac:dyDescent="0.25">
      <c r="B32" s="29">
        <v>100022072</v>
      </c>
      <c r="C32" s="30" t="s">
        <v>42</v>
      </c>
      <c r="D32" s="31">
        <v>7790360024541</v>
      </c>
      <c r="E32" s="32">
        <v>5.4</v>
      </c>
      <c r="F32" s="33">
        <v>12</v>
      </c>
      <c r="G32" s="34" t="e">
        <f>+[1]Litoral!H32*1.1</f>
        <v>#N/A</v>
      </c>
      <c r="H32" s="48"/>
      <c r="I32" s="34" t="e">
        <f t="shared" si="2"/>
        <v>#N/A</v>
      </c>
      <c r="J32" s="34" t="e">
        <f t="shared" si="1"/>
        <v>#N/A</v>
      </c>
      <c r="K32" s="34" t="e">
        <f t="shared" si="3"/>
        <v>#N/A</v>
      </c>
      <c r="L32" s="34" t="e">
        <f t="shared" si="4"/>
        <v>#N/A</v>
      </c>
      <c r="M32" s="34" t="e">
        <f t="shared" si="5"/>
        <v>#N/A</v>
      </c>
      <c r="N32" s="34" t="e">
        <f t="shared" si="6"/>
        <v>#N/A</v>
      </c>
      <c r="O32" s="34" t="e">
        <f t="shared" si="7"/>
        <v>#N/A</v>
      </c>
      <c r="P32" s="36" t="e">
        <f t="shared" si="8"/>
        <v>#N/A</v>
      </c>
      <c r="R32" s="22" t="e">
        <v>#N/A</v>
      </c>
      <c r="S32" s="49" t="e">
        <f t="shared" si="9"/>
        <v>#N/A</v>
      </c>
      <c r="T32" s="41"/>
      <c r="U32" s="44"/>
    </row>
    <row r="33" spans="1:24" x14ac:dyDescent="0.25">
      <c r="A33" s="26"/>
      <c r="B33" s="29">
        <v>100522205</v>
      </c>
      <c r="C33" s="30" t="s">
        <v>42</v>
      </c>
      <c r="D33" s="31">
        <v>7790360983954</v>
      </c>
      <c r="E33" s="32">
        <v>5.4</v>
      </c>
      <c r="F33" s="33">
        <v>12</v>
      </c>
      <c r="G33" s="34">
        <f>+[1]Litoral!H33*1.1</f>
        <v>22421.455938697323</v>
      </c>
      <c r="H33" s="48">
        <v>8.3333333333333301E-2</v>
      </c>
      <c r="I33" s="34">
        <f t="shared" si="2"/>
        <v>20553.001277139214</v>
      </c>
      <c r="J33" s="34">
        <f t="shared" si="1"/>
        <v>1712.7501064282678</v>
      </c>
      <c r="K33" s="34">
        <f t="shared" si="3"/>
        <v>359.67752234993623</v>
      </c>
      <c r="L33" s="34">
        <f t="shared" si="4"/>
        <v>2072.4276287782041</v>
      </c>
      <c r="M33" s="34">
        <f t="shared" si="5"/>
        <v>621.72828863346115</v>
      </c>
      <c r="N33" s="34">
        <f t="shared" si="6"/>
        <v>2694.1559174116651</v>
      </c>
      <c r="O33" s="34">
        <f t="shared" si="7"/>
        <v>1077.662366964666</v>
      </c>
      <c r="P33" s="36">
        <f t="shared" si="8"/>
        <v>3771.8182843763311</v>
      </c>
      <c r="R33" s="22">
        <v>22421.455938697323</v>
      </c>
      <c r="S33" s="49"/>
      <c r="T33" s="26">
        <v>100022085</v>
      </c>
      <c r="U33" s="22">
        <v>25747.126436781611</v>
      </c>
    </row>
    <row r="34" spans="1:24" x14ac:dyDescent="0.25">
      <c r="B34" s="29">
        <v>100516849</v>
      </c>
      <c r="C34" s="30" t="s">
        <v>43</v>
      </c>
      <c r="D34" s="31">
        <v>7790360970053</v>
      </c>
      <c r="E34" s="32">
        <v>4.5599999990400004</v>
      </c>
      <c r="F34" s="33">
        <v>24</v>
      </c>
      <c r="G34" s="34">
        <f>+[1]Litoral!H34*1.1</f>
        <v>19826.008275862067</v>
      </c>
      <c r="H34" s="48"/>
      <c r="I34" s="34">
        <f t="shared" si="2"/>
        <v>19826.008275862067</v>
      </c>
      <c r="J34" s="34">
        <f t="shared" si="1"/>
        <v>826.08367816091948</v>
      </c>
      <c r="K34" s="34">
        <f t="shared" si="3"/>
        <v>173.47757241379307</v>
      </c>
      <c r="L34" s="34">
        <f t="shared" si="4"/>
        <v>999.56125057471252</v>
      </c>
      <c r="M34" s="34">
        <f t="shared" si="5"/>
        <v>299.86837517241372</v>
      </c>
      <c r="N34" s="34">
        <f t="shared" si="6"/>
        <v>1299.4296257471262</v>
      </c>
      <c r="O34" s="34">
        <f t="shared" si="7"/>
        <v>519.7718502988505</v>
      </c>
      <c r="P34" s="36">
        <f t="shared" si="8"/>
        <v>1819.2014760459767</v>
      </c>
      <c r="R34" s="34">
        <v>19826.008275862067</v>
      </c>
      <c r="S34" s="49">
        <f t="shared" si="9"/>
        <v>0</v>
      </c>
      <c r="T34" s="26">
        <v>100522204</v>
      </c>
      <c r="U34" s="22">
        <v>25747.126436781611</v>
      </c>
    </row>
    <row r="35" spans="1:24" x14ac:dyDescent="0.25">
      <c r="B35" s="26">
        <v>100022039</v>
      </c>
      <c r="C35" s="27" t="s">
        <v>44</v>
      </c>
      <c r="D35" s="19">
        <v>7790360007063</v>
      </c>
      <c r="E35" s="20">
        <v>8.6999999999999993</v>
      </c>
      <c r="F35" s="21">
        <v>10</v>
      </c>
      <c r="G35" s="22">
        <f t="shared" ref="G35:G38" si="10">+VLOOKUP(B35,$T$4:$U$106,2,FALSE)</f>
        <v>64728.26680978154</v>
      </c>
      <c r="H35" s="50"/>
      <c r="I35" s="22">
        <f t="shared" si="2"/>
        <v>64728.26680978154</v>
      </c>
      <c r="J35" s="22">
        <f t="shared" si="1"/>
        <v>6472.8266809781544</v>
      </c>
      <c r="K35" s="22">
        <f t="shared" si="3"/>
        <v>1359.2936030054125</v>
      </c>
      <c r="L35" s="22">
        <f t="shared" si="4"/>
        <v>7832.1202839835669</v>
      </c>
      <c r="M35" s="22">
        <f t="shared" si="5"/>
        <v>2349.6360851950699</v>
      </c>
      <c r="N35" s="22">
        <f t="shared" si="6"/>
        <v>10181.756369178636</v>
      </c>
      <c r="O35" s="22">
        <f t="shared" si="7"/>
        <v>4072.7025476714548</v>
      </c>
      <c r="P35" s="23">
        <f t="shared" si="8"/>
        <v>14254.458916850092</v>
      </c>
      <c r="R35" s="22">
        <v>61645.968390268135</v>
      </c>
      <c r="S35" s="49">
        <f t="shared" si="9"/>
        <v>4.9999999999999968E-2</v>
      </c>
      <c r="T35" s="26">
        <v>100022072</v>
      </c>
      <c r="U35" s="22">
        <v>24459.770114942534</v>
      </c>
    </row>
    <row r="36" spans="1:24" x14ac:dyDescent="0.25">
      <c r="A36" s="26"/>
      <c r="B36" s="26">
        <v>100522206</v>
      </c>
      <c r="C36" s="27" t="s">
        <v>44</v>
      </c>
      <c r="D36" s="19">
        <v>7790360983961</v>
      </c>
      <c r="E36" s="20">
        <v>8.6999999999999993</v>
      </c>
      <c r="F36" s="21">
        <v>10</v>
      </c>
      <c r="G36" s="22">
        <f t="shared" si="10"/>
        <v>64728.26680978154</v>
      </c>
      <c r="H36" s="50"/>
      <c r="I36" s="22">
        <f t="shared" si="2"/>
        <v>64728.26680978154</v>
      </c>
      <c r="J36" s="22">
        <f t="shared" si="1"/>
        <v>6472.8266809781544</v>
      </c>
      <c r="K36" s="22">
        <f t="shared" si="3"/>
        <v>1359.2936030054125</v>
      </c>
      <c r="L36" s="22">
        <f t="shared" si="4"/>
        <v>7832.1202839835669</v>
      </c>
      <c r="M36" s="22">
        <f t="shared" si="5"/>
        <v>2349.6360851950699</v>
      </c>
      <c r="N36" s="22">
        <f t="shared" si="6"/>
        <v>10181.756369178636</v>
      </c>
      <c r="O36" s="22">
        <f t="shared" si="7"/>
        <v>4072.7025476714548</v>
      </c>
      <c r="P36" s="23">
        <f t="shared" si="8"/>
        <v>14254.458916850092</v>
      </c>
      <c r="R36" s="22">
        <v>61645.968390268135</v>
      </c>
      <c r="S36" s="49"/>
      <c r="T36" s="26">
        <v>100522205</v>
      </c>
      <c r="U36" s="22">
        <v>24459.770114942534</v>
      </c>
    </row>
    <row r="37" spans="1:24" x14ac:dyDescent="0.25">
      <c r="B37" s="26">
        <v>100022058</v>
      </c>
      <c r="C37" s="27" t="s">
        <v>45</v>
      </c>
      <c r="D37" s="19">
        <v>7790360026002</v>
      </c>
      <c r="E37" s="20">
        <v>4.5599999990400004</v>
      </c>
      <c r="F37" s="21">
        <v>24</v>
      </c>
      <c r="G37" s="22">
        <f t="shared" si="10"/>
        <v>17361.948396431158</v>
      </c>
      <c r="H37" s="50"/>
      <c r="I37" s="22">
        <f t="shared" si="2"/>
        <v>17361.948396431158</v>
      </c>
      <c r="J37" s="22">
        <f t="shared" si="1"/>
        <v>723.4145165179649</v>
      </c>
      <c r="K37" s="22">
        <f t="shared" si="3"/>
        <v>151.91704846877263</v>
      </c>
      <c r="L37" s="22">
        <f t="shared" si="4"/>
        <v>875.33156498673748</v>
      </c>
      <c r="M37" s="22">
        <f>+L37*0.33</f>
        <v>288.85941644562337</v>
      </c>
      <c r="N37" s="22">
        <f t="shared" si="6"/>
        <v>1164.1909814323608</v>
      </c>
      <c r="O37" s="22">
        <f t="shared" si="7"/>
        <v>465.67639257294434</v>
      </c>
      <c r="P37" s="23">
        <f t="shared" si="8"/>
        <v>1629.867374005305</v>
      </c>
      <c r="R37" s="34">
        <v>17361.948396431158</v>
      </c>
      <c r="S37" s="49">
        <f t="shared" si="9"/>
        <v>0</v>
      </c>
      <c r="T37" s="26">
        <v>100516849</v>
      </c>
      <c r="U37" s="22">
        <v>19826.008275862067</v>
      </c>
      <c r="X37" s="1" t="s">
        <v>46</v>
      </c>
    </row>
    <row r="38" spans="1:24" x14ac:dyDescent="0.25">
      <c r="B38" s="26">
        <v>100518151</v>
      </c>
      <c r="C38" s="27" t="s">
        <v>47</v>
      </c>
      <c r="D38" s="19">
        <v>7790360974990</v>
      </c>
      <c r="E38" s="20">
        <v>8.6999999999999993</v>
      </c>
      <c r="F38" s="21">
        <v>10</v>
      </c>
      <c r="G38" s="22">
        <f t="shared" si="10"/>
        <v>73741.829197311818</v>
      </c>
      <c r="H38" s="21"/>
      <c r="I38" s="22">
        <f t="shared" si="2"/>
        <v>73741.829197311818</v>
      </c>
      <c r="J38" s="22">
        <f t="shared" si="1"/>
        <v>7374.1829197311818</v>
      </c>
      <c r="K38" s="22">
        <f t="shared" si="3"/>
        <v>1548.578413143548</v>
      </c>
      <c r="L38" s="22">
        <f t="shared" si="4"/>
        <v>8922.7613328747302</v>
      </c>
      <c r="M38" s="22">
        <f>+L38*0.33</f>
        <v>2944.5112398486613</v>
      </c>
      <c r="N38" s="22">
        <f t="shared" si="6"/>
        <v>11867.272572723392</v>
      </c>
      <c r="O38" s="22">
        <f t="shared" si="7"/>
        <v>4746.9090290893573</v>
      </c>
      <c r="P38" s="23">
        <f t="shared" si="8"/>
        <v>16614.18160181275</v>
      </c>
      <c r="R38" s="22">
        <v>70230.313521249351</v>
      </c>
      <c r="S38" s="49">
        <f t="shared" si="9"/>
        <v>4.9999999999999989E-2</v>
      </c>
      <c r="T38" s="26">
        <v>100022039</v>
      </c>
      <c r="U38" s="22">
        <v>64728.26680978154</v>
      </c>
    </row>
    <row r="39" spans="1:24" x14ac:dyDescent="0.25">
      <c r="B39" s="41"/>
      <c r="C39" s="42"/>
      <c r="D39" s="43"/>
      <c r="E39" s="42"/>
      <c r="F39" s="44"/>
      <c r="G39" s="44"/>
      <c r="H39" s="44"/>
      <c r="I39" s="44"/>
      <c r="J39" s="45" t="e">
        <f t="shared" si="1"/>
        <v>#DIV/0!</v>
      </c>
      <c r="K39" s="46">
        <v>0.21</v>
      </c>
      <c r="L39" s="45"/>
      <c r="M39" s="46">
        <v>0.2</v>
      </c>
      <c r="N39" s="45"/>
      <c r="O39" s="46">
        <v>0.35</v>
      </c>
      <c r="P39" s="47"/>
      <c r="R39" s="44"/>
      <c r="S39" s="24" t="e">
        <f t="shared" si="9"/>
        <v>#DIV/0!</v>
      </c>
      <c r="T39" s="26">
        <v>100522206</v>
      </c>
      <c r="U39" s="22">
        <v>64728.26680978154</v>
      </c>
    </row>
    <row r="40" spans="1:24" x14ac:dyDescent="0.25">
      <c r="B40" s="29">
        <v>100021000</v>
      </c>
      <c r="C40" s="30" t="s">
        <v>48</v>
      </c>
      <c r="D40" s="31">
        <v>7790360720382</v>
      </c>
      <c r="E40" s="32">
        <v>2.16</v>
      </c>
      <c r="F40" s="33">
        <v>24</v>
      </c>
      <c r="G40" s="34">
        <f t="shared" ref="G40:G56" si="11">+VLOOKUP(B40,$T$4:$U$106,2,FALSE)</f>
        <v>14258.501079199326</v>
      </c>
      <c r="H40" s="48"/>
      <c r="I40" s="34">
        <f t="shared" ref="I40:I103" si="12">+G40*(1-H40)</f>
        <v>14258.501079199326</v>
      </c>
      <c r="J40" s="34">
        <f t="shared" si="1"/>
        <v>594.10421163330523</v>
      </c>
      <c r="K40" s="34">
        <f t="shared" si="3"/>
        <v>124.76188444299409</v>
      </c>
      <c r="L40" s="34">
        <f t="shared" si="4"/>
        <v>718.8660960762993</v>
      </c>
      <c r="M40" s="34">
        <f>+L40*M$39</f>
        <v>143.77321921525987</v>
      </c>
      <c r="N40" s="34">
        <f t="shared" si="6"/>
        <v>862.63931529155911</v>
      </c>
      <c r="O40" s="34">
        <f>+N40*O$39</f>
        <v>301.92376035204569</v>
      </c>
      <c r="P40" s="36">
        <f t="shared" si="8"/>
        <v>1164.5630756436049</v>
      </c>
      <c r="R40" s="34">
        <v>13579.524837332692</v>
      </c>
      <c r="S40" s="24">
        <f t="shared" si="9"/>
        <v>4.9999999999999968E-2</v>
      </c>
      <c r="T40" s="26">
        <v>100022058</v>
      </c>
      <c r="U40" s="22">
        <v>17361.948396431158</v>
      </c>
    </row>
    <row r="41" spans="1:24" x14ac:dyDescent="0.25">
      <c r="B41" s="29">
        <v>100021001</v>
      </c>
      <c r="C41" s="30" t="s">
        <v>49</v>
      </c>
      <c r="D41" s="31">
        <v>7790360720115</v>
      </c>
      <c r="E41" s="32">
        <v>2.16</v>
      </c>
      <c r="F41" s="33">
        <v>24</v>
      </c>
      <c r="G41" s="34">
        <f t="shared" si="11"/>
        <v>14258.501079199326</v>
      </c>
      <c r="H41" s="48"/>
      <c r="I41" s="34">
        <f t="shared" si="12"/>
        <v>14258.501079199326</v>
      </c>
      <c r="J41" s="34">
        <f t="shared" si="1"/>
        <v>594.10421163330523</v>
      </c>
      <c r="K41" s="34">
        <f t="shared" si="3"/>
        <v>124.76188444299409</v>
      </c>
      <c r="L41" s="34">
        <f t="shared" si="4"/>
        <v>718.8660960762993</v>
      </c>
      <c r="M41" s="34">
        <f t="shared" ref="M41:M56" si="13">+L41*M$39</f>
        <v>143.77321921525987</v>
      </c>
      <c r="N41" s="34">
        <f t="shared" si="6"/>
        <v>862.63931529155911</v>
      </c>
      <c r="O41" s="34">
        <f t="shared" ref="O41:O56" si="14">+N41*O$39</f>
        <v>301.92376035204569</v>
      </c>
      <c r="P41" s="36">
        <f t="shared" si="8"/>
        <v>1164.5630756436049</v>
      </c>
      <c r="R41" s="34">
        <v>13579.524837332692</v>
      </c>
      <c r="S41" s="24">
        <f t="shared" si="9"/>
        <v>4.9999999999999968E-2</v>
      </c>
      <c r="T41" s="26">
        <v>100518151</v>
      </c>
      <c r="U41" s="22">
        <v>73741.829197311818</v>
      </c>
    </row>
    <row r="42" spans="1:24" x14ac:dyDescent="0.25">
      <c r="A42" s="40"/>
      <c r="B42" s="51">
        <v>100522277</v>
      </c>
      <c r="C42" s="30" t="s">
        <v>50</v>
      </c>
      <c r="D42" s="31"/>
      <c r="E42" s="32">
        <v>2.16</v>
      </c>
      <c r="F42" s="33">
        <v>24</v>
      </c>
      <c r="G42" s="34">
        <f t="shared" si="11"/>
        <v>14258.501079199326</v>
      </c>
      <c r="H42" s="48"/>
      <c r="I42" s="34">
        <f t="shared" si="12"/>
        <v>14258.501079199326</v>
      </c>
      <c r="J42" s="34">
        <f t="shared" si="1"/>
        <v>594.10421163330523</v>
      </c>
      <c r="K42" s="34">
        <f t="shared" si="3"/>
        <v>124.76188444299409</v>
      </c>
      <c r="L42" s="34">
        <f t="shared" si="4"/>
        <v>718.8660960762993</v>
      </c>
      <c r="M42" s="34">
        <f t="shared" si="13"/>
        <v>143.77321921525987</v>
      </c>
      <c r="N42" s="34">
        <f t="shared" si="6"/>
        <v>862.63931529155911</v>
      </c>
      <c r="O42" s="34">
        <f t="shared" si="14"/>
        <v>301.92376035204569</v>
      </c>
      <c r="P42" s="36">
        <f t="shared" si="8"/>
        <v>1164.5630756436049</v>
      </c>
      <c r="R42" s="34">
        <v>13579.524837332692</v>
      </c>
      <c r="S42" s="24"/>
      <c r="T42" s="41"/>
      <c r="U42" s="44"/>
    </row>
    <row r="43" spans="1:24" x14ac:dyDescent="0.25">
      <c r="A43" s="40"/>
      <c r="B43" s="51">
        <v>100522333</v>
      </c>
      <c r="C43" s="30" t="s">
        <v>51</v>
      </c>
      <c r="D43" s="31"/>
      <c r="E43" s="32">
        <v>2.16</v>
      </c>
      <c r="F43" s="33">
        <v>24</v>
      </c>
      <c r="G43" s="34">
        <f t="shared" si="11"/>
        <v>14258.501079199326</v>
      </c>
      <c r="H43" s="48"/>
      <c r="I43" s="34">
        <f t="shared" si="12"/>
        <v>14258.501079199326</v>
      </c>
      <c r="J43" s="34">
        <f t="shared" si="1"/>
        <v>594.10421163330523</v>
      </c>
      <c r="K43" s="34">
        <f t="shared" si="3"/>
        <v>124.76188444299409</v>
      </c>
      <c r="L43" s="34">
        <f t="shared" si="4"/>
        <v>718.8660960762993</v>
      </c>
      <c r="M43" s="34">
        <f t="shared" si="13"/>
        <v>143.77321921525987</v>
      </c>
      <c r="N43" s="34">
        <f t="shared" si="6"/>
        <v>862.63931529155911</v>
      </c>
      <c r="O43" s="34">
        <f t="shared" si="14"/>
        <v>301.92376035204569</v>
      </c>
      <c r="P43" s="36">
        <f t="shared" si="8"/>
        <v>1164.5630756436049</v>
      </c>
      <c r="R43" s="34">
        <v>13579.524837332692</v>
      </c>
      <c r="S43" s="24"/>
      <c r="T43" s="26">
        <v>100021000</v>
      </c>
      <c r="U43" s="22">
        <v>14258.501079199326</v>
      </c>
    </row>
    <row r="44" spans="1:24" x14ac:dyDescent="0.25">
      <c r="B44" s="29">
        <v>100021045</v>
      </c>
      <c r="C44" s="30" t="s">
        <v>52</v>
      </c>
      <c r="D44" s="31">
        <v>7790360966582</v>
      </c>
      <c r="E44" s="32">
        <v>2.16</v>
      </c>
      <c r="F44" s="33">
        <v>24</v>
      </c>
      <c r="G44" s="34">
        <f t="shared" si="11"/>
        <v>14258.501079199325</v>
      </c>
      <c r="H44" s="48"/>
      <c r="I44" s="34">
        <f t="shared" si="12"/>
        <v>14258.501079199325</v>
      </c>
      <c r="J44" s="34">
        <f t="shared" si="1"/>
        <v>594.10421163330523</v>
      </c>
      <c r="K44" s="34">
        <f t="shared" si="3"/>
        <v>124.76188444299409</v>
      </c>
      <c r="L44" s="34">
        <f t="shared" si="4"/>
        <v>718.8660960762993</v>
      </c>
      <c r="M44" s="34">
        <f t="shared" si="13"/>
        <v>143.77321921525987</v>
      </c>
      <c r="N44" s="34">
        <f t="shared" si="6"/>
        <v>862.63931529155911</v>
      </c>
      <c r="O44" s="34">
        <f t="shared" si="14"/>
        <v>301.92376035204569</v>
      </c>
      <c r="P44" s="36">
        <f t="shared" si="8"/>
        <v>1164.5630756436049</v>
      </c>
      <c r="R44" s="34">
        <v>13579.52483733269</v>
      </c>
      <c r="S44" s="24">
        <f t="shared" si="9"/>
        <v>4.9999999999999975E-2</v>
      </c>
      <c r="T44" s="26">
        <v>100021001</v>
      </c>
      <c r="U44" s="22">
        <v>14258.501079199326</v>
      </c>
    </row>
    <row r="45" spans="1:24" x14ac:dyDescent="0.25">
      <c r="B45" s="29">
        <v>100021004</v>
      </c>
      <c r="C45" s="30" t="s">
        <v>53</v>
      </c>
      <c r="D45" s="31">
        <v>7790360964526</v>
      </c>
      <c r="E45" s="32">
        <v>2.1120000000000001</v>
      </c>
      <c r="F45" s="33">
        <v>24</v>
      </c>
      <c r="G45" s="34">
        <f t="shared" si="11"/>
        <v>14258.501079199325</v>
      </c>
      <c r="H45" s="48"/>
      <c r="I45" s="34">
        <f t="shared" si="12"/>
        <v>14258.501079199325</v>
      </c>
      <c r="J45" s="34">
        <f t="shared" si="1"/>
        <v>594.10421163330523</v>
      </c>
      <c r="K45" s="34">
        <f t="shared" si="3"/>
        <v>124.76188444299409</v>
      </c>
      <c r="L45" s="34">
        <f t="shared" si="4"/>
        <v>718.8660960762993</v>
      </c>
      <c r="M45" s="34">
        <f t="shared" si="13"/>
        <v>143.77321921525987</v>
      </c>
      <c r="N45" s="34">
        <f t="shared" si="6"/>
        <v>862.63931529155911</v>
      </c>
      <c r="O45" s="34">
        <f t="shared" si="14"/>
        <v>301.92376035204569</v>
      </c>
      <c r="P45" s="36">
        <f t="shared" si="8"/>
        <v>1164.5630756436049</v>
      </c>
      <c r="R45" s="34">
        <v>13579.52483733269</v>
      </c>
      <c r="S45" s="24">
        <f t="shared" si="9"/>
        <v>4.9999999999999975E-2</v>
      </c>
      <c r="T45" s="40">
        <v>100522277</v>
      </c>
      <c r="U45" s="22">
        <v>14258.501079199326</v>
      </c>
    </row>
    <row r="46" spans="1:24" x14ac:dyDescent="0.25">
      <c r="B46" s="29">
        <v>100021006</v>
      </c>
      <c r="C46" s="30" t="s">
        <v>54</v>
      </c>
      <c r="D46" s="31">
        <v>7790360964557</v>
      </c>
      <c r="E46" s="32">
        <v>2.1120000000000001</v>
      </c>
      <c r="F46" s="33">
        <v>24</v>
      </c>
      <c r="G46" s="34">
        <f t="shared" si="11"/>
        <v>14258.501079199325</v>
      </c>
      <c r="H46" s="48"/>
      <c r="I46" s="34">
        <f t="shared" si="12"/>
        <v>14258.501079199325</v>
      </c>
      <c r="J46" s="34">
        <f t="shared" si="1"/>
        <v>594.10421163330523</v>
      </c>
      <c r="K46" s="34">
        <f t="shared" si="3"/>
        <v>124.76188444299409</v>
      </c>
      <c r="L46" s="34">
        <f t="shared" si="4"/>
        <v>718.8660960762993</v>
      </c>
      <c r="M46" s="34">
        <f t="shared" si="13"/>
        <v>143.77321921525987</v>
      </c>
      <c r="N46" s="34">
        <f t="shared" si="6"/>
        <v>862.63931529155911</v>
      </c>
      <c r="O46" s="34">
        <f t="shared" si="14"/>
        <v>301.92376035204569</v>
      </c>
      <c r="P46" s="36">
        <f t="shared" si="8"/>
        <v>1164.5630756436049</v>
      </c>
      <c r="R46" s="34">
        <v>13579.52483733269</v>
      </c>
      <c r="S46" s="24">
        <f t="shared" si="9"/>
        <v>4.9999999999999975E-2</v>
      </c>
      <c r="T46" s="40">
        <v>100522333</v>
      </c>
      <c r="U46" s="22">
        <v>14258.501079199326</v>
      </c>
    </row>
    <row r="47" spans="1:24" x14ac:dyDescent="0.25">
      <c r="B47" s="29">
        <v>100021007</v>
      </c>
      <c r="C47" s="30" t="s">
        <v>55</v>
      </c>
      <c r="D47" s="31">
        <v>7790360964540</v>
      </c>
      <c r="E47" s="32">
        <v>2.04</v>
      </c>
      <c r="F47" s="33">
        <v>24</v>
      </c>
      <c r="G47" s="34">
        <f t="shared" si="11"/>
        <v>17049.180327868853</v>
      </c>
      <c r="H47" s="48"/>
      <c r="I47" s="34">
        <f t="shared" si="12"/>
        <v>17049.180327868853</v>
      </c>
      <c r="J47" s="34">
        <f t="shared" si="1"/>
        <v>710.38251366120221</v>
      </c>
      <c r="K47" s="34">
        <f t="shared" si="3"/>
        <v>149.18032786885246</v>
      </c>
      <c r="L47" s="34">
        <f t="shared" si="4"/>
        <v>859.5628415300547</v>
      </c>
      <c r="M47" s="34">
        <f t="shared" si="13"/>
        <v>171.91256830601094</v>
      </c>
      <c r="N47" s="34">
        <f t="shared" si="6"/>
        <v>1031.4754098360656</v>
      </c>
      <c r="O47" s="34">
        <f t="shared" si="14"/>
        <v>361.01639344262293</v>
      </c>
      <c r="P47" s="36">
        <f t="shared" si="8"/>
        <v>1392.4918032786886</v>
      </c>
      <c r="R47" s="34">
        <v>15501.688125000002</v>
      </c>
      <c r="S47" s="24">
        <f t="shared" si="9"/>
        <v>9.9827334312910548E-2</v>
      </c>
      <c r="T47" s="26">
        <v>100021045</v>
      </c>
      <c r="U47" s="22">
        <v>14258.501079199325</v>
      </c>
    </row>
    <row r="48" spans="1:24" x14ac:dyDescent="0.25">
      <c r="B48" s="29">
        <v>100021013</v>
      </c>
      <c r="C48" s="30" t="s">
        <v>56</v>
      </c>
      <c r="D48" s="31">
        <v>7790360965714</v>
      </c>
      <c r="E48" s="32">
        <v>2.04</v>
      </c>
      <c r="F48" s="33">
        <v>24</v>
      </c>
      <c r="G48" s="34">
        <f t="shared" si="11"/>
        <v>17049.180327868853</v>
      </c>
      <c r="H48" s="48"/>
      <c r="I48" s="34">
        <f t="shared" si="12"/>
        <v>17049.180327868853</v>
      </c>
      <c r="J48" s="34">
        <f t="shared" si="1"/>
        <v>710.38251366120221</v>
      </c>
      <c r="K48" s="34">
        <f t="shared" si="3"/>
        <v>149.18032786885246</v>
      </c>
      <c r="L48" s="34">
        <f t="shared" si="4"/>
        <v>859.5628415300547</v>
      </c>
      <c r="M48" s="34">
        <f t="shared" si="13"/>
        <v>171.91256830601094</v>
      </c>
      <c r="N48" s="34">
        <f t="shared" si="6"/>
        <v>1031.4754098360656</v>
      </c>
      <c r="O48" s="34">
        <f t="shared" si="14"/>
        <v>361.01639344262293</v>
      </c>
      <c r="P48" s="36">
        <f t="shared" si="8"/>
        <v>1392.4918032786886</v>
      </c>
      <c r="R48" s="34">
        <v>15501.688125000002</v>
      </c>
      <c r="S48" s="24">
        <f t="shared" si="9"/>
        <v>9.9827334312910548E-2</v>
      </c>
      <c r="T48" s="26">
        <v>100021004</v>
      </c>
      <c r="U48" s="22">
        <v>14258.501079199325</v>
      </c>
    </row>
    <row r="49" spans="2:21" x14ac:dyDescent="0.25">
      <c r="B49" s="29">
        <v>100021014</v>
      </c>
      <c r="C49" s="30" t="s">
        <v>57</v>
      </c>
      <c r="D49" s="31">
        <v>7790360965721</v>
      </c>
      <c r="E49" s="32">
        <v>2.04</v>
      </c>
      <c r="F49" s="33">
        <v>24</v>
      </c>
      <c r="G49" s="34">
        <f t="shared" si="11"/>
        <v>17049.180327868853</v>
      </c>
      <c r="H49" s="48"/>
      <c r="I49" s="34">
        <f t="shared" si="12"/>
        <v>17049.180327868853</v>
      </c>
      <c r="J49" s="34">
        <f t="shared" si="1"/>
        <v>710.38251366120221</v>
      </c>
      <c r="K49" s="34">
        <f t="shared" si="3"/>
        <v>149.18032786885246</v>
      </c>
      <c r="L49" s="34">
        <f t="shared" si="4"/>
        <v>859.5628415300547</v>
      </c>
      <c r="M49" s="34">
        <f t="shared" si="13"/>
        <v>171.91256830601094</v>
      </c>
      <c r="N49" s="34">
        <f t="shared" si="6"/>
        <v>1031.4754098360656</v>
      </c>
      <c r="O49" s="34">
        <f t="shared" si="14"/>
        <v>361.01639344262293</v>
      </c>
      <c r="P49" s="36">
        <f t="shared" si="8"/>
        <v>1392.4918032786886</v>
      </c>
      <c r="R49" s="34">
        <v>15501.688125000002</v>
      </c>
      <c r="S49" s="24">
        <f t="shared" si="9"/>
        <v>9.9827334312910548E-2</v>
      </c>
      <c r="T49" s="26">
        <v>100021006</v>
      </c>
      <c r="U49" s="22">
        <v>14258.501079199325</v>
      </c>
    </row>
    <row r="50" spans="2:21" x14ac:dyDescent="0.25">
      <c r="B50" s="29">
        <v>100021054</v>
      </c>
      <c r="C50" s="30" t="s">
        <v>58</v>
      </c>
      <c r="D50" s="31">
        <v>7790360965707</v>
      </c>
      <c r="E50" s="32">
        <v>2.04</v>
      </c>
      <c r="F50" s="33">
        <v>24</v>
      </c>
      <c r="G50" s="34">
        <f t="shared" si="11"/>
        <v>17049.180327868853</v>
      </c>
      <c r="H50" s="48"/>
      <c r="I50" s="34">
        <f t="shared" si="12"/>
        <v>17049.180327868853</v>
      </c>
      <c r="J50" s="34">
        <f t="shared" si="1"/>
        <v>710.38251366120221</v>
      </c>
      <c r="K50" s="34">
        <f t="shared" si="3"/>
        <v>149.18032786885246</v>
      </c>
      <c r="L50" s="34">
        <f t="shared" si="4"/>
        <v>859.5628415300547</v>
      </c>
      <c r="M50" s="34">
        <f t="shared" si="13"/>
        <v>171.91256830601094</v>
      </c>
      <c r="N50" s="34">
        <f t="shared" si="6"/>
        <v>1031.4754098360656</v>
      </c>
      <c r="O50" s="34">
        <f t="shared" si="14"/>
        <v>361.01639344262293</v>
      </c>
      <c r="P50" s="36">
        <f t="shared" si="8"/>
        <v>1392.4918032786886</v>
      </c>
      <c r="R50" s="34">
        <v>15501.688125000002</v>
      </c>
      <c r="S50" s="24">
        <f t="shared" si="9"/>
        <v>9.9827334312910548E-2</v>
      </c>
      <c r="T50" s="26">
        <v>100021007</v>
      </c>
      <c r="U50" s="22">
        <v>17049.180327868853</v>
      </c>
    </row>
    <row r="51" spans="2:21" x14ac:dyDescent="0.25">
      <c r="B51" s="29">
        <v>100021055</v>
      </c>
      <c r="C51" s="30" t="s">
        <v>59</v>
      </c>
      <c r="D51" s="31">
        <v>7790360965189</v>
      </c>
      <c r="E51" s="32">
        <v>2.04</v>
      </c>
      <c r="F51" s="33">
        <v>24</v>
      </c>
      <c r="G51" s="34">
        <f t="shared" si="11"/>
        <v>17049.180327868853</v>
      </c>
      <c r="H51" s="48"/>
      <c r="I51" s="34">
        <f t="shared" si="12"/>
        <v>17049.180327868853</v>
      </c>
      <c r="J51" s="34">
        <f t="shared" si="1"/>
        <v>710.38251366120221</v>
      </c>
      <c r="K51" s="34">
        <f t="shared" si="3"/>
        <v>149.18032786885246</v>
      </c>
      <c r="L51" s="34">
        <f t="shared" si="4"/>
        <v>859.5628415300547</v>
      </c>
      <c r="M51" s="34">
        <f t="shared" si="13"/>
        <v>171.91256830601094</v>
      </c>
      <c r="N51" s="34">
        <f t="shared" si="6"/>
        <v>1031.4754098360656</v>
      </c>
      <c r="O51" s="34">
        <f t="shared" si="14"/>
        <v>361.01639344262293</v>
      </c>
      <c r="P51" s="36">
        <f t="shared" si="8"/>
        <v>1392.4918032786886</v>
      </c>
      <c r="R51" s="34">
        <v>15501.688125000002</v>
      </c>
      <c r="S51" s="24">
        <f t="shared" si="9"/>
        <v>9.9827334312910548E-2</v>
      </c>
      <c r="T51" s="26">
        <v>100021013</v>
      </c>
      <c r="U51" s="22">
        <v>17049.180327868853</v>
      </c>
    </row>
    <row r="52" spans="2:21" x14ac:dyDescent="0.25">
      <c r="B52" s="29">
        <v>100021015</v>
      </c>
      <c r="C52" s="30" t="s">
        <v>60</v>
      </c>
      <c r="D52" s="31">
        <v>7790360965202</v>
      </c>
      <c r="E52" s="32">
        <v>2.04</v>
      </c>
      <c r="F52" s="33">
        <v>24</v>
      </c>
      <c r="G52" s="34">
        <f t="shared" si="11"/>
        <v>17049.180327868853</v>
      </c>
      <c r="H52" s="48"/>
      <c r="I52" s="34">
        <f t="shared" si="12"/>
        <v>17049.180327868853</v>
      </c>
      <c r="J52" s="34">
        <f t="shared" si="1"/>
        <v>710.38251366120221</v>
      </c>
      <c r="K52" s="34">
        <f t="shared" si="3"/>
        <v>149.18032786885246</v>
      </c>
      <c r="L52" s="34">
        <f t="shared" si="4"/>
        <v>859.5628415300547</v>
      </c>
      <c r="M52" s="34">
        <f t="shared" si="13"/>
        <v>171.91256830601094</v>
      </c>
      <c r="N52" s="34">
        <f t="shared" si="6"/>
        <v>1031.4754098360656</v>
      </c>
      <c r="O52" s="34">
        <f t="shared" si="14"/>
        <v>361.01639344262293</v>
      </c>
      <c r="P52" s="36">
        <f t="shared" si="8"/>
        <v>1392.4918032786886</v>
      </c>
      <c r="R52" s="34">
        <v>15501.688125000002</v>
      </c>
      <c r="S52" s="24">
        <f t="shared" si="9"/>
        <v>9.9827334312910548E-2</v>
      </c>
      <c r="T52" s="26">
        <v>100021014</v>
      </c>
      <c r="U52" s="22">
        <v>17049.180327868853</v>
      </c>
    </row>
    <row r="53" spans="2:21" x14ac:dyDescent="0.25">
      <c r="B53" s="29">
        <v>100021008</v>
      </c>
      <c r="C53" s="30" t="s">
        <v>61</v>
      </c>
      <c r="D53" s="31">
        <v>7790360720122</v>
      </c>
      <c r="E53" s="32">
        <v>2.16</v>
      </c>
      <c r="F53" s="33">
        <v>24</v>
      </c>
      <c r="G53" s="34">
        <f t="shared" si="11"/>
        <v>12068.107619965038</v>
      </c>
      <c r="H53" s="48"/>
      <c r="I53" s="34">
        <f t="shared" si="12"/>
        <v>12068.107619965038</v>
      </c>
      <c r="J53" s="34">
        <f t="shared" si="1"/>
        <v>502.83781749854325</v>
      </c>
      <c r="K53" s="34">
        <f t="shared" si="3"/>
        <v>105.59594167469407</v>
      </c>
      <c r="L53" s="34">
        <f t="shared" si="4"/>
        <v>608.43375917323738</v>
      </c>
      <c r="M53" s="34">
        <f t="shared" si="13"/>
        <v>121.68675183464748</v>
      </c>
      <c r="N53" s="34">
        <f t="shared" si="6"/>
        <v>730.12051100788483</v>
      </c>
      <c r="O53" s="34">
        <f t="shared" si="14"/>
        <v>255.54217885275966</v>
      </c>
      <c r="P53" s="36">
        <f t="shared" si="8"/>
        <v>985.66268986064449</v>
      </c>
      <c r="R53" s="34">
        <v>11493.435828538131</v>
      </c>
      <c r="S53" s="24">
        <f t="shared" si="9"/>
        <v>0.05</v>
      </c>
      <c r="T53" s="26">
        <v>100021054</v>
      </c>
      <c r="U53" s="22">
        <v>17049.180327868853</v>
      </c>
    </row>
    <row r="54" spans="2:21" x14ac:dyDescent="0.25">
      <c r="B54" s="29">
        <v>100021009</v>
      </c>
      <c r="C54" s="30" t="s">
        <v>62</v>
      </c>
      <c r="D54" s="31">
        <v>7790360965127</v>
      </c>
      <c r="E54" s="32">
        <v>2.16</v>
      </c>
      <c r="F54" s="33">
        <v>24</v>
      </c>
      <c r="G54" s="34">
        <f t="shared" si="11"/>
        <v>12068.107619965038</v>
      </c>
      <c r="H54" s="48"/>
      <c r="I54" s="34">
        <f t="shared" si="12"/>
        <v>12068.107619965038</v>
      </c>
      <c r="J54" s="34">
        <f t="shared" si="1"/>
        <v>502.83781749854325</v>
      </c>
      <c r="K54" s="34">
        <f t="shared" si="3"/>
        <v>105.59594167469407</v>
      </c>
      <c r="L54" s="34">
        <f t="shared" si="4"/>
        <v>608.43375917323738</v>
      </c>
      <c r="M54" s="34">
        <f t="shared" si="13"/>
        <v>121.68675183464748</v>
      </c>
      <c r="N54" s="34">
        <f t="shared" si="6"/>
        <v>730.12051100788483</v>
      </c>
      <c r="O54" s="34">
        <f t="shared" si="14"/>
        <v>255.54217885275966</v>
      </c>
      <c r="P54" s="36">
        <f t="shared" si="8"/>
        <v>985.66268986064449</v>
      </c>
      <c r="R54" s="34">
        <v>11493.435828538131</v>
      </c>
      <c r="S54" s="24">
        <f t="shared" si="9"/>
        <v>0.05</v>
      </c>
      <c r="T54" s="26">
        <v>100021055</v>
      </c>
      <c r="U54" s="22">
        <v>17049.180327868853</v>
      </c>
    </row>
    <row r="55" spans="2:21" x14ac:dyDescent="0.25">
      <c r="B55" s="26">
        <v>100021010</v>
      </c>
      <c r="C55" s="27" t="s">
        <v>63</v>
      </c>
      <c r="D55" s="19">
        <v>7790920008707</v>
      </c>
      <c r="E55" s="20">
        <v>2.16</v>
      </c>
      <c r="F55" s="21">
        <v>24</v>
      </c>
      <c r="G55" s="22">
        <f t="shared" si="11"/>
        <v>12068.107619965038</v>
      </c>
      <c r="H55" s="21"/>
      <c r="I55" s="22">
        <f t="shared" si="12"/>
        <v>12068.107619965038</v>
      </c>
      <c r="J55" s="22">
        <f t="shared" si="1"/>
        <v>502.83781749854325</v>
      </c>
      <c r="K55" s="22">
        <f t="shared" si="3"/>
        <v>105.59594167469407</v>
      </c>
      <c r="L55" s="22">
        <f t="shared" si="4"/>
        <v>608.43375917323738</v>
      </c>
      <c r="M55" s="22">
        <f t="shared" si="13"/>
        <v>121.68675183464748</v>
      </c>
      <c r="N55" s="22">
        <f t="shared" si="6"/>
        <v>730.12051100788483</v>
      </c>
      <c r="O55" s="22">
        <f t="shared" si="14"/>
        <v>255.54217885275966</v>
      </c>
      <c r="P55" s="23">
        <f t="shared" si="8"/>
        <v>985.66268986064449</v>
      </c>
      <c r="R55" s="22">
        <v>11493.435828538131</v>
      </c>
      <c r="S55" s="24">
        <f t="shared" si="9"/>
        <v>0.05</v>
      </c>
      <c r="T55" s="26">
        <v>100021015</v>
      </c>
      <c r="U55" s="22">
        <v>17049.180327868853</v>
      </c>
    </row>
    <row r="56" spans="2:21" x14ac:dyDescent="0.25">
      <c r="B56" s="26">
        <v>100021011</v>
      </c>
      <c r="C56" s="27" t="s">
        <v>64</v>
      </c>
      <c r="D56" s="19">
        <v>7790920008714</v>
      </c>
      <c r="E56" s="20">
        <v>2.16</v>
      </c>
      <c r="F56" s="21">
        <v>24</v>
      </c>
      <c r="G56" s="22">
        <f t="shared" si="11"/>
        <v>12068.107619965038</v>
      </c>
      <c r="H56" s="21"/>
      <c r="I56" s="22">
        <f t="shared" si="12"/>
        <v>12068.107619965038</v>
      </c>
      <c r="J56" s="22">
        <f t="shared" si="1"/>
        <v>502.83781749854325</v>
      </c>
      <c r="K56" s="22">
        <f t="shared" si="3"/>
        <v>105.59594167469407</v>
      </c>
      <c r="L56" s="22">
        <f t="shared" si="4"/>
        <v>608.43375917323738</v>
      </c>
      <c r="M56" s="22">
        <f t="shared" si="13"/>
        <v>121.68675183464748</v>
      </c>
      <c r="N56" s="22">
        <f t="shared" si="6"/>
        <v>730.12051100788483</v>
      </c>
      <c r="O56" s="22">
        <f t="shared" si="14"/>
        <v>255.54217885275966</v>
      </c>
      <c r="P56" s="23">
        <f t="shared" si="8"/>
        <v>985.66268986064449</v>
      </c>
      <c r="R56" s="22">
        <v>11493.435828538131</v>
      </c>
      <c r="S56" s="24">
        <f t="shared" si="9"/>
        <v>0.05</v>
      </c>
      <c r="T56" s="26">
        <v>100021008</v>
      </c>
      <c r="U56" s="22">
        <v>12068.107619965038</v>
      </c>
    </row>
    <row r="57" spans="2:21" x14ac:dyDescent="0.25">
      <c r="B57" s="41"/>
      <c r="C57" s="42"/>
      <c r="D57" s="43"/>
      <c r="E57" s="42"/>
      <c r="F57" s="44"/>
      <c r="G57" s="44"/>
      <c r="H57" s="44"/>
      <c r="I57" s="44"/>
      <c r="J57" s="45" t="e">
        <f t="shared" si="1"/>
        <v>#DIV/0!</v>
      </c>
      <c r="K57" s="46">
        <v>0.21</v>
      </c>
      <c r="L57" s="45"/>
      <c r="M57" s="46">
        <v>0.3</v>
      </c>
      <c r="N57" s="45"/>
      <c r="O57" s="46">
        <v>0.4</v>
      </c>
      <c r="P57" s="47"/>
      <c r="R57" s="44"/>
      <c r="S57" s="24" t="e">
        <f t="shared" si="9"/>
        <v>#DIV/0!</v>
      </c>
      <c r="T57" s="26">
        <v>100021009</v>
      </c>
      <c r="U57" s="22">
        <v>12068.107619965038</v>
      </c>
    </row>
    <row r="58" spans="2:21" x14ac:dyDescent="0.25">
      <c r="B58" s="29">
        <v>100516217</v>
      </c>
      <c r="C58" s="30" t="s">
        <v>65</v>
      </c>
      <c r="D58" s="31">
        <v>7790360967824</v>
      </c>
      <c r="E58" s="32">
        <v>5.8</v>
      </c>
      <c r="F58" s="33">
        <v>20</v>
      </c>
      <c r="G58" s="34">
        <f>+VLOOKUP(B58,$T$4:$U$106,2,FALSE)</f>
        <v>28398.276388830345</v>
      </c>
      <c r="H58" s="52"/>
      <c r="I58" s="34">
        <f t="shared" si="12"/>
        <v>28398.276388830345</v>
      </c>
      <c r="J58" s="34">
        <f t="shared" si="1"/>
        <v>1419.9138194415173</v>
      </c>
      <c r="K58" s="34">
        <f t="shared" si="3"/>
        <v>298.18190208271864</v>
      </c>
      <c r="L58" s="34">
        <f t="shared" si="4"/>
        <v>1718.0957215242358</v>
      </c>
      <c r="M58" s="34">
        <f t="shared" si="5"/>
        <v>515.42871645727075</v>
      </c>
      <c r="N58" s="34">
        <f t="shared" si="6"/>
        <v>2233.5244379815067</v>
      </c>
      <c r="O58" s="34">
        <f t="shared" si="7"/>
        <v>893.40977519260275</v>
      </c>
      <c r="P58" s="36">
        <f t="shared" si="8"/>
        <v>3126.9342131741096</v>
      </c>
      <c r="R58" s="22">
        <v>27571.142125078</v>
      </c>
      <c r="S58" s="24">
        <f t="shared" si="9"/>
        <v>3.0000000000000176E-2</v>
      </c>
      <c r="T58" s="26">
        <v>100021010</v>
      </c>
      <c r="U58" s="22">
        <v>12068.107619965038</v>
      </c>
    </row>
    <row r="59" spans="2:21" x14ac:dyDescent="0.25">
      <c r="B59" s="29">
        <v>100516214</v>
      </c>
      <c r="C59" s="30" t="s">
        <v>66</v>
      </c>
      <c r="D59" s="31">
        <v>7790360967794</v>
      </c>
      <c r="E59" s="32">
        <v>7</v>
      </c>
      <c r="F59" s="33">
        <v>20</v>
      </c>
      <c r="G59" s="34">
        <f>+VLOOKUP(B59,$T$4:$U$106,2,FALSE)</f>
        <v>36665.099900000001</v>
      </c>
      <c r="H59" s="52"/>
      <c r="I59" s="34">
        <f t="shared" si="12"/>
        <v>36665.099900000001</v>
      </c>
      <c r="J59" s="34">
        <f t="shared" si="1"/>
        <v>1833.254995</v>
      </c>
      <c r="K59" s="34">
        <f t="shared" si="3"/>
        <v>384.98354895</v>
      </c>
      <c r="L59" s="34">
        <f t="shared" si="4"/>
        <v>2218.2385439499999</v>
      </c>
      <c r="M59" s="34">
        <f t="shared" si="5"/>
        <v>665.47156318499992</v>
      </c>
      <c r="N59" s="34">
        <f t="shared" si="6"/>
        <v>2883.7101071349998</v>
      </c>
      <c r="O59" s="34">
        <f t="shared" si="7"/>
        <v>1153.4840428539999</v>
      </c>
      <c r="P59" s="36">
        <f t="shared" si="8"/>
        <v>4037.1941499889999</v>
      </c>
      <c r="Q59">
        <v>0.05</v>
      </c>
      <c r="R59" s="34">
        <v>36665.104090179157</v>
      </c>
      <c r="S59" s="24">
        <f t="shared" si="9"/>
        <v>-1.142824835639773E-7</v>
      </c>
      <c r="T59" s="26">
        <v>100021011</v>
      </c>
      <c r="U59" s="22">
        <v>12068.107619965038</v>
      </c>
    </row>
    <row r="60" spans="2:21" x14ac:dyDescent="0.25">
      <c r="B60" s="29">
        <v>100516215</v>
      </c>
      <c r="C60" s="30" t="s">
        <v>67</v>
      </c>
      <c r="D60" s="31">
        <v>7790360967800</v>
      </c>
      <c r="E60" s="32">
        <v>7</v>
      </c>
      <c r="F60" s="33">
        <v>20</v>
      </c>
      <c r="G60" s="34">
        <f>+VLOOKUP(B60,$T$4:$U$106,2,FALSE)</f>
        <v>36665.099900000001</v>
      </c>
      <c r="H60" s="52"/>
      <c r="I60" s="34">
        <f t="shared" si="12"/>
        <v>36665.099900000001</v>
      </c>
      <c r="J60" s="34">
        <f t="shared" si="1"/>
        <v>1833.254995</v>
      </c>
      <c r="K60" s="34">
        <f t="shared" si="3"/>
        <v>384.98354895</v>
      </c>
      <c r="L60" s="34">
        <f t="shared" si="4"/>
        <v>2218.2385439499999</v>
      </c>
      <c r="M60" s="34">
        <f t="shared" si="5"/>
        <v>665.47156318499992</v>
      </c>
      <c r="N60" s="34">
        <f t="shared" si="6"/>
        <v>2883.7101071349998</v>
      </c>
      <c r="O60" s="34">
        <f t="shared" si="7"/>
        <v>1153.4840428539999</v>
      </c>
      <c r="P60" s="36">
        <f t="shared" si="8"/>
        <v>4037.1941499889999</v>
      </c>
      <c r="Q60">
        <v>0.05</v>
      </c>
      <c r="R60" s="34">
        <v>36665.104090179157</v>
      </c>
      <c r="S60" s="24">
        <f t="shared" si="9"/>
        <v>-1.142824835639773E-7</v>
      </c>
      <c r="T60" s="41"/>
      <c r="U60" s="44"/>
    </row>
    <row r="61" spans="2:21" x14ac:dyDescent="0.25">
      <c r="B61" s="29">
        <v>100516216</v>
      </c>
      <c r="C61" s="30" t="s">
        <v>68</v>
      </c>
      <c r="D61" s="31">
        <v>7790360967817</v>
      </c>
      <c r="E61" s="32">
        <v>7</v>
      </c>
      <c r="F61" s="33">
        <v>20</v>
      </c>
      <c r="G61" s="34">
        <f>+VLOOKUP(B61,$T$4:$U$106,2,FALSE)</f>
        <v>36665.099900000001</v>
      </c>
      <c r="H61" s="52"/>
      <c r="I61" s="34">
        <f t="shared" si="12"/>
        <v>36665.099900000001</v>
      </c>
      <c r="J61" s="34">
        <f t="shared" si="1"/>
        <v>1833.254995</v>
      </c>
      <c r="K61" s="34">
        <f t="shared" si="3"/>
        <v>384.98354895</v>
      </c>
      <c r="L61" s="34">
        <f t="shared" si="4"/>
        <v>2218.2385439499999</v>
      </c>
      <c r="M61" s="34">
        <f t="shared" si="5"/>
        <v>665.47156318499992</v>
      </c>
      <c r="N61" s="34">
        <f t="shared" si="6"/>
        <v>2883.7101071349998</v>
      </c>
      <c r="O61" s="34">
        <f t="shared" si="7"/>
        <v>1153.4840428539999</v>
      </c>
      <c r="P61" s="36">
        <f t="shared" si="8"/>
        <v>4037.1941499889999</v>
      </c>
      <c r="Q61">
        <v>0.05</v>
      </c>
      <c r="R61" s="34">
        <v>36665.104090179157</v>
      </c>
      <c r="S61" s="24">
        <f t="shared" si="9"/>
        <v>-1.142824835639773E-7</v>
      </c>
      <c r="T61" s="26">
        <v>100516217</v>
      </c>
      <c r="U61" s="22">
        <v>28398.276388830345</v>
      </c>
    </row>
    <row r="62" spans="2:21" x14ac:dyDescent="0.25">
      <c r="B62" s="41"/>
      <c r="C62" s="42"/>
      <c r="D62" s="43"/>
      <c r="E62" s="42"/>
      <c r="F62" s="44"/>
      <c r="G62" s="44"/>
      <c r="H62" s="53"/>
      <c r="I62" s="44"/>
      <c r="J62" s="45" t="e">
        <f t="shared" si="1"/>
        <v>#DIV/0!</v>
      </c>
      <c r="K62" s="46">
        <v>0.21</v>
      </c>
      <c r="L62" s="45"/>
      <c r="M62" s="46">
        <v>0.3</v>
      </c>
      <c r="N62" s="45"/>
      <c r="O62" s="46">
        <v>0.4</v>
      </c>
      <c r="P62" s="47"/>
      <c r="R62" s="44"/>
      <c r="S62" s="24" t="e">
        <f t="shared" si="9"/>
        <v>#DIV/0!</v>
      </c>
      <c r="T62" s="26">
        <v>100516214</v>
      </c>
      <c r="U62" s="22">
        <v>36665.099900000001</v>
      </c>
    </row>
    <row r="63" spans="2:21" x14ac:dyDescent="0.25">
      <c r="B63" s="26">
        <v>100021704</v>
      </c>
      <c r="C63" s="27" t="s">
        <v>69</v>
      </c>
      <c r="D63" s="19">
        <v>7790360023902</v>
      </c>
      <c r="E63" s="20">
        <f>12*0.38</f>
        <v>4.5600000000000005</v>
      </c>
      <c r="F63" s="21">
        <v>12</v>
      </c>
      <c r="G63" s="22">
        <f t="shared" ref="G63:G74" si="15">+VLOOKUP(B63,$T$4:$U$106,2,FALSE)</f>
        <v>41455.299372666384</v>
      </c>
      <c r="H63" s="54"/>
      <c r="I63" s="22">
        <f t="shared" si="12"/>
        <v>41455.299372666384</v>
      </c>
      <c r="J63" s="22">
        <f t="shared" si="1"/>
        <v>3454.6082810555322</v>
      </c>
      <c r="K63" s="22">
        <f t="shared" si="3"/>
        <v>725.46773902166171</v>
      </c>
      <c r="L63" s="22">
        <f t="shared" si="4"/>
        <v>4180.0760200771938</v>
      </c>
      <c r="M63" s="22">
        <f t="shared" si="5"/>
        <v>1254.0228060231582</v>
      </c>
      <c r="N63" s="22">
        <f t="shared" si="6"/>
        <v>5434.0988261003522</v>
      </c>
      <c r="O63" s="22">
        <f t="shared" si="7"/>
        <v>2173.6395304401408</v>
      </c>
      <c r="P63" s="23">
        <f t="shared" si="8"/>
        <v>7607.7383565404925</v>
      </c>
      <c r="R63" s="22">
        <v>41455.299372666384</v>
      </c>
      <c r="S63" s="24">
        <f t="shared" si="9"/>
        <v>0</v>
      </c>
      <c r="T63" s="26">
        <v>100516215</v>
      </c>
      <c r="U63" s="22">
        <v>36665.099900000001</v>
      </c>
    </row>
    <row r="64" spans="2:21" x14ac:dyDescent="0.25">
      <c r="B64" s="26">
        <v>100021705</v>
      </c>
      <c r="C64" s="27" t="s">
        <v>70</v>
      </c>
      <c r="D64" s="19">
        <v>7790360024336</v>
      </c>
      <c r="E64" s="20">
        <f>12*0.38</f>
        <v>4.5600000000000005</v>
      </c>
      <c r="F64" s="21">
        <v>12</v>
      </c>
      <c r="G64" s="22">
        <f t="shared" si="15"/>
        <v>37683.831852857693</v>
      </c>
      <c r="H64" s="54"/>
      <c r="I64" s="22">
        <f t="shared" si="12"/>
        <v>37683.831852857693</v>
      </c>
      <c r="J64" s="22">
        <f t="shared" si="1"/>
        <v>3140.3193210714744</v>
      </c>
      <c r="K64" s="22">
        <f t="shared" si="3"/>
        <v>659.46705742500956</v>
      </c>
      <c r="L64" s="22">
        <f t="shared" si="4"/>
        <v>3799.7863784964838</v>
      </c>
      <c r="M64" s="22">
        <f t="shared" si="5"/>
        <v>1139.9359135489451</v>
      </c>
      <c r="N64" s="22">
        <f t="shared" si="6"/>
        <v>4939.7222920454287</v>
      </c>
      <c r="O64" s="22">
        <f t="shared" si="7"/>
        <v>1975.8889168181715</v>
      </c>
      <c r="P64" s="23">
        <f t="shared" si="8"/>
        <v>6915.6112088636</v>
      </c>
      <c r="R64" s="22">
        <v>37683.831852857693</v>
      </c>
      <c r="S64" s="24">
        <f t="shared" si="9"/>
        <v>0</v>
      </c>
      <c r="T64" s="26">
        <v>100516216</v>
      </c>
      <c r="U64" s="22">
        <v>36665.099900000001</v>
      </c>
    </row>
    <row r="65" spans="2:21" x14ac:dyDescent="0.25">
      <c r="B65" s="26">
        <v>100021709</v>
      </c>
      <c r="C65" s="27" t="s">
        <v>71</v>
      </c>
      <c r="D65" s="19">
        <v>7790360024701</v>
      </c>
      <c r="E65" s="20">
        <v>7.6</v>
      </c>
      <c r="F65" s="21">
        <v>10</v>
      </c>
      <c r="G65" s="22">
        <f t="shared" si="15"/>
        <v>60469.386535052479</v>
      </c>
      <c r="H65" s="55"/>
      <c r="I65" s="22">
        <f t="shared" si="12"/>
        <v>60469.386535052479</v>
      </c>
      <c r="J65" s="22">
        <f t="shared" si="1"/>
        <v>6046.9386535052481</v>
      </c>
      <c r="K65" s="22">
        <f t="shared" si="3"/>
        <v>1269.8571172361021</v>
      </c>
      <c r="L65" s="22">
        <f t="shared" si="4"/>
        <v>7316.7957707413498</v>
      </c>
      <c r="M65" s="22">
        <f t="shared" si="5"/>
        <v>2195.0387312224047</v>
      </c>
      <c r="N65" s="22">
        <f t="shared" si="6"/>
        <v>9511.8345019637545</v>
      </c>
      <c r="O65" s="22">
        <f t="shared" si="7"/>
        <v>3804.7338007855019</v>
      </c>
      <c r="P65" s="23">
        <f t="shared" si="8"/>
        <v>13316.568302749256</v>
      </c>
      <c r="R65" s="34">
        <v>60469.386535052479</v>
      </c>
      <c r="S65" s="24">
        <f t="shared" si="9"/>
        <v>0</v>
      </c>
      <c r="T65" s="41"/>
      <c r="U65" s="44"/>
    </row>
    <row r="66" spans="2:21" x14ac:dyDescent="0.25">
      <c r="B66" s="29">
        <v>100521357</v>
      </c>
      <c r="C66" s="30" t="s">
        <v>72</v>
      </c>
      <c r="D66" s="31"/>
      <c r="E66" s="32">
        <v>4.5599999999999996</v>
      </c>
      <c r="F66" s="33">
        <v>12</v>
      </c>
      <c r="G66" s="34">
        <f t="shared" si="15"/>
        <v>48595.608600000021</v>
      </c>
      <c r="H66" s="56">
        <v>0.33</v>
      </c>
      <c r="I66" s="34">
        <f t="shared" si="12"/>
        <v>32559.057762000011</v>
      </c>
      <c r="J66" s="34">
        <f t="shared" si="1"/>
        <v>2713.2548135000011</v>
      </c>
      <c r="K66" s="34">
        <f t="shared" si="3"/>
        <v>569.78351083500024</v>
      </c>
      <c r="L66" s="34">
        <f t="shared" si="4"/>
        <v>3283.0383243350016</v>
      </c>
      <c r="M66" s="34">
        <f t="shared" si="5"/>
        <v>984.9114973005004</v>
      </c>
      <c r="N66" s="34">
        <f t="shared" si="6"/>
        <v>4267.9498216355023</v>
      </c>
      <c r="O66" s="34">
        <f t="shared" si="7"/>
        <v>1707.1799286542009</v>
      </c>
      <c r="P66" s="36">
        <f t="shared" si="8"/>
        <v>5975.1297502897032</v>
      </c>
      <c r="Q66">
        <v>0.33</v>
      </c>
      <c r="R66" s="34">
        <v>32559.057762000011</v>
      </c>
      <c r="S66" s="24">
        <f t="shared" si="9"/>
        <v>0</v>
      </c>
      <c r="T66" s="26">
        <v>100021704</v>
      </c>
      <c r="U66" s="22">
        <v>41455.299372666384</v>
      </c>
    </row>
    <row r="67" spans="2:21" x14ac:dyDescent="0.25">
      <c r="B67" s="29">
        <v>100521358</v>
      </c>
      <c r="C67" s="30" t="s">
        <v>73</v>
      </c>
      <c r="D67" s="31">
        <v>7790360982025</v>
      </c>
      <c r="E67" s="32">
        <v>7.6</v>
      </c>
      <c r="F67" s="33">
        <v>10</v>
      </c>
      <c r="G67" s="34">
        <f t="shared" si="15"/>
        <v>72893.412900000025</v>
      </c>
      <c r="H67" s="56">
        <v>0.33</v>
      </c>
      <c r="I67" s="34">
        <f t="shared" si="12"/>
        <v>48838.58664300001</v>
      </c>
      <c r="J67" s="34">
        <f t="shared" si="1"/>
        <v>4883.8586643000008</v>
      </c>
      <c r="K67" s="34">
        <f t="shared" si="3"/>
        <v>1025.610319503</v>
      </c>
      <c r="L67" s="34">
        <f t="shared" si="4"/>
        <v>5909.4689838030008</v>
      </c>
      <c r="M67" s="34">
        <f t="shared" si="5"/>
        <v>1772.8406951409002</v>
      </c>
      <c r="N67" s="34">
        <f t="shared" si="6"/>
        <v>7682.3096789439005</v>
      </c>
      <c r="O67" s="34">
        <f t="shared" si="7"/>
        <v>3072.9238715775605</v>
      </c>
      <c r="P67" s="36">
        <f t="shared" si="8"/>
        <v>10755.233550521461</v>
      </c>
      <c r="R67" s="34">
        <v>72893.412900000025</v>
      </c>
      <c r="S67" s="24"/>
      <c r="T67" s="26">
        <v>100021705</v>
      </c>
      <c r="U67" s="22">
        <v>37683.831852857693</v>
      </c>
    </row>
    <row r="68" spans="2:21" x14ac:dyDescent="0.25">
      <c r="B68" s="26">
        <v>100522130</v>
      </c>
      <c r="C68" s="27" t="s">
        <v>74</v>
      </c>
      <c r="D68" s="19"/>
      <c r="E68" s="20">
        <v>4.8</v>
      </c>
      <c r="F68" s="21">
        <v>12</v>
      </c>
      <c r="G68" s="22">
        <f t="shared" si="15"/>
        <v>40062.095837032517</v>
      </c>
      <c r="H68" s="55"/>
      <c r="I68" s="22">
        <f t="shared" si="12"/>
        <v>40062.095837032517</v>
      </c>
      <c r="J68" s="22">
        <f t="shared" ref="J68:J87" si="16">+I68/F68</f>
        <v>3338.5079864193763</v>
      </c>
      <c r="K68" s="22">
        <f t="shared" si="3"/>
        <v>701.08667714806904</v>
      </c>
      <c r="L68" s="22">
        <f t="shared" si="4"/>
        <v>4039.5946635674454</v>
      </c>
      <c r="M68" s="22">
        <f t="shared" si="5"/>
        <v>1211.8783990702336</v>
      </c>
      <c r="N68" s="22">
        <f t="shared" si="6"/>
        <v>5251.4730626376786</v>
      </c>
      <c r="O68" s="22">
        <f t="shared" si="7"/>
        <v>2100.5892250550714</v>
      </c>
      <c r="P68" s="23">
        <f t="shared" si="8"/>
        <v>7352.06228769275</v>
      </c>
      <c r="R68" s="34">
        <v>38154.376987650016</v>
      </c>
      <c r="S68" s="24">
        <f t="shared" si="9"/>
        <v>5.0000000000000017E-2</v>
      </c>
      <c r="T68" s="26">
        <v>100021707</v>
      </c>
      <c r="U68" s="22">
        <v>0</v>
      </c>
    </row>
    <row r="69" spans="2:21" x14ac:dyDescent="0.25">
      <c r="B69" s="57">
        <v>100021725</v>
      </c>
      <c r="C69" s="58" t="s">
        <v>75</v>
      </c>
      <c r="D69" s="59">
        <v>7790360027009</v>
      </c>
      <c r="E69" s="60">
        <v>6</v>
      </c>
      <c r="F69" s="61">
        <v>4</v>
      </c>
      <c r="G69" s="62">
        <f t="shared" si="15"/>
        <v>31255.569913892599</v>
      </c>
      <c r="H69" s="63"/>
      <c r="I69" s="62">
        <f t="shared" si="12"/>
        <v>31255.569913892599</v>
      </c>
      <c r="J69" s="62">
        <f t="shared" si="16"/>
        <v>7813.8924784731498</v>
      </c>
      <c r="K69" s="62">
        <f t="shared" si="3"/>
        <v>1640.9174204793615</v>
      </c>
      <c r="L69" s="62">
        <f t="shared" si="4"/>
        <v>9454.8098989525115</v>
      </c>
      <c r="M69" s="62">
        <f t="shared" si="5"/>
        <v>2836.4429696857533</v>
      </c>
      <c r="N69" s="62">
        <f t="shared" si="6"/>
        <v>12291.252868638265</v>
      </c>
      <c r="O69" s="62">
        <f t="shared" si="7"/>
        <v>4916.5011474553066</v>
      </c>
      <c r="P69" s="64">
        <f t="shared" si="8"/>
        <v>17207.754016093571</v>
      </c>
      <c r="R69" s="62">
        <v>31255.569913892599</v>
      </c>
      <c r="S69" s="24">
        <f t="shared" si="9"/>
        <v>0</v>
      </c>
      <c r="T69" s="26">
        <v>100021709</v>
      </c>
      <c r="U69" s="22">
        <v>60469.386535052479</v>
      </c>
    </row>
    <row r="70" spans="2:21" x14ac:dyDescent="0.25">
      <c r="B70" s="26">
        <v>100517055</v>
      </c>
      <c r="C70" s="27" t="s">
        <v>76</v>
      </c>
      <c r="D70" s="19">
        <v>7790360971135</v>
      </c>
      <c r="E70" s="20">
        <v>3.12</v>
      </c>
      <c r="F70" s="21">
        <v>12</v>
      </c>
      <c r="G70" s="22">
        <f t="shared" si="15"/>
        <v>31213.60900094096</v>
      </c>
      <c r="H70" s="54"/>
      <c r="I70" s="22">
        <f t="shared" si="12"/>
        <v>31213.60900094096</v>
      </c>
      <c r="J70" s="22">
        <f t="shared" si="16"/>
        <v>2601.1340834117468</v>
      </c>
      <c r="K70" s="22">
        <f t="shared" si="3"/>
        <v>546.2381575164668</v>
      </c>
      <c r="L70" s="22">
        <f t="shared" si="4"/>
        <v>3147.3722409282136</v>
      </c>
      <c r="M70" s="22">
        <f t="shared" si="5"/>
        <v>944.21167227846399</v>
      </c>
      <c r="N70" s="22">
        <f t="shared" si="6"/>
        <v>4091.5839132066776</v>
      </c>
      <c r="O70" s="22">
        <f t="shared" si="7"/>
        <v>1636.633565282671</v>
      </c>
      <c r="P70" s="23">
        <f t="shared" si="8"/>
        <v>5728.2174784893487</v>
      </c>
      <c r="R70" s="22">
        <v>31213.60900094096</v>
      </c>
      <c r="S70" s="24">
        <f t="shared" si="9"/>
        <v>0</v>
      </c>
      <c r="T70" s="26">
        <v>100521357</v>
      </c>
      <c r="U70" s="22">
        <v>48595.608600000021</v>
      </c>
    </row>
    <row r="71" spans="2:21" x14ac:dyDescent="0.25">
      <c r="B71" s="26">
        <v>100517186</v>
      </c>
      <c r="C71" s="27" t="s">
        <v>77</v>
      </c>
      <c r="D71" s="19">
        <v>7790360971395</v>
      </c>
      <c r="E71" s="20">
        <v>8</v>
      </c>
      <c r="F71" s="21">
        <v>8</v>
      </c>
      <c r="G71" s="22">
        <f t="shared" si="15"/>
        <v>78871.461568832005</v>
      </c>
      <c r="H71" s="54"/>
      <c r="I71" s="22">
        <f t="shared" si="12"/>
        <v>78871.461568832005</v>
      </c>
      <c r="J71" s="22">
        <f t="shared" si="16"/>
        <v>9858.9326961040006</v>
      </c>
      <c r="K71" s="22">
        <f t="shared" si="3"/>
        <v>2070.3758661818401</v>
      </c>
      <c r="L71" s="22">
        <f t="shared" si="4"/>
        <v>11929.308562285842</v>
      </c>
      <c r="M71" s="22">
        <f t="shared" si="5"/>
        <v>3578.7925686857525</v>
      </c>
      <c r="N71" s="22">
        <f t="shared" si="6"/>
        <v>15508.101130971594</v>
      </c>
      <c r="O71" s="22">
        <f t="shared" si="7"/>
        <v>6203.240452388638</v>
      </c>
      <c r="P71" s="23">
        <f t="shared" si="8"/>
        <v>21711.341583360234</v>
      </c>
      <c r="R71" s="22">
        <v>78871.461568832005</v>
      </c>
      <c r="S71" s="24">
        <f t="shared" si="9"/>
        <v>0</v>
      </c>
      <c r="T71" s="26">
        <v>100521358</v>
      </c>
      <c r="U71" s="22">
        <v>72893.412900000025</v>
      </c>
    </row>
    <row r="72" spans="2:21" x14ac:dyDescent="0.25">
      <c r="B72" s="65">
        <v>100521663</v>
      </c>
      <c r="C72" s="66" t="s">
        <v>78</v>
      </c>
      <c r="D72" s="31"/>
      <c r="E72" s="32">
        <v>4.8</v>
      </c>
      <c r="F72" s="33">
        <v>12</v>
      </c>
      <c r="G72" s="34">
        <v>41797.283176593519</v>
      </c>
      <c r="H72" s="56">
        <v>0.33</v>
      </c>
      <c r="I72" s="34">
        <f t="shared" si="12"/>
        <v>28004.179728317653</v>
      </c>
      <c r="J72" s="34">
        <f t="shared" si="16"/>
        <v>2333.6816440264711</v>
      </c>
      <c r="K72" s="34">
        <f t="shared" si="3"/>
        <v>490.07314524555892</v>
      </c>
      <c r="L72" s="34">
        <f t="shared" si="4"/>
        <v>2823.7547892720299</v>
      </c>
      <c r="M72" s="34">
        <f t="shared" si="5"/>
        <v>847.12643678160896</v>
      </c>
      <c r="N72" s="34">
        <f t="shared" si="6"/>
        <v>3670.8812260536388</v>
      </c>
      <c r="O72" s="34">
        <f t="shared" si="7"/>
        <v>1468.3524904214555</v>
      </c>
      <c r="P72" s="36">
        <f t="shared" si="8"/>
        <v>5139.2337164750943</v>
      </c>
      <c r="Q72">
        <v>0.33</v>
      </c>
      <c r="R72" s="22">
        <v>28004.179728317653</v>
      </c>
      <c r="S72" s="24">
        <f t="shared" si="9"/>
        <v>0</v>
      </c>
      <c r="T72" s="26">
        <v>100522130</v>
      </c>
      <c r="U72" s="22">
        <v>40062.095837032517</v>
      </c>
    </row>
    <row r="73" spans="2:21" x14ac:dyDescent="0.25">
      <c r="B73" s="57">
        <v>100021728</v>
      </c>
      <c r="C73" s="58" t="s">
        <v>79</v>
      </c>
      <c r="D73" s="59">
        <v>7790360967558</v>
      </c>
      <c r="E73" s="60">
        <v>3.84</v>
      </c>
      <c r="F73" s="61">
        <v>12</v>
      </c>
      <c r="G73" s="62">
        <f t="shared" si="15"/>
        <v>39236.851140679726</v>
      </c>
      <c r="H73" s="63"/>
      <c r="I73" s="62">
        <f t="shared" si="12"/>
        <v>39236.851140679726</v>
      </c>
      <c r="J73" s="62">
        <f t="shared" si="16"/>
        <v>3269.7375950566438</v>
      </c>
      <c r="K73" s="62">
        <f t="shared" si="3"/>
        <v>686.64489496189515</v>
      </c>
      <c r="L73" s="62">
        <f t="shared" si="4"/>
        <v>3956.3824900185391</v>
      </c>
      <c r="M73" s="62">
        <f t="shared" si="5"/>
        <v>1186.9147470055616</v>
      </c>
      <c r="N73" s="62">
        <f t="shared" si="6"/>
        <v>5143.2972370241005</v>
      </c>
      <c r="O73" s="62">
        <f t="shared" si="7"/>
        <v>2057.3188948096404</v>
      </c>
      <c r="P73" s="64">
        <f t="shared" si="8"/>
        <v>7200.6161318337408</v>
      </c>
      <c r="R73" s="62">
        <v>39236.851140679726</v>
      </c>
      <c r="S73" s="24">
        <f t="shared" si="9"/>
        <v>0</v>
      </c>
      <c r="T73" s="57">
        <v>100021725</v>
      </c>
      <c r="U73" s="62">
        <v>31255.569913892599</v>
      </c>
    </row>
    <row r="74" spans="2:21" x14ac:dyDescent="0.25">
      <c r="B74" s="57">
        <v>100517679</v>
      </c>
      <c r="C74" s="58" t="s">
        <v>80</v>
      </c>
      <c r="D74" s="59"/>
      <c r="E74" s="60">
        <v>7.68</v>
      </c>
      <c r="F74" s="61">
        <v>8</v>
      </c>
      <c r="G74" s="62">
        <f t="shared" si="15"/>
        <v>39413.592299367461</v>
      </c>
      <c r="H74" s="63"/>
      <c r="I74" s="62">
        <f t="shared" si="12"/>
        <v>39413.592299367461</v>
      </c>
      <c r="J74" s="62">
        <f t="shared" si="16"/>
        <v>4926.6990374209327</v>
      </c>
      <c r="K74" s="62">
        <f t="shared" si="3"/>
        <v>1034.6067978583958</v>
      </c>
      <c r="L74" s="62">
        <f t="shared" si="4"/>
        <v>5961.3058352793287</v>
      </c>
      <c r="M74" s="62">
        <f t="shared" si="5"/>
        <v>1788.3917505837985</v>
      </c>
      <c r="N74" s="62">
        <f t="shared" si="6"/>
        <v>7749.6975858631267</v>
      </c>
      <c r="O74" s="62">
        <f t="shared" si="7"/>
        <v>3099.8790343452511</v>
      </c>
      <c r="P74" s="64">
        <f t="shared" si="8"/>
        <v>10849.576620208378</v>
      </c>
      <c r="R74" s="62">
        <v>39413.592299367461</v>
      </c>
      <c r="S74" s="24">
        <f t="shared" si="9"/>
        <v>0</v>
      </c>
      <c r="T74" s="26">
        <v>100517055</v>
      </c>
      <c r="U74" s="22">
        <v>31213.60900094096</v>
      </c>
    </row>
    <row r="75" spans="2:21" ht="15.75" thickBot="1" x14ac:dyDescent="0.3">
      <c r="B75" s="41"/>
      <c r="C75" s="42"/>
      <c r="D75" s="43"/>
      <c r="E75" s="42"/>
      <c r="F75" s="44"/>
      <c r="G75" s="67" t="e">
        <v>#VALUE!</v>
      </c>
      <c r="H75" s="53"/>
      <c r="I75" s="67" t="e">
        <f t="shared" si="12"/>
        <v>#VALUE!</v>
      </c>
      <c r="J75" s="45" t="e">
        <f t="shared" si="16"/>
        <v>#VALUE!</v>
      </c>
      <c r="K75" s="46">
        <v>0.21</v>
      </c>
      <c r="L75" s="45"/>
      <c r="M75" s="46">
        <v>0.3</v>
      </c>
      <c r="N75" s="45"/>
      <c r="O75" s="46">
        <v>0.4</v>
      </c>
      <c r="P75" s="47"/>
      <c r="R75" s="67" t="e">
        <v>#VALUE!</v>
      </c>
      <c r="S75" s="24" t="e">
        <f t="shared" si="9"/>
        <v>#VALUE!</v>
      </c>
      <c r="T75" s="26">
        <v>100517186</v>
      </c>
      <c r="U75" s="22">
        <v>78871.461568832005</v>
      </c>
    </row>
    <row r="76" spans="2:21" ht="15.75" hidden="1" thickBot="1" x14ac:dyDescent="0.3">
      <c r="B76" s="26">
        <v>100516219</v>
      </c>
      <c r="C76" s="27" t="s">
        <v>81</v>
      </c>
      <c r="D76" s="68">
        <v>7790360967770</v>
      </c>
      <c r="E76" s="20">
        <v>10</v>
      </c>
      <c r="F76" s="21">
        <v>25</v>
      </c>
      <c r="G76" s="22">
        <v>18259.399891781304</v>
      </c>
      <c r="H76" s="54"/>
      <c r="I76" s="22">
        <f t="shared" si="12"/>
        <v>18259.399891781304</v>
      </c>
      <c r="J76" s="22">
        <f t="shared" si="16"/>
        <v>730.37599567125221</v>
      </c>
      <c r="K76" s="22">
        <f t="shared" si="3"/>
        <v>153.37895909096295</v>
      </c>
      <c r="L76" s="22">
        <f t="shared" si="4"/>
        <v>883.75495476221522</v>
      </c>
      <c r="M76" s="22">
        <f t="shared" si="5"/>
        <v>265.12648642866458</v>
      </c>
      <c r="N76" s="22">
        <f t="shared" si="6"/>
        <v>1148.8814411908797</v>
      </c>
      <c r="O76" s="22">
        <f t="shared" si="7"/>
        <v>459.55257647635193</v>
      </c>
      <c r="P76" s="23">
        <f t="shared" si="8"/>
        <v>1608.4340176672317</v>
      </c>
      <c r="R76" s="22">
        <v>18259.399891781304</v>
      </c>
      <c r="S76" s="24">
        <f t="shared" si="9"/>
        <v>0</v>
      </c>
      <c r="T76" s="26">
        <v>100521663</v>
      </c>
      <c r="U76" s="22">
        <v>41797.283176593519</v>
      </c>
    </row>
    <row r="77" spans="2:21" ht="15.75" hidden="1" thickBot="1" x14ac:dyDescent="0.3">
      <c r="B77" s="26">
        <v>100516220</v>
      </c>
      <c r="C77" s="27" t="s">
        <v>82</v>
      </c>
      <c r="D77" s="68">
        <v>7790360967787</v>
      </c>
      <c r="E77" s="20">
        <v>12</v>
      </c>
      <c r="F77" s="21">
        <v>6</v>
      </c>
      <c r="G77" s="22">
        <v>19613.921820029205</v>
      </c>
      <c r="H77" s="54"/>
      <c r="I77" s="22">
        <f t="shared" si="12"/>
        <v>19613.921820029205</v>
      </c>
      <c r="J77" s="22">
        <f t="shared" si="16"/>
        <v>3268.9869700048675</v>
      </c>
      <c r="K77" s="22">
        <f t="shared" si="3"/>
        <v>686.48726370102213</v>
      </c>
      <c r="L77" s="22">
        <f t="shared" si="4"/>
        <v>3955.4742337058897</v>
      </c>
      <c r="M77" s="22">
        <f t="shared" si="5"/>
        <v>1186.6422701117669</v>
      </c>
      <c r="N77" s="22">
        <f t="shared" si="6"/>
        <v>5142.1165038176568</v>
      </c>
      <c r="O77" s="22">
        <f t="shared" si="7"/>
        <v>2056.8466015270628</v>
      </c>
      <c r="P77" s="23">
        <f t="shared" si="8"/>
        <v>7198.9631053447192</v>
      </c>
      <c r="R77" s="22">
        <v>19613.921820029205</v>
      </c>
      <c r="S77" s="24">
        <f t="shared" si="9"/>
        <v>0</v>
      </c>
      <c r="T77" s="57">
        <v>100021728</v>
      </c>
      <c r="U77" s="62">
        <v>39236.851140679726</v>
      </c>
    </row>
    <row r="78" spans="2:21" ht="15.75" hidden="1" thickBot="1" x14ac:dyDescent="0.3">
      <c r="B78" s="69"/>
      <c r="C78" s="70"/>
      <c r="D78" s="71"/>
      <c r="E78" s="70"/>
      <c r="F78" s="72"/>
      <c r="G78" s="73" t="e">
        <v>#VALUE!</v>
      </c>
      <c r="H78" s="74"/>
      <c r="I78" s="73" t="e">
        <f t="shared" si="12"/>
        <v>#VALUE!</v>
      </c>
      <c r="J78" s="45" t="e">
        <f t="shared" si="16"/>
        <v>#VALUE!</v>
      </c>
      <c r="K78" s="46"/>
      <c r="L78" s="45"/>
      <c r="M78" s="46"/>
      <c r="N78" s="45"/>
      <c r="O78" s="46"/>
      <c r="P78" s="47"/>
      <c r="R78" s="73" t="e">
        <v>#VALUE!</v>
      </c>
      <c r="S78" s="24" t="e">
        <f t="shared" ref="S78:S109" si="17">+(I78-R78)/R78</f>
        <v>#VALUE!</v>
      </c>
      <c r="T78" s="57">
        <v>100517679</v>
      </c>
      <c r="U78" s="62">
        <v>39413.592299367461</v>
      </c>
    </row>
    <row r="79" spans="2:21" x14ac:dyDescent="0.25">
      <c r="B79" s="40">
        <v>100518158</v>
      </c>
      <c r="C79" s="27" t="s">
        <v>83</v>
      </c>
      <c r="D79" s="75">
        <v>7790360974280</v>
      </c>
      <c r="E79" s="20">
        <v>12</v>
      </c>
      <c r="F79" s="21">
        <v>24</v>
      </c>
      <c r="G79" s="22">
        <f>+VLOOKUP(B79,$T$4:$U$106,2,FALSE)</f>
        <v>75339.602925809828</v>
      </c>
      <c r="H79" s="76"/>
      <c r="I79" s="22">
        <f t="shared" si="12"/>
        <v>75339.602925809828</v>
      </c>
      <c r="J79" s="22">
        <f t="shared" si="16"/>
        <v>3139.1501219087427</v>
      </c>
      <c r="K79" s="22">
        <f>+J79*K$3</f>
        <v>659.22152560083589</v>
      </c>
      <c r="L79" s="22">
        <f>+J79+K79</f>
        <v>3798.3716475095785</v>
      </c>
      <c r="M79" s="22">
        <f>+L79*M$3</f>
        <v>1139.5114942528735</v>
      </c>
      <c r="N79" s="22">
        <f>+L79+M79</f>
        <v>4937.8831417624515</v>
      </c>
      <c r="O79" s="22">
        <f>+N79*O$3</f>
        <v>1975.1532567049808</v>
      </c>
      <c r="P79" s="23">
        <f>+N79+O79</f>
        <v>6913.0363984674323</v>
      </c>
      <c r="R79" s="22">
        <v>75339.602925809828</v>
      </c>
      <c r="S79" s="24">
        <f t="shared" si="17"/>
        <v>0</v>
      </c>
      <c r="T79" s="41"/>
      <c r="U79" s="67" t="e">
        <v>#VALUE!</v>
      </c>
    </row>
    <row r="80" spans="2:21" x14ac:dyDescent="0.25">
      <c r="B80" s="40">
        <v>100518160</v>
      </c>
      <c r="C80" s="27" t="s">
        <v>84</v>
      </c>
      <c r="D80" s="75">
        <v>7790360974686</v>
      </c>
      <c r="E80" s="20">
        <v>12</v>
      </c>
      <c r="F80" s="21">
        <v>12</v>
      </c>
      <c r="G80" s="22">
        <f>+VLOOKUP(B80,$T$4:$U$106,2,FALSE)</f>
        <v>75339.602925809828</v>
      </c>
      <c r="H80" s="54"/>
      <c r="I80" s="22">
        <f t="shared" si="12"/>
        <v>75339.602925809828</v>
      </c>
      <c r="J80" s="22">
        <f t="shared" si="16"/>
        <v>6278.3002438174854</v>
      </c>
      <c r="K80" s="22">
        <f>+J80*K$3</f>
        <v>1318.4430512016718</v>
      </c>
      <c r="L80" s="22">
        <f>+J80+K80</f>
        <v>7596.7432950191569</v>
      </c>
      <c r="M80" s="22">
        <f>+L80*M$3</f>
        <v>2279.022988505747</v>
      </c>
      <c r="N80" s="22">
        <f>+L80+M80</f>
        <v>9875.766283524903</v>
      </c>
      <c r="O80" s="22">
        <f>+N80*O$3</f>
        <v>3950.3065134099616</v>
      </c>
      <c r="P80" s="23">
        <f>+N80+O80</f>
        <v>13826.072796934865</v>
      </c>
      <c r="R80" s="22">
        <v>75339.602925809828</v>
      </c>
      <c r="S80" s="24">
        <f t="shared" si="17"/>
        <v>0</v>
      </c>
      <c r="T80" s="26">
        <v>100516219</v>
      </c>
      <c r="U80" s="22">
        <v>18259.399891781304</v>
      </c>
    </row>
    <row r="81" spans="1:21" ht="15.75" thickBot="1" x14ac:dyDescent="0.3">
      <c r="B81" s="40">
        <v>100518463</v>
      </c>
      <c r="C81" s="27" t="s">
        <v>85</v>
      </c>
      <c r="D81" s="75"/>
      <c r="E81" s="20">
        <v>5</v>
      </c>
      <c r="F81" s="21">
        <v>1</v>
      </c>
      <c r="G81" s="22">
        <f>+VLOOKUP(B81,$T$4:$U$106,2,FALSE)</f>
        <v>36693.267187500001</v>
      </c>
      <c r="H81" s="77"/>
      <c r="I81" s="22">
        <f t="shared" si="12"/>
        <v>36693.267187500001</v>
      </c>
      <c r="J81" s="22">
        <f t="shared" si="16"/>
        <v>36693.267187500001</v>
      </c>
      <c r="K81" s="22">
        <f>+J81*K$3</f>
        <v>7705.586109375</v>
      </c>
      <c r="L81" s="22">
        <f>+J81+K81</f>
        <v>44398.853296875001</v>
      </c>
      <c r="M81" s="22">
        <f>+L81*M$3</f>
        <v>13319.655989062499</v>
      </c>
      <c r="N81" s="22">
        <f>+L81+M81</f>
        <v>57718.5092859375</v>
      </c>
      <c r="O81" s="22">
        <f>+N81*O$3</f>
        <v>23087.403714375003</v>
      </c>
      <c r="P81" s="23">
        <f>+N81+O81</f>
        <v>80805.913000312503</v>
      </c>
      <c r="R81" s="22">
        <v>36693.267187500001</v>
      </c>
      <c r="S81" s="24">
        <f t="shared" si="17"/>
        <v>0</v>
      </c>
      <c r="T81" s="26">
        <v>100516220</v>
      </c>
      <c r="U81" s="22">
        <v>19613.921820029205</v>
      </c>
    </row>
    <row r="82" spans="1:21" ht="15.75" thickBot="1" x14ac:dyDescent="0.3">
      <c r="B82" s="78"/>
      <c r="C82" s="79"/>
      <c r="D82" s="80"/>
      <c r="E82" s="79"/>
      <c r="F82" s="81"/>
      <c r="G82" s="82" t="e">
        <v>#VALUE!</v>
      </c>
      <c r="H82" s="83"/>
      <c r="I82" s="82" t="e">
        <f t="shared" si="12"/>
        <v>#VALUE!</v>
      </c>
      <c r="J82" s="45" t="e">
        <f t="shared" si="16"/>
        <v>#VALUE!</v>
      </c>
      <c r="K82" s="46"/>
      <c r="L82" s="45"/>
      <c r="M82" s="46">
        <v>0.2</v>
      </c>
      <c r="N82" s="45"/>
      <c r="O82" s="46">
        <v>0.35</v>
      </c>
      <c r="P82" s="47"/>
      <c r="R82" s="82" t="e">
        <v>#VALUE!</v>
      </c>
      <c r="S82" s="24" t="e">
        <f t="shared" si="17"/>
        <v>#VALUE!</v>
      </c>
      <c r="T82" s="69"/>
      <c r="U82" s="73" t="e">
        <v>#VALUE!</v>
      </c>
    </row>
    <row r="83" spans="1:21" x14ac:dyDescent="0.25">
      <c r="B83" s="84">
        <v>100518291</v>
      </c>
      <c r="C83" s="85" t="s">
        <v>86</v>
      </c>
      <c r="D83" s="86">
        <v>7790360975195</v>
      </c>
      <c r="E83" s="87">
        <v>5</v>
      </c>
      <c r="F83" s="87">
        <v>10</v>
      </c>
      <c r="G83" s="88">
        <f>+VLOOKUP(B83,$T$4:$U$106,2,FALSE)</f>
        <v>15651.49311866248</v>
      </c>
      <c r="H83" s="56"/>
      <c r="I83" s="34">
        <f t="shared" si="12"/>
        <v>15651.49311866248</v>
      </c>
      <c r="J83" s="88">
        <f t="shared" si="16"/>
        <v>1565.1493118662479</v>
      </c>
      <c r="K83" s="88">
        <f>+J83*K$3</f>
        <v>328.68135549191203</v>
      </c>
      <c r="L83" s="88">
        <f>+J83+K83</f>
        <v>1893.8306673581599</v>
      </c>
      <c r="M83" s="88">
        <f>+L83*M$39</f>
        <v>378.76613347163197</v>
      </c>
      <c r="N83" s="88">
        <f>+L83+M83</f>
        <v>2272.5968008297918</v>
      </c>
      <c r="O83" s="88">
        <f>+N83*O$39</f>
        <v>795.40888029042708</v>
      </c>
      <c r="P83" s="89">
        <f>+N83+O83</f>
        <v>3068.0056811202189</v>
      </c>
      <c r="Q83">
        <v>0.15</v>
      </c>
      <c r="R83" s="34">
        <v>14906.183922535694</v>
      </c>
      <c r="S83" s="24">
        <f t="shared" si="17"/>
        <v>5.0000000000000058E-2</v>
      </c>
      <c r="T83" s="40">
        <v>100518158</v>
      </c>
      <c r="U83" s="22">
        <v>75339.602925809828</v>
      </c>
    </row>
    <row r="84" spans="1:21" ht="15.75" thickBot="1" x14ac:dyDescent="0.3">
      <c r="B84" s="90">
        <v>100518292</v>
      </c>
      <c r="C84" s="91" t="s">
        <v>87</v>
      </c>
      <c r="D84" s="92">
        <v>7790360975201</v>
      </c>
      <c r="E84" s="93">
        <v>12</v>
      </c>
      <c r="F84" s="93">
        <v>12</v>
      </c>
      <c r="G84" s="94">
        <f>+VLOOKUP(B84,$T$4:$U$106,2,FALSE)</f>
        <v>36931.938909800476</v>
      </c>
      <c r="H84" s="56"/>
      <c r="I84" s="34">
        <f t="shared" si="12"/>
        <v>36931.938909800476</v>
      </c>
      <c r="J84" s="94">
        <f t="shared" si="16"/>
        <v>3077.6615758167063</v>
      </c>
      <c r="K84" s="94">
        <f>+J84*K$3</f>
        <v>646.30893092150825</v>
      </c>
      <c r="L84" s="94">
        <f>+J84+K84</f>
        <v>3723.9705067382147</v>
      </c>
      <c r="M84" s="94">
        <f>+L84*M$39</f>
        <v>744.79410134764294</v>
      </c>
      <c r="N84" s="94">
        <f>+L84+M84</f>
        <v>4468.7646080858576</v>
      </c>
      <c r="O84" s="94">
        <f>+N84*O$39</f>
        <v>1564.0676128300502</v>
      </c>
      <c r="P84" s="95">
        <f>+N84+O84</f>
        <v>6032.8322209159078</v>
      </c>
      <c r="Q84">
        <v>0.15</v>
      </c>
      <c r="R84" s="34">
        <v>35173.27515219093</v>
      </c>
      <c r="S84" s="24">
        <f t="shared" si="17"/>
        <v>4.9999999999999968E-2</v>
      </c>
      <c r="T84" s="40">
        <v>100518160</v>
      </c>
      <c r="U84" s="22">
        <v>75339.602925809828</v>
      </c>
    </row>
    <row r="85" spans="1:21" ht="15.75" thickBot="1" x14ac:dyDescent="0.3">
      <c r="B85" s="78"/>
      <c r="C85" s="79"/>
      <c r="D85" s="80"/>
      <c r="E85" s="79"/>
      <c r="F85" s="81"/>
      <c r="G85" s="82" t="e">
        <v>#VALUE!</v>
      </c>
      <c r="H85" s="83"/>
      <c r="I85" s="82" t="e">
        <f t="shared" si="12"/>
        <v>#VALUE!</v>
      </c>
      <c r="J85" s="45" t="e">
        <f t="shared" si="16"/>
        <v>#VALUE!</v>
      </c>
      <c r="K85" s="46">
        <v>0.105</v>
      </c>
      <c r="L85" s="45"/>
      <c r="M85" s="46">
        <v>0.3</v>
      </c>
      <c r="N85" s="45"/>
      <c r="O85" s="46">
        <v>0.4</v>
      </c>
      <c r="P85" s="47"/>
      <c r="R85" s="82" t="e">
        <v>#VALUE!</v>
      </c>
      <c r="S85" s="24" t="e">
        <f t="shared" si="17"/>
        <v>#VALUE!</v>
      </c>
      <c r="T85" s="40">
        <v>100518463</v>
      </c>
      <c r="U85" s="22">
        <v>36693.267187500001</v>
      </c>
    </row>
    <row r="86" spans="1:21" ht="15.75" thickBot="1" x14ac:dyDescent="0.3">
      <c r="B86" s="84">
        <v>100517915</v>
      </c>
      <c r="C86" s="85" t="s">
        <v>88</v>
      </c>
      <c r="D86" s="86">
        <v>7790360974020</v>
      </c>
      <c r="E86" s="87">
        <v>18</v>
      </c>
      <c r="F86" s="87">
        <v>36</v>
      </c>
      <c r="G86" s="88">
        <f t="shared" ref="G86:G98" si="18">+VLOOKUP(B86,$T$4:$U$106,2,FALSE)</f>
        <v>160512.01231783535</v>
      </c>
      <c r="H86" s="52"/>
      <c r="I86" s="34">
        <f t="shared" si="12"/>
        <v>160512.01231783535</v>
      </c>
      <c r="J86" s="88">
        <f t="shared" si="16"/>
        <v>4458.6670088287601</v>
      </c>
      <c r="K86" s="88">
        <f>+J86*K$85</f>
        <v>468.16003592701981</v>
      </c>
      <c r="L86" s="88">
        <f>+J86+K86</f>
        <v>4926.8270447557798</v>
      </c>
      <c r="M86" s="88">
        <f>+L86*M$85</f>
        <v>1478.0481134267338</v>
      </c>
      <c r="N86" s="88">
        <f>+L86+M86</f>
        <v>6404.8751581825136</v>
      </c>
      <c r="O86" s="88">
        <f>+N86*O$85</f>
        <v>2561.9500632730055</v>
      </c>
      <c r="P86" s="89">
        <f>+N86+O86</f>
        <v>8966.8252214555196</v>
      </c>
      <c r="R86" s="34">
        <v>160512.01231783535</v>
      </c>
      <c r="S86" s="24">
        <f t="shared" si="17"/>
        <v>0</v>
      </c>
      <c r="T86" s="78"/>
      <c r="U86" s="82" t="e">
        <v>#VALUE!</v>
      </c>
    </row>
    <row r="87" spans="1:21" ht="15.75" thickBot="1" x14ac:dyDescent="0.3">
      <c r="B87" s="90">
        <v>100517914</v>
      </c>
      <c r="C87" s="91" t="s">
        <v>89</v>
      </c>
      <c r="D87" s="92">
        <v>7790360974037</v>
      </c>
      <c r="E87" s="93">
        <v>20</v>
      </c>
      <c r="F87" s="93">
        <v>20</v>
      </c>
      <c r="G87" s="94">
        <f t="shared" si="18"/>
        <v>175154.27477482893</v>
      </c>
      <c r="H87" s="52"/>
      <c r="I87" s="34">
        <f t="shared" si="12"/>
        <v>175154.27477482893</v>
      </c>
      <c r="J87" s="94">
        <f t="shared" si="16"/>
        <v>8757.7137387414459</v>
      </c>
      <c r="K87" s="94">
        <f>+J87*K$85</f>
        <v>919.55994256785175</v>
      </c>
      <c r="L87" s="94">
        <f>+J87+K87</f>
        <v>9677.2736813092979</v>
      </c>
      <c r="M87" s="94">
        <f>+L87*M$85</f>
        <v>2903.1821043927894</v>
      </c>
      <c r="N87" s="94">
        <f>+L87+M87</f>
        <v>12580.455785702088</v>
      </c>
      <c r="O87" s="94">
        <f>+N87*O$85</f>
        <v>5032.1823142808353</v>
      </c>
      <c r="P87" s="95">
        <f>+N87+O87</f>
        <v>17612.638099982923</v>
      </c>
      <c r="R87" s="34">
        <v>175154.27477482893</v>
      </c>
      <c r="S87" s="24">
        <f t="shared" si="17"/>
        <v>0</v>
      </c>
      <c r="T87" s="96">
        <v>100518291</v>
      </c>
      <c r="U87" s="97">
        <v>15651.49311866248</v>
      </c>
    </row>
    <row r="88" spans="1:21" ht="15.75" thickBot="1" x14ac:dyDescent="0.3">
      <c r="B88" s="78"/>
      <c r="C88" s="79"/>
      <c r="D88" s="80"/>
      <c r="E88" s="79"/>
      <c r="F88" s="81"/>
      <c r="G88" s="82" t="e">
        <f t="shared" si="18"/>
        <v>#N/A</v>
      </c>
      <c r="H88" s="83"/>
      <c r="I88" s="82" t="e">
        <f t="shared" si="12"/>
        <v>#N/A</v>
      </c>
      <c r="J88" s="98"/>
      <c r="K88" s="99">
        <v>0.105</v>
      </c>
      <c r="L88" s="98"/>
      <c r="M88" s="100">
        <v>0.3</v>
      </c>
      <c r="N88" s="98"/>
      <c r="O88" s="100">
        <v>0.4</v>
      </c>
      <c r="P88" s="101"/>
      <c r="R88" s="82" t="e">
        <v>#N/A</v>
      </c>
      <c r="S88" s="24" t="e">
        <f t="shared" si="17"/>
        <v>#N/A</v>
      </c>
      <c r="T88" s="102">
        <v>100518292</v>
      </c>
      <c r="U88" s="103">
        <v>36931.938909800476</v>
      </c>
    </row>
    <row r="89" spans="1:21" ht="15.75" thickBot="1" x14ac:dyDescent="0.3">
      <c r="B89" s="26">
        <v>100010689</v>
      </c>
      <c r="C89" s="27" t="s">
        <v>90</v>
      </c>
      <c r="D89" s="19"/>
      <c r="E89" s="104">
        <v>22</v>
      </c>
      <c r="F89" s="21">
        <v>1</v>
      </c>
      <c r="G89" s="22">
        <f t="shared" si="18"/>
        <v>16500</v>
      </c>
      <c r="H89" s="54"/>
      <c r="I89" s="22">
        <f t="shared" si="12"/>
        <v>16500</v>
      </c>
      <c r="J89" s="97">
        <f t="shared" ref="J89:J94" si="19">+I89/F89</f>
        <v>16500</v>
      </c>
      <c r="K89" s="97">
        <f t="shared" ref="K89:K94" si="20">+J89*K$88</f>
        <v>1732.5</v>
      </c>
      <c r="L89" s="97">
        <f t="shared" ref="L89:L94" si="21">+J89+K89</f>
        <v>18232.5</v>
      </c>
      <c r="M89" s="97">
        <f t="shared" ref="M89:M94" si="22">+L89*M$88</f>
        <v>5469.75</v>
      </c>
      <c r="N89" s="97">
        <f t="shared" ref="N89:N94" si="23">+L89+M89</f>
        <v>23702.25</v>
      </c>
      <c r="O89" s="97">
        <f t="shared" ref="O89:O94" si="24">+N89*O$88</f>
        <v>9480.9</v>
      </c>
      <c r="P89" s="105">
        <f t="shared" ref="P89:P94" si="25">+N89+O89</f>
        <v>33183.15</v>
      </c>
      <c r="R89" s="22">
        <v>15714.285714285716</v>
      </c>
      <c r="S89" s="24">
        <f t="shared" si="17"/>
        <v>4.9999999999999913E-2</v>
      </c>
      <c r="T89" s="78"/>
      <c r="U89" s="82" t="e">
        <v>#VALUE!</v>
      </c>
    </row>
    <row r="90" spans="1:21" x14ac:dyDescent="0.25">
      <c r="B90" s="26">
        <v>100518335</v>
      </c>
      <c r="C90" s="27" t="s">
        <v>91</v>
      </c>
      <c r="D90" s="19"/>
      <c r="E90" s="104">
        <v>22.5</v>
      </c>
      <c r="F90" s="21">
        <v>1</v>
      </c>
      <c r="G90" s="22">
        <f t="shared" si="18"/>
        <v>11785.714285714286</v>
      </c>
      <c r="H90" s="54"/>
      <c r="I90" s="22">
        <f t="shared" si="12"/>
        <v>11785.714285714286</v>
      </c>
      <c r="J90" s="22">
        <f t="shared" si="19"/>
        <v>11785.714285714286</v>
      </c>
      <c r="K90" s="22">
        <f t="shared" si="20"/>
        <v>1237.5</v>
      </c>
      <c r="L90" s="22">
        <f t="shared" si="21"/>
        <v>13023.214285714286</v>
      </c>
      <c r="M90" s="22">
        <f t="shared" si="22"/>
        <v>3906.9642857142858</v>
      </c>
      <c r="N90" s="22">
        <f t="shared" si="23"/>
        <v>16930.178571428572</v>
      </c>
      <c r="O90" s="22">
        <f t="shared" si="24"/>
        <v>6772.0714285714294</v>
      </c>
      <c r="P90" s="23">
        <f t="shared" si="25"/>
        <v>23702.25</v>
      </c>
      <c r="R90" s="22">
        <v>11224.489795918369</v>
      </c>
      <c r="S90" s="24">
        <f t="shared" si="17"/>
        <v>4.9999999999999885E-2</v>
      </c>
      <c r="T90" s="96">
        <v>100517915</v>
      </c>
      <c r="U90" s="97">
        <v>160512.01231783535</v>
      </c>
    </row>
    <row r="91" spans="1:21" ht="15.75" thickBot="1" x14ac:dyDescent="0.3">
      <c r="B91" s="26">
        <v>100518332</v>
      </c>
      <c r="C91" s="27" t="s">
        <v>92</v>
      </c>
      <c r="D91" s="19"/>
      <c r="E91" s="104">
        <v>21.5</v>
      </c>
      <c r="F91" s="21">
        <v>1</v>
      </c>
      <c r="G91" s="22">
        <f t="shared" si="18"/>
        <v>13553.571428571431</v>
      </c>
      <c r="H91" s="54"/>
      <c r="I91" s="22">
        <f t="shared" si="12"/>
        <v>13553.571428571431</v>
      </c>
      <c r="J91" s="22">
        <f t="shared" si="19"/>
        <v>13553.571428571431</v>
      </c>
      <c r="K91" s="22">
        <f t="shared" si="20"/>
        <v>1423.1250000000002</v>
      </c>
      <c r="L91" s="22">
        <f t="shared" si="21"/>
        <v>14976.696428571431</v>
      </c>
      <c r="M91" s="22">
        <f t="shared" si="22"/>
        <v>4493.0089285714294</v>
      </c>
      <c r="N91" s="22">
        <f t="shared" si="23"/>
        <v>19469.705357142862</v>
      </c>
      <c r="O91" s="22">
        <f t="shared" si="24"/>
        <v>7787.8821428571455</v>
      </c>
      <c r="P91" s="23">
        <f t="shared" si="25"/>
        <v>27257.587500000009</v>
      </c>
      <c r="R91" s="22">
        <v>12908.163265306122</v>
      </c>
      <c r="S91" s="24">
        <f t="shared" si="17"/>
        <v>5.0000000000000204E-2</v>
      </c>
      <c r="T91" s="102">
        <v>100517914</v>
      </c>
      <c r="U91" s="103">
        <v>175154.27477482893</v>
      </c>
    </row>
    <row r="92" spans="1:21" x14ac:dyDescent="0.25">
      <c r="B92" s="26">
        <v>100518334</v>
      </c>
      <c r="C92" s="27" t="s">
        <v>93</v>
      </c>
      <c r="D92" s="19"/>
      <c r="E92" s="104">
        <v>22.5</v>
      </c>
      <c r="F92" s="21">
        <v>1</v>
      </c>
      <c r="G92" s="22">
        <f t="shared" si="18"/>
        <v>12021.428571428572</v>
      </c>
      <c r="H92" s="54"/>
      <c r="I92" s="22">
        <f t="shared" si="12"/>
        <v>12021.428571428572</v>
      </c>
      <c r="J92" s="22">
        <f t="shared" si="19"/>
        <v>12021.428571428572</v>
      </c>
      <c r="K92" s="22">
        <f t="shared" si="20"/>
        <v>1262.25</v>
      </c>
      <c r="L92" s="22">
        <f t="shared" si="21"/>
        <v>13283.678571428572</v>
      </c>
      <c r="M92" s="22">
        <f t="shared" si="22"/>
        <v>3985.1035714285717</v>
      </c>
      <c r="N92" s="22">
        <f t="shared" si="23"/>
        <v>17268.782142857144</v>
      </c>
      <c r="O92" s="22">
        <f t="shared" si="24"/>
        <v>6907.5128571428577</v>
      </c>
      <c r="P92" s="23">
        <f t="shared" si="25"/>
        <v>24176.295000000002</v>
      </c>
      <c r="R92" s="22">
        <v>11448.979591836736</v>
      </c>
      <c r="S92" s="24">
        <f t="shared" si="17"/>
        <v>4.9999999999999947E-2</v>
      </c>
      <c r="T92" s="78"/>
      <c r="U92" s="82"/>
    </row>
    <row r="93" spans="1:21" x14ac:dyDescent="0.25">
      <c r="B93" s="26">
        <v>100518227</v>
      </c>
      <c r="C93" s="27" t="s">
        <v>94</v>
      </c>
      <c r="D93" s="19"/>
      <c r="E93" s="104">
        <v>22.5</v>
      </c>
      <c r="F93" s="21">
        <v>1</v>
      </c>
      <c r="G93" s="22">
        <f t="shared" si="18"/>
        <v>14185.285714285716</v>
      </c>
      <c r="H93" s="54"/>
      <c r="I93" s="22">
        <f t="shared" si="12"/>
        <v>14185.285714285716</v>
      </c>
      <c r="J93" s="22">
        <f t="shared" si="19"/>
        <v>14185.285714285716</v>
      </c>
      <c r="K93" s="22">
        <f t="shared" si="20"/>
        <v>1489.4550000000002</v>
      </c>
      <c r="L93" s="22">
        <f t="shared" si="21"/>
        <v>15674.740714285716</v>
      </c>
      <c r="M93" s="22">
        <f t="shared" si="22"/>
        <v>4702.4222142857143</v>
      </c>
      <c r="N93" s="22">
        <f t="shared" si="23"/>
        <v>20377.16292857143</v>
      </c>
      <c r="O93" s="22">
        <f t="shared" si="24"/>
        <v>8150.8651714285725</v>
      </c>
      <c r="P93" s="23">
        <f t="shared" si="25"/>
        <v>28528.028100000003</v>
      </c>
      <c r="R93" s="22">
        <v>13244.897959183672</v>
      </c>
      <c r="S93" s="24">
        <f t="shared" si="17"/>
        <v>7.1000000000000188E-2</v>
      </c>
      <c r="T93" s="26">
        <v>100010689</v>
      </c>
      <c r="U93" s="22">
        <v>16500</v>
      </c>
    </row>
    <row r="94" spans="1:21" x14ac:dyDescent="0.25">
      <c r="A94" s="106"/>
      <c r="B94" s="106">
        <v>100027726</v>
      </c>
      <c r="C94" s="107" t="s">
        <v>95</v>
      </c>
      <c r="D94" s="104">
        <v>22.5</v>
      </c>
      <c r="E94" s="21">
        <v>1</v>
      </c>
      <c r="F94" s="21">
        <v>1</v>
      </c>
      <c r="G94" s="22">
        <f t="shared" si="18"/>
        <v>7155.2250000000004</v>
      </c>
      <c r="H94" s="54"/>
      <c r="I94" s="22">
        <f t="shared" si="12"/>
        <v>7155.2250000000004</v>
      </c>
      <c r="J94" s="22">
        <f t="shared" si="19"/>
        <v>7155.2250000000004</v>
      </c>
      <c r="K94" s="22">
        <f t="shared" si="20"/>
        <v>751.29862500000002</v>
      </c>
      <c r="L94" s="22">
        <f t="shared" si="21"/>
        <v>7906.5236250000007</v>
      </c>
      <c r="M94" s="22">
        <f t="shared" si="22"/>
        <v>2371.9570874999999</v>
      </c>
      <c r="N94" s="22">
        <f t="shared" si="23"/>
        <v>10278.480712500001</v>
      </c>
      <c r="O94" s="22">
        <f t="shared" si="24"/>
        <v>4111.3922850000008</v>
      </c>
      <c r="P94" s="23">
        <f t="shared" si="25"/>
        <v>14389.872997500002</v>
      </c>
      <c r="R94" s="108">
        <v>6814.5000000000009</v>
      </c>
      <c r="S94" s="24"/>
      <c r="T94" s="26">
        <v>100518335</v>
      </c>
      <c r="U94" s="22">
        <v>11785.714285714286</v>
      </c>
    </row>
    <row r="95" spans="1:21" ht="15.75" thickBot="1" x14ac:dyDescent="0.3">
      <c r="B95" s="78"/>
      <c r="C95" s="79"/>
      <c r="D95" s="80"/>
      <c r="E95" s="79"/>
      <c r="F95" s="81"/>
      <c r="G95" s="82" t="e">
        <f t="shared" si="18"/>
        <v>#N/A</v>
      </c>
      <c r="H95" s="83"/>
      <c r="I95" s="82" t="e">
        <f t="shared" si="12"/>
        <v>#N/A</v>
      </c>
      <c r="J95" s="98"/>
      <c r="K95" s="99">
        <v>0.21</v>
      </c>
      <c r="L95" s="98"/>
      <c r="M95" s="46">
        <v>0.3</v>
      </c>
      <c r="N95" s="45"/>
      <c r="O95" s="46">
        <v>0.4</v>
      </c>
      <c r="P95" s="101"/>
      <c r="R95" s="82" t="e">
        <v>#N/A</v>
      </c>
      <c r="S95" s="24" t="e">
        <f t="shared" si="17"/>
        <v>#N/A</v>
      </c>
      <c r="T95" s="26">
        <v>100518332</v>
      </c>
      <c r="U95" s="22">
        <v>13553.571428571431</v>
      </c>
    </row>
    <row r="96" spans="1:21" ht="15.75" thickBot="1" x14ac:dyDescent="0.3">
      <c r="B96" s="26">
        <v>100520837</v>
      </c>
      <c r="C96" s="27" t="s">
        <v>96</v>
      </c>
      <c r="D96" s="19">
        <v>7790360980625</v>
      </c>
      <c r="E96" s="104">
        <v>4.8</v>
      </c>
      <c r="F96" s="21">
        <v>12</v>
      </c>
      <c r="G96" s="22">
        <f t="shared" si="18"/>
        <v>37186.422570532915</v>
      </c>
      <c r="H96" s="54"/>
      <c r="I96" s="22">
        <f t="shared" si="12"/>
        <v>37186.422570532915</v>
      </c>
      <c r="J96" s="62">
        <f>+I96/F96</f>
        <v>3098.8685475444095</v>
      </c>
      <c r="K96" s="62">
        <f>+J96*K$95</f>
        <v>650.76239498432597</v>
      </c>
      <c r="L96" s="59">
        <f>+J96+K96</f>
        <v>3749.6309425287354</v>
      </c>
      <c r="M96" s="104">
        <f>+L96*M$95</f>
        <v>1124.8892827586205</v>
      </c>
      <c r="N96" s="21">
        <f>+L96+M96</f>
        <v>4874.520225287356</v>
      </c>
      <c r="O96" s="97">
        <f>+N96*O$95</f>
        <v>1949.8080901149424</v>
      </c>
      <c r="P96" s="105">
        <f>+N96+O96</f>
        <v>6824.3283154022984</v>
      </c>
      <c r="R96" s="22">
        <v>35756.175548589337</v>
      </c>
      <c r="S96" s="24">
        <f t="shared" si="17"/>
        <v>4.0000000000000133E-2</v>
      </c>
      <c r="T96" s="26">
        <v>100518334</v>
      </c>
      <c r="U96" s="22">
        <v>12021.428571428572</v>
      </c>
    </row>
    <row r="97" spans="1:21" ht="15.75" thickBot="1" x14ac:dyDescent="0.3">
      <c r="A97" s="109"/>
      <c r="B97" s="109">
        <v>100522395</v>
      </c>
      <c r="C97" s="58" t="s">
        <v>97</v>
      </c>
      <c r="D97" s="59">
        <v>7790360980625</v>
      </c>
      <c r="E97" s="104">
        <v>4.8</v>
      </c>
      <c r="F97" s="21">
        <v>12</v>
      </c>
      <c r="G97" s="22">
        <f t="shared" si="18"/>
        <v>37930.143680000008</v>
      </c>
      <c r="H97" s="54"/>
      <c r="I97" s="22">
        <f t="shared" si="12"/>
        <v>37930.143680000008</v>
      </c>
      <c r="J97" s="62">
        <f>+I97/F97</f>
        <v>3160.8453066666675</v>
      </c>
      <c r="K97" s="62">
        <f>+J97*K$95</f>
        <v>663.7775144000002</v>
      </c>
      <c r="L97" s="59">
        <f>+J97+K97</f>
        <v>3824.6228210666677</v>
      </c>
      <c r="M97" s="104">
        <f>+L97*M$95</f>
        <v>1147.3868463200004</v>
      </c>
      <c r="N97" s="21">
        <f>+L97+M97</f>
        <v>4972.0096673866683</v>
      </c>
      <c r="O97" s="97">
        <f>+N97*O$95</f>
        <v>1988.8038669546675</v>
      </c>
      <c r="P97" s="105">
        <f>+N97+O97</f>
        <v>6960.813534341336</v>
      </c>
      <c r="R97" s="108">
        <v>36471.292000000001</v>
      </c>
      <c r="S97" s="24">
        <f t="shared" si="17"/>
        <v>4.0000000000000188E-2</v>
      </c>
      <c r="T97" s="26">
        <v>100518227</v>
      </c>
      <c r="U97" s="22">
        <v>14185.285714285716</v>
      </c>
    </row>
    <row r="98" spans="1:21" x14ac:dyDescent="0.25">
      <c r="A98" s="109"/>
      <c r="B98" s="109">
        <v>100522561</v>
      </c>
      <c r="C98" s="58" t="s">
        <v>98</v>
      </c>
      <c r="D98" s="59"/>
      <c r="E98" s="104">
        <v>16</v>
      </c>
      <c r="F98" s="21">
        <v>8</v>
      </c>
      <c r="G98" s="22">
        <f t="shared" si="18"/>
        <v>7507.0076033333353</v>
      </c>
      <c r="H98" s="54"/>
      <c r="I98" s="22">
        <f t="shared" si="12"/>
        <v>7507.0076033333353</v>
      </c>
      <c r="J98" s="62">
        <f>+I98*2</f>
        <v>15014.015206666671</v>
      </c>
      <c r="K98" s="62">
        <f>+J98*K$95</f>
        <v>3152.9431934000008</v>
      </c>
      <c r="L98" s="59">
        <f>+J98+K98</f>
        <v>18166.958400066673</v>
      </c>
      <c r="M98" s="104">
        <f>+L98*M$95</f>
        <v>5450.0875200200016</v>
      </c>
      <c r="N98" s="21">
        <f>+L98+M98</f>
        <v>23617.045920086675</v>
      </c>
      <c r="O98" s="97">
        <f>+N98*O$95</f>
        <v>9446.8183680346701</v>
      </c>
      <c r="P98" s="105">
        <f>+N98+O98</f>
        <v>33063.864288121345</v>
      </c>
      <c r="R98" s="108" t="e">
        <v>#N/A</v>
      </c>
      <c r="S98" s="24" t="e">
        <f t="shared" si="17"/>
        <v>#N/A</v>
      </c>
      <c r="T98" s="106">
        <v>100027726</v>
      </c>
      <c r="U98" s="22">
        <v>7155.2250000000004</v>
      </c>
    </row>
    <row r="99" spans="1:21" ht="15.75" thickBot="1" x14ac:dyDescent="0.3">
      <c r="B99" s="78"/>
      <c r="C99" s="79"/>
      <c r="D99" s="80"/>
      <c r="E99" s="79"/>
      <c r="F99" s="81"/>
      <c r="G99" s="82" t="e">
        <f>+VLOOKUP(B99,$T$4:$U$106,2,FALSE)</f>
        <v>#N/A</v>
      </c>
      <c r="H99" s="83"/>
      <c r="I99" s="82" t="e">
        <f t="shared" si="12"/>
        <v>#N/A</v>
      </c>
      <c r="J99" s="110"/>
      <c r="K99" s="111">
        <v>0.21</v>
      </c>
      <c r="L99" s="98"/>
      <c r="M99" s="46">
        <v>0.3</v>
      </c>
      <c r="N99" s="45"/>
      <c r="O99" s="46">
        <v>0.4</v>
      </c>
      <c r="P99" s="101"/>
      <c r="R99" s="82" t="e">
        <v>#N/A</v>
      </c>
      <c r="S99" s="24" t="e">
        <f t="shared" si="17"/>
        <v>#N/A</v>
      </c>
      <c r="T99" s="78"/>
      <c r="U99" s="82"/>
    </row>
    <row r="100" spans="1:21" ht="15.75" thickBot="1" x14ac:dyDescent="0.3">
      <c r="B100" s="29">
        <v>100520902</v>
      </c>
      <c r="C100" s="30" t="s">
        <v>99</v>
      </c>
      <c r="D100" s="31">
        <v>7790360981042</v>
      </c>
      <c r="E100" s="112">
        <v>9.8000000000000007</v>
      </c>
      <c r="F100" s="33">
        <v>14</v>
      </c>
      <c r="G100" s="34">
        <f>+VLOOKUP(B100,$T$4:$U$106,2,FALSE)</f>
        <v>33316.176941832127</v>
      </c>
      <c r="H100" s="113">
        <v>0.125</v>
      </c>
      <c r="I100" s="34">
        <f t="shared" si="12"/>
        <v>29151.654824103112</v>
      </c>
      <c r="J100" s="114">
        <f>+I100/F100</f>
        <v>2082.261058864508</v>
      </c>
      <c r="K100" s="114">
        <f>+J100*K$99</f>
        <v>437.27482236154668</v>
      </c>
      <c r="L100" s="115">
        <f>+J100+K100</f>
        <v>2519.5358812260547</v>
      </c>
      <c r="M100" s="112">
        <f>+L100*M$99</f>
        <v>755.86076436781639</v>
      </c>
      <c r="N100" s="33">
        <f>+L100+M100</f>
        <v>3275.3966455938712</v>
      </c>
      <c r="O100" s="88">
        <f>+N100*O$99</f>
        <v>1310.1586582375485</v>
      </c>
      <c r="P100" s="89">
        <f>+N100+O100</f>
        <v>4585.5553038314192</v>
      </c>
      <c r="Q100">
        <v>0.125</v>
      </c>
      <c r="R100" s="22">
        <v>28302.577499129231</v>
      </c>
      <c r="S100" s="24">
        <f t="shared" si="17"/>
        <v>3.0000000000000155E-2</v>
      </c>
      <c r="T100" s="26">
        <v>100520837</v>
      </c>
      <c r="U100" s="22">
        <v>37186.422570532915</v>
      </c>
    </row>
    <row r="101" spans="1:21" x14ac:dyDescent="0.25">
      <c r="A101" s="109"/>
      <c r="B101" s="65">
        <v>100522698</v>
      </c>
      <c r="C101" s="66" t="s">
        <v>100</v>
      </c>
      <c r="D101" s="115">
        <v>7790360986511</v>
      </c>
      <c r="E101" s="112">
        <v>14</v>
      </c>
      <c r="F101" s="33">
        <v>7</v>
      </c>
      <c r="G101" s="34">
        <f>+VLOOKUP(B101,$T$4:$U$106,2,FALSE)</f>
        <v>42261.697434111236</v>
      </c>
      <c r="H101" s="113"/>
      <c r="I101" s="34">
        <f t="shared" si="12"/>
        <v>42261.697434111236</v>
      </c>
      <c r="J101" s="114">
        <f>+I101/F101</f>
        <v>6037.3853477301764</v>
      </c>
      <c r="K101" s="114">
        <f>+J101*K$99</f>
        <v>1267.8509230233369</v>
      </c>
      <c r="L101" s="115">
        <f>+J101+K101</f>
        <v>7305.2362707535131</v>
      </c>
      <c r="M101" s="112">
        <f>+L101*M$99</f>
        <v>2191.5708812260536</v>
      </c>
      <c r="N101" s="33">
        <f>+L101+M101</f>
        <v>9496.8071519795667</v>
      </c>
      <c r="O101" s="88">
        <f>+N101*O$99</f>
        <v>3798.7228607918269</v>
      </c>
      <c r="P101" s="89">
        <f>+N101+O101</f>
        <v>13295.530012771393</v>
      </c>
      <c r="Q101">
        <v>0.125</v>
      </c>
      <c r="R101" s="116" t="e">
        <v>#N/A</v>
      </c>
      <c r="S101" s="24" t="e">
        <f t="shared" si="17"/>
        <v>#N/A</v>
      </c>
      <c r="T101" s="109">
        <v>100522395</v>
      </c>
      <c r="U101" s="22">
        <v>37930.143680000008</v>
      </c>
    </row>
    <row r="102" spans="1:21" ht="15.75" thickBot="1" x14ac:dyDescent="0.3">
      <c r="B102" s="78"/>
      <c r="C102" s="79"/>
      <c r="D102" s="80"/>
      <c r="E102" s="79"/>
      <c r="F102" s="81"/>
      <c r="G102" s="82" t="e">
        <f>+VLOOKUP(B102,$T$4:$U$106,2,FALSE)</f>
        <v>#N/A</v>
      </c>
      <c r="H102" s="81"/>
      <c r="I102" s="82" t="e">
        <f t="shared" si="12"/>
        <v>#N/A</v>
      </c>
      <c r="J102" s="110"/>
      <c r="K102" s="111">
        <v>0.21</v>
      </c>
      <c r="L102" s="98"/>
      <c r="M102" s="100">
        <v>0.3</v>
      </c>
      <c r="N102" s="98"/>
      <c r="O102" s="100">
        <v>0.4</v>
      </c>
      <c r="P102" s="101"/>
      <c r="R102" t="e">
        <v>#N/A</v>
      </c>
      <c r="T102" s="109">
        <v>100522561</v>
      </c>
      <c r="U102" s="22">
        <v>7507.0076033333353</v>
      </c>
    </row>
    <row r="103" spans="1:21" ht="15.75" thickBot="1" x14ac:dyDescent="0.3">
      <c r="B103" s="29">
        <v>100521457</v>
      </c>
      <c r="C103" s="30" t="s">
        <v>101</v>
      </c>
      <c r="D103" s="31">
        <v>7790360982254</v>
      </c>
      <c r="E103" s="112">
        <v>4.8</v>
      </c>
      <c r="F103" s="33">
        <v>16</v>
      </c>
      <c r="G103" s="34">
        <f>+VLOOKUP(B103,$T$4:$U$113,2,FALSE)</f>
        <v>37934.294670846401</v>
      </c>
      <c r="H103" s="117">
        <v>0.05</v>
      </c>
      <c r="I103" s="34">
        <f t="shared" si="12"/>
        <v>36037.579937304079</v>
      </c>
      <c r="J103" s="114">
        <f t="shared" ref="J103:J106" si="26">+I103/F103</f>
        <v>2252.3487460815049</v>
      </c>
      <c r="K103" s="114">
        <f>+J103*K$102</f>
        <v>472.99323667711604</v>
      </c>
      <c r="L103" s="115">
        <f>+J103+K103</f>
        <v>2725.3419827586208</v>
      </c>
      <c r="M103" s="112">
        <f>+L103*M$102</f>
        <v>817.60259482758624</v>
      </c>
      <c r="N103" s="33">
        <f>+L103+M103</f>
        <v>3542.9445775862068</v>
      </c>
      <c r="O103" s="88">
        <f>+N103*O$102</f>
        <v>1417.1778310344828</v>
      </c>
      <c r="P103" s="89">
        <f>+N103+O103</f>
        <v>4960.1224086206894</v>
      </c>
      <c r="Q103">
        <v>7.4999999999999997E-2</v>
      </c>
      <c r="R103">
        <v>33418.307210031351</v>
      </c>
      <c r="S103" s="24">
        <f t="shared" si="17"/>
        <v>7.8378378378378397E-2</v>
      </c>
      <c r="T103" s="78"/>
      <c r="U103" s="82"/>
    </row>
    <row r="104" spans="1:21" ht="15.75" thickBot="1" x14ac:dyDescent="0.3">
      <c r="B104" s="29">
        <v>100521455</v>
      </c>
      <c r="C104" s="30" t="s">
        <v>102</v>
      </c>
      <c r="D104" s="31">
        <v>7790360982247</v>
      </c>
      <c r="E104" s="112">
        <v>4.8</v>
      </c>
      <c r="F104" s="33">
        <v>16</v>
      </c>
      <c r="G104" s="34">
        <f>+VLOOKUP(B104,$T$4:$U$109,2,FALSE)</f>
        <v>37934.294670846401</v>
      </c>
      <c r="H104" s="117">
        <v>0.05</v>
      </c>
      <c r="I104" s="34">
        <f t="shared" ref="I104:I107" si="27">+G104*(1-H104)</f>
        <v>36037.579937304079</v>
      </c>
      <c r="J104" s="114">
        <f t="shared" si="26"/>
        <v>2252.3487460815049</v>
      </c>
      <c r="K104" s="114">
        <f>+J104*K$102</f>
        <v>472.99323667711604</v>
      </c>
      <c r="L104" s="115">
        <f t="shared" ref="L104:L106" si="28">+J104+K104</f>
        <v>2725.3419827586208</v>
      </c>
      <c r="M104" s="112">
        <f>+L104*M$102</f>
        <v>817.60259482758624</v>
      </c>
      <c r="N104" s="33">
        <f t="shared" ref="N104:N106" si="29">+L104+M104</f>
        <v>3542.9445775862068</v>
      </c>
      <c r="O104" s="88">
        <f>+N104*O$102</f>
        <v>1417.1778310344828</v>
      </c>
      <c r="P104" s="89">
        <f t="shared" ref="P104:P106" si="30">+N104+O104</f>
        <v>4960.1224086206894</v>
      </c>
      <c r="Q104">
        <v>7.4999999999999997E-2</v>
      </c>
      <c r="R104">
        <v>33418.307210031351</v>
      </c>
      <c r="S104" s="24">
        <f t="shared" si="17"/>
        <v>7.8378378378378397E-2</v>
      </c>
      <c r="T104" s="26">
        <v>100520902</v>
      </c>
      <c r="U104" s="22">
        <v>33316.176941832127</v>
      </c>
    </row>
    <row r="105" spans="1:21" ht="15.75" thickBot="1" x14ac:dyDescent="0.3">
      <c r="B105" s="29">
        <v>100521453</v>
      </c>
      <c r="C105" s="30" t="s">
        <v>103</v>
      </c>
      <c r="D105" s="31">
        <v>7790360982223</v>
      </c>
      <c r="E105" s="112">
        <v>5.4</v>
      </c>
      <c r="F105" s="33">
        <v>18</v>
      </c>
      <c r="G105" s="34">
        <f>+VLOOKUP(B105,$T$4:$U$109,2,FALSE)</f>
        <v>36630.303291536067</v>
      </c>
      <c r="H105" s="117">
        <v>0.05</v>
      </c>
      <c r="I105" s="34">
        <f t="shared" si="27"/>
        <v>34798.788126959262</v>
      </c>
      <c r="J105" s="114">
        <f t="shared" si="26"/>
        <v>1933.2660070532922</v>
      </c>
      <c r="K105" s="114">
        <f>+J105*K$102</f>
        <v>405.98586148119136</v>
      </c>
      <c r="L105" s="115">
        <f t="shared" si="28"/>
        <v>2339.2518685344835</v>
      </c>
      <c r="M105" s="112">
        <f>+L105*M$102</f>
        <v>701.77556056034507</v>
      </c>
      <c r="N105" s="33">
        <f t="shared" si="29"/>
        <v>3041.0274290948287</v>
      </c>
      <c r="O105" s="88">
        <f>+N105*O$102</f>
        <v>1216.4109716379314</v>
      </c>
      <c r="P105" s="89">
        <f t="shared" si="30"/>
        <v>4257.4384007327599</v>
      </c>
      <c r="Q105">
        <v>7.4999999999999997E-2</v>
      </c>
      <c r="R105">
        <v>32896.146159874617</v>
      </c>
      <c r="S105" s="24">
        <f t="shared" si="17"/>
        <v>5.7837837837837969E-2</v>
      </c>
      <c r="T105" s="26">
        <v>100522698</v>
      </c>
      <c r="U105" s="22">
        <v>42261.697434111236</v>
      </c>
    </row>
    <row r="106" spans="1:21" x14ac:dyDescent="0.25">
      <c r="B106" s="29">
        <v>100521454</v>
      </c>
      <c r="C106" s="30" t="s">
        <v>104</v>
      </c>
      <c r="D106" s="31">
        <v>7790360982230</v>
      </c>
      <c r="E106" s="112">
        <v>5.3999999999999995</v>
      </c>
      <c r="F106" s="33">
        <v>18</v>
      </c>
      <c r="G106" s="34">
        <f>+VLOOKUP(B106,$T$4:$U$113,2,FALSE)</f>
        <v>36630.303291536067</v>
      </c>
      <c r="H106" s="117">
        <v>0.05</v>
      </c>
      <c r="I106" s="34">
        <f t="shared" si="27"/>
        <v>34798.788126959262</v>
      </c>
      <c r="J106" s="114">
        <f t="shared" si="26"/>
        <v>1933.2660070532922</v>
      </c>
      <c r="K106" s="114">
        <f>+J106*K$102</f>
        <v>405.98586148119136</v>
      </c>
      <c r="L106" s="115">
        <f t="shared" si="28"/>
        <v>2339.2518685344835</v>
      </c>
      <c r="M106" s="112">
        <f>+L106*M$102</f>
        <v>701.77556056034507</v>
      </c>
      <c r="N106" s="33">
        <f t="shared" si="29"/>
        <v>3041.0274290948287</v>
      </c>
      <c r="O106" s="88">
        <f>+N106*O$102</f>
        <v>1216.4109716379314</v>
      </c>
      <c r="P106" s="89">
        <f t="shared" si="30"/>
        <v>4257.4384007327599</v>
      </c>
      <c r="Q106">
        <v>7.4999999999999997E-2</v>
      </c>
      <c r="R106">
        <v>32896.146159874617</v>
      </c>
      <c r="S106" s="24">
        <f t="shared" si="17"/>
        <v>5.7837837837837969E-2</v>
      </c>
      <c r="T106" s="78"/>
      <c r="U106" s="82"/>
    </row>
    <row r="107" spans="1:21" x14ac:dyDescent="0.25">
      <c r="B107" s="78"/>
      <c r="C107" s="79"/>
      <c r="D107" s="80"/>
      <c r="E107" s="118"/>
      <c r="F107" s="81"/>
      <c r="G107" s="81"/>
      <c r="H107" s="81"/>
      <c r="I107" s="82"/>
      <c r="J107" s="119"/>
      <c r="K107" s="120">
        <v>0.21</v>
      </c>
      <c r="L107" s="121"/>
      <c r="M107" s="121">
        <v>0.22</v>
      </c>
      <c r="N107" s="121"/>
      <c r="O107" s="121">
        <v>0.35</v>
      </c>
      <c r="P107" s="122"/>
      <c r="T107" s="26">
        <v>100521457</v>
      </c>
      <c r="U107" s="22">
        <v>37934.294670846401</v>
      </c>
    </row>
    <row r="108" spans="1:21" x14ac:dyDescent="0.25">
      <c r="B108" s="109">
        <v>100522246</v>
      </c>
      <c r="C108" s="58" t="s">
        <v>105</v>
      </c>
      <c r="D108" s="59">
        <v>7790360984234</v>
      </c>
      <c r="E108" s="104">
        <v>8.16</v>
      </c>
      <c r="F108" s="21">
        <v>48</v>
      </c>
      <c r="G108" s="22">
        <f>+VLOOKUP(B108,$T$4:$U$113,2,FALSE)</f>
        <v>116812.71733730749</v>
      </c>
      <c r="H108" s="123"/>
      <c r="I108" s="22">
        <f t="shared" ref="I108:I109" si="31">+G108*(1-H108)</f>
        <v>116812.71733730749</v>
      </c>
      <c r="J108" s="22">
        <f t="shared" ref="J108:J109" si="32">+I108/F108</f>
        <v>2433.5982778605726</v>
      </c>
      <c r="K108" s="22">
        <f t="shared" ref="K108:K109" si="33">+J108*K$3</f>
        <v>511.05563835072024</v>
      </c>
      <c r="L108" s="22">
        <f t="shared" ref="L108:L109" si="34">+J108+K108</f>
        <v>2944.6539162112927</v>
      </c>
      <c r="M108" s="22">
        <f t="shared" ref="M108:M109" si="35">+L108*M$39</f>
        <v>588.9307832422586</v>
      </c>
      <c r="N108" s="22">
        <f t="shared" ref="N108:N109" si="36">+L108+M108</f>
        <v>3533.5846994535514</v>
      </c>
      <c r="O108" s="22">
        <f t="shared" ref="O108:O109" si="37">+N108*O$39</f>
        <v>1236.7546448087428</v>
      </c>
      <c r="P108" s="23">
        <f t="shared" ref="P108:P109" si="38">+N108+O108</f>
        <v>4770.3393442622946</v>
      </c>
      <c r="Q108">
        <v>0.20833333333333301</v>
      </c>
      <c r="R108">
        <v>92476.734558701792</v>
      </c>
      <c r="S108" s="24">
        <f t="shared" si="17"/>
        <v>0.2631578947368417</v>
      </c>
      <c r="T108" s="26">
        <v>100521455</v>
      </c>
      <c r="U108" s="22">
        <v>37934.294670846401</v>
      </c>
    </row>
    <row r="109" spans="1:21" x14ac:dyDescent="0.25">
      <c r="B109" s="109">
        <v>100522247</v>
      </c>
      <c r="C109" s="58" t="s">
        <v>106</v>
      </c>
      <c r="D109" s="59">
        <v>7790360984241</v>
      </c>
      <c r="E109" s="104">
        <v>8.16</v>
      </c>
      <c r="F109" s="21">
        <v>48</v>
      </c>
      <c r="G109" s="22">
        <f>+VLOOKUP(B109,$T$4:$U$113,2,FALSE)</f>
        <v>116812.71733730749</v>
      </c>
      <c r="H109" s="123"/>
      <c r="I109" s="22">
        <f t="shared" si="31"/>
        <v>116812.71733730749</v>
      </c>
      <c r="J109" s="22">
        <f t="shared" si="32"/>
        <v>2433.5982778605726</v>
      </c>
      <c r="K109" s="22">
        <f t="shared" si="33"/>
        <v>511.05563835072024</v>
      </c>
      <c r="L109" s="22">
        <f t="shared" si="34"/>
        <v>2944.6539162112927</v>
      </c>
      <c r="M109" s="22">
        <f t="shared" si="35"/>
        <v>588.9307832422586</v>
      </c>
      <c r="N109" s="22">
        <f t="shared" si="36"/>
        <v>3533.5846994535514</v>
      </c>
      <c r="O109" s="22">
        <f t="shared" si="37"/>
        <v>1236.7546448087428</v>
      </c>
      <c r="P109" s="23">
        <f t="shared" si="38"/>
        <v>4770.3393442622946</v>
      </c>
      <c r="Q109">
        <v>0.20833333333333301</v>
      </c>
      <c r="R109">
        <v>92476.734558701792</v>
      </c>
      <c r="S109" s="24">
        <f t="shared" si="17"/>
        <v>0.2631578947368417</v>
      </c>
      <c r="T109" s="26">
        <v>100521453</v>
      </c>
      <c r="U109" s="22">
        <v>36630.303291536067</v>
      </c>
    </row>
    <row r="110" spans="1:21" x14ac:dyDescent="0.25">
      <c r="T110" s="26">
        <v>100521454</v>
      </c>
      <c r="U110" s="22">
        <v>36630.303291536067</v>
      </c>
    </row>
    <row r="111" spans="1:21" x14ac:dyDescent="0.25">
      <c r="T111" s="78"/>
      <c r="U111" s="82"/>
    </row>
    <row r="112" spans="1:21" x14ac:dyDescent="0.25">
      <c r="T112" s="26">
        <v>100522246</v>
      </c>
      <c r="U112" s="126">
        <v>116812.71733730749</v>
      </c>
    </row>
    <row r="113" spans="20:21" x14ac:dyDescent="0.25">
      <c r="T113" s="26">
        <v>100522247</v>
      </c>
      <c r="U113" s="126">
        <v>116812.71733730749</v>
      </c>
    </row>
  </sheetData>
  <conditionalFormatting sqref="A98:F98">
    <cfRule type="cellIs" dxfId="36" priority="2" stopIfTrue="1" operator="equal">
      <formula>0</formula>
    </cfRule>
  </conditionalFormatting>
  <conditionalFormatting sqref="A101:F101">
    <cfRule type="cellIs" dxfId="35" priority="1" stopIfTrue="1" operator="equal">
      <formula>0</formula>
    </cfRule>
  </conditionalFormatting>
  <conditionalFormatting sqref="B20:C20">
    <cfRule type="cellIs" dxfId="34" priority="37" stopIfTrue="1" operator="equal">
      <formula>0</formula>
    </cfRule>
  </conditionalFormatting>
  <conditionalFormatting sqref="B27:C27">
    <cfRule type="cellIs" dxfId="33" priority="31" stopIfTrue="1" operator="equal">
      <formula>0</formula>
    </cfRule>
  </conditionalFormatting>
  <conditionalFormatting sqref="B63:D63">
    <cfRule type="cellIs" dxfId="32" priority="35" stopIfTrue="1" operator="equal">
      <formula>0</formula>
    </cfRule>
  </conditionalFormatting>
  <conditionalFormatting sqref="B16:F19">
    <cfRule type="cellIs" dxfId="31" priority="27" stopIfTrue="1" operator="equal">
      <formula>0</formula>
    </cfRule>
  </conditionalFormatting>
  <conditionalFormatting sqref="B69:P69">
    <cfRule type="cellIs" dxfId="30" priority="6" stopIfTrue="1" operator="equal">
      <formula>0</formula>
    </cfRule>
  </conditionalFormatting>
  <conditionalFormatting sqref="B73:P74">
    <cfRule type="cellIs" dxfId="29" priority="5" stopIfTrue="1" operator="equal">
      <formula>0</formula>
    </cfRule>
  </conditionalFormatting>
  <conditionalFormatting sqref="C28">
    <cfRule type="cellIs" dxfId="28" priority="30" stopIfTrue="1" operator="equal">
      <formula>0</formula>
    </cfRule>
  </conditionalFormatting>
  <conditionalFormatting sqref="D94:F94">
    <cfRule type="cellIs" dxfId="27" priority="15" stopIfTrue="1" operator="equal">
      <formula>0</formula>
    </cfRule>
  </conditionalFormatting>
  <conditionalFormatting sqref="E20:F20">
    <cfRule type="cellIs" dxfId="26" priority="36" stopIfTrue="1" operator="equal">
      <formula>0</formula>
    </cfRule>
  </conditionalFormatting>
  <conditionalFormatting sqref="E89:F93">
    <cfRule type="cellIs" dxfId="25" priority="28" stopIfTrue="1" operator="equal">
      <formula>0</formula>
    </cfRule>
  </conditionalFormatting>
  <conditionalFormatting sqref="E96:F97">
    <cfRule type="cellIs" dxfId="24" priority="26" stopIfTrue="1" operator="equal">
      <formula>0</formula>
    </cfRule>
  </conditionalFormatting>
  <conditionalFormatting sqref="E100:F100">
    <cfRule type="cellIs" dxfId="23" priority="24" stopIfTrue="1" operator="equal">
      <formula>0</formula>
    </cfRule>
  </conditionalFormatting>
  <conditionalFormatting sqref="E103:F106">
    <cfRule type="cellIs" dxfId="22" priority="17" stopIfTrue="1" operator="equal">
      <formula>0</formula>
    </cfRule>
  </conditionalFormatting>
  <conditionalFormatting sqref="E58:G61">
    <cfRule type="cellIs" dxfId="21" priority="34" stopIfTrue="1" operator="equal">
      <formula>0</formula>
    </cfRule>
  </conditionalFormatting>
  <conditionalFormatting sqref="G16 I16:J16 G17:J20">
    <cfRule type="cellIs" dxfId="20" priority="22" stopIfTrue="1" operator="equal">
      <formula>0</formula>
    </cfRule>
  </conditionalFormatting>
  <conditionalFormatting sqref="H89:H94">
    <cfRule type="cellIs" dxfId="19" priority="4" stopIfTrue="1" operator="equal">
      <formula>0</formula>
    </cfRule>
  </conditionalFormatting>
  <conditionalFormatting sqref="H96:H98">
    <cfRule type="cellIs" dxfId="18" priority="8" stopIfTrue="1" operator="equal">
      <formula>0</formula>
    </cfRule>
  </conditionalFormatting>
  <conditionalFormatting sqref="H100:H101">
    <cfRule type="cellIs" dxfId="17" priority="7" stopIfTrue="1" operator="equal">
      <formula>0</formula>
    </cfRule>
  </conditionalFormatting>
  <conditionalFormatting sqref="H108:I109">
    <cfRule type="cellIs" dxfId="16" priority="3" stopIfTrue="1" operator="equal">
      <formula>0</formula>
    </cfRule>
  </conditionalFormatting>
  <conditionalFormatting sqref="J96:N98">
    <cfRule type="cellIs" dxfId="15" priority="25" stopIfTrue="1" operator="equal">
      <formula>0</formula>
    </cfRule>
  </conditionalFormatting>
  <conditionalFormatting sqref="J100:N101">
    <cfRule type="cellIs" dxfId="14" priority="23" stopIfTrue="1" operator="equal">
      <formula>0</formula>
    </cfRule>
  </conditionalFormatting>
  <conditionalFormatting sqref="J103:N106">
    <cfRule type="cellIs" dxfId="13" priority="16" stopIfTrue="1" operator="equal">
      <formula>0</formula>
    </cfRule>
  </conditionalFormatting>
  <conditionalFormatting sqref="J58:P61">
    <cfRule type="cellIs" dxfId="12" priority="21" stopIfTrue="1" operator="equal">
      <formula>0</formula>
    </cfRule>
  </conditionalFormatting>
  <conditionalFormatting sqref="J90:P94">
    <cfRule type="cellIs" dxfId="11" priority="29" stopIfTrue="1" operator="equal">
      <formula>0</formula>
    </cfRule>
  </conditionalFormatting>
  <conditionalFormatting sqref="M37:M38">
    <cfRule type="cellIs" dxfId="10" priority="33" stopIfTrue="1" operator="equal">
      <formula>0</formula>
    </cfRule>
  </conditionalFormatting>
  <conditionalFormatting sqref="M16:P20">
    <cfRule type="cellIs" dxfId="9" priority="32" stopIfTrue="1" operator="equal">
      <formula>0</formula>
    </cfRule>
  </conditionalFormatting>
  <conditionalFormatting sqref="R16:R20 R69">
    <cfRule type="cellIs" dxfId="8" priority="20" stopIfTrue="1" operator="equal">
      <formula>0</formula>
    </cfRule>
  </conditionalFormatting>
  <conditionalFormatting sqref="R58">
    <cfRule type="cellIs" dxfId="7" priority="18" stopIfTrue="1" operator="equal">
      <formula>0</formula>
    </cfRule>
  </conditionalFormatting>
  <conditionalFormatting sqref="R73:R74">
    <cfRule type="cellIs" dxfId="6" priority="19" stopIfTrue="1" operator="equal">
      <formula>0</formula>
    </cfRule>
  </conditionalFormatting>
  <conditionalFormatting sqref="T27">
    <cfRule type="cellIs" dxfId="5" priority="13" stopIfTrue="1" operator="equal">
      <formula>0</formula>
    </cfRule>
  </conditionalFormatting>
  <conditionalFormatting sqref="T66">
    <cfRule type="cellIs" dxfId="4" priority="14" stopIfTrue="1" operator="equal">
      <formula>0</formula>
    </cfRule>
  </conditionalFormatting>
  <conditionalFormatting sqref="T16:U18">
    <cfRule type="cellIs" dxfId="3" priority="11" stopIfTrue="1" operator="equal">
      <formula>0</formula>
    </cfRule>
  </conditionalFormatting>
  <conditionalFormatting sqref="T72:U72">
    <cfRule type="cellIs" dxfId="2" priority="10" stopIfTrue="1" operator="equal">
      <formula>0</formula>
    </cfRule>
  </conditionalFormatting>
  <conditionalFormatting sqref="T76:U77">
    <cfRule type="cellIs" dxfId="1" priority="9" stopIfTrue="1" operator="equal">
      <formula>0</formula>
    </cfRule>
  </conditionalFormatting>
  <conditionalFormatting sqref="U61:U64">
    <cfRule type="cellIs" dxfId="0" priority="12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Gentile</dc:creator>
  <cp:lastModifiedBy>Nicolas Gentile</cp:lastModifiedBy>
  <dcterms:created xsi:type="dcterms:W3CDTF">2026-02-05T17:22:06Z</dcterms:created>
  <dcterms:modified xsi:type="dcterms:W3CDTF">2026-02-05T17:22:43Z</dcterms:modified>
</cp:coreProperties>
</file>