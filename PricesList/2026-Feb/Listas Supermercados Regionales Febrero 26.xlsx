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Feb/"/>
    </mc:Choice>
  </mc:AlternateContent>
  <xr:revisionPtr revIDLastSave="0" documentId="13_ncr:1_{972DFB5F-3C14-4228-A151-46697099C280}" xr6:coauthVersionLast="47" xr6:coauthVersionMax="47" xr10:uidLastSave="{00000000-0000-0000-0000-000000000000}"/>
  <bookViews>
    <workbookView minimized="1" xWindow="6135" yWindow="4050" windowWidth="15375" windowHeight="7785" xr2:uid="{BDDF134C-7E61-4A18-AEF8-C3F9C35DEFFE}"/>
  </bookViews>
  <sheets>
    <sheet name="SUPER REG" sheetId="1" r:id="rId1"/>
  </sheets>
  <definedNames>
    <definedName name="_Order1" hidden="1">255</definedName>
    <definedName name="_Order2" hidden="1">255</definedName>
    <definedName name="a">"$"</definedName>
    <definedName name="D">"$"</definedName>
    <definedName name="DIV">1000000</definedName>
    <definedName name="E">"$"</definedName>
    <definedName name="escala">"$"</definedName>
    <definedName name="Payment_Needed">"Pagamento necessário"</definedName>
    <definedName name="pro">"$"</definedName>
    <definedName name="Reimbursement">"Reembolso"</definedName>
    <definedName name="U">"$"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7" i="1" l="1"/>
  <c r="P157" i="1"/>
  <c r="R157" i="1" s="1"/>
  <c r="S157" i="1" s="1"/>
  <c r="M157" i="1"/>
  <c r="L157" i="1"/>
  <c r="I157" i="1" s="1"/>
  <c r="X156" i="1"/>
  <c r="W156" i="1"/>
  <c r="P156" i="1"/>
  <c r="R156" i="1" s="1"/>
  <c r="S156" i="1" s="1"/>
  <c r="M156" i="1"/>
  <c r="L156" i="1"/>
  <c r="I156" i="1" s="1"/>
  <c r="X154" i="1"/>
  <c r="W154" i="1"/>
  <c r="P154" i="1"/>
  <c r="R154" i="1" s="1"/>
  <c r="S154" i="1" s="1"/>
  <c r="M154" i="1"/>
  <c r="L154" i="1"/>
  <c r="I154" i="1" s="1"/>
  <c r="K154" i="1" s="1"/>
  <c r="X153" i="1"/>
  <c r="W153" i="1"/>
  <c r="P153" i="1"/>
  <c r="R153" i="1" s="1"/>
  <c r="S153" i="1" s="1"/>
  <c r="M153" i="1"/>
  <c r="L153" i="1"/>
  <c r="I153" i="1" s="1"/>
  <c r="X152" i="1"/>
  <c r="W152" i="1"/>
  <c r="P152" i="1"/>
  <c r="R152" i="1" s="1"/>
  <c r="S152" i="1" s="1"/>
  <c r="M152" i="1"/>
  <c r="L152" i="1"/>
  <c r="I152" i="1"/>
  <c r="J152" i="1" s="1"/>
  <c r="X151" i="1"/>
  <c r="W151" i="1"/>
  <c r="P151" i="1"/>
  <c r="R151" i="1" s="1"/>
  <c r="S151" i="1" s="1"/>
  <c r="M151" i="1"/>
  <c r="L151" i="1"/>
  <c r="I151" i="1" s="1"/>
  <c r="X149" i="1"/>
  <c r="W149" i="1"/>
  <c r="P149" i="1"/>
  <c r="R149" i="1" s="1"/>
  <c r="S149" i="1" s="1"/>
  <c r="M149" i="1"/>
  <c r="L149" i="1"/>
  <c r="I149" i="1" s="1"/>
  <c r="W148" i="1"/>
  <c r="X148" i="1"/>
  <c r="P148" i="1"/>
  <c r="R148" i="1" s="1"/>
  <c r="S148" i="1" s="1"/>
  <c r="M148" i="1"/>
  <c r="L148" i="1"/>
  <c r="I148" i="1" s="1"/>
  <c r="X146" i="1"/>
  <c r="R146" i="1"/>
  <c r="S146" i="1" s="1"/>
  <c r="P146" i="1"/>
  <c r="W146" i="1" s="1"/>
  <c r="M146" i="1"/>
  <c r="L146" i="1"/>
  <c r="I146" i="1" s="1"/>
  <c r="X145" i="1"/>
  <c r="P145" i="1"/>
  <c r="W145" i="1" s="1"/>
  <c r="M145" i="1"/>
  <c r="L145" i="1"/>
  <c r="I145" i="1" s="1"/>
  <c r="X144" i="1"/>
  <c r="W144" i="1"/>
  <c r="R144" i="1"/>
  <c r="S144" i="1" s="1"/>
  <c r="P144" i="1"/>
  <c r="M144" i="1"/>
  <c r="L144" i="1"/>
  <c r="I144" i="1" s="1"/>
  <c r="X142" i="1"/>
  <c r="W142" i="1"/>
  <c r="P142" i="1"/>
  <c r="R142" i="1" s="1"/>
  <c r="S142" i="1" s="1"/>
  <c r="M142" i="1"/>
  <c r="L142" i="1"/>
  <c r="I142" i="1" s="1"/>
  <c r="W141" i="1"/>
  <c r="X141" i="1"/>
  <c r="P141" i="1"/>
  <c r="R141" i="1" s="1"/>
  <c r="S141" i="1" s="1"/>
  <c r="M141" i="1"/>
  <c r="L141" i="1"/>
  <c r="I141" i="1"/>
  <c r="K141" i="1" s="1"/>
  <c r="X140" i="1"/>
  <c r="W140" i="1"/>
  <c r="P140" i="1"/>
  <c r="R140" i="1" s="1"/>
  <c r="S140" i="1" s="1"/>
  <c r="M140" i="1"/>
  <c r="L140" i="1"/>
  <c r="I140" i="1" s="1"/>
  <c r="X139" i="1"/>
  <c r="W139" i="1"/>
  <c r="P139" i="1"/>
  <c r="R139" i="1" s="1"/>
  <c r="S139" i="1" s="1"/>
  <c r="M139" i="1"/>
  <c r="L139" i="1"/>
  <c r="I139" i="1"/>
  <c r="K139" i="1" s="1"/>
  <c r="X138" i="1"/>
  <c r="W138" i="1"/>
  <c r="P138" i="1"/>
  <c r="R138" i="1" s="1"/>
  <c r="S138" i="1" s="1"/>
  <c r="M138" i="1"/>
  <c r="L138" i="1"/>
  <c r="I138" i="1"/>
  <c r="J138" i="1" s="1"/>
  <c r="X137" i="1"/>
  <c r="P137" i="1"/>
  <c r="R137" i="1" s="1"/>
  <c r="S137" i="1" s="1"/>
  <c r="M137" i="1"/>
  <c r="L137" i="1"/>
  <c r="I137" i="1" s="1"/>
  <c r="X135" i="1"/>
  <c r="W135" i="1"/>
  <c r="P135" i="1"/>
  <c r="R135" i="1" s="1"/>
  <c r="S135" i="1" s="1"/>
  <c r="M135" i="1"/>
  <c r="L135" i="1"/>
  <c r="I135" i="1" s="1"/>
  <c r="W134" i="1"/>
  <c r="X134" i="1"/>
  <c r="R134" i="1"/>
  <c r="S134" i="1" s="1"/>
  <c r="P134" i="1"/>
  <c r="M134" i="1"/>
  <c r="L134" i="1"/>
  <c r="I134" i="1" s="1"/>
  <c r="R132" i="1"/>
  <c r="S132" i="1" s="1"/>
  <c r="P132" i="1"/>
  <c r="M132" i="1"/>
  <c r="L132" i="1"/>
  <c r="I132" i="1" s="1"/>
  <c r="W131" i="1"/>
  <c r="X131" i="1"/>
  <c r="P131" i="1"/>
  <c r="R131" i="1" s="1"/>
  <c r="S131" i="1" s="1"/>
  <c r="M131" i="1"/>
  <c r="L131" i="1"/>
  <c r="I131" i="1" s="1"/>
  <c r="K130" i="1"/>
  <c r="W129" i="1"/>
  <c r="X129" i="1"/>
  <c r="P129" i="1"/>
  <c r="R129" i="1" s="1"/>
  <c r="S129" i="1" s="1"/>
  <c r="M129" i="1"/>
  <c r="L129" i="1"/>
  <c r="I129" i="1" s="1"/>
  <c r="X128" i="1"/>
  <c r="P128" i="1"/>
  <c r="R128" i="1" s="1"/>
  <c r="S128" i="1" s="1"/>
  <c r="M128" i="1"/>
  <c r="L128" i="1"/>
  <c r="I128" i="1"/>
  <c r="J128" i="1" s="1"/>
  <c r="X127" i="1"/>
  <c r="W127" i="1"/>
  <c r="P127" i="1"/>
  <c r="R127" i="1" s="1"/>
  <c r="S127" i="1" s="1"/>
  <c r="M127" i="1"/>
  <c r="L127" i="1"/>
  <c r="I127" i="1"/>
  <c r="K127" i="1" s="1"/>
  <c r="K126" i="1"/>
  <c r="X125" i="1"/>
  <c r="W125" i="1"/>
  <c r="P125" i="1"/>
  <c r="R125" i="1" s="1"/>
  <c r="S125" i="1" s="1"/>
  <c r="M125" i="1"/>
  <c r="L125" i="1"/>
  <c r="I125" i="1" s="1"/>
  <c r="X124" i="1"/>
  <c r="P124" i="1"/>
  <c r="R124" i="1" s="1"/>
  <c r="S124" i="1" s="1"/>
  <c r="M124" i="1"/>
  <c r="L124" i="1"/>
  <c r="I124" i="1"/>
  <c r="K124" i="1" s="1"/>
  <c r="X123" i="1"/>
  <c r="K123" i="1"/>
  <c r="X122" i="1"/>
  <c r="W122" i="1"/>
  <c r="P122" i="1"/>
  <c r="R122" i="1" s="1"/>
  <c r="S122" i="1" s="1"/>
  <c r="M122" i="1"/>
  <c r="L122" i="1"/>
  <c r="I122" i="1"/>
  <c r="J122" i="1" s="1"/>
  <c r="X120" i="1"/>
  <c r="P120" i="1"/>
  <c r="R120" i="1" s="1"/>
  <c r="S120" i="1" s="1"/>
  <c r="M120" i="1"/>
  <c r="L120" i="1"/>
  <c r="I120" i="1" s="1"/>
  <c r="J120" i="1" s="1"/>
  <c r="X119" i="1"/>
  <c r="R119" i="1"/>
  <c r="S119" i="1" s="1"/>
  <c r="P119" i="1"/>
  <c r="M119" i="1"/>
  <c r="L119" i="1"/>
  <c r="I119" i="1" s="1"/>
  <c r="K119" i="1" s="1"/>
  <c r="X118" i="1"/>
  <c r="W118" i="1"/>
  <c r="P118" i="1"/>
  <c r="R118" i="1" s="1"/>
  <c r="S118" i="1" s="1"/>
  <c r="M118" i="1"/>
  <c r="L118" i="1"/>
  <c r="I118" i="1" s="1"/>
  <c r="W117" i="1"/>
  <c r="X117" i="1"/>
  <c r="P117" i="1"/>
  <c r="R117" i="1" s="1"/>
  <c r="S117" i="1" s="1"/>
  <c r="M117" i="1"/>
  <c r="L117" i="1"/>
  <c r="I117" i="1" s="1"/>
  <c r="X116" i="1"/>
  <c r="W116" i="1"/>
  <c r="P116" i="1"/>
  <c r="R116" i="1" s="1"/>
  <c r="S116" i="1" s="1"/>
  <c r="M116" i="1"/>
  <c r="L116" i="1"/>
  <c r="K116" i="1"/>
  <c r="I116" i="1"/>
  <c r="J116" i="1" s="1"/>
  <c r="X115" i="1"/>
  <c r="W115" i="1"/>
  <c r="P115" i="1"/>
  <c r="R115" i="1" s="1"/>
  <c r="S115" i="1" s="1"/>
  <c r="M115" i="1"/>
  <c r="L115" i="1"/>
  <c r="I115" i="1" s="1"/>
  <c r="X114" i="1"/>
  <c r="P114" i="1"/>
  <c r="R114" i="1" s="1"/>
  <c r="S114" i="1" s="1"/>
  <c r="M114" i="1"/>
  <c r="L114" i="1"/>
  <c r="I114" i="1"/>
  <c r="K114" i="1" s="1"/>
  <c r="W113" i="1"/>
  <c r="X113" i="1"/>
  <c r="P113" i="1"/>
  <c r="R113" i="1" s="1"/>
  <c r="S113" i="1" s="1"/>
  <c r="M113" i="1"/>
  <c r="L113" i="1"/>
  <c r="I113" i="1" s="1"/>
  <c r="X112" i="1"/>
  <c r="W112" i="1"/>
  <c r="R112" i="1"/>
  <c r="S112" i="1" s="1"/>
  <c r="P112" i="1"/>
  <c r="M112" i="1"/>
  <c r="L112" i="1"/>
  <c r="I112" i="1" s="1"/>
  <c r="X111" i="1"/>
  <c r="P111" i="1"/>
  <c r="R111" i="1" s="1"/>
  <c r="S111" i="1" s="1"/>
  <c r="M111" i="1"/>
  <c r="L111" i="1"/>
  <c r="I111" i="1" s="1"/>
  <c r="K111" i="1" s="1"/>
  <c r="P110" i="1"/>
  <c r="R110" i="1" s="1"/>
  <c r="S110" i="1" s="1"/>
  <c r="M110" i="1"/>
  <c r="L110" i="1"/>
  <c r="I110" i="1" s="1"/>
  <c r="X109" i="1"/>
  <c r="W109" i="1"/>
  <c r="P109" i="1"/>
  <c r="R109" i="1" s="1"/>
  <c r="S109" i="1" s="1"/>
  <c r="L109" i="1"/>
  <c r="I109" i="1" s="1"/>
  <c r="J109" i="1" s="1"/>
  <c r="F109" i="1"/>
  <c r="M109" i="1" s="1"/>
  <c r="X108" i="1"/>
  <c r="W108" i="1"/>
  <c r="R108" i="1"/>
  <c r="S108" i="1" s="1"/>
  <c r="P108" i="1"/>
  <c r="L108" i="1"/>
  <c r="I108" i="1" s="1"/>
  <c r="J108" i="1" s="1"/>
  <c r="F108" i="1"/>
  <c r="K107" i="1"/>
  <c r="P106" i="1"/>
  <c r="R106" i="1" s="1"/>
  <c r="S106" i="1" s="1"/>
  <c r="M106" i="1"/>
  <c r="L106" i="1"/>
  <c r="I106" i="1" s="1"/>
  <c r="X105" i="1"/>
  <c r="W105" i="1"/>
  <c r="P105" i="1"/>
  <c r="R105" i="1" s="1"/>
  <c r="S105" i="1" s="1"/>
  <c r="M105" i="1"/>
  <c r="L105" i="1"/>
  <c r="I105" i="1"/>
  <c r="K105" i="1" s="1"/>
  <c r="X104" i="1"/>
  <c r="W104" i="1"/>
  <c r="P104" i="1"/>
  <c r="R104" i="1" s="1"/>
  <c r="S104" i="1" s="1"/>
  <c r="M104" i="1"/>
  <c r="L104" i="1"/>
  <c r="I104" i="1" s="1"/>
  <c r="X103" i="1"/>
  <c r="P103" i="1"/>
  <c r="R103" i="1" s="1"/>
  <c r="S103" i="1" s="1"/>
  <c r="M103" i="1"/>
  <c r="L103" i="1"/>
  <c r="I103" i="1"/>
  <c r="J103" i="1" s="1"/>
  <c r="X102" i="1"/>
  <c r="W102" i="1"/>
  <c r="P102" i="1"/>
  <c r="R102" i="1" s="1"/>
  <c r="S102" i="1" s="1"/>
  <c r="M102" i="1"/>
  <c r="L102" i="1"/>
  <c r="I102" i="1" s="1"/>
  <c r="P100" i="1"/>
  <c r="R100" i="1" s="1"/>
  <c r="S100" i="1" s="1"/>
  <c r="M100" i="1"/>
  <c r="L100" i="1"/>
  <c r="X99" i="1"/>
  <c r="P99" i="1"/>
  <c r="R99" i="1" s="1"/>
  <c r="S99" i="1" s="1"/>
  <c r="M99" i="1"/>
  <c r="L99" i="1"/>
  <c r="P98" i="1"/>
  <c r="R98" i="1" s="1"/>
  <c r="S98" i="1" s="1"/>
  <c r="M98" i="1"/>
  <c r="L98" i="1"/>
  <c r="X97" i="1"/>
  <c r="P97" i="1"/>
  <c r="R97" i="1" s="1"/>
  <c r="S97" i="1" s="1"/>
  <c r="M97" i="1"/>
  <c r="L97" i="1"/>
  <c r="R96" i="1"/>
  <c r="S96" i="1" s="1"/>
  <c r="P96" i="1"/>
  <c r="M96" i="1"/>
  <c r="L96" i="1"/>
  <c r="P95" i="1"/>
  <c r="R95" i="1" s="1"/>
  <c r="S95" i="1" s="1"/>
  <c r="M95" i="1"/>
  <c r="L95" i="1"/>
  <c r="X94" i="1"/>
  <c r="R94" i="1"/>
  <c r="S94" i="1" s="1"/>
  <c r="P94" i="1"/>
  <c r="M94" i="1"/>
  <c r="L94" i="1"/>
  <c r="X93" i="1"/>
  <c r="W93" i="1"/>
  <c r="P93" i="1"/>
  <c r="S93" i="1" s="1"/>
  <c r="M93" i="1"/>
  <c r="L93" i="1"/>
  <c r="I93" i="1" s="1"/>
  <c r="X92" i="1"/>
  <c r="W92" i="1"/>
  <c r="P92" i="1"/>
  <c r="R92" i="1" s="1"/>
  <c r="M92" i="1"/>
  <c r="L92" i="1"/>
  <c r="I92" i="1" s="1"/>
  <c r="J92" i="1" s="1"/>
  <c r="P91" i="1"/>
  <c r="S91" i="1" s="1"/>
  <c r="M91" i="1"/>
  <c r="L91" i="1"/>
  <c r="I91" i="1" s="1"/>
  <c r="J91" i="1" s="1"/>
  <c r="X90" i="1"/>
  <c r="W90" i="1"/>
  <c r="P90" i="1"/>
  <c r="R90" i="1" s="1"/>
  <c r="M90" i="1"/>
  <c r="L90" i="1"/>
  <c r="I90" i="1"/>
  <c r="J90" i="1" s="1"/>
  <c r="W89" i="1"/>
  <c r="P89" i="1"/>
  <c r="S89" i="1" s="1"/>
  <c r="M89" i="1"/>
  <c r="L89" i="1"/>
  <c r="I89" i="1"/>
  <c r="J89" i="1" s="1"/>
  <c r="W88" i="1"/>
  <c r="X88" i="1"/>
  <c r="R88" i="1"/>
  <c r="P88" i="1"/>
  <c r="S88" i="1" s="1"/>
  <c r="M88" i="1"/>
  <c r="L88" i="1"/>
  <c r="I88" i="1" s="1"/>
  <c r="J88" i="1" s="1"/>
  <c r="X87" i="1"/>
  <c r="S87" i="1"/>
  <c r="R87" i="1"/>
  <c r="P87" i="1"/>
  <c r="M87" i="1"/>
  <c r="L87" i="1"/>
  <c r="I87" i="1" s="1"/>
  <c r="J87" i="1" s="1"/>
  <c r="X86" i="1"/>
  <c r="W86" i="1"/>
  <c r="P86" i="1"/>
  <c r="M86" i="1"/>
  <c r="L86" i="1"/>
  <c r="I86" i="1" s="1"/>
  <c r="J86" i="1" s="1"/>
  <c r="X85" i="1"/>
  <c r="W85" i="1"/>
  <c r="R85" i="1"/>
  <c r="P85" i="1"/>
  <c r="S85" i="1" s="1"/>
  <c r="M85" i="1"/>
  <c r="L85" i="1"/>
  <c r="I85" i="1" s="1"/>
  <c r="J85" i="1" s="1"/>
  <c r="X84" i="1"/>
  <c r="W84" i="1"/>
  <c r="S84" i="1"/>
  <c r="P84" i="1"/>
  <c r="R84" i="1" s="1"/>
  <c r="M84" i="1"/>
  <c r="L84" i="1"/>
  <c r="I84" i="1" s="1"/>
  <c r="J84" i="1" s="1"/>
  <c r="X83" i="1"/>
  <c r="W83" i="1"/>
  <c r="P83" i="1"/>
  <c r="S83" i="1" s="1"/>
  <c r="M83" i="1"/>
  <c r="L83" i="1"/>
  <c r="I83" i="1" s="1"/>
  <c r="X82" i="1"/>
  <c r="W82" i="1"/>
  <c r="P82" i="1"/>
  <c r="S82" i="1" s="1"/>
  <c r="M82" i="1"/>
  <c r="L82" i="1"/>
  <c r="I82" i="1"/>
  <c r="J82" i="1" s="1"/>
  <c r="W81" i="1"/>
  <c r="X81" i="1"/>
  <c r="P81" i="1"/>
  <c r="R81" i="1" s="1"/>
  <c r="M81" i="1"/>
  <c r="L81" i="1"/>
  <c r="I81" i="1" s="1"/>
  <c r="J81" i="1" s="1"/>
  <c r="W80" i="1"/>
  <c r="P80" i="1"/>
  <c r="S80" i="1" s="1"/>
  <c r="M80" i="1"/>
  <c r="L80" i="1"/>
  <c r="I80" i="1" s="1"/>
  <c r="W79" i="1"/>
  <c r="P79" i="1"/>
  <c r="R79" i="1" s="1"/>
  <c r="M79" i="1"/>
  <c r="L79" i="1"/>
  <c r="I79" i="1" s="1"/>
  <c r="J79" i="1" s="1"/>
  <c r="X78" i="1"/>
  <c r="P78" i="1"/>
  <c r="S78" i="1" s="1"/>
  <c r="M78" i="1"/>
  <c r="L78" i="1"/>
  <c r="I78" i="1"/>
  <c r="J78" i="1" s="1"/>
  <c r="X77" i="1"/>
  <c r="P77" i="1"/>
  <c r="R77" i="1" s="1"/>
  <c r="M77" i="1"/>
  <c r="L77" i="1"/>
  <c r="I77" i="1" s="1"/>
  <c r="J77" i="1" s="1"/>
  <c r="W76" i="1"/>
  <c r="P76" i="1"/>
  <c r="S76" i="1" s="1"/>
  <c r="M76" i="1"/>
  <c r="L76" i="1"/>
  <c r="I76" i="1" s="1"/>
  <c r="J76" i="1" s="1"/>
  <c r="X75" i="1"/>
  <c r="W75" i="1"/>
  <c r="P75" i="1"/>
  <c r="S75" i="1" s="1"/>
  <c r="M75" i="1"/>
  <c r="L75" i="1"/>
  <c r="I75" i="1" s="1"/>
  <c r="J75" i="1" s="1"/>
  <c r="X74" i="1"/>
  <c r="W74" i="1"/>
  <c r="P74" i="1"/>
  <c r="R74" i="1" s="1"/>
  <c r="M74" i="1"/>
  <c r="L74" i="1"/>
  <c r="I74" i="1"/>
  <c r="J74" i="1" s="1"/>
  <c r="W73" i="1"/>
  <c r="R73" i="1"/>
  <c r="P73" i="1"/>
  <c r="S73" i="1" s="1"/>
  <c r="M73" i="1"/>
  <c r="L73" i="1"/>
  <c r="I73" i="1" s="1"/>
  <c r="J73" i="1"/>
  <c r="X71" i="1"/>
  <c r="P71" i="1"/>
  <c r="R71" i="1" s="1"/>
  <c r="S71" i="1" s="1"/>
  <c r="M71" i="1"/>
  <c r="L71" i="1"/>
  <c r="X70" i="1"/>
  <c r="R70" i="1"/>
  <c r="S70" i="1" s="1"/>
  <c r="P70" i="1"/>
  <c r="L70" i="1" s="1"/>
  <c r="I70" i="1" s="1"/>
  <c r="M70" i="1"/>
  <c r="W69" i="1"/>
  <c r="X69" i="1"/>
  <c r="P69" i="1"/>
  <c r="L69" i="1" s="1"/>
  <c r="I69" i="1" s="1"/>
  <c r="M69" i="1"/>
  <c r="X68" i="1"/>
  <c r="R68" i="1"/>
  <c r="S68" i="1" s="1"/>
  <c r="P68" i="1"/>
  <c r="L68" i="1" s="1"/>
  <c r="I68" i="1" s="1"/>
  <c r="M68" i="1"/>
  <c r="X67" i="1"/>
  <c r="W67" i="1"/>
  <c r="S67" i="1"/>
  <c r="R67" i="1"/>
  <c r="P67" i="1"/>
  <c r="M67" i="1"/>
  <c r="L67" i="1"/>
  <c r="I67" i="1" s="1"/>
  <c r="P66" i="1"/>
  <c r="R66" i="1" s="1"/>
  <c r="S66" i="1" s="1"/>
  <c r="M66" i="1"/>
  <c r="L66" i="1"/>
  <c r="I66" i="1" s="1"/>
  <c r="W65" i="1"/>
  <c r="P65" i="1"/>
  <c r="R65" i="1" s="1"/>
  <c r="S65" i="1" s="1"/>
  <c r="M65" i="1"/>
  <c r="L65" i="1"/>
  <c r="I65" i="1" s="1"/>
  <c r="J65" i="1" s="1"/>
  <c r="W64" i="1"/>
  <c r="X64" i="1"/>
  <c r="P64" i="1"/>
  <c r="R64" i="1" s="1"/>
  <c r="S64" i="1" s="1"/>
  <c r="M64" i="1"/>
  <c r="L64" i="1"/>
  <c r="I64" i="1" s="1"/>
  <c r="J64" i="1" s="1"/>
  <c r="X63" i="1"/>
  <c r="W63" i="1"/>
  <c r="P63" i="1"/>
  <c r="R63" i="1" s="1"/>
  <c r="S63" i="1" s="1"/>
  <c r="M63" i="1"/>
  <c r="L63" i="1"/>
  <c r="I63" i="1" s="1"/>
  <c r="J63" i="1" s="1"/>
  <c r="W62" i="1"/>
  <c r="P62" i="1"/>
  <c r="R62" i="1" s="1"/>
  <c r="S62" i="1" s="1"/>
  <c r="M62" i="1"/>
  <c r="L62" i="1"/>
  <c r="W61" i="1"/>
  <c r="X61" i="1"/>
  <c r="R61" i="1"/>
  <c r="S61" i="1" s="1"/>
  <c r="P61" i="1"/>
  <c r="M61" i="1"/>
  <c r="L61" i="1"/>
  <c r="I61" i="1"/>
  <c r="J61" i="1" s="1"/>
  <c r="X60" i="1"/>
  <c r="P60" i="1"/>
  <c r="R60" i="1" s="1"/>
  <c r="S60" i="1" s="1"/>
  <c r="M60" i="1"/>
  <c r="L60" i="1"/>
  <c r="I60" i="1" s="1"/>
  <c r="J60" i="1" s="1"/>
  <c r="X59" i="1"/>
  <c r="S59" i="1"/>
  <c r="P59" i="1"/>
  <c r="R59" i="1" s="1"/>
  <c r="M59" i="1"/>
  <c r="L59" i="1"/>
  <c r="I59" i="1" s="1"/>
  <c r="J59" i="1" s="1"/>
  <c r="X58" i="1"/>
  <c r="P58" i="1"/>
  <c r="R58" i="1" s="1"/>
  <c r="S58" i="1" s="1"/>
  <c r="M58" i="1"/>
  <c r="L58" i="1"/>
  <c r="I58" i="1" s="1"/>
  <c r="K58" i="1" s="1"/>
  <c r="X57" i="1"/>
  <c r="P57" i="1"/>
  <c r="R57" i="1" s="1"/>
  <c r="S57" i="1" s="1"/>
  <c r="M57" i="1"/>
  <c r="L57" i="1"/>
  <c r="I57" i="1"/>
  <c r="J57" i="1" s="1"/>
  <c r="W56" i="1"/>
  <c r="X56" i="1"/>
  <c r="R56" i="1"/>
  <c r="S56" i="1" s="1"/>
  <c r="P56" i="1"/>
  <c r="M56" i="1"/>
  <c r="L56" i="1"/>
  <c r="I56" i="1" s="1"/>
  <c r="J56" i="1" s="1"/>
  <c r="X55" i="1"/>
  <c r="P55" i="1"/>
  <c r="R55" i="1" s="1"/>
  <c r="S55" i="1" s="1"/>
  <c r="M55" i="1"/>
  <c r="L55" i="1"/>
  <c r="I55" i="1" s="1"/>
  <c r="J55" i="1" s="1"/>
  <c r="X54" i="1"/>
  <c r="W54" i="1"/>
  <c r="S54" i="1"/>
  <c r="P54" i="1"/>
  <c r="R54" i="1" s="1"/>
  <c r="M54" i="1"/>
  <c r="L54" i="1"/>
  <c r="I54" i="1" s="1"/>
  <c r="J54" i="1" s="1"/>
  <c r="X51" i="1"/>
  <c r="P51" i="1"/>
  <c r="R51" i="1" s="1"/>
  <c r="S51" i="1" s="1"/>
  <c r="M51" i="1"/>
  <c r="L51" i="1"/>
  <c r="I51" i="1" s="1"/>
  <c r="F51" i="1"/>
  <c r="R50" i="1"/>
  <c r="S50" i="1" s="1"/>
  <c r="P50" i="1"/>
  <c r="M50" i="1"/>
  <c r="L50" i="1"/>
  <c r="I50" i="1" s="1"/>
  <c r="F50" i="1"/>
  <c r="X48" i="1"/>
  <c r="P48" i="1"/>
  <c r="R48" i="1" s="1"/>
  <c r="S48" i="1" s="1"/>
  <c r="M48" i="1"/>
  <c r="L48" i="1"/>
  <c r="I48" i="1"/>
  <c r="X47" i="1"/>
  <c r="W47" i="1"/>
  <c r="P47" i="1"/>
  <c r="R47" i="1" s="1"/>
  <c r="S47" i="1" s="1"/>
  <c r="M47" i="1"/>
  <c r="L47" i="1"/>
  <c r="I47" i="1" s="1"/>
  <c r="W46" i="1"/>
  <c r="P46" i="1"/>
  <c r="R46" i="1" s="1"/>
  <c r="S46" i="1" s="1"/>
  <c r="M46" i="1"/>
  <c r="L46" i="1"/>
  <c r="I46" i="1"/>
  <c r="W45" i="1"/>
  <c r="P45" i="1"/>
  <c r="R45" i="1" s="1"/>
  <c r="S45" i="1" s="1"/>
  <c r="M45" i="1"/>
  <c r="L45" i="1"/>
  <c r="I45" i="1" s="1"/>
  <c r="W44" i="1"/>
  <c r="P44" i="1"/>
  <c r="R44" i="1" s="1"/>
  <c r="S44" i="1" s="1"/>
  <c r="M44" i="1"/>
  <c r="L44" i="1"/>
  <c r="I44" i="1" s="1"/>
  <c r="W43" i="1"/>
  <c r="P43" i="1"/>
  <c r="R43" i="1" s="1"/>
  <c r="S43" i="1" s="1"/>
  <c r="M43" i="1"/>
  <c r="L43" i="1"/>
  <c r="I43" i="1"/>
  <c r="W42" i="1"/>
  <c r="P42" i="1"/>
  <c r="R42" i="1" s="1"/>
  <c r="S42" i="1" s="1"/>
  <c r="M42" i="1"/>
  <c r="L42" i="1"/>
  <c r="I42" i="1" s="1"/>
  <c r="W41" i="1"/>
  <c r="P41" i="1"/>
  <c r="R41" i="1" s="1"/>
  <c r="S41" i="1" s="1"/>
  <c r="M41" i="1"/>
  <c r="L41" i="1"/>
  <c r="I41" i="1" s="1"/>
  <c r="X40" i="1"/>
  <c r="W40" i="1"/>
  <c r="P40" i="1"/>
  <c r="R40" i="1" s="1"/>
  <c r="S40" i="1" s="1"/>
  <c r="M40" i="1"/>
  <c r="L40" i="1"/>
  <c r="I40" i="1" s="1"/>
  <c r="X39" i="1"/>
  <c r="W39" i="1"/>
  <c r="P39" i="1"/>
  <c r="R39" i="1" s="1"/>
  <c r="S39" i="1" s="1"/>
  <c r="M39" i="1"/>
  <c r="L39" i="1"/>
  <c r="I39" i="1" s="1"/>
  <c r="J39" i="1" s="1"/>
  <c r="X38" i="1"/>
  <c r="R38" i="1"/>
  <c r="S38" i="1" s="1"/>
  <c r="P38" i="1"/>
  <c r="M38" i="1"/>
  <c r="L38" i="1"/>
  <c r="I38" i="1"/>
  <c r="J38" i="1" s="1"/>
  <c r="X37" i="1"/>
  <c r="P37" i="1"/>
  <c r="R37" i="1" s="1"/>
  <c r="S37" i="1" s="1"/>
  <c r="M37" i="1"/>
  <c r="L37" i="1"/>
  <c r="I37" i="1" s="1"/>
  <c r="J37" i="1" s="1"/>
  <c r="R36" i="1"/>
  <c r="S36" i="1" s="1"/>
  <c r="P36" i="1"/>
  <c r="L36" i="1"/>
  <c r="I36" i="1"/>
  <c r="J36" i="1" s="1"/>
  <c r="F36" i="1"/>
  <c r="M36" i="1" s="1"/>
  <c r="W35" i="1"/>
  <c r="P35" i="1"/>
  <c r="R35" i="1" s="1"/>
  <c r="S35" i="1" s="1"/>
  <c r="M35" i="1"/>
  <c r="L35" i="1"/>
  <c r="I35" i="1" s="1"/>
  <c r="J35" i="1" s="1"/>
  <c r="X34" i="1"/>
  <c r="R34" i="1"/>
  <c r="S34" i="1" s="1"/>
  <c r="P34" i="1"/>
  <c r="M34" i="1"/>
  <c r="L34" i="1"/>
  <c r="I34" i="1"/>
  <c r="J34" i="1" s="1"/>
  <c r="X33" i="1"/>
  <c r="W33" i="1"/>
  <c r="P33" i="1"/>
  <c r="R33" i="1" s="1"/>
  <c r="S33" i="1" s="1"/>
  <c r="M33" i="1"/>
  <c r="L33" i="1"/>
  <c r="I33" i="1"/>
  <c r="J33" i="1" s="1"/>
  <c r="X32" i="1"/>
  <c r="R32" i="1"/>
  <c r="S32" i="1" s="1"/>
  <c r="P32" i="1"/>
  <c r="M32" i="1"/>
  <c r="L32" i="1"/>
  <c r="I32" i="1" s="1"/>
  <c r="K32" i="1" s="1"/>
  <c r="W31" i="1"/>
  <c r="P31" i="1"/>
  <c r="R31" i="1" s="1"/>
  <c r="S31" i="1" s="1"/>
  <c r="M31" i="1"/>
  <c r="L31" i="1"/>
  <c r="I31" i="1"/>
  <c r="J31" i="1" s="1"/>
  <c r="W30" i="1"/>
  <c r="X30" i="1"/>
  <c r="P30" i="1"/>
  <c r="R30" i="1" s="1"/>
  <c r="S30" i="1" s="1"/>
  <c r="M30" i="1"/>
  <c r="L30" i="1"/>
  <c r="I30" i="1" s="1"/>
  <c r="J30" i="1" s="1"/>
  <c r="W29" i="1"/>
  <c r="P29" i="1"/>
  <c r="R29" i="1" s="1"/>
  <c r="S29" i="1" s="1"/>
  <c r="L29" i="1"/>
  <c r="I29" i="1" s="1"/>
  <c r="J29" i="1" s="1"/>
  <c r="X28" i="1"/>
  <c r="R28" i="1"/>
  <c r="S28" i="1" s="1"/>
  <c r="P28" i="1"/>
  <c r="M28" i="1"/>
  <c r="L28" i="1"/>
  <c r="I28" i="1" s="1"/>
  <c r="J28" i="1" s="1"/>
  <c r="S27" i="1"/>
  <c r="P27" i="1"/>
  <c r="R27" i="1" s="1"/>
  <c r="M27" i="1"/>
  <c r="L27" i="1"/>
  <c r="I27" i="1" s="1"/>
  <c r="J27" i="1"/>
  <c r="X26" i="1"/>
  <c r="P26" i="1"/>
  <c r="R26" i="1" s="1"/>
  <c r="S26" i="1" s="1"/>
  <c r="M26" i="1"/>
  <c r="L26" i="1"/>
  <c r="I26" i="1" s="1"/>
  <c r="J26" i="1" s="1"/>
  <c r="X25" i="1"/>
  <c r="W25" i="1"/>
  <c r="R25" i="1"/>
  <c r="S25" i="1" s="1"/>
  <c r="P25" i="1"/>
  <c r="M25" i="1"/>
  <c r="L25" i="1"/>
  <c r="I25" i="1"/>
  <c r="J25" i="1" s="1"/>
  <c r="X24" i="1"/>
  <c r="P24" i="1"/>
  <c r="R24" i="1" s="1"/>
  <c r="S24" i="1" s="1"/>
  <c r="M24" i="1"/>
  <c r="L24" i="1"/>
  <c r="I24" i="1" s="1"/>
  <c r="J24" i="1" s="1"/>
  <c r="X23" i="1"/>
  <c r="W23" i="1"/>
  <c r="P23" i="1"/>
  <c r="R23" i="1" s="1"/>
  <c r="S23" i="1" s="1"/>
  <c r="M23" i="1"/>
  <c r="L23" i="1"/>
  <c r="I23" i="1"/>
  <c r="J23" i="1" s="1"/>
  <c r="X22" i="1"/>
  <c r="P22" i="1"/>
  <c r="R22" i="1" s="1"/>
  <c r="S22" i="1" s="1"/>
  <c r="M22" i="1"/>
  <c r="L22" i="1"/>
  <c r="I22" i="1" s="1"/>
  <c r="J22" i="1" s="1"/>
  <c r="W21" i="1"/>
  <c r="P21" i="1"/>
  <c r="R21" i="1" s="1"/>
  <c r="S21" i="1" s="1"/>
  <c r="M21" i="1"/>
  <c r="L21" i="1"/>
  <c r="I21" i="1" s="1"/>
  <c r="J21" i="1" s="1"/>
  <c r="X20" i="1"/>
  <c r="W20" i="1"/>
  <c r="P20" i="1"/>
  <c r="R20" i="1" s="1"/>
  <c r="S20" i="1" s="1"/>
  <c r="M20" i="1"/>
  <c r="L20" i="1"/>
  <c r="I20" i="1" s="1"/>
  <c r="J20" i="1" s="1"/>
  <c r="X19" i="1"/>
  <c r="W19" i="1"/>
  <c r="P19" i="1"/>
  <c r="R19" i="1" s="1"/>
  <c r="S19" i="1" s="1"/>
  <c r="M19" i="1"/>
  <c r="L19" i="1"/>
  <c r="I19" i="1"/>
  <c r="J19" i="1" s="1"/>
  <c r="W18" i="1"/>
  <c r="P18" i="1"/>
  <c r="R18" i="1" s="1"/>
  <c r="S18" i="1" s="1"/>
  <c r="M18" i="1"/>
  <c r="L18" i="1"/>
  <c r="I18" i="1" s="1"/>
  <c r="J18" i="1" s="1"/>
  <c r="X17" i="1"/>
  <c r="W17" i="1"/>
  <c r="P17" i="1"/>
  <c r="R17" i="1" s="1"/>
  <c r="S17" i="1" s="1"/>
  <c r="M17" i="1"/>
  <c r="L17" i="1"/>
  <c r="I17" i="1" s="1"/>
  <c r="J17" i="1" s="1"/>
  <c r="X16" i="1"/>
  <c r="W16" i="1"/>
  <c r="P16" i="1"/>
  <c r="R16" i="1" s="1"/>
  <c r="S16" i="1" s="1"/>
  <c r="M16" i="1"/>
  <c r="L16" i="1"/>
  <c r="I16" i="1"/>
  <c r="J16" i="1" s="1"/>
  <c r="R15" i="1"/>
  <c r="S15" i="1" s="1"/>
  <c r="P15" i="1"/>
  <c r="M15" i="1"/>
  <c r="L15" i="1"/>
  <c r="I15" i="1" s="1"/>
  <c r="J15" i="1" s="1"/>
  <c r="X14" i="1"/>
  <c r="P14" i="1"/>
  <c r="R14" i="1" s="1"/>
  <c r="S14" i="1" s="1"/>
  <c r="M14" i="1"/>
  <c r="L14" i="1"/>
  <c r="I14" i="1" s="1"/>
  <c r="J14" i="1" s="1"/>
  <c r="X13" i="1"/>
  <c r="W13" i="1"/>
  <c r="R13" i="1"/>
  <c r="S13" i="1" s="1"/>
  <c r="P13" i="1"/>
  <c r="M13" i="1"/>
  <c r="L13" i="1"/>
  <c r="I13" i="1" s="1"/>
  <c r="K13" i="1" s="1"/>
  <c r="X12" i="1"/>
  <c r="W12" i="1"/>
  <c r="P12" i="1"/>
  <c r="R12" i="1" s="1"/>
  <c r="S12" i="1" s="1"/>
  <c r="L12" i="1"/>
  <c r="I12" i="1" s="1"/>
  <c r="J12" i="1" s="1"/>
  <c r="X11" i="1"/>
  <c r="P11" i="1"/>
  <c r="R11" i="1" s="1"/>
  <c r="S11" i="1" s="1"/>
  <c r="L11" i="1"/>
  <c r="I11" i="1" s="1"/>
  <c r="J11" i="1" s="1"/>
  <c r="L7" i="1"/>
  <c r="M7" i="1" s="1"/>
  <c r="I7" i="1"/>
  <c r="J7" i="1" s="1"/>
  <c r="M5" i="1"/>
  <c r="M6" i="1" s="1"/>
  <c r="B3" i="1"/>
  <c r="K153" i="1" l="1"/>
  <c r="J153" i="1"/>
  <c r="K115" i="1"/>
  <c r="J115" i="1"/>
  <c r="J83" i="1"/>
  <c r="K83" i="1"/>
  <c r="K118" i="1"/>
  <c r="J118" i="1"/>
  <c r="R83" i="1"/>
  <c r="J141" i="1"/>
  <c r="R93" i="1"/>
  <c r="J127" i="1"/>
  <c r="R145" i="1"/>
  <c r="S145" i="1" s="1"/>
  <c r="R82" i="1"/>
  <c r="K138" i="1"/>
  <c r="S77" i="1"/>
  <c r="R89" i="1"/>
  <c r="R91" i="1"/>
  <c r="J114" i="1"/>
  <c r="K152" i="1"/>
  <c r="R69" i="1"/>
  <c r="S69" i="1" s="1"/>
  <c r="S74" i="1"/>
  <c r="R78" i="1"/>
  <c r="S81" i="1"/>
  <c r="S92" i="1"/>
  <c r="K128" i="1"/>
  <c r="J139" i="1"/>
  <c r="W32" i="1"/>
  <c r="W55" i="1"/>
  <c r="J80" i="1"/>
  <c r="K80" i="1"/>
  <c r="X36" i="1"/>
  <c r="W36" i="1"/>
  <c r="W11" i="1"/>
  <c r="W48" i="1"/>
  <c r="W24" i="1"/>
  <c r="J13" i="1"/>
  <c r="X18" i="1"/>
  <c r="X21" i="1"/>
  <c r="X41" i="1"/>
  <c r="X44" i="1"/>
  <c r="W34" i="1"/>
  <c r="X42" i="1"/>
  <c r="X45" i="1"/>
  <c r="X66" i="1"/>
  <c r="W66" i="1"/>
  <c r="K57" i="1"/>
  <c r="X15" i="1"/>
  <c r="W15" i="1"/>
  <c r="W26" i="1"/>
  <c r="X31" i="1"/>
  <c r="W22" i="1"/>
  <c r="X35" i="1"/>
  <c r="J32" i="1"/>
  <c r="X43" i="1"/>
  <c r="X46" i="1"/>
  <c r="W14" i="1"/>
  <c r="W27" i="1"/>
  <c r="X27" i="1"/>
  <c r="X50" i="1"/>
  <c r="W50" i="1"/>
  <c r="K56" i="1"/>
  <c r="J58" i="1"/>
  <c r="X62" i="1"/>
  <c r="X65" i="1"/>
  <c r="S79" i="1"/>
  <c r="X80" i="1"/>
  <c r="X110" i="1"/>
  <c r="W110" i="1"/>
  <c r="K146" i="1"/>
  <c r="J146" i="1"/>
  <c r="K149" i="1"/>
  <c r="J149" i="1"/>
  <c r="W60" i="1"/>
  <c r="S86" i="1"/>
  <c r="R86" i="1"/>
  <c r="S90" i="1"/>
  <c r="K103" i="1"/>
  <c r="W59" i="1"/>
  <c r="X79" i="1"/>
  <c r="K142" i="1"/>
  <c r="J142" i="1"/>
  <c r="K104" i="1"/>
  <c r="J104" i="1"/>
  <c r="X106" i="1"/>
  <c r="W106" i="1"/>
  <c r="K156" i="1"/>
  <c r="J156" i="1"/>
  <c r="W58" i="1"/>
  <c r="W68" i="1"/>
  <c r="W78" i="1"/>
  <c r="K117" i="1"/>
  <c r="J117" i="1"/>
  <c r="K129" i="1"/>
  <c r="J129" i="1"/>
  <c r="K132" i="1"/>
  <c r="J132" i="1"/>
  <c r="K135" i="1"/>
  <c r="J135" i="1"/>
  <c r="W37" i="1"/>
  <c r="W51" i="1"/>
  <c r="W57" i="1"/>
  <c r="M108" i="1"/>
  <c r="K145" i="1"/>
  <c r="J145" i="1"/>
  <c r="W28" i="1"/>
  <c r="W38" i="1"/>
  <c r="X73" i="1"/>
  <c r="R76" i="1"/>
  <c r="W77" i="1"/>
  <c r="X91" i="1"/>
  <c r="W91" i="1"/>
  <c r="K113" i="1"/>
  <c r="J113" i="1"/>
  <c r="K125" i="1"/>
  <c r="J125" i="1"/>
  <c r="K148" i="1"/>
  <c r="J148" i="1"/>
  <c r="K151" i="1"/>
  <c r="J151" i="1"/>
  <c r="K140" i="1"/>
  <c r="J140" i="1"/>
  <c r="X132" i="1"/>
  <c r="W132" i="1"/>
  <c r="K157" i="1"/>
  <c r="J157" i="1"/>
  <c r="X76" i="1"/>
  <c r="R80" i="1"/>
  <c r="W87" i="1"/>
  <c r="K110" i="1"/>
  <c r="J110" i="1"/>
  <c r="K131" i="1"/>
  <c r="J131" i="1"/>
  <c r="W70" i="1"/>
  <c r="R75" i="1"/>
  <c r="X89" i="1"/>
  <c r="K134" i="1"/>
  <c r="J134" i="1"/>
  <c r="K137" i="1"/>
  <c r="J137" i="1"/>
  <c r="K144" i="1"/>
  <c r="J144" i="1"/>
  <c r="K106" i="1"/>
  <c r="J106" i="1"/>
  <c r="K112" i="1"/>
  <c r="J112" i="1"/>
  <c r="J154" i="1"/>
  <c r="J105" i="1"/>
  <c r="W111" i="1"/>
  <c r="W119" i="1"/>
  <c r="W124" i="1"/>
  <c r="W120" i="1"/>
  <c r="W137" i="1"/>
  <c r="W103" i="1"/>
  <c r="J111" i="1"/>
  <c r="W114" i="1"/>
  <c r="J119" i="1"/>
  <c r="J124" i="1"/>
  <c r="W128" i="1"/>
  <c r="W157" i="1"/>
</calcChain>
</file>

<file path=xl/sharedStrings.xml><?xml version="1.0" encoding="utf-8"?>
<sst xmlns="http://schemas.openxmlformats.org/spreadsheetml/2006/main" count="455" uniqueCount="194">
  <si>
    <t>Arquitectura de precios</t>
  </si>
  <si>
    <t>Fecha</t>
  </si>
  <si>
    <t>RELACIONADA A DX LITORAL</t>
  </si>
  <si>
    <t>Código Cliente</t>
  </si>
  <si>
    <t>Cadena</t>
  </si>
  <si>
    <t>N° Lista</t>
  </si>
  <si>
    <t>Canal</t>
  </si>
  <si>
    <t>Super Regionales</t>
  </si>
  <si>
    <t>Clase</t>
  </si>
  <si>
    <t>Familia</t>
  </si>
  <si>
    <t>Código</t>
  </si>
  <si>
    <t>Descripción</t>
  </si>
  <si>
    <t>EAN</t>
  </si>
  <si>
    <t>Kg. x Caja</t>
  </si>
  <si>
    <t>Cant. X Caja</t>
  </si>
  <si>
    <t>Precio Publico regular  c/IVA</t>
  </si>
  <si>
    <t>Precio Publico Mínimo c/IVA</t>
  </si>
  <si>
    <t>x estuche</t>
  </si>
  <si>
    <t>x kg</t>
  </si>
  <si>
    <t>Precio de Lista</t>
  </si>
  <si>
    <t>Acuerdo  + Escala</t>
  </si>
  <si>
    <t>$ Factura</t>
  </si>
  <si>
    <t>Bonificación en factura</t>
  </si>
  <si>
    <t>Precio de estuche en factura</t>
  </si>
  <si>
    <t>Control precio DUX</t>
  </si>
  <si>
    <t>Variación Vs $fact</t>
  </si>
  <si>
    <t>NNNnet</t>
  </si>
  <si>
    <t xml:space="preserve">HAMBURGUESAS - ARG                                </t>
  </si>
  <si>
    <t xml:space="preserve">HG1 - SWIFT - ARG                                 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</si>
  <si>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</si>
  <si>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</si>
  <si>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</si>
  <si>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</si>
  <si>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</si>
  <si>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</si>
  <si>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MEDALLONES 30x160g SWIFT RECETA ESPECIAL</t>
  </si>
  <si>
    <t>Hamburguesa Swift Kids 12x4x69g</t>
  </si>
  <si>
    <t>MEDALLON BURGER SWIFT MEGA 30 x 160 g</t>
  </si>
  <si>
    <t>Medallón CAJITA 12x4 69 grs</t>
  </si>
  <si>
    <t>HAMBURGUESA 8X12X69G BURGER SWIFT</t>
  </si>
  <si>
    <t>MEDALLON 42X112G DOBLE BURGER SWIFT</t>
  </si>
  <si>
    <t xml:space="preserve">MEDALLÓN DOBLE BURGER PACK PROMO 4X3 </t>
  </si>
  <si>
    <t>MEDALLON DOBLE BURGER 2X2</t>
  </si>
  <si>
    <t xml:space="preserve">HAMBURGUESA 30X250g CLASICA "XL" SWIFT </t>
  </si>
  <si>
    <t>HAMBURGUESA  CLASICA SWIFT 125g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</si>
  <si>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</si>
  <si>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>HAMBURGUESA X-TREMA 36 x 185 grs</t>
  </si>
  <si>
    <t>HAMBURGUESA 30X2X 106grs</t>
  </si>
  <si>
    <t xml:space="preserve">HG4 - EXPORTACION - ARG                           </t>
  </si>
  <si>
    <t xml:space="preserve">HAMBURGUESAS 18X2X120g CLL BRA/ARG </t>
  </si>
  <si>
    <t xml:space="preserve">HG5 - B-BRAND - ARG                               </t>
  </si>
  <si>
    <t>MEDALLON 42X112G LA BLANCA</t>
  </si>
  <si>
    <t>MEDALLON 12x4X69G LA BLANCA</t>
  </si>
  <si>
    <t xml:space="preserve">HG2 - MERCADO CALIENTE - ARG                      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</si>
  <si>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</si>
  <si>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</si>
  <si>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</si>
  <si>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</si>
  <si>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40X109G CARNE VACUNA PARRILLERO SWIFT</t>
  </si>
  <si>
    <t>MEDALLON 60X109G CARNE VACUNA PARRILLERO SWIFT</t>
  </si>
  <si>
    <t xml:space="preserve">MEDALLON GIGANTE 48x113.5g </t>
  </si>
  <si>
    <t xml:space="preserve">MEDALLON 60x80g PROMOFIESTA  </t>
  </si>
  <si>
    <t xml:space="preserve">HG3 - MARCA PROPIA - ARG                          </t>
  </si>
  <si>
    <t>Hamburguesa Dia 18 X 4</t>
  </si>
  <si>
    <t>Hamburguesa Dia 12 X 12</t>
  </si>
  <si>
    <t>Hamburguesa Dia 6 X 20</t>
  </si>
  <si>
    <t>HAMBURGUESA 18X4X80g "LA ANONIMA"</t>
  </si>
  <si>
    <t>HAMBURGUESA 8X12X80g "LA ANONIMA"</t>
  </si>
  <si>
    <t>HAMBURGUESA 6X20X80g "LA ANONIMA"</t>
  </si>
  <si>
    <t>HAMBURGUESA 36 X 185 GRS</t>
  </si>
  <si>
    <t xml:space="preserve">Hamburguesa 30 x 80gramos. </t>
  </si>
  <si>
    <t>HAMBURGUESA 276 x 55 g GRANEL SWIFT</t>
  </si>
  <si>
    <t xml:space="preserve">MEDALLON 30x80g PROMOFIESTA  </t>
  </si>
  <si>
    <t>MEDALLON 30x80g REC</t>
  </si>
  <si>
    <t>HAMBURGUESA CLÁSICA 78 - 84 x 55gs</t>
  </si>
  <si>
    <t/>
  </si>
  <si>
    <t xml:space="preserve">SALCHICHAS - ARG                                  </t>
  </si>
  <si>
    <t xml:space="preserve">SA1 - SWIFT - ARG                                 </t>
  </si>
  <si>
    <t>SALCHICHAS 24X6 SWIFT</t>
  </si>
  <si>
    <t>SALCHICHAS 12X12 SWIFT</t>
  </si>
  <si>
    <t>SALCHICHAS 6X24 SWIFT</t>
  </si>
  <si>
    <t>SALCHICHAS SIN PIEL 24X6 "SWIFT KIDS" X 190 g</t>
  </si>
  <si>
    <t xml:space="preserve">SA2 - MERCADO CALIENTE - ARG                      </t>
  </si>
  <si>
    <t>SALCHICHAS  LARGAS  10 x 12  SWIFT  INSTITUCIONAL</t>
  </si>
  <si>
    <t>SALCHICHAS LARGAS 10 x 12 x 870g</t>
  </si>
  <si>
    <t>SALCHICHAS GASTRONÓMICAS  SWIFT  10X12X720 Grs</t>
  </si>
  <si>
    <t xml:space="preserve">SALCHICHAS CONGELADAS SWIFT 12x12x870g </t>
  </si>
  <si>
    <t xml:space="preserve">SA3 - LA BLANCA - ARG                             </t>
  </si>
  <si>
    <t>SALCHICHAS SIN PIEL "LA BLANCA"  24X6X190 Grs;</t>
  </si>
  <si>
    <t xml:space="preserve">SA4 - MARCA PROPIA - ARG                          </t>
  </si>
  <si>
    <t>SALCHICHAS 24X6 LA ANONIMA</t>
  </si>
  <si>
    <t>SALCHICHAS 12x12 LA ANONIMA</t>
  </si>
  <si>
    <t>SALCHICHAS 6x24 LA ANONIMA</t>
  </si>
  <si>
    <t>Salchichas Dia 20x6</t>
  </si>
  <si>
    <t>SALCHICHAS 12X12 DIA</t>
  </si>
  <si>
    <t>SALCHICHAS 6X24 DIA</t>
  </si>
  <si>
    <t xml:space="preserve">UNTABLES - ARG                                    </t>
  </si>
  <si>
    <t xml:space="preserve">CC1 - PATE Y PICADILLO SWIFT - ARG                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</si>
  <si>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</si>
  <si>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</si>
  <si>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</si>
  <si>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</si>
  <si>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</si>
  <si>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 xml:space="preserve">CC7 - VARIEDADES - ARG                            </t>
  </si>
  <si>
    <t>PATE DE FOIE A LA CREMA 24X88G SWIFT</t>
  </si>
  <si>
    <t>JAMON DEL DIABLO 24X88G SWIFT</t>
  </si>
  <si>
    <t>PATE DE FOIE DE POLLO 24X85G SWIFT</t>
  </si>
  <si>
    <t xml:space="preserve">CC8 - ESPECIALES - ARG                            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</si>
  <si>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</si>
  <si>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</si>
  <si>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</si>
  <si>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</si>
  <si>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</si>
  <si>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 xml:space="preserve">CC3 - LA BLANCA - ARG                             </t>
  </si>
  <si>
    <t>PICADILLO DE CARNE 24X90G LA BLANCA</t>
  </si>
  <si>
    <t>PATE DE FOIE 24X90G LA BLANCA</t>
  </si>
  <si>
    <t xml:space="preserve">CC4 - SAFRA - ARG                                 </t>
  </si>
  <si>
    <t>PICADILLO DE CARNE 24X90G SAFRA</t>
  </si>
  <si>
    <t>PATE DE FOIE 24X90G SAFRA</t>
  </si>
  <si>
    <t>PICADILLO DE CARNE 24X90G SAFRA LICITACION</t>
  </si>
  <si>
    <t xml:space="preserve">CC5 - MARCA PROPIA - ARG                          </t>
  </si>
  <si>
    <t>PATE DE FOIE 24X90G "PRIMER PRECIO"</t>
  </si>
  <si>
    <t>PICADILLO DE CARNE 24X90G "PRIMER PRECIO"</t>
  </si>
  <si>
    <t xml:space="preserve">PICADILLO DE CARNE DIA 24X90G </t>
  </si>
  <si>
    <t xml:space="preserve">PATE  DIA 24X90G </t>
  </si>
  <si>
    <t>PICADILLO DE CARNE 24X90G S&amp;P</t>
  </si>
  <si>
    <t>PATE DE FOIE 24X90G S&amp;P</t>
  </si>
  <si>
    <t>Picadillo San Remo</t>
  </si>
  <si>
    <t>Paté San Remo</t>
  </si>
  <si>
    <t>PICADILLO DE CARNE 24x90 BULNEZ</t>
  </si>
  <si>
    <t>PATE DE FOIE 24x90 BULNEZ</t>
  </si>
  <si>
    <t xml:space="preserve">REBOZADOS DE VEGETALES - ARG                      </t>
  </si>
  <si>
    <t xml:space="preserve">MILANESAS DE SOJA - ARG                           </t>
  </si>
  <si>
    <t>MILANESAS DE  SOJA CON ORÉGANO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</si>
  <si>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</si>
  <si>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</si>
  <si>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</si>
  <si>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</si>
  <si>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 xml:space="preserve">REBOZADOS DE CARNE - ARG                          </t>
  </si>
  <si>
    <t xml:space="preserve">NUGGETS DE CARNE - ARG                            </t>
  </si>
  <si>
    <t>BOCADITOS DE CARNE "SWIFT" - 12x380g</t>
  </si>
  <si>
    <t xml:space="preserve">NUGGETS DE POLLO - ARG                            </t>
  </si>
  <si>
    <t>BOCADITOS DE POLLO "SWIFT" - 12x380g</t>
  </si>
  <si>
    <t>BOCADITOS DE CARNE "SWIFT" - 10x760g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</si>
  <si>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</si>
  <si>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</si>
  <si>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</si>
  <si>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</si>
  <si>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</si>
  <si>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</si>
  <si>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</si>
  <si>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</si>
  <si>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</si>
  <si>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</si>
  <si>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 xml:space="preserve">FIAMBRE - ARG                                     </t>
  </si>
  <si>
    <t xml:space="preserve">FI3 - TERCEROS NACIONALES - ARG                   </t>
  </si>
  <si>
    <t>MORTADELA SWIFT 10 x 300g</t>
  </si>
  <si>
    <t xml:space="preserve">PAPAS - ARG                                       </t>
  </si>
  <si>
    <t xml:space="preserve">OUTRAS BATATAS                                    </t>
  </si>
  <si>
    <t>PAPAS PREFRITAS SUPERCONGELADAS 25x400gr</t>
  </si>
  <si>
    <t>PAPAS PREFRITAS SUPERCONGELADAS 6x2000gr</t>
  </si>
  <si>
    <t>MILANESAS DE CARNE - ARG</t>
  </si>
  <si>
    <t>MILANESA DE CARNE VACUNA CONGELADA 24un x 500grs</t>
  </si>
  <si>
    <t>MILANESA DE CARNE VACUNA CONGELADA 12un x 1000grs</t>
  </si>
  <si>
    <t>MILANESAS DE CARNE VACUNA CONG GRANEL 5 kg (CAL GR)</t>
  </si>
  <si>
    <t>GRASA VACUNA REFINADA SWIFT 10 X 500</t>
  </si>
  <si>
    <t>GRASA VACUNA REFINADA SWIFT 12x1Kg</t>
  </si>
  <si>
    <t xml:space="preserve">CHARQUEO - ARG                          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</si>
  <si>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</si>
  <si>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</si>
  <si>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</si>
  <si>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</si>
  <si>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</si>
  <si>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</si>
  <si>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</si>
  <si>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BONDIOLA DE CERDO CONGELADA</t>
  </si>
  <si>
    <t>CHORIZO FRESCO ARG</t>
  </si>
  <si>
    <t>CHORIZO FRESCO DE CERDO</t>
  </si>
  <si>
    <t>CHORIZOS FRESCOS DE CERDO LIBRE DE GLUTEN</t>
  </si>
  <si>
    <t>CHORIZOS FRESCOS DE CERDO CONGELADOS LIBRE DE GLUTEN 12u x 400g</t>
  </si>
  <si>
    <t>CHORIZOS CONGELADOS DE CERDO LIBRE DE GLUTEN SWIFT GRANEL</t>
  </si>
  <si>
    <t>PAPAS PRE COCIDAS SUPERCONGELADAS LIBRES DE GLUTEN 700G</t>
  </si>
  <si>
    <t>PAPAS PREFRITAS SUPERCONGELADAS LIBRES DE GLUTEN 6x2000gr (BR)</t>
  </si>
  <si>
    <t xml:space="preserve">NUGGETS DE VEGETALES - ARG                            </t>
  </si>
  <si>
    <t>NUGGETS DE ESPINACA 300GR</t>
  </si>
  <si>
    <t>NUGGETS DE BRÓCOLI 300GR</t>
  </si>
  <si>
    <t xml:space="preserve">MEDALLONES DE VEGETALES - ARG                            </t>
  </si>
  <si>
    <t>MEDALLÓN DE CALABAZA Y CHOCLO 300GR</t>
  </si>
  <si>
    <t>MEDALLÓN DE ESPINACA 300GR</t>
  </si>
  <si>
    <t>OUTROS</t>
  </si>
  <si>
    <t>LOMO DE ATUN AL NATURAL</t>
  </si>
  <si>
    <t>LOMO DE ATUN AL NATURAL SWIFT 170g</t>
  </si>
  <si>
    <t>LOMO DE ATUN EN ACEITE</t>
  </si>
  <si>
    <t>LOMO DE ATUN EN ACEITE SWIFT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</si>
</sst>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 * #,##0.00_ ;_ * \-#,##0.00_ ;_ * &quot;-&quot;??_ ;_ @_ "/>
    <numFmt numFmtId="166" formatCode="#,##0.00_ ;[Red]\-#,##0.00\ "/>
    <numFmt numFmtId="167" formatCode="_ &quot;$&quot;\ * #,##0.00_ ;_ &quot;$&quot;\ * \-#,##0.00_ ;_ &quot;$&quot;\ * &quot;-&quot;??_ ;_ @_ "/>
    <numFmt numFmtId="168" formatCode="#,##0_ ;[Red]\-#,##0\ "/>
    <numFmt numFmtId="169" formatCode="#,##0.000_ ;[Red]\-#,##0.000\ "/>
    <numFmt numFmtId="170" formatCode="#,##0.0_ ;[Red]\-#,##0.0\ "/>
  </numFmts>
  <fonts count="20" x14ac:knownFonts="1">
    <font>
      <sz val="10"/>
      <name val="Arial"/>
      <family val="2"/>
    </font>
    <font>
      <sz val="10"/>
      <name val="Arial"/>
      <family val="2"/>
    </font>
    <font>
      <b/>
      <sz val="12"/>
      <color indexed="9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9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8"/>
      <name val="Calibri"/>
      <family val="2"/>
    </font>
    <font>
      <sz val="10"/>
      <color rgb="FF00B05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Arial"/>
      <family val="2"/>
    </font>
    <font>
      <sz val="9"/>
      <name val="Calibri"/>
      <family val="2"/>
    </font>
    <font>
      <b/>
      <sz val="9"/>
      <color rgb="FF00B050"/>
      <name val="Calibri"/>
      <family val="2"/>
      <scheme val="minor"/>
    </font>
    <font>
      <b/>
      <sz val="9"/>
      <color rgb="FFFF0066"/>
      <name val="Calibri"/>
      <family val="2"/>
      <scheme val="minor"/>
    </font>
    <font>
      <b/>
      <sz val="9"/>
      <name val="Calibri"/>
      <family val="2"/>
    </font>
    <font>
      <sz val="9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10">
    <xf numFmtId="0" fontId="0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</cellStyleXfs>
  <cellXfs count="127">
    <xf numFmtId="0" fontId="0" fillId="0" borderId="0" xfId="0"/>
    <xf numFmtId="0" fontId="3" fillId="0" borderId="0" xfId="5" applyFont="1"/>
    <xf numFmtId="9" fontId="1" fillId="0" borderId="0" xfId="3"/>
    <xf numFmtId="0" fontId="4" fillId="0" borderId="0" xfId="5" applyFont="1"/>
    <xf numFmtId="0" fontId="5" fillId="0" borderId="0" xfId="4" applyFont="1" applyAlignment="1">
      <alignment horizontal="left"/>
    </xf>
    <xf numFmtId="0" fontId="5" fillId="0" borderId="0" xfId="4" applyFont="1" applyAlignment="1">
      <alignment horizontal="center"/>
    </xf>
    <xf numFmtId="0" fontId="3" fillId="0" borderId="0" xfId="5" applyFont="1" applyAlignment="1">
      <alignment horizontal="center"/>
    </xf>
    <xf numFmtId="0" fontId="6" fillId="0" borderId="0" xfId="5" applyFont="1"/>
    <xf numFmtId="9" fontId="3" fillId="0" borderId="0" xfId="3" applyFont="1"/>
    <xf numFmtId="164" fontId="3" fillId="0" borderId="0" xfId="5" applyNumberFormat="1" applyFont="1"/>
    <xf numFmtId="0" fontId="7" fillId="2" borderId="1" xfId="4" applyFont="1" applyFill="1" applyBorder="1" applyAlignment="1">
      <alignment horizontal="left" vertical="center"/>
    </xf>
    <xf numFmtId="9" fontId="6" fillId="0" borderId="0" xfId="3" applyFont="1"/>
    <xf numFmtId="166" fontId="3" fillId="0" borderId="0" xfId="5" applyNumberFormat="1" applyFont="1"/>
    <xf numFmtId="0" fontId="5" fillId="0" borderId="2" xfId="5" applyFont="1" applyBorder="1" applyAlignment="1">
      <alignment horizontal="left"/>
    </xf>
    <xf numFmtId="0" fontId="5" fillId="0" borderId="3" xfId="4" applyFont="1" applyBorder="1" applyAlignment="1">
      <alignment horizontal="center"/>
    </xf>
    <xf numFmtId="1" fontId="8" fillId="0" borderId="2" xfId="3" applyNumberFormat="1" applyFont="1" applyBorder="1" applyAlignment="1">
      <alignment horizontal="left"/>
    </xf>
    <xf numFmtId="1" fontId="8" fillId="0" borderId="3" xfId="3" applyNumberFormat="1" applyFont="1" applyBorder="1" applyAlignment="1"/>
    <xf numFmtId="0" fontId="3" fillId="0" borderId="0" xfId="5" applyFont="1" applyAlignment="1">
      <alignment horizontal="left"/>
    </xf>
    <xf numFmtId="9" fontId="5" fillId="0" borderId="0" xfId="4" applyNumberFormat="1" applyFont="1" applyAlignment="1">
      <alignment horizontal="center"/>
    </xf>
    <xf numFmtId="0" fontId="10" fillId="0" borderId="0" xfId="5" applyFont="1" applyAlignment="1">
      <alignment horizontal="center"/>
    </xf>
    <xf numFmtId="0" fontId="7" fillId="2" borderId="1" xfId="4" applyFont="1" applyFill="1" applyBorder="1" applyAlignment="1">
      <alignment horizontal="center" vertical="distributed"/>
    </xf>
    <xf numFmtId="0" fontId="7" fillId="2" borderId="1" xfId="4" applyFont="1" applyFill="1" applyBorder="1" applyAlignment="1">
      <alignment horizontal="center" vertical="center"/>
    </xf>
    <xf numFmtId="0" fontId="7" fillId="2" borderId="6" xfId="4" applyFont="1" applyFill="1" applyBorder="1" applyAlignment="1">
      <alignment horizontal="center" vertical="center" wrapText="1"/>
    </xf>
    <xf numFmtId="164" fontId="7" fillId="2" borderId="6" xfId="4" applyNumberFormat="1" applyFont="1" applyFill="1" applyBorder="1" applyAlignment="1">
      <alignment horizontal="center" vertical="center" wrapText="1"/>
    </xf>
    <xf numFmtId="0" fontId="7" fillId="2" borderId="6" xfId="4" applyFont="1" applyFill="1" applyBorder="1" applyAlignment="1">
      <alignment horizontal="center" vertical="distributed"/>
    </xf>
    <xf numFmtId="9" fontId="7" fillId="2" borderId="6" xfId="3" applyFont="1" applyFill="1" applyBorder="1" applyAlignment="1">
      <alignment horizontal="center" vertical="distributed"/>
    </xf>
    <xf numFmtId="0" fontId="11" fillId="3" borderId="2" xfId="4" applyFont="1" applyFill="1" applyBorder="1" applyAlignment="1" applyProtection="1">
      <alignment horizontal="left" vertical="center"/>
      <protection hidden="1"/>
    </xf>
    <xf numFmtId="0" fontId="11" fillId="3" borderId="7" xfId="4" applyFont="1" applyFill="1" applyBorder="1" applyAlignment="1" applyProtection="1">
      <alignment horizontal="left" vertical="center"/>
      <protection hidden="1"/>
    </xf>
    <xf numFmtId="0" fontId="11" fillId="3" borderId="7" xfId="4" applyFont="1" applyFill="1" applyBorder="1" applyAlignment="1" applyProtection="1">
      <alignment horizontal="center" vertical="center"/>
      <protection hidden="1"/>
    </xf>
    <xf numFmtId="0" fontId="11" fillId="3" borderId="7" xfId="4" applyFont="1" applyFill="1" applyBorder="1" applyAlignment="1" applyProtection="1">
      <alignment vertical="center"/>
      <protection hidden="1"/>
    </xf>
    <xf numFmtId="0" fontId="11" fillId="3" borderId="3" xfId="4" applyFont="1" applyFill="1" applyBorder="1" applyAlignment="1" applyProtection="1">
      <alignment vertical="center"/>
      <protection hidden="1"/>
    </xf>
    <xf numFmtId="0" fontId="11" fillId="3" borderId="2" xfId="4" applyFont="1" applyFill="1" applyBorder="1" applyAlignment="1" applyProtection="1">
      <alignment vertical="center"/>
      <protection hidden="1"/>
    </xf>
    <xf numFmtId="0" fontId="12" fillId="3" borderId="3" xfId="4" applyFont="1" applyFill="1" applyBorder="1" applyAlignment="1" applyProtection="1">
      <alignment vertical="center"/>
      <protection hidden="1"/>
    </xf>
    <xf numFmtId="164" fontId="11" fillId="3" borderId="7" xfId="4" applyNumberFormat="1" applyFont="1" applyFill="1" applyBorder="1" applyAlignment="1" applyProtection="1">
      <alignment vertical="center"/>
      <protection hidden="1"/>
    </xf>
    <xf numFmtId="16" fontId="11" fillId="3" borderId="2" xfId="4" applyNumberFormat="1" applyFont="1" applyFill="1" applyBorder="1" applyAlignment="1" applyProtection="1">
      <alignment vertical="center"/>
      <protection hidden="1"/>
    </xf>
    <xf numFmtId="9" fontId="11" fillId="3" borderId="7" xfId="3" applyFont="1" applyFill="1" applyBorder="1" applyAlignment="1" applyProtection="1">
      <alignment vertical="center"/>
      <protection hidden="1"/>
    </xf>
    <xf numFmtId="0" fontId="13" fillId="0" borderId="0" xfId="5" applyFont="1"/>
    <xf numFmtId="0" fontId="15" fillId="0" borderId="1" xfId="4" applyFont="1" applyBorder="1" applyAlignment="1">
      <alignment horizontal="left"/>
    </xf>
    <xf numFmtId="0" fontId="5" fillId="0" borderId="1" xfId="8" applyFont="1" applyBorder="1" applyAlignment="1">
      <alignment horizontal="center"/>
    </xf>
    <xf numFmtId="0" fontId="5" fillId="0" borderId="1" xfId="8" applyFont="1" applyBorder="1"/>
    <xf numFmtId="1" fontId="5" fillId="0" borderId="1" xfId="4" applyNumberFormat="1" applyFont="1" applyBorder="1" applyAlignment="1">
      <alignment horizontal="center"/>
    </xf>
    <xf numFmtId="166" fontId="11" fillId="0" borderId="1" xfId="4" applyNumberFormat="1" applyFont="1" applyBorder="1" applyAlignment="1">
      <alignment horizontal="center"/>
    </xf>
    <xf numFmtId="168" fontId="11" fillId="0" borderId="1" xfId="4" applyNumberFormat="1" applyFont="1" applyBorder="1" applyAlignment="1">
      <alignment horizontal="center"/>
    </xf>
    <xf numFmtId="9" fontId="13" fillId="0" borderId="0" xfId="3" applyFont="1"/>
    <xf numFmtId="166" fontId="11" fillId="0" borderId="8" xfId="4" applyNumberFormat="1" applyFont="1" applyBorder="1" applyAlignment="1">
      <alignment horizontal="center"/>
    </xf>
    <xf numFmtId="166" fontId="16" fillId="0" borderId="8" xfId="4" applyNumberFormat="1" applyFont="1" applyBorder="1" applyAlignment="1">
      <alignment horizontal="center"/>
    </xf>
    <xf numFmtId="164" fontId="11" fillId="0" borderId="8" xfId="3" applyNumberFormat="1" applyFont="1" applyFill="1" applyBorder="1" applyAlignment="1">
      <alignment horizontal="center"/>
    </xf>
    <xf numFmtId="165" fontId="11" fillId="0" borderId="8" xfId="1" applyFont="1" applyFill="1" applyBorder="1" applyAlignment="1">
      <alignment horizontal="center"/>
    </xf>
    <xf numFmtId="166" fontId="0" fillId="0" borderId="0" xfId="0" applyNumberFormat="1"/>
    <xf numFmtId="10" fontId="11" fillId="0" borderId="1" xfId="3" applyNumberFormat="1" applyFont="1" applyFill="1" applyBorder="1" applyAlignment="1">
      <alignment horizontal="center"/>
    </xf>
    <xf numFmtId="166" fontId="4" fillId="0" borderId="0" xfId="5" applyNumberFormat="1" applyFont="1"/>
    <xf numFmtId="0" fontId="5" fillId="0" borderId="1" xfId="8" applyFont="1" applyFill="1" applyBorder="1" applyAlignment="1">
      <alignment horizontal="center"/>
    </xf>
    <xf numFmtId="165" fontId="11" fillId="0" borderId="1" xfId="1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0" fontId="5" fillId="0" borderId="1" xfId="4" applyFont="1" applyBorder="1" applyAlignment="1">
      <alignment horizontal="left"/>
    </xf>
    <xf numFmtId="1" fontId="5" fillId="0" borderId="1" xfId="8" applyNumberFormat="1" applyFont="1" applyBorder="1" applyAlignment="1">
      <alignment horizontal="center"/>
    </xf>
    <xf numFmtId="166" fontId="11" fillId="0" borderId="1" xfId="9" applyNumberFormat="1" applyFont="1" applyBorder="1" applyAlignment="1">
      <alignment horizontal="center"/>
    </xf>
    <xf numFmtId="168" fontId="11" fillId="0" borderId="1" xfId="9" applyNumberFormat="1" applyFont="1" applyBorder="1" applyAlignment="1">
      <alignment horizontal="center"/>
    </xf>
    <xf numFmtId="164" fontId="11" fillId="0" borderId="1" xfId="3" applyNumberFormat="1" applyFont="1" applyFill="1" applyBorder="1" applyAlignment="1">
      <alignment horizontal="center"/>
    </xf>
    <xf numFmtId="0" fontId="5" fillId="4" borderId="1" xfId="4" applyFont="1" applyFill="1" applyBorder="1" applyAlignment="1">
      <alignment horizontal="center"/>
    </xf>
    <xf numFmtId="0" fontId="5" fillId="4" borderId="1" xfId="8" applyFont="1" applyFill="1" applyBorder="1"/>
    <xf numFmtId="1" fontId="5" fillId="4" borderId="1" xfId="4" applyNumberFormat="1" applyFont="1" applyFill="1" applyBorder="1" applyAlignment="1">
      <alignment horizontal="center"/>
    </xf>
    <xf numFmtId="166" fontId="11" fillId="4" borderId="1" xfId="9" applyNumberFormat="1" applyFont="1" applyFill="1" applyBorder="1" applyAlignment="1">
      <alignment horizontal="center"/>
    </xf>
    <xf numFmtId="168" fontId="11" fillId="4" borderId="1" xfId="9" applyNumberFormat="1" applyFont="1" applyFill="1" applyBorder="1" applyAlignment="1">
      <alignment horizontal="center"/>
    </xf>
    <xf numFmtId="0" fontId="3" fillId="4" borderId="0" xfId="5" applyFont="1" applyFill="1"/>
    <xf numFmtId="166" fontId="11" fillId="4" borderId="1" xfId="4" applyNumberFormat="1" applyFont="1" applyFill="1" applyBorder="1" applyAlignment="1">
      <alignment horizontal="center"/>
    </xf>
    <xf numFmtId="164" fontId="11" fillId="4" borderId="8" xfId="3" applyNumberFormat="1" applyFont="1" applyFill="1" applyBorder="1" applyAlignment="1">
      <alignment horizontal="center"/>
    </xf>
    <xf numFmtId="164" fontId="11" fillId="4" borderId="1" xfId="3" applyNumberFormat="1" applyFont="1" applyFill="1" applyBorder="1" applyAlignment="1">
      <alignment horizontal="center"/>
    </xf>
    <xf numFmtId="166" fontId="11" fillId="4" borderId="8" xfId="4" applyNumberFormat="1" applyFont="1" applyFill="1" applyBorder="1" applyAlignment="1">
      <alignment horizontal="center"/>
    </xf>
    <xf numFmtId="10" fontId="11" fillId="4" borderId="1" xfId="3" applyNumberFormat="1" applyFont="1" applyFill="1" applyBorder="1" applyAlignment="1">
      <alignment horizontal="center"/>
    </xf>
    <xf numFmtId="0" fontId="5" fillId="0" borderId="1" xfId="8" applyFont="1" applyFill="1" applyBorder="1"/>
    <xf numFmtId="1" fontId="5" fillId="0" borderId="1" xfId="8" applyNumberFormat="1" applyFont="1" applyFill="1" applyBorder="1" applyAlignment="1">
      <alignment horizontal="center"/>
    </xf>
    <xf numFmtId="9" fontId="11" fillId="0" borderId="1" xfId="3" applyFont="1" applyFill="1" applyBorder="1" applyAlignment="1">
      <alignment horizontal="center"/>
    </xf>
    <xf numFmtId="0" fontId="15" fillId="0" borderId="2" xfId="4" applyFont="1" applyBorder="1" applyAlignment="1">
      <alignment horizontal="left"/>
    </xf>
    <xf numFmtId="0" fontId="15" fillId="0" borderId="7" xfId="4" applyFont="1" applyBorder="1" applyAlignment="1">
      <alignment horizontal="left"/>
    </xf>
    <xf numFmtId="0" fontId="5" fillId="0" borderId="7" xfId="4" applyFont="1" applyBorder="1" applyAlignment="1">
      <alignment horizontal="center"/>
    </xf>
    <xf numFmtId="0" fontId="5" fillId="0" borderId="7" xfId="4" applyFont="1" applyBorder="1" applyAlignment="1">
      <alignment horizontal="left"/>
    </xf>
    <xf numFmtId="1" fontId="5" fillId="0" borderId="7" xfId="4" applyNumberFormat="1" applyFont="1" applyBorder="1" applyAlignment="1">
      <alignment horizontal="center"/>
    </xf>
    <xf numFmtId="166" fontId="11" fillId="0" borderId="7" xfId="4" applyNumberFormat="1" applyFont="1" applyBorder="1" applyAlignment="1">
      <alignment horizontal="center"/>
    </xf>
    <xf numFmtId="168" fontId="11" fillId="0" borderId="3" xfId="4" applyNumberFormat="1" applyFont="1" applyBorder="1" applyAlignment="1">
      <alignment horizontal="center"/>
    </xf>
    <xf numFmtId="166" fontId="11" fillId="0" borderId="2" xfId="4" applyNumberFormat="1" applyFont="1" applyBorder="1" applyAlignment="1">
      <alignment horizontal="center"/>
    </xf>
    <xf numFmtId="166" fontId="11" fillId="0" borderId="3" xfId="4" applyNumberFormat="1" applyFont="1" applyBorder="1" applyAlignment="1">
      <alignment horizontal="center"/>
    </xf>
    <xf numFmtId="166" fontId="16" fillId="0" borderId="9" xfId="4" applyNumberFormat="1" applyFont="1" applyBorder="1" applyAlignment="1">
      <alignment horizontal="center"/>
    </xf>
    <xf numFmtId="164" fontId="11" fillId="0" borderId="9" xfId="3" applyNumberFormat="1" applyFont="1" applyFill="1" applyBorder="1" applyAlignment="1">
      <alignment horizontal="center"/>
    </xf>
    <xf numFmtId="166" fontId="11" fillId="0" borderId="9" xfId="4" applyNumberFormat="1" applyFont="1" applyBorder="1" applyAlignment="1">
      <alignment horizontal="center"/>
    </xf>
    <xf numFmtId="165" fontId="11" fillId="0" borderId="7" xfId="1" applyFont="1" applyFill="1" applyBorder="1" applyAlignment="1">
      <alignment horizontal="center"/>
    </xf>
    <xf numFmtId="9" fontId="11" fillId="0" borderId="7" xfId="3" applyFont="1" applyFill="1" applyBorder="1" applyAlignment="1">
      <alignment horizontal="center"/>
    </xf>
    <xf numFmtId="168" fontId="11" fillId="3" borderId="3" xfId="4" applyNumberFormat="1" applyFont="1" applyFill="1" applyBorder="1" applyAlignment="1" applyProtection="1">
      <alignment vertical="center"/>
      <protection hidden="1"/>
    </xf>
    <xf numFmtId="10" fontId="3" fillId="0" borderId="0" xfId="3" applyNumberFormat="1" applyFont="1"/>
    <xf numFmtId="169" fontId="11" fillId="0" borderId="1" xfId="4" applyNumberFormat="1" applyFont="1" applyBorder="1" applyAlignment="1">
      <alignment horizontal="center"/>
    </xf>
    <xf numFmtId="166" fontId="17" fillId="0" borderId="1" xfId="4" applyNumberFormat="1" applyFont="1" applyBorder="1" applyAlignment="1">
      <alignment horizontal="center"/>
    </xf>
    <xf numFmtId="0" fontId="15" fillId="0" borderId="1" xfId="4" applyFont="1" applyBorder="1" applyAlignment="1">
      <alignment horizontal="center"/>
    </xf>
    <xf numFmtId="1" fontId="15" fillId="0" borderId="1" xfId="4" applyNumberFormat="1" applyFont="1" applyBorder="1" applyAlignment="1">
      <alignment horizontal="center"/>
    </xf>
    <xf numFmtId="166" fontId="18" fillId="0" borderId="1" xfId="4" applyNumberFormat="1" applyFont="1" applyBorder="1" applyAlignment="1">
      <alignment horizontal="center"/>
    </xf>
    <xf numFmtId="168" fontId="18" fillId="0" borderId="1" xfId="4" applyNumberFormat="1" applyFont="1" applyBorder="1" applyAlignment="1">
      <alignment horizontal="center"/>
    </xf>
    <xf numFmtId="0" fontId="1" fillId="0" borderId="0" xfId="5"/>
    <xf numFmtId="164" fontId="18" fillId="0" borderId="1" xfId="3" applyNumberFormat="1" applyFont="1" applyFill="1" applyBorder="1" applyAlignment="1">
      <alignment horizontal="center"/>
    </xf>
    <xf numFmtId="9" fontId="18" fillId="0" borderId="1" xfId="3" applyFont="1" applyFill="1" applyBorder="1" applyAlignment="1">
      <alignment horizontal="center"/>
    </xf>
    <xf numFmtId="1" fontId="15" fillId="0" borderId="10" xfId="4" applyNumberFormat="1" applyFont="1" applyBorder="1" applyAlignment="1">
      <alignment horizontal="left"/>
    </xf>
    <xf numFmtId="2" fontId="11" fillId="3" borderId="2" xfId="4" applyNumberFormat="1" applyFont="1" applyFill="1" applyBorder="1" applyAlignment="1" applyProtection="1">
      <alignment vertical="center"/>
      <protection hidden="1"/>
    </xf>
    <xf numFmtId="0" fontId="16" fillId="3" borderId="7" xfId="4" applyFont="1" applyFill="1" applyBorder="1" applyAlignment="1" applyProtection="1">
      <alignment vertical="center"/>
      <protection hidden="1"/>
    </xf>
    <xf numFmtId="10" fontId="11" fillId="3" borderId="7" xfId="3" applyNumberFormat="1" applyFont="1" applyFill="1" applyBorder="1" applyAlignment="1" applyProtection="1">
      <alignment vertical="center"/>
      <protection hidden="1"/>
    </xf>
    <xf numFmtId="170" fontId="11" fillId="0" borderId="1" xfId="4" applyNumberFormat="1" applyFont="1" applyBorder="1" applyAlignment="1">
      <alignment horizontal="center"/>
    </xf>
    <xf numFmtId="0" fontId="5" fillId="0" borderId="2" xfId="4" applyFont="1" applyBorder="1" applyAlignment="1">
      <alignment horizontal="left"/>
    </xf>
    <xf numFmtId="0" fontId="15" fillId="0" borderId="7" xfId="4" applyFont="1" applyBorder="1" applyAlignment="1">
      <alignment horizontal="center"/>
    </xf>
    <xf numFmtId="1" fontId="15" fillId="0" borderId="7" xfId="4" applyNumberFormat="1" applyFont="1" applyBorder="1" applyAlignment="1">
      <alignment horizontal="center"/>
    </xf>
    <xf numFmtId="170" fontId="11" fillId="0" borderId="7" xfId="4" applyNumberFormat="1" applyFont="1" applyBorder="1" applyAlignment="1">
      <alignment horizontal="center"/>
    </xf>
    <xf numFmtId="164" fontId="11" fillId="0" borderId="7" xfId="3" applyNumberFormat="1" applyFont="1" applyFill="1" applyBorder="1" applyAlignment="1">
      <alignment horizontal="center"/>
    </xf>
    <xf numFmtId="167" fontId="0" fillId="0" borderId="0" xfId="2" applyFont="1" applyFill="1"/>
    <xf numFmtId="0" fontId="10" fillId="0" borderId="0" xfId="5" applyFont="1"/>
    <xf numFmtId="165" fontId="13" fillId="0" borderId="0" xfId="1" applyFont="1"/>
    <xf numFmtId="9" fontId="13" fillId="5" borderId="0" xfId="3" applyFont="1" applyFill="1" applyAlignment="1">
      <alignment horizontal="center"/>
    </xf>
    <xf numFmtId="9" fontId="13" fillId="5" borderId="0" xfId="3" applyFont="1" applyFill="1"/>
    <xf numFmtId="164" fontId="13" fillId="5" borderId="0" xfId="3" applyNumberFormat="1" applyFont="1" applyFill="1"/>
    <xf numFmtId="165" fontId="13" fillId="5" borderId="0" xfId="1" applyFont="1" applyFill="1"/>
    <xf numFmtId="0" fontId="13" fillId="0" borderId="0" xfId="5" applyFont="1" applyAlignment="1">
      <alignment horizontal="center"/>
    </xf>
    <xf numFmtId="164" fontId="13" fillId="0" borderId="0" xfId="5" applyNumberFormat="1" applyFont="1"/>
    <xf numFmtId="9" fontId="14" fillId="0" borderId="0" xfId="3" applyFont="1"/>
    <xf numFmtId="166" fontId="13" fillId="0" borderId="0" xfId="5" applyNumberFormat="1" applyFont="1"/>
    <xf numFmtId="167" fontId="13" fillId="0" borderId="0" xfId="2" applyFont="1"/>
    <xf numFmtId="164" fontId="13" fillId="0" borderId="0" xfId="3" applyNumberFormat="1" applyFont="1"/>
    <xf numFmtId="0" fontId="19" fillId="0" borderId="0" xfId="4" applyFont="1" applyAlignment="1">
      <alignment horizontal="center"/>
    </xf>
    <xf numFmtId="0" fontId="2" fillId="2" borderId="0" xfId="4" applyFont="1" applyFill="1" applyAlignment="1">
      <alignment horizontal="center" vertical="center"/>
    </xf>
    <xf numFmtId="14" fontId="5" fillId="0" borderId="2" xfId="4" applyNumberFormat="1" applyFont="1" applyBorder="1" applyAlignment="1">
      <alignment horizontal="center"/>
    </xf>
    <xf numFmtId="14" fontId="5" fillId="0" borderId="3" xfId="4" applyNumberFormat="1" applyFont="1" applyBorder="1" applyAlignment="1">
      <alignment horizontal="center"/>
    </xf>
    <xf numFmtId="9" fontId="9" fillId="0" borderId="4" xfId="3" applyFont="1" applyBorder="1" applyAlignment="1">
      <alignment horizontal="center"/>
    </xf>
    <xf numFmtId="9" fontId="9" fillId="0" borderId="5" xfId="3" applyFont="1" applyBorder="1" applyAlignment="1">
      <alignment horizontal="center"/>
    </xf>
  </cellXfs>
  <cellStyles count="10">
    <cellStyle name="Millares" xfId="1" builtinId="3"/>
    <cellStyle name="Moneda" xfId="2" builtinId="4"/>
    <cellStyle name="Normal" xfId="0" builtinId="0"/>
    <cellStyle name="Normal 2" xfId="6" xr:uid="{491DB85F-74C2-46F2-AF64-8D72A244A2F2}"/>
    <cellStyle name="Normal 3" xfId="8" xr:uid="{C0212C54-9209-4FED-9984-EDE7481FE353}"/>
    <cellStyle name="Normal_ARQUITECTURA DE PRECIOS 1 0" xfId="4" xr:uid="{E460A42C-51AA-4A32-A173-196DA215C97E}"/>
    <cellStyle name="Normal_ARQUITECTURA DE PRECIOS 1 0 2" xfId="9" xr:uid="{AF5AF2BB-ADDE-48EA-BC8E-ED819218FE99}"/>
    <cellStyle name="Normal_Precio públicos al 01-03" xfId="5" xr:uid="{42B1855D-4EF3-408A-824F-C217577E12FD}"/>
    <cellStyle name="Porcentaje" xfId="3" builtinId="5"/>
    <cellStyle name="Porcentaje 3" xfId="7" xr:uid="{7BCFB952-CAB9-48A6-836C-7F4CA4475602}"/>
  </cellStyles>
  <dxfs count="21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09DA-08D4-45A7-8CB1-CC00D0F0B789}">
  <sheetPr>
    <tabColor rgb="FF00B050"/>
    <pageSetUpPr fitToPage="1"/>
  </sheetPr>
  <dimension ref="A1:Y216"/>
  <sheetViews>
    <sheetView showGridLines="0" tabSelected="1" topLeftCell="A137" zoomScale="70" zoomScaleNormal="70" workbookViewId="0">
      <selection activeCell="X3" sqref="E3:X7"/>
    </sheetView>
  </sheetViews>
  <sheetFormatPr baseColWidth="10" defaultColWidth="9.140625" defaultRowHeight="12.75" x14ac:dyDescent="0.2"/>
  <cols>
    <col min="1" max="1" width="13.42578125" style="17" customWidth="1"/>
    <col min="2" max="2" width="15.42578125" style="17" customWidth="1"/>
    <col min="3" max="3" width="14.5703125" style="6" customWidth="1"/>
    <col min="4" max="4" width="31.7109375" style="1" customWidth="1"/>
    <col min="5" max="5" width="13.42578125" style="6" customWidth="1"/>
    <col min="6" max="6" width="6.85546875" style="1" customWidth="1"/>
    <col min="7" max="7" width="6.140625" style="1" customWidth="1"/>
    <col min="8" max="8" width="3" style="1" customWidth="1"/>
    <col min="9" max="9" width="11.7109375" style="1" bestFit="1" customWidth="1"/>
    <col min="10" max="10" width="11.7109375" style="7" bestFit="1" customWidth="1"/>
    <col min="11" max="11" width="6.28515625" style="8" bestFit="1" customWidth="1"/>
    <col min="12" max="12" width="9.5703125" style="1" customWidth="1"/>
    <col min="13" max="13" width="9.28515625" style="1" customWidth="1"/>
    <col min="14" max="14" width="12.5703125" style="109" bestFit="1" customWidth="1"/>
    <col min="15" max="15" width="7" style="9" customWidth="1"/>
    <col min="16" max="16" width="8.28515625" style="1" customWidth="1"/>
    <col min="17" max="17" width="6.140625" style="9" customWidth="1"/>
    <col min="18" max="18" width="8.140625" style="1" customWidth="1"/>
    <col min="19" max="19" width="8.42578125" style="1" customWidth="1"/>
    <col min="20" max="20" width="9.5703125" style="1" bestFit="1" customWidth="1"/>
    <col min="21" max="21" width="7.85546875" style="1" customWidth="1"/>
    <col min="22" max="22" width="9.28515625" style="1" bestFit="1" customWidth="1"/>
    <col min="23" max="23" width="8.140625" style="2" bestFit="1" customWidth="1"/>
    <col min="24" max="24" width="8.140625" style="1" bestFit="1" customWidth="1"/>
    <col min="25" max="16384" width="9.140625" style="1"/>
  </cols>
  <sheetData>
    <row r="1" spans="1:25" ht="27" customHeight="1" x14ac:dyDescent="0.2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</row>
    <row r="2" spans="1:25" ht="11.25" customHeight="1" x14ac:dyDescent="0.2">
      <c r="A2" s="4"/>
      <c r="B2" s="4"/>
      <c r="C2" s="5"/>
      <c r="N2" s="1"/>
    </row>
    <row r="3" spans="1:25" x14ac:dyDescent="0.2">
      <c r="A3" s="10" t="s">
        <v>1</v>
      </c>
      <c r="B3" s="123">
        <f ca="1">++TODAY()</f>
        <v>46062</v>
      </c>
      <c r="C3" s="124"/>
      <c r="E3" s="115"/>
      <c r="F3" s="36"/>
      <c r="G3" s="36"/>
      <c r="H3" s="36"/>
      <c r="I3" s="36"/>
      <c r="J3" s="36"/>
      <c r="K3" s="43"/>
      <c r="L3" s="36"/>
      <c r="M3" s="36"/>
      <c r="N3" s="36"/>
      <c r="O3" s="36" t="s">
        <v>2</v>
      </c>
      <c r="P3" s="36"/>
      <c r="Q3" s="116"/>
      <c r="R3" s="36"/>
      <c r="S3" s="36"/>
      <c r="T3" s="36"/>
      <c r="U3" s="36"/>
      <c r="V3" s="36"/>
      <c r="W3" s="117"/>
      <c r="X3" s="36"/>
    </row>
    <row r="4" spans="1:25" x14ac:dyDescent="0.2">
      <c r="A4" s="4" t="s">
        <v>3</v>
      </c>
      <c r="B4" s="4"/>
      <c r="C4" s="5"/>
      <c r="E4" s="115"/>
      <c r="F4" s="36"/>
      <c r="G4" s="36"/>
      <c r="H4" s="36"/>
      <c r="I4" s="36"/>
      <c r="J4" s="36"/>
      <c r="K4" s="43"/>
      <c r="L4" s="36"/>
      <c r="M4" s="36"/>
      <c r="N4" s="36"/>
      <c r="O4" s="110"/>
      <c r="P4" s="36"/>
      <c r="Q4" s="116"/>
      <c r="R4" s="36"/>
      <c r="S4" s="36"/>
      <c r="T4" s="118"/>
      <c r="U4" s="36"/>
      <c r="V4" s="36"/>
      <c r="W4" s="117"/>
      <c r="X4" s="36"/>
    </row>
    <row r="5" spans="1:25" x14ac:dyDescent="0.2">
      <c r="A5" s="10" t="s">
        <v>4</v>
      </c>
      <c r="B5" s="13"/>
      <c r="C5" s="14"/>
      <c r="E5" s="115"/>
      <c r="F5" s="36"/>
      <c r="G5" s="36"/>
      <c r="H5" s="36"/>
      <c r="I5" s="36"/>
      <c r="J5" s="36"/>
      <c r="K5" s="43"/>
      <c r="L5" s="36"/>
      <c r="M5" s="36">
        <f>+M112*(1-10%)</f>
        <v>9309.9132000000009</v>
      </c>
      <c r="N5" s="36"/>
      <c r="O5" s="119"/>
      <c r="P5" s="36">
        <v>1.05</v>
      </c>
      <c r="Q5" s="119"/>
      <c r="R5" s="36"/>
      <c r="S5" s="36"/>
      <c r="T5" s="36"/>
      <c r="U5" s="36"/>
      <c r="V5" s="36"/>
      <c r="W5" s="117"/>
      <c r="X5" s="36"/>
    </row>
    <row r="6" spans="1:25" x14ac:dyDescent="0.2">
      <c r="A6" s="10" t="s">
        <v>5</v>
      </c>
      <c r="B6" s="15">
        <v>325103863</v>
      </c>
      <c r="C6" s="16"/>
      <c r="D6" s="17"/>
      <c r="E6" s="115"/>
      <c r="F6" s="36"/>
      <c r="G6" s="36"/>
      <c r="H6" s="36"/>
      <c r="I6" s="36"/>
      <c r="J6" s="36"/>
      <c r="K6" s="43"/>
      <c r="L6" s="36"/>
      <c r="M6" s="36">
        <f>+M5*7.6</f>
        <v>70755.340320000003</v>
      </c>
      <c r="N6" s="36"/>
      <c r="O6" s="116"/>
      <c r="P6" s="36"/>
      <c r="Q6" s="116"/>
      <c r="R6" s="36"/>
      <c r="S6" s="36"/>
      <c r="T6" s="120"/>
      <c r="U6" s="36"/>
      <c r="V6" s="36"/>
      <c r="W6" s="117"/>
      <c r="X6" s="36"/>
    </row>
    <row r="7" spans="1:25" x14ac:dyDescent="0.2">
      <c r="A7" s="10" t="s">
        <v>6</v>
      </c>
      <c r="B7" s="125" t="s">
        <v>7</v>
      </c>
      <c r="C7" s="126"/>
      <c r="D7" s="5"/>
      <c r="E7" s="121"/>
      <c r="F7" s="36"/>
      <c r="G7" s="36"/>
      <c r="H7" s="36"/>
      <c r="I7" s="36">
        <f>1100/1.6/1.21</f>
        <v>568.18181818181824</v>
      </c>
      <c r="J7" s="36">
        <f>+I7*42</f>
        <v>23863.636363636368</v>
      </c>
      <c r="K7" s="43"/>
      <c r="L7" s="36">
        <f>2500/1.55/1.21</f>
        <v>1332.9778725673152</v>
      </c>
      <c r="M7" s="36">
        <f>+L7*36</f>
        <v>47987.203412423347</v>
      </c>
      <c r="N7" s="36"/>
      <c r="O7" s="116"/>
      <c r="P7" s="36"/>
      <c r="Q7" s="116"/>
      <c r="R7" s="36"/>
      <c r="S7" s="36"/>
      <c r="T7" s="36"/>
      <c r="U7" s="36"/>
      <c r="V7" s="36"/>
      <c r="W7" s="117"/>
      <c r="X7" s="36"/>
    </row>
    <row r="8" spans="1:25" x14ac:dyDescent="0.2">
      <c r="B8" s="4"/>
      <c r="C8" s="18"/>
      <c r="D8" s="18"/>
      <c r="E8" s="18"/>
      <c r="J8" s="11"/>
      <c r="N8" s="19"/>
    </row>
    <row r="9" spans="1:25" s="6" customFormat="1" ht="34.5" customHeight="1" x14ac:dyDescent="0.2">
      <c r="A9" s="20" t="s">
        <v>8</v>
      </c>
      <c r="B9" s="20" t="s">
        <v>9</v>
      </c>
      <c r="C9" s="20" t="s">
        <v>10</v>
      </c>
      <c r="D9" s="21" t="s">
        <v>11</v>
      </c>
      <c r="E9" s="20" t="s">
        <v>12</v>
      </c>
      <c r="F9" s="20" t="s">
        <v>13</v>
      </c>
      <c r="G9" s="20" t="s">
        <v>14</v>
      </c>
      <c r="I9" s="20" t="s">
        <v>15</v>
      </c>
      <c r="J9" s="20" t="s">
        <v>16</v>
      </c>
      <c r="K9" s="111"/>
      <c r="L9" s="22" t="s">
        <v>17</v>
      </c>
      <c r="M9" s="22" t="s">
        <v>18</v>
      </c>
      <c r="N9" s="22" t="s">
        <v>19</v>
      </c>
      <c r="O9" s="23" t="s">
        <v>20</v>
      </c>
      <c r="P9" s="22" t="s">
        <v>21</v>
      </c>
      <c r="Q9" s="23" t="s">
        <v>22</v>
      </c>
      <c r="R9" s="22" t="s">
        <v>19</v>
      </c>
      <c r="S9" s="22" t="s">
        <v>23</v>
      </c>
      <c r="V9" s="24" t="s">
        <v>24</v>
      </c>
      <c r="W9" s="25" t="s">
        <v>25</v>
      </c>
      <c r="X9" s="24" t="s">
        <v>26</v>
      </c>
    </row>
    <row r="10" spans="1:25" x14ac:dyDescent="0.2">
      <c r="A10" s="26"/>
      <c r="B10" s="27"/>
      <c r="C10" s="28"/>
      <c r="D10" s="29"/>
      <c r="E10" s="28"/>
      <c r="F10" s="29"/>
      <c r="G10" s="30"/>
      <c r="I10" s="31"/>
      <c r="J10" s="32"/>
      <c r="K10" s="112"/>
      <c r="L10" s="31"/>
      <c r="M10" s="29"/>
      <c r="N10" s="29"/>
      <c r="O10" s="33"/>
      <c r="P10" s="29"/>
      <c r="Q10" s="33"/>
      <c r="R10" s="29"/>
      <c r="S10" s="30"/>
      <c r="U10"/>
      <c r="V10" s="34">
        <v>46051</v>
      </c>
      <c r="W10" s="35"/>
      <c r="X10" s="30"/>
    </row>
    <row r="11" spans="1:25" s="3" customFormat="1" x14ac:dyDescent="0.2">
      <c r="A11" s="37" t="s">
        <v>27</v>
      </c>
      <c r="B11" s="37" t="s">
        <v>28</v>
      </c>
      <c r="C11" s="38">
        <v>100021632</v>
      </c>
      <c r="D11" s="39" t="s">
        <v>29</v>
      </c>
      <c r="E11" s="40">
        <v>7790360026606</v>
      </c>
      <c r="F11" s="41">
        <v>4.8</v>
      </c>
      <c r="G11" s="42">
        <v>30</v>
      </c>
      <c r="I11" s="41">
        <f>+L11*1.55*1.21</f>
        <v>3316.4862230500003</v>
      </c>
      <c r="J11" s="41">
        <f>+I11*0.8</f>
        <v>2653.1889784400005</v>
      </c>
      <c r="K11" s="112"/>
      <c r="L11" s="44">
        <f t="shared" ref="L11:L47" si="0">+IF(ISERROR(N11/G11),"",(N11/G11))</f>
        <v>1768.3211000000001</v>
      </c>
      <c r="M11" s="44">
        <v>1448.54025</v>
      </c>
      <c r="N11" s="45">
        <v>53049.633000000002</v>
      </c>
      <c r="O11" s="46"/>
      <c r="P11" s="44">
        <f t="shared" ref="P11:P86" si="1">+IF(ISERROR(N11/(1-O11)),"",(N11/(1-O11)))</f>
        <v>53049.633000000002</v>
      </c>
      <c r="Q11" s="47"/>
      <c r="R11" s="44">
        <f t="shared" ref="R11:R47" si="2">+IF(ISERROR(P11/(1-Q11)),"",(P11/(1-Q11)))</f>
        <v>53049.633000000002</v>
      </c>
      <c r="S11" s="44">
        <f t="shared" ref="S11:S47" si="3">+IF(ISERROR(R11/G11),"",(R11/G11))</f>
        <v>1768.3211000000001</v>
      </c>
      <c r="T11" s="12"/>
      <c r="U11" s="48"/>
      <c r="V11" s="44">
        <v>50523.46</v>
      </c>
      <c r="W11" s="49">
        <f>+IF(ISERROR(N11/V11-1),"",(N11/V11-1))</f>
        <v>5.0000000000000044E-2</v>
      </c>
      <c r="X11" s="44">
        <f t="shared" ref="X11:X27" si="4">+IF(ISERROR(V11*(1-O11)),"",(V11*(1-O11)))</f>
        <v>50523.46</v>
      </c>
      <c r="Y11" s="50"/>
    </row>
    <row r="12" spans="1:25" x14ac:dyDescent="0.2">
      <c r="A12" s="37" t="s">
        <v>27</v>
      </c>
      <c r="B12" s="37" t="s">
        <v>28</v>
      </c>
      <c r="C12" s="51">
        <v>100021652</v>
      </c>
      <c r="D12" s="39" t="s">
        <v>30</v>
      </c>
      <c r="E12" s="40">
        <v>7790360026576</v>
      </c>
      <c r="F12" s="41">
        <v>5.76</v>
      </c>
      <c r="G12" s="42">
        <v>18</v>
      </c>
      <c r="I12" s="41">
        <f t="shared" ref="I12:I39" si="5">+L12*1.55*1.21</f>
        <v>7714.0694534444447</v>
      </c>
      <c r="J12" s="41">
        <f t="shared" ref="J12:J39" si="6">+I12*0.8</f>
        <v>6171.2555627555557</v>
      </c>
      <c r="K12" s="112"/>
      <c r="L12" s="41">
        <f t="shared" si="0"/>
        <v>4113.0735555555557</v>
      </c>
      <c r="M12" s="41">
        <v>1784.0022499999998</v>
      </c>
      <c r="N12" s="45">
        <v>74035.324000000008</v>
      </c>
      <c r="O12" s="46"/>
      <c r="P12" s="44">
        <f t="shared" si="1"/>
        <v>74035.324000000008</v>
      </c>
      <c r="Q12" s="52"/>
      <c r="R12" s="44">
        <f t="shared" si="2"/>
        <v>74035.324000000008</v>
      </c>
      <c r="S12" s="41">
        <f t="shared" si="3"/>
        <v>4113.0735555555557</v>
      </c>
      <c r="T12" s="12"/>
      <c r="U12" s="48"/>
      <c r="V12" s="44">
        <v>67304.84</v>
      </c>
      <c r="W12" s="49">
        <f t="shared" ref="W12:W47" si="7">+IF(ISERROR(N12/V12-1),"",(N12/V12-1))</f>
        <v>0.10000000000000009</v>
      </c>
      <c r="X12" s="41">
        <f t="shared" si="4"/>
        <v>67304.84</v>
      </c>
      <c r="Y12" s="50"/>
    </row>
    <row r="13" spans="1:25" x14ac:dyDescent="0.2">
      <c r="A13" s="37" t="s">
        <v>27</v>
      </c>
      <c r="B13" s="37" t="s">
        <v>28</v>
      </c>
      <c r="C13" s="51">
        <v>100021631</v>
      </c>
      <c r="D13" s="39" t="s">
        <v>31</v>
      </c>
      <c r="E13" s="40">
        <v>7790360026590</v>
      </c>
      <c r="F13" s="41">
        <v>7.68</v>
      </c>
      <c r="G13" s="42">
        <v>8</v>
      </c>
      <c r="I13" s="41">
        <f t="shared" si="5"/>
        <v>22369.045129062502</v>
      </c>
      <c r="J13" s="41">
        <f t="shared" si="6"/>
        <v>17895.236103250001</v>
      </c>
      <c r="K13" s="112">
        <f>IFERROR(((I13/1.21)-L13)/(I13/1.21),)</f>
        <v>0.35483870967741943</v>
      </c>
      <c r="L13" s="41">
        <f t="shared" si="0"/>
        <v>11926.976875</v>
      </c>
      <c r="M13" s="41">
        <f>+N13/F13</f>
        <v>12423.934244791668</v>
      </c>
      <c r="N13" s="45">
        <v>95415.815000000002</v>
      </c>
      <c r="O13" s="46"/>
      <c r="P13" s="44">
        <f t="shared" si="1"/>
        <v>95415.815000000002</v>
      </c>
      <c r="Q13" s="52"/>
      <c r="R13" s="44">
        <f t="shared" si="2"/>
        <v>95415.815000000002</v>
      </c>
      <c r="S13" s="41">
        <f t="shared" si="3"/>
        <v>11926.976875</v>
      </c>
      <c r="T13" s="12"/>
      <c r="U13" s="48"/>
      <c r="V13" s="44">
        <v>86741.65</v>
      </c>
      <c r="W13" s="49">
        <f t="shared" si="7"/>
        <v>0.10000000000000009</v>
      </c>
      <c r="X13" s="41">
        <f t="shared" si="4"/>
        <v>86741.65</v>
      </c>
      <c r="Y13" s="50"/>
    </row>
    <row r="14" spans="1:25" x14ac:dyDescent="0.2">
      <c r="A14" s="37" t="s">
        <v>27</v>
      </c>
      <c r="B14" s="37" t="s">
        <v>28</v>
      </c>
      <c r="C14" s="51">
        <v>100021630</v>
      </c>
      <c r="D14" s="39" t="s">
        <v>32</v>
      </c>
      <c r="E14" s="40">
        <v>7790360026583</v>
      </c>
      <c r="F14" s="41">
        <v>9.6</v>
      </c>
      <c r="G14" s="42">
        <v>6</v>
      </c>
      <c r="I14" s="41">
        <f t="shared" si="5"/>
        <v>37281.744460583337</v>
      </c>
      <c r="J14" s="41">
        <f t="shared" si="6"/>
        <v>29825.395568466673</v>
      </c>
      <c r="K14" s="112"/>
      <c r="L14" s="41">
        <f t="shared" si="0"/>
        <v>19878.296166666671</v>
      </c>
      <c r="M14" s="41">
        <f>+N14/F14</f>
        <v>12423.935104166669</v>
      </c>
      <c r="N14" s="45">
        <v>119269.77700000002</v>
      </c>
      <c r="O14" s="46"/>
      <c r="P14" s="44">
        <f t="shared" si="1"/>
        <v>119269.77700000002</v>
      </c>
      <c r="Q14" s="52"/>
      <c r="R14" s="44">
        <f t="shared" si="2"/>
        <v>119269.77700000002</v>
      </c>
      <c r="S14" s="41">
        <f t="shared" si="3"/>
        <v>19878.296166666671</v>
      </c>
      <c r="T14" s="12"/>
      <c r="U14" s="48"/>
      <c r="V14" s="44">
        <v>108427.07</v>
      </c>
      <c r="W14" s="49">
        <f t="shared" si="7"/>
        <v>0.10000000000000009</v>
      </c>
      <c r="X14" s="41">
        <f t="shared" si="4"/>
        <v>108427.07</v>
      </c>
      <c r="Y14" s="50"/>
    </row>
    <row r="15" spans="1:25" x14ac:dyDescent="0.2">
      <c r="A15" s="37" t="s">
        <v>27</v>
      </c>
      <c r="B15" s="37" t="s">
        <v>28</v>
      </c>
      <c r="C15" s="53">
        <v>100021653</v>
      </c>
      <c r="D15" s="54" t="s">
        <v>33</v>
      </c>
      <c r="E15" s="40">
        <v>7790360026682</v>
      </c>
      <c r="F15" s="41">
        <v>5.76</v>
      </c>
      <c r="G15" s="42">
        <v>18</v>
      </c>
      <c r="I15" s="41">
        <f t="shared" si="5"/>
        <v>6954.5113336111099</v>
      </c>
      <c r="J15" s="41">
        <f t="shared" si="6"/>
        <v>5563.6090668888883</v>
      </c>
      <c r="K15" s="112"/>
      <c r="L15" s="41">
        <f t="shared" si="0"/>
        <v>3708.0838888888884</v>
      </c>
      <c r="M15" s="41">
        <f>+N15/F15</f>
        <v>11587.762152777777</v>
      </c>
      <c r="N15" s="45">
        <v>66745.509999999995</v>
      </c>
      <c r="O15" s="46"/>
      <c r="P15" s="44">
        <f t="shared" si="1"/>
        <v>66745.509999999995</v>
      </c>
      <c r="Q15" s="52"/>
      <c r="R15" s="44">
        <f t="shared" si="2"/>
        <v>66745.509999999995</v>
      </c>
      <c r="S15" s="41">
        <f t="shared" si="3"/>
        <v>3708.0838888888884</v>
      </c>
      <c r="T15" s="12"/>
      <c r="U15" s="48"/>
      <c r="V15" s="44">
        <v>66745.509999999995</v>
      </c>
      <c r="W15" s="49">
        <f t="shared" si="7"/>
        <v>0</v>
      </c>
      <c r="X15" s="41">
        <f t="shared" si="4"/>
        <v>66745.509999999995</v>
      </c>
      <c r="Y15" s="50"/>
    </row>
    <row r="16" spans="1:25" x14ac:dyDescent="0.2">
      <c r="A16" s="37" t="s">
        <v>27</v>
      </c>
      <c r="B16" s="37" t="s">
        <v>28</v>
      </c>
      <c r="C16" s="38">
        <v>100516169</v>
      </c>
      <c r="D16" s="39" t="s">
        <v>34</v>
      </c>
      <c r="E16" s="55">
        <v>7790360967961</v>
      </c>
      <c r="F16" s="41">
        <v>5.76</v>
      </c>
      <c r="G16" s="42">
        <v>18</v>
      </c>
      <c r="I16" s="41">
        <f t="shared" si="5"/>
        <v>6100.6514066666678</v>
      </c>
      <c r="J16" s="41">
        <f t="shared" si="6"/>
        <v>4880.5211253333346</v>
      </c>
      <c r="K16" s="112"/>
      <c r="L16" s="41">
        <f t="shared" si="0"/>
        <v>3252.8133333333335</v>
      </c>
      <c r="M16" s="41">
        <f>+N16/F16</f>
        <v>10165.041666666666</v>
      </c>
      <c r="N16" s="45">
        <v>58550.64</v>
      </c>
      <c r="O16" s="46"/>
      <c r="P16" s="44">
        <f t="shared" si="1"/>
        <v>58550.64</v>
      </c>
      <c r="Q16" s="52"/>
      <c r="R16" s="44">
        <f t="shared" si="2"/>
        <v>58550.64</v>
      </c>
      <c r="S16" s="41">
        <f t="shared" si="3"/>
        <v>3252.8133333333335</v>
      </c>
      <c r="T16" s="12"/>
      <c r="U16" s="48"/>
      <c r="V16" s="44">
        <v>58550.64</v>
      </c>
      <c r="W16" s="49">
        <f t="shared" si="7"/>
        <v>0</v>
      </c>
      <c r="X16" s="41">
        <f t="shared" si="4"/>
        <v>58550.64</v>
      </c>
      <c r="Y16" s="50"/>
    </row>
    <row r="17" spans="1:25" x14ac:dyDescent="0.2">
      <c r="A17" s="37" t="s">
        <v>27</v>
      </c>
      <c r="B17" s="37" t="s">
        <v>28</v>
      </c>
      <c r="C17" s="38">
        <v>100516170</v>
      </c>
      <c r="D17" s="39" t="s">
        <v>35</v>
      </c>
      <c r="E17" s="55">
        <v>7790360967954</v>
      </c>
      <c r="F17" s="41">
        <v>4.8</v>
      </c>
      <c r="G17" s="42">
        <v>30</v>
      </c>
      <c r="I17" s="41">
        <f t="shared" si="5"/>
        <v>0</v>
      </c>
      <c r="J17" s="41">
        <f t="shared" si="6"/>
        <v>0</v>
      </c>
      <c r="K17" s="112"/>
      <c r="L17" s="41">
        <f t="shared" si="0"/>
        <v>0</v>
      </c>
      <c r="M17" s="41">
        <f>+N17/F17</f>
        <v>0</v>
      </c>
      <c r="N17" s="45"/>
      <c r="O17" s="46"/>
      <c r="P17" s="44">
        <f t="shared" si="1"/>
        <v>0</v>
      </c>
      <c r="Q17" s="52"/>
      <c r="R17" s="44">
        <f t="shared" si="2"/>
        <v>0</v>
      </c>
      <c r="S17" s="41">
        <f t="shared" si="3"/>
        <v>0</v>
      </c>
      <c r="T17" s="12"/>
      <c r="U17" s="48"/>
      <c r="V17" s="44" t="s">
        <v>75</v>
      </c>
      <c r="W17" s="49" t="str">
        <f t="shared" si="7"/>
        <v/>
      </c>
      <c r="X17" s="41" t="str">
        <f t="shared" si="4"/>
        <v/>
      </c>
      <c r="Y17" s="50"/>
    </row>
    <row r="18" spans="1:25" x14ac:dyDescent="0.2">
      <c r="A18" s="37" t="s">
        <v>27</v>
      </c>
      <c r="B18" s="37" t="s">
        <v>28</v>
      </c>
      <c r="C18" s="38">
        <v>100517438</v>
      </c>
      <c r="D18" s="39" t="s">
        <v>36</v>
      </c>
      <c r="E18" s="55">
        <v>7790360972149</v>
      </c>
      <c r="F18" s="41">
        <v>3.3119999999999998</v>
      </c>
      <c r="G18" s="42">
        <v>12</v>
      </c>
      <c r="I18" s="41">
        <f>+L18*1.55*1.21</f>
        <v>0</v>
      </c>
      <c r="J18" s="41">
        <f>+I18*0.8</f>
        <v>0</v>
      </c>
      <c r="K18" s="112"/>
      <c r="L18" s="41">
        <f t="shared" si="0"/>
        <v>0</v>
      </c>
      <c r="M18" s="41">
        <f t="shared" ref="M18:M28" si="8">+IF(ISERROR(N18/F18),"",(N18/F18))</f>
        <v>0</v>
      </c>
      <c r="N18" s="45"/>
      <c r="O18" s="46"/>
      <c r="P18" s="44">
        <f t="shared" si="1"/>
        <v>0</v>
      </c>
      <c r="Q18" s="52"/>
      <c r="R18" s="44">
        <f t="shared" si="2"/>
        <v>0</v>
      </c>
      <c r="S18" s="41">
        <f t="shared" si="3"/>
        <v>0</v>
      </c>
      <c r="T18" s="12"/>
      <c r="U18" s="48"/>
      <c r="V18" s="44" t="s">
        <v>75</v>
      </c>
      <c r="W18" s="49" t="str">
        <f t="shared" si="7"/>
        <v/>
      </c>
      <c r="X18" s="41" t="str">
        <f t="shared" si="4"/>
        <v/>
      </c>
      <c r="Y18" s="50"/>
    </row>
    <row r="19" spans="1:25" x14ac:dyDescent="0.2">
      <c r="A19" s="37" t="s">
        <v>27</v>
      </c>
      <c r="B19" s="37" t="s">
        <v>28</v>
      </c>
      <c r="C19" s="38">
        <v>100520337</v>
      </c>
      <c r="D19" s="39" t="s">
        <v>37</v>
      </c>
      <c r="E19" s="55">
        <v>7790360977960</v>
      </c>
      <c r="F19" s="41">
        <v>4.8</v>
      </c>
      <c r="G19" s="42">
        <v>30</v>
      </c>
      <c r="I19" s="41">
        <f>+L19*1.55*1.21</f>
        <v>2353.6748543000003</v>
      </c>
      <c r="J19" s="41">
        <f>+I19*0.8</f>
        <v>1882.9398834400004</v>
      </c>
      <c r="K19" s="112"/>
      <c r="L19" s="41">
        <f t="shared" si="0"/>
        <v>1254.9586000000002</v>
      </c>
      <c r="M19" s="41">
        <f t="shared" si="8"/>
        <v>7843.4912500000009</v>
      </c>
      <c r="N19" s="45">
        <v>37648.758000000002</v>
      </c>
      <c r="O19" s="46"/>
      <c r="P19" s="44">
        <f>+IF(ISERROR(N19/(1-O19)),"",(N19/(1-O19)))</f>
        <v>37648.758000000002</v>
      </c>
      <c r="Q19" s="52"/>
      <c r="R19" s="44">
        <f>+IF(ISERROR(P19/(1-Q19)),"",(P19/(1-Q19)))</f>
        <v>37648.758000000002</v>
      </c>
      <c r="S19" s="41">
        <f t="shared" si="3"/>
        <v>1254.9586000000002</v>
      </c>
      <c r="T19" s="12"/>
      <c r="U19" s="48"/>
      <c r="V19" s="44">
        <v>35855.96</v>
      </c>
      <c r="W19" s="49">
        <f>+IF(ISERROR(N19/V19-1),"",(N19/V19-1))</f>
        <v>5.0000000000000044E-2</v>
      </c>
      <c r="X19" s="41">
        <f>+IF(ISERROR(V19*(1-O19)),"",(V19*(1-O19)))</f>
        <v>35855.96</v>
      </c>
      <c r="Y19" s="50"/>
    </row>
    <row r="20" spans="1:25" x14ac:dyDescent="0.2">
      <c r="A20" s="37" t="s">
        <v>27</v>
      </c>
      <c r="B20" s="37" t="s">
        <v>28</v>
      </c>
      <c r="C20" s="38">
        <v>100021503</v>
      </c>
      <c r="D20" s="39" t="s">
        <v>38</v>
      </c>
      <c r="E20" s="55">
        <v>7790360966841</v>
      </c>
      <c r="F20" s="41">
        <v>3.3119999999999998</v>
      </c>
      <c r="G20" s="42">
        <v>12</v>
      </c>
      <c r="I20" s="41">
        <f t="shared" si="5"/>
        <v>4894.4754705000005</v>
      </c>
      <c r="J20" s="41">
        <f t="shared" si="6"/>
        <v>3915.5803764000007</v>
      </c>
      <c r="K20" s="112"/>
      <c r="L20" s="41">
        <f t="shared" si="0"/>
        <v>2609.6910000000003</v>
      </c>
      <c r="M20" s="41">
        <f t="shared" si="8"/>
        <v>9455.402173913044</v>
      </c>
      <c r="N20" s="45">
        <v>31316.292000000001</v>
      </c>
      <c r="O20" s="46"/>
      <c r="P20" s="44">
        <f t="shared" si="1"/>
        <v>31316.292000000001</v>
      </c>
      <c r="Q20" s="52"/>
      <c r="R20" s="44">
        <f t="shared" si="2"/>
        <v>31316.292000000001</v>
      </c>
      <c r="S20" s="41">
        <f t="shared" si="3"/>
        <v>2609.6910000000003</v>
      </c>
      <c r="T20" s="12"/>
      <c r="U20" s="48"/>
      <c r="V20" s="44">
        <v>29825.040000000001</v>
      </c>
      <c r="W20" s="49">
        <f t="shared" si="7"/>
        <v>5.0000000000000044E-2</v>
      </c>
      <c r="X20" s="41">
        <f t="shared" si="4"/>
        <v>29825.040000000001</v>
      </c>
      <c r="Y20" s="50"/>
    </row>
    <row r="21" spans="1:25" x14ac:dyDescent="0.2">
      <c r="A21" s="37" t="s">
        <v>27</v>
      </c>
      <c r="B21" s="37" t="s">
        <v>28</v>
      </c>
      <c r="C21" s="53">
        <v>100516201</v>
      </c>
      <c r="D21" s="39" t="s">
        <v>39</v>
      </c>
      <c r="E21" s="40">
        <v>7790360968548</v>
      </c>
      <c r="F21" s="56">
        <v>6.6239999999999997</v>
      </c>
      <c r="G21" s="57">
        <v>8</v>
      </c>
      <c r="I21" s="41">
        <f t="shared" si="5"/>
        <v>12777.03036225</v>
      </c>
      <c r="J21" s="41">
        <f t="shared" si="6"/>
        <v>10221.6242898</v>
      </c>
      <c r="K21" s="112"/>
      <c r="L21" s="41">
        <f t="shared" si="0"/>
        <v>6812.5995000000003</v>
      </c>
      <c r="M21" s="41">
        <f t="shared" si="8"/>
        <v>8227.777173913044</v>
      </c>
      <c r="N21" s="45">
        <v>54500.796000000002</v>
      </c>
      <c r="O21" s="46"/>
      <c r="P21" s="44">
        <f t="shared" si="1"/>
        <v>54500.796000000002</v>
      </c>
      <c r="Q21" s="58"/>
      <c r="R21" s="44">
        <f t="shared" si="2"/>
        <v>54500.796000000002</v>
      </c>
      <c r="S21" s="41">
        <f t="shared" si="3"/>
        <v>6812.5995000000003</v>
      </c>
      <c r="T21" s="12"/>
      <c r="U21" s="48"/>
      <c r="V21" s="44">
        <v>51905.52</v>
      </c>
      <c r="W21" s="49">
        <f t="shared" si="7"/>
        <v>5.0000000000000044E-2</v>
      </c>
      <c r="X21" s="41">
        <f t="shared" si="4"/>
        <v>51905.52</v>
      </c>
      <c r="Y21" s="50"/>
    </row>
    <row r="22" spans="1:25" x14ac:dyDescent="0.2">
      <c r="A22" s="37" t="s">
        <v>27</v>
      </c>
      <c r="B22" s="37" t="s">
        <v>28</v>
      </c>
      <c r="C22" s="53">
        <v>100021643</v>
      </c>
      <c r="D22" s="39" t="s">
        <v>40</v>
      </c>
      <c r="E22" s="40">
        <v>7790360966797</v>
      </c>
      <c r="F22" s="56">
        <v>4.7039999999999997</v>
      </c>
      <c r="G22" s="57">
        <v>42</v>
      </c>
      <c r="I22" s="41">
        <f t="shared" si="5"/>
        <v>2097.8086414999998</v>
      </c>
      <c r="J22" s="41">
        <f t="shared" si="6"/>
        <v>1678.2469131999999</v>
      </c>
      <c r="K22" s="112"/>
      <c r="L22" s="41">
        <f t="shared" si="0"/>
        <v>1118.5329999999999</v>
      </c>
      <c r="M22" s="41">
        <f t="shared" si="8"/>
        <v>9986.9017857142862</v>
      </c>
      <c r="N22" s="45">
        <v>46978.385999999999</v>
      </c>
      <c r="O22" s="46"/>
      <c r="P22" s="44">
        <f t="shared" si="1"/>
        <v>46978.385999999999</v>
      </c>
      <c r="Q22" s="58"/>
      <c r="R22" s="44">
        <f t="shared" si="2"/>
        <v>46978.385999999999</v>
      </c>
      <c r="S22" s="41">
        <f t="shared" si="3"/>
        <v>1118.5329999999999</v>
      </c>
      <c r="T22" s="12"/>
      <c r="U22" s="48"/>
      <c r="V22" s="44">
        <v>44741.32</v>
      </c>
      <c r="W22" s="49">
        <f t="shared" si="7"/>
        <v>5.0000000000000044E-2</v>
      </c>
      <c r="X22" s="41">
        <f t="shared" si="4"/>
        <v>44741.32</v>
      </c>
      <c r="Y22" s="50"/>
    </row>
    <row r="23" spans="1:25" hidden="1" x14ac:dyDescent="0.2">
      <c r="A23" s="37" t="s">
        <v>27</v>
      </c>
      <c r="B23" s="37" t="s">
        <v>28</v>
      </c>
      <c r="C23" s="59">
        <v>100516075</v>
      </c>
      <c r="D23" s="60" t="s">
        <v>41</v>
      </c>
      <c r="E23" s="61">
        <v>7790360968470</v>
      </c>
      <c r="F23" s="62">
        <v>4.7039999999999997</v>
      </c>
      <c r="G23" s="63">
        <v>21</v>
      </c>
      <c r="H23" s="64"/>
      <c r="I23" s="41" t="e">
        <f t="shared" si="5"/>
        <v>#VALUE!</v>
      </c>
      <c r="J23" s="41" t="e">
        <f t="shared" si="6"/>
        <v>#VALUE!</v>
      </c>
      <c r="K23" s="112"/>
      <c r="L23" s="65" t="str">
        <f t="shared" si="0"/>
        <v/>
      </c>
      <c r="M23" s="65" t="str">
        <f t="shared" si="8"/>
        <v/>
      </c>
      <c r="N23" s="45" t="e">
        <v>#VALUE!</v>
      </c>
      <c r="O23" s="66"/>
      <c r="P23" s="44" t="str">
        <f t="shared" si="1"/>
        <v/>
      </c>
      <c r="Q23" s="67"/>
      <c r="R23" s="44" t="str">
        <f t="shared" si="2"/>
        <v/>
      </c>
      <c r="S23" s="65" t="str">
        <f t="shared" si="3"/>
        <v/>
      </c>
      <c r="T23" s="12"/>
      <c r="U23" s="48"/>
      <c r="V23" s="68" t="s">
        <v>75</v>
      </c>
      <c r="W23" s="69" t="str">
        <f t="shared" si="7"/>
        <v/>
      </c>
      <c r="X23" s="65" t="str">
        <f t="shared" si="4"/>
        <v/>
      </c>
      <c r="Y23" s="50"/>
    </row>
    <row r="24" spans="1:25" x14ac:dyDescent="0.2">
      <c r="A24" s="37" t="s">
        <v>27</v>
      </c>
      <c r="B24" s="37" t="s">
        <v>28</v>
      </c>
      <c r="C24" s="53">
        <v>100516325</v>
      </c>
      <c r="D24" s="39" t="s">
        <v>42</v>
      </c>
      <c r="E24" s="40">
        <v>7790360967763</v>
      </c>
      <c r="F24" s="56">
        <v>4.7039999999999997</v>
      </c>
      <c r="G24" s="57">
        <v>21</v>
      </c>
      <c r="I24" s="41">
        <f t="shared" si="5"/>
        <v>3423.2076120000002</v>
      </c>
      <c r="J24" s="41">
        <f t="shared" si="6"/>
        <v>2738.5660896000004</v>
      </c>
      <c r="K24" s="112"/>
      <c r="L24" s="41">
        <f t="shared" si="0"/>
        <v>1825.2240000000002</v>
      </c>
      <c r="M24" s="41">
        <f t="shared" si="8"/>
        <v>8148.3214285714303</v>
      </c>
      <c r="N24" s="45">
        <v>38329.704000000005</v>
      </c>
      <c r="O24" s="46"/>
      <c r="P24" s="44">
        <f t="shared" si="1"/>
        <v>38329.704000000005</v>
      </c>
      <c r="Q24" s="58"/>
      <c r="R24" s="44">
        <f t="shared" si="2"/>
        <v>38329.704000000005</v>
      </c>
      <c r="S24" s="41">
        <f t="shared" si="3"/>
        <v>1825.2240000000002</v>
      </c>
      <c r="T24" s="12"/>
      <c r="U24" s="48"/>
      <c r="V24" s="44">
        <v>36504.480000000003</v>
      </c>
      <c r="W24" s="49">
        <f t="shared" si="7"/>
        <v>5.0000000000000044E-2</v>
      </c>
      <c r="X24" s="41">
        <f t="shared" si="4"/>
        <v>36504.480000000003</v>
      </c>
      <c r="Y24" s="50"/>
    </row>
    <row r="25" spans="1:25" x14ac:dyDescent="0.2">
      <c r="A25" s="37" t="s">
        <v>27</v>
      </c>
      <c r="B25" s="37" t="s">
        <v>28</v>
      </c>
      <c r="C25" s="53">
        <v>100021676</v>
      </c>
      <c r="D25" s="39" t="s">
        <v>43</v>
      </c>
      <c r="E25" s="40">
        <v>7790360967411</v>
      </c>
      <c r="F25" s="56">
        <v>7.5</v>
      </c>
      <c r="G25" s="57">
        <v>30</v>
      </c>
      <c r="I25" s="41">
        <f t="shared" si="5"/>
        <v>5148.2312456666659</v>
      </c>
      <c r="J25" s="41">
        <f t="shared" si="6"/>
        <v>4118.5849965333327</v>
      </c>
      <c r="K25" s="112"/>
      <c r="L25" s="41">
        <f t="shared" si="0"/>
        <v>2744.9913333333334</v>
      </c>
      <c r="M25" s="41">
        <f t="shared" si="8"/>
        <v>10979.965333333334</v>
      </c>
      <c r="N25" s="45">
        <v>82349.740000000005</v>
      </c>
      <c r="O25" s="46"/>
      <c r="P25" s="44">
        <f t="shared" si="1"/>
        <v>82349.740000000005</v>
      </c>
      <c r="Q25" s="58"/>
      <c r="R25" s="44">
        <f t="shared" si="2"/>
        <v>82349.740000000005</v>
      </c>
      <c r="S25" s="41">
        <f t="shared" si="3"/>
        <v>2744.9913333333334</v>
      </c>
      <c r="T25" s="12"/>
      <c r="U25" s="48"/>
      <c r="V25" s="44">
        <v>82349.740000000005</v>
      </c>
      <c r="W25" s="49">
        <f t="shared" si="7"/>
        <v>0</v>
      </c>
      <c r="X25" s="41">
        <f t="shared" si="4"/>
        <v>82349.740000000005</v>
      </c>
      <c r="Y25" s="50"/>
    </row>
    <row r="26" spans="1:25" hidden="1" x14ac:dyDescent="0.2">
      <c r="A26" s="37" t="s">
        <v>27</v>
      </c>
      <c r="B26" s="37" t="s">
        <v>28</v>
      </c>
      <c r="C26" s="53">
        <v>100021664</v>
      </c>
      <c r="D26" s="39" t="s">
        <v>44</v>
      </c>
      <c r="E26" s="40">
        <v>7790360027870</v>
      </c>
      <c r="F26" s="56">
        <v>7.5</v>
      </c>
      <c r="G26" s="57">
        <v>30</v>
      </c>
      <c r="I26" s="41" t="e">
        <f t="shared" si="5"/>
        <v>#VALUE!</v>
      </c>
      <c r="J26" s="41" t="e">
        <f t="shared" si="6"/>
        <v>#VALUE!</v>
      </c>
      <c r="K26" s="112"/>
      <c r="L26" s="41" t="str">
        <f t="shared" si="0"/>
        <v/>
      </c>
      <c r="M26" s="41" t="str">
        <f t="shared" si="8"/>
        <v/>
      </c>
      <c r="N26" s="45" t="e">
        <v>#VALUE!</v>
      </c>
      <c r="O26" s="46"/>
      <c r="P26" s="44" t="str">
        <f t="shared" si="1"/>
        <v/>
      </c>
      <c r="Q26" s="58"/>
      <c r="R26" s="44" t="str">
        <f t="shared" si="2"/>
        <v/>
      </c>
      <c r="S26" s="41" t="str">
        <f t="shared" si="3"/>
        <v/>
      </c>
      <c r="T26" s="12"/>
      <c r="U26" s="48"/>
      <c r="V26" s="44" t="s">
        <v>75</v>
      </c>
      <c r="W26" s="49" t="str">
        <f t="shared" si="7"/>
        <v/>
      </c>
      <c r="X26" s="41" t="str">
        <f t="shared" si="4"/>
        <v/>
      </c>
      <c r="Y26" s="50"/>
    </row>
    <row r="27" spans="1:25" x14ac:dyDescent="0.2">
      <c r="A27" s="37" t="s">
        <v>27</v>
      </c>
      <c r="B27" s="37" t="s">
        <v>28</v>
      </c>
      <c r="C27" s="53">
        <v>100516008</v>
      </c>
      <c r="D27" s="39" t="s">
        <v>45</v>
      </c>
      <c r="E27" s="40">
        <v>7790360967701</v>
      </c>
      <c r="F27" s="56">
        <v>5.76</v>
      </c>
      <c r="G27" s="57">
        <v>24</v>
      </c>
      <c r="I27" s="41">
        <f t="shared" si="5"/>
        <v>5363.2055881249998</v>
      </c>
      <c r="J27" s="41">
        <f t="shared" si="6"/>
        <v>4290.5644705000004</v>
      </c>
      <c r="K27" s="112"/>
      <c r="L27" s="41">
        <f t="shared" si="0"/>
        <v>2859.61375</v>
      </c>
      <c r="M27" s="41">
        <f t="shared" si="8"/>
        <v>11915.057291666666</v>
      </c>
      <c r="N27" s="45">
        <v>68630.73</v>
      </c>
      <c r="O27" s="46"/>
      <c r="P27" s="44">
        <f t="shared" si="1"/>
        <v>68630.73</v>
      </c>
      <c r="Q27" s="58"/>
      <c r="R27" s="44">
        <f t="shared" si="2"/>
        <v>68630.73</v>
      </c>
      <c r="S27" s="41">
        <f t="shared" si="3"/>
        <v>2859.61375</v>
      </c>
      <c r="T27" s="12"/>
      <c r="U27" s="48"/>
      <c r="V27" s="44">
        <v>68630.73</v>
      </c>
      <c r="W27" s="49">
        <f t="shared" si="7"/>
        <v>0</v>
      </c>
      <c r="X27" s="41">
        <f t="shared" si="4"/>
        <v>68630.73</v>
      </c>
      <c r="Y27" s="50"/>
    </row>
    <row r="28" spans="1:25" x14ac:dyDescent="0.2">
      <c r="A28" s="37" t="s">
        <v>27</v>
      </c>
      <c r="B28" s="37" t="s">
        <v>28</v>
      </c>
      <c r="C28" s="53">
        <v>100520834</v>
      </c>
      <c r="D28" s="39" t="s">
        <v>46</v>
      </c>
      <c r="E28" s="40">
        <v>7790360980618</v>
      </c>
      <c r="F28" s="56">
        <v>6.66</v>
      </c>
      <c r="G28" s="57">
        <v>36</v>
      </c>
      <c r="I28" s="41">
        <f>+L28*1.55*1.21</f>
        <v>3700.409429444444</v>
      </c>
      <c r="J28" s="41">
        <f>+I28*0.8</f>
        <v>2960.3275435555552</v>
      </c>
      <c r="K28" s="112"/>
      <c r="L28" s="41">
        <f>+IF(ISERROR(N28/G28),"",(N28/G28))</f>
        <v>1973.0255555555555</v>
      </c>
      <c r="M28" s="41">
        <f t="shared" si="8"/>
        <v>10665.003003003003</v>
      </c>
      <c r="N28" s="45">
        <v>71028.92</v>
      </c>
      <c r="O28" s="46"/>
      <c r="P28" s="44">
        <f>+IF(ISERROR(N28/(1-O28)),"",(N28/(1-O28)))</f>
        <v>71028.92</v>
      </c>
      <c r="Q28" s="58"/>
      <c r="R28" s="44">
        <f>+IF(ISERROR(P28/(1-Q28)),"",(P28/(1-Q28)))</f>
        <v>71028.92</v>
      </c>
      <c r="S28" s="41">
        <f t="shared" si="3"/>
        <v>1973.0255555555555</v>
      </c>
      <c r="T28" s="12"/>
      <c r="U28" s="48"/>
      <c r="V28" s="44">
        <v>71028.92</v>
      </c>
      <c r="W28" s="49">
        <f>+IF(ISERROR(N28/V28-1),"",(N28/V28-1))</f>
        <v>0</v>
      </c>
      <c r="X28" s="41">
        <f>+IF(ISERROR(V28*(1-O28)),"",(V28*(1-O28)))</f>
        <v>71028.92</v>
      </c>
      <c r="Y28" s="50"/>
    </row>
    <row r="29" spans="1:25" x14ac:dyDescent="0.2">
      <c r="A29" s="37" t="s">
        <v>27</v>
      </c>
      <c r="B29" s="37" t="s">
        <v>28</v>
      </c>
      <c r="C29" s="53">
        <v>100518223</v>
      </c>
      <c r="D29" s="39" t="s">
        <v>47</v>
      </c>
      <c r="E29" s="40">
        <v>7790360975065</v>
      </c>
      <c r="F29" s="56">
        <v>6.36</v>
      </c>
      <c r="G29" s="57">
        <v>30</v>
      </c>
      <c r="I29" s="41">
        <f>+L29*1.55*1.21</f>
        <v>3859.9640493333332</v>
      </c>
      <c r="J29" s="41">
        <f>+I29*0.8</f>
        <v>3087.9712394666667</v>
      </c>
      <c r="K29" s="112"/>
      <c r="L29" s="41">
        <f t="shared" si="0"/>
        <v>2058.0986666666668</v>
      </c>
      <c r="M29" s="41">
        <v>932.20659722222229</v>
      </c>
      <c r="N29" s="45">
        <v>61742.96</v>
      </c>
      <c r="O29" s="46"/>
      <c r="P29" s="44">
        <f t="shared" si="1"/>
        <v>61742.96</v>
      </c>
      <c r="Q29" s="58"/>
      <c r="R29" s="44">
        <f t="shared" si="2"/>
        <v>61742.96</v>
      </c>
      <c r="S29" s="41">
        <f t="shared" si="3"/>
        <v>2058.0986666666668</v>
      </c>
      <c r="T29" s="12"/>
      <c r="U29" s="48"/>
      <c r="V29" s="44">
        <v>61742.96</v>
      </c>
      <c r="W29" s="49">
        <f t="shared" si="7"/>
        <v>0</v>
      </c>
      <c r="X29" s="41"/>
      <c r="Y29" s="50"/>
    </row>
    <row r="30" spans="1:25" x14ac:dyDescent="0.2">
      <c r="A30" s="37" t="s">
        <v>27</v>
      </c>
      <c r="B30" s="37" t="s">
        <v>48</v>
      </c>
      <c r="C30" s="53">
        <v>100021680</v>
      </c>
      <c r="D30" s="39" t="s">
        <v>49</v>
      </c>
      <c r="E30" s="40">
        <v>7790360967688</v>
      </c>
      <c r="F30" s="56">
        <v>4.32</v>
      </c>
      <c r="G30" s="57">
        <v>18</v>
      </c>
      <c r="I30" s="41">
        <f t="shared" si="5"/>
        <v>6469.9019305555548</v>
      </c>
      <c r="J30" s="41">
        <f t="shared" si="6"/>
        <v>5175.9215444444444</v>
      </c>
      <c r="K30" s="112"/>
      <c r="L30" s="41">
        <f t="shared" si="0"/>
        <v>3449.6944444444443</v>
      </c>
      <c r="M30" s="41">
        <f t="shared" ref="M30:M47" si="9">+IF(ISERROR(N30/F30),"",(N30/F30))</f>
        <v>14373.72685185185</v>
      </c>
      <c r="N30" s="45">
        <v>62094.5</v>
      </c>
      <c r="O30" s="46"/>
      <c r="P30" s="44">
        <f t="shared" si="1"/>
        <v>62094.5</v>
      </c>
      <c r="Q30" s="58"/>
      <c r="R30" s="44">
        <f t="shared" si="2"/>
        <v>62094.5</v>
      </c>
      <c r="S30" s="41">
        <f t="shared" si="3"/>
        <v>3449.6944444444443</v>
      </c>
      <c r="T30" s="12"/>
      <c r="U30" s="48"/>
      <c r="V30" s="44">
        <v>62094.5</v>
      </c>
      <c r="W30" s="49">
        <f t="shared" si="7"/>
        <v>0</v>
      </c>
      <c r="X30" s="41">
        <f t="shared" ref="X30:X47" si="10">+IF(ISERROR(V30*(1-O30)),"",(V30*(1-O30)))</f>
        <v>62094.5</v>
      </c>
      <c r="Y30" s="50"/>
    </row>
    <row r="31" spans="1:25" x14ac:dyDescent="0.2">
      <c r="A31" s="37" t="s">
        <v>27</v>
      </c>
      <c r="B31" s="37" t="s">
        <v>50</v>
      </c>
      <c r="C31" s="53">
        <v>100021644</v>
      </c>
      <c r="D31" s="39" t="s">
        <v>51</v>
      </c>
      <c r="E31" s="40">
        <v>7790360008541</v>
      </c>
      <c r="F31" s="56">
        <v>4.7039999999999997</v>
      </c>
      <c r="G31" s="57">
        <v>42</v>
      </c>
      <c r="I31" s="41">
        <f t="shared" si="5"/>
        <v>1274.9835656904763</v>
      </c>
      <c r="J31" s="41">
        <f t="shared" si="6"/>
        <v>1019.9868525523812</v>
      </c>
      <c r="K31" s="112"/>
      <c r="L31" s="41">
        <f t="shared" si="0"/>
        <v>679.8099523809525</v>
      </c>
      <c r="M31" s="41">
        <f t="shared" si="9"/>
        <v>6069.7317176870756</v>
      </c>
      <c r="N31" s="45">
        <v>28552.018000000004</v>
      </c>
      <c r="O31" s="46"/>
      <c r="P31" s="44">
        <f t="shared" si="1"/>
        <v>28552.018000000004</v>
      </c>
      <c r="Q31" s="58"/>
      <c r="R31" s="44">
        <f t="shared" si="2"/>
        <v>28552.018000000004</v>
      </c>
      <c r="S31" s="41">
        <f t="shared" si="3"/>
        <v>679.8099523809525</v>
      </c>
      <c r="T31" s="12"/>
      <c r="U31" s="48"/>
      <c r="V31" s="44">
        <v>25956.38</v>
      </c>
      <c r="W31" s="49">
        <f t="shared" si="7"/>
        <v>0.10000000000000009</v>
      </c>
      <c r="X31" s="41">
        <f t="shared" si="10"/>
        <v>25956.38</v>
      </c>
      <c r="Y31" s="50"/>
    </row>
    <row r="32" spans="1:25" x14ac:dyDescent="0.2">
      <c r="A32" s="37" t="s">
        <v>27</v>
      </c>
      <c r="B32" s="37" t="s">
        <v>50</v>
      </c>
      <c r="C32" s="53">
        <v>100021677</v>
      </c>
      <c r="D32" s="39" t="s">
        <v>52</v>
      </c>
      <c r="E32" s="40">
        <v>7790360967404</v>
      </c>
      <c r="F32" s="56">
        <v>3.3119999999999998</v>
      </c>
      <c r="G32" s="57">
        <v>12</v>
      </c>
      <c r="I32" s="41">
        <f t="shared" si="5"/>
        <v>3805.7461575833331</v>
      </c>
      <c r="J32" s="41">
        <f t="shared" si="6"/>
        <v>3044.5969260666666</v>
      </c>
      <c r="K32" s="113">
        <f>IFERROR(((I32/1.21)-L32)/(I32/1.21),)</f>
        <v>0.35483870967741937</v>
      </c>
      <c r="L32" s="41">
        <f t="shared" si="0"/>
        <v>2029.1901666666665</v>
      </c>
      <c r="M32" s="41">
        <f t="shared" si="9"/>
        <v>7352.1382850241544</v>
      </c>
      <c r="N32" s="45">
        <v>24350.281999999999</v>
      </c>
      <c r="O32" s="46"/>
      <c r="P32" s="44">
        <f t="shared" si="1"/>
        <v>24350.281999999999</v>
      </c>
      <c r="Q32" s="58"/>
      <c r="R32" s="44">
        <f t="shared" si="2"/>
        <v>24350.281999999999</v>
      </c>
      <c r="S32" s="41">
        <f t="shared" si="3"/>
        <v>2029.1901666666665</v>
      </c>
      <c r="T32" s="12"/>
      <c r="U32" s="48"/>
      <c r="V32" s="44">
        <v>22136.62</v>
      </c>
      <c r="W32" s="49">
        <f t="shared" si="7"/>
        <v>0.10000000000000009</v>
      </c>
      <c r="X32" s="41">
        <f t="shared" si="10"/>
        <v>22136.62</v>
      </c>
      <c r="Y32" s="50"/>
    </row>
    <row r="33" spans="1:25" x14ac:dyDescent="0.2">
      <c r="A33" s="37" t="s">
        <v>27</v>
      </c>
      <c r="B33" s="37" t="s">
        <v>53</v>
      </c>
      <c r="C33" s="53">
        <v>100021638</v>
      </c>
      <c r="D33" s="39" t="s">
        <v>54</v>
      </c>
      <c r="E33" s="40">
        <v>7790360026699</v>
      </c>
      <c r="F33" s="56">
        <v>4.8</v>
      </c>
      <c r="G33" s="57">
        <v>60</v>
      </c>
      <c r="I33" s="41">
        <f t="shared" si="5"/>
        <v>1738.6660206666668</v>
      </c>
      <c r="J33" s="41">
        <f t="shared" si="6"/>
        <v>1390.9328165333336</v>
      </c>
      <c r="K33" s="112"/>
      <c r="L33" s="41">
        <f t="shared" si="0"/>
        <v>927.04133333333334</v>
      </c>
      <c r="M33" s="41">
        <f t="shared" si="9"/>
        <v>11588.016666666668</v>
      </c>
      <c r="N33" s="45">
        <v>55622.48</v>
      </c>
      <c r="O33" s="46"/>
      <c r="P33" s="44">
        <f t="shared" si="1"/>
        <v>55622.48</v>
      </c>
      <c r="Q33" s="58"/>
      <c r="R33" s="44">
        <f t="shared" si="2"/>
        <v>55622.48</v>
      </c>
      <c r="S33" s="41">
        <f t="shared" si="3"/>
        <v>927.04133333333334</v>
      </c>
      <c r="T33" s="12"/>
      <c r="U33" s="48"/>
      <c r="V33" s="44">
        <v>55622.48</v>
      </c>
      <c r="W33" s="49">
        <f t="shared" si="7"/>
        <v>0</v>
      </c>
      <c r="X33" s="41">
        <f t="shared" si="10"/>
        <v>55622.48</v>
      </c>
      <c r="Y33" s="50"/>
    </row>
    <row r="34" spans="1:25" x14ac:dyDescent="0.2">
      <c r="A34" s="37" t="s">
        <v>27</v>
      </c>
      <c r="B34" s="37" t="s">
        <v>53</v>
      </c>
      <c r="C34" s="53">
        <v>100021575</v>
      </c>
      <c r="D34" s="39" t="s">
        <v>55</v>
      </c>
      <c r="E34" s="40">
        <v>7790360007032</v>
      </c>
      <c r="F34" s="56">
        <v>4.1399999999999997</v>
      </c>
      <c r="G34" s="57">
        <v>60</v>
      </c>
      <c r="I34" s="41">
        <f t="shared" si="5"/>
        <v>1425.9820354999999</v>
      </c>
      <c r="J34" s="41">
        <f t="shared" si="6"/>
        <v>1140.7856284</v>
      </c>
      <c r="K34" s="112"/>
      <c r="L34" s="41">
        <f t="shared" si="0"/>
        <v>760.32100000000003</v>
      </c>
      <c r="M34" s="41">
        <f t="shared" si="9"/>
        <v>11019.144927536234</v>
      </c>
      <c r="N34" s="45">
        <v>45619.26</v>
      </c>
      <c r="O34" s="46"/>
      <c r="P34" s="44">
        <f t="shared" si="1"/>
        <v>45619.26</v>
      </c>
      <c r="Q34" s="58"/>
      <c r="R34" s="44">
        <f t="shared" si="2"/>
        <v>45619.26</v>
      </c>
      <c r="S34" s="41">
        <f t="shared" si="3"/>
        <v>760.32100000000003</v>
      </c>
      <c r="T34" s="12"/>
      <c r="U34" s="48"/>
      <c r="V34" s="44">
        <v>45619.26</v>
      </c>
      <c r="W34" s="49">
        <f t="shared" si="7"/>
        <v>0</v>
      </c>
      <c r="X34" s="41">
        <f t="shared" si="10"/>
        <v>45619.26</v>
      </c>
      <c r="Y34" s="50"/>
    </row>
    <row r="35" spans="1:25" x14ac:dyDescent="0.2">
      <c r="A35" s="37" t="s">
        <v>27</v>
      </c>
      <c r="B35" s="37" t="s">
        <v>53</v>
      </c>
      <c r="C35" s="53">
        <v>100021514</v>
      </c>
      <c r="D35" s="54" t="s">
        <v>56</v>
      </c>
      <c r="E35" s="40">
        <v>7790360006943</v>
      </c>
      <c r="F35" s="41">
        <v>4.1399999999999997</v>
      </c>
      <c r="G35" s="42">
        <v>60</v>
      </c>
      <c r="I35" s="41">
        <f t="shared" si="5"/>
        <v>1297.6359440000001</v>
      </c>
      <c r="J35" s="41">
        <f t="shared" si="6"/>
        <v>1038.1087552000001</v>
      </c>
      <c r="K35" s="112"/>
      <c r="L35" s="41">
        <f t="shared" si="0"/>
        <v>691.88800000000003</v>
      </c>
      <c r="M35" s="41">
        <f t="shared" si="9"/>
        <v>10027.36231884058</v>
      </c>
      <c r="N35" s="45">
        <v>41513.279999999999</v>
      </c>
      <c r="O35" s="58"/>
      <c r="P35" s="44">
        <f t="shared" si="1"/>
        <v>41513.279999999999</v>
      </c>
      <c r="Q35" s="58"/>
      <c r="R35" s="44">
        <f t="shared" si="2"/>
        <v>41513.279999999999</v>
      </c>
      <c r="S35" s="41">
        <f t="shared" si="3"/>
        <v>691.88800000000003</v>
      </c>
      <c r="T35" s="12"/>
      <c r="U35" s="48"/>
      <c r="V35" s="41">
        <v>41513.279999999999</v>
      </c>
      <c r="W35" s="49">
        <f t="shared" si="7"/>
        <v>0</v>
      </c>
      <c r="X35" s="41">
        <f t="shared" si="10"/>
        <v>41513.279999999999</v>
      </c>
      <c r="Y35" s="50"/>
    </row>
    <row r="36" spans="1:25" x14ac:dyDescent="0.2">
      <c r="A36" s="37" t="s">
        <v>27</v>
      </c>
      <c r="B36" s="37" t="s">
        <v>53</v>
      </c>
      <c r="C36" s="51">
        <v>100516208</v>
      </c>
      <c r="D36" s="70" t="s">
        <v>57</v>
      </c>
      <c r="E36" s="71">
        <v>7790360968203</v>
      </c>
      <c r="F36" s="41">
        <f>60*0.08</f>
        <v>4.8</v>
      </c>
      <c r="G36" s="42">
        <v>60</v>
      </c>
      <c r="I36" s="41">
        <f t="shared" si="5"/>
        <v>1504.5060946666665</v>
      </c>
      <c r="J36" s="41">
        <f t="shared" si="6"/>
        <v>1203.6048757333333</v>
      </c>
      <c r="K36" s="112"/>
      <c r="L36" s="41">
        <f t="shared" si="0"/>
        <v>802.18933333333337</v>
      </c>
      <c r="M36" s="41">
        <f t="shared" si="9"/>
        <v>10027.366666666667</v>
      </c>
      <c r="N36" s="45">
        <v>48131.360000000001</v>
      </c>
      <c r="O36" s="46"/>
      <c r="P36" s="44">
        <f t="shared" si="1"/>
        <v>48131.360000000001</v>
      </c>
      <c r="Q36" s="52"/>
      <c r="R36" s="44">
        <f t="shared" si="2"/>
        <v>48131.360000000001</v>
      </c>
      <c r="S36" s="41">
        <f t="shared" si="3"/>
        <v>802.18933333333337</v>
      </c>
      <c r="T36" s="12"/>
      <c r="U36" s="48"/>
      <c r="V36" s="44">
        <v>48131.360000000001</v>
      </c>
      <c r="W36" s="49">
        <f t="shared" si="7"/>
        <v>0</v>
      </c>
      <c r="X36" s="41">
        <f t="shared" si="10"/>
        <v>48131.360000000001</v>
      </c>
      <c r="Y36" s="50"/>
    </row>
    <row r="37" spans="1:25" x14ac:dyDescent="0.2">
      <c r="A37" s="37" t="s">
        <v>27</v>
      </c>
      <c r="B37" s="37" t="s">
        <v>53</v>
      </c>
      <c r="C37" s="51">
        <v>100021530</v>
      </c>
      <c r="D37" s="70" t="s">
        <v>58</v>
      </c>
      <c r="E37" s="71">
        <v>7790360006998</v>
      </c>
      <c r="F37" s="41">
        <v>4.3600000000000003</v>
      </c>
      <c r="G37" s="42">
        <v>40</v>
      </c>
      <c r="I37" s="41" t="e">
        <f t="shared" si="5"/>
        <v>#VALUE!</v>
      </c>
      <c r="J37" s="41" t="e">
        <f t="shared" si="6"/>
        <v>#VALUE!</v>
      </c>
      <c r="K37" s="112"/>
      <c r="L37" s="41" t="str">
        <f t="shared" si="0"/>
        <v/>
      </c>
      <c r="M37" s="41" t="str">
        <f t="shared" si="9"/>
        <v/>
      </c>
      <c r="N37" s="45" t="e">
        <v>#VALUE!</v>
      </c>
      <c r="O37" s="46"/>
      <c r="P37" s="44" t="str">
        <f t="shared" si="1"/>
        <v/>
      </c>
      <c r="Q37" s="52"/>
      <c r="R37" s="44" t="str">
        <f t="shared" si="2"/>
        <v/>
      </c>
      <c r="S37" s="41" t="str">
        <f t="shared" si="3"/>
        <v/>
      </c>
      <c r="T37" s="12"/>
      <c r="U37" s="48"/>
      <c r="V37" s="44" t="s">
        <v>75</v>
      </c>
      <c r="W37" s="49" t="str">
        <f t="shared" si="7"/>
        <v/>
      </c>
      <c r="X37" s="41" t="str">
        <f t="shared" si="10"/>
        <v/>
      </c>
      <c r="Y37" s="50"/>
    </row>
    <row r="38" spans="1:25" x14ac:dyDescent="0.2">
      <c r="A38" s="37" t="s">
        <v>27</v>
      </c>
      <c r="B38" s="37" t="s">
        <v>53</v>
      </c>
      <c r="C38" s="53">
        <v>100518346</v>
      </c>
      <c r="D38" s="54" t="s">
        <v>59</v>
      </c>
      <c r="E38" s="40">
        <v>7790360975478</v>
      </c>
      <c r="F38" s="41">
        <v>6.54</v>
      </c>
      <c r="G38" s="42">
        <v>60</v>
      </c>
      <c r="I38" s="41">
        <f>+L38*1.55*1.21</f>
        <v>2150.3751555000003</v>
      </c>
      <c r="J38" s="41">
        <f>+I38*0.8</f>
        <v>1720.3001244000004</v>
      </c>
      <c r="K38" s="112"/>
      <c r="L38" s="41">
        <f t="shared" si="0"/>
        <v>1146.5610000000001</v>
      </c>
      <c r="M38" s="41">
        <f t="shared" si="9"/>
        <v>10518.908256880735</v>
      </c>
      <c r="N38" s="45">
        <v>68793.66</v>
      </c>
      <c r="O38" s="46"/>
      <c r="P38" s="44">
        <f t="shared" si="1"/>
        <v>68793.66</v>
      </c>
      <c r="Q38" s="52"/>
      <c r="R38" s="44">
        <f t="shared" si="2"/>
        <v>68793.66</v>
      </c>
      <c r="S38" s="41">
        <f t="shared" si="3"/>
        <v>1146.5610000000001</v>
      </c>
      <c r="T38" s="12"/>
      <c r="U38" s="48"/>
      <c r="V38" s="44">
        <v>68793.66</v>
      </c>
      <c r="W38" s="49">
        <f t="shared" si="7"/>
        <v>0</v>
      </c>
      <c r="X38" s="41">
        <f t="shared" si="10"/>
        <v>68793.66</v>
      </c>
      <c r="Y38" s="50"/>
    </row>
    <row r="39" spans="1:25" x14ac:dyDescent="0.2">
      <c r="A39" s="37" t="s">
        <v>27</v>
      </c>
      <c r="B39" s="37" t="s">
        <v>53</v>
      </c>
      <c r="C39" s="51">
        <v>100516259</v>
      </c>
      <c r="D39" s="70" t="s">
        <v>60</v>
      </c>
      <c r="E39" s="71">
        <v>7790360968340</v>
      </c>
      <c r="F39" s="41">
        <v>18.16</v>
      </c>
      <c r="G39" s="42">
        <v>48</v>
      </c>
      <c r="I39" s="41">
        <f t="shared" si="5"/>
        <v>6219.1251787500005</v>
      </c>
      <c r="J39" s="41">
        <f t="shared" si="6"/>
        <v>4975.3001430000004</v>
      </c>
      <c r="K39" s="112"/>
      <c r="L39" s="41">
        <f t="shared" si="0"/>
        <v>3315.9825000000001</v>
      </c>
      <c r="M39" s="41">
        <f t="shared" si="9"/>
        <v>8764.7114537444941</v>
      </c>
      <c r="N39" s="45">
        <v>159167.16</v>
      </c>
      <c r="O39" s="46"/>
      <c r="P39" s="44">
        <f t="shared" si="1"/>
        <v>159167.16</v>
      </c>
      <c r="Q39" s="52"/>
      <c r="R39" s="44">
        <f t="shared" si="2"/>
        <v>159167.16</v>
      </c>
      <c r="S39" s="41">
        <f t="shared" si="3"/>
        <v>3315.9825000000001</v>
      </c>
      <c r="T39" s="12"/>
      <c r="U39" s="48"/>
      <c r="V39" s="44">
        <v>159167.16</v>
      </c>
      <c r="W39" s="49">
        <f t="shared" si="7"/>
        <v>0</v>
      </c>
      <c r="X39" s="41">
        <f t="shared" si="10"/>
        <v>159167.16</v>
      </c>
      <c r="Y39" s="50"/>
    </row>
    <row r="40" spans="1:25" x14ac:dyDescent="0.2">
      <c r="A40" s="37" t="s">
        <v>27</v>
      </c>
      <c r="B40" s="37" t="s">
        <v>53</v>
      </c>
      <c r="C40" s="51">
        <v>100516191</v>
      </c>
      <c r="D40" s="70" t="s">
        <v>61</v>
      </c>
      <c r="E40" s="71">
        <v>7790360008428</v>
      </c>
      <c r="F40" s="41">
        <v>4.9800000000000004</v>
      </c>
      <c r="G40" s="42">
        <v>60</v>
      </c>
      <c r="I40" s="41" t="e">
        <f>+L40*1.55*1.21</f>
        <v>#VALUE!</v>
      </c>
      <c r="J40" s="41">
        <v>0</v>
      </c>
      <c r="K40" s="112"/>
      <c r="L40" s="41" t="str">
        <f t="shared" si="0"/>
        <v/>
      </c>
      <c r="M40" s="41" t="str">
        <f t="shared" si="9"/>
        <v/>
      </c>
      <c r="N40" s="45" t="e">
        <v>#VALUE!</v>
      </c>
      <c r="O40" s="46"/>
      <c r="P40" s="44" t="str">
        <f t="shared" si="1"/>
        <v/>
      </c>
      <c r="Q40" s="52"/>
      <c r="R40" s="44" t="str">
        <f t="shared" si="2"/>
        <v/>
      </c>
      <c r="S40" s="41" t="str">
        <f t="shared" si="3"/>
        <v/>
      </c>
      <c r="T40" s="12"/>
      <c r="U40" s="48"/>
      <c r="V40" s="44" t="s">
        <v>75</v>
      </c>
      <c r="W40" s="49" t="str">
        <f t="shared" si="7"/>
        <v/>
      </c>
      <c r="X40" s="41" t="str">
        <f t="shared" si="10"/>
        <v/>
      </c>
    </row>
    <row r="41" spans="1:25" hidden="1" x14ac:dyDescent="0.2">
      <c r="A41" s="37" t="s">
        <v>27</v>
      </c>
      <c r="B41" s="37" t="s">
        <v>62</v>
      </c>
      <c r="C41" s="51">
        <v>100021669</v>
      </c>
      <c r="D41" s="70" t="s">
        <v>63</v>
      </c>
      <c r="E41" s="71">
        <v>8480017241375</v>
      </c>
      <c r="F41" s="41">
        <v>5.9749999999999996</v>
      </c>
      <c r="G41" s="42">
        <v>18</v>
      </c>
      <c r="I41" s="41" t="e">
        <f t="shared" ref="I41:I47" si="11">+L41*1.55*1.21</f>
        <v>#VALUE!</v>
      </c>
      <c r="J41" s="41">
        <v>0</v>
      </c>
      <c r="K41" s="112"/>
      <c r="L41" s="41" t="str">
        <f t="shared" si="0"/>
        <v/>
      </c>
      <c r="M41" s="41" t="str">
        <f t="shared" si="9"/>
        <v/>
      </c>
      <c r="N41" s="45" t="e">
        <v>#VALUE!</v>
      </c>
      <c r="O41" s="46"/>
      <c r="P41" s="44" t="str">
        <f t="shared" si="1"/>
        <v/>
      </c>
      <c r="Q41" s="52"/>
      <c r="R41" s="44" t="str">
        <f t="shared" si="2"/>
        <v/>
      </c>
      <c r="S41" s="41" t="str">
        <f t="shared" si="3"/>
        <v/>
      </c>
      <c r="T41" s="12"/>
      <c r="U41" s="48"/>
      <c r="V41" s="44" t="s">
        <v>75</v>
      </c>
      <c r="W41" s="72" t="str">
        <f t="shared" si="7"/>
        <v/>
      </c>
      <c r="X41" s="41" t="str">
        <f t="shared" si="10"/>
        <v/>
      </c>
    </row>
    <row r="42" spans="1:25" hidden="1" x14ac:dyDescent="0.2">
      <c r="A42" s="37" t="s">
        <v>27</v>
      </c>
      <c r="B42" s="37" t="s">
        <v>62</v>
      </c>
      <c r="C42" s="53">
        <v>100021670</v>
      </c>
      <c r="D42" s="54" t="s">
        <v>64</v>
      </c>
      <c r="E42" s="40">
        <v>8480017241382</v>
      </c>
      <c r="F42" s="41">
        <v>11.95</v>
      </c>
      <c r="G42" s="42">
        <v>12</v>
      </c>
      <c r="I42" s="41" t="e">
        <f t="shared" si="11"/>
        <v>#VALUE!</v>
      </c>
      <c r="J42" s="41">
        <v>0</v>
      </c>
      <c r="K42" s="112"/>
      <c r="L42" s="41" t="str">
        <f t="shared" si="0"/>
        <v/>
      </c>
      <c r="M42" s="41" t="str">
        <f t="shared" si="9"/>
        <v/>
      </c>
      <c r="N42" s="45" t="e">
        <v>#VALUE!</v>
      </c>
      <c r="O42" s="46"/>
      <c r="P42" s="44" t="str">
        <f t="shared" si="1"/>
        <v/>
      </c>
      <c r="Q42" s="52"/>
      <c r="R42" s="44" t="str">
        <f t="shared" si="2"/>
        <v/>
      </c>
      <c r="S42" s="41" t="str">
        <f t="shared" si="3"/>
        <v/>
      </c>
      <c r="T42" s="12"/>
      <c r="U42" s="48"/>
      <c r="V42" s="44" t="s">
        <v>75</v>
      </c>
      <c r="W42" s="72" t="str">
        <f t="shared" si="7"/>
        <v/>
      </c>
      <c r="X42" s="41" t="str">
        <f t="shared" si="10"/>
        <v/>
      </c>
    </row>
    <row r="43" spans="1:25" hidden="1" x14ac:dyDescent="0.2">
      <c r="A43" s="37" t="s">
        <v>27</v>
      </c>
      <c r="B43" s="37" t="s">
        <v>62</v>
      </c>
      <c r="C43" s="53">
        <v>100021671</v>
      </c>
      <c r="D43" s="54" t="s">
        <v>65</v>
      </c>
      <c r="E43" s="40">
        <v>8480017241399</v>
      </c>
      <c r="F43" s="41">
        <v>9.9600000000000009</v>
      </c>
      <c r="G43" s="42">
        <v>6</v>
      </c>
      <c r="I43" s="41" t="e">
        <f t="shared" si="11"/>
        <v>#VALUE!</v>
      </c>
      <c r="J43" s="41">
        <v>0</v>
      </c>
      <c r="K43" s="112"/>
      <c r="L43" s="41" t="str">
        <f t="shared" si="0"/>
        <v/>
      </c>
      <c r="M43" s="41" t="str">
        <f t="shared" si="9"/>
        <v/>
      </c>
      <c r="N43" s="45" t="e">
        <v>#VALUE!</v>
      </c>
      <c r="O43" s="46"/>
      <c r="P43" s="44" t="str">
        <f t="shared" si="1"/>
        <v/>
      </c>
      <c r="Q43" s="52"/>
      <c r="R43" s="44" t="str">
        <f t="shared" si="2"/>
        <v/>
      </c>
      <c r="S43" s="41" t="str">
        <f t="shared" si="3"/>
        <v/>
      </c>
      <c r="T43" s="12"/>
      <c r="U43" s="48"/>
      <c r="V43" s="44" t="s">
        <v>75</v>
      </c>
      <c r="W43" s="72" t="str">
        <f t="shared" si="7"/>
        <v/>
      </c>
      <c r="X43" s="41" t="str">
        <f t="shared" si="10"/>
        <v/>
      </c>
    </row>
    <row r="44" spans="1:25" hidden="1" x14ac:dyDescent="0.2">
      <c r="A44" s="37" t="s">
        <v>27</v>
      </c>
      <c r="B44" s="37" t="s">
        <v>62</v>
      </c>
      <c r="C44" s="53">
        <v>100021647</v>
      </c>
      <c r="D44" s="54" t="s">
        <v>66</v>
      </c>
      <c r="E44" s="40">
        <v>7798158708925</v>
      </c>
      <c r="F44" s="41">
        <v>5.76</v>
      </c>
      <c r="G44" s="42">
        <v>18</v>
      </c>
      <c r="I44" s="41" t="e">
        <f t="shared" si="11"/>
        <v>#VALUE!</v>
      </c>
      <c r="J44" s="41">
        <v>0</v>
      </c>
      <c r="K44" s="112"/>
      <c r="L44" s="41" t="str">
        <f t="shared" si="0"/>
        <v/>
      </c>
      <c r="M44" s="41" t="str">
        <f t="shared" si="9"/>
        <v/>
      </c>
      <c r="N44" s="45" t="e">
        <v>#VALUE!</v>
      </c>
      <c r="O44" s="46"/>
      <c r="P44" s="44" t="str">
        <f t="shared" si="1"/>
        <v/>
      </c>
      <c r="Q44" s="52"/>
      <c r="R44" s="44" t="str">
        <f t="shared" si="2"/>
        <v/>
      </c>
      <c r="S44" s="41" t="str">
        <f t="shared" si="3"/>
        <v/>
      </c>
      <c r="T44" s="12"/>
      <c r="U44" s="48"/>
      <c r="V44" s="44" t="s">
        <v>75</v>
      </c>
      <c r="W44" s="72" t="str">
        <f t="shared" si="7"/>
        <v/>
      </c>
      <c r="X44" s="41" t="str">
        <f t="shared" si="10"/>
        <v/>
      </c>
    </row>
    <row r="45" spans="1:25" hidden="1" x14ac:dyDescent="0.2">
      <c r="A45" s="37" t="s">
        <v>27</v>
      </c>
      <c r="B45" s="37" t="s">
        <v>62</v>
      </c>
      <c r="C45" s="53">
        <v>100021648</v>
      </c>
      <c r="D45" s="54" t="s">
        <v>67</v>
      </c>
      <c r="E45" s="40">
        <v>7798158708932</v>
      </c>
      <c r="F45" s="41">
        <v>7.68</v>
      </c>
      <c r="G45" s="42">
        <v>8</v>
      </c>
      <c r="I45" s="41" t="e">
        <f t="shared" si="11"/>
        <v>#VALUE!</v>
      </c>
      <c r="J45" s="41">
        <v>0</v>
      </c>
      <c r="K45" s="112"/>
      <c r="L45" s="41" t="str">
        <f t="shared" si="0"/>
        <v/>
      </c>
      <c r="M45" s="41" t="str">
        <f t="shared" si="9"/>
        <v/>
      </c>
      <c r="N45" s="45" t="e">
        <v>#VALUE!</v>
      </c>
      <c r="O45" s="46"/>
      <c r="P45" s="44" t="str">
        <f t="shared" si="1"/>
        <v/>
      </c>
      <c r="Q45" s="52"/>
      <c r="R45" s="44" t="str">
        <f t="shared" si="2"/>
        <v/>
      </c>
      <c r="S45" s="41" t="str">
        <f t="shared" si="3"/>
        <v/>
      </c>
      <c r="T45" s="12"/>
      <c r="U45" s="48"/>
      <c r="V45" s="44" t="s">
        <v>75</v>
      </c>
      <c r="W45" s="72" t="str">
        <f t="shared" si="7"/>
        <v/>
      </c>
      <c r="X45" s="41" t="str">
        <f t="shared" si="10"/>
        <v/>
      </c>
    </row>
    <row r="46" spans="1:25" hidden="1" x14ac:dyDescent="0.2">
      <c r="A46" s="37" t="s">
        <v>27</v>
      </c>
      <c r="B46" s="37" t="s">
        <v>62</v>
      </c>
      <c r="C46" s="53">
        <v>100021649</v>
      </c>
      <c r="D46" s="54" t="s">
        <v>68</v>
      </c>
      <c r="E46" s="40">
        <v>7798158708949</v>
      </c>
      <c r="F46" s="41">
        <v>9.6</v>
      </c>
      <c r="G46" s="42">
        <v>6</v>
      </c>
      <c r="I46" s="41" t="e">
        <f t="shared" si="11"/>
        <v>#VALUE!</v>
      </c>
      <c r="J46" s="41">
        <v>0</v>
      </c>
      <c r="K46" s="112"/>
      <c r="L46" s="41" t="str">
        <f t="shared" si="0"/>
        <v/>
      </c>
      <c r="M46" s="41" t="str">
        <f t="shared" si="9"/>
        <v/>
      </c>
      <c r="N46" s="45" t="e">
        <v>#VALUE!</v>
      </c>
      <c r="O46" s="46"/>
      <c r="P46" s="44" t="str">
        <f t="shared" si="1"/>
        <v/>
      </c>
      <c r="Q46" s="52"/>
      <c r="R46" s="44" t="str">
        <f t="shared" si="2"/>
        <v/>
      </c>
      <c r="S46" s="41" t="str">
        <f t="shared" si="3"/>
        <v/>
      </c>
      <c r="T46" s="12"/>
      <c r="U46" s="48"/>
      <c r="V46" s="44" t="s">
        <v>75</v>
      </c>
      <c r="W46" s="72" t="str">
        <f t="shared" si="7"/>
        <v/>
      </c>
      <c r="X46" s="41" t="str">
        <f t="shared" si="10"/>
        <v/>
      </c>
    </row>
    <row r="47" spans="1:25" x14ac:dyDescent="0.2">
      <c r="A47" s="37" t="s">
        <v>27</v>
      </c>
      <c r="B47" s="37" t="s">
        <v>28</v>
      </c>
      <c r="C47" s="53">
        <v>100518095</v>
      </c>
      <c r="D47" s="39" t="s">
        <v>69</v>
      </c>
      <c r="E47" s="40">
        <v>7790360974785</v>
      </c>
      <c r="F47" s="56">
        <v>6.66</v>
      </c>
      <c r="G47" s="57">
        <v>36</v>
      </c>
      <c r="I47" s="41">
        <f t="shared" si="11"/>
        <v>4131.5441597222225</v>
      </c>
      <c r="J47" s="41">
        <v>0</v>
      </c>
      <c r="K47" s="112"/>
      <c r="L47" s="41">
        <f t="shared" si="0"/>
        <v>2202.9027777777778</v>
      </c>
      <c r="M47" s="41">
        <f t="shared" si="9"/>
        <v>11907.582582582583</v>
      </c>
      <c r="N47" s="45">
        <v>79304.5</v>
      </c>
      <c r="O47" s="46"/>
      <c r="P47" s="44">
        <f t="shared" si="1"/>
        <v>79304.5</v>
      </c>
      <c r="Q47" s="52"/>
      <c r="R47" s="44">
        <f t="shared" si="2"/>
        <v>79304.5</v>
      </c>
      <c r="S47" s="41">
        <f t="shared" si="3"/>
        <v>2202.9027777777778</v>
      </c>
      <c r="T47" s="12"/>
      <c r="U47" s="48"/>
      <c r="V47" s="44">
        <v>79304.5</v>
      </c>
      <c r="W47" s="72">
        <f t="shared" si="7"/>
        <v>0</v>
      </c>
      <c r="X47" s="41">
        <f t="shared" si="10"/>
        <v>79304.5</v>
      </c>
      <c r="Y47" s="50"/>
    </row>
    <row r="48" spans="1:25" ht="12.6" hidden="1" customHeight="1" x14ac:dyDescent="0.2">
      <c r="A48" s="37" t="s">
        <v>27</v>
      </c>
      <c r="B48" s="37" t="s">
        <v>28</v>
      </c>
      <c r="C48" s="53">
        <v>100518163</v>
      </c>
      <c r="D48" s="54" t="s">
        <v>70</v>
      </c>
      <c r="E48" s="40"/>
      <c r="F48" s="41">
        <v>4.8</v>
      </c>
      <c r="G48" s="42">
        <v>30</v>
      </c>
      <c r="I48" s="41">
        <f>+L48*1.55*1.21</f>
        <v>0</v>
      </c>
      <c r="J48" s="41">
        <v>0</v>
      </c>
      <c r="K48" s="112"/>
      <c r="L48" s="41">
        <f>+IF(ISERROR(N48/G48),"",(N48/G48))</f>
        <v>0</v>
      </c>
      <c r="M48" s="41">
        <f>+IF(ISERROR(N48/F48),"",(N48/F48))</f>
        <v>0</v>
      </c>
      <c r="N48" s="45">
        <v>0</v>
      </c>
      <c r="O48" s="46"/>
      <c r="P48" s="44">
        <f>+IF(ISERROR(N48/(1-O48)),"",(N48/(1-O48)))</f>
        <v>0</v>
      </c>
      <c r="Q48" s="52"/>
      <c r="R48" s="44">
        <f>+IF(ISERROR(P48/(1-Q48)),"",(P48/(1-Q48)))</f>
        <v>0</v>
      </c>
      <c r="S48" s="41">
        <f>+IF(ISERROR(R48/G48),"",(R48/G48))</f>
        <v>0</v>
      </c>
      <c r="T48" s="12"/>
      <c r="U48"/>
      <c r="V48" s="44" t="s">
        <v>75</v>
      </c>
      <c r="W48" s="72" t="str">
        <f>+IF(ISERROR(N48/V48-1),"",(N48/V48-1))</f>
        <v/>
      </c>
      <c r="X48" s="41" t="str">
        <f>+IF(ISERROR(V48*(1-O48)),"",(V48*(1-O48)))</f>
        <v/>
      </c>
      <c r="Y48" s="50"/>
    </row>
    <row r="49" spans="1:25" ht="12.6" hidden="1" customHeight="1" x14ac:dyDescent="0.2">
      <c r="A49" s="73" t="s">
        <v>27</v>
      </c>
      <c r="B49" s="74" t="s">
        <v>28</v>
      </c>
      <c r="C49" s="75">
        <v>100520851</v>
      </c>
      <c r="D49" s="76" t="s">
        <v>71</v>
      </c>
      <c r="E49" s="77"/>
      <c r="F49" s="78">
        <v>15.18</v>
      </c>
      <c r="G49" s="79">
        <v>276</v>
      </c>
      <c r="I49" s="80"/>
      <c r="J49" s="81"/>
      <c r="K49" s="112"/>
      <c r="L49" s="80"/>
      <c r="M49" s="78"/>
      <c r="N49" s="82">
        <v>0</v>
      </c>
      <c r="O49" s="83"/>
      <c r="P49" s="84"/>
      <c r="Q49" s="85"/>
      <c r="R49" s="84"/>
      <c r="S49" s="81"/>
      <c r="T49" s="12"/>
      <c r="U49"/>
      <c r="V49" s="84"/>
      <c r="W49" s="86"/>
      <c r="X49" s="81"/>
      <c r="Y49" s="50"/>
    </row>
    <row r="50" spans="1:25" ht="12.6" hidden="1" customHeight="1" x14ac:dyDescent="0.2">
      <c r="A50" s="37" t="s">
        <v>27</v>
      </c>
      <c r="B50" s="37" t="s">
        <v>53</v>
      </c>
      <c r="C50" s="75">
        <v>100521169</v>
      </c>
      <c r="D50" s="76" t="s">
        <v>72</v>
      </c>
      <c r="E50" s="77"/>
      <c r="F50" s="78">
        <f>30*0.08</f>
        <v>2.4</v>
      </c>
      <c r="G50" s="79">
        <v>30</v>
      </c>
      <c r="I50" s="41">
        <f>+L50*1.55*1.21</f>
        <v>0</v>
      </c>
      <c r="J50" s="41">
        <v>0</v>
      </c>
      <c r="K50" s="112"/>
      <c r="L50" s="41">
        <f>+IF(ISERROR(N50/G50),"",(N50/G50))</f>
        <v>0</v>
      </c>
      <c r="M50" s="41">
        <f>+IF(ISERROR(N50/F50),"",(N50/F50))</f>
        <v>0</v>
      </c>
      <c r="N50" s="45">
        <v>0</v>
      </c>
      <c r="O50" s="46"/>
      <c r="P50" s="44">
        <f>+IF(ISERROR(N50/(1-O50)),"",(N50/(1-O50)))</f>
        <v>0</v>
      </c>
      <c r="Q50" s="52"/>
      <c r="R50" s="44">
        <f>+IF(ISERROR(P50/(1-Q50)),"",(P50/(1-Q50)))</f>
        <v>0</v>
      </c>
      <c r="S50" s="41">
        <f>+IF(ISERROR(R50/G50),"",(R50/G50))</f>
        <v>0</v>
      </c>
      <c r="T50" s="12"/>
      <c r="U50"/>
      <c r="V50" s="44" t="s">
        <v>75</v>
      </c>
      <c r="W50" s="72" t="str">
        <f>+IF(ISERROR(N50/V50-1),"",(N50/V50-1))</f>
        <v/>
      </c>
      <c r="X50" s="41" t="str">
        <f>+IF(ISERROR(V50*(1-O50)),"",(V50*(1-O50)))</f>
        <v/>
      </c>
      <c r="Y50" s="50"/>
    </row>
    <row r="51" spans="1:25" ht="12.6" hidden="1" customHeight="1" x14ac:dyDescent="0.2">
      <c r="A51" s="37" t="s">
        <v>27</v>
      </c>
      <c r="B51" s="37" t="s">
        <v>53</v>
      </c>
      <c r="C51" s="75">
        <v>100521173</v>
      </c>
      <c r="D51" s="76" t="s">
        <v>73</v>
      </c>
      <c r="E51" s="77"/>
      <c r="F51" s="78">
        <f>30*0.08</f>
        <v>2.4</v>
      </c>
      <c r="G51" s="79">
        <v>30</v>
      </c>
      <c r="I51" s="41">
        <f>+L51*1.55*1.21</f>
        <v>0</v>
      </c>
      <c r="J51" s="41">
        <v>0</v>
      </c>
      <c r="K51" s="112"/>
      <c r="L51" s="41">
        <f>+IF(ISERROR(N51/G51),"",(N51/G51))</f>
        <v>0</v>
      </c>
      <c r="M51" s="41">
        <f>+IF(ISERROR(N51/F51),"",(N51/F51))</f>
        <v>0</v>
      </c>
      <c r="N51" s="45">
        <v>0</v>
      </c>
      <c r="O51" s="46"/>
      <c r="P51" s="44">
        <f>+IF(ISERROR(N51/(1-O51)),"",(N51/(1-O51)))</f>
        <v>0</v>
      </c>
      <c r="Q51" s="52"/>
      <c r="R51" s="44">
        <f>+IF(ISERROR(P51/(1-Q51)),"",(P51/(1-Q51)))</f>
        <v>0</v>
      </c>
      <c r="S51" s="41">
        <f>+IF(ISERROR(R51/G51),"",(R51/G51))</f>
        <v>0</v>
      </c>
      <c r="T51" s="12"/>
      <c r="U51"/>
      <c r="V51" s="44" t="s">
        <v>75</v>
      </c>
      <c r="W51" s="72" t="str">
        <f>+IF(ISERROR(N51/V51-1),"",(N51/V51-1))</f>
        <v/>
      </c>
      <c r="X51" s="41" t="str">
        <f>+IF(ISERROR(V51*(1-O51)),"",(V51*(1-O51)))</f>
        <v/>
      </c>
      <c r="Y51" s="50"/>
    </row>
    <row r="52" spans="1:25" ht="12.6" hidden="1" customHeight="1" x14ac:dyDescent="0.2">
      <c r="A52" s="37" t="s">
        <v>27</v>
      </c>
      <c r="B52" s="37" t="s">
        <v>53</v>
      </c>
      <c r="C52" s="75">
        <v>100522168</v>
      </c>
      <c r="D52" s="76" t="s">
        <v>74</v>
      </c>
      <c r="E52" s="77"/>
      <c r="F52" s="78">
        <v>4.62</v>
      </c>
      <c r="G52" s="79">
        <v>48</v>
      </c>
      <c r="I52" s="80"/>
      <c r="J52" s="81"/>
      <c r="K52" s="112"/>
      <c r="L52" s="80"/>
      <c r="M52" s="78"/>
      <c r="N52" s="82">
        <v>0</v>
      </c>
      <c r="O52" s="83"/>
      <c r="P52" s="84"/>
      <c r="Q52" s="85"/>
      <c r="R52" s="84"/>
      <c r="S52" s="81"/>
      <c r="T52" s="12"/>
      <c r="U52"/>
      <c r="V52" s="84"/>
      <c r="W52" s="86"/>
      <c r="X52" s="81"/>
      <c r="Y52" s="50"/>
    </row>
    <row r="53" spans="1:25" x14ac:dyDescent="0.2">
      <c r="A53" s="26"/>
      <c r="B53" s="27"/>
      <c r="C53" s="28"/>
      <c r="D53" s="29"/>
      <c r="E53" s="28"/>
      <c r="F53" s="29"/>
      <c r="G53" s="87"/>
      <c r="I53" s="31"/>
      <c r="J53" s="32"/>
      <c r="K53" s="112"/>
      <c r="L53" s="31"/>
      <c r="M53" s="29"/>
      <c r="N53" s="29" t="s">
        <v>75</v>
      </c>
      <c r="O53" s="33"/>
      <c r="P53" s="29"/>
      <c r="Q53" s="33"/>
      <c r="R53" s="29"/>
      <c r="S53" s="30"/>
      <c r="T53" s="12"/>
      <c r="U53"/>
      <c r="V53" s="29"/>
      <c r="W53" s="35"/>
      <c r="X53" s="30"/>
    </row>
    <row r="54" spans="1:25" x14ac:dyDescent="0.2">
      <c r="A54" s="54" t="s">
        <v>76</v>
      </c>
      <c r="B54" s="37" t="s">
        <v>77</v>
      </c>
      <c r="C54" s="53">
        <v>100022085</v>
      </c>
      <c r="D54" s="54" t="s">
        <v>78</v>
      </c>
      <c r="E54" s="40">
        <v>7790360000132</v>
      </c>
      <c r="F54" s="41">
        <v>5.4</v>
      </c>
      <c r="G54" s="42">
        <v>24</v>
      </c>
      <c r="H54" s="88"/>
      <c r="I54" s="41">
        <f>+L54*1.55*1.21</f>
        <v>3278.2906574687499</v>
      </c>
      <c r="J54" s="41">
        <f>+I54*0.8</f>
        <v>2622.6325259750001</v>
      </c>
      <c r="K54" s="112"/>
      <c r="L54" s="41">
        <f t="shared" ref="L54:L65" si="12">+IF(ISERROR(N54/G54),"",(N54/G54))</f>
        <v>1747.9555625</v>
      </c>
      <c r="M54" s="41">
        <f t="shared" ref="M54:M71" si="13">+IF(ISERROR(N54/F54),"",(N54/F54))</f>
        <v>7768.6913888888885</v>
      </c>
      <c r="N54" s="45">
        <v>41950.933499999999</v>
      </c>
      <c r="O54" s="58"/>
      <c r="P54" s="41">
        <f t="shared" si="1"/>
        <v>41950.933499999999</v>
      </c>
      <c r="Q54" s="58"/>
      <c r="R54" s="41">
        <f t="shared" ref="R54:R71" si="14">+IF(ISERROR(P54/(1-Q54)),"",(P54/(1-Q54)))</f>
        <v>41950.933499999999</v>
      </c>
      <c r="S54" s="41">
        <f t="shared" ref="S54:S71" si="15">+IF(ISERROR(R54/G54),"",(R54/G54))</f>
        <v>1747.9555625</v>
      </c>
      <c r="U54" s="48"/>
      <c r="V54" s="44">
        <v>39953.269999999997</v>
      </c>
      <c r="W54" s="58">
        <f>+IF(ISERROR(N54/V54-1),"",(N54/V54-1))</f>
        <v>5.0000000000000044E-2</v>
      </c>
      <c r="X54" s="41">
        <f t="shared" ref="X54:X71" si="16">+IF(ISERROR(V54*(1-O54)),"",(V54*(1-O54)))</f>
        <v>39953.269999999997</v>
      </c>
      <c r="Y54" s="50"/>
    </row>
    <row r="55" spans="1:25" x14ac:dyDescent="0.2">
      <c r="A55" s="54" t="s">
        <v>76</v>
      </c>
      <c r="B55" s="37" t="s">
        <v>77</v>
      </c>
      <c r="C55" s="53">
        <v>100522204</v>
      </c>
      <c r="D55" s="54" t="s">
        <v>78</v>
      </c>
      <c r="E55" s="40">
        <v>7790360983947</v>
      </c>
      <c r="F55" s="41">
        <v>5.4</v>
      </c>
      <c r="G55" s="42">
        <v>24</v>
      </c>
      <c r="H55" s="88"/>
      <c r="I55" s="41">
        <f>+L55*1.55*1.21</f>
        <v>3278.2890164062496</v>
      </c>
      <c r="J55" s="41">
        <f>+I55*0.8</f>
        <v>2622.6312131249997</v>
      </c>
      <c r="K55" s="112"/>
      <c r="L55" s="41">
        <f t="shared" si="12"/>
        <v>1747.9546874999999</v>
      </c>
      <c r="M55" s="41">
        <f t="shared" si="13"/>
        <v>7768.6874999999991</v>
      </c>
      <c r="N55" s="45">
        <v>41950.912499999999</v>
      </c>
      <c r="O55" s="58"/>
      <c r="P55" s="41">
        <f t="shared" si="1"/>
        <v>41950.912499999999</v>
      </c>
      <c r="Q55" s="58"/>
      <c r="R55" s="41">
        <f t="shared" si="14"/>
        <v>41950.912499999999</v>
      </c>
      <c r="S55" s="41">
        <f t="shared" si="15"/>
        <v>1747.9546874999999</v>
      </c>
      <c r="U55" s="48"/>
      <c r="V55" s="44">
        <v>39953.25</v>
      </c>
      <c r="W55" s="58">
        <f>+IF(ISERROR(N55/V55-1),"",(N55/V55-1))</f>
        <v>5.0000000000000044E-2</v>
      </c>
      <c r="X55" s="41">
        <f t="shared" si="16"/>
        <v>39953.25</v>
      </c>
      <c r="Y55" s="50"/>
    </row>
    <row r="56" spans="1:25" x14ac:dyDescent="0.2">
      <c r="A56" s="54" t="s">
        <v>76</v>
      </c>
      <c r="B56" s="37" t="s">
        <v>77</v>
      </c>
      <c r="C56" s="53">
        <v>100022072</v>
      </c>
      <c r="D56" s="54" t="s">
        <v>79</v>
      </c>
      <c r="E56" s="40">
        <v>7790360024541</v>
      </c>
      <c r="F56" s="41">
        <v>5.4</v>
      </c>
      <c r="G56" s="42">
        <v>12</v>
      </c>
      <c r="H56" s="88"/>
      <c r="I56" s="41">
        <f t="shared" ref="I56:I65" si="17">+L56*1.55*1.21</f>
        <v>5797.6768850000008</v>
      </c>
      <c r="J56" s="41">
        <f t="shared" ref="J56:J65" si="18">+I56*0.8</f>
        <v>4638.1415080000006</v>
      </c>
      <c r="K56" s="113">
        <f>IFERROR(((I56/1.21)-L56)/(I56/1.21),)</f>
        <v>0.35483870967741937</v>
      </c>
      <c r="L56" s="41">
        <f t="shared" si="12"/>
        <v>3091.2700000000004</v>
      </c>
      <c r="M56" s="41">
        <f t="shared" si="13"/>
        <v>6869.4888888888891</v>
      </c>
      <c r="N56" s="45">
        <v>37095.240000000005</v>
      </c>
      <c r="O56" s="58"/>
      <c r="P56" s="41">
        <f t="shared" si="1"/>
        <v>37095.240000000005</v>
      </c>
      <c r="Q56" s="58"/>
      <c r="R56" s="41">
        <f t="shared" si="14"/>
        <v>37095.240000000005</v>
      </c>
      <c r="S56" s="41">
        <f t="shared" si="15"/>
        <v>3091.2700000000004</v>
      </c>
      <c r="U56" s="48"/>
      <c r="V56" s="44">
        <v>35328.800000000003</v>
      </c>
      <c r="W56" s="58">
        <f t="shared" ref="W56:W70" si="19">+IF(ISERROR(N56/V56-1),"",(N56/V56-1))</f>
        <v>5.0000000000000044E-2</v>
      </c>
      <c r="X56" s="41">
        <f t="shared" si="16"/>
        <v>35328.800000000003</v>
      </c>
      <c r="Y56" s="50"/>
    </row>
    <row r="57" spans="1:25" x14ac:dyDescent="0.2">
      <c r="A57" s="54" t="s">
        <v>76</v>
      </c>
      <c r="B57" s="37" t="s">
        <v>77</v>
      </c>
      <c r="C57" s="53">
        <v>100522205</v>
      </c>
      <c r="D57" s="54" t="s">
        <v>79</v>
      </c>
      <c r="E57" s="40">
        <v>7790360983954</v>
      </c>
      <c r="F57" s="41">
        <v>5.4</v>
      </c>
      <c r="G57" s="42">
        <v>12</v>
      </c>
      <c r="H57" s="88"/>
      <c r="I57" s="41">
        <f t="shared" si="17"/>
        <v>5797.6768850000008</v>
      </c>
      <c r="J57" s="41">
        <f t="shared" si="18"/>
        <v>4638.1415080000006</v>
      </c>
      <c r="K57" s="113">
        <f>IFERROR(((I57/1.21)-L57)/(I57/1.21),)</f>
        <v>0.35483870967741937</v>
      </c>
      <c r="L57" s="41">
        <f t="shared" si="12"/>
        <v>3091.2700000000004</v>
      </c>
      <c r="M57" s="41">
        <f t="shared" si="13"/>
        <v>6869.4888888888891</v>
      </c>
      <c r="N57" s="45">
        <v>37095.240000000005</v>
      </c>
      <c r="O57" s="58"/>
      <c r="P57" s="41">
        <f t="shared" si="1"/>
        <v>37095.240000000005</v>
      </c>
      <c r="Q57" s="58"/>
      <c r="R57" s="41">
        <f t="shared" si="14"/>
        <v>37095.240000000005</v>
      </c>
      <c r="S57" s="41">
        <f t="shared" si="15"/>
        <v>3091.2700000000004</v>
      </c>
      <c r="U57" s="48"/>
      <c r="V57" s="44">
        <v>35328.800000000003</v>
      </c>
      <c r="W57" s="58">
        <f t="shared" si="19"/>
        <v>5.0000000000000044E-2</v>
      </c>
      <c r="X57" s="41">
        <f t="shared" si="16"/>
        <v>35328.800000000003</v>
      </c>
      <c r="Y57" s="50"/>
    </row>
    <row r="58" spans="1:25" x14ac:dyDescent="0.2">
      <c r="A58" s="54" t="s">
        <v>76</v>
      </c>
      <c r="B58" s="37" t="s">
        <v>77</v>
      </c>
      <c r="C58" s="53">
        <v>100022073</v>
      </c>
      <c r="D58" s="54" t="s">
        <v>80</v>
      </c>
      <c r="E58" s="40">
        <v>7790360024558</v>
      </c>
      <c r="F58" s="41">
        <v>5.4</v>
      </c>
      <c r="G58" s="42">
        <v>6</v>
      </c>
      <c r="H58" s="88"/>
      <c r="I58" s="41">
        <f t="shared" si="17"/>
        <v>11595.353770000002</v>
      </c>
      <c r="J58" s="41">
        <f t="shared" si="18"/>
        <v>9276.2830160000012</v>
      </c>
      <c r="K58" s="113">
        <f>IFERROR(((I58/1.21)-L58)/(I58/1.21),)</f>
        <v>0.35483870967741937</v>
      </c>
      <c r="L58" s="41">
        <f t="shared" si="12"/>
        <v>6182.5400000000009</v>
      </c>
      <c r="M58" s="41">
        <f t="shared" si="13"/>
        <v>6869.4888888888891</v>
      </c>
      <c r="N58" s="45">
        <v>37095.240000000005</v>
      </c>
      <c r="O58" s="58"/>
      <c r="P58" s="41">
        <f t="shared" si="1"/>
        <v>37095.240000000005</v>
      </c>
      <c r="Q58" s="58"/>
      <c r="R58" s="41">
        <f t="shared" si="14"/>
        <v>37095.240000000005</v>
      </c>
      <c r="S58" s="41">
        <f t="shared" si="15"/>
        <v>6182.5400000000009</v>
      </c>
      <c r="U58" s="48"/>
      <c r="V58" s="44">
        <v>35328.800000000003</v>
      </c>
      <c r="W58" s="58">
        <f t="shared" si="19"/>
        <v>5.0000000000000044E-2</v>
      </c>
      <c r="X58" s="41">
        <f t="shared" si="16"/>
        <v>35328.800000000003</v>
      </c>
      <c r="Y58" s="50"/>
    </row>
    <row r="59" spans="1:25" x14ac:dyDescent="0.2">
      <c r="A59" s="54" t="s">
        <v>76</v>
      </c>
      <c r="B59" s="37" t="s">
        <v>77</v>
      </c>
      <c r="C59" s="53">
        <v>100516849</v>
      </c>
      <c r="D59" s="54" t="s">
        <v>81</v>
      </c>
      <c r="E59" s="40">
        <v>7790360970053</v>
      </c>
      <c r="F59" s="41">
        <v>4.5599999990400004</v>
      </c>
      <c r="G59" s="42">
        <v>24</v>
      </c>
      <c r="H59" s="88"/>
      <c r="I59" s="41">
        <f t="shared" si="17"/>
        <v>2738.8619262812499</v>
      </c>
      <c r="J59" s="41">
        <f t="shared" si="18"/>
        <v>2191.089541025</v>
      </c>
      <c r="K59" s="112"/>
      <c r="L59" s="41">
        <f>+IF(ISERROR(N59/G59),"",(N59/G59))</f>
        <v>1460.3369375</v>
      </c>
      <c r="M59" s="41">
        <f t="shared" si="13"/>
        <v>7685.9838831970483</v>
      </c>
      <c r="N59" s="45">
        <v>35048.086499999998</v>
      </c>
      <c r="O59" s="58"/>
      <c r="P59" s="41">
        <f t="shared" si="1"/>
        <v>35048.086499999998</v>
      </c>
      <c r="Q59" s="58"/>
      <c r="R59" s="41">
        <f t="shared" si="14"/>
        <v>35048.086499999998</v>
      </c>
      <c r="S59" s="41">
        <f>+IF(ISERROR(R59/G59),"",(R59/G59))</f>
        <v>1460.3369375</v>
      </c>
      <c r="U59" s="48"/>
      <c r="V59" s="44">
        <v>33379.129999999997</v>
      </c>
      <c r="W59" s="58">
        <f t="shared" si="19"/>
        <v>5.0000000000000044E-2</v>
      </c>
      <c r="X59" s="41">
        <f t="shared" si="16"/>
        <v>33379.129999999997</v>
      </c>
      <c r="Y59" s="50"/>
    </row>
    <row r="60" spans="1:25" x14ac:dyDescent="0.2">
      <c r="A60" s="54" t="s">
        <v>76</v>
      </c>
      <c r="B60" s="37" t="s">
        <v>82</v>
      </c>
      <c r="C60" s="53">
        <v>100022039</v>
      </c>
      <c r="D60" s="54" t="s">
        <v>83</v>
      </c>
      <c r="E60" s="40">
        <v>7790360007063</v>
      </c>
      <c r="F60" s="41">
        <v>8.6999999999999993</v>
      </c>
      <c r="G60" s="42">
        <v>10</v>
      </c>
      <c r="H60" s="88"/>
      <c r="I60" s="41">
        <f t="shared" si="17"/>
        <v>12797.162260575002</v>
      </c>
      <c r="J60" s="41">
        <f t="shared" si="18"/>
        <v>10237.729808460002</v>
      </c>
      <c r="K60" s="112"/>
      <c r="L60" s="41">
        <f t="shared" si="12"/>
        <v>6823.3336500000005</v>
      </c>
      <c r="M60" s="41">
        <f t="shared" si="13"/>
        <v>7842.9122413793111</v>
      </c>
      <c r="N60" s="45">
        <v>68233.336500000005</v>
      </c>
      <c r="O60" s="58"/>
      <c r="P60" s="41">
        <f t="shared" si="1"/>
        <v>68233.336500000005</v>
      </c>
      <c r="Q60" s="58"/>
      <c r="R60" s="41">
        <f t="shared" si="14"/>
        <v>68233.336500000005</v>
      </c>
      <c r="S60" s="41">
        <f t="shared" si="15"/>
        <v>6823.3336500000005</v>
      </c>
      <c r="U60" s="48"/>
      <c r="V60" s="44">
        <v>64984.13</v>
      </c>
      <c r="W60" s="58">
        <f t="shared" si="19"/>
        <v>5.0000000000000044E-2</v>
      </c>
      <c r="X60" s="41">
        <f t="shared" si="16"/>
        <v>64984.13</v>
      </c>
      <c r="Y60" s="50"/>
    </row>
    <row r="61" spans="1:25" x14ac:dyDescent="0.2">
      <c r="A61" s="54" t="s">
        <v>76</v>
      </c>
      <c r="B61" s="37" t="s">
        <v>82</v>
      </c>
      <c r="C61" s="53">
        <v>100522206</v>
      </c>
      <c r="D61" s="54" t="s">
        <v>83</v>
      </c>
      <c r="E61" s="40">
        <v>7790360983961</v>
      </c>
      <c r="F61" s="41">
        <v>8.6999999999999993</v>
      </c>
      <c r="G61" s="42">
        <v>10</v>
      </c>
      <c r="H61" s="88"/>
      <c r="I61" s="41">
        <f t="shared" si="17"/>
        <v>12797.162260575002</v>
      </c>
      <c r="J61" s="41">
        <f t="shared" si="18"/>
        <v>10237.729808460002</v>
      </c>
      <c r="K61" s="112"/>
      <c r="L61" s="41">
        <f t="shared" si="12"/>
        <v>6823.3336500000005</v>
      </c>
      <c r="M61" s="41">
        <f t="shared" si="13"/>
        <v>7842.9122413793111</v>
      </c>
      <c r="N61" s="45">
        <v>68233.336500000005</v>
      </c>
      <c r="O61" s="58"/>
      <c r="P61" s="41">
        <f t="shared" si="1"/>
        <v>68233.336500000005</v>
      </c>
      <c r="Q61" s="58"/>
      <c r="R61" s="41">
        <f t="shared" si="14"/>
        <v>68233.336500000005</v>
      </c>
      <c r="S61" s="41">
        <f t="shared" si="15"/>
        <v>6823.3336500000005</v>
      </c>
      <c r="U61" s="48"/>
      <c r="V61" s="44">
        <v>64984.13</v>
      </c>
      <c r="W61" s="58">
        <f t="shared" si="19"/>
        <v>5.0000000000000044E-2</v>
      </c>
      <c r="X61" s="41">
        <f t="shared" si="16"/>
        <v>64984.13</v>
      </c>
      <c r="Y61" s="50"/>
    </row>
    <row r="62" spans="1:25" x14ac:dyDescent="0.2">
      <c r="A62" s="54" t="s">
        <v>76</v>
      </c>
      <c r="B62" s="37" t="s">
        <v>82</v>
      </c>
      <c r="C62" s="53">
        <v>100518151</v>
      </c>
      <c r="D62" s="54" t="s">
        <v>84</v>
      </c>
      <c r="E62" s="40">
        <v>7790360974990</v>
      </c>
      <c r="F62" s="41">
        <v>10.44</v>
      </c>
      <c r="G62" s="42">
        <v>12</v>
      </c>
      <c r="H62" s="88"/>
      <c r="I62" s="41">
        <v>674.73006523985669</v>
      </c>
      <c r="J62" s="41">
        <v>539.78405219188539</v>
      </c>
      <c r="K62" s="112"/>
      <c r="L62" s="41">
        <f>+IF(ISERROR(N62/G62),"",(N62/G62))</f>
        <v>3524.556</v>
      </c>
      <c r="M62" s="41">
        <f t="shared" si="13"/>
        <v>4051.2137931034486</v>
      </c>
      <c r="N62" s="45">
        <v>42294.671999999999</v>
      </c>
      <c r="O62" s="58"/>
      <c r="P62" s="41">
        <f t="shared" si="1"/>
        <v>42294.671999999999</v>
      </c>
      <c r="Q62" s="58"/>
      <c r="R62" s="41">
        <f t="shared" si="14"/>
        <v>42294.671999999999</v>
      </c>
      <c r="S62" s="41">
        <f>+IF(ISERROR(R62/G62),"",(R62/G62))</f>
        <v>3524.556</v>
      </c>
      <c r="U62" s="48"/>
      <c r="V62" s="44">
        <v>40280.639999999999</v>
      </c>
      <c r="W62" s="58">
        <f t="shared" si="19"/>
        <v>5.0000000000000044E-2</v>
      </c>
      <c r="X62" s="41">
        <f t="shared" si="16"/>
        <v>40280.639999999999</v>
      </c>
      <c r="Y62" s="50"/>
    </row>
    <row r="63" spans="1:25" hidden="1" x14ac:dyDescent="0.2">
      <c r="A63" s="54" t="s">
        <v>76</v>
      </c>
      <c r="B63" s="37" t="s">
        <v>82</v>
      </c>
      <c r="C63" s="53">
        <v>100022057</v>
      </c>
      <c r="D63" s="54" t="s">
        <v>85</v>
      </c>
      <c r="E63" s="40">
        <v>7790360025944</v>
      </c>
      <c r="F63" s="41">
        <v>7.1999999999999993</v>
      </c>
      <c r="G63" s="42">
        <v>10</v>
      </c>
      <c r="H63" s="88"/>
      <c r="I63" s="41">
        <f t="shared" si="17"/>
        <v>0</v>
      </c>
      <c r="J63" s="41">
        <f t="shared" si="18"/>
        <v>0</v>
      </c>
      <c r="K63" s="112"/>
      <c r="L63" s="41">
        <f>+IF(ISERROR(N63/G63),"",(N63/G63))</f>
        <v>0</v>
      </c>
      <c r="M63" s="41">
        <f t="shared" si="13"/>
        <v>0</v>
      </c>
      <c r="N63" s="45"/>
      <c r="O63" s="58"/>
      <c r="P63" s="41">
        <f t="shared" si="1"/>
        <v>0</v>
      </c>
      <c r="Q63" s="58"/>
      <c r="R63" s="41">
        <f t="shared" si="14"/>
        <v>0</v>
      </c>
      <c r="S63" s="41">
        <f>+IF(ISERROR(R63/G63),"",(R63/G63))</f>
        <v>0</v>
      </c>
      <c r="T63" s="12"/>
      <c r="U63" s="48"/>
      <c r="V63" s="44" t="s">
        <v>75</v>
      </c>
      <c r="W63" s="58" t="str">
        <f t="shared" si="19"/>
        <v/>
      </c>
      <c r="X63" s="41" t="str">
        <f t="shared" si="16"/>
        <v/>
      </c>
      <c r="Y63" s="50"/>
    </row>
    <row r="64" spans="1:25" hidden="1" x14ac:dyDescent="0.2">
      <c r="A64" s="54" t="s">
        <v>76</v>
      </c>
      <c r="B64" s="37" t="s">
        <v>82</v>
      </c>
      <c r="C64" s="53">
        <v>100516731</v>
      </c>
      <c r="D64" s="54" t="s">
        <v>86</v>
      </c>
      <c r="E64" s="40"/>
      <c r="F64" s="41">
        <v>10.44</v>
      </c>
      <c r="G64" s="42">
        <v>12</v>
      </c>
      <c r="H64" s="88"/>
      <c r="I64" s="41">
        <f t="shared" si="17"/>
        <v>0</v>
      </c>
      <c r="J64" s="41">
        <f t="shared" si="18"/>
        <v>0</v>
      </c>
      <c r="K64" s="112"/>
      <c r="L64" s="41">
        <f t="shared" si="12"/>
        <v>0</v>
      </c>
      <c r="M64" s="41">
        <f t="shared" si="13"/>
        <v>0</v>
      </c>
      <c r="N64" s="45"/>
      <c r="O64" s="58"/>
      <c r="P64" s="41">
        <f t="shared" si="1"/>
        <v>0</v>
      </c>
      <c r="Q64" s="58"/>
      <c r="R64" s="41">
        <f t="shared" si="14"/>
        <v>0</v>
      </c>
      <c r="S64" s="41">
        <f t="shared" si="15"/>
        <v>0</v>
      </c>
      <c r="T64" s="12"/>
      <c r="U64" s="48"/>
      <c r="V64" s="44" t="s">
        <v>75</v>
      </c>
      <c r="W64" s="72" t="str">
        <f t="shared" si="19"/>
        <v/>
      </c>
      <c r="X64" s="41" t="str">
        <f t="shared" si="16"/>
        <v/>
      </c>
      <c r="Y64" s="50"/>
    </row>
    <row r="65" spans="1:25" x14ac:dyDescent="0.2">
      <c r="A65" s="54" t="s">
        <v>76</v>
      </c>
      <c r="B65" s="37" t="s">
        <v>87</v>
      </c>
      <c r="C65" s="53">
        <v>100022058</v>
      </c>
      <c r="D65" s="54" t="s">
        <v>88</v>
      </c>
      <c r="E65" s="40">
        <v>7790360026002</v>
      </c>
      <c r="F65" s="41">
        <v>4.5599999990400004</v>
      </c>
      <c r="G65" s="42">
        <v>24</v>
      </c>
      <c r="H65" s="88"/>
      <c r="I65" s="41">
        <f t="shared" si="17"/>
        <v>1651.5910881249999</v>
      </c>
      <c r="J65" s="41">
        <f t="shared" si="18"/>
        <v>1321.2728705</v>
      </c>
      <c r="K65" s="114"/>
      <c r="L65" s="41">
        <f t="shared" si="12"/>
        <v>880.61374999999998</v>
      </c>
      <c r="M65" s="41">
        <f t="shared" si="13"/>
        <v>4634.8092115020645</v>
      </c>
      <c r="N65" s="45">
        <v>21134.73</v>
      </c>
      <c r="O65" s="58"/>
      <c r="P65" s="41">
        <f t="shared" si="1"/>
        <v>21134.73</v>
      </c>
      <c r="Q65" s="58"/>
      <c r="R65" s="41">
        <f t="shared" si="14"/>
        <v>21134.73</v>
      </c>
      <c r="S65" s="41">
        <f t="shared" si="15"/>
        <v>880.61374999999998</v>
      </c>
      <c r="T65" s="12"/>
      <c r="U65" s="48"/>
      <c r="V65" s="44">
        <v>21134.73</v>
      </c>
      <c r="W65" s="72">
        <f>+IF(ISERROR(N65/V65-1),"",(N65/V65-1))</f>
        <v>0</v>
      </c>
      <c r="X65" s="41">
        <f t="shared" si="16"/>
        <v>21134.73</v>
      </c>
      <c r="Y65" s="50"/>
    </row>
    <row r="66" spans="1:25" hidden="1" x14ac:dyDescent="0.2">
      <c r="A66" s="54" t="s">
        <v>76</v>
      </c>
      <c r="B66" s="37" t="s">
        <v>89</v>
      </c>
      <c r="C66" s="53">
        <v>100022089</v>
      </c>
      <c r="D66" s="54" t="s">
        <v>90</v>
      </c>
      <c r="E66" s="40">
        <v>7798024390315</v>
      </c>
      <c r="F66" s="41">
        <v>5.4</v>
      </c>
      <c r="G66" s="42">
        <v>24</v>
      </c>
      <c r="I66" s="41">
        <f>+L66*1.55*1.21</f>
        <v>0</v>
      </c>
      <c r="J66" s="41">
        <v>0</v>
      </c>
      <c r="K66" s="112"/>
      <c r="L66" s="41">
        <f>+IF(ISERROR(P66/G66),"",(P66/G66))</f>
        <v>0</v>
      </c>
      <c r="M66" s="41">
        <f t="shared" si="13"/>
        <v>0</v>
      </c>
      <c r="N66" s="45">
        <v>0</v>
      </c>
      <c r="O66" s="58"/>
      <c r="P66" s="41">
        <f t="shared" si="1"/>
        <v>0</v>
      </c>
      <c r="Q66" s="58"/>
      <c r="R66" s="41">
        <f t="shared" si="14"/>
        <v>0</v>
      </c>
      <c r="S66" s="41">
        <f t="shared" si="15"/>
        <v>0</v>
      </c>
      <c r="T66" s="12"/>
      <c r="U66"/>
      <c r="V66" s="44" t="s">
        <v>75</v>
      </c>
      <c r="W66" s="72" t="str">
        <f t="shared" si="19"/>
        <v/>
      </c>
      <c r="X66" s="41" t="str">
        <f t="shared" si="16"/>
        <v/>
      </c>
    </row>
    <row r="67" spans="1:25" hidden="1" x14ac:dyDescent="0.2">
      <c r="A67" s="54" t="s">
        <v>76</v>
      </c>
      <c r="B67" s="37" t="s">
        <v>89</v>
      </c>
      <c r="C67" s="53">
        <v>100022080</v>
      </c>
      <c r="D67" s="54" t="s">
        <v>91</v>
      </c>
      <c r="E67" s="40">
        <v>7798158706778</v>
      </c>
      <c r="F67" s="41">
        <v>5.4</v>
      </c>
      <c r="G67" s="42">
        <v>12</v>
      </c>
      <c r="I67" s="41">
        <f>+L67*1.55*1.21</f>
        <v>0</v>
      </c>
      <c r="J67" s="41">
        <v>0</v>
      </c>
      <c r="K67" s="112"/>
      <c r="L67" s="41">
        <f>+IF(ISERROR(P67/G67),"",(P67/G67))</f>
        <v>0</v>
      </c>
      <c r="M67" s="41">
        <f t="shared" si="13"/>
        <v>0</v>
      </c>
      <c r="N67" s="45">
        <v>0</v>
      </c>
      <c r="O67" s="58"/>
      <c r="P67" s="41">
        <f t="shared" si="1"/>
        <v>0</v>
      </c>
      <c r="Q67" s="58"/>
      <c r="R67" s="41">
        <f t="shared" si="14"/>
        <v>0</v>
      </c>
      <c r="S67" s="41">
        <f t="shared" si="15"/>
        <v>0</v>
      </c>
      <c r="T67" s="12"/>
      <c r="U67"/>
      <c r="V67" s="41" t="s">
        <v>75</v>
      </c>
      <c r="W67" s="72" t="str">
        <f t="shared" si="19"/>
        <v/>
      </c>
      <c r="X67" s="41" t="str">
        <f t="shared" si="16"/>
        <v/>
      </c>
    </row>
    <row r="68" spans="1:25" hidden="1" x14ac:dyDescent="0.2">
      <c r="A68" s="54" t="s">
        <v>76</v>
      </c>
      <c r="B68" s="37" t="s">
        <v>89</v>
      </c>
      <c r="C68" s="53">
        <v>100022081</v>
      </c>
      <c r="D68" s="54" t="s">
        <v>92</v>
      </c>
      <c r="E68" s="40">
        <v>7798158706785</v>
      </c>
      <c r="F68" s="41">
        <v>5.4</v>
      </c>
      <c r="G68" s="42">
        <v>6</v>
      </c>
      <c r="I68" s="41">
        <f>+L68*1.55*1.21</f>
        <v>0</v>
      </c>
      <c r="J68" s="41">
        <v>0</v>
      </c>
      <c r="K68" s="112"/>
      <c r="L68" s="41">
        <f>+IF(ISERROR(P68/G68),"",(P68/G68))</f>
        <v>0</v>
      </c>
      <c r="M68" s="41">
        <f t="shared" si="13"/>
        <v>0</v>
      </c>
      <c r="N68" s="45">
        <v>0</v>
      </c>
      <c r="O68" s="58"/>
      <c r="P68" s="41">
        <f t="shared" si="1"/>
        <v>0</v>
      </c>
      <c r="Q68" s="58"/>
      <c r="R68" s="41">
        <f t="shared" si="14"/>
        <v>0</v>
      </c>
      <c r="S68" s="41">
        <f t="shared" si="15"/>
        <v>0</v>
      </c>
      <c r="T68" s="12"/>
      <c r="U68"/>
      <c r="V68" s="41" t="s">
        <v>75</v>
      </c>
      <c r="W68" s="72" t="str">
        <f t="shared" si="19"/>
        <v/>
      </c>
      <c r="X68" s="41" t="str">
        <f t="shared" si="16"/>
        <v/>
      </c>
    </row>
    <row r="69" spans="1:25" hidden="1" x14ac:dyDescent="0.2">
      <c r="A69" s="54" t="s">
        <v>76</v>
      </c>
      <c r="B69" s="37" t="s">
        <v>89</v>
      </c>
      <c r="C69" s="53">
        <v>100022014</v>
      </c>
      <c r="D69" s="54" t="s">
        <v>93</v>
      </c>
      <c r="E69" s="40">
        <v>8480017244512</v>
      </c>
      <c r="F69" s="41">
        <v>4.5</v>
      </c>
      <c r="G69" s="42">
        <v>20</v>
      </c>
      <c r="I69" s="41">
        <f>+L69*1.55*1.21</f>
        <v>0</v>
      </c>
      <c r="J69" s="41">
        <v>0</v>
      </c>
      <c r="K69" s="112"/>
      <c r="L69" s="41">
        <f>+IF(ISERROR(P69/G69),"",(P69/G69))</f>
        <v>0</v>
      </c>
      <c r="M69" s="41">
        <f t="shared" si="13"/>
        <v>0</v>
      </c>
      <c r="N69" s="45">
        <v>0</v>
      </c>
      <c r="O69" s="58"/>
      <c r="P69" s="41">
        <f t="shared" si="1"/>
        <v>0</v>
      </c>
      <c r="Q69" s="58"/>
      <c r="R69" s="41">
        <f t="shared" si="14"/>
        <v>0</v>
      </c>
      <c r="S69" s="41">
        <f t="shared" si="15"/>
        <v>0</v>
      </c>
      <c r="T69" s="12"/>
      <c r="U69"/>
      <c r="V69" s="41" t="s">
        <v>75</v>
      </c>
      <c r="W69" s="72" t="str">
        <f t="shared" si="19"/>
        <v/>
      </c>
      <c r="X69" s="41" t="str">
        <f t="shared" si="16"/>
        <v/>
      </c>
    </row>
    <row r="70" spans="1:25" hidden="1" x14ac:dyDescent="0.2">
      <c r="A70" s="54" t="s">
        <v>76</v>
      </c>
      <c r="B70" s="37" t="s">
        <v>89</v>
      </c>
      <c r="C70" s="53">
        <v>100022086</v>
      </c>
      <c r="D70" s="54" t="s">
        <v>94</v>
      </c>
      <c r="E70" s="40">
        <v>8480017090058</v>
      </c>
      <c r="F70" s="41">
        <v>5.4</v>
      </c>
      <c r="G70" s="42">
        <v>12</v>
      </c>
      <c r="I70" s="41">
        <f>+L70*1.55*1.21</f>
        <v>0</v>
      </c>
      <c r="J70" s="41">
        <v>0</v>
      </c>
      <c r="K70" s="112"/>
      <c r="L70" s="41">
        <f>+IF(ISERROR(P70/G70),"",(P70/G70))</f>
        <v>0</v>
      </c>
      <c r="M70" s="41">
        <f t="shared" si="13"/>
        <v>0</v>
      </c>
      <c r="N70" s="45">
        <v>0</v>
      </c>
      <c r="O70" s="58"/>
      <c r="P70" s="41">
        <f t="shared" si="1"/>
        <v>0</v>
      </c>
      <c r="Q70" s="58"/>
      <c r="R70" s="41">
        <f t="shared" si="14"/>
        <v>0</v>
      </c>
      <c r="S70" s="89">
        <f t="shared" si="15"/>
        <v>0</v>
      </c>
      <c r="T70" s="12"/>
      <c r="U70"/>
      <c r="V70" s="41" t="s">
        <v>75</v>
      </c>
      <c r="W70" s="72" t="str">
        <f t="shared" si="19"/>
        <v/>
      </c>
      <c r="X70" s="41" t="str">
        <f t="shared" si="16"/>
        <v/>
      </c>
    </row>
    <row r="71" spans="1:25" hidden="1" x14ac:dyDescent="0.2">
      <c r="A71" s="54" t="s">
        <v>76</v>
      </c>
      <c r="B71" s="37" t="s">
        <v>89</v>
      </c>
      <c r="C71" s="53">
        <v>100022087</v>
      </c>
      <c r="D71" s="54" t="s">
        <v>95</v>
      </c>
      <c r="E71" s="40">
        <v>8480017048141</v>
      </c>
      <c r="F71" s="41">
        <v>5.4</v>
      </c>
      <c r="G71" s="42">
        <v>6</v>
      </c>
      <c r="I71" s="41"/>
      <c r="J71" s="41"/>
      <c r="K71" s="112"/>
      <c r="L71" s="41">
        <f>+IF(ISERROR(N71/G71),"",(N71/G71))</f>
        <v>0</v>
      </c>
      <c r="M71" s="41">
        <f t="shared" si="13"/>
        <v>0</v>
      </c>
      <c r="N71" s="45">
        <v>0</v>
      </c>
      <c r="O71" s="58"/>
      <c r="P71" s="41">
        <f t="shared" si="1"/>
        <v>0</v>
      </c>
      <c r="Q71" s="58"/>
      <c r="R71" s="41">
        <f t="shared" si="14"/>
        <v>0</v>
      </c>
      <c r="S71" s="89">
        <f t="shared" si="15"/>
        <v>0</v>
      </c>
      <c r="T71" s="12"/>
      <c r="U71"/>
      <c r="V71" s="41" t="s">
        <v>75</v>
      </c>
      <c r="W71" s="72"/>
      <c r="X71" s="41" t="str">
        <f t="shared" si="16"/>
        <v/>
      </c>
    </row>
    <row r="72" spans="1:25" x14ac:dyDescent="0.2">
      <c r="A72" s="26"/>
      <c r="B72" s="27"/>
      <c r="C72" s="28"/>
      <c r="D72" s="29"/>
      <c r="E72" s="28"/>
      <c r="F72" s="29"/>
      <c r="G72" s="87"/>
      <c r="I72" s="31"/>
      <c r="J72" s="32"/>
      <c r="K72" s="112"/>
      <c r="L72" s="31"/>
      <c r="M72" s="29"/>
      <c r="N72" s="29" t="s">
        <v>75</v>
      </c>
      <c r="O72" s="33"/>
      <c r="P72" s="29"/>
      <c r="Q72" s="33"/>
      <c r="R72" s="29"/>
      <c r="S72" s="30"/>
      <c r="T72" s="12"/>
      <c r="U72"/>
      <c r="V72" s="29"/>
      <c r="W72" s="35"/>
      <c r="X72" s="30"/>
    </row>
    <row r="73" spans="1:25" x14ac:dyDescent="0.2">
      <c r="A73" s="54" t="s">
        <v>96</v>
      </c>
      <c r="B73" s="37" t="s">
        <v>97</v>
      </c>
      <c r="C73" s="53">
        <v>100021000</v>
      </c>
      <c r="D73" s="54" t="s">
        <v>98</v>
      </c>
      <c r="E73" s="40">
        <v>7790360720382</v>
      </c>
      <c r="F73" s="41">
        <v>2.16</v>
      </c>
      <c r="G73" s="42">
        <v>24</v>
      </c>
      <c r="I73" s="41">
        <f>+L73*1.45*1.21</f>
        <v>1388.8600511561788</v>
      </c>
      <c r="J73" s="41">
        <f>+I73*0.8</f>
        <v>1111.088040924943</v>
      </c>
      <c r="K73" s="112"/>
      <c r="L73" s="41">
        <f t="shared" ref="L73:L100" si="20">+IF(ISERROR(N73/G73),"",(N73/G73))</f>
        <v>791.59877523863145</v>
      </c>
      <c r="M73" s="41">
        <f t="shared" ref="M73:M100" si="21">+IF(ISERROR(N73/F73),"",(N73/F73))</f>
        <v>8795.5419470959041</v>
      </c>
      <c r="N73" s="45">
        <v>18998.370605727156</v>
      </c>
      <c r="O73" s="58"/>
      <c r="P73" s="41">
        <f t="shared" si="1"/>
        <v>18998.370605727156</v>
      </c>
      <c r="Q73" s="58"/>
      <c r="R73" s="41">
        <f t="shared" ref="R73:R100" si="22">+IF(ISERROR(P73/(1-Q73)),"",(P73/(1-Q73)))</f>
        <v>18998.370605727156</v>
      </c>
      <c r="S73" s="41">
        <f>+IF(ISERROR(P73/G73),"",(P73/G73))</f>
        <v>791.59877523863145</v>
      </c>
      <c r="T73" s="12"/>
      <c r="U73"/>
      <c r="V73" s="44">
        <v>18093.689999999999</v>
      </c>
      <c r="W73" s="72">
        <f t="shared" ref="W73:W93" si="23">+IF(ISERROR(N73/V73-1),"",(N73/V73-1))</f>
        <v>4.9999784771771694E-2</v>
      </c>
      <c r="X73" s="41">
        <f t="shared" ref="X73:X94" si="24">+IF(ISERROR(V73*(1-O73)),"",(V73*(1-O73)))</f>
        <v>18093.689999999999</v>
      </c>
      <c r="Y73" s="50"/>
    </row>
    <row r="74" spans="1:25" x14ac:dyDescent="0.2">
      <c r="A74" s="54" t="s">
        <v>96</v>
      </c>
      <c r="B74" s="37" t="s">
        <v>97</v>
      </c>
      <c r="C74" s="53">
        <v>100021001</v>
      </c>
      <c r="D74" s="54" t="s">
        <v>99</v>
      </c>
      <c r="E74" s="40">
        <v>7790360720115</v>
      </c>
      <c r="F74" s="41">
        <v>2.16</v>
      </c>
      <c r="G74" s="42">
        <v>24</v>
      </c>
      <c r="I74" s="41">
        <f t="shared" ref="I74:I92" si="25">+L74*1.45*1.21</f>
        <v>1388.8600511561788</v>
      </c>
      <c r="J74" s="41">
        <f t="shared" ref="J74:J92" si="26">+I74*0.8</f>
        <v>1111.088040924943</v>
      </c>
      <c r="K74" s="112"/>
      <c r="L74" s="41">
        <f t="shared" si="20"/>
        <v>791.59877523863145</v>
      </c>
      <c r="M74" s="41">
        <f t="shared" si="21"/>
        <v>8795.5419470959041</v>
      </c>
      <c r="N74" s="45">
        <v>18998.370605727156</v>
      </c>
      <c r="O74" s="58"/>
      <c r="P74" s="41">
        <f t="shared" si="1"/>
        <v>18998.370605727156</v>
      </c>
      <c r="Q74" s="58"/>
      <c r="R74" s="41">
        <f t="shared" si="22"/>
        <v>18998.370605727156</v>
      </c>
      <c r="S74" s="41">
        <f t="shared" ref="S74:S93" si="27">+IF(ISERROR(P74/G74),"",(P74/G74))</f>
        <v>791.59877523863145</v>
      </c>
      <c r="T74" s="12"/>
      <c r="U74"/>
      <c r="V74" s="44">
        <v>18093.689999999999</v>
      </c>
      <c r="W74" s="72">
        <f t="shared" si="23"/>
        <v>4.9999784771771694E-2</v>
      </c>
      <c r="X74" s="41">
        <f t="shared" si="24"/>
        <v>18093.689999999999</v>
      </c>
      <c r="Y74" s="50"/>
    </row>
    <row r="75" spans="1:25" x14ac:dyDescent="0.2">
      <c r="A75" s="54" t="s">
        <v>96</v>
      </c>
      <c r="B75" s="37" t="s">
        <v>97</v>
      </c>
      <c r="C75" s="53">
        <v>100522277</v>
      </c>
      <c r="D75" s="54" t="s">
        <v>100</v>
      </c>
      <c r="E75" s="40"/>
      <c r="F75" s="41">
        <v>2.16</v>
      </c>
      <c r="G75" s="42">
        <v>24</v>
      </c>
      <c r="I75" s="41">
        <f>+L75*1.45*1.21</f>
        <v>1388.8600511561788</v>
      </c>
      <c r="J75" s="41">
        <f>+I75*0.8</f>
        <v>1111.088040924943</v>
      </c>
      <c r="K75" s="112"/>
      <c r="L75" s="41">
        <f>+IF(ISERROR(N75/G75),"",(N75/G75))</f>
        <v>791.59877523863145</v>
      </c>
      <c r="M75" s="41">
        <f>+IF(ISERROR(N75/F75),"",(N75/F75))</f>
        <v>8795.5419470959041</v>
      </c>
      <c r="N75" s="45">
        <v>18998.370605727156</v>
      </c>
      <c r="O75" s="58"/>
      <c r="P75" s="41">
        <f>+IF(ISERROR(N75/(1-O75)),"",(N75/(1-O75)))</f>
        <v>18998.370605727156</v>
      </c>
      <c r="Q75" s="58"/>
      <c r="R75" s="41">
        <f>+IF(ISERROR(P75/(1-Q75)),"",(P75/(1-Q75)))</f>
        <v>18998.370605727156</v>
      </c>
      <c r="S75" s="41">
        <f>+IF(ISERROR(P75/G75),"",(P75/G75))</f>
        <v>791.59877523863145</v>
      </c>
      <c r="T75" s="12"/>
      <c r="U75"/>
      <c r="V75" s="44">
        <v>18093.689999999999</v>
      </c>
      <c r="W75" s="72">
        <f>+IF(ISERROR(N75/V75-1),"",(N75/V75-1))</f>
        <v>4.9999784771771694E-2</v>
      </c>
      <c r="X75" s="41">
        <f>+IF(ISERROR(V75*(1-O75)),"",(V75*(1-O75)))</f>
        <v>18093.689999999999</v>
      </c>
      <c r="Y75" s="50"/>
    </row>
    <row r="76" spans="1:25" x14ac:dyDescent="0.2">
      <c r="A76" s="54" t="s">
        <v>96</v>
      </c>
      <c r="B76" s="37" t="s">
        <v>97</v>
      </c>
      <c r="C76" s="53">
        <v>100522333</v>
      </c>
      <c r="D76" s="54" t="s">
        <v>101</v>
      </c>
      <c r="E76" s="40"/>
      <c r="F76" s="41">
        <v>2.16</v>
      </c>
      <c r="G76" s="42">
        <v>24</v>
      </c>
      <c r="I76" s="41">
        <f>+L76*1.45*1.21</f>
        <v>1388.8600511561788</v>
      </c>
      <c r="J76" s="41">
        <f>+I76*0.8</f>
        <v>1111.088040924943</v>
      </c>
      <c r="K76" s="112"/>
      <c r="L76" s="41">
        <f>+IF(ISERROR(N76/G76),"",(N76/G76))</f>
        <v>791.59877523863145</v>
      </c>
      <c r="M76" s="41">
        <f>+IF(ISERROR(N76/F76),"",(N76/F76))</f>
        <v>8795.5419470959041</v>
      </c>
      <c r="N76" s="45">
        <v>18998.370605727156</v>
      </c>
      <c r="O76" s="58"/>
      <c r="P76" s="41">
        <f>+IF(ISERROR(N76/(1-O76)),"",(N76/(1-O76)))</f>
        <v>18998.370605727156</v>
      </c>
      <c r="Q76" s="58"/>
      <c r="R76" s="41">
        <f>+IF(ISERROR(P76/(1-Q76)),"",(P76/(1-Q76)))</f>
        <v>18998.370605727156</v>
      </c>
      <c r="S76" s="41">
        <f>+IF(ISERROR(P76/G76),"",(P76/G76))</f>
        <v>791.59877523863145</v>
      </c>
      <c r="T76" s="12"/>
      <c r="U76"/>
      <c r="V76" s="44">
        <v>18093.689999999999</v>
      </c>
      <c r="W76" s="72">
        <f>+IF(ISERROR(N76/V76-1),"",(N76/V76-1))</f>
        <v>4.9999784771771694E-2</v>
      </c>
      <c r="X76" s="41">
        <f>+IF(ISERROR(V76*(1-O76)),"",(V76*(1-O76)))</f>
        <v>18093.689999999999</v>
      </c>
      <c r="Y76" s="50"/>
    </row>
    <row r="77" spans="1:25" x14ac:dyDescent="0.2">
      <c r="A77" s="54" t="s">
        <v>96</v>
      </c>
      <c r="B77" s="37" t="s">
        <v>97</v>
      </c>
      <c r="C77" s="53">
        <v>100021045</v>
      </c>
      <c r="D77" s="54" t="s">
        <v>102</v>
      </c>
      <c r="E77" s="40">
        <v>7790360966582</v>
      </c>
      <c r="F77" s="41">
        <v>2.16</v>
      </c>
      <c r="G77" s="42">
        <v>24</v>
      </c>
      <c r="I77" s="41">
        <f t="shared" si="25"/>
        <v>1388.8600511561788</v>
      </c>
      <c r="J77" s="41">
        <f t="shared" si="26"/>
        <v>1111.088040924943</v>
      </c>
      <c r="K77" s="112"/>
      <c r="L77" s="41">
        <f t="shared" si="20"/>
        <v>791.59877523863145</v>
      </c>
      <c r="M77" s="41">
        <f t="shared" si="21"/>
        <v>8795.5419470959041</v>
      </c>
      <c r="N77" s="45">
        <v>18998.370605727156</v>
      </c>
      <c r="O77" s="58"/>
      <c r="P77" s="41">
        <f t="shared" si="1"/>
        <v>18998.370605727156</v>
      </c>
      <c r="Q77" s="58"/>
      <c r="R77" s="41">
        <f t="shared" si="22"/>
        <v>18998.370605727156</v>
      </c>
      <c r="S77" s="41">
        <f t="shared" si="27"/>
        <v>791.59877523863145</v>
      </c>
      <c r="T77" s="12"/>
      <c r="U77"/>
      <c r="V77" s="44">
        <v>18093.689999999999</v>
      </c>
      <c r="W77" s="72">
        <f t="shared" si="23"/>
        <v>4.9999784771771694E-2</v>
      </c>
      <c r="X77" s="41">
        <f t="shared" si="24"/>
        <v>18093.689999999999</v>
      </c>
      <c r="Y77" s="50"/>
    </row>
    <row r="78" spans="1:25" x14ac:dyDescent="0.2">
      <c r="A78" s="54" t="s">
        <v>96</v>
      </c>
      <c r="B78" s="37" t="s">
        <v>103</v>
      </c>
      <c r="C78" s="53">
        <v>100021004</v>
      </c>
      <c r="D78" s="54" t="s">
        <v>104</v>
      </c>
      <c r="E78" s="40">
        <v>7790360964526</v>
      </c>
      <c r="F78" s="41">
        <v>2.1120000000000001</v>
      </c>
      <c r="G78" s="42">
        <v>24</v>
      </c>
      <c r="I78" s="41">
        <f t="shared" si="25"/>
        <v>1388.8600511561788</v>
      </c>
      <c r="J78" s="41">
        <f t="shared" si="26"/>
        <v>1111.088040924943</v>
      </c>
      <c r="K78" s="112"/>
      <c r="L78" s="41">
        <f t="shared" si="20"/>
        <v>791.59877523863145</v>
      </c>
      <c r="M78" s="41">
        <f t="shared" si="21"/>
        <v>8995.4406277117214</v>
      </c>
      <c r="N78" s="45">
        <v>18998.370605727156</v>
      </c>
      <c r="O78" s="58"/>
      <c r="P78" s="41">
        <f t="shared" si="1"/>
        <v>18998.370605727156</v>
      </c>
      <c r="Q78" s="58"/>
      <c r="R78" s="41">
        <f t="shared" si="22"/>
        <v>18998.370605727156</v>
      </c>
      <c r="S78" s="41">
        <f t="shared" si="27"/>
        <v>791.59877523863145</v>
      </c>
      <c r="T78" s="12"/>
      <c r="U78"/>
      <c r="V78" s="44">
        <v>18093.689999999999</v>
      </c>
      <c r="W78" s="72">
        <f t="shared" si="23"/>
        <v>4.9999784771771694E-2</v>
      </c>
      <c r="X78" s="41">
        <f t="shared" si="24"/>
        <v>18093.689999999999</v>
      </c>
      <c r="Y78" s="50"/>
    </row>
    <row r="79" spans="1:25" x14ac:dyDescent="0.2">
      <c r="A79" s="54" t="s">
        <v>96</v>
      </c>
      <c r="B79" s="37" t="s">
        <v>103</v>
      </c>
      <c r="C79" s="53">
        <v>100021006</v>
      </c>
      <c r="D79" s="54" t="s">
        <v>105</v>
      </c>
      <c r="E79" s="40">
        <v>7790360964557</v>
      </c>
      <c r="F79" s="41">
        <v>2.1120000000000001</v>
      </c>
      <c r="G79" s="42">
        <v>24</v>
      </c>
      <c r="I79" s="41">
        <f t="shared" si="25"/>
        <v>1388.8600511561788</v>
      </c>
      <c r="J79" s="41">
        <f t="shared" si="26"/>
        <v>1111.088040924943</v>
      </c>
      <c r="K79" s="112"/>
      <c r="L79" s="41">
        <f t="shared" si="20"/>
        <v>791.59877523863145</v>
      </c>
      <c r="M79" s="41">
        <f t="shared" si="21"/>
        <v>8995.4406277117214</v>
      </c>
      <c r="N79" s="45">
        <v>18998.370605727156</v>
      </c>
      <c r="O79" s="58"/>
      <c r="P79" s="41">
        <f t="shared" si="1"/>
        <v>18998.370605727156</v>
      </c>
      <c r="Q79" s="58"/>
      <c r="R79" s="41">
        <f t="shared" si="22"/>
        <v>18998.370605727156</v>
      </c>
      <c r="S79" s="41">
        <f t="shared" si="27"/>
        <v>791.59877523863145</v>
      </c>
      <c r="T79" s="12"/>
      <c r="U79"/>
      <c r="V79" s="44">
        <v>18093.689999999999</v>
      </c>
      <c r="W79" s="72">
        <f t="shared" si="23"/>
        <v>4.9999784771771694E-2</v>
      </c>
      <c r="X79" s="41">
        <f t="shared" si="24"/>
        <v>18093.689999999999</v>
      </c>
      <c r="Y79" s="50"/>
    </row>
    <row r="80" spans="1:25" x14ac:dyDescent="0.2">
      <c r="A80" s="54" t="s">
        <v>96</v>
      </c>
      <c r="B80" s="37" t="s">
        <v>103</v>
      </c>
      <c r="C80" s="53">
        <v>100021007</v>
      </c>
      <c r="D80" s="54" t="s">
        <v>106</v>
      </c>
      <c r="E80" s="40">
        <v>7790360964540</v>
      </c>
      <c r="F80" s="41">
        <v>2.04</v>
      </c>
      <c r="G80" s="42">
        <v>24</v>
      </c>
      <c r="I80" s="41">
        <f t="shared" si="25"/>
        <v>1802.7546227364924</v>
      </c>
      <c r="J80" s="41">
        <f t="shared" si="26"/>
        <v>1442.203698189194</v>
      </c>
      <c r="K80" s="113">
        <f>IFERROR(((I80/1.21)-L80)/(I80/1.21),)</f>
        <v>0.31034482758620691</v>
      </c>
      <c r="L80" s="41">
        <f t="shared" si="20"/>
        <v>1027.5033472422299</v>
      </c>
      <c r="M80" s="41">
        <f t="shared" si="21"/>
        <v>12088.274673438</v>
      </c>
      <c r="N80" s="45">
        <v>24660.080333813519</v>
      </c>
      <c r="O80" s="58"/>
      <c r="P80" s="41">
        <f t="shared" si="1"/>
        <v>24660.080333813519</v>
      </c>
      <c r="Q80" s="58"/>
      <c r="R80" s="41">
        <f t="shared" si="22"/>
        <v>24660.080333813519</v>
      </c>
      <c r="S80" s="41">
        <f t="shared" si="27"/>
        <v>1027.5033472422299</v>
      </c>
      <c r="T80" s="12"/>
      <c r="U80"/>
      <c r="V80" s="44">
        <v>23485.79</v>
      </c>
      <c r="W80" s="72">
        <f t="shared" si="23"/>
        <v>5.0000035502894224E-2</v>
      </c>
      <c r="X80" s="41">
        <f t="shared" si="24"/>
        <v>23485.79</v>
      </c>
      <c r="Y80" s="50"/>
    </row>
    <row r="81" spans="1:25" x14ac:dyDescent="0.2">
      <c r="A81" s="54" t="s">
        <v>96</v>
      </c>
      <c r="B81" s="37" t="s">
        <v>107</v>
      </c>
      <c r="C81" s="53">
        <v>100021013</v>
      </c>
      <c r="D81" s="54" t="s">
        <v>108</v>
      </c>
      <c r="E81" s="40">
        <v>7790360965714</v>
      </c>
      <c r="F81" s="41">
        <v>2.04</v>
      </c>
      <c r="G81" s="42">
        <v>24</v>
      </c>
      <c r="I81" s="41">
        <f t="shared" si="25"/>
        <v>1802.7546227364924</v>
      </c>
      <c r="J81" s="41">
        <f t="shared" si="26"/>
        <v>1442.203698189194</v>
      </c>
      <c r="K81" s="112"/>
      <c r="L81" s="41">
        <f t="shared" si="20"/>
        <v>1027.5033472422299</v>
      </c>
      <c r="M81" s="41">
        <f t="shared" si="21"/>
        <v>12088.274673438</v>
      </c>
      <c r="N81" s="45">
        <v>24660.080333813519</v>
      </c>
      <c r="O81" s="58"/>
      <c r="P81" s="41">
        <f t="shared" si="1"/>
        <v>24660.080333813519</v>
      </c>
      <c r="Q81" s="58"/>
      <c r="R81" s="41">
        <f t="shared" si="22"/>
        <v>24660.080333813519</v>
      </c>
      <c r="S81" s="41">
        <f t="shared" si="27"/>
        <v>1027.5033472422299</v>
      </c>
      <c r="T81" s="12"/>
      <c r="U81"/>
      <c r="V81" s="44">
        <v>23485.79</v>
      </c>
      <c r="W81" s="72">
        <f t="shared" si="23"/>
        <v>5.0000035502894224E-2</v>
      </c>
      <c r="X81" s="41">
        <f t="shared" si="24"/>
        <v>23485.79</v>
      </c>
      <c r="Y81" s="50"/>
    </row>
    <row r="82" spans="1:25" x14ac:dyDescent="0.2">
      <c r="A82" s="54" t="s">
        <v>96</v>
      </c>
      <c r="B82" s="37" t="s">
        <v>107</v>
      </c>
      <c r="C82" s="53">
        <v>100021014</v>
      </c>
      <c r="D82" s="54" t="s">
        <v>109</v>
      </c>
      <c r="E82" s="40">
        <v>7790360965721</v>
      </c>
      <c r="F82" s="41">
        <v>2.04</v>
      </c>
      <c r="G82" s="42">
        <v>24</v>
      </c>
      <c r="I82" s="41">
        <f t="shared" si="25"/>
        <v>1802.7546227364924</v>
      </c>
      <c r="J82" s="41">
        <f t="shared" si="26"/>
        <v>1442.203698189194</v>
      </c>
      <c r="K82" s="112"/>
      <c r="L82" s="41">
        <f t="shared" si="20"/>
        <v>1027.5033472422299</v>
      </c>
      <c r="M82" s="41">
        <f t="shared" si="21"/>
        <v>12088.274673438</v>
      </c>
      <c r="N82" s="45">
        <v>24660.080333813519</v>
      </c>
      <c r="O82" s="58"/>
      <c r="P82" s="41">
        <f t="shared" si="1"/>
        <v>24660.080333813519</v>
      </c>
      <c r="Q82" s="58"/>
      <c r="R82" s="41">
        <f t="shared" si="22"/>
        <v>24660.080333813519</v>
      </c>
      <c r="S82" s="41">
        <f t="shared" si="27"/>
        <v>1027.5033472422299</v>
      </c>
      <c r="T82" s="12"/>
      <c r="U82"/>
      <c r="V82" s="44">
        <v>23485.79</v>
      </c>
      <c r="W82" s="72">
        <f t="shared" si="23"/>
        <v>5.0000035502894224E-2</v>
      </c>
      <c r="X82" s="41">
        <f t="shared" si="24"/>
        <v>23485.79</v>
      </c>
      <c r="Y82" s="50"/>
    </row>
    <row r="83" spans="1:25" x14ac:dyDescent="0.2">
      <c r="A83" s="54" t="s">
        <v>96</v>
      </c>
      <c r="B83" s="37" t="s">
        <v>107</v>
      </c>
      <c r="C83" s="53">
        <v>100021054</v>
      </c>
      <c r="D83" s="54" t="s">
        <v>110</v>
      </c>
      <c r="E83" s="40">
        <v>7790360965707</v>
      </c>
      <c r="F83" s="41">
        <v>2.04</v>
      </c>
      <c r="G83" s="42">
        <v>24</v>
      </c>
      <c r="I83" s="41">
        <f t="shared" si="25"/>
        <v>1802.7546227364924</v>
      </c>
      <c r="J83" s="41">
        <f t="shared" si="26"/>
        <v>1442.203698189194</v>
      </c>
      <c r="K83" s="113">
        <f>IFERROR(((I83/1.21)-L83)/(I83/1.21),)</f>
        <v>0.31034482758620691</v>
      </c>
      <c r="L83" s="41">
        <f t="shared" si="20"/>
        <v>1027.5033472422299</v>
      </c>
      <c r="M83" s="41">
        <f t="shared" si="21"/>
        <v>12088.274673438</v>
      </c>
      <c r="N83" s="45">
        <v>24660.080333813519</v>
      </c>
      <c r="O83" s="58"/>
      <c r="P83" s="41">
        <f t="shared" si="1"/>
        <v>24660.080333813519</v>
      </c>
      <c r="Q83" s="58"/>
      <c r="R83" s="41">
        <f t="shared" si="22"/>
        <v>24660.080333813519</v>
      </c>
      <c r="S83" s="41">
        <f t="shared" si="27"/>
        <v>1027.5033472422299</v>
      </c>
      <c r="T83" s="12"/>
      <c r="U83"/>
      <c r="V83" s="44">
        <v>23485.79</v>
      </c>
      <c r="W83" s="58">
        <f t="shared" si="23"/>
        <v>5.0000035502894224E-2</v>
      </c>
      <c r="X83" s="41">
        <f t="shared" si="24"/>
        <v>23485.79</v>
      </c>
      <c r="Y83" s="50"/>
    </row>
    <row r="84" spans="1:25" x14ac:dyDescent="0.2">
      <c r="A84" s="54" t="s">
        <v>96</v>
      </c>
      <c r="B84" s="37" t="s">
        <v>107</v>
      </c>
      <c r="C84" s="53">
        <v>100021055</v>
      </c>
      <c r="D84" s="54" t="s">
        <v>111</v>
      </c>
      <c r="E84" s="40">
        <v>7790360965189</v>
      </c>
      <c r="F84" s="41">
        <v>2.04</v>
      </c>
      <c r="G84" s="42">
        <v>24</v>
      </c>
      <c r="I84" s="41">
        <f t="shared" si="25"/>
        <v>1802.7546227364924</v>
      </c>
      <c r="J84" s="41">
        <f t="shared" si="26"/>
        <v>1442.203698189194</v>
      </c>
      <c r="K84" s="112"/>
      <c r="L84" s="41">
        <f t="shared" si="20"/>
        <v>1027.5033472422299</v>
      </c>
      <c r="M84" s="41">
        <f t="shared" si="21"/>
        <v>12088.274673438</v>
      </c>
      <c r="N84" s="45">
        <v>24660.080333813519</v>
      </c>
      <c r="O84" s="58"/>
      <c r="P84" s="41">
        <f t="shared" si="1"/>
        <v>24660.080333813519</v>
      </c>
      <c r="Q84" s="58"/>
      <c r="R84" s="41">
        <f t="shared" si="22"/>
        <v>24660.080333813519</v>
      </c>
      <c r="S84" s="41">
        <f t="shared" si="27"/>
        <v>1027.5033472422299</v>
      </c>
      <c r="T84" s="12"/>
      <c r="U84"/>
      <c r="V84" s="44">
        <v>23485.79</v>
      </c>
      <c r="W84" s="72">
        <f t="shared" si="23"/>
        <v>5.0000035502894224E-2</v>
      </c>
      <c r="X84" s="41">
        <f t="shared" si="24"/>
        <v>23485.79</v>
      </c>
      <c r="Y84" s="50"/>
    </row>
    <row r="85" spans="1:25" x14ac:dyDescent="0.2">
      <c r="A85" s="54" t="s">
        <v>96</v>
      </c>
      <c r="B85" s="37" t="s">
        <v>107</v>
      </c>
      <c r="C85" s="53">
        <v>100021015</v>
      </c>
      <c r="D85" s="54" t="s">
        <v>112</v>
      </c>
      <c r="E85" s="40">
        <v>7790360965202</v>
      </c>
      <c r="F85" s="41">
        <v>2.04</v>
      </c>
      <c r="G85" s="42">
        <v>24</v>
      </c>
      <c r="I85" s="41">
        <f t="shared" si="25"/>
        <v>1931.5228100748129</v>
      </c>
      <c r="J85" s="41">
        <f t="shared" si="26"/>
        <v>1545.2182480598503</v>
      </c>
      <c r="K85" s="112"/>
      <c r="L85" s="41">
        <f t="shared" si="20"/>
        <v>1100.8964434738177</v>
      </c>
      <c r="M85" s="41">
        <f t="shared" si="21"/>
        <v>12951.722864397856</v>
      </c>
      <c r="N85" s="45">
        <v>26421.514643371625</v>
      </c>
      <c r="O85" s="58"/>
      <c r="P85" s="41">
        <f t="shared" si="1"/>
        <v>26421.514643371625</v>
      </c>
      <c r="Q85" s="58"/>
      <c r="R85" s="41">
        <f t="shared" si="22"/>
        <v>26421.514643371625</v>
      </c>
      <c r="S85" s="41">
        <f t="shared" si="27"/>
        <v>1100.8964434738177</v>
      </c>
      <c r="T85" s="12"/>
      <c r="U85"/>
      <c r="V85" s="44">
        <v>25163.35</v>
      </c>
      <c r="W85" s="58">
        <f t="shared" si="23"/>
        <v>4.9999886476626898E-2</v>
      </c>
      <c r="X85" s="41">
        <f t="shared" si="24"/>
        <v>25163.35</v>
      </c>
      <c r="Y85" s="50"/>
    </row>
    <row r="86" spans="1:25" x14ac:dyDescent="0.2">
      <c r="A86" s="54" t="s">
        <v>96</v>
      </c>
      <c r="B86" s="37" t="s">
        <v>113</v>
      </c>
      <c r="C86" s="53">
        <v>100021008</v>
      </c>
      <c r="D86" s="54" t="s">
        <v>114</v>
      </c>
      <c r="E86" s="40">
        <v>7790360720122</v>
      </c>
      <c r="F86" s="41">
        <v>2.16</v>
      </c>
      <c r="G86" s="42">
        <v>24</v>
      </c>
      <c r="I86" s="41">
        <f t="shared" si="25"/>
        <v>1094.0182619859161</v>
      </c>
      <c r="J86" s="41">
        <f t="shared" si="26"/>
        <v>875.21460958873286</v>
      </c>
      <c r="K86" s="112"/>
      <c r="L86" s="41">
        <f t="shared" si="20"/>
        <v>623.54987858986385</v>
      </c>
      <c r="M86" s="41">
        <f t="shared" si="21"/>
        <v>6928.3319843318204</v>
      </c>
      <c r="N86" s="45">
        <v>14965.197086156733</v>
      </c>
      <c r="O86" s="58"/>
      <c r="P86" s="41">
        <f t="shared" si="1"/>
        <v>14965.197086156733</v>
      </c>
      <c r="Q86" s="58"/>
      <c r="R86" s="41">
        <f t="shared" si="22"/>
        <v>14965.197086156733</v>
      </c>
      <c r="S86" s="41">
        <f t="shared" si="27"/>
        <v>623.54987858986385</v>
      </c>
      <c r="T86" s="12"/>
      <c r="U86"/>
      <c r="V86" s="44">
        <v>14252.57</v>
      </c>
      <c r="W86" s="72">
        <f t="shared" si="23"/>
        <v>4.9999900800819397E-2</v>
      </c>
      <c r="X86" s="41">
        <f t="shared" si="24"/>
        <v>14252.57</v>
      </c>
      <c r="Y86" s="50"/>
    </row>
    <row r="87" spans="1:25" x14ac:dyDescent="0.2">
      <c r="A87" s="54" t="s">
        <v>96</v>
      </c>
      <c r="B87" s="37" t="s">
        <v>113</v>
      </c>
      <c r="C87" s="53">
        <v>100021009</v>
      </c>
      <c r="D87" s="54" t="s">
        <v>115</v>
      </c>
      <c r="E87" s="40">
        <v>7790360965127</v>
      </c>
      <c r="F87" s="41">
        <v>2.16</v>
      </c>
      <c r="G87" s="42">
        <v>24</v>
      </c>
      <c r="I87" s="41">
        <f t="shared" si="25"/>
        <v>1094.0182619859161</v>
      </c>
      <c r="J87" s="41">
        <f t="shared" si="26"/>
        <v>875.21460958873286</v>
      </c>
      <c r="K87" s="112"/>
      <c r="L87" s="41">
        <f t="shared" si="20"/>
        <v>623.54987858986385</v>
      </c>
      <c r="M87" s="41">
        <f t="shared" si="21"/>
        <v>6928.3319843318204</v>
      </c>
      <c r="N87" s="45">
        <v>14965.197086156733</v>
      </c>
      <c r="O87" s="58"/>
      <c r="P87" s="41">
        <f t="shared" ref="P87:P98" si="28">+IF(ISERROR(N87/(1-O87)),"",(N87/(1-O87)))</f>
        <v>14965.197086156733</v>
      </c>
      <c r="Q87" s="58"/>
      <c r="R87" s="41">
        <f t="shared" si="22"/>
        <v>14965.197086156733</v>
      </c>
      <c r="S87" s="41">
        <f t="shared" si="27"/>
        <v>623.54987858986385</v>
      </c>
      <c r="T87" s="12"/>
      <c r="U87"/>
      <c r="V87" s="44">
        <v>14252.57</v>
      </c>
      <c r="W87" s="72">
        <f t="shared" si="23"/>
        <v>4.9999900800819397E-2</v>
      </c>
      <c r="X87" s="41">
        <f t="shared" si="24"/>
        <v>14252.57</v>
      </c>
      <c r="Y87" s="50"/>
    </row>
    <row r="88" spans="1:25" x14ac:dyDescent="0.2">
      <c r="A88" s="54" t="s">
        <v>96</v>
      </c>
      <c r="B88" s="37" t="s">
        <v>116</v>
      </c>
      <c r="C88" s="53">
        <v>100021010</v>
      </c>
      <c r="D88" s="54" t="s">
        <v>117</v>
      </c>
      <c r="E88" s="40">
        <v>7790920008707</v>
      </c>
      <c r="F88" s="41">
        <v>2.16</v>
      </c>
      <c r="G88" s="42">
        <v>24</v>
      </c>
      <c r="I88" s="41">
        <f t="shared" si="25"/>
        <v>1094.0182619859161</v>
      </c>
      <c r="J88" s="41">
        <f t="shared" si="26"/>
        <v>875.21460958873286</v>
      </c>
      <c r="K88" s="112"/>
      <c r="L88" s="41">
        <f t="shared" si="20"/>
        <v>623.54987858986385</v>
      </c>
      <c r="M88" s="41">
        <f t="shared" si="21"/>
        <v>6928.3319843318204</v>
      </c>
      <c r="N88" s="45">
        <v>14965.197086156733</v>
      </c>
      <c r="O88" s="58"/>
      <c r="P88" s="41">
        <f t="shared" si="28"/>
        <v>14965.197086156733</v>
      </c>
      <c r="Q88" s="58"/>
      <c r="R88" s="41">
        <f t="shared" si="22"/>
        <v>14965.197086156733</v>
      </c>
      <c r="S88" s="41">
        <f t="shared" si="27"/>
        <v>623.54987858986385</v>
      </c>
      <c r="T88" s="12"/>
      <c r="U88"/>
      <c r="V88" s="44">
        <v>14252.57</v>
      </c>
      <c r="W88" s="72">
        <f t="shared" si="23"/>
        <v>4.9999900800819397E-2</v>
      </c>
      <c r="X88" s="41">
        <f t="shared" si="24"/>
        <v>14252.57</v>
      </c>
      <c r="Y88" s="50"/>
    </row>
    <row r="89" spans="1:25" x14ac:dyDescent="0.2">
      <c r="A89" s="54" t="s">
        <v>96</v>
      </c>
      <c r="B89" s="37" t="s">
        <v>116</v>
      </c>
      <c r="C89" s="53">
        <v>100021011</v>
      </c>
      <c r="D89" s="54" t="s">
        <v>118</v>
      </c>
      <c r="E89" s="40">
        <v>7790920008714</v>
      </c>
      <c r="F89" s="41">
        <v>2.16</v>
      </c>
      <c r="G89" s="42">
        <v>24</v>
      </c>
      <c r="I89" s="41">
        <f t="shared" si="25"/>
        <v>1094.0182619859161</v>
      </c>
      <c r="J89" s="41">
        <f t="shared" si="26"/>
        <v>875.21460958873286</v>
      </c>
      <c r="K89" s="112"/>
      <c r="L89" s="41">
        <f t="shared" si="20"/>
        <v>623.54987858986385</v>
      </c>
      <c r="M89" s="41">
        <f t="shared" si="21"/>
        <v>6928.3319843318204</v>
      </c>
      <c r="N89" s="45">
        <v>14965.197086156733</v>
      </c>
      <c r="O89" s="58"/>
      <c r="P89" s="41">
        <f t="shared" si="28"/>
        <v>14965.197086156733</v>
      </c>
      <c r="Q89" s="58"/>
      <c r="R89" s="41">
        <f t="shared" si="22"/>
        <v>14965.197086156733</v>
      </c>
      <c r="S89" s="41">
        <f t="shared" si="27"/>
        <v>623.54987858986385</v>
      </c>
      <c r="T89" s="12"/>
      <c r="U89"/>
      <c r="V89" s="44">
        <v>14252.57</v>
      </c>
      <c r="W89" s="72">
        <f t="shared" si="23"/>
        <v>4.9999900800819397E-2</v>
      </c>
      <c r="X89" s="41">
        <f t="shared" si="24"/>
        <v>14252.57</v>
      </c>
      <c r="Y89" s="50"/>
    </row>
    <row r="90" spans="1:25" hidden="1" x14ac:dyDescent="0.2">
      <c r="A90" s="54" t="s">
        <v>96</v>
      </c>
      <c r="B90" s="37" t="s">
        <v>116</v>
      </c>
      <c r="C90" s="53">
        <v>100021044</v>
      </c>
      <c r="D90" s="54" t="s">
        <v>119</v>
      </c>
      <c r="E90" s="40"/>
      <c r="F90" s="41">
        <v>2.16</v>
      </c>
      <c r="G90" s="42">
        <v>24</v>
      </c>
      <c r="I90" s="41">
        <f t="shared" si="25"/>
        <v>0</v>
      </c>
      <c r="J90" s="41">
        <f t="shared" si="26"/>
        <v>0</v>
      </c>
      <c r="K90" s="112"/>
      <c r="L90" s="41">
        <f t="shared" si="20"/>
        <v>0</v>
      </c>
      <c r="M90" s="41">
        <f t="shared" si="21"/>
        <v>0</v>
      </c>
      <c r="N90" s="45">
        <v>0</v>
      </c>
      <c r="O90" s="58"/>
      <c r="P90" s="41">
        <f t="shared" si="28"/>
        <v>0</v>
      </c>
      <c r="Q90" s="58"/>
      <c r="R90" s="41">
        <f t="shared" si="22"/>
        <v>0</v>
      </c>
      <c r="S90" s="41">
        <f t="shared" si="27"/>
        <v>0</v>
      </c>
      <c r="T90" s="12"/>
      <c r="U90"/>
      <c r="V90" s="44" t="s">
        <v>75</v>
      </c>
      <c r="W90" s="72" t="str">
        <f t="shared" si="23"/>
        <v/>
      </c>
      <c r="X90" s="41" t="str">
        <f t="shared" si="24"/>
        <v/>
      </c>
    </row>
    <row r="91" spans="1:25" x14ac:dyDescent="0.2">
      <c r="A91" s="54" t="s">
        <v>96</v>
      </c>
      <c r="B91" s="37" t="s">
        <v>120</v>
      </c>
      <c r="C91" s="53">
        <v>100021027</v>
      </c>
      <c r="D91" s="54" t="s">
        <v>121</v>
      </c>
      <c r="E91" s="40">
        <v>7790920008707</v>
      </c>
      <c r="F91" s="41">
        <v>2.16</v>
      </c>
      <c r="G91" s="42">
        <v>24</v>
      </c>
      <c r="I91" s="41">
        <f t="shared" si="25"/>
        <v>0</v>
      </c>
      <c r="J91" s="41">
        <f t="shared" si="26"/>
        <v>0</v>
      </c>
      <c r="K91" s="112"/>
      <c r="L91" s="41">
        <f>+IF(ISERROR(N91/G91),"",(N91/G91))</f>
        <v>0</v>
      </c>
      <c r="M91" s="41">
        <f>+IF(ISERROR(N91/F91),"",(N91/F91))</f>
        <v>0</v>
      </c>
      <c r="N91" s="45">
        <v>0</v>
      </c>
      <c r="O91" s="46"/>
      <c r="P91" s="41">
        <f t="shared" si="28"/>
        <v>0</v>
      </c>
      <c r="Q91" s="58"/>
      <c r="R91" s="41">
        <f t="shared" si="22"/>
        <v>0</v>
      </c>
      <c r="S91" s="41">
        <f t="shared" si="27"/>
        <v>0</v>
      </c>
      <c r="T91" s="12"/>
      <c r="U91"/>
      <c r="V91" s="44" t="s">
        <v>75</v>
      </c>
      <c r="W91" s="72" t="str">
        <f t="shared" si="23"/>
        <v/>
      </c>
      <c r="X91" s="41" t="str">
        <f t="shared" si="24"/>
        <v/>
      </c>
    </row>
    <row r="92" spans="1:25" x14ac:dyDescent="0.2">
      <c r="A92" s="54" t="s">
        <v>96</v>
      </c>
      <c r="B92" s="37" t="s">
        <v>120</v>
      </c>
      <c r="C92" s="53">
        <v>100021028</v>
      </c>
      <c r="D92" s="54" t="s">
        <v>122</v>
      </c>
      <c r="E92" s="40">
        <v>7790920008714</v>
      </c>
      <c r="F92" s="41">
        <v>2.16</v>
      </c>
      <c r="G92" s="42">
        <v>24</v>
      </c>
      <c r="I92" s="41">
        <f t="shared" si="25"/>
        <v>0</v>
      </c>
      <c r="J92" s="41">
        <f t="shared" si="26"/>
        <v>0</v>
      </c>
      <c r="K92" s="112"/>
      <c r="L92" s="41">
        <f t="shared" si="20"/>
        <v>0</v>
      </c>
      <c r="M92" s="41">
        <f t="shared" si="21"/>
        <v>0</v>
      </c>
      <c r="N92" s="45">
        <v>0</v>
      </c>
      <c r="O92" s="46"/>
      <c r="P92" s="41">
        <f t="shared" si="28"/>
        <v>0</v>
      </c>
      <c r="Q92" s="58"/>
      <c r="R92" s="41">
        <f t="shared" si="22"/>
        <v>0</v>
      </c>
      <c r="S92" s="41">
        <f t="shared" si="27"/>
        <v>0</v>
      </c>
      <c r="T92" s="12"/>
      <c r="U92"/>
      <c r="V92" s="44" t="s">
        <v>75</v>
      </c>
      <c r="W92" s="72" t="str">
        <f t="shared" si="23"/>
        <v/>
      </c>
      <c r="X92" s="41" t="str">
        <f t="shared" si="24"/>
        <v/>
      </c>
    </row>
    <row r="93" spans="1:25" x14ac:dyDescent="0.2">
      <c r="A93" s="54" t="s">
        <v>96</v>
      </c>
      <c r="B93" s="37" t="s">
        <v>120</v>
      </c>
      <c r="C93" s="53">
        <v>100021133</v>
      </c>
      <c r="D93" s="54" t="s">
        <v>123</v>
      </c>
      <c r="E93" s="40">
        <v>8480017344335</v>
      </c>
      <c r="F93" s="41">
        <v>2.16</v>
      </c>
      <c r="G93" s="42">
        <v>24</v>
      </c>
      <c r="I93" s="41">
        <f>+L93*1.35*1.21</f>
        <v>0</v>
      </c>
      <c r="J93" s="41">
        <v>0</v>
      </c>
      <c r="K93" s="112"/>
      <c r="L93" s="41">
        <f t="shared" si="20"/>
        <v>0</v>
      </c>
      <c r="M93" s="41">
        <f t="shared" si="21"/>
        <v>0</v>
      </c>
      <c r="N93" s="45">
        <v>0</v>
      </c>
      <c r="O93" s="58"/>
      <c r="P93" s="41">
        <f t="shared" si="28"/>
        <v>0</v>
      </c>
      <c r="Q93" s="58"/>
      <c r="R93" s="41">
        <f t="shared" si="22"/>
        <v>0</v>
      </c>
      <c r="S93" s="90">
        <f t="shared" si="27"/>
        <v>0</v>
      </c>
      <c r="T93" s="12"/>
      <c r="U93"/>
      <c r="V93" s="41" t="s">
        <v>75</v>
      </c>
      <c r="W93" s="72" t="str">
        <f t="shared" si="23"/>
        <v/>
      </c>
      <c r="X93" s="41" t="str">
        <f t="shared" si="24"/>
        <v/>
      </c>
    </row>
    <row r="94" spans="1:25" x14ac:dyDescent="0.2">
      <c r="A94" s="54" t="s">
        <v>96</v>
      </c>
      <c r="B94" s="37" t="s">
        <v>120</v>
      </c>
      <c r="C94" s="53">
        <v>100021134</v>
      </c>
      <c r="D94" s="54" t="s">
        <v>124</v>
      </c>
      <c r="E94" s="40">
        <v>8480017344342</v>
      </c>
      <c r="F94" s="41">
        <v>2.16</v>
      </c>
      <c r="G94" s="42">
        <v>24</v>
      </c>
      <c r="I94" s="41"/>
      <c r="J94" s="41"/>
      <c r="K94" s="112"/>
      <c r="L94" s="41">
        <f t="shared" si="20"/>
        <v>0</v>
      </c>
      <c r="M94" s="41">
        <f t="shared" si="21"/>
        <v>0</v>
      </c>
      <c r="N94" s="45">
        <v>0</v>
      </c>
      <c r="O94" s="58"/>
      <c r="P94" s="41">
        <f t="shared" si="28"/>
        <v>0</v>
      </c>
      <c r="Q94" s="58"/>
      <c r="R94" s="41">
        <f t="shared" si="22"/>
        <v>0</v>
      </c>
      <c r="S94" s="41">
        <f t="shared" ref="S94:S100" si="29">+IF(ISERROR(R94/G94),"",(R94/G94))</f>
        <v>0</v>
      </c>
      <c r="T94" s="12"/>
      <c r="U94"/>
      <c r="V94" s="41" t="s">
        <v>75</v>
      </c>
      <c r="W94" s="72"/>
      <c r="X94" s="41" t="str">
        <f t="shared" si="24"/>
        <v/>
      </c>
    </row>
    <row r="95" spans="1:25" x14ac:dyDescent="0.2">
      <c r="A95" s="54" t="s">
        <v>96</v>
      </c>
      <c r="B95" s="37" t="s">
        <v>120</v>
      </c>
      <c r="C95" s="53">
        <v>100518544</v>
      </c>
      <c r="D95" s="54" t="s">
        <v>125</v>
      </c>
      <c r="E95" s="40">
        <v>7798023696609</v>
      </c>
      <c r="F95" s="41">
        <v>2.16</v>
      </c>
      <c r="G95" s="42">
        <v>24</v>
      </c>
      <c r="I95" s="41"/>
      <c r="J95" s="41"/>
      <c r="K95" s="112"/>
      <c r="L95" s="41">
        <f t="shared" si="20"/>
        <v>0</v>
      </c>
      <c r="M95" s="41">
        <f t="shared" si="21"/>
        <v>0</v>
      </c>
      <c r="N95" s="45">
        <v>0</v>
      </c>
      <c r="O95" s="58"/>
      <c r="P95" s="41">
        <f t="shared" si="28"/>
        <v>0</v>
      </c>
      <c r="Q95" s="58"/>
      <c r="R95" s="41">
        <f t="shared" si="22"/>
        <v>0</v>
      </c>
      <c r="S95" s="41">
        <f t="shared" si="29"/>
        <v>0</v>
      </c>
      <c r="T95" s="12"/>
      <c r="U95"/>
      <c r="V95" s="41"/>
      <c r="W95" s="72"/>
      <c r="X95" s="41"/>
    </row>
    <row r="96" spans="1:25" x14ac:dyDescent="0.2">
      <c r="A96" s="54" t="s">
        <v>96</v>
      </c>
      <c r="B96" s="37" t="s">
        <v>120</v>
      </c>
      <c r="C96" s="53">
        <v>100518545</v>
      </c>
      <c r="D96" s="54" t="s">
        <v>126</v>
      </c>
      <c r="E96" s="40">
        <v>7798023696593</v>
      </c>
      <c r="F96" s="41">
        <v>2.16</v>
      </c>
      <c r="G96" s="42">
        <v>24</v>
      </c>
      <c r="I96" s="41"/>
      <c r="J96" s="41"/>
      <c r="K96" s="112"/>
      <c r="L96" s="41">
        <f t="shared" si="20"/>
        <v>0</v>
      </c>
      <c r="M96" s="41">
        <f t="shared" si="21"/>
        <v>0</v>
      </c>
      <c r="N96" s="45">
        <v>0</v>
      </c>
      <c r="O96" s="58"/>
      <c r="P96" s="41">
        <f t="shared" si="28"/>
        <v>0</v>
      </c>
      <c r="Q96" s="58"/>
      <c r="R96" s="41">
        <f t="shared" si="22"/>
        <v>0</v>
      </c>
      <c r="S96" s="41">
        <f t="shared" si="29"/>
        <v>0</v>
      </c>
      <c r="T96" s="12"/>
      <c r="U96"/>
      <c r="V96" s="41"/>
      <c r="W96" s="72"/>
      <c r="X96" s="41"/>
    </row>
    <row r="97" spans="1:25" x14ac:dyDescent="0.2">
      <c r="A97" s="54" t="s">
        <v>96</v>
      </c>
      <c r="B97" s="37" t="s">
        <v>120</v>
      </c>
      <c r="C97" s="53">
        <v>100520326</v>
      </c>
      <c r="D97" s="54" t="s">
        <v>127</v>
      </c>
      <c r="E97" s="40">
        <v>7798022224162</v>
      </c>
      <c r="F97" s="41">
        <v>2.16</v>
      </c>
      <c r="G97" s="42">
        <v>24</v>
      </c>
      <c r="I97" s="41"/>
      <c r="J97" s="41"/>
      <c r="K97" s="112"/>
      <c r="L97" s="41">
        <f t="shared" si="20"/>
        <v>0</v>
      </c>
      <c r="M97" s="41">
        <f t="shared" si="21"/>
        <v>0</v>
      </c>
      <c r="N97" s="45">
        <v>0</v>
      </c>
      <c r="O97" s="58"/>
      <c r="P97" s="41">
        <f t="shared" si="28"/>
        <v>0</v>
      </c>
      <c r="Q97" s="58"/>
      <c r="R97" s="41">
        <f t="shared" si="22"/>
        <v>0</v>
      </c>
      <c r="S97" s="41">
        <f t="shared" si="29"/>
        <v>0</v>
      </c>
      <c r="T97" s="12"/>
      <c r="U97"/>
      <c r="V97" s="41" t="s">
        <v>75</v>
      </c>
      <c r="W97" s="72"/>
      <c r="X97" s="41" t="str">
        <f>+IF(ISERROR(V97*(1-O97)),"",(V97*(1-O97)))</f>
        <v/>
      </c>
    </row>
    <row r="98" spans="1:25" x14ac:dyDescent="0.2">
      <c r="A98" s="54" t="s">
        <v>96</v>
      </c>
      <c r="B98" s="37" t="s">
        <v>120</v>
      </c>
      <c r="C98" s="53">
        <v>100520325</v>
      </c>
      <c r="D98" s="54" t="s">
        <v>128</v>
      </c>
      <c r="E98" s="40">
        <v>7798022224179</v>
      </c>
      <c r="F98" s="41">
        <v>2.16</v>
      </c>
      <c r="G98" s="42">
        <v>24</v>
      </c>
      <c r="I98" s="41"/>
      <c r="J98" s="41"/>
      <c r="K98" s="112"/>
      <c r="L98" s="41">
        <f t="shared" si="20"/>
        <v>0</v>
      </c>
      <c r="M98" s="41">
        <f t="shared" si="21"/>
        <v>0</v>
      </c>
      <c r="N98" s="45">
        <v>0</v>
      </c>
      <c r="O98" s="58"/>
      <c r="P98" s="41">
        <f t="shared" si="28"/>
        <v>0</v>
      </c>
      <c r="Q98" s="58"/>
      <c r="R98" s="41">
        <f t="shared" si="22"/>
        <v>0</v>
      </c>
      <c r="S98" s="41">
        <f t="shared" si="29"/>
        <v>0</v>
      </c>
      <c r="T98" s="12"/>
      <c r="U98"/>
      <c r="V98" s="41"/>
      <c r="W98" s="72"/>
      <c r="X98" s="41"/>
    </row>
    <row r="99" spans="1:25" x14ac:dyDescent="0.2">
      <c r="A99" s="54" t="s">
        <v>96</v>
      </c>
      <c r="B99" s="37" t="s">
        <v>120</v>
      </c>
      <c r="C99" s="53">
        <v>100522425</v>
      </c>
      <c r="D99" s="54" t="s">
        <v>129</v>
      </c>
      <c r="E99" s="40">
        <v>7791720045992</v>
      </c>
      <c r="F99" s="41">
        <v>2.16</v>
      </c>
      <c r="G99" s="42">
        <v>24</v>
      </c>
      <c r="I99" s="41"/>
      <c r="J99" s="41"/>
      <c r="K99" s="112"/>
      <c r="L99" s="41">
        <f t="shared" si="20"/>
        <v>0</v>
      </c>
      <c r="M99" s="41">
        <f t="shared" si="21"/>
        <v>0</v>
      </c>
      <c r="N99" s="45">
        <v>0</v>
      </c>
      <c r="O99" s="58"/>
      <c r="P99" s="41">
        <f>+IF(ISERROR(N99/(1-O99)),"",(N99/(1-O99)))</f>
        <v>0</v>
      </c>
      <c r="Q99" s="58"/>
      <c r="R99" s="41">
        <f t="shared" si="22"/>
        <v>0</v>
      </c>
      <c r="S99" s="41">
        <f t="shared" si="29"/>
        <v>0</v>
      </c>
      <c r="T99" s="12"/>
      <c r="U99"/>
      <c r="V99" s="41" t="s">
        <v>75</v>
      </c>
      <c r="W99" s="72"/>
      <c r="X99" s="41" t="str">
        <f>+IF(ISERROR(V99*(1-O99)),"",(V99*(1-O99)))</f>
        <v/>
      </c>
    </row>
    <row r="100" spans="1:25" x14ac:dyDescent="0.2">
      <c r="A100" s="54" t="s">
        <v>96</v>
      </c>
      <c r="B100" s="37" t="s">
        <v>120</v>
      </c>
      <c r="C100" s="53">
        <v>100522428</v>
      </c>
      <c r="D100" s="54" t="s">
        <v>130</v>
      </c>
      <c r="E100" s="40">
        <v>7791720045985</v>
      </c>
      <c r="F100" s="41">
        <v>2.16</v>
      </c>
      <c r="G100" s="42">
        <v>24</v>
      </c>
      <c r="I100" s="41"/>
      <c r="J100" s="41"/>
      <c r="K100" s="112"/>
      <c r="L100" s="41">
        <f t="shared" si="20"/>
        <v>0</v>
      </c>
      <c r="M100" s="41">
        <f t="shared" si="21"/>
        <v>0</v>
      </c>
      <c r="N100" s="45">
        <v>0</v>
      </c>
      <c r="O100" s="58"/>
      <c r="P100" s="41">
        <f>+IF(ISERROR(N100/(1-O100)),"",(N100/(1-O100)))</f>
        <v>0</v>
      </c>
      <c r="Q100" s="58"/>
      <c r="R100" s="41">
        <f t="shared" si="22"/>
        <v>0</v>
      </c>
      <c r="S100" s="41">
        <f t="shared" si="29"/>
        <v>0</v>
      </c>
      <c r="T100" s="12"/>
      <c r="U100"/>
      <c r="V100" s="41"/>
      <c r="W100" s="72"/>
      <c r="X100" s="41"/>
    </row>
    <row r="101" spans="1:25" x14ac:dyDescent="0.2">
      <c r="A101" s="26"/>
      <c r="B101" s="27"/>
      <c r="C101" s="28"/>
      <c r="D101" s="29"/>
      <c r="E101" s="28"/>
      <c r="F101" s="29"/>
      <c r="G101" s="87"/>
      <c r="I101" s="31"/>
      <c r="J101" s="32"/>
      <c r="K101" s="112"/>
      <c r="L101" s="31"/>
      <c r="M101" s="29"/>
      <c r="N101" s="29" t="s">
        <v>75</v>
      </c>
      <c r="O101" s="33"/>
      <c r="P101" s="29"/>
      <c r="Q101" s="33"/>
      <c r="R101" s="29"/>
      <c r="S101" s="30"/>
      <c r="T101" s="12"/>
      <c r="U101"/>
      <c r="V101" s="29"/>
      <c r="W101" s="35"/>
      <c r="X101" s="30"/>
    </row>
    <row r="102" spans="1:25" hidden="1" x14ac:dyDescent="0.2">
      <c r="A102" s="54" t="s">
        <v>131</v>
      </c>
      <c r="B102" s="37" t="s">
        <v>132</v>
      </c>
      <c r="C102" s="53">
        <v>100021701</v>
      </c>
      <c r="D102" s="54" t="s">
        <v>133</v>
      </c>
      <c r="E102" s="40">
        <v>7790360023889</v>
      </c>
      <c r="F102" s="41">
        <v>6.6</v>
      </c>
      <c r="G102" s="42">
        <v>20</v>
      </c>
      <c r="I102" s="41">
        <f>+L102*1.55*1.21</f>
        <v>0</v>
      </c>
      <c r="J102" s="41">
        <v>0</v>
      </c>
      <c r="K102" s="112"/>
      <c r="L102" s="41">
        <f>+IF(ISERROR(N102/G102),"",(N102/G102))</f>
        <v>0</v>
      </c>
      <c r="M102" s="41">
        <f>+IF(ISERROR(N102/F102),"",(N102/F102))</f>
        <v>0</v>
      </c>
      <c r="N102" s="45">
        <v>0</v>
      </c>
      <c r="O102" s="58"/>
      <c r="P102" s="41">
        <f>+IF(ISERROR(N102/(1-O102)),"",(N102/(1-O102)))</f>
        <v>0</v>
      </c>
      <c r="Q102" s="58"/>
      <c r="R102" s="41">
        <f>+IF(ISERROR(P102/(1-Q102)),"",(P102/(1-Q102)))</f>
        <v>0</v>
      </c>
      <c r="S102" s="41">
        <f>+IF(ISERROR(R102/G102),"",(R102/G102))</f>
        <v>0</v>
      </c>
      <c r="T102" s="12"/>
      <c r="U102"/>
      <c r="V102" s="44" t="s">
        <v>75</v>
      </c>
      <c r="W102" s="72" t="str">
        <f>+IF(ISERROR(N102/V102-1),"",(N102/V102-1))</f>
        <v/>
      </c>
      <c r="X102" s="41" t="str">
        <f>+IF(ISERROR(V102*(1-O102)),"",(V102*(1-O102)))</f>
        <v/>
      </c>
      <c r="Y102" s="50"/>
    </row>
    <row r="103" spans="1:25" x14ac:dyDescent="0.2">
      <c r="A103" s="54" t="s">
        <v>131</v>
      </c>
      <c r="B103" s="37" t="s">
        <v>132</v>
      </c>
      <c r="C103" s="53">
        <v>100516217</v>
      </c>
      <c r="D103" s="54" t="s">
        <v>134</v>
      </c>
      <c r="E103" s="40">
        <v>7790360967824</v>
      </c>
      <c r="F103" s="41">
        <v>5.8</v>
      </c>
      <c r="G103" s="42">
        <v>20</v>
      </c>
      <c r="I103" s="41">
        <f>+L103*1.55*1.21</f>
        <v>2751.6857614480164</v>
      </c>
      <c r="J103" s="41">
        <f>+I103*0.8</f>
        <v>2201.3486091584132</v>
      </c>
      <c r="K103" s="113">
        <f>IFERROR(((I103/1.21)-L103)/(I103/1.21),)</f>
        <v>0.35483870967741932</v>
      </c>
      <c r="L103" s="41">
        <f>+IF(ISERROR(N103/G103),"",(N103/G103))</f>
        <v>1467.1744929075003</v>
      </c>
      <c r="M103" s="41">
        <f>+IF(ISERROR(N103/F103),"",(N103/F103))</f>
        <v>5059.2223893362079</v>
      </c>
      <c r="N103" s="45">
        <v>29343.489858150006</v>
      </c>
      <c r="O103" s="58"/>
      <c r="P103" s="41">
        <f>+IF(ISERROR(N103/(1-O103)),"",(N103/(1-O103)))</f>
        <v>29343.489858150006</v>
      </c>
      <c r="Q103" s="58"/>
      <c r="R103" s="41">
        <f>+IF(ISERROR(P103/(1-Q103)),"",(P103/(1-Q103)))</f>
        <v>29343.489858150006</v>
      </c>
      <c r="S103" s="41">
        <f>+IF(ISERROR(R103/G103),"",(R103/G103))</f>
        <v>1467.1744929075003</v>
      </c>
      <c r="T103" s="12"/>
      <c r="U103" s="48"/>
      <c r="V103" s="41">
        <v>28488.82</v>
      </c>
      <c r="W103" s="72">
        <f>+IF(ISERROR(N103/V103-1),"",(N103/V103-1))</f>
        <v>3.0000184568894195E-2</v>
      </c>
      <c r="X103" s="41">
        <f>+IF(ISERROR(V103*(1-O103)),"",(V103*(1-O103)))</f>
        <v>28488.82</v>
      </c>
      <c r="Y103" s="50"/>
    </row>
    <row r="104" spans="1:25" x14ac:dyDescent="0.2">
      <c r="A104" s="54" t="s">
        <v>131</v>
      </c>
      <c r="B104" s="37" t="s">
        <v>132</v>
      </c>
      <c r="C104" s="53">
        <v>100516214</v>
      </c>
      <c r="D104" s="54" t="s">
        <v>135</v>
      </c>
      <c r="E104" s="40">
        <v>7790360967794</v>
      </c>
      <c r="F104" s="41">
        <v>7</v>
      </c>
      <c r="G104" s="42">
        <v>20</v>
      </c>
      <c r="I104" s="41">
        <f>+L104*1.55*1.21</f>
        <v>3739.6961364399999</v>
      </c>
      <c r="J104" s="41">
        <f>+I104*0.8</f>
        <v>2991.7569091519999</v>
      </c>
      <c r="K104" s="113">
        <f>IFERROR(((I104/1.21)-L104)/(I104/1.21),)</f>
        <v>0.35483870967741932</v>
      </c>
      <c r="L104" s="41">
        <f>+IF(ISERROR(N104/G104),"",(N104/G104))</f>
        <v>1993.97288</v>
      </c>
      <c r="M104" s="41">
        <f>+IF(ISERROR(N104/F104),"",(N104/F104))</f>
        <v>5697.0653714285718</v>
      </c>
      <c r="N104" s="45">
        <v>39879.457600000002</v>
      </c>
      <c r="O104" s="58"/>
      <c r="P104" s="41">
        <f>+IF(ISERROR(N104/(1-O104)),"",(N104/(1-O104)))</f>
        <v>39879.457600000002</v>
      </c>
      <c r="Q104" s="58"/>
      <c r="R104" s="41">
        <f>+IF(ISERROR(P104/(1-Q104)),"",(P104/(1-Q104)))</f>
        <v>39879.457600000002</v>
      </c>
      <c r="S104" s="41">
        <f>+IF(ISERROR(R104/G104),"",(R104/G104))</f>
        <v>1993.97288</v>
      </c>
      <c r="T104" s="12"/>
      <c r="U104" s="48"/>
      <c r="V104" s="41">
        <v>39879.46</v>
      </c>
      <c r="W104" s="72">
        <f>+IF(ISERROR(N104/V104-1),"",(N104/V104-1))</f>
        <v>-6.0181356453803403E-8</v>
      </c>
      <c r="X104" s="41">
        <f>+IF(ISERROR(V104*(1-O104)),"",(V104*(1-O104)))</f>
        <v>39879.46</v>
      </c>
      <c r="Y104" s="50"/>
    </row>
    <row r="105" spans="1:25" x14ac:dyDescent="0.2">
      <c r="A105" s="54" t="s">
        <v>131</v>
      </c>
      <c r="B105" s="37" t="s">
        <v>132</v>
      </c>
      <c r="C105" s="53">
        <v>100516215</v>
      </c>
      <c r="D105" s="54" t="s">
        <v>136</v>
      </c>
      <c r="E105" s="40">
        <v>7790360967800</v>
      </c>
      <c r="F105" s="41">
        <v>7</v>
      </c>
      <c r="G105" s="42">
        <v>20</v>
      </c>
      <c r="I105" s="41">
        <f>+L105*1.55*1.21</f>
        <v>3739.6961364399999</v>
      </c>
      <c r="J105" s="41">
        <f>+I105*0.8</f>
        <v>2991.7569091519999</v>
      </c>
      <c r="K105" s="113">
        <f>IFERROR(((I105/1.21)-L105)/(I105/1.21),)</f>
        <v>0.35483870967741932</v>
      </c>
      <c r="L105" s="41">
        <f>+IF(ISERROR(N105/G105),"",(N105/G105))</f>
        <v>1993.97288</v>
      </c>
      <c r="M105" s="41">
        <f>+IF(ISERROR(N105/F105),"",(N105/F105))</f>
        <v>5697.0653714285718</v>
      </c>
      <c r="N105" s="45">
        <v>39879.457600000002</v>
      </c>
      <c r="O105" s="58"/>
      <c r="P105" s="41">
        <f>+IF(ISERROR(N105/(1-O105)),"",(N105/(1-O105)))</f>
        <v>39879.457600000002</v>
      </c>
      <c r="Q105" s="58"/>
      <c r="R105" s="41">
        <f>+IF(ISERROR(P105/(1-Q105)),"",(P105/(1-Q105)))</f>
        <v>39879.457600000002</v>
      </c>
      <c r="S105" s="41">
        <f>+IF(ISERROR(R105/G105),"",(R105/G105))</f>
        <v>1993.97288</v>
      </c>
      <c r="T105" s="12"/>
      <c r="U105" s="48"/>
      <c r="V105" s="41">
        <v>39879.46</v>
      </c>
      <c r="W105" s="72">
        <f>+IF(ISERROR(N105/V105-1),"",(N105/V105-1))</f>
        <v>-6.0181356453803403E-8</v>
      </c>
      <c r="X105" s="41">
        <f>+IF(ISERROR(V105*(1-O105)),"",(V105*(1-O105)))</f>
        <v>39879.46</v>
      </c>
      <c r="Y105" s="50"/>
    </row>
    <row r="106" spans="1:25" x14ac:dyDescent="0.2">
      <c r="A106" s="54" t="s">
        <v>131</v>
      </c>
      <c r="B106" s="37" t="s">
        <v>132</v>
      </c>
      <c r="C106" s="53">
        <v>100516216</v>
      </c>
      <c r="D106" s="54" t="s">
        <v>137</v>
      </c>
      <c r="E106" s="40">
        <v>7790360967817</v>
      </c>
      <c r="F106" s="41">
        <v>7</v>
      </c>
      <c r="G106" s="42">
        <v>20</v>
      </c>
      <c r="I106" s="41">
        <f>+L106*1.55*1.21</f>
        <v>3739.6961364399999</v>
      </c>
      <c r="J106" s="41">
        <f>+I106*0.8</f>
        <v>2991.7569091519999</v>
      </c>
      <c r="K106" s="113">
        <f>IFERROR(((I106/1.21)-L106)/(I106/1.21),)</f>
        <v>0.35483870967741932</v>
      </c>
      <c r="L106" s="41">
        <f>+IF(ISERROR(N106/G106),"",(N106/G106))</f>
        <v>1993.97288</v>
      </c>
      <c r="M106" s="41">
        <f>+IF(ISERROR(N106/F106),"",(N106/F106))</f>
        <v>5697.0653714285718</v>
      </c>
      <c r="N106" s="45">
        <v>39879.457600000002</v>
      </c>
      <c r="O106" s="58"/>
      <c r="P106" s="41">
        <f>+IF(ISERROR(N106/(1-O106)),"",(N106/(1-O106)))</f>
        <v>39879.457600000002</v>
      </c>
      <c r="Q106" s="58"/>
      <c r="R106" s="41">
        <f>+IF(ISERROR(P106/(1-Q106)),"",(P106/(1-Q106)))</f>
        <v>39879.457600000002</v>
      </c>
      <c r="S106" s="41">
        <f>+IF(ISERROR(R106/G106),"",(R106/G106))</f>
        <v>1993.97288</v>
      </c>
      <c r="T106" s="12"/>
      <c r="U106" s="48"/>
      <c r="V106" s="41">
        <v>39879.46</v>
      </c>
      <c r="W106" s="72">
        <f>+IF(ISERROR(N106/V106-1),"",(N106/V106-1))</f>
        <v>-6.0181356453803403E-8</v>
      </c>
      <c r="X106" s="41">
        <f>+IF(ISERROR(V106*(1-O106)),"",(V106*(1-O106)))</f>
        <v>39879.46</v>
      </c>
      <c r="Y106" s="50"/>
    </row>
    <row r="107" spans="1:25" x14ac:dyDescent="0.2">
      <c r="A107" s="26"/>
      <c r="B107" s="27"/>
      <c r="C107" s="28"/>
      <c r="D107" s="29"/>
      <c r="E107" s="28"/>
      <c r="F107" s="29"/>
      <c r="G107" s="87"/>
      <c r="I107" s="31"/>
      <c r="J107" s="32"/>
      <c r="K107" s="113">
        <f>IFERROR(((I107/1.21)-L107)/(I107/1.21),)</f>
        <v>0</v>
      </c>
      <c r="L107" s="31"/>
      <c r="M107" s="29"/>
      <c r="N107" s="29" t="s">
        <v>75</v>
      </c>
      <c r="O107" s="33"/>
      <c r="P107" s="29"/>
      <c r="Q107" s="33"/>
      <c r="R107" s="29"/>
      <c r="S107" s="30"/>
      <c r="T107" s="12"/>
      <c r="U107"/>
      <c r="V107" s="29"/>
      <c r="W107" s="35"/>
      <c r="X107" s="30"/>
    </row>
    <row r="108" spans="1:25" x14ac:dyDescent="0.2">
      <c r="A108" s="54" t="s">
        <v>138</v>
      </c>
      <c r="B108" s="37" t="s">
        <v>139</v>
      </c>
      <c r="C108" s="53">
        <v>100021704</v>
      </c>
      <c r="D108" s="54" t="s">
        <v>140</v>
      </c>
      <c r="E108" s="40">
        <v>7790360023902</v>
      </c>
      <c r="F108" s="41">
        <f>12*0.38</f>
        <v>4.5600000000000005</v>
      </c>
      <c r="G108" s="42">
        <v>12</v>
      </c>
      <c r="I108" s="41">
        <f>+L108*1.55*1.21</f>
        <v>6694.77105874479</v>
      </c>
      <c r="J108" s="41">
        <f>+I108*0.8</f>
        <v>5355.8168469958327</v>
      </c>
      <c r="K108" s="112"/>
      <c r="L108" s="41">
        <f t="shared" ref="L108:L120" si="30">+IF(ISERROR(N108/G108),"",(N108/G108))</f>
        <v>3569.5926732843454</v>
      </c>
      <c r="M108" s="41">
        <f t="shared" ref="M108:M120" si="31">+IF(ISERROR(N108/F108),"",(N108/F108))</f>
        <v>9393.6649296956457</v>
      </c>
      <c r="N108" s="45">
        <v>42835.112079412145</v>
      </c>
      <c r="O108" s="58"/>
      <c r="P108" s="41">
        <f t="shared" ref="P108:P120" si="32">+IF(ISERROR(N108/(1-O108)),"",(N108/(1-O108)))</f>
        <v>42835.112079412145</v>
      </c>
      <c r="Q108" s="58"/>
      <c r="R108" s="41">
        <f t="shared" ref="R108:R120" si="33">+IF(ISERROR(P108/(1-Q108)),"",(P108/(1-Q108)))</f>
        <v>42835.112079412145</v>
      </c>
      <c r="S108" s="41">
        <f t="shared" ref="S108:S120" si="34">+IF(ISERROR(R108/G108),"",(R108/G108))</f>
        <v>3569.5926732843454</v>
      </c>
      <c r="T108" s="12"/>
      <c r="U108"/>
      <c r="V108" s="44">
        <v>42835.11</v>
      </c>
      <c r="W108" s="72">
        <f>+IF(ISERROR(N108/V108-1),"",(N108/V108-1))</f>
        <v>4.8544573472142361E-8</v>
      </c>
      <c r="X108" s="41">
        <f t="shared" ref="X108:X120" si="35">+IF(ISERROR(V108*(1-O108)),"",(V108*(1-O108)))</f>
        <v>42835.11</v>
      </c>
      <c r="Y108" s="50"/>
    </row>
    <row r="109" spans="1:25" x14ac:dyDescent="0.2">
      <c r="A109" s="54" t="s">
        <v>138</v>
      </c>
      <c r="B109" s="37" t="s">
        <v>141</v>
      </c>
      <c r="C109" s="53">
        <v>100021705</v>
      </c>
      <c r="D109" s="54" t="s">
        <v>142</v>
      </c>
      <c r="E109" s="40">
        <v>7790360024336</v>
      </c>
      <c r="F109" s="41">
        <f>12*0.38</f>
        <v>4.5600000000000005</v>
      </c>
      <c r="G109" s="42">
        <v>12</v>
      </c>
      <c r="I109" s="41">
        <f t="shared" ref="I109:I119" si="36">+L109*1.55*1.21</f>
        <v>6085.7021837290204</v>
      </c>
      <c r="J109" s="41">
        <f t="shared" ref="J109:J125" si="37">+I109*0.8</f>
        <v>4868.5617469832168</v>
      </c>
      <c r="K109" s="112"/>
      <c r="L109" s="41">
        <f t="shared" si="30"/>
        <v>3244.8425399781504</v>
      </c>
      <c r="M109" s="41">
        <f t="shared" si="31"/>
        <v>8539.0593157319745</v>
      </c>
      <c r="N109" s="45">
        <v>38938.110479737807</v>
      </c>
      <c r="O109" s="58"/>
      <c r="P109" s="41">
        <f t="shared" si="32"/>
        <v>38938.110479737807</v>
      </c>
      <c r="Q109" s="58"/>
      <c r="R109" s="41">
        <f t="shared" si="33"/>
        <v>38938.110479737807</v>
      </c>
      <c r="S109" s="41">
        <f t="shared" si="34"/>
        <v>3244.8425399781504</v>
      </c>
      <c r="T109" s="12"/>
      <c r="U109"/>
      <c r="V109" s="44">
        <v>38938.11</v>
      </c>
      <c r="W109" s="72">
        <f t="shared" ref="W109:W120" si="38">+IF(ISERROR(N109/V109-1),"",(N109/V109-1))</f>
        <v>1.2320521047826105E-8</v>
      </c>
      <c r="X109" s="41">
        <f t="shared" si="35"/>
        <v>38938.11</v>
      </c>
      <c r="Y109" s="50"/>
    </row>
    <row r="110" spans="1:25" x14ac:dyDescent="0.2">
      <c r="A110" s="54" t="s">
        <v>138</v>
      </c>
      <c r="B110" s="37" t="s">
        <v>139</v>
      </c>
      <c r="C110" s="53">
        <v>100021707</v>
      </c>
      <c r="D110" s="54" t="s">
        <v>143</v>
      </c>
      <c r="E110" s="40">
        <v>7790360024695</v>
      </c>
      <c r="F110" s="41">
        <v>7.6</v>
      </c>
      <c r="G110" s="42">
        <v>10</v>
      </c>
      <c r="I110" s="41">
        <f t="shared" si="36"/>
        <v>0</v>
      </c>
      <c r="J110" s="41">
        <f t="shared" si="37"/>
        <v>0</v>
      </c>
      <c r="K110" s="113">
        <f t="shared" ref="K110:K119" si="39">IFERROR(((I110/1.21)-L110)/(I110/1.21),)</f>
        <v>0</v>
      </c>
      <c r="L110" s="41">
        <f t="shared" si="30"/>
        <v>0</v>
      </c>
      <c r="M110" s="41">
        <f t="shared" si="31"/>
        <v>0</v>
      </c>
      <c r="N110" s="45">
        <v>0</v>
      </c>
      <c r="O110" s="58"/>
      <c r="P110" s="41">
        <f t="shared" si="32"/>
        <v>0</v>
      </c>
      <c r="Q110" s="58"/>
      <c r="R110" s="41">
        <f t="shared" si="33"/>
        <v>0</v>
      </c>
      <c r="S110" s="41">
        <f t="shared" si="34"/>
        <v>0</v>
      </c>
      <c r="T110" s="12"/>
      <c r="U110"/>
      <c r="V110" s="44" t="s">
        <v>75</v>
      </c>
      <c r="W110" s="72" t="str">
        <f t="shared" si="38"/>
        <v/>
      </c>
      <c r="X110" s="41" t="str">
        <f t="shared" si="35"/>
        <v/>
      </c>
      <c r="Y110" s="50"/>
    </row>
    <row r="111" spans="1:25" x14ac:dyDescent="0.2">
      <c r="A111" s="54" t="s">
        <v>138</v>
      </c>
      <c r="B111" s="37" t="s">
        <v>141</v>
      </c>
      <c r="C111" s="53">
        <v>100021709</v>
      </c>
      <c r="D111" s="54" t="s">
        <v>144</v>
      </c>
      <c r="E111" s="40">
        <v>7790360024701</v>
      </c>
      <c r="F111" s="41">
        <v>7.6</v>
      </c>
      <c r="G111" s="42">
        <v>10</v>
      </c>
      <c r="I111" s="41">
        <f t="shared" si="36"/>
        <v>11718.514752988</v>
      </c>
      <c r="J111" s="41">
        <f t="shared" si="37"/>
        <v>9374.8118023904008</v>
      </c>
      <c r="K111" s="113">
        <f t="shared" si="39"/>
        <v>0.35483870967741943</v>
      </c>
      <c r="L111" s="41">
        <f t="shared" si="30"/>
        <v>6248.2083460346566</v>
      </c>
      <c r="M111" s="41">
        <f t="shared" si="31"/>
        <v>8221.3267710982327</v>
      </c>
      <c r="N111" s="45">
        <v>62482.083460346563</v>
      </c>
      <c r="O111" s="58"/>
      <c r="P111" s="41">
        <f t="shared" si="32"/>
        <v>62482.083460346563</v>
      </c>
      <c r="Q111" s="58"/>
      <c r="R111" s="41">
        <f t="shared" si="33"/>
        <v>62482.083460346563</v>
      </c>
      <c r="S111" s="41">
        <f t="shared" si="34"/>
        <v>6248.2083460346566</v>
      </c>
      <c r="T111" s="12"/>
      <c r="U111"/>
      <c r="V111" s="44">
        <v>62482.080000000002</v>
      </c>
      <c r="W111" s="72">
        <f t="shared" si="38"/>
        <v>5.5381423891276427E-8</v>
      </c>
      <c r="X111" s="41">
        <f t="shared" si="35"/>
        <v>62482.080000000002</v>
      </c>
      <c r="Y111" s="50"/>
    </row>
    <row r="112" spans="1:25" x14ac:dyDescent="0.2">
      <c r="A112" s="54" t="s">
        <v>138</v>
      </c>
      <c r="B112" s="37" t="s">
        <v>141</v>
      </c>
      <c r="C112" s="53">
        <v>100521357</v>
      </c>
      <c r="D112" s="54" t="s">
        <v>145</v>
      </c>
      <c r="E112" s="40">
        <v>7790360982018</v>
      </c>
      <c r="F112" s="41">
        <v>4.5599999999999996</v>
      </c>
      <c r="G112" s="42">
        <v>12</v>
      </c>
      <c r="I112" s="41">
        <f>+L112*1.55*1.21</f>
        <v>7372.3133761199988</v>
      </c>
      <c r="J112" s="41">
        <f>+I112*0.8</f>
        <v>5897.8507008959996</v>
      </c>
      <c r="K112" s="113">
        <f>IFERROR(((I112/1.21)-L112)/(I112/1.21),)</f>
        <v>0.35483870967741937</v>
      </c>
      <c r="L112" s="41">
        <f t="shared" si="30"/>
        <v>3930.8522399999997</v>
      </c>
      <c r="M112" s="41">
        <f t="shared" si="31"/>
        <v>10344.348</v>
      </c>
      <c r="N112" s="45">
        <v>47170.226879999995</v>
      </c>
      <c r="O112" s="58"/>
      <c r="P112" s="41">
        <f>+IF(ISERROR(N112/(1-O112)),"",(N112/(1-O112)))</f>
        <v>47170.226879999995</v>
      </c>
      <c r="Q112" s="58"/>
      <c r="R112" s="41">
        <f>+IF(ISERROR(P112/(1-Q112)),"",(P112/(1-Q112)))</f>
        <v>47170.226879999995</v>
      </c>
      <c r="S112" s="41">
        <f t="shared" si="34"/>
        <v>3930.8522399999997</v>
      </c>
      <c r="T112" s="12"/>
      <c r="U112"/>
      <c r="V112" s="44">
        <v>47170.23</v>
      </c>
      <c r="W112" s="72">
        <f>+IF(ISERROR(N112/V112-1),"",(N112/V112-1))</f>
        <v>-6.614341307997762E-8</v>
      </c>
      <c r="X112" s="41">
        <f>+IF(ISERROR(V112*(1-O112)),"",(V112*(1-O112)))</f>
        <v>47170.23</v>
      </c>
      <c r="Y112" s="50"/>
    </row>
    <row r="113" spans="1:25" x14ac:dyDescent="0.2">
      <c r="A113" s="54" t="s">
        <v>138</v>
      </c>
      <c r="B113" s="37" t="s">
        <v>141</v>
      </c>
      <c r="C113" s="53">
        <v>100521358</v>
      </c>
      <c r="D113" s="54" t="s">
        <v>146</v>
      </c>
      <c r="E113" s="40">
        <v>7790360982025</v>
      </c>
      <c r="F113" s="41">
        <v>7.6</v>
      </c>
      <c r="G113" s="42">
        <v>10</v>
      </c>
      <c r="I113" s="41">
        <f>+L113*1.55*1.21</f>
        <v>13270.164077016001</v>
      </c>
      <c r="J113" s="41">
        <f>+I113*0.8</f>
        <v>10616.131261612802</v>
      </c>
      <c r="K113" s="113">
        <f>IFERROR(((I113/1.21)-L113)/(I113/1.21),)</f>
        <v>0.35483870967741937</v>
      </c>
      <c r="L113" s="41">
        <f t="shared" si="30"/>
        <v>7075.5340320000005</v>
      </c>
      <c r="M113" s="41">
        <f t="shared" si="31"/>
        <v>9309.9132000000009</v>
      </c>
      <c r="N113" s="45">
        <v>70755.340320000003</v>
      </c>
      <c r="O113" s="58"/>
      <c r="P113" s="41">
        <f>+IF(ISERROR(N113/(1-O113)),"",(N113/(1-O113)))</f>
        <v>70755.340320000003</v>
      </c>
      <c r="Q113" s="58"/>
      <c r="R113" s="41">
        <f>+IF(ISERROR(P113/(1-Q113)),"",(P113/(1-Q113)))</f>
        <v>70755.340320000003</v>
      </c>
      <c r="S113" s="41">
        <f t="shared" si="34"/>
        <v>7075.5340320000005</v>
      </c>
      <c r="T113" s="12"/>
      <c r="U113"/>
      <c r="V113" s="44">
        <v>70755.34</v>
      </c>
      <c r="W113" s="72">
        <f>+IF(ISERROR(N113/V113-1),"",(N113/V113-1))</f>
        <v>4.5226269396181351E-9</v>
      </c>
      <c r="X113" s="41">
        <f>+IF(ISERROR(V113*(1-O113)),"",(V113*(1-O113)))</f>
        <v>70755.34</v>
      </c>
      <c r="Y113" s="50"/>
    </row>
    <row r="114" spans="1:25" x14ac:dyDescent="0.2">
      <c r="A114" s="54" t="s">
        <v>138</v>
      </c>
      <c r="B114" s="37" t="s">
        <v>141</v>
      </c>
      <c r="C114" s="53">
        <v>100522130</v>
      </c>
      <c r="D114" s="54" t="s">
        <v>147</v>
      </c>
      <c r="E114" s="40">
        <v>7790360982445</v>
      </c>
      <c r="F114" s="41">
        <v>4.8</v>
      </c>
      <c r="G114" s="42">
        <v>12</v>
      </c>
      <c r="I114" s="41">
        <f>+L114*1.55*1.21</f>
        <v>5788.3202634411027</v>
      </c>
      <c r="J114" s="41">
        <f>+I114*0.8</f>
        <v>4630.6562107528825</v>
      </c>
      <c r="K114" s="113">
        <f>IFERROR(((I114/1.21)-L114)/(I114/1.21),)</f>
        <v>0.35483870967741937</v>
      </c>
      <c r="L114" s="41">
        <f t="shared" si="30"/>
        <v>3086.2811322000016</v>
      </c>
      <c r="M114" s="41">
        <f t="shared" si="31"/>
        <v>7715.702830500004</v>
      </c>
      <c r="N114" s="45">
        <v>37035.373586400019</v>
      </c>
      <c r="O114" s="58"/>
      <c r="P114" s="41">
        <f>+IF(ISERROR(N114/(1-O114)),"",(N114/(1-O114)))</f>
        <v>37035.373586400019</v>
      </c>
      <c r="Q114" s="58"/>
      <c r="R114" s="41">
        <f>+IF(ISERROR(P114/(1-Q114)),"",(P114/(1-Q114)))</f>
        <v>37035.373586400019</v>
      </c>
      <c r="S114" s="41">
        <f t="shared" si="34"/>
        <v>3086.2811322000016</v>
      </c>
      <c r="T114" s="12"/>
      <c r="U114"/>
      <c r="V114" s="44">
        <v>35271.79</v>
      </c>
      <c r="W114" s="72">
        <f>+IF(ISERROR(N114/V114-1),"",(N114/V114-1))</f>
        <v>4.9999832341937278E-2</v>
      </c>
      <c r="X114" s="41">
        <f>+IF(ISERROR(V114*(1-O114)),"",(V114*(1-O114)))</f>
        <v>35271.79</v>
      </c>
      <c r="Y114" s="50"/>
    </row>
    <row r="115" spans="1:25" s="95" customFormat="1" x14ac:dyDescent="0.2">
      <c r="A115" s="54" t="s">
        <v>138</v>
      </c>
      <c r="B115" s="37" t="s">
        <v>141</v>
      </c>
      <c r="C115" s="91">
        <v>100021725</v>
      </c>
      <c r="D115" s="37" t="s">
        <v>148</v>
      </c>
      <c r="E115" s="92">
        <v>7790360027009</v>
      </c>
      <c r="F115" s="93">
        <v>6</v>
      </c>
      <c r="G115" s="94">
        <v>4</v>
      </c>
      <c r="I115" s="41">
        <f t="shared" si="36"/>
        <v>15142.738445316632</v>
      </c>
      <c r="J115" s="41">
        <f t="shared" si="37"/>
        <v>12114.190756253307</v>
      </c>
      <c r="K115" s="113">
        <f t="shared" si="39"/>
        <v>0.35483870967741932</v>
      </c>
      <c r="L115" s="93">
        <f t="shared" si="30"/>
        <v>8073.9741110725854</v>
      </c>
      <c r="M115" s="93">
        <f t="shared" si="31"/>
        <v>5382.6494073817239</v>
      </c>
      <c r="N115" s="45">
        <v>32295.896444290342</v>
      </c>
      <c r="O115" s="58"/>
      <c r="P115" s="41">
        <f t="shared" si="32"/>
        <v>32295.896444290342</v>
      </c>
      <c r="Q115" s="96"/>
      <c r="R115" s="41">
        <f t="shared" si="33"/>
        <v>32295.896444290342</v>
      </c>
      <c r="S115" s="93">
        <f t="shared" si="34"/>
        <v>8073.9741110725854</v>
      </c>
      <c r="T115" s="12"/>
      <c r="U115"/>
      <c r="V115" s="44">
        <v>32295.9</v>
      </c>
      <c r="W115" s="97">
        <f t="shared" si="38"/>
        <v>-1.1009786571314351E-7</v>
      </c>
      <c r="X115" s="93">
        <f t="shared" si="35"/>
        <v>32295.9</v>
      </c>
      <c r="Y115" s="50"/>
    </row>
    <row r="116" spans="1:25" x14ac:dyDescent="0.2">
      <c r="A116" s="54" t="s">
        <v>138</v>
      </c>
      <c r="B116" s="37" t="s">
        <v>141</v>
      </c>
      <c r="C116" s="53">
        <v>100517055</v>
      </c>
      <c r="D116" s="54" t="s">
        <v>149</v>
      </c>
      <c r="E116" s="40">
        <v>7790360971135</v>
      </c>
      <c r="F116" s="41">
        <v>3.12</v>
      </c>
      <c r="G116" s="42">
        <v>12</v>
      </c>
      <c r="I116" s="41">
        <f t="shared" si="36"/>
        <v>5040.8020409487381</v>
      </c>
      <c r="J116" s="41">
        <f t="shared" si="37"/>
        <v>4032.6416327589905</v>
      </c>
      <c r="K116" s="113">
        <f t="shared" si="39"/>
        <v>0.35483870967741932</v>
      </c>
      <c r="L116" s="93">
        <f t="shared" si="30"/>
        <v>2687.7110322307326</v>
      </c>
      <c r="M116" s="93">
        <f t="shared" si="31"/>
        <v>10337.350123964356</v>
      </c>
      <c r="N116" s="45">
        <v>32252.532386768791</v>
      </c>
      <c r="O116" s="58"/>
      <c r="P116" s="41">
        <f t="shared" si="32"/>
        <v>32252.532386768791</v>
      </c>
      <c r="Q116" s="96"/>
      <c r="R116" s="41">
        <f t="shared" si="33"/>
        <v>32252.532386768791</v>
      </c>
      <c r="S116" s="93">
        <f t="shared" si="34"/>
        <v>2687.7110322307326</v>
      </c>
      <c r="T116" s="12"/>
      <c r="U116"/>
      <c r="V116" s="44">
        <v>32252.53</v>
      </c>
      <c r="W116" s="97">
        <f t="shared" si="38"/>
        <v>7.4002529215633217E-8</v>
      </c>
      <c r="X116" s="93">
        <f t="shared" si="35"/>
        <v>32252.53</v>
      </c>
      <c r="Y116" s="50"/>
    </row>
    <row r="117" spans="1:25" x14ac:dyDescent="0.2">
      <c r="A117" s="54" t="s">
        <v>138</v>
      </c>
      <c r="B117" s="37" t="s">
        <v>141</v>
      </c>
      <c r="C117" s="53">
        <v>100517186</v>
      </c>
      <c r="D117" s="54" t="s">
        <v>150</v>
      </c>
      <c r="E117" s="40">
        <v>7790360971395</v>
      </c>
      <c r="F117" s="41">
        <v>8</v>
      </c>
      <c r="G117" s="42">
        <v>8</v>
      </c>
      <c r="I117" s="41">
        <f t="shared" si="36"/>
        <v>19105.872435864483</v>
      </c>
      <c r="J117" s="41">
        <f t="shared" si="37"/>
        <v>15284.697948691588</v>
      </c>
      <c r="K117" s="113">
        <f t="shared" si="39"/>
        <v>0.35483870967741937</v>
      </c>
      <c r="L117" s="93">
        <f t="shared" si="30"/>
        <v>10187.08207724046</v>
      </c>
      <c r="M117" s="93">
        <f t="shared" si="31"/>
        <v>10187.08207724046</v>
      </c>
      <c r="N117" s="45">
        <v>81496.656617923683</v>
      </c>
      <c r="O117" s="58"/>
      <c r="P117" s="41">
        <f t="shared" si="32"/>
        <v>81496.656617923683</v>
      </c>
      <c r="Q117" s="96"/>
      <c r="R117" s="41">
        <f t="shared" si="33"/>
        <v>81496.656617923683</v>
      </c>
      <c r="S117" s="93">
        <f t="shared" si="34"/>
        <v>10187.08207724046</v>
      </c>
      <c r="T117" s="12"/>
      <c r="U117"/>
      <c r="V117" s="44">
        <v>81496.66</v>
      </c>
      <c r="W117" s="97">
        <f t="shared" si="38"/>
        <v>-4.1499569669589675E-8</v>
      </c>
      <c r="X117" s="93">
        <f t="shared" si="35"/>
        <v>81496.66</v>
      </c>
      <c r="Y117" s="50"/>
    </row>
    <row r="118" spans="1:25" x14ac:dyDescent="0.2">
      <c r="A118" s="54" t="s">
        <v>138</v>
      </c>
      <c r="B118" s="37" t="s">
        <v>141</v>
      </c>
      <c r="C118" s="53">
        <v>100521663</v>
      </c>
      <c r="D118" s="54" t="s">
        <v>151</v>
      </c>
      <c r="E118" s="40">
        <v>7790360982537</v>
      </c>
      <c r="F118" s="41">
        <v>4.8</v>
      </c>
      <c r="G118" s="42">
        <v>12</v>
      </c>
      <c r="I118" s="41">
        <f>+L118*1.55*1.21</f>
        <v>7490.0513067187512</v>
      </c>
      <c r="J118" s="41">
        <f>+I118*0.8</f>
        <v>5992.041045375001</v>
      </c>
      <c r="K118" s="113">
        <f>IFERROR(((I118/1.21)-L118)/(I118/1.21),)</f>
        <v>0.35483870967741937</v>
      </c>
      <c r="L118" s="41">
        <f t="shared" si="30"/>
        <v>3993.6290625000006</v>
      </c>
      <c r="M118" s="41">
        <f t="shared" si="31"/>
        <v>9984.0726562500022</v>
      </c>
      <c r="N118" s="45">
        <v>47923.548750000009</v>
      </c>
      <c r="O118" s="58"/>
      <c r="P118" s="41">
        <f>+IF(ISERROR(N118/(1-O118)),"",(N118/(1-O118)))</f>
        <v>47923.548750000009</v>
      </c>
      <c r="Q118" s="58"/>
      <c r="R118" s="41">
        <f>+IF(ISERROR(P118/(1-Q118)),"",(P118/(1-Q118)))</f>
        <v>47923.548750000009</v>
      </c>
      <c r="S118" s="41">
        <f t="shared" si="34"/>
        <v>3993.6290625000006</v>
      </c>
      <c r="T118" s="12"/>
      <c r="U118"/>
      <c r="V118" s="44">
        <v>47923.55</v>
      </c>
      <c r="W118" s="72">
        <f>+IF(ISERROR(N118/V118-1),"",(N118/V118-1))</f>
        <v>-2.6083209481164715E-8</v>
      </c>
      <c r="X118" s="41">
        <f>+IF(ISERROR(V118*(1-O118)),"",(V118*(1-O118)))</f>
        <v>47923.55</v>
      </c>
      <c r="Y118" s="50"/>
    </row>
    <row r="119" spans="1:25" s="95" customFormat="1" x14ac:dyDescent="0.2">
      <c r="A119" s="54" t="s">
        <v>138</v>
      </c>
      <c r="B119" s="37" t="s">
        <v>141</v>
      </c>
      <c r="C119" s="91">
        <v>100021728</v>
      </c>
      <c r="D119" s="37" t="s">
        <v>152</v>
      </c>
      <c r="E119" s="92">
        <v>7790360967558</v>
      </c>
      <c r="F119" s="93">
        <v>3.84</v>
      </c>
      <c r="G119" s="94">
        <v>12</v>
      </c>
      <c r="I119" s="41">
        <f t="shared" si="36"/>
        <v>6336.5050274932182</v>
      </c>
      <c r="J119" s="41">
        <f t="shared" si="37"/>
        <v>5069.2040219945748</v>
      </c>
      <c r="K119" s="113">
        <f t="shared" si="39"/>
        <v>0.35483870967741932</v>
      </c>
      <c r="L119" s="93">
        <f t="shared" si="30"/>
        <v>3378.5683964240034</v>
      </c>
      <c r="M119" s="93">
        <f t="shared" si="31"/>
        <v>10558.02623882501</v>
      </c>
      <c r="N119" s="45">
        <v>40542.82075708804</v>
      </c>
      <c r="O119" s="58"/>
      <c r="P119" s="41">
        <f t="shared" si="32"/>
        <v>40542.82075708804</v>
      </c>
      <c r="Q119" s="96"/>
      <c r="R119" s="41">
        <f t="shared" si="33"/>
        <v>40542.82075708804</v>
      </c>
      <c r="S119" s="93">
        <f t="shared" si="34"/>
        <v>3378.5683964240034</v>
      </c>
      <c r="T119" s="12"/>
      <c r="U119"/>
      <c r="V119" s="44">
        <v>40542.82</v>
      </c>
      <c r="W119" s="97">
        <f t="shared" si="38"/>
        <v>1.8673788293455118E-8</v>
      </c>
      <c r="X119" s="93">
        <f t="shared" si="35"/>
        <v>40542.82</v>
      </c>
      <c r="Y119" s="50"/>
    </row>
    <row r="120" spans="1:25" s="95" customFormat="1" x14ac:dyDescent="0.2">
      <c r="A120" s="54" t="s">
        <v>138</v>
      </c>
      <c r="B120" s="37" t="s">
        <v>141</v>
      </c>
      <c r="C120" s="91">
        <v>100517679</v>
      </c>
      <c r="D120" s="37" t="s">
        <v>153</v>
      </c>
      <c r="E120" s="92">
        <v>7790360973498</v>
      </c>
      <c r="F120" s="93">
        <v>7.68</v>
      </c>
      <c r="G120" s="94">
        <v>8</v>
      </c>
      <c r="I120" s="41">
        <f>+L120*1.55*1.21</f>
        <v>9547.5736483091605</v>
      </c>
      <c r="J120" s="41">
        <f>+I120*0.8</f>
        <v>7638.0589186473289</v>
      </c>
      <c r="K120" s="112"/>
      <c r="L120" s="93">
        <f t="shared" si="30"/>
        <v>5090.6817639611627</v>
      </c>
      <c r="M120" s="93">
        <f t="shared" si="31"/>
        <v>5302.7935041262117</v>
      </c>
      <c r="N120" s="45">
        <v>40725.454111689301</v>
      </c>
      <c r="O120" s="58"/>
      <c r="P120" s="41">
        <f t="shared" si="32"/>
        <v>40725.454111689301</v>
      </c>
      <c r="Q120" s="96"/>
      <c r="R120" s="41">
        <f t="shared" si="33"/>
        <v>40725.454111689301</v>
      </c>
      <c r="S120" s="93">
        <f t="shared" si="34"/>
        <v>5090.6817639611627</v>
      </c>
      <c r="T120" s="12"/>
      <c r="U120"/>
      <c r="V120" s="44">
        <v>40725.449999999997</v>
      </c>
      <c r="W120" s="97">
        <f t="shared" si="38"/>
        <v>1.0096117541991134E-7</v>
      </c>
      <c r="X120" s="93">
        <f t="shared" si="35"/>
        <v>40725.449999999997</v>
      </c>
      <c r="Y120" s="50"/>
    </row>
    <row r="121" spans="1:25" hidden="1" x14ac:dyDescent="0.2">
      <c r="A121" s="26"/>
      <c r="B121" s="27"/>
      <c r="C121" s="28"/>
      <c r="D121" s="29"/>
      <c r="E121" s="28"/>
      <c r="F121" s="29"/>
      <c r="G121" s="87"/>
      <c r="I121" s="31"/>
      <c r="J121" s="32"/>
      <c r="K121" s="112"/>
      <c r="L121" s="31"/>
      <c r="M121" s="29"/>
      <c r="N121" s="45" t="s">
        <v>75</v>
      </c>
      <c r="O121" s="33"/>
      <c r="P121" s="29"/>
      <c r="Q121" s="33"/>
      <c r="R121" s="29"/>
      <c r="S121" s="30"/>
      <c r="T121" s="12"/>
      <c r="U121"/>
      <c r="V121" s="29"/>
      <c r="W121" s="35"/>
      <c r="X121" s="30"/>
    </row>
    <row r="122" spans="1:25" hidden="1" x14ac:dyDescent="0.2">
      <c r="A122" s="54" t="s">
        <v>154</v>
      </c>
      <c r="B122" s="54" t="s">
        <v>155</v>
      </c>
      <c r="C122" s="53">
        <v>100022200</v>
      </c>
      <c r="D122" s="54" t="s">
        <v>156</v>
      </c>
      <c r="E122" s="98">
        <v>7790360027085</v>
      </c>
      <c r="F122" s="41">
        <v>3</v>
      </c>
      <c r="G122" s="42">
        <v>10</v>
      </c>
      <c r="I122" s="41">
        <f>+L122*1.55*1.21</f>
        <v>0</v>
      </c>
      <c r="J122" s="41">
        <f t="shared" si="37"/>
        <v>0</v>
      </c>
      <c r="K122" s="112"/>
      <c r="L122" s="41">
        <f>+IF(ISERROR(N122/G122),"",(N122/G122))</f>
        <v>0</v>
      </c>
      <c r="M122" s="41">
        <f>+IF(ISERROR(N122/F122),"",(N122/F122))</f>
        <v>0</v>
      </c>
      <c r="N122" s="45">
        <v>0</v>
      </c>
      <c r="O122" s="58"/>
      <c r="P122" s="41">
        <f>+IF(ISERROR(N122/(1-O122)),"",(N122/(1-O122)))</f>
        <v>0</v>
      </c>
      <c r="Q122" s="58"/>
      <c r="R122" s="41">
        <f>+IF(ISERROR(P122/(1-Q122)),"",(P122/(1-Q122)))</f>
        <v>0</v>
      </c>
      <c r="S122" s="41">
        <f>+IF(ISERROR(R122/G122),"",(R122/G122))</f>
        <v>0</v>
      </c>
      <c r="T122" s="12"/>
      <c r="U122"/>
      <c r="V122" s="44" t="s">
        <v>75</v>
      </c>
      <c r="W122" s="72" t="str">
        <f>+IF(ISERROR(N122/V122-1),"",(N122/V122-1))</f>
        <v/>
      </c>
      <c r="X122" s="41" t="str">
        <f>+IF(ISERROR(V122*(1-O122)),"",(V122*(1-O122)))</f>
        <v/>
      </c>
      <c r="Y122" s="50"/>
    </row>
    <row r="123" spans="1:25" x14ac:dyDescent="0.2">
      <c r="A123" s="26"/>
      <c r="B123" s="27"/>
      <c r="C123" s="28"/>
      <c r="D123" s="29"/>
      <c r="E123" s="28"/>
      <c r="F123" s="29"/>
      <c r="G123" s="87"/>
      <c r="I123" s="31"/>
      <c r="J123" s="32"/>
      <c r="K123" s="113">
        <f t="shared" ref="K123:K132" si="40">IFERROR(((I123/1.21)-L123)/(I123/1.21),)</f>
        <v>0</v>
      </c>
      <c r="L123" s="31"/>
      <c r="M123" s="29"/>
      <c r="N123" s="29" t="s">
        <v>75</v>
      </c>
      <c r="O123" s="33"/>
      <c r="P123" s="29"/>
      <c r="Q123" s="33"/>
      <c r="R123" s="29"/>
      <c r="S123" s="30"/>
      <c r="T123" s="12"/>
      <c r="U123"/>
      <c r="V123" s="29" t="s">
        <v>75</v>
      </c>
      <c r="W123" s="35"/>
      <c r="X123" s="30" t="str">
        <f>+IF(ISERROR(V123*(1-O123)),"",(V123*(1-O123)))</f>
        <v/>
      </c>
    </row>
    <row r="124" spans="1:25" hidden="1" x14ac:dyDescent="0.2">
      <c r="A124" s="54" t="s">
        <v>157</v>
      </c>
      <c r="B124" s="54" t="s">
        <v>158</v>
      </c>
      <c r="C124" s="53">
        <v>100516219</v>
      </c>
      <c r="D124" s="54" t="s">
        <v>159</v>
      </c>
      <c r="E124" s="98">
        <v>7790360967770</v>
      </c>
      <c r="F124" s="41">
        <v>10</v>
      </c>
      <c r="G124" s="42">
        <v>25</v>
      </c>
      <c r="I124" s="41">
        <f>+L124*1.55*1.21</f>
        <v>0</v>
      </c>
      <c r="J124" s="41">
        <f t="shared" si="37"/>
        <v>0</v>
      </c>
      <c r="K124" s="113">
        <f t="shared" si="40"/>
        <v>0</v>
      </c>
      <c r="L124" s="41">
        <f>+IF(ISERROR(N124/G124),"",(N124/G124))</f>
        <v>0</v>
      </c>
      <c r="M124" s="41">
        <f>+IF(ISERROR(N124/F124),"",(N124/F124))</f>
        <v>0</v>
      </c>
      <c r="N124" s="45">
        <v>0</v>
      </c>
      <c r="O124" s="58"/>
      <c r="P124" s="41">
        <f>+IF(ISERROR(N124/(1-O124)),"",(N124/(1-O124)))</f>
        <v>0</v>
      </c>
      <c r="Q124" s="58"/>
      <c r="R124" s="41">
        <f>+IF(ISERROR(P124/(1-Q124)),"",(P124/(1-Q124)))</f>
        <v>0</v>
      </c>
      <c r="S124" s="41">
        <f>+IF(ISERROR(R124/G124),"",(R124/G124))</f>
        <v>0</v>
      </c>
      <c r="T124" s="12"/>
      <c r="U124"/>
      <c r="V124" s="44" t="s">
        <v>75</v>
      </c>
      <c r="W124" s="72" t="str">
        <f>+IF(ISERROR(N124/V124-1),"",(N124/V124-1))</f>
        <v/>
      </c>
      <c r="X124" s="41" t="str">
        <f>+IF(ISERROR(V124*(1-O124)),"",(V124*(1-O124)))</f>
        <v/>
      </c>
      <c r="Y124" s="50"/>
    </row>
    <row r="125" spans="1:25" hidden="1" x14ac:dyDescent="0.2">
      <c r="A125" s="54" t="s">
        <v>157</v>
      </c>
      <c r="B125" s="54" t="s">
        <v>158</v>
      </c>
      <c r="C125" s="53">
        <v>100516220</v>
      </c>
      <c r="D125" s="54" t="s">
        <v>160</v>
      </c>
      <c r="E125" s="98">
        <v>7790360967787</v>
      </c>
      <c r="F125" s="41">
        <v>12</v>
      </c>
      <c r="G125" s="42">
        <v>6</v>
      </c>
      <c r="I125" s="41">
        <f>+L125*1.55*1.21</f>
        <v>0</v>
      </c>
      <c r="J125" s="41">
        <f t="shared" si="37"/>
        <v>0</v>
      </c>
      <c r="K125" s="113">
        <f t="shared" si="40"/>
        <v>0</v>
      </c>
      <c r="L125" s="41">
        <f>+IF(ISERROR(N125/G125),"",(N125/G125))</f>
        <v>0</v>
      </c>
      <c r="M125" s="41">
        <f>+IF(ISERROR(N125/F125),"",(N125/F125))</f>
        <v>0</v>
      </c>
      <c r="N125" s="45">
        <v>0</v>
      </c>
      <c r="O125" s="58"/>
      <c r="P125" s="41">
        <f>+IF(ISERROR(N125/(1-O125)),"",(N125/(1-O125)))</f>
        <v>0</v>
      </c>
      <c r="Q125" s="58"/>
      <c r="R125" s="41">
        <f>+IF(ISERROR(P125/(1-Q125)),"",(P125/(1-Q125)))</f>
        <v>0</v>
      </c>
      <c r="S125" s="41">
        <f>+IF(ISERROR(R125/G125),"",(R125/G125))</f>
        <v>0</v>
      </c>
      <c r="T125" s="12"/>
      <c r="U125"/>
      <c r="V125" s="44" t="s">
        <v>75</v>
      </c>
      <c r="W125" s="72" t="str">
        <f>+IF(ISERROR(N125/V125-1),"",(N125/V125-1))</f>
        <v/>
      </c>
      <c r="X125" s="41" t="str">
        <f>+IF(ISERROR(V125*(1-O125)),"",(V125*(1-O125)))</f>
        <v/>
      </c>
      <c r="Y125" s="50"/>
    </row>
    <row r="126" spans="1:25" hidden="1" x14ac:dyDescent="0.2">
      <c r="A126" s="26"/>
      <c r="B126" s="27"/>
      <c r="C126" s="28"/>
      <c r="D126" s="29"/>
      <c r="E126" s="28"/>
      <c r="F126" s="29"/>
      <c r="G126" s="87"/>
      <c r="I126" s="31"/>
      <c r="J126" s="32"/>
      <c r="K126" s="113">
        <f t="shared" si="40"/>
        <v>0</v>
      </c>
      <c r="L126" s="31"/>
      <c r="M126" s="29"/>
      <c r="N126" s="45" t="s">
        <v>75</v>
      </c>
      <c r="O126" s="33"/>
      <c r="P126" s="29"/>
      <c r="Q126" s="33"/>
      <c r="R126" s="29"/>
      <c r="S126" s="30"/>
      <c r="T126" s="12"/>
      <c r="U126"/>
      <c r="V126" s="29"/>
      <c r="W126" s="35"/>
      <c r="X126" s="30"/>
    </row>
    <row r="127" spans="1:25" x14ac:dyDescent="0.2">
      <c r="A127" s="54" t="s">
        <v>161</v>
      </c>
      <c r="B127" s="54" t="s">
        <v>161</v>
      </c>
      <c r="C127" s="53">
        <v>100518158</v>
      </c>
      <c r="D127" s="54" t="s">
        <v>162</v>
      </c>
      <c r="E127" s="98">
        <v>7790360974280</v>
      </c>
      <c r="F127" s="41">
        <v>12</v>
      </c>
      <c r="G127" s="42">
        <v>24</v>
      </c>
      <c r="I127" s="41">
        <f>+L127*1.55*1.21</f>
        <v>6083.4375000000018</v>
      </c>
      <c r="J127" s="41">
        <f>+I127*0.8</f>
        <v>4866.7500000000018</v>
      </c>
      <c r="K127" s="113">
        <f t="shared" si="40"/>
        <v>0.35483870967741937</v>
      </c>
      <c r="L127" s="41">
        <f>+IF(ISERROR(N127/G127),"",(N127/G127))</f>
        <v>3243.6350306584918</v>
      </c>
      <c r="M127" s="41">
        <f>+IF(ISERROR(N127/F127),"",(N127/F127))</f>
        <v>6487.2700613169836</v>
      </c>
      <c r="N127" s="45">
        <v>77847.240735803804</v>
      </c>
      <c r="O127" s="58"/>
      <c r="P127" s="41">
        <f>+IF(ISERROR(N127/(1-O127)),"",(N127/(1-O127)))</f>
        <v>77847.240735803804</v>
      </c>
      <c r="Q127" s="58"/>
      <c r="R127" s="41">
        <f>+IF(ISERROR(P127/(1-Q127)),"",(P127/(1-Q127)))</f>
        <v>77847.240735803804</v>
      </c>
      <c r="S127" s="41">
        <f>+IF(ISERROR(R127/G127),"",(R127/G127))</f>
        <v>3243.6350306584918</v>
      </c>
      <c r="T127" s="12"/>
      <c r="U127"/>
      <c r="V127" s="44">
        <v>77847.240000000005</v>
      </c>
      <c r="W127" s="72">
        <f>+IF(ISERROR(N127/V127-1),"",(N127/V127-1))</f>
        <v>9.451893268064282E-9</v>
      </c>
      <c r="X127" s="41">
        <f>+IF(ISERROR(V127*(1-O127)),"",(V127*(1-O127)))</f>
        <v>77847.240000000005</v>
      </c>
      <c r="Y127" s="50"/>
    </row>
    <row r="128" spans="1:25" x14ac:dyDescent="0.2">
      <c r="A128" s="54" t="s">
        <v>161</v>
      </c>
      <c r="B128" s="54" t="s">
        <v>161</v>
      </c>
      <c r="C128" s="53">
        <v>100518160</v>
      </c>
      <c r="D128" s="54" t="s">
        <v>163</v>
      </c>
      <c r="E128" s="98">
        <v>7790360974686</v>
      </c>
      <c r="F128" s="41">
        <v>12</v>
      </c>
      <c r="G128" s="42">
        <v>12</v>
      </c>
      <c r="I128" s="41">
        <f>+L128*1.55*1.21</f>
        <v>12166.875000000004</v>
      </c>
      <c r="J128" s="41">
        <f>+I128*0.8</f>
        <v>9733.5000000000036</v>
      </c>
      <c r="K128" s="113">
        <f t="shared" si="40"/>
        <v>0.35483870967741937</v>
      </c>
      <c r="L128" s="41">
        <f>+IF(ISERROR(N128/G128),"",(N128/G128))</f>
        <v>6487.2700613169836</v>
      </c>
      <c r="M128" s="41">
        <f>+IF(ISERROR(N128/F128),"",(N128/F128))</f>
        <v>6487.2700613169836</v>
      </c>
      <c r="N128" s="45">
        <v>77847.240735803804</v>
      </c>
      <c r="O128" s="58"/>
      <c r="P128" s="41">
        <f>+IF(ISERROR(N128/(1-O128)),"",(N128/(1-O128)))</f>
        <v>77847.240735803804</v>
      </c>
      <c r="Q128" s="58"/>
      <c r="R128" s="41">
        <f>+IF(ISERROR(P128/(1-Q128)),"",(P128/(1-Q128)))</f>
        <v>77847.240735803804</v>
      </c>
      <c r="S128" s="41">
        <f>+IF(ISERROR(R128/G128),"",(R128/G128))</f>
        <v>6487.2700613169836</v>
      </c>
      <c r="T128" s="12"/>
      <c r="U128"/>
      <c r="V128" s="44">
        <v>77847.240000000005</v>
      </c>
      <c r="W128" s="72">
        <f>+IF(ISERROR(N128/V128-1),"",(N128/V128-1))</f>
        <v>9.451893268064282E-9</v>
      </c>
      <c r="X128" s="41">
        <f>+IF(ISERROR(V128*(1-O128)),"",(V128*(1-O128)))</f>
        <v>77847.240000000005</v>
      </c>
      <c r="Y128" s="50"/>
    </row>
    <row r="129" spans="1:25" x14ac:dyDescent="0.2">
      <c r="A129" s="54" t="s">
        <v>161</v>
      </c>
      <c r="B129" s="54" t="s">
        <v>161</v>
      </c>
      <c r="C129" s="53">
        <v>100518463</v>
      </c>
      <c r="D129" s="54" t="s">
        <v>164</v>
      </c>
      <c r="E129" s="98">
        <v>7790360975188</v>
      </c>
      <c r="F129" s="41">
        <v>5</v>
      </c>
      <c r="G129" s="42">
        <v>1</v>
      </c>
      <c r="I129" s="41">
        <f>+L129*1.55*1.21</f>
        <v>71108.799814335958</v>
      </c>
      <c r="J129" s="41">
        <f>+I129*0.8</f>
        <v>56887.039851468769</v>
      </c>
      <c r="K129" s="113">
        <f t="shared" si="40"/>
        <v>0.35483870967741943</v>
      </c>
      <c r="L129" s="41">
        <f>+IF(ISERROR(N129/G129),"",(N129/G129))</f>
        <v>37914.58267893146</v>
      </c>
      <c r="M129" s="41">
        <f>+IF(ISERROR(N129/F129),"",(N129/F129))</f>
        <v>7582.9165357862921</v>
      </c>
      <c r="N129" s="45">
        <v>37914.58267893146</v>
      </c>
      <c r="O129" s="58"/>
      <c r="P129" s="41">
        <f>+IF(ISERROR(N129/(1-O129)),"",(N129/(1-O129)))</f>
        <v>37914.58267893146</v>
      </c>
      <c r="Q129" s="58"/>
      <c r="R129" s="41">
        <f>+IF(ISERROR(P129/(1-Q129)),"",(P129/(1-Q129)))</f>
        <v>37914.58267893146</v>
      </c>
      <c r="S129" s="41">
        <f>+IF(ISERROR(R129/G129),"",(R129/G129))</f>
        <v>37914.58267893146</v>
      </c>
      <c r="T129" s="12"/>
      <c r="U129"/>
      <c r="V129" s="44">
        <v>37914.58</v>
      </c>
      <c r="W129" s="72">
        <f>+IF(ISERROR(N129/V129-1),"",(N129/V129-1))</f>
        <v>7.0657025785791916E-8</v>
      </c>
      <c r="X129" s="41">
        <f>+IF(ISERROR(V129*(1-O129)),"",(V129*(1-O129)))</f>
        <v>37914.58</v>
      </c>
      <c r="Y129" s="50"/>
    </row>
    <row r="130" spans="1:25" x14ac:dyDescent="0.2">
      <c r="A130" s="26"/>
      <c r="B130" s="27"/>
      <c r="C130" s="28"/>
      <c r="D130" s="29"/>
      <c r="E130" s="28"/>
      <c r="F130" s="29"/>
      <c r="G130" s="87"/>
      <c r="I130" s="31"/>
      <c r="J130" s="32"/>
      <c r="K130" s="113">
        <f t="shared" si="40"/>
        <v>0</v>
      </c>
      <c r="L130" s="31"/>
      <c r="M130" s="29"/>
      <c r="N130" s="29" t="s">
        <v>75</v>
      </c>
      <c r="O130" s="33"/>
      <c r="P130" s="29"/>
      <c r="Q130" s="33"/>
      <c r="R130" s="29"/>
      <c r="S130" s="30"/>
      <c r="T130" s="12"/>
      <c r="U130"/>
      <c r="V130" s="29"/>
      <c r="W130" s="35"/>
      <c r="X130" s="30"/>
    </row>
    <row r="131" spans="1:25" x14ac:dyDescent="0.2">
      <c r="A131" s="54"/>
      <c r="B131" s="54"/>
      <c r="C131" s="53">
        <v>100518291</v>
      </c>
      <c r="D131" s="54" t="s">
        <v>165</v>
      </c>
      <c r="E131" s="98">
        <v>7790360975195</v>
      </c>
      <c r="F131" s="41">
        <v>5</v>
      </c>
      <c r="G131" s="42">
        <v>10</v>
      </c>
      <c r="I131" s="41">
        <f>+L131*1.55*1.21</f>
        <v>3017.61397003</v>
      </c>
      <c r="J131" s="41">
        <f>+I131*0.8</f>
        <v>2414.0911760240001</v>
      </c>
      <c r="K131" s="113">
        <f t="shared" si="40"/>
        <v>0.35483870967741943</v>
      </c>
      <c r="L131" s="41">
        <f>+IF(ISERROR(N131/G131),"",(N131/G131))</f>
        <v>1608.96506</v>
      </c>
      <c r="M131" s="41">
        <f>+IF(ISERROR(N131/F131),"",(N131/F131))</f>
        <v>3217.93012</v>
      </c>
      <c r="N131" s="45">
        <v>16089.650600000001</v>
      </c>
      <c r="O131" s="58"/>
      <c r="P131" s="41">
        <f>+IF(ISERROR(N131/(1-O131)),"",(N131/(1-O131)))</f>
        <v>16089.650600000001</v>
      </c>
      <c r="Q131" s="58"/>
      <c r="R131" s="41">
        <f>+IF(ISERROR(P131/(1-Q131)),"",(P131/(1-Q131)))</f>
        <v>16089.650600000001</v>
      </c>
      <c r="S131" s="41">
        <f>+IF(ISERROR(R131/G131),"",(R131/G131))</f>
        <v>1608.96506</v>
      </c>
      <c r="T131" s="12"/>
      <c r="U131" s="48"/>
      <c r="V131" s="44">
        <v>15621.02</v>
      </c>
      <c r="W131" s="72">
        <f>+IF(ISERROR(N131/V131-1),"",(N131/V131-1))</f>
        <v>3.0000000000000027E-2</v>
      </c>
      <c r="X131" s="41">
        <f>+IF(ISERROR(V131*(1-O131)),"",(V131*(1-O131)))</f>
        <v>15621.02</v>
      </c>
      <c r="Y131" s="50"/>
    </row>
    <row r="132" spans="1:25" x14ac:dyDescent="0.2">
      <c r="A132" s="54"/>
      <c r="B132" s="54"/>
      <c r="C132" s="53">
        <v>100518292</v>
      </c>
      <c r="D132" s="54" t="s">
        <v>166</v>
      </c>
      <c r="E132" s="98">
        <v>7790360975201</v>
      </c>
      <c r="F132" s="41">
        <v>12</v>
      </c>
      <c r="G132" s="42">
        <v>12</v>
      </c>
      <c r="I132" s="41">
        <f>+L132*1.55*1.21</f>
        <v>5933.7445975500013</v>
      </c>
      <c r="J132" s="41">
        <f>+I132*0.8</f>
        <v>4746.9956780400016</v>
      </c>
      <c r="K132" s="113">
        <f t="shared" si="40"/>
        <v>0.35483870967741937</v>
      </c>
      <c r="L132" s="41">
        <f>+IF(ISERROR(N132/G132),"",(N132/G132))</f>
        <v>3163.8201000000004</v>
      </c>
      <c r="M132" s="41">
        <f>+IF(ISERROR(N132/F132),"",(N132/F132))</f>
        <v>3163.8201000000004</v>
      </c>
      <c r="N132" s="45">
        <v>37965.841200000003</v>
      </c>
      <c r="O132" s="58"/>
      <c r="P132" s="41">
        <f>+IF(ISERROR(N132/(1-O132)),"",(N132/(1-O132)))</f>
        <v>37965.841200000003</v>
      </c>
      <c r="Q132" s="58"/>
      <c r="R132" s="41">
        <f>+IF(ISERROR(P132/(1-Q132)),"",(P132/(1-Q132)))</f>
        <v>37965.841200000003</v>
      </c>
      <c r="S132" s="41">
        <f>+IF(ISERROR(R132/G132),"",(R132/G132))</f>
        <v>3163.8201000000004</v>
      </c>
      <c r="T132" s="12"/>
      <c r="U132" s="48"/>
      <c r="V132" s="44">
        <v>36860.04</v>
      </c>
      <c r="W132" s="72">
        <f>+IF(ISERROR(N132/V132-1),"",(N132/V132-1))</f>
        <v>3.0000000000000027E-2</v>
      </c>
      <c r="X132" s="41">
        <f>+IF(ISERROR(V132*(1-O132)),"",(V132*(1-O132)))</f>
        <v>36860.04</v>
      </c>
      <c r="Y132" s="50"/>
    </row>
    <row r="133" spans="1:25" x14ac:dyDescent="0.2">
      <c r="A133" s="26"/>
      <c r="B133" s="27"/>
      <c r="C133" s="28"/>
      <c r="D133" s="29"/>
      <c r="E133" s="28"/>
      <c r="F133" s="29"/>
      <c r="G133" s="87"/>
      <c r="I133" s="31"/>
      <c r="J133" s="32"/>
      <c r="K133" s="112"/>
      <c r="L133" s="31"/>
      <c r="M133" s="29"/>
      <c r="N133" s="29"/>
      <c r="O133" s="33"/>
      <c r="P133" s="29"/>
      <c r="Q133" s="33"/>
      <c r="R133" s="29"/>
      <c r="S133" s="30"/>
      <c r="T133" s="12"/>
      <c r="U133"/>
      <c r="V133" s="29"/>
      <c r="W133" s="35"/>
      <c r="X133" s="30"/>
    </row>
    <row r="134" spans="1:25" x14ac:dyDescent="0.2">
      <c r="A134" s="54" t="s">
        <v>167</v>
      </c>
      <c r="B134" s="54" t="s">
        <v>167</v>
      </c>
      <c r="C134" s="53">
        <v>100517915</v>
      </c>
      <c r="D134" s="54" t="s">
        <v>168</v>
      </c>
      <c r="E134" s="98">
        <v>7790360974020</v>
      </c>
      <c r="F134" s="41">
        <v>18</v>
      </c>
      <c r="G134" s="42">
        <v>36</v>
      </c>
      <c r="I134" s="41">
        <f>IFERROR(L134*(1+$I$136)*1.105,)</f>
        <v>6784.972192112592</v>
      </c>
      <c r="J134" s="41">
        <f>+I134*0.9</f>
        <v>6106.4749729013329</v>
      </c>
      <c r="K134" s="112">
        <f>IFERROR(((I134/1.105)-L134)/(I134/1.105),)</f>
        <v>0.24999999999999997</v>
      </c>
      <c r="L134" s="41">
        <f>+IF(ISERROR(N134/G134),"",(N134/G134))</f>
        <v>4605.1847457777776</v>
      </c>
      <c r="M134" s="41">
        <f>+IF(ISERROR(N134/F134),"",(N134/F134))</f>
        <v>9210.3694915555552</v>
      </c>
      <c r="N134" s="45">
        <v>165786.65084799999</v>
      </c>
      <c r="O134" s="58"/>
      <c r="P134" s="41">
        <f>+IF(ISERROR(N134/(1-O134)),"",(N134/(1-O134)))</f>
        <v>165786.65084799999</v>
      </c>
      <c r="Q134" s="58"/>
      <c r="R134" s="41">
        <f>+IF(ISERROR(P134/(1-Q134)),"",(P134/(1-Q134)))</f>
        <v>165786.65084799999</v>
      </c>
      <c r="S134" s="41">
        <f>+IF(ISERROR(R134/G134),"",(R134/G134))</f>
        <v>4605.1847457777776</v>
      </c>
      <c r="T134" s="12"/>
      <c r="U134" s="48"/>
      <c r="V134" s="44">
        <v>165786.66</v>
      </c>
      <c r="W134" s="58">
        <f>+IF(ISERROR(N134/V134-1),"",(N134/V134-1))</f>
        <v>-5.5203476678755692E-8</v>
      </c>
      <c r="X134" s="41">
        <f>+IF(ISERROR(V134*(1-O134)),"",(V134*(1-O134)))</f>
        <v>165786.66</v>
      </c>
      <c r="Y134" s="50"/>
    </row>
    <row r="135" spans="1:25" x14ac:dyDescent="0.2">
      <c r="A135" s="54" t="s">
        <v>167</v>
      </c>
      <c r="B135" s="54" t="s">
        <v>167</v>
      </c>
      <c r="C135" s="53">
        <v>100517914</v>
      </c>
      <c r="D135" s="54" t="s">
        <v>169</v>
      </c>
      <c r="E135" s="98">
        <v>7790360974037</v>
      </c>
      <c r="F135" s="41">
        <v>20</v>
      </c>
      <c r="G135" s="42">
        <v>20</v>
      </c>
      <c r="I135" s="41">
        <f>IFERROR(L135*(1+$I$136)*1.105,)</f>
        <v>13327.042529354667</v>
      </c>
      <c r="J135" s="41">
        <f>+I135*0.9</f>
        <v>11994.338276419201</v>
      </c>
      <c r="K135" s="112">
        <f>IFERROR(((I135/1.105)-L135)/(I135/1.105),)</f>
        <v>0.25</v>
      </c>
      <c r="L135" s="41">
        <f>+IF(ISERROR(N135/G135),"",(N135/G135))</f>
        <v>9045.5039792000007</v>
      </c>
      <c r="M135" s="41">
        <f>+IF(ISERROR(N135/F135),"",(N135/F135))</f>
        <v>9045.5039792000007</v>
      </c>
      <c r="N135" s="45">
        <v>180910.07958400002</v>
      </c>
      <c r="O135" s="58"/>
      <c r="P135" s="41">
        <f>+IF(ISERROR(N135/(1-O135)),"",(N135/(1-O135)))</f>
        <v>180910.07958400002</v>
      </c>
      <c r="Q135" s="58"/>
      <c r="R135" s="41">
        <f>+IF(ISERROR(P135/(1-Q135)),"",(P135/(1-Q135)))</f>
        <v>180910.07958400002</v>
      </c>
      <c r="S135" s="41">
        <f>+IF(ISERROR(R135/G135),"",(R135/G135))</f>
        <v>9045.5039792000007</v>
      </c>
      <c r="T135" s="12"/>
      <c r="U135" s="48"/>
      <c r="V135" s="44">
        <v>180910.07999999999</v>
      </c>
      <c r="W135" s="58">
        <f>+IF(ISERROR(N135/V135-1),"",(N135/V135-1))</f>
        <v>-2.2994847137525198E-9</v>
      </c>
      <c r="X135" s="41">
        <f>+IF(ISERROR(V135*(1-O135)),"",(V135*(1-O135)))</f>
        <v>180910.07999999999</v>
      </c>
      <c r="Y135" s="50"/>
    </row>
    <row r="136" spans="1:25" x14ac:dyDescent="0.2">
      <c r="A136" s="26"/>
      <c r="B136" s="27"/>
      <c r="C136" s="28"/>
      <c r="D136" s="29"/>
      <c r="E136" s="28"/>
      <c r="F136" s="29"/>
      <c r="G136" s="87"/>
      <c r="I136" s="99">
        <v>0.33333333333333331</v>
      </c>
      <c r="J136" s="32"/>
      <c r="K136" s="112"/>
      <c r="L136" s="31"/>
      <c r="M136" s="29"/>
      <c r="N136" s="100" t="s">
        <v>75</v>
      </c>
      <c r="O136" s="33"/>
      <c r="P136" s="29"/>
      <c r="Q136" s="33"/>
      <c r="R136" s="29"/>
      <c r="S136" s="30"/>
      <c r="T136" s="12"/>
      <c r="U136"/>
      <c r="V136" s="29"/>
      <c r="W136" s="101"/>
      <c r="X136" s="30"/>
    </row>
    <row r="137" spans="1:25" x14ac:dyDescent="0.2">
      <c r="A137" s="54"/>
      <c r="B137" s="37"/>
      <c r="C137" s="91">
        <v>100010689</v>
      </c>
      <c r="D137" s="37" t="s">
        <v>170</v>
      </c>
      <c r="E137" s="92"/>
      <c r="F137" s="102">
        <v>22</v>
      </c>
      <c r="G137" s="42">
        <v>1</v>
      </c>
      <c r="H137" s="95"/>
      <c r="I137" s="41">
        <f t="shared" ref="I137:I142" si="41">IFERROR(L137*(1+$I$136)*1.105,)</f>
        <v>25857</v>
      </c>
      <c r="J137" s="41">
        <f t="shared" ref="J137:J142" si="42">+I137*0.9</f>
        <v>23271.3</v>
      </c>
      <c r="K137" s="113">
        <f t="shared" ref="K137:K142" si="43">IFERROR(((I137/1.105)-L137)/(I137/1.105),)</f>
        <v>0.25</v>
      </c>
      <c r="L137" s="41">
        <f t="shared" ref="L137:L142" si="44">+IF(ISERROR(N137/G137),"",(N137/G137))</f>
        <v>17550</v>
      </c>
      <c r="M137" s="41">
        <f t="shared" ref="M137:M142" si="45">+IF(ISERROR(N137/G137),"",(N137/G137))</f>
        <v>17550</v>
      </c>
      <c r="N137" s="45">
        <v>17550</v>
      </c>
      <c r="O137" s="58"/>
      <c r="P137" s="41">
        <f t="shared" ref="P137:P142" si="46">+IF(ISERROR(N137/(1-O137)),"",(N137/(1-O137)))</f>
        <v>17550</v>
      </c>
      <c r="Q137" s="58"/>
      <c r="R137" s="41">
        <f t="shared" ref="R137:R142" si="47">+IF(ISERROR(P137/(1-Q137)),"",(P137/(1-Q137)))</f>
        <v>17550</v>
      </c>
      <c r="S137" s="41">
        <f t="shared" ref="S137:S142" si="48">+IF(ISERROR(R137/G137),"",(R137/G137))</f>
        <v>17550</v>
      </c>
      <c r="T137" s="12"/>
      <c r="U137"/>
      <c r="V137" s="44">
        <v>17550</v>
      </c>
      <c r="W137" s="58">
        <f t="shared" ref="W137:W142" si="49">+IF(ISERROR(N137/V137-1),"",(N137/V137-1))</f>
        <v>0</v>
      </c>
      <c r="X137" s="41">
        <f t="shared" ref="X137:X142" si="50">+IF(ISERROR(V137*(1-O137)),"",(V137*(1-O137)))</f>
        <v>17550</v>
      </c>
    </row>
    <row r="138" spans="1:25" x14ac:dyDescent="0.2">
      <c r="A138" s="54"/>
      <c r="B138" s="37"/>
      <c r="C138" s="91">
        <v>100518335</v>
      </c>
      <c r="D138" s="37" t="s">
        <v>171</v>
      </c>
      <c r="E138" s="92"/>
      <c r="F138" s="102">
        <v>22.5</v>
      </c>
      <c r="G138" s="42">
        <v>1</v>
      </c>
      <c r="H138" s="95"/>
      <c r="I138" s="41">
        <f t="shared" si="41"/>
        <v>18469.285714285717</v>
      </c>
      <c r="J138" s="41">
        <f t="shared" si="42"/>
        <v>16622.357142857145</v>
      </c>
      <c r="K138" s="113">
        <f t="shared" si="43"/>
        <v>0.25</v>
      </c>
      <c r="L138" s="41">
        <f t="shared" si="44"/>
        <v>12535.714285714288</v>
      </c>
      <c r="M138" s="41">
        <f t="shared" si="45"/>
        <v>12535.714285714288</v>
      </c>
      <c r="N138" s="45">
        <v>12535.714285714288</v>
      </c>
      <c r="O138" s="58"/>
      <c r="P138" s="41">
        <f t="shared" si="46"/>
        <v>12535.714285714288</v>
      </c>
      <c r="Q138" s="58"/>
      <c r="R138" s="41">
        <f t="shared" si="47"/>
        <v>12535.714285714288</v>
      </c>
      <c r="S138" s="41">
        <f t="shared" si="48"/>
        <v>12535.714285714288</v>
      </c>
      <c r="T138" s="12"/>
      <c r="U138"/>
      <c r="V138" s="44">
        <v>12535.71</v>
      </c>
      <c r="W138" s="58">
        <f t="shared" si="49"/>
        <v>3.4188045905381159E-7</v>
      </c>
      <c r="X138" s="41">
        <f t="shared" si="50"/>
        <v>12535.71</v>
      </c>
    </row>
    <row r="139" spans="1:25" x14ac:dyDescent="0.2">
      <c r="A139" s="54"/>
      <c r="B139" s="37"/>
      <c r="C139" s="91">
        <v>100518332</v>
      </c>
      <c r="D139" s="37" t="s">
        <v>172</v>
      </c>
      <c r="E139" s="92"/>
      <c r="F139" s="102">
        <v>21.5</v>
      </c>
      <c r="G139" s="42">
        <v>1</v>
      </c>
      <c r="H139" s="95"/>
      <c r="I139" s="41">
        <f t="shared" si="41"/>
        <v>21239.678571428569</v>
      </c>
      <c r="J139" s="41">
        <f t="shared" si="42"/>
        <v>19115.710714285713</v>
      </c>
      <c r="K139" s="113">
        <f t="shared" si="43"/>
        <v>0.24999999999999994</v>
      </c>
      <c r="L139" s="41">
        <f t="shared" si="44"/>
        <v>14416.071428571428</v>
      </c>
      <c r="M139" s="41">
        <f t="shared" si="45"/>
        <v>14416.071428571428</v>
      </c>
      <c r="N139" s="45">
        <v>14416.071428571428</v>
      </c>
      <c r="O139" s="58"/>
      <c r="P139" s="41">
        <f t="shared" si="46"/>
        <v>14416.071428571428</v>
      </c>
      <c r="Q139" s="58"/>
      <c r="R139" s="41">
        <f t="shared" si="47"/>
        <v>14416.071428571428</v>
      </c>
      <c r="S139" s="41">
        <f t="shared" si="48"/>
        <v>14416.071428571428</v>
      </c>
      <c r="T139" s="12"/>
      <c r="U139"/>
      <c r="V139" s="44">
        <v>14416.07</v>
      </c>
      <c r="W139" s="58">
        <f t="shared" si="49"/>
        <v>9.909576093036776E-8</v>
      </c>
      <c r="X139" s="41">
        <f t="shared" si="50"/>
        <v>14416.07</v>
      </c>
    </row>
    <row r="140" spans="1:25" x14ac:dyDescent="0.2">
      <c r="A140" s="54"/>
      <c r="B140" s="37"/>
      <c r="C140" s="91">
        <v>100518334</v>
      </c>
      <c r="D140" s="37" t="s">
        <v>173</v>
      </c>
      <c r="E140" s="92"/>
      <c r="F140" s="102">
        <v>22.5</v>
      </c>
      <c r="G140" s="42">
        <v>1</v>
      </c>
      <c r="H140" s="95"/>
      <c r="I140" s="41">
        <f t="shared" si="41"/>
        <v>18838.671428571426</v>
      </c>
      <c r="J140" s="41">
        <f t="shared" si="42"/>
        <v>16954.804285714283</v>
      </c>
      <c r="K140" s="113">
        <f t="shared" si="43"/>
        <v>0.24999999999999989</v>
      </c>
      <c r="L140" s="41">
        <f t="shared" si="44"/>
        <v>12786.428571428572</v>
      </c>
      <c r="M140" s="41">
        <f t="shared" si="45"/>
        <v>12786.428571428572</v>
      </c>
      <c r="N140" s="45">
        <v>12786.428571428572</v>
      </c>
      <c r="O140" s="58"/>
      <c r="P140" s="41">
        <f t="shared" si="46"/>
        <v>12786.428571428572</v>
      </c>
      <c r="Q140" s="58"/>
      <c r="R140" s="41">
        <f t="shared" si="47"/>
        <v>12786.428571428572</v>
      </c>
      <c r="S140" s="41">
        <f t="shared" si="48"/>
        <v>12786.428571428572</v>
      </c>
      <c r="T140" s="12"/>
      <c r="U140"/>
      <c r="V140" s="44">
        <v>12786.43</v>
      </c>
      <c r="W140" s="58">
        <f t="shared" si="49"/>
        <v>-1.1172558933569832E-7</v>
      </c>
      <c r="X140" s="41">
        <f t="shared" si="50"/>
        <v>12786.43</v>
      </c>
    </row>
    <row r="141" spans="1:25" x14ac:dyDescent="0.2">
      <c r="A141" s="54"/>
      <c r="B141" s="37"/>
      <c r="C141" s="91">
        <v>100518227</v>
      </c>
      <c r="D141" s="37" t="s">
        <v>174</v>
      </c>
      <c r="E141" s="92"/>
      <c r="F141" s="102">
        <v>22.5</v>
      </c>
      <c r="G141" s="42">
        <v>1</v>
      </c>
      <c r="H141" s="95"/>
      <c r="I141" s="41">
        <f t="shared" si="41"/>
        <v>21793.757142857135</v>
      </c>
      <c r="J141" s="41">
        <f t="shared" si="42"/>
        <v>19614.381428571422</v>
      </c>
      <c r="K141" s="113">
        <f t="shared" si="43"/>
        <v>0.24999999999999992</v>
      </c>
      <c r="L141" s="41">
        <f t="shared" si="44"/>
        <v>14792.142857142855</v>
      </c>
      <c r="M141" s="41">
        <f t="shared" si="45"/>
        <v>14792.142857142855</v>
      </c>
      <c r="N141" s="45">
        <v>14792.142857142855</v>
      </c>
      <c r="O141" s="58"/>
      <c r="P141" s="41">
        <f t="shared" si="46"/>
        <v>14792.142857142855</v>
      </c>
      <c r="Q141" s="58"/>
      <c r="R141" s="41">
        <f t="shared" si="47"/>
        <v>14792.142857142855</v>
      </c>
      <c r="S141" s="41">
        <f t="shared" si="48"/>
        <v>14792.142857142855</v>
      </c>
      <c r="T141" s="12"/>
      <c r="U141"/>
      <c r="V141" s="44">
        <v>14792.14</v>
      </c>
      <c r="W141" s="58">
        <f t="shared" si="49"/>
        <v>1.931527726650728E-7</v>
      </c>
      <c r="X141" s="41">
        <f t="shared" si="50"/>
        <v>14792.14</v>
      </c>
    </row>
    <row r="142" spans="1:25" x14ac:dyDescent="0.2">
      <c r="A142" s="54"/>
      <c r="B142" s="37"/>
      <c r="C142" s="91">
        <v>100027726</v>
      </c>
      <c r="D142" s="37" t="s">
        <v>175</v>
      </c>
      <c r="E142" s="92"/>
      <c r="F142" s="102">
        <v>22.5</v>
      </c>
      <c r="G142" s="42">
        <v>1</v>
      </c>
      <c r="H142" s="95"/>
      <c r="I142" s="41">
        <f t="shared" si="41"/>
        <v>0</v>
      </c>
      <c r="J142" s="41">
        <f t="shared" si="42"/>
        <v>0</v>
      </c>
      <c r="K142" s="113">
        <f t="shared" si="43"/>
        <v>0</v>
      </c>
      <c r="L142" s="41">
        <f t="shared" si="44"/>
        <v>0</v>
      </c>
      <c r="M142" s="41">
        <f t="shared" si="45"/>
        <v>0</v>
      </c>
      <c r="N142" s="45">
        <v>0</v>
      </c>
      <c r="O142" s="58"/>
      <c r="P142" s="41">
        <f t="shared" si="46"/>
        <v>0</v>
      </c>
      <c r="Q142" s="58"/>
      <c r="R142" s="41">
        <f t="shared" si="47"/>
        <v>0</v>
      </c>
      <c r="S142" s="41">
        <f t="shared" si="48"/>
        <v>0</v>
      </c>
      <c r="T142" s="12"/>
      <c r="U142"/>
      <c r="V142" s="44">
        <v>7610.56</v>
      </c>
      <c r="W142" s="58">
        <f t="shared" si="49"/>
        <v>-1</v>
      </c>
      <c r="X142" s="41">
        <f t="shared" si="50"/>
        <v>7610.56</v>
      </c>
    </row>
    <row r="143" spans="1:25" x14ac:dyDescent="0.2">
      <c r="A143" s="26"/>
      <c r="B143" s="27"/>
      <c r="C143" s="28"/>
      <c r="D143" s="29"/>
      <c r="E143" s="28"/>
      <c r="F143" s="29"/>
      <c r="G143" s="87"/>
      <c r="I143" s="99"/>
      <c r="J143" s="32"/>
      <c r="K143" s="112"/>
      <c r="L143" s="31"/>
      <c r="M143" s="29"/>
      <c r="N143" s="100" t="s">
        <v>75</v>
      </c>
      <c r="O143" s="33"/>
      <c r="P143" s="29"/>
      <c r="Q143" s="33"/>
      <c r="R143" s="29"/>
      <c r="S143" s="30"/>
      <c r="T143" s="12"/>
      <c r="U143"/>
      <c r="V143" s="29"/>
      <c r="W143" s="101"/>
      <c r="X143" s="30"/>
    </row>
    <row r="144" spans="1:25" x14ac:dyDescent="0.2">
      <c r="A144" s="54" t="s">
        <v>176</v>
      </c>
      <c r="B144" s="37" t="s">
        <v>177</v>
      </c>
      <c r="C144" s="91">
        <v>100520837</v>
      </c>
      <c r="D144" s="37" t="s">
        <v>178</v>
      </c>
      <c r="E144" s="92">
        <v>7790360980625</v>
      </c>
      <c r="F144" s="102">
        <v>4.8</v>
      </c>
      <c r="G144" s="42">
        <v>12</v>
      </c>
      <c r="H144" s="95"/>
      <c r="I144" s="41">
        <f>+L144*1.55*1.21</f>
        <v>6005.3748299999988</v>
      </c>
      <c r="J144" s="41">
        <f>+I144*0.8</f>
        <v>4804.2998639999996</v>
      </c>
      <c r="K144" s="113">
        <f>IFERROR(((I144/1.21)-L144)/(I144/1.21),)</f>
        <v>0.35483870967741932</v>
      </c>
      <c r="L144" s="41">
        <f>+IF(ISERROR(N144/G144),"",(N144/G144))</f>
        <v>3202.0127059450811</v>
      </c>
      <c r="M144" s="41">
        <f>+IF(ISERROR(N144/F144),"",(N144/F144))</f>
        <v>8005.0317648627033</v>
      </c>
      <c r="N144" s="45">
        <v>38424.152471340974</v>
      </c>
      <c r="O144" s="58"/>
      <c r="P144" s="41">
        <f>+IF(ISERROR(N144/(1-O144)),"",(N144/(1-O144)))</f>
        <v>38424.152471340974</v>
      </c>
      <c r="Q144" s="58"/>
      <c r="R144" s="41">
        <f>+IF(ISERROR(P144/(1-Q144)),"",(P144/(1-Q144)))</f>
        <v>38424.152471340974</v>
      </c>
      <c r="S144" s="41">
        <f>+IF(ISERROR(R144/G144),"",(R144/G144))</f>
        <v>3202.0127059450811</v>
      </c>
      <c r="T144" s="12"/>
      <c r="U144" s="48"/>
      <c r="V144" s="44">
        <v>36946.300000000003</v>
      </c>
      <c r="W144" s="58">
        <f>+IF(ISERROR(N144/V144-1),"",(N144/V144-1))</f>
        <v>4.0000012757460679E-2</v>
      </c>
      <c r="X144" s="41">
        <f>+IF(ISERROR(V144*(1-O144)),"",(V144*(1-O144)))</f>
        <v>36946.300000000003</v>
      </c>
    </row>
    <row r="145" spans="1:24" x14ac:dyDescent="0.2">
      <c r="A145" s="54" t="s">
        <v>176</v>
      </c>
      <c r="B145" s="54" t="s">
        <v>177</v>
      </c>
      <c r="C145" s="91">
        <v>100522395</v>
      </c>
      <c r="D145" s="37" t="s">
        <v>179</v>
      </c>
      <c r="E145" s="92">
        <v>7790360985101</v>
      </c>
      <c r="F145" s="102">
        <v>4.8</v>
      </c>
      <c r="G145" s="42">
        <v>12</v>
      </c>
      <c r="H145" s="95"/>
      <c r="I145" s="41">
        <f>+L145*1.55*1.21</f>
        <v>6125.4823266000003</v>
      </c>
      <c r="J145" s="41">
        <f>+I145*0.8</f>
        <v>4900.3858612800004</v>
      </c>
      <c r="K145" s="112">
        <f>IFERROR(((I145/1.21)-L145)/(I145/1.21),)</f>
        <v>0.35483870967741937</v>
      </c>
      <c r="L145" s="93">
        <f>+IF(ISERROR(N145/G145),"",(N145/G145))</f>
        <v>3266.0529600639834</v>
      </c>
      <c r="M145" s="93">
        <f>+IF(ISERROR(N145/F145),"",(N145/F145))</f>
        <v>8165.1324001599587</v>
      </c>
      <c r="N145" s="45">
        <v>39192.635520767799</v>
      </c>
      <c r="O145" s="58"/>
      <c r="P145" s="41">
        <f>+IF(ISERROR(N145/(1-O145)),"",(N145/(1-O145)))</f>
        <v>39192.635520767799</v>
      </c>
      <c r="Q145" s="58"/>
      <c r="R145" s="41">
        <f>+IF(ISERROR(P145/(1-Q145)),"",(P145/(1-Q145)))</f>
        <v>39192.635520767799</v>
      </c>
      <c r="S145" s="41">
        <f>+IF(ISERROR(R145/G145),"",(R145/G145))</f>
        <v>3266.0529600639834</v>
      </c>
      <c r="T145" s="12"/>
      <c r="U145" s="48"/>
      <c r="V145" s="44">
        <v>37685.230000000003</v>
      </c>
      <c r="W145" s="96">
        <f>+IF(ISERROR(P145/V145-1),"",(P145/V145-1))</f>
        <v>3.9999902369384444E-2</v>
      </c>
      <c r="X145" s="93">
        <f>+IF(ISERROR(V145*(1-O145)),"",(V145*(1-O145)))</f>
        <v>37685.230000000003</v>
      </c>
    </row>
    <row r="146" spans="1:24" x14ac:dyDescent="0.2">
      <c r="A146" s="103" t="s">
        <v>176</v>
      </c>
      <c r="B146" s="76" t="s">
        <v>177</v>
      </c>
      <c r="C146" s="104">
        <v>100522561</v>
      </c>
      <c r="D146" s="74" t="s">
        <v>180</v>
      </c>
      <c r="E146" s="105"/>
      <c r="F146" s="106">
        <v>16</v>
      </c>
      <c r="G146" s="79">
        <v>8</v>
      </c>
      <c r="H146" s="95"/>
      <c r="I146" s="41">
        <f>+L146*1.55*1.21</f>
        <v>0</v>
      </c>
      <c r="J146" s="41">
        <f>+I146*0.8</f>
        <v>0</v>
      </c>
      <c r="K146" s="112">
        <f>IFERROR(((I146/1.21)-L146)/(I146/1.21),)</f>
        <v>0</v>
      </c>
      <c r="L146" s="93">
        <f>+IF(ISERROR(N146/G146),"",(N146/G146))</f>
        <v>0</v>
      </c>
      <c r="M146" s="93">
        <f>+IF(ISERROR(N146/F146),"",(N146/F146))</f>
        <v>0</v>
      </c>
      <c r="N146" s="82"/>
      <c r="O146" s="58"/>
      <c r="P146" s="41">
        <f>+IF(ISERROR(N146/(1-O146)),"",(N146/(1-O146)))</f>
        <v>0</v>
      </c>
      <c r="Q146" s="58"/>
      <c r="R146" s="41">
        <f>+IF(ISERROR(P146/(1-Q146)),"",(P146/(1-Q146)))</f>
        <v>0</v>
      </c>
      <c r="S146" s="41">
        <f>+IF(ISERROR(R146/G146),"",(R146/G146))</f>
        <v>0</v>
      </c>
      <c r="T146" s="12"/>
      <c r="U146" s="48"/>
      <c r="V146" s="44" t="s">
        <v>75</v>
      </c>
      <c r="W146" s="96" t="str">
        <f>+IF(ISERROR(P146/V146-1),"",(P146/V146-1))</f>
        <v/>
      </c>
      <c r="X146" s="93" t="str">
        <f>+IF(ISERROR(V146*(1-O146)),"",(V146*(1-O146)))</f>
        <v/>
      </c>
    </row>
    <row r="147" spans="1:24" x14ac:dyDescent="0.2">
      <c r="A147" s="26"/>
      <c r="B147" s="27"/>
      <c r="C147" s="28"/>
      <c r="D147" s="29"/>
      <c r="E147" s="28"/>
      <c r="F147" s="29"/>
      <c r="G147" s="87"/>
      <c r="I147" s="99"/>
      <c r="J147" s="32"/>
      <c r="K147" s="112"/>
      <c r="L147" s="31"/>
      <c r="M147" s="29"/>
      <c r="N147" s="100"/>
      <c r="O147" s="33"/>
      <c r="P147" s="29"/>
      <c r="Q147" s="33"/>
      <c r="R147" s="29"/>
      <c r="S147" s="30"/>
      <c r="T147" s="12"/>
      <c r="U147"/>
      <c r="V147" s="29"/>
      <c r="W147" s="101"/>
      <c r="X147" s="30"/>
    </row>
    <row r="148" spans="1:24" x14ac:dyDescent="0.2">
      <c r="A148" s="54"/>
      <c r="B148" s="37"/>
      <c r="C148" s="91">
        <v>100520902</v>
      </c>
      <c r="D148" s="37" t="s">
        <v>181</v>
      </c>
      <c r="E148" s="92">
        <v>7790360981042</v>
      </c>
      <c r="F148" s="102">
        <v>9.8000000000000007</v>
      </c>
      <c r="G148" s="42">
        <v>14</v>
      </c>
      <c r="H148" s="95"/>
      <c r="I148" s="41">
        <f>+L148*1.55*1.21</f>
        <v>4611.6799460076654</v>
      </c>
      <c r="J148" s="41">
        <f>+I148*0.8</f>
        <v>3689.3439568061326</v>
      </c>
      <c r="K148" s="113">
        <f>IFERROR(((I148/1.21)-L148)/(I148/1.21),)</f>
        <v>0.35483870967741937</v>
      </c>
      <c r="L148" s="41">
        <f>+IF(ISERROR(N148/G148),"",(N148/G148))</f>
        <v>2458.9069293562598</v>
      </c>
      <c r="M148" s="41">
        <f>+IF(ISERROR(N148/F148),"",(N148/F148))</f>
        <v>3512.7241847946561</v>
      </c>
      <c r="N148" s="45">
        <v>34424.697010987635</v>
      </c>
      <c r="O148" s="58"/>
      <c r="P148" s="41">
        <f>+IF(ISERROR(N148/(1-O148)),"",(N148/(1-O148)))</f>
        <v>34424.697010987635</v>
      </c>
      <c r="Q148" s="58"/>
      <c r="R148" s="41">
        <f>+IF(ISERROR(P148/(1-Q148)),"",(P148/(1-Q148)))</f>
        <v>34424.697010987635</v>
      </c>
      <c r="S148" s="41">
        <f>+IF(ISERROR(R148/G148),"",(R148/G148))</f>
        <v>2458.9069293562598</v>
      </c>
      <c r="T148" s="12"/>
      <c r="U148" s="48"/>
      <c r="V148" s="44">
        <v>33422.04</v>
      </c>
      <c r="W148" s="58">
        <f>+IF(ISERROR(N148/V148-1),"",(N148/V148-1))</f>
        <v>2.999987466317533E-2</v>
      </c>
      <c r="X148" s="41">
        <f>+IF(ISERROR(V148*(1-O148)),"",(V148*(1-O148)))</f>
        <v>33422.04</v>
      </c>
    </row>
    <row r="149" spans="1:24" x14ac:dyDescent="0.2">
      <c r="A149" s="103"/>
      <c r="B149" s="74"/>
      <c r="C149" s="104">
        <v>100522698</v>
      </c>
      <c r="D149" s="74" t="s">
        <v>182</v>
      </c>
      <c r="E149" s="105">
        <v>7790360986511</v>
      </c>
      <c r="F149" s="106">
        <v>14</v>
      </c>
      <c r="G149" s="79">
        <v>7</v>
      </c>
      <c r="H149" s="95"/>
      <c r="I149" s="41">
        <f>+L149*1.55*1.21</f>
        <v>14499.999564285716</v>
      </c>
      <c r="J149" s="41">
        <f>+I149*0.8</f>
        <v>11599.999651428574</v>
      </c>
      <c r="K149" s="113">
        <f>IFERROR(((I149/1.21)-L149)/(I149/1.21),)</f>
        <v>0.35483870967741937</v>
      </c>
      <c r="L149" s="41">
        <f>+IF(ISERROR(N149/G149),"",(N149/G149))</f>
        <v>7731.2714285714292</v>
      </c>
      <c r="M149" s="41">
        <f>+IF(ISERROR(N149/F149),"",(N149/F149))</f>
        <v>3865.6357142857146</v>
      </c>
      <c r="N149" s="82">
        <v>54118.9</v>
      </c>
      <c r="O149" s="107"/>
      <c r="P149" s="41">
        <f>+IF(ISERROR(N149/(1-O149)),"",(N149/(1-O149)))</f>
        <v>54118.9</v>
      </c>
      <c r="Q149" s="58"/>
      <c r="R149" s="41">
        <f>+IF(ISERROR(P149/(1-Q149)),"",(P149/(1-Q149)))</f>
        <v>54118.9</v>
      </c>
      <c r="S149" s="41">
        <f>+IF(ISERROR(R149/G149),"",(R149/G149))</f>
        <v>7731.2714285714292</v>
      </c>
      <c r="T149" s="12"/>
      <c r="U149" s="48"/>
      <c r="V149" s="44">
        <v>54118.9</v>
      </c>
      <c r="W149" s="58">
        <f>+IF(ISERROR(N149/V149-1),"",(N149/V149-1))</f>
        <v>0</v>
      </c>
      <c r="X149" s="41">
        <f>+IF(ISERROR(V149*(1-O149)),"",(V149*(1-O149)))</f>
        <v>54118.9</v>
      </c>
    </row>
    <row r="150" spans="1:24" x14ac:dyDescent="0.2">
      <c r="A150" s="26"/>
      <c r="B150" s="27"/>
      <c r="C150" s="28"/>
      <c r="D150" s="29"/>
      <c r="E150" s="28"/>
      <c r="F150" s="29"/>
      <c r="G150" s="87"/>
      <c r="I150" s="31"/>
      <c r="J150" s="32"/>
      <c r="K150" s="112"/>
      <c r="L150" s="31"/>
      <c r="M150" s="29"/>
      <c r="N150" s="100"/>
      <c r="O150" s="33"/>
      <c r="P150" s="29"/>
      <c r="Q150" s="33"/>
      <c r="R150" s="29"/>
      <c r="S150" s="30"/>
      <c r="T150" s="12"/>
      <c r="U150" s="108"/>
      <c r="V150" s="29"/>
      <c r="W150" s="101"/>
      <c r="X150" s="30"/>
    </row>
    <row r="151" spans="1:24" x14ac:dyDescent="0.2">
      <c r="A151" s="54" t="s">
        <v>131</v>
      </c>
      <c r="B151" s="54" t="s">
        <v>183</v>
      </c>
      <c r="C151" s="91">
        <v>100521457</v>
      </c>
      <c r="D151" s="37" t="s">
        <v>184</v>
      </c>
      <c r="E151" s="92">
        <v>7790360982254</v>
      </c>
      <c r="F151" s="102">
        <v>4.8</v>
      </c>
      <c r="G151" s="42">
        <v>16</v>
      </c>
      <c r="H151" s="95"/>
      <c r="I151" s="41">
        <f>+L151*1.55*1.21</f>
        <v>4593.4648327476571</v>
      </c>
      <c r="J151" s="41">
        <f>+I151*0.8</f>
        <v>3674.7718661981257</v>
      </c>
      <c r="K151" s="112">
        <f>IFERROR(((I151/1.21)-L151)/(I151/1.21),)</f>
        <v>0.35483870967741937</v>
      </c>
      <c r="L151" s="41">
        <f>+IF(ISERROR(N151/G151),"",(N151/G151))</f>
        <v>2449.1947921875003</v>
      </c>
      <c r="M151" s="41">
        <f>+IF(ISERROR(N151/F151),"",(N151/F151))</f>
        <v>8163.9826406250013</v>
      </c>
      <c r="N151" s="45">
        <v>39187.116675000005</v>
      </c>
      <c r="O151" s="58"/>
      <c r="P151" s="41">
        <f>+IF(ISERROR(N151/(1-O151)),"",(N151/(1-O151)))</f>
        <v>39187.116675000005</v>
      </c>
      <c r="Q151" s="58"/>
      <c r="R151" s="41">
        <f>+IF(ISERROR(P151/(1-Q151)),"",(P151/(1-Q151)))</f>
        <v>39187.116675000005</v>
      </c>
      <c r="S151" s="41">
        <f>+IF(ISERROR(R151/G151),"",(R151/G151))</f>
        <v>2449.1947921875003</v>
      </c>
      <c r="T151" s="12"/>
      <c r="U151" s="48"/>
      <c r="V151" s="44">
        <v>37321.06</v>
      </c>
      <c r="W151" s="96">
        <f>+IF(ISERROR(N151/V151-1),"",(N151/V151-1))</f>
        <v>5.0000098469872079E-2</v>
      </c>
      <c r="X151" s="93">
        <f>+IF(ISERROR(V151*(1-O151)),"",(V151*(1-O151)))</f>
        <v>37321.06</v>
      </c>
    </row>
    <row r="152" spans="1:24" x14ac:dyDescent="0.2">
      <c r="A152" s="54" t="s">
        <v>131</v>
      </c>
      <c r="B152" s="54" t="s">
        <v>183</v>
      </c>
      <c r="C152" s="91">
        <v>100521455</v>
      </c>
      <c r="D152" s="37" t="s">
        <v>185</v>
      </c>
      <c r="E152" s="92">
        <v>7790360982247</v>
      </c>
      <c r="F152" s="102">
        <v>4.8</v>
      </c>
      <c r="G152" s="42">
        <v>16</v>
      </c>
      <c r="H152" s="95"/>
      <c r="I152" s="41">
        <f>+L152*1.55*1.21</f>
        <v>4593.4648327476571</v>
      </c>
      <c r="J152" s="41">
        <f>+I152*0.8</f>
        <v>3674.7718661981257</v>
      </c>
      <c r="K152" s="112">
        <f>IFERROR(((I152/1.21)-L152)/(I152/1.21),)</f>
        <v>0.35483870967741937</v>
      </c>
      <c r="L152" s="41">
        <f>+IF(ISERROR(N152/G152),"",(N152/G152))</f>
        <v>2449.1947921875003</v>
      </c>
      <c r="M152" s="41">
        <f>+IF(ISERROR(N152/F152),"",(N152/F152))</f>
        <v>8163.9826406250013</v>
      </c>
      <c r="N152" s="45">
        <v>39187.116675000005</v>
      </c>
      <c r="O152" s="58"/>
      <c r="P152" s="41">
        <f>+IF(ISERROR(N152/(1-O152)),"",(N152/(1-O152)))</f>
        <v>39187.116675000005</v>
      </c>
      <c r="Q152" s="58"/>
      <c r="R152" s="41">
        <f>+IF(ISERROR(P152/(1-Q152)),"",(P152/(1-Q152)))</f>
        <v>39187.116675000005</v>
      </c>
      <c r="S152" s="41">
        <f>+IF(ISERROR(R152/G152),"",(R152/G152))</f>
        <v>2449.1947921875003</v>
      </c>
      <c r="T152" s="12"/>
      <c r="U152" s="48"/>
      <c r="V152" s="44">
        <v>37321.06</v>
      </c>
      <c r="W152" s="96">
        <f>+IF(ISERROR(N152/V152-1),"",(N152/V152-1))</f>
        <v>5.0000098469872079E-2</v>
      </c>
      <c r="X152" s="93">
        <f>+IF(ISERROR(V152*(1-O152)),"",(V152*(1-O152)))</f>
        <v>37321.06</v>
      </c>
    </row>
    <row r="153" spans="1:24" x14ac:dyDescent="0.2">
      <c r="A153" s="54" t="s">
        <v>131</v>
      </c>
      <c r="B153" s="54" t="s">
        <v>186</v>
      </c>
      <c r="C153" s="91">
        <v>100521453</v>
      </c>
      <c r="D153" s="37" t="s">
        <v>187</v>
      </c>
      <c r="E153" s="92">
        <v>7790360982223</v>
      </c>
      <c r="F153" s="102">
        <v>5.4</v>
      </c>
      <c r="G153" s="42">
        <v>18</v>
      </c>
      <c r="H153" s="95"/>
      <c r="I153" s="41">
        <f>+L153*1.55*1.21</f>
        <v>3943.7103210312512</v>
      </c>
      <c r="J153" s="41">
        <f>+I153*0.8</f>
        <v>3154.9682568250009</v>
      </c>
      <c r="K153" s="112">
        <f>IFERROR(((I153/1.21)-L153)/(I153/1.21),)</f>
        <v>0.35483870967741943</v>
      </c>
      <c r="L153" s="41">
        <f>+IF(ISERROR(N153/G153),"",(N153/G153))</f>
        <v>2102.7514375000005</v>
      </c>
      <c r="M153" s="41">
        <f>+IF(ISERROR(N153/F153),"",(N153/F153))</f>
        <v>7009.1714583333342</v>
      </c>
      <c r="N153" s="45">
        <v>37849.525875000007</v>
      </c>
      <c r="O153" s="58"/>
      <c r="P153" s="41">
        <f>+IF(ISERROR(N153/(1-O153)),"",(N153/(1-O153)))</f>
        <v>37849.525875000007</v>
      </c>
      <c r="Q153" s="58"/>
      <c r="R153" s="41">
        <f>+IF(ISERROR(P153/(1-Q153)),"",(P153/(1-Q153)))</f>
        <v>37849.525875000007</v>
      </c>
      <c r="S153" s="41">
        <f>+IF(ISERROR(R153/G153),"",(R153/G153))</f>
        <v>2102.7514375000005</v>
      </c>
      <c r="T153" s="12"/>
      <c r="U153" s="48"/>
      <c r="V153" s="44">
        <v>36747.11</v>
      </c>
      <c r="W153" s="96">
        <f>+IF(ISERROR(N153/V153-1),"",(N153/V153-1))</f>
        <v>3.0000070073537888E-2</v>
      </c>
      <c r="X153" s="93">
        <f>+IF(ISERROR(V153*(1-O153)),"",(V153*(1-O153)))</f>
        <v>36747.11</v>
      </c>
    </row>
    <row r="154" spans="1:24" x14ac:dyDescent="0.2">
      <c r="A154" s="54" t="s">
        <v>131</v>
      </c>
      <c r="B154" s="54" t="s">
        <v>186</v>
      </c>
      <c r="C154" s="91">
        <v>100521454</v>
      </c>
      <c r="D154" s="37" t="s">
        <v>188</v>
      </c>
      <c r="E154" s="92">
        <v>7790360982230</v>
      </c>
      <c r="F154" s="102">
        <v>5.3999999999999995</v>
      </c>
      <c r="G154" s="42">
        <v>18</v>
      </c>
      <c r="H154" s="95"/>
      <c r="I154" s="41">
        <f>+L154*1.55*1.21</f>
        <v>3943.7103210312512</v>
      </c>
      <c r="J154" s="41">
        <f>+I154*0.8</f>
        <v>3154.9682568250009</v>
      </c>
      <c r="K154" s="112">
        <f>IFERROR(((I154/1.21)-L154)/(I154/1.21),)</f>
        <v>0.35483870967741943</v>
      </c>
      <c r="L154" s="41">
        <f>+IF(ISERROR(N154/G154),"",(N154/G154))</f>
        <v>2102.7514375000005</v>
      </c>
      <c r="M154" s="41">
        <f>+IF(ISERROR(N154/F154),"",(N154/F154))</f>
        <v>7009.1714583333351</v>
      </c>
      <c r="N154" s="45">
        <v>37849.525875000007</v>
      </c>
      <c r="O154" s="58"/>
      <c r="P154" s="41">
        <f>+IF(ISERROR(N154/(1-O154)),"",(N154/(1-O154)))</f>
        <v>37849.525875000007</v>
      </c>
      <c r="Q154" s="58"/>
      <c r="R154" s="41">
        <f>+IF(ISERROR(P154/(1-Q154)),"",(P154/(1-Q154)))</f>
        <v>37849.525875000007</v>
      </c>
      <c r="S154" s="41">
        <f>+IF(ISERROR(R154/G154),"",(R154/G154))</f>
        <v>2102.7514375000005</v>
      </c>
      <c r="T154" s="12"/>
      <c r="U154" s="48"/>
      <c r="V154" s="44">
        <v>36747.11</v>
      </c>
      <c r="W154" s="96">
        <f>+IF(ISERROR(N154/V154-1),"",(N154/V154-1))</f>
        <v>3.0000070073537888E-2</v>
      </c>
      <c r="X154" s="93">
        <f>+IF(ISERROR(V154*(1-O154)),"",(V154*(1-O154)))</f>
        <v>36747.11</v>
      </c>
    </row>
    <row r="155" spans="1:24" x14ac:dyDescent="0.2">
      <c r="A155" s="26"/>
      <c r="B155" s="27"/>
      <c r="C155" s="28"/>
      <c r="D155" s="29"/>
      <c r="E155" s="28"/>
      <c r="F155" s="29"/>
      <c r="G155" s="87"/>
      <c r="I155" s="31"/>
      <c r="J155" s="32"/>
      <c r="K155" s="112"/>
      <c r="L155" s="31"/>
      <c r="M155" s="29"/>
      <c r="N155" s="100" t="s">
        <v>75</v>
      </c>
      <c r="O155" s="33"/>
      <c r="P155" s="29"/>
      <c r="Q155" s="33"/>
      <c r="R155" s="29"/>
      <c r="S155" s="30"/>
      <c r="T155" s="12"/>
      <c r="U155" s="108"/>
      <c r="V155" s="29"/>
      <c r="W155" s="101"/>
      <c r="X155" s="30"/>
    </row>
    <row r="156" spans="1:24" x14ac:dyDescent="0.2">
      <c r="A156" s="54" t="s">
        <v>189</v>
      </c>
      <c r="B156" s="37" t="s">
        <v>190</v>
      </c>
      <c r="C156" s="91">
        <v>100522246</v>
      </c>
      <c r="D156" s="37" t="s">
        <v>191</v>
      </c>
      <c r="E156" s="92">
        <v>7790360984234</v>
      </c>
      <c r="F156" s="102">
        <v>8.16</v>
      </c>
      <c r="G156" s="42">
        <v>48</v>
      </c>
      <c r="I156" s="41">
        <f>+L156*1.55*1.21</f>
        <v>3486.6696428571431</v>
      </c>
      <c r="J156" s="41">
        <f>+I156*0.8</f>
        <v>2789.3357142857149</v>
      </c>
      <c r="K156" s="112">
        <f>IFERROR(((I156/1.21)-L156)/(I156/1.21),)</f>
        <v>0.35483870967741943</v>
      </c>
      <c r="L156" s="41">
        <f>+IF(ISERROR(N156/G156),"",(N156/G156))</f>
        <v>1859.0613931523023</v>
      </c>
      <c r="M156" s="41">
        <f>+IF(ISERROR(N156/F156),"",(N156/F156))</f>
        <v>10935.655253837072</v>
      </c>
      <c r="N156" s="45">
        <v>89234.946871310516</v>
      </c>
      <c r="O156" s="58"/>
      <c r="P156" s="41">
        <f>+IF(ISERROR(N156/(1-O156)),"",(N156/(1-O156)))</f>
        <v>89234.946871310516</v>
      </c>
      <c r="Q156" s="58"/>
      <c r="R156" s="41">
        <f>+IF(ISERROR(P156/(1-Q156)),"",(P156/(1-Q156)))</f>
        <v>89234.946871310516</v>
      </c>
      <c r="S156" s="41">
        <f>+IF(ISERROR(R156/G156),"",(R156/G156))</f>
        <v>1859.0613931523023</v>
      </c>
      <c r="T156" s="12"/>
      <c r="U156" s="48"/>
      <c r="V156" s="44">
        <v>89234.95</v>
      </c>
      <c r="W156" s="96">
        <f>+IF(ISERROR(N156/V156-1),"",(N156/V156-1))</f>
        <v>-3.5061256564716814E-8</v>
      </c>
      <c r="X156" s="93">
        <f>+IF(ISERROR(V156*(1-O156)),"",(V156*(1-O156)))</f>
        <v>89234.95</v>
      </c>
    </row>
    <row r="157" spans="1:24" x14ac:dyDescent="0.2">
      <c r="A157" s="54" t="s">
        <v>189</v>
      </c>
      <c r="B157" s="37" t="s">
        <v>192</v>
      </c>
      <c r="C157" s="91">
        <v>100522247</v>
      </c>
      <c r="D157" s="37" t="s">
        <v>193</v>
      </c>
      <c r="E157" s="92">
        <v>7790360984241</v>
      </c>
      <c r="F157" s="102">
        <v>8.16</v>
      </c>
      <c r="G157" s="42">
        <v>48</v>
      </c>
      <c r="I157" s="41">
        <f>+L157*1.55*1.21</f>
        <v>3486.6696428571431</v>
      </c>
      <c r="J157" s="41">
        <f>+I157*0.8</f>
        <v>2789.3357142857149</v>
      </c>
      <c r="K157" s="112">
        <f>IFERROR(((I157/1.21)-L157)/(I157/1.21),)</f>
        <v>0.35483870967741943</v>
      </c>
      <c r="L157" s="41">
        <f>+IF(ISERROR(N157/G157),"",(N157/G157))</f>
        <v>1859.0613931523023</v>
      </c>
      <c r="M157" s="41">
        <f>+IF(ISERROR(N157/F157),"",(N157/F157))</f>
        <v>10935.655253837072</v>
      </c>
      <c r="N157" s="45">
        <v>89234.946871310516</v>
      </c>
      <c r="O157" s="58"/>
      <c r="P157" s="41">
        <f>+IF(ISERROR(N157/(1-O157)),"",(N157/(1-O157)))</f>
        <v>89234.946871310516</v>
      </c>
      <c r="Q157" s="58"/>
      <c r="R157" s="41">
        <f>+IF(ISERROR(P157/(1-Q157)),"",(P157/(1-Q157)))</f>
        <v>89234.946871310516</v>
      </c>
      <c r="S157" s="41">
        <f>+IF(ISERROR(R157/G157),"",(R157/G157))</f>
        <v>1859.0613931523023</v>
      </c>
      <c r="T157" s="12"/>
      <c r="U157" s="48"/>
      <c r="V157" s="44">
        <v>89234.95</v>
      </c>
      <c r="W157" s="96">
        <f>+IF(ISERROR(N157/V157-1),"",(N157/V157-1))</f>
        <v>-3.5061256564716814E-8</v>
      </c>
      <c r="X157" s="93">
        <f>+IF(ISERROR(V157*(1-O157)),"",(V157*(1-O157)))</f>
        <v>89234.95</v>
      </c>
    </row>
    <row r="158" spans="1:24" x14ac:dyDescent="0.2">
      <c r="N158" s="9"/>
    </row>
    <row r="159" spans="1:24" x14ac:dyDescent="0.2">
      <c r="N159" s="9"/>
    </row>
    <row r="160" spans="1:24" x14ac:dyDescent="0.2">
      <c r="N160" s="9"/>
    </row>
    <row r="161" spans="14:14" x14ac:dyDescent="0.2">
      <c r="N161" s="9"/>
    </row>
    <row r="162" spans="14:14" x14ac:dyDescent="0.2">
      <c r="N162" s="9"/>
    </row>
    <row r="163" spans="14:14" x14ac:dyDescent="0.2">
      <c r="N163" s="9"/>
    </row>
    <row r="164" spans="14:14" x14ac:dyDescent="0.2">
      <c r="N164" s="9"/>
    </row>
    <row r="165" spans="14:14" x14ac:dyDescent="0.2">
      <c r="N165" s="9"/>
    </row>
    <row r="166" spans="14:14" x14ac:dyDescent="0.2">
      <c r="N166" s="9"/>
    </row>
    <row r="167" spans="14:14" x14ac:dyDescent="0.2">
      <c r="N167" s="9"/>
    </row>
    <row r="168" spans="14:14" x14ac:dyDescent="0.2">
      <c r="N168" s="9"/>
    </row>
    <row r="169" spans="14:14" x14ac:dyDescent="0.2">
      <c r="N169" s="9"/>
    </row>
    <row r="170" spans="14:14" x14ac:dyDescent="0.2">
      <c r="N170" s="9"/>
    </row>
    <row r="171" spans="14:14" x14ac:dyDescent="0.2">
      <c r="N171" s="9"/>
    </row>
    <row r="172" spans="14:14" x14ac:dyDescent="0.2">
      <c r="N172" s="9"/>
    </row>
    <row r="173" spans="14:14" x14ac:dyDescent="0.2">
      <c r="N173" s="9"/>
    </row>
    <row r="174" spans="14:14" x14ac:dyDescent="0.2">
      <c r="N174" s="9"/>
    </row>
    <row r="175" spans="14:14" x14ac:dyDescent="0.2">
      <c r="N175" s="9"/>
    </row>
    <row r="176" spans="14:14" x14ac:dyDescent="0.2">
      <c r="N176" s="9"/>
    </row>
    <row r="177" spans="14:14" x14ac:dyDescent="0.2">
      <c r="N177" s="9"/>
    </row>
    <row r="178" spans="14:14" x14ac:dyDescent="0.2">
      <c r="N178" s="9"/>
    </row>
    <row r="179" spans="14:14" x14ac:dyDescent="0.2">
      <c r="N179" s="9"/>
    </row>
    <row r="180" spans="14:14" x14ac:dyDescent="0.2">
      <c r="N180" s="9"/>
    </row>
    <row r="181" spans="14:14" x14ac:dyDescent="0.2">
      <c r="N181" s="9"/>
    </row>
    <row r="182" spans="14:14" x14ac:dyDescent="0.2">
      <c r="N182" s="9"/>
    </row>
    <row r="183" spans="14:14" x14ac:dyDescent="0.2">
      <c r="N183" s="9"/>
    </row>
    <row r="184" spans="14:14" x14ac:dyDescent="0.2">
      <c r="N184" s="9"/>
    </row>
    <row r="185" spans="14:14" x14ac:dyDescent="0.2">
      <c r="N185" s="9"/>
    </row>
    <row r="186" spans="14:14" x14ac:dyDescent="0.2">
      <c r="N186" s="9"/>
    </row>
    <row r="187" spans="14:14" x14ac:dyDescent="0.2">
      <c r="N187" s="9"/>
    </row>
    <row r="188" spans="14:14" x14ac:dyDescent="0.2">
      <c r="N188" s="9"/>
    </row>
    <row r="189" spans="14:14" x14ac:dyDescent="0.2">
      <c r="N189" s="9"/>
    </row>
    <row r="190" spans="14:14" x14ac:dyDescent="0.2">
      <c r="N190" s="9"/>
    </row>
    <row r="191" spans="14:14" x14ac:dyDescent="0.2">
      <c r="N191" s="9"/>
    </row>
    <row r="192" spans="14:14" x14ac:dyDescent="0.2">
      <c r="N192" s="9"/>
    </row>
    <row r="193" spans="14:14" x14ac:dyDescent="0.2">
      <c r="N193" s="9"/>
    </row>
    <row r="194" spans="14:14" x14ac:dyDescent="0.2">
      <c r="N194" s="9"/>
    </row>
    <row r="195" spans="14:14" x14ac:dyDescent="0.2">
      <c r="N195" s="9"/>
    </row>
    <row r="196" spans="14:14" x14ac:dyDescent="0.2">
      <c r="N196" s="9"/>
    </row>
    <row r="197" spans="14:14" x14ac:dyDescent="0.2">
      <c r="N197" s="9"/>
    </row>
    <row r="198" spans="14:14" x14ac:dyDescent="0.2">
      <c r="N198" s="9"/>
    </row>
    <row r="199" spans="14:14" x14ac:dyDescent="0.2">
      <c r="N199" s="9"/>
    </row>
    <row r="200" spans="14:14" x14ac:dyDescent="0.2">
      <c r="N200" s="9"/>
    </row>
    <row r="201" spans="14:14" x14ac:dyDescent="0.2">
      <c r="N201" s="9"/>
    </row>
    <row r="202" spans="14:14" x14ac:dyDescent="0.2">
      <c r="N202" s="9"/>
    </row>
    <row r="203" spans="14:14" x14ac:dyDescent="0.2">
      <c r="N203" s="9"/>
    </row>
    <row r="204" spans="14:14" x14ac:dyDescent="0.2">
      <c r="N204" s="9"/>
    </row>
    <row r="205" spans="14:14" x14ac:dyDescent="0.2">
      <c r="N205" s="9"/>
    </row>
    <row r="206" spans="14:14" x14ac:dyDescent="0.2">
      <c r="N206" s="9"/>
    </row>
    <row r="207" spans="14:14" x14ac:dyDescent="0.2">
      <c r="N207" s="9"/>
    </row>
    <row r="208" spans="14:14" x14ac:dyDescent="0.2">
      <c r="N208" s="9"/>
    </row>
    <row r="209" spans="14:14" x14ac:dyDescent="0.2">
      <c r="N209" s="9"/>
    </row>
    <row r="210" spans="14:14" x14ac:dyDescent="0.2">
      <c r="N210" s="9"/>
    </row>
    <row r="211" spans="14:14" x14ac:dyDescent="0.2">
      <c r="N211" s="9"/>
    </row>
    <row r="212" spans="14:14" x14ac:dyDescent="0.2">
      <c r="N212" s="9"/>
    </row>
    <row r="213" spans="14:14" x14ac:dyDescent="0.2">
      <c r="N213" s="9"/>
    </row>
    <row r="214" spans="14:14" x14ac:dyDescent="0.2">
      <c r="N214" s="9"/>
    </row>
    <row r="215" spans="14:14" x14ac:dyDescent="0.2">
      <c r="N215" s="9"/>
    </row>
    <row r="216" spans="14:14" x14ac:dyDescent="0.2">
      <c r="N216" s="9"/>
    </row>
  </sheetData>
  <mergeCells count="3">
    <mergeCell ref="A1:S1"/>
    <mergeCell ref="B3:C3"/>
    <mergeCell ref="B7:C7"/>
  </mergeCells>
  <conditionalFormatting sqref="A119:D120">
    <cfRule type="cellIs" dxfId="213" priority="244" stopIfTrue="1" operator="equal">
      <formula>0</formula>
    </cfRule>
  </conditionalFormatting>
  <conditionalFormatting sqref="A156:G157">
    <cfRule type="cellIs" dxfId="212" priority="49" stopIfTrue="1" operator="equal">
      <formula>0</formula>
    </cfRule>
  </conditionalFormatting>
  <conditionalFormatting sqref="A151:H154">
    <cfRule type="cellIs" dxfId="211" priority="122" stopIfTrue="1" operator="equal">
      <formula>0</formula>
    </cfRule>
  </conditionalFormatting>
  <conditionalFormatting sqref="A137:I142">
    <cfRule type="cellIs" dxfId="210" priority="99" stopIfTrue="1" operator="equal">
      <formula>0</formula>
    </cfRule>
  </conditionalFormatting>
  <conditionalFormatting sqref="A144:I146">
    <cfRule type="cellIs" dxfId="209" priority="24" stopIfTrue="1" operator="equal">
      <formula>0</formula>
    </cfRule>
  </conditionalFormatting>
  <conditionalFormatting sqref="A148:I149">
    <cfRule type="cellIs" dxfId="208" priority="11" stopIfTrue="1" operator="equal">
      <formula>0</formula>
    </cfRule>
  </conditionalFormatting>
  <conditionalFormatting sqref="B29">
    <cfRule type="cellIs" dxfId="207" priority="224" stopIfTrue="1" operator="equal">
      <formula>0</formula>
    </cfRule>
  </conditionalFormatting>
  <conditionalFormatting sqref="B23:G28">
    <cfRule type="cellIs" dxfId="206" priority="273" stopIfTrue="1" operator="equal">
      <formula>0</formula>
    </cfRule>
  </conditionalFormatting>
  <conditionalFormatting sqref="B30:G34">
    <cfRule type="cellIs" dxfId="205" priority="302" stopIfTrue="1" operator="equal">
      <formula>0</formula>
    </cfRule>
  </conditionalFormatting>
  <conditionalFormatting sqref="B47:H47">
    <cfRule type="cellIs" dxfId="204" priority="225" stopIfTrue="1" operator="equal">
      <formula>0</formula>
    </cfRule>
  </conditionalFormatting>
  <conditionalFormatting sqref="B21:J21">
    <cfRule type="cellIs" dxfId="203" priority="230" stopIfTrue="1" operator="equal">
      <formula>0</formula>
    </cfRule>
  </conditionalFormatting>
  <conditionalFormatting sqref="B22:M22">
    <cfRule type="cellIs" dxfId="202" priority="298" stopIfTrue="1" operator="equal">
      <formula>0</formula>
    </cfRule>
  </conditionalFormatting>
  <conditionalFormatting sqref="C108:D108">
    <cfRule type="cellIs" dxfId="201" priority="300" stopIfTrue="1" operator="equal">
      <formula>0</formula>
    </cfRule>
  </conditionalFormatting>
  <conditionalFormatting sqref="C27:G29">
    <cfRule type="cellIs" dxfId="200" priority="301" stopIfTrue="1" operator="equal">
      <formula>0</formula>
    </cfRule>
  </conditionalFormatting>
  <conditionalFormatting sqref="E108:E120">
    <cfRule type="cellIs" dxfId="199" priority="106" stopIfTrue="1" operator="equal">
      <formula>0</formula>
    </cfRule>
  </conditionalFormatting>
  <conditionalFormatting sqref="F103:G106">
    <cfRule type="cellIs" dxfId="198" priority="278" stopIfTrue="1" operator="equal">
      <formula>0</formula>
    </cfRule>
  </conditionalFormatting>
  <conditionalFormatting sqref="H24:M31 F32:J32 L32:M32 H33:M34">
    <cfRule type="cellIs" dxfId="197" priority="297" stopIfTrue="1" operator="equal">
      <formula>0</formula>
    </cfRule>
  </conditionalFormatting>
  <conditionalFormatting sqref="I31:I32">
    <cfRule type="cellIs" dxfId="196" priority="284" stopIfTrue="1" operator="equal">
      <formula>0</formula>
    </cfRule>
  </conditionalFormatting>
  <conditionalFormatting sqref="I134:I135">
    <cfRule type="cellIs" dxfId="195" priority="166" stopIfTrue="1" operator="equal">
      <formula>0</formula>
    </cfRule>
  </conditionalFormatting>
  <conditionalFormatting sqref="I124:J125">
    <cfRule type="cellIs" dxfId="194" priority="258" stopIfTrue="1" operator="equal">
      <formula>0</formula>
    </cfRule>
  </conditionalFormatting>
  <conditionalFormatting sqref="I127:J129">
    <cfRule type="cellIs" dxfId="193" priority="209" stopIfTrue="1" operator="equal">
      <formula>0</formula>
    </cfRule>
  </conditionalFormatting>
  <conditionalFormatting sqref="I131:J132">
    <cfRule type="cellIs" dxfId="192" priority="204" stopIfTrue="1" operator="equal">
      <formula>0</formula>
    </cfRule>
  </conditionalFormatting>
  <conditionalFormatting sqref="I122:K122">
    <cfRule type="cellIs" dxfId="191" priority="259" stopIfTrue="1" operator="equal">
      <formula>0</formula>
    </cfRule>
  </conditionalFormatting>
  <conditionalFormatting sqref="K10:K21">
    <cfRule type="cellIs" dxfId="190" priority="174" stopIfTrue="1" operator="equal">
      <formula>0</formula>
    </cfRule>
  </conditionalFormatting>
  <conditionalFormatting sqref="K23:K25">
    <cfRule type="cellIs" dxfId="189" priority="266" stopIfTrue="1" operator="equal">
      <formula>0</formula>
    </cfRule>
  </conditionalFormatting>
  <conditionalFormatting sqref="K31:K32">
    <cfRule type="cellIs" dxfId="188" priority="107" stopIfTrue="1" operator="equal">
      <formula>0</formula>
    </cfRule>
  </conditionalFormatting>
  <conditionalFormatting sqref="K36:K52">
    <cfRule type="cellIs" dxfId="187" priority="195" stopIfTrue="1" operator="equal">
      <formula>0</formula>
    </cfRule>
  </conditionalFormatting>
  <conditionalFormatting sqref="K54:K66">
    <cfRule type="cellIs" dxfId="186" priority="28" stopIfTrue="1" operator="equal">
      <formula>0</formula>
    </cfRule>
  </conditionalFormatting>
  <conditionalFormatting sqref="K73:K92">
    <cfRule type="cellIs" dxfId="185" priority="109" stopIfTrue="1" operator="equal">
      <formula>0</formula>
    </cfRule>
  </conditionalFormatting>
  <conditionalFormatting sqref="K102:K114">
    <cfRule type="cellIs" dxfId="184" priority="111" stopIfTrue="1" operator="equal">
      <formula>0</formula>
    </cfRule>
  </conditionalFormatting>
  <conditionalFormatting sqref="K118">
    <cfRule type="cellIs" dxfId="183" priority="120" stopIfTrue="1" operator="equal">
      <formula>0</formula>
    </cfRule>
  </conditionalFormatting>
  <conditionalFormatting sqref="K123:K132">
    <cfRule type="cellIs" dxfId="182" priority="153" stopIfTrue="1" operator="equal">
      <formula>0</formula>
    </cfRule>
  </conditionalFormatting>
  <conditionalFormatting sqref="K134:K157">
    <cfRule type="cellIs" dxfId="181" priority="10" stopIfTrue="1" operator="equal">
      <formula>0</formula>
    </cfRule>
  </conditionalFormatting>
  <conditionalFormatting sqref="K115:M117 F119:M120">
    <cfRule type="cellIs" dxfId="180" priority="154" stopIfTrue="1" operator="equal">
      <formula>0</formula>
    </cfRule>
  </conditionalFormatting>
  <conditionalFormatting sqref="L21:M21">
    <cfRule type="cellIs" dxfId="179" priority="229" stopIfTrue="1" operator="equal">
      <formula>0</formula>
    </cfRule>
  </conditionalFormatting>
  <conditionalFormatting sqref="L23:M23">
    <cfRule type="cellIs" dxfId="178" priority="272" stopIfTrue="1" operator="equal">
      <formula>0</formula>
    </cfRule>
  </conditionalFormatting>
  <conditionalFormatting sqref="L145:O146">
    <cfRule type="cellIs" dxfId="177" priority="15" stopIfTrue="1" operator="equal">
      <formula>0</formula>
    </cfRule>
  </conditionalFormatting>
  <conditionalFormatting sqref="M31">
    <cfRule type="cellIs" dxfId="176" priority="296" stopIfTrue="1" operator="lessThan">
      <formula>30</formula>
    </cfRule>
  </conditionalFormatting>
  <conditionalFormatting sqref="M53 M72 M101 M107">
    <cfRule type="cellIs" dxfId="175" priority="299" stopIfTrue="1" operator="lessThan">
      <formula>30</formula>
    </cfRule>
  </conditionalFormatting>
  <conditionalFormatting sqref="N11:N52">
    <cfRule type="cellIs" dxfId="174" priority="132" stopIfTrue="1" operator="equal">
      <formula>0</formula>
    </cfRule>
  </conditionalFormatting>
  <conditionalFormatting sqref="N54:N71">
    <cfRule type="cellIs" dxfId="173" priority="31" stopIfTrue="1" operator="equal">
      <formula>0</formula>
    </cfRule>
  </conditionalFormatting>
  <conditionalFormatting sqref="N73:N100">
    <cfRule type="cellIs" dxfId="172" priority="171" stopIfTrue="1" operator="equal">
      <formula>0</formula>
    </cfRule>
  </conditionalFormatting>
  <conditionalFormatting sqref="N102:N106">
    <cfRule type="cellIs" dxfId="171" priority="145" stopIfTrue="1" operator="equal">
      <formula>0</formula>
    </cfRule>
  </conditionalFormatting>
  <conditionalFormatting sqref="N108:N122">
    <cfRule type="cellIs" dxfId="170" priority="170" stopIfTrue="1" operator="equal">
      <formula>0</formula>
    </cfRule>
  </conditionalFormatting>
  <conditionalFormatting sqref="N124:N129">
    <cfRule type="cellIs" dxfId="169" priority="169" stopIfTrue="1" operator="equal">
      <formula>0</formula>
    </cfRule>
  </conditionalFormatting>
  <conditionalFormatting sqref="N131:N132">
    <cfRule type="cellIs" dxfId="168" priority="168" stopIfTrue="1" operator="equal">
      <formula>0</formula>
    </cfRule>
  </conditionalFormatting>
  <conditionalFormatting sqref="N134:N135">
    <cfRule type="cellIs" dxfId="167" priority="189" stopIfTrue="1" operator="equal">
      <formula>0</formula>
    </cfRule>
  </conditionalFormatting>
  <conditionalFormatting sqref="N137:O142">
    <cfRule type="cellIs" dxfId="166" priority="27" stopIfTrue="1" operator="equal">
      <formula>0</formula>
    </cfRule>
  </conditionalFormatting>
  <conditionalFormatting sqref="N144:O144">
    <cfRule type="cellIs" dxfId="165" priority="160" stopIfTrue="1" operator="equal">
      <formula>0</formula>
    </cfRule>
  </conditionalFormatting>
  <conditionalFormatting sqref="N148:O149">
    <cfRule type="cellIs" dxfId="164" priority="151" stopIfTrue="1" operator="equal">
      <formula>0</formula>
    </cfRule>
  </conditionalFormatting>
  <conditionalFormatting sqref="N151:O154">
    <cfRule type="cellIs" dxfId="163" priority="123" stopIfTrue="1" operator="equal">
      <formula>0</formula>
    </cfRule>
  </conditionalFormatting>
  <conditionalFormatting sqref="N156:O157">
    <cfRule type="cellIs" dxfId="162" priority="45" stopIfTrue="1" operator="equal">
      <formula>0</formula>
    </cfRule>
  </conditionalFormatting>
  <conditionalFormatting sqref="O11:O19">
    <cfRule type="cellIs" dxfId="161" priority="173" stopIfTrue="1" operator="equal">
      <formula>0</formula>
    </cfRule>
  </conditionalFormatting>
  <conditionalFormatting sqref="O20:O21">
    <cfRule type="cellIs" dxfId="160" priority="228" stopIfTrue="1" operator="equal">
      <formula>0</formula>
    </cfRule>
  </conditionalFormatting>
  <conditionalFormatting sqref="O21 Q21:Q34 S21:S34">
    <cfRule type="cellIs" dxfId="159" priority="227" stopIfTrue="1" operator="equal">
      <formula>0</formula>
    </cfRule>
  </conditionalFormatting>
  <conditionalFormatting sqref="O21">
    <cfRule type="cellIs" dxfId="158" priority="226" stopIfTrue="1" operator="equal">
      <formula>0</formula>
    </cfRule>
  </conditionalFormatting>
  <conditionalFormatting sqref="O22 O24:O35">
    <cfRule type="cellIs" dxfId="157" priority="295" stopIfTrue="1" operator="equal">
      <formula>0</formula>
    </cfRule>
  </conditionalFormatting>
  <conditionalFormatting sqref="O22:O25">
    <cfRule type="cellIs" dxfId="156" priority="271" stopIfTrue="1" operator="equal">
      <formula>0</formula>
    </cfRule>
  </conditionalFormatting>
  <conditionalFormatting sqref="O23">
    <cfRule type="cellIs" dxfId="155" priority="265" stopIfTrue="1" operator="equal">
      <formula>0</formula>
    </cfRule>
    <cfRule type="cellIs" dxfId="154" priority="270" stopIfTrue="1" operator="equal">
      <formula>0</formula>
    </cfRule>
  </conditionalFormatting>
  <conditionalFormatting sqref="O24:O34 O22">
    <cfRule type="cellIs" dxfId="153" priority="294" stopIfTrue="1" operator="equal">
      <formula>0</formula>
    </cfRule>
  </conditionalFormatting>
  <conditionalFormatting sqref="O27:O29">
    <cfRule type="cellIs" dxfId="152" priority="293" stopIfTrue="1" operator="equal">
      <formula>0</formula>
    </cfRule>
    <cfRule type="cellIs" dxfId="151" priority="292" stopIfTrue="1" operator="equal">
      <formula>0</formula>
    </cfRule>
  </conditionalFormatting>
  <conditionalFormatting sqref="O31:O32">
    <cfRule type="cellIs" dxfId="150" priority="291" stopIfTrue="1" operator="equal">
      <formula>0</formula>
    </cfRule>
  </conditionalFormatting>
  <conditionalFormatting sqref="O36:O52">
    <cfRule type="cellIs" dxfId="149" priority="194" stopIfTrue="1" operator="equal">
      <formula>0</formula>
    </cfRule>
  </conditionalFormatting>
  <conditionalFormatting sqref="O54:O90">
    <cfRule type="cellIs" dxfId="148" priority="32" stopIfTrue="1" operator="equal">
      <formula>0</formula>
    </cfRule>
  </conditionalFormatting>
  <conditionalFormatting sqref="O91:O92">
    <cfRule type="cellIs" dxfId="147" priority="289" stopIfTrue="1" operator="equal">
      <formula>0</formula>
    </cfRule>
  </conditionalFormatting>
  <conditionalFormatting sqref="O91:O94">
    <cfRule type="cellIs" dxfId="146" priority="290" stopIfTrue="1" operator="equal">
      <formula>0</formula>
    </cfRule>
  </conditionalFormatting>
  <conditionalFormatting sqref="O95:O146">
    <cfRule type="cellIs" dxfId="145" priority="20" stopIfTrue="1" operator="equal">
      <formula>0</formula>
    </cfRule>
  </conditionalFormatting>
  <conditionalFormatting sqref="O115 A115:D115 F115:J115 Z115:HX115">
    <cfRule type="cellIs" dxfId="144" priority="335" stopIfTrue="1" operator="equal">
      <formula>0</formula>
    </cfRule>
  </conditionalFormatting>
  <conditionalFormatting sqref="O119:O120 Z119:HX120">
    <cfRule type="cellIs" dxfId="143" priority="245" stopIfTrue="1" operator="equal">
      <formula>0</formula>
    </cfRule>
  </conditionalFormatting>
  <conditionalFormatting sqref="O147:O157">
    <cfRule type="cellIs" dxfId="142" priority="128" stopIfTrue="1" operator="equal">
      <formula>0</formula>
    </cfRule>
  </conditionalFormatting>
  <conditionalFormatting sqref="Q115:Q117 S115:S117 Q119:Q120 S119:S120">
    <cfRule type="cellIs" dxfId="141" priority="223" stopIfTrue="1" operator="equal">
      <formula>0</formula>
    </cfRule>
  </conditionalFormatting>
  <conditionalFormatting sqref="V72:V114">
    <cfRule type="cellIs" dxfId="140" priority="116" stopIfTrue="1" operator="equal">
      <formula>0</formula>
    </cfRule>
  </conditionalFormatting>
  <conditionalFormatting sqref="V118">
    <cfRule type="cellIs" dxfId="139" priority="112" stopIfTrue="1" operator="equal">
      <formula>0</formula>
    </cfRule>
  </conditionalFormatting>
  <conditionalFormatting sqref="V120:V157">
    <cfRule type="cellIs" dxfId="138" priority="2" stopIfTrue="1" operator="equal">
      <formula>0</formula>
    </cfRule>
  </conditionalFormatting>
  <conditionalFormatting sqref="V21:X21">
    <cfRule type="cellIs" dxfId="137" priority="236" stopIfTrue="1" operator="equal">
      <formula>0</formula>
    </cfRule>
  </conditionalFormatting>
  <conditionalFormatting sqref="V22:X22 V24:X34">
    <cfRule type="cellIs" dxfId="136" priority="329" stopIfTrue="1" operator="equal">
      <formula>0</formula>
    </cfRule>
  </conditionalFormatting>
  <conditionalFormatting sqref="V23:X23 H23:J23">
    <cfRule type="cellIs" dxfId="135" priority="276" stopIfTrue="1" operator="equal">
      <formula>0</formula>
    </cfRule>
  </conditionalFormatting>
  <conditionalFormatting sqref="V27:X29">
    <cfRule type="cellIs" dxfId="134" priority="325" stopIfTrue="1" operator="equal">
      <formula>0</formula>
    </cfRule>
  </conditionalFormatting>
  <conditionalFormatting sqref="V32:X32">
    <cfRule type="cellIs" dxfId="133" priority="333" stopIfTrue="1" operator="equal">
      <formula>0</formula>
    </cfRule>
  </conditionalFormatting>
  <conditionalFormatting sqref="V115:X117 V119:X120">
    <cfRule type="cellIs" dxfId="132" priority="243" stopIfTrue="1" operator="equal">
      <formula>0</formula>
    </cfRule>
  </conditionalFormatting>
  <conditionalFormatting sqref="W1:W18">
    <cfRule type="cellIs" dxfId="131" priority="256" stopIfTrue="1" operator="between">
      <formula>-0.01</formula>
      <formula>0.01</formula>
    </cfRule>
    <cfRule type="cellIs" dxfId="130" priority="255" stopIfTrue="1" operator="between">
      <formula>-0.0001</formula>
      <formula>0.0001</formula>
    </cfRule>
  </conditionalFormatting>
  <conditionalFormatting sqref="W11:W18">
    <cfRule type="cellIs" dxfId="129" priority="257" stopIfTrue="1" operator="notBetween">
      <formula>-0.001</formula>
      <formula>0.001</formula>
    </cfRule>
  </conditionalFormatting>
  <conditionalFormatting sqref="W18:W19">
    <cfRule type="cellIs" dxfId="128" priority="179" stopIfTrue="1" operator="between">
      <formula>-0.01</formula>
      <formula>0.01</formula>
    </cfRule>
    <cfRule type="cellIs" dxfId="127" priority="178" stopIfTrue="1" operator="between">
      <formula>-0.0001</formula>
      <formula>0.0001</formula>
    </cfRule>
    <cfRule type="cellIs" dxfId="126" priority="180" stopIfTrue="1" operator="notBetween">
      <formula>-0.001</formula>
      <formula>0.001</formula>
    </cfRule>
  </conditionalFormatting>
  <conditionalFormatting sqref="W19">
    <cfRule type="cellIs" dxfId="125" priority="176" stopIfTrue="1" operator="between">
      <formula>-0.01</formula>
      <formula>0.01</formula>
    </cfRule>
    <cfRule type="cellIs" dxfId="124" priority="177" stopIfTrue="1" operator="notBetween">
      <formula>-0.001</formula>
      <formula>0.001</formula>
    </cfRule>
    <cfRule type="cellIs" dxfId="123" priority="175" stopIfTrue="1" operator="between">
      <formula>-0.0001</formula>
      <formula>0.0001</formula>
    </cfRule>
  </conditionalFormatting>
  <conditionalFormatting sqref="W20 W26 W32:W35 W63:W65 W67:W71 W73:W91 W108:W110 W8 W122">
    <cfRule type="cellIs" dxfId="122" priority="339" stopIfTrue="1" operator="notBetween">
      <formula>-0.001</formula>
      <formula>0.001</formula>
    </cfRule>
  </conditionalFormatting>
  <conditionalFormatting sqref="W20 W26 W32:W35 W63:W65 W67:W91">
    <cfRule type="cellIs" dxfId="121" priority="337" stopIfTrue="1" operator="between">
      <formula>-0.01</formula>
      <formula>0.01</formula>
    </cfRule>
  </conditionalFormatting>
  <conditionalFormatting sqref="W20:W21">
    <cfRule type="cellIs" dxfId="120" priority="235" stopIfTrue="1" operator="between">
      <formula>-0.01</formula>
      <formula>0.01</formula>
    </cfRule>
    <cfRule type="cellIs" dxfId="119" priority="234" stopIfTrue="1" operator="between">
      <formula>-0.0001</formula>
      <formula>0.0001</formula>
    </cfRule>
    <cfRule type="cellIs" dxfId="118" priority="237" stopIfTrue="1" operator="notBetween">
      <formula>-0.001</formula>
      <formula>0.001</formula>
    </cfRule>
  </conditionalFormatting>
  <conditionalFormatting sqref="W21">
    <cfRule type="cellIs" dxfId="117" priority="231" stopIfTrue="1" operator="between">
      <formula>-0.0001</formula>
      <formula>0.0001</formula>
    </cfRule>
    <cfRule type="cellIs" dxfId="116" priority="232" stopIfTrue="1" operator="between">
      <formula>-0.01</formula>
      <formula>0.01</formula>
    </cfRule>
    <cfRule type="cellIs" dxfId="115" priority="233" stopIfTrue="1" operator="notBetween">
      <formula>-0.001</formula>
      <formula>0.001</formula>
    </cfRule>
  </conditionalFormatting>
  <conditionalFormatting sqref="W22 W24:W34">
    <cfRule type="cellIs" dxfId="114" priority="330" stopIfTrue="1" operator="notBetween">
      <formula>-0.001</formula>
      <formula>0.001</formula>
    </cfRule>
    <cfRule type="cellIs" dxfId="113" priority="328" stopIfTrue="1" operator="between">
      <formula>-0.01</formula>
      <formula>0.01</formula>
    </cfRule>
  </conditionalFormatting>
  <conditionalFormatting sqref="W22:W25">
    <cfRule type="cellIs" dxfId="112" priority="274" stopIfTrue="1" operator="between">
      <formula>-0.0001</formula>
      <formula>0.0001</formula>
    </cfRule>
    <cfRule type="cellIs" dxfId="111" priority="277" stopIfTrue="1" operator="notBetween">
      <formula>-0.001</formula>
      <formula>0.001</formula>
    </cfRule>
    <cfRule type="cellIs" dxfId="110" priority="275" stopIfTrue="1" operator="between">
      <formula>-0.01</formula>
      <formula>0.01</formula>
    </cfRule>
  </conditionalFormatting>
  <conditionalFormatting sqref="W23">
    <cfRule type="cellIs" dxfId="109" priority="268" stopIfTrue="1" operator="between">
      <formula>-0.01</formula>
      <formula>0.01</formula>
    </cfRule>
    <cfRule type="cellIs" dxfId="108" priority="269" stopIfTrue="1" operator="notBetween">
      <formula>-0.001</formula>
      <formula>0.001</formula>
    </cfRule>
    <cfRule type="cellIs" dxfId="107" priority="267" stopIfTrue="1" operator="between">
      <formula>-0.0001</formula>
      <formula>0.0001</formula>
    </cfRule>
  </conditionalFormatting>
  <conditionalFormatting sqref="W24:W34 W22">
    <cfRule type="cellIs" dxfId="106" priority="327" stopIfTrue="1" operator="between">
      <formula>-0.0001</formula>
      <formula>0.0001</formula>
    </cfRule>
  </conditionalFormatting>
  <conditionalFormatting sqref="W27:W29">
    <cfRule type="cellIs" dxfId="105" priority="323" stopIfTrue="1" operator="between">
      <formula>-0.0001</formula>
      <formula>0.0001</formula>
    </cfRule>
    <cfRule type="cellIs" dxfId="104" priority="324" stopIfTrue="1" operator="between">
      <formula>-0.01</formula>
      <formula>0.01</formula>
    </cfRule>
    <cfRule type="cellIs" dxfId="103" priority="326" stopIfTrue="1" operator="notBetween">
      <formula>-0.001</formula>
      <formula>0.001</formula>
    </cfRule>
  </conditionalFormatting>
  <conditionalFormatting sqref="W31">
    <cfRule type="cellIs" dxfId="102" priority="309" stopIfTrue="1" operator="notBetween">
      <formula>-0.001</formula>
      <formula>0.001</formula>
    </cfRule>
    <cfRule type="cellIs" dxfId="101" priority="308" stopIfTrue="1" operator="between">
      <formula>-0.01</formula>
      <formula>0.01</formula>
    </cfRule>
    <cfRule type="cellIs" dxfId="100" priority="307" stopIfTrue="1" operator="between">
      <formula>-0.0001</formula>
      <formula>0.0001</formula>
    </cfRule>
  </conditionalFormatting>
  <conditionalFormatting sqref="W32">
    <cfRule type="cellIs" dxfId="99" priority="332" stopIfTrue="1" operator="between">
      <formula>-0.01</formula>
      <formula>0.01</formula>
    </cfRule>
    <cfRule type="cellIs" dxfId="98" priority="334" stopIfTrue="1" operator="notBetween">
      <formula>-0.001</formula>
      <formula>0.001</formula>
    </cfRule>
    <cfRule type="cellIs" dxfId="97" priority="331" stopIfTrue="1" operator="between">
      <formula>-0.0001</formula>
      <formula>0.0001</formula>
    </cfRule>
  </conditionalFormatting>
  <conditionalFormatting sqref="W32:W35 W26 W67:W91 W20 W63:W65">
    <cfRule type="cellIs" dxfId="96" priority="336" stopIfTrue="1" operator="between">
      <formula>-0.0001</formula>
      <formula>0.0001</formula>
    </cfRule>
  </conditionalFormatting>
  <conditionalFormatting sqref="W36">
    <cfRule type="cellIs" dxfId="95" priority="315" stopIfTrue="1" operator="notBetween">
      <formula>-0.001</formula>
      <formula>0.001</formula>
    </cfRule>
    <cfRule type="cellIs" dxfId="94" priority="314" stopIfTrue="1" operator="between">
      <formula>-0.01</formula>
      <formula>0.01</formula>
    </cfRule>
    <cfRule type="cellIs" dxfId="93" priority="313" stopIfTrue="1" operator="between">
      <formula>-0.0001</formula>
      <formula>0.0001</formula>
    </cfRule>
  </conditionalFormatting>
  <conditionalFormatting sqref="W36:W37 W39:W47">
    <cfRule type="cellIs" dxfId="92" priority="280" stopIfTrue="1" operator="between">
      <formula>-0.0001</formula>
      <formula>0.0001</formula>
    </cfRule>
    <cfRule type="cellIs" dxfId="91" priority="281" stopIfTrue="1" operator="between">
      <formula>-0.01</formula>
      <formula>0.01</formula>
    </cfRule>
    <cfRule type="cellIs" dxfId="90" priority="282" stopIfTrue="1" operator="notBetween">
      <formula>-0.001</formula>
      <formula>0.001</formula>
    </cfRule>
  </conditionalFormatting>
  <conditionalFormatting sqref="W37:W47">
    <cfRule type="cellIs" dxfId="89" priority="221" stopIfTrue="1" operator="between">
      <formula>-0.01</formula>
      <formula>0.01</formula>
    </cfRule>
    <cfRule type="cellIs" dxfId="88" priority="220" stopIfTrue="1" operator="between">
      <formula>-0.0001</formula>
      <formula>0.0001</formula>
    </cfRule>
    <cfRule type="cellIs" dxfId="87" priority="222" stopIfTrue="1" operator="notBetween">
      <formula>-0.001</formula>
      <formula>0.001</formula>
    </cfRule>
  </conditionalFormatting>
  <conditionalFormatting sqref="W38">
    <cfRule type="cellIs" dxfId="86" priority="218" stopIfTrue="1" operator="between">
      <formula>-0.01</formula>
      <formula>0.01</formula>
    </cfRule>
    <cfRule type="cellIs" dxfId="85" priority="219" stopIfTrue="1" operator="notBetween">
      <formula>-0.001</formula>
      <formula>0.001</formula>
    </cfRule>
    <cfRule type="cellIs" dxfId="84" priority="217" stopIfTrue="1" operator="between">
      <formula>-0.0001</formula>
      <formula>0.0001</formula>
    </cfRule>
  </conditionalFormatting>
  <conditionalFormatting sqref="W48:W49">
    <cfRule type="cellIs" dxfId="83" priority="198" stopIfTrue="1" operator="notBetween">
      <formula>-0.001</formula>
      <formula>0.001</formula>
    </cfRule>
    <cfRule type="cellIs" dxfId="82" priority="196" stopIfTrue="1" operator="between">
      <formula>-0.0001</formula>
      <formula>0.0001</formula>
    </cfRule>
    <cfRule type="cellIs" dxfId="81" priority="197" stopIfTrue="1" operator="between">
      <formula>-0.01</formula>
      <formula>0.01</formula>
    </cfRule>
  </conditionalFormatting>
  <conditionalFormatting sqref="W48:W50">
    <cfRule type="cellIs" dxfId="80" priority="140" stopIfTrue="1" operator="between">
      <formula>-0.01</formula>
      <formula>0.01</formula>
    </cfRule>
    <cfRule type="cellIs" dxfId="79" priority="141" stopIfTrue="1" operator="notBetween">
      <formula>-0.001</formula>
      <formula>0.001</formula>
    </cfRule>
    <cfRule type="cellIs" dxfId="78" priority="139" stopIfTrue="1" operator="between">
      <formula>-0.0001</formula>
      <formula>0.0001</formula>
    </cfRule>
  </conditionalFormatting>
  <conditionalFormatting sqref="W50:W52">
    <cfRule type="cellIs" dxfId="77" priority="138" stopIfTrue="1" operator="notBetween">
      <formula>-0.001</formula>
      <formula>0.001</formula>
    </cfRule>
  </conditionalFormatting>
  <conditionalFormatting sqref="W50:W54">
    <cfRule type="cellIs" dxfId="76" priority="136" stopIfTrue="1" operator="between">
      <formula>-0.0001</formula>
      <formula>0.0001</formula>
    </cfRule>
    <cfRule type="cellIs" dxfId="75" priority="137" stopIfTrue="1" operator="between">
      <formula>-0.01</formula>
      <formula>0.01</formula>
    </cfRule>
  </conditionalFormatting>
  <conditionalFormatting sqref="W51:W52">
    <cfRule type="cellIs" dxfId="74" priority="133" stopIfTrue="1" operator="between">
      <formula>-0.0001</formula>
      <formula>0.0001</formula>
    </cfRule>
    <cfRule type="cellIs" dxfId="73" priority="134" stopIfTrue="1" operator="between">
      <formula>-0.01</formula>
      <formula>0.01</formula>
    </cfRule>
    <cfRule type="cellIs" dxfId="72" priority="135" stopIfTrue="1" operator="notBetween">
      <formula>-0.001</formula>
      <formula>0.001</formula>
    </cfRule>
  </conditionalFormatting>
  <conditionalFormatting sqref="W54">
    <cfRule type="cellIs" dxfId="71" priority="242" stopIfTrue="1" operator="notBetween">
      <formula>-0.001</formula>
      <formula>0.001</formula>
    </cfRule>
  </conditionalFormatting>
  <conditionalFormatting sqref="W55:W66">
    <cfRule type="cellIs" dxfId="70" priority="30" stopIfTrue="1" operator="between">
      <formula>-0.01</formula>
      <formula>0.01</formula>
    </cfRule>
    <cfRule type="cellIs" dxfId="69" priority="29" stopIfTrue="1" operator="between">
      <formula>-0.0001</formula>
      <formula>0.0001</formula>
    </cfRule>
    <cfRule type="cellIs" dxfId="68" priority="33" stopIfTrue="1" operator="notBetween">
      <formula>-0.001</formula>
      <formula>0.001</formula>
    </cfRule>
  </conditionalFormatting>
  <conditionalFormatting sqref="W72 W107 W10 W121 W101 W53">
    <cfRule type="cellIs" dxfId="67" priority="338" stopIfTrue="1" operator="notBetween">
      <formula>-0.001</formula>
      <formula>0.001</formula>
    </cfRule>
  </conditionalFormatting>
  <conditionalFormatting sqref="W87:W91">
    <cfRule type="cellIs" dxfId="66" priority="288" stopIfTrue="1" operator="notBetween">
      <formula>-0.001</formula>
      <formula>0.001</formula>
    </cfRule>
    <cfRule type="cellIs" dxfId="65" priority="287" stopIfTrue="1" operator="between">
      <formula>-0.01</formula>
      <formula>0.01</formula>
    </cfRule>
    <cfRule type="cellIs" dxfId="64" priority="286" stopIfTrue="1" operator="between">
      <formula>-0.0001</formula>
      <formula>0.0001</formula>
    </cfRule>
  </conditionalFormatting>
  <conditionalFormatting sqref="W91:W94">
    <cfRule type="cellIs" dxfId="63" priority="320" stopIfTrue="1" operator="between">
      <formula>-0.0001</formula>
      <formula>0.0001</formula>
    </cfRule>
    <cfRule type="cellIs" dxfId="62" priority="321" stopIfTrue="1" operator="between">
      <formula>-0.01</formula>
      <formula>0.01</formula>
    </cfRule>
    <cfRule type="cellIs" dxfId="61" priority="322" stopIfTrue="1" operator="notBetween">
      <formula>-0.001</formula>
      <formula>0.001</formula>
    </cfRule>
  </conditionalFormatting>
  <conditionalFormatting sqref="W95:W100">
    <cfRule type="cellIs" dxfId="60" priority="184" stopIfTrue="1" operator="notBetween">
      <formula>-0.001</formula>
      <formula>0.001</formula>
    </cfRule>
  </conditionalFormatting>
  <conditionalFormatting sqref="W95:W106">
    <cfRule type="cellIs" dxfId="59" priority="142" stopIfTrue="1" operator="between">
      <formula>-0.0001</formula>
      <formula>0.0001</formula>
    </cfRule>
    <cfRule type="cellIs" dxfId="58" priority="143" stopIfTrue="1" operator="between">
      <formula>-0.01</formula>
      <formula>0.01</formula>
    </cfRule>
  </conditionalFormatting>
  <conditionalFormatting sqref="W102:W106">
    <cfRule type="cellIs" dxfId="57" priority="144" stopIfTrue="1" operator="notBetween">
      <formula>-0.001</formula>
      <formula>0.001</formula>
    </cfRule>
  </conditionalFormatting>
  <conditionalFormatting sqref="W107:W110">
    <cfRule type="cellIs" dxfId="56" priority="319" stopIfTrue="1" operator="between">
      <formula>-0.01</formula>
      <formula>0.01</formula>
    </cfRule>
    <cfRule type="cellIs" dxfId="55" priority="318" stopIfTrue="1" operator="between">
      <formula>-0.0001</formula>
      <formula>0.0001</formula>
    </cfRule>
  </conditionalFormatting>
  <conditionalFormatting sqref="W108">
    <cfRule type="cellIs" dxfId="54" priority="312" stopIfTrue="1" operator="notBetween">
      <formula>-0.001</formula>
      <formula>0.001</formula>
    </cfRule>
    <cfRule type="cellIs" dxfId="53" priority="311" stopIfTrue="1" operator="between">
      <formula>-0.01</formula>
      <formula>0.01</formula>
    </cfRule>
    <cfRule type="cellIs" dxfId="52" priority="310" stopIfTrue="1" operator="between">
      <formula>-0.0001</formula>
      <formula>0.0001</formula>
    </cfRule>
  </conditionalFormatting>
  <conditionalFormatting sqref="W111:W114">
    <cfRule type="cellIs" dxfId="51" priority="117" stopIfTrue="1" operator="between">
      <formula>-0.0001</formula>
      <formula>0.0001</formula>
    </cfRule>
    <cfRule type="cellIs" dxfId="50" priority="118" stopIfTrue="1" operator="between">
      <formula>-0.01</formula>
      <formula>0.01</formula>
    </cfRule>
    <cfRule type="cellIs" dxfId="49" priority="119" stopIfTrue="1" operator="notBetween">
      <formula>-0.001</formula>
      <formula>0.001</formula>
    </cfRule>
  </conditionalFormatting>
  <conditionalFormatting sqref="W115:W117 W119:W120">
    <cfRule type="cellIs" dxfId="48" priority="248" stopIfTrue="1" operator="notBetween">
      <formula>-0.001</formula>
      <formula>0.001</formula>
    </cfRule>
  </conditionalFormatting>
  <conditionalFormatting sqref="W115:W117 W119:W125">
    <cfRule type="cellIs" dxfId="47" priority="246" stopIfTrue="1" operator="between">
      <formula>-0.0001</formula>
      <formula>0.0001</formula>
    </cfRule>
    <cfRule type="cellIs" dxfId="46" priority="247" stopIfTrue="1" operator="between">
      <formula>-0.01</formula>
      <formula>0.01</formula>
    </cfRule>
  </conditionalFormatting>
  <conditionalFormatting sqref="W118">
    <cfRule type="cellIs" dxfId="45" priority="113" stopIfTrue="1" operator="between">
      <formula>-0.0001</formula>
      <formula>0.0001</formula>
    </cfRule>
    <cfRule type="cellIs" dxfId="44" priority="114" stopIfTrue="1" operator="between">
      <formula>-0.01</formula>
      <formula>0.01</formula>
    </cfRule>
    <cfRule type="cellIs" dxfId="43" priority="115" stopIfTrue="1" operator="notBetween">
      <formula>-0.001</formula>
      <formula>0.001</formula>
    </cfRule>
  </conditionalFormatting>
  <conditionalFormatting sqref="W123">
    <cfRule type="cellIs" dxfId="42" priority="317" stopIfTrue="1" operator="notBetween">
      <formula>-0.001</formula>
      <formula>0.001</formula>
    </cfRule>
  </conditionalFormatting>
  <conditionalFormatting sqref="W124:W125">
    <cfRule type="cellIs" dxfId="41" priority="316" stopIfTrue="1" operator="notBetween">
      <formula>-0.001</formula>
      <formula>0.001</formula>
    </cfRule>
  </conditionalFormatting>
  <conditionalFormatting sqref="W126">
    <cfRule type="cellIs" dxfId="40" priority="283" operator="lessThanOrEqual">
      <formula>0.1</formula>
    </cfRule>
  </conditionalFormatting>
  <conditionalFormatting sqref="W127:W129">
    <cfRule type="cellIs" dxfId="39" priority="210" stopIfTrue="1" operator="between">
      <formula>-0.0001</formula>
      <formula>0.0001</formula>
    </cfRule>
    <cfRule type="cellIs" dxfId="38" priority="211" stopIfTrue="1" operator="between">
      <formula>-0.01</formula>
      <formula>0.01</formula>
    </cfRule>
    <cfRule type="cellIs" dxfId="37" priority="212" stopIfTrue="1" operator="notBetween">
      <formula>-0.001</formula>
      <formula>0.001</formula>
    </cfRule>
  </conditionalFormatting>
  <conditionalFormatting sqref="W130">
    <cfRule type="cellIs" dxfId="36" priority="208" operator="lessThanOrEqual">
      <formula>0.1</formula>
    </cfRule>
  </conditionalFormatting>
  <conditionalFormatting sqref="W131:W132">
    <cfRule type="cellIs" dxfId="35" priority="199" stopIfTrue="1" operator="between">
      <formula>-0.0001</formula>
      <formula>0.0001</formula>
    </cfRule>
    <cfRule type="cellIs" dxfId="34" priority="200" stopIfTrue="1" operator="between">
      <formula>-0.01</formula>
      <formula>0.01</formula>
    </cfRule>
    <cfRule type="cellIs" dxfId="33" priority="201" stopIfTrue="1" operator="notBetween">
      <formula>-0.001</formula>
      <formula>0.001</formula>
    </cfRule>
  </conditionalFormatting>
  <conditionalFormatting sqref="W133">
    <cfRule type="cellIs" dxfId="32" priority="203" operator="lessThanOrEqual">
      <formula>0.1</formula>
    </cfRule>
  </conditionalFormatting>
  <conditionalFormatting sqref="W134:W135">
    <cfRule type="cellIs" dxfId="31" priority="187" stopIfTrue="1" operator="between">
      <formula>-0.01</formula>
      <formula>0.01</formula>
    </cfRule>
    <cfRule type="cellIs" dxfId="30" priority="186" stopIfTrue="1" operator="between">
      <formula>-0.0001</formula>
      <formula>0.0001</formula>
    </cfRule>
    <cfRule type="cellIs" dxfId="29" priority="185" operator="between">
      <formula>0.01%</formula>
      <formula>-0.0001</formula>
    </cfRule>
    <cfRule type="cellIs" dxfId="28" priority="188" stopIfTrue="1" operator="notBetween">
      <formula>-0.001</formula>
      <formula>0.001</formula>
    </cfRule>
  </conditionalFormatting>
  <conditionalFormatting sqref="W136">
    <cfRule type="cellIs" dxfId="27" priority="182" operator="lessThanOrEqual">
      <formula>0.1</formula>
    </cfRule>
  </conditionalFormatting>
  <conditionalFormatting sqref="W137:W142">
    <cfRule type="cellIs" dxfId="26" priority="96" stopIfTrue="1" operator="between">
      <formula>-0.01</formula>
      <formula>0.01</formula>
    </cfRule>
    <cfRule type="cellIs" dxfId="25" priority="95" stopIfTrue="1" operator="between">
      <formula>-0.0001</formula>
      <formula>0.0001</formula>
    </cfRule>
    <cfRule type="cellIs" dxfId="24" priority="94" operator="between">
      <formula>0.01%</formula>
      <formula>-0.0001</formula>
    </cfRule>
    <cfRule type="cellIs" dxfId="23" priority="97" stopIfTrue="1" operator="notBetween">
      <formula>-0.001</formula>
      <formula>0.001</formula>
    </cfRule>
  </conditionalFormatting>
  <conditionalFormatting sqref="W143">
    <cfRule type="cellIs" dxfId="22" priority="161" operator="lessThanOrEqual">
      <formula>0.1</formula>
    </cfRule>
  </conditionalFormatting>
  <conditionalFormatting sqref="W144">
    <cfRule type="cellIs" dxfId="21" priority="157" stopIfTrue="1" operator="between">
      <formula>-0.0001</formula>
      <formula>0.0001</formula>
    </cfRule>
    <cfRule type="cellIs" dxfId="20" priority="158" stopIfTrue="1" operator="between">
      <formula>-0.01</formula>
      <formula>0.01</formula>
    </cfRule>
    <cfRule type="cellIs" dxfId="19" priority="159" stopIfTrue="1" operator="notBetween">
      <formula>-0.001</formula>
      <formula>0.001</formula>
    </cfRule>
    <cfRule type="cellIs" dxfId="18" priority="156" operator="between">
      <formula>0.01%</formula>
      <formula>-0.0001</formula>
    </cfRule>
  </conditionalFormatting>
  <conditionalFormatting sqref="W145:W146">
    <cfRule type="cellIs" dxfId="17" priority="21" stopIfTrue="1" operator="between">
      <formula>-0.0001</formula>
      <formula>0.0001</formula>
    </cfRule>
    <cfRule type="cellIs" dxfId="16" priority="17" stopIfTrue="1" operator="notBetween">
      <formula>-0.001</formula>
      <formula>0.001</formula>
    </cfRule>
    <cfRule type="cellIs" dxfId="15" priority="22" stopIfTrue="1" operator="between">
      <formula>-0.01</formula>
      <formula>0.01</formula>
    </cfRule>
  </conditionalFormatting>
  <conditionalFormatting sqref="W147">
    <cfRule type="cellIs" dxfId="14" priority="152" operator="lessThanOrEqual">
      <formula>0.1</formula>
    </cfRule>
  </conditionalFormatting>
  <conditionalFormatting sqref="W148:W149">
    <cfRule type="cellIs" dxfId="13" priority="4" stopIfTrue="1" operator="between">
      <formula>-0.0001</formula>
      <formula>0.0001</formula>
    </cfRule>
    <cfRule type="cellIs" dxfId="12" priority="6" stopIfTrue="1" operator="notBetween">
      <formula>-0.001</formula>
      <formula>0.001</formula>
    </cfRule>
    <cfRule type="cellIs" dxfId="11" priority="5" stopIfTrue="1" operator="between">
      <formula>-0.01</formula>
      <formula>0.01</formula>
    </cfRule>
    <cfRule type="cellIs" dxfId="10" priority="3" operator="between">
      <formula>0.01%</formula>
      <formula>-0.0001</formula>
    </cfRule>
  </conditionalFormatting>
  <conditionalFormatting sqref="W150">
    <cfRule type="cellIs" dxfId="9" priority="126" operator="lessThanOrEqual">
      <formula>0.1</formula>
    </cfRule>
  </conditionalFormatting>
  <conditionalFormatting sqref="W151:W154 W156:W65553">
    <cfRule type="cellIs" dxfId="8" priority="130" stopIfTrue="1" operator="between">
      <formula>-0.0001</formula>
      <formula>0.0001</formula>
    </cfRule>
    <cfRule type="cellIs" dxfId="7" priority="131" stopIfTrue="1" operator="between">
      <formula>-0.01</formula>
      <formula>0.01</formula>
    </cfRule>
  </conditionalFormatting>
  <conditionalFormatting sqref="W151:W154">
    <cfRule type="cellIs" dxfId="6" priority="125" stopIfTrue="1" operator="notBetween">
      <formula>-0.001</formula>
      <formula>0.001</formula>
    </cfRule>
  </conditionalFormatting>
  <conditionalFormatting sqref="W155">
    <cfRule type="cellIs" dxfId="5" priority="52" operator="lessThanOrEqual">
      <formula>0.1</formula>
    </cfRule>
  </conditionalFormatting>
  <conditionalFormatting sqref="W156:W157">
    <cfRule type="cellIs" dxfId="4" priority="48" stopIfTrue="1" operator="notBetween">
      <formula>-0.001</formula>
      <formula>0.001</formula>
    </cfRule>
  </conditionalFormatting>
  <conditionalFormatting sqref="W145:X146">
    <cfRule type="cellIs" dxfId="3" priority="16" stopIfTrue="1" operator="equal">
      <formula>0</formula>
    </cfRule>
  </conditionalFormatting>
  <conditionalFormatting sqref="W151:X154">
    <cfRule type="cellIs" dxfId="2" priority="124" stopIfTrue="1" operator="equal">
      <formula>0</formula>
    </cfRule>
  </conditionalFormatting>
  <conditionalFormatting sqref="W156:X157">
    <cfRule type="cellIs" dxfId="1" priority="47" stopIfTrue="1" operator="equal">
      <formula>0</formula>
    </cfRule>
  </conditionalFormatting>
  <conditionalFormatting sqref="Y21:HX34 A32:D32 Y47:HX52">
    <cfRule type="cellIs" dxfId="0" priority="305" stopIfTrue="1" operator="equal">
      <formula>0</formula>
    </cfRule>
  </conditionalFormatting>
  <pageMargins left="0" right="0" top="0.98425196850393704" bottom="0.98425196850393704" header="0" footer="0"/>
  <pageSetup paperSize="9" scale="49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 REG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Aicardi</dc:creator>
  <cp:lastModifiedBy>Nicolas Gentile</cp:lastModifiedBy>
  <dcterms:created xsi:type="dcterms:W3CDTF">2026-02-04T13:22:13Z</dcterms:created>
  <dcterms:modified xsi:type="dcterms:W3CDTF">2026-02-09T17:30:38Z</dcterms:modified>
</cp:coreProperties>
</file>