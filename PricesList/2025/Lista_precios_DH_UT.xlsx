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10" documentId="8_{6D425187-152C-4A7F-A284-7A7E043130BD}" xr6:coauthVersionLast="47" xr6:coauthVersionMax="47" xr10:uidLastSave="{BDC32E70-DECC-42F0-810C-6FF6BC6F2E1D}"/>
  <bookViews>
    <workbookView xWindow="-120" yWindow="-120" windowWidth="20730" windowHeight="11040" xr2:uid="{2C6B79E1-DD19-468E-9321-61CD2E6844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/>
  <c r="E19" i="1"/>
  <c r="H19" i="1" s="1"/>
</calcChain>
</file>

<file path=xl/sharedStrings.xml><?xml version="1.0" encoding="utf-8"?>
<sst xmlns="http://schemas.openxmlformats.org/spreadsheetml/2006/main" count="26" uniqueCount="26">
  <si>
    <t>PATE DE FOIE 24X90G SAFRA</t>
  </si>
  <si>
    <t>PICADILLO DE CARNE 24X90G SAFRA</t>
  </si>
  <si>
    <t>PATE DE FOIE 24X90G LA BLANCA</t>
  </si>
  <si>
    <t>PICADILLO DE CARNE 24X90G LA BLANCA</t>
  </si>
  <si>
    <t xml:space="preserve">SURTIDO GOURMET 24X85G SWIFT GOURMET </t>
  </si>
  <si>
    <t>PATE HONGOS 24X85G</t>
  </si>
  <si>
    <t xml:space="preserve">PATE JAMON AHUMADO 24X85G </t>
  </si>
  <si>
    <t>PATE DE SALMON 24X85G SWIFT GOURMET</t>
  </si>
  <si>
    <t>PATE DE FOIE C/PIMIENTA VERDE 24X85G SWIFT GOURMET</t>
  </si>
  <si>
    <t>PATE DE FOIE TIPO PROVENZAL 24X85G SWIFT GOURMET</t>
  </si>
  <si>
    <t>PATE DE FOIE DE POLLO 24X85G SWIFT</t>
  </si>
  <si>
    <t>JAMON DEL DIABLO 24X88G SWIFT</t>
  </si>
  <si>
    <t>PATE DE FOIE A LA CREMA 24X88G SWIFT</t>
  </si>
  <si>
    <t>PICADILLO DE CARNE PICANTE 24X90G SWIFT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</si>
  <si>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</si>
  <si>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</si>
  <si>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</si>
  <si>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</si>
  <si>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P. Venta</t>
  </si>
  <si>
    <t>MarkUp</t>
  </si>
  <si>
    <t>IVA</t>
  </si>
  <si>
    <t>Precio Unit</t>
  </si>
  <si>
    <t xml:space="preserve">Precio </t>
  </si>
  <si>
    <t>Cantidad</t>
  </si>
  <si>
    <t>Descrición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</si>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</sst>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_ ;[Red]\-#,##0\ "/>
    <numFmt numFmtId="165" formatCode="#,##0.00_ ;[Red]\-#,##0.0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9" fontId="1" fillId="0" borderId="1" xfId="3" applyFill="1" applyBorder="1" applyAlignment="1">
      <alignment horizontal="center"/>
    </xf>
    <xf numFmtId="9" fontId="1" fillId="0" borderId="1" xfId="3" applyBorder="1" applyAlignment="1">
      <alignment horizontal="center"/>
    </xf>
    <xf numFmtId="0" fontId="4" fillId="0" borderId="1" xfId="5" applyNumberFormat="1" applyFont="1" applyFill="1" applyBorder="1" applyAlignment="1" applyProtection="1">
      <protection locked="0"/>
    </xf>
    <xf numFmtId="1" fontId="1" fillId="0" borderId="1" xfId="1" applyNumberFormat="1" applyFill="1" applyBorder="1" applyAlignment="1" applyProtection="1">
      <protection locked="0"/>
    </xf>
    <xf numFmtId="9" fontId="1" fillId="0" borderId="2" xfId="3" applyFill="1" applyBorder="1" applyAlignment="1">
      <alignment horizontal="center"/>
    </xf>
    <xf numFmtId="9" fontId="1" fillId="0" borderId="2" xfId="3" applyBorder="1" applyAlignment="1">
      <alignment horizontal="center"/>
    </xf>
    <xf numFmtId="0" fontId="4" fillId="0" borderId="2" xfId="5" applyNumberFormat="1" applyFont="1" applyFill="1" applyBorder="1" applyAlignment="1" applyProtection="1">
      <protection locked="0"/>
    </xf>
    <xf numFmtId="1" fontId="1" fillId="0" borderId="2" xfId="1" applyNumberFormat="1" applyFill="1" applyBorder="1" applyAlignment="1" applyProtection="1">
      <protection locked="0"/>
    </xf>
    <xf numFmtId="9" fontId="5" fillId="0" borderId="0" xfId="3" applyFont="1" applyAlignment="1">
      <alignment horizontal="center"/>
    </xf>
    <xf numFmtId="1" fontId="1" fillId="0" borderId="3" xfId="1" applyNumberFormat="1" applyFill="1" applyBorder="1" applyAlignment="1" applyProtection="1">
      <protection locked="0"/>
    </xf>
    <xf numFmtId="0" fontId="4" fillId="0" borderId="3" xfId="5" applyNumberFormat="1" applyFont="1" applyFill="1" applyBorder="1" applyAlignment="1" applyProtection="1">
      <protection locked="0"/>
    </xf>
    <xf numFmtId="1" fontId="3" fillId="0" borderId="2" xfId="4" applyNumberFormat="1" applyFont="1" applyBorder="1" applyAlignment="1">
      <alignment horizontal="center"/>
    </xf>
    <xf numFmtId="1" fontId="3" fillId="0" borderId="3" xfId="4" applyNumberFormat="1" applyFont="1" applyBorder="1" applyAlignment="1">
      <alignment horizontal="center"/>
    </xf>
    <xf numFmtId="1" fontId="3" fillId="0" borderId="1" xfId="4" applyNumberFormat="1" applyFont="1" applyBorder="1" applyAlignment="1">
      <alignment horizontal="center"/>
    </xf>
    <xf numFmtId="165" fontId="3" fillId="0" borderId="2" xfId="4" applyNumberFormat="1" applyFont="1" applyBorder="1" applyAlignment="1">
      <alignment horizontal="center"/>
    </xf>
    <xf numFmtId="165" fontId="3" fillId="0" borderId="3" xfId="4" applyNumberFormat="1" applyFont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4" fontId="3" fillId="0" borderId="2" xfId="4" applyNumberFormat="1" applyFont="1" applyBorder="1" applyAlignment="1">
      <alignment horizontal="center"/>
    </xf>
    <xf numFmtId="164" fontId="3" fillId="0" borderId="3" xfId="4" applyNumberFormat="1" applyFont="1" applyBorder="1" applyAlignment="1">
      <alignment horizontal="center"/>
    </xf>
    <xf numFmtId="164" fontId="3" fillId="0" borderId="1" xfId="4" applyNumberFormat="1" applyFont="1" applyBorder="1" applyAlignment="1">
      <alignment horizontal="center"/>
    </xf>
    <xf numFmtId="9" fontId="1" fillId="0" borderId="3" xfId="3" applyBorder="1" applyAlignment="1">
      <alignment horizontal="center"/>
    </xf>
    <xf numFmtId="9" fontId="1" fillId="0" borderId="3" xfId="3" applyFill="1" applyBorder="1" applyAlignment="1">
      <alignment horizontal="center"/>
    </xf>
    <xf numFmtId="44" fontId="0" fillId="0" borderId="2" xfId="2" applyFont="1" applyFill="1" applyBorder="1"/>
    <xf numFmtId="44" fontId="0" fillId="0" borderId="3" xfId="2" applyFont="1" applyFill="1" applyBorder="1"/>
    <xf numFmtId="44" fontId="0" fillId="0" borderId="1" xfId="2" applyFont="1" applyFill="1" applyBorder="1"/>
  </cellXfs>
  <cellStyles count="6">
    <cellStyle name="Millares" xfId="1" builtinId="3"/>
    <cellStyle name="Moneda" xfId="2" builtinId="4"/>
    <cellStyle name="Normal" xfId="0" builtinId="0"/>
    <cellStyle name="Normal_ARQUITECTURA DE PRECIOS 1 0" xfId="4" xr:uid="{69F4DF57-6DE4-428C-83E8-0311A7EE46DB}"/>
    <cellStyle name="Normal_Grilla ofertas confirmadas SETIEMBRE" xfId="5" xr:uid="{4627E77D-60CE-410F-87A5-4D26ECBEA603}"/>
    <cellStyle name="Porcentaje" xfId="3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,##0_ ;[Red]\-#,##0\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#,##0.00_ ;[Red]\-#,##0.00\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43260-DA52-4482-BA83-157DDBB1B4CE}" name="Tabla1" displayName="Tabla1" ref="A1:H19" totalsRowShown="0" headerRowDxfId="9" tableBorderDxfId="8" headerRowCellStyle="Porcentaje">
  <autoFilter ref="A1:H19" xr:uid="{3EF24C65-8C4C-4D1B-9C05-6EA918876316}"/>
  <tableColumns count="8">
    <tableColumn id="1" xr3:uid="{8F85E1CD-5BD7-4D2C-9757-2E0EBD58B4F9}" name="Código" dataDxfId="7" dataCellStyle="Millares"/>
    <tableColumn id="2" xr3:uid="{BD68F5BF-6C00-4408-BCB4-4AB541D8039F}" name="Descrición" dataDxfId="6" dataCellStyle="Normal_Grilla ofertas confirmadas SETIEMBRE"/>
    <tableColumn id="3" xr3:uid="{275433DC-6F9A-4ACE-AA9C-46C9D69D4D53}" name="Cantidad" dataDxfId="5" dataCellStyle="Normal_ARQUITECTURA DE PRECIOS 1 0"/>
    <tableColumn id="4" xr3:uid="{5CF20691-1E27-4D64-AA76-C3E3A004C9BE}" name="Precio " dataDxfId="4" dataCellStyle="Normal_ARQUITECTURA DE PRECIOS 1 0"/>
    <tableColumn id="5" xr3:uid="{04C2C0F0-EA7F-4D5A-B996-504870599CD4}" name="Precio Unit" dataDxfId="3" dataCellStyle="Normal_ARQUITECTURA DE PRECIOS 1 0">
      <calculatedColumnFormula>D2/C2</calculatedColumnFormula>
    </tableColumn>
    <tableColumn id="6" xr3:uid="{8F29765E-5D84-439F-BB2C-1F3530C7A8C3}" name="IVA" dataDxfId="2" dataCellStyle="Porcentaje"/>
    <tableColumn id="7" xr3:uid="{D671EA27-0D26-4A4C-8EFF-1D17509FE63C}" name="MarkUp" dataDxfId="1" dataCellStyle="Porcentaje"/>
    <tableColumn id="8" xr3:uid="{B4E4509A-9969-4381-B0E8-6CD0344B6207}" name="P. Venta" dataDxfId="0" dataCellStyle="Moneda">
      <calculatedColumnFormula>(E2+(E2*F2))*(1+G2)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F27D-DD22-42D5-B334-9BB69E00D466}">
  <dimension ref="A1:H19"/>
  <sheetViews>
    <sheetView tabSelected="1" workbookViewId="0">
      <selection activeCell="D16" sqref="D16"/>
    </sheetView>
  </sheetViews>
  <sheetFormatPr baseColWidth="10" defaultRowHeight="15" x14ac:dyDescent="0.25"/>
  <cols>
    <col min="1" max="1" width="14.28515625" customWidth="1"/>
    <col min="2" max="2" width="46" bestFit="1" customWidth="1"/>
  </cols>
  <sheetData>
    <row r="1" spans="1:8" x14ac:dyDescent="0.25">
      <c r="A1" s="9" t="s">
        <v>25</v>
      </c>
      <c r="B1" s="9" t="s">
        <v>24</v>
      </c>
      <c r="C1" s="9" t="s">
        <v>23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</row>
    <row r="2" spans="1:8" x14ac:dyDescent="0.25">
      <c r="A2" s="10">
        <v>100021000</v>
      </c>
      <c r="B2" s="11" t="s">
        <v>17</v>
      </c>
      <c r="C2" s="13">
        <v>24</v>
      </c>
      <c r="D2" s="16">
        <v>12098</v>
      </c>
      <c r="E2" s="19">
        <f t="shared" ref="E2:E19" si="0">D2/C2</f>
        <v>504.08333333333331</v>
      </c>
      <c r="F2" s="21">
        <v>0.21</v>
      </c>
      <c r="G2" s="22">
        <v>0.18</v>
      </c>
      <c r="H2" s="24">
        <f t="shared" ref="H2:H19" si="1">(E2+(E2*F2))*(1+G2)</f>
        <v>719.73018333333334</v>
      </c>
    </row>
    <row r="3" spans="1:8" x14ac:dyDescent="0.25">
      <c r="A3" s="8">
        <v>100021001</v>
      </c>
      <c r="B3" s="7" t="s">
        <v>16</v>
      </c>
      <c r="C3" s="12">
        <v>24</v>
      </c>
      <c r="D3" s="15">
        <v>12098</v>
      </c>
      <c r="E3" s="18">
        <f t="shared" si="0"/>
        <v>504.08333333333331</v>
      </c>
      <c r="F3" s="6">
        <v>0.21</v>
      </c>
      <c r="G3" s="5">
        <v>0.18</v>
      </c>
      <c r="H3" s="23">
        <f t="shared" si="1"/>
        <v>719.73018333333334</v>
      </c>
    </row>
    <row r="4" spans="1:8" x14ac:dyDescent="0.25">
      <c r="A4" s="8">
        <v>100522277</v>
      </c>
      <c r="B4" s="7" t="s">
        <v>15</v>
      </c>
      <c r="C4" s="12">
        <v>24</v>
      </c>
      <c r="D4" s="15">
        <v>12345</v>
      </c>
      <c r="E4" s="18">
        <f t="shared" si="0"/>
        <v>514.375</v>
      </c>
      <c r="F4" s="6">
        <v>0.21</v>
      </c>
      <c r="G4" s="5">
        <v>0.18</v>
      </c>
      <c r="H4" s="23">
        <f t="shared" si="1"/>
        <v>734.42462499999988</v>
      </c>
    </row>
    <row r="5" spans="1:8" x14ac:dyDescent="0.25">
      <c r="A5" s="8">
        <v>100522333</v>
      </c>
      <c r="B5" s="7" t="s">
        <v>14</v>
      </c>
      <c r="C5" s="12">
        <v>24</v>
      </c>
      <c r="D5" s="15">
        <v>12345</v>
      </c>
      <c r="E5" s="18">
        <f t="shared" si="0"/>
        <v>514.375</v>
      </c>
      <c r="F5" s="6">
        <v>0.21</v>
      </c>
      <c r="G5" s="5">
        <v>0.18</v>
      </c>
      <c r="H5" s="23">
        <f t="shared" si="1"/>
        <v>734.42462499999988</v>
      </c>
    </row>
    <row r="6" spans="1:8" x14ac:dyDescent="0.25">
      <c r="A6" s="8">
        <v>100021045</v>
      </c>
      <c r="B6" s="7" t="s">
        <v>13</v>
      </c>
      <c r="C6" s="12">
        <v>24</v>
      </c>
      <c r="D6" s="15">
        <v>12345</v>
      </c>
      <c r="E6" s="18">
        <f t="shared" si="0"/>
        <v>514.375</v>
      </c>
      <c r="F6" s="6">
        <v>0.21</v>
      </c>
      <c r="G6" s="5">
        <v>0.18</v>
      </c>
      <c r="H6" s="23">
        <f t="shared" si="1"/>
        <v>734.42462499999988</v>
      </c>
    </row>
    <row r="7" spans="1:8" x14ac:dyDescent="0.25">
      <c r="A7" s="8">
        <v>100021004</v>
      </c>
      <c r="B7" s="7" t="s">
        <v>12</v>
      </c>
      <c r="C7" s="12">
        <v>24</v>
      </c>
      <c r="D7" s="15">
        <v>12345</v>
      </c>
      <c r="E7" s="18">
        <f t="shared" si="0"/>
        <v>514.375</v>
      </c>
      <c r="F7" s="6">
        <v>0.21</v>
      </c>
      <c r="G7" s="5">
        <v>0.18</v>
      </c>
      <c r="H7" s="23">
        <f t="shared" si="1"/>
        <v>734.42462499999988</v>
      </c>
    </row>
    <row r="8" spans="1:8" x14ac:dyDescent="0.25">
      <c r="A8" s="8">
        <v>100021006</v>
      </c>
      <c r="B8" s="7" t="s">
        <v>11</v>
      </c>
      <c r="C8" s="12">
        <v>24</v>
      </c>
      <c r="D8" s="15">
        <v>12345</v>
      </c>
      <c r="E8" s="18">
        <f t="shared" si="0"/>
        <v>514.375</v>
      </c>
      <c r="F8" s="6">
        <v>0.21</v>
      </c>
      <c r="G8" s="5">
        <v>0.18</v>
      </c>
      <c r="H8" s="23">
        <f t="shared" si="1"/>
        <v>734.42462499999988</v>
      </c>
    </row>
    <row r="9" spans="1:8" x14ac:dyDescent="0.25">
      <c r="A9" s="8">
        <v>100021007</v>
      </c>
      <c r="B9" s="7" t="s">
        <v>10</v>
      </c>
      <c r="C9" s="12">
        <v>24</v>
      </c>
      <c r="D9" s="15">
        <v>14092.42</v>
      </c>
      <c r="E9" s="18">
        <f t="shared" si="0"/>
        <v>587.18416666666667</v>
      </c>
      <c r="F9" s="6">
        <v>0.21</v>
      </c>
      <c r="G9" s="5">
        <v>0.18</v>
      </c>
      <c r="H9" s="23">
        <f t="shared" si="1"/>
        <v>838.38155316666666</v>
      </c>
    </row>
    <row r="10" spans="1:8" x14ac:dyDescent="0.25">
      <c r="A10" s="8">
        <v>100021013</v>
      </c>
      <c r="B10" s="7" t="s">
        <v>9</v>
      </c>
      <c r="C10" s="12">
        <v>24</v>
      </c>
      <c r="D10" s="15">
        <v>14092.42</v>
      </c>
      <c r="E10" s="18">
        <f t="shared" si="0"/>
        <v>587.18416666666667</v>
      </c>
      <c r="F10" s="6">
        <v>0.21</v>
      </c>
      <c r="G10" s="5">
        <v>0.18</v>
      </c>
      <c r="H10" s="23">
        <f t="shared" si="1"/>
        <v>838.38155316666666</v>
      </c>
    </row>
    <row r="11" spans="1:8" x14ac:dyDescent="0.25">
      <c r="A11" s="8">
        <v>100021014</v>
      </c>
      <c r="B11" s="7" t="s">
        <v>8</v>
      </c>
      <c r="C11" s="12">
        <v>24</v>
      </c>
      <c r="D11" s="15">
        <v>14092.42</v>
      </c>
      <c r="E11" s="18">
        <f t="shared" si="0"/>
        <v>587.18416666666667</v>
      </c>
      <c r="F11" s="6">
        <v>0.21</v>
      </c>
      <c r="G11" s="5">
        <v>0.18</v>
      </c>
      <c r="H11" s="23">
        <f t="shared" si="1"/>
        <v>838.38155316666666</v>
      </c>
    </row>
    <row r="12" spans="1:8" x14ac:dyDescent="0.25">
      <c r="A12" s="8">
        <v>100021015</v>
      </c>
      <c r="B12" s="7" t="s">
        <v>7</v>
      </c>
      <c r="C12" s="12">
        <v>24</v>
      </c>
      <c r="D12" s="15">
        <v>14092.42</v>
      </c>
      <c r="E12" s="18">
        <f t="shared" si="0"/>
        <v>587.18416666666667</v>
      </c>
      <c r="F12" s="6">
        <v>0.21</v>
      </c>
      <c r="G12" s="5">
        <v>0.18</v>
      </c>
      <c r="H12" s="23">
        <f t="shared" si="1"/>
        <v>838.38155316666666</v>
      </c>
    </row>
    <row r="13" spans="1:8" x14ac:dyDescent="0.25">
      <c r="A13" s="8">
        <v>100021054</v>
      </c>
      <c r="B13" s="7" t="s">
        <v>6</v>
      </c>
      <c r="C13" s="12">
        <v>24</v>
      </c>
      <c r="D13" s="15">
        <v>14092.42</v>
      </c>
      <c r="E13" s="18">
        <f t="shared" si="0"/>
        <v>587.18416666666667</v>
      </c>
      <c r="F13" s="6">
        <v>0.21</v>
      </c>
      <c r="G13" s="5">
        <v>0.18</v>
      </c>
      <c r="H13" s="23">
        <f t="shared" si="1"/>
        <v>838.38155316666666</v>
      </c>
    </row>
    <row r="14" spans="1:8" x14ac:dyDescent="0.25">
      <c r="A14" s="8">
        <v>100021055</v>
      </c>
      <c r="B14" s="7" t="s">
        <v>5</v>
      </c>
      <c r="C14" s="12">
        <v>24</v>
      </c>
      <c r="D14" s="15">
        <v>14092.42</v>
      </c>
      <c r="E14" s="18">
        <f t="shared" si="0"/>
        <v>587.18416666666667</v>
      </c>
      <c r="F14" s="6">
        <v>0.21</v>
      </c>
      <c r="G14" s="5">
        <v>0.18</v>
      </c>
      <c r="H14" s="23">
        <f t="shared" si="1"/>
        <v>838.38155316666666</v>
      </c>
    </row>
    <row r="15" spans="1:8" x14ac:dyDescent="0.25">
      <c r="A15" s="8">
        <v>100517846</v>
      </c>
      <c r="B15" s="7" t="s">
        <v>4</v>
      </c>
      <c r="C15" s="12">
        <v>24</v>
      </c>
      <c r="D15" s="15">
        <v>14092.42</v>
      </c>
      <c r="E15" s="18">
        <f t="shared" si="0"/>
        <v>587.18416666666667</v>
      </c>
      <c r="F15" s="6">
        <v>0.21</v>
      </c>
      <c r="G15" s="5">
        <v>0.18</v>
      </c>
      <c r="H15" s="23">
        <f t="shared" si="1"/>
        <v>838.38155316666666</v>
      </c>
    </row>
    <row r="16" spans="1:8" x14ac:dyDescent="0.25">
      <c r="A16" s="8">
        <v>100021008</v>
      </c>
      <c r="B16" s="7" t="s">
        <v>3</v>
      </c>
      <c r="C16" s="12">
        <v>24</v>
      </c>
      <c r="D16" s="15">
        <v>10344.1</v>
      </c>
      <c r="E16" s="18">
        <f t="shared" si="0"/>
        <v>431.00416666666666</v>
      </c>
      <c r="F16" s="6">
        <v>0.21</v>
      </c>
      <c r="G16" s="5">
        <v>0.18</v>
      </c>
      <c r="H16" s="23">
        <f t="shared" si="1"/>
        <v>615.38774916666659</v>
      </c>
    </row>
    <row r="17" spans="1:8" x14ac:dyDescent="0.25">
      <c r="A17" s="8">
        <v>100021009</v>
      </c>
      <c r="B17" s="7" t="s">
        <v>2</v>
      </c>
      <c r="C17" s="12">
        <v>24</v>
      </c>
      <c r="D17" s="15">
        <v>10344.1</v>
      </c>
      <c r="E17" s="18">
        <f t="shared" si="0"/>
        <v>431.00416666666666</v>
      </c>
      <c r="F17" s="6">
        <v>0.21</v>
      </c>
      <c r="G17" s="5">
        <v>0.18</v>
      </c>
      <c r="H17" s="23">
        <f t="shared" si="1"/>
        <v>615.38774916666659</v>
      </c>
    </row>
    <row r="18" spans="1:8" x14ac:dyDescent="0.25">
      <c r="A18" s="8">
        <v>100021010</v>
      </c>
      <c r="B18" s="7" t="s">
        <v>1</v>
      </c>
      <c r="C18" s="12">
        <v>24</v>
      </c>
      <c r="D18" s="15">
        <v>10344.1</v>
      </c>
      <c r="E18" s="18">
        <f t="shared" si="0"/>
        <v>431.00416666666666</v>
      </c>
      <c r="F18" s="6">
        <v>0.21</v>
      </c>
      <c r="G18" s="5">
        <v>0.18</v>
      </c>
      <c r="H18" s="23">
        <f t="shared" si="1"/>
        <v>615.38774916666659</v>
      </c>
    </row>
    <row r="19" spans="1:8" x14ac:dyDescent="0.25">
      <c r="A19" s="4">
        <v>100021011</v>
      </c>
      <c r="B19" s="3" t="s">
        <v>0</v>
      </c>
      <c r="C19" s="14">
        <v>24</v>
      </c>
      <c r="D19" s="17">
        <v>10344.1</v>
      </c>
      <c r="E19" s="20">
        <f t="shared" si="0"/>
        <v>431.00416666666666</v>
      </c>
      <c r="F19" s="2">
        <v>0.21</v>
      </c>
      <c r="G19" s="1">
        <v>0.18</v>
      </c>
      <c r="H19" s="25">
        <f t="shared" si="1"/>
        <v>615.38774916666659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2025-12-22T15:03:42Z</dcterms:created>
  <dcterms:modified xsi:type="dcterms:W3CDTF">2025-12-23T15:33:18Z</dcterms:modified>
</cp:coreProperties>
</file>