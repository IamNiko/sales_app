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3" documentId="8_{8C43C8A3-7032-4565-8E27-F586B1417685}" xr6:coauthVersionLast="47" xr6:coauthVersionMax="47" xr10:uidLastSave="{1A271390-A6FA-4565-883C-B59549EA1C8C}"/>
  <bookViews>
    <workbookView xWindow="-120" yWindow="-120" windowWidth="20730" windowHeight="11040" xr2:uid="{00000000-000D-0000-FFFF-FFFF00000000}"/>
  </bookViews>
  <sheets>
    <sheet name="Sub Litoral" sheetId="3" r:id="rId1"/>
    <sheet name="Sub NEA" sheetId="4" r:id="rId2"/>
    <sheet name="Sub NOA" sheetId="6" r:id="rId3"/>
    <sheet name="Hoja1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3" l="1"/>
  <c r="H106" i="3"/>
  <c r="H106" i="4"/>
  <c r="H105" i="4"/>
  <c r="H107" i="6"/>
  <c r="H106" i="6"/>
  <c r="I105" i="4" l="1"/>
  <c r="J105" i="4" s="1"/>
  <c r="J106" i="4"/>
  <c r="I106" i="4"/>
  <c r="J106" i="3"/>
  <c r="I106" i="3"/>
  <c r="J107" i="3"/>
  <c r="I107" i="3"/>
  <c r="I106" i="6"/>
  <c r="J106" i="6" s="1"/>
  <c r="K106" i="6" s="1"/>
  <c r="J107" i="6"/>
  <c r="K107" i="6" s="1"/>
  <c r="I107" i="6"/>
  <c r="H94" i="6"/>
  <c r="I94" i="6" s="1"/>
  <c r="H93" i="6"/>
  <c r="I93" i="6" s="1"/>
  <c r="J93" i="6" s="1"/>
  <c r="K93" i="6" s="1"/>
  <c r="H92" i="6"/>
  <c r="I92" i="6" s="1"/>
  <c r="H90" i="6"/>
  <c r="I90" i="6" s="1"/>
  <c r="H86" i="6"/>
  <c r="H84" i="6"/>
  <c r="I84" i="6" s="1"/>
  <c r="J84" i="6" s="1"/>
  <c r="K84" i="6" s="1"/>
  <c r="H82" i="6"/>
  <c r="H80" i="6"/>
  <c r="I80" i="6" s="1"/>
  <c r="H78" i="6"/>
  <c r="H76" i="6"/>
  <c r="I76" i="6" s="1"/>
  <c r="J76" i="6" s="1"/>
  <c r="K76" i="6" s="1"/>
  <c r="H74" i="6"/>
  <c r="I74" i="6" s="1"/>
  <c r="H71" i="6"/>
  <c r="I71" i="6" s="1"/>
  <c r="J71" i="6" s="1"/>
  <c r="K71" i="6" s="1"/>
  <c r="H69" i="6"/>
  <c r="I69" i="6" s="1"/>
  <c r="J69" i="6" s="1"/>
  <c r="H68" i="6"/>
  <c r="H67" i="6"/>
  <c r="I67" i="6" s="1"/>
  <c r="H66" i="6"/>
  <c r="E64" i="6"/>
  <c r="E63" i="6"/>
  <c r="H61" i="6"/>
  <c r="I61" i="6" s="1"/>
  <c r="J61" i="6" s="1"/>
  <c r="K61" i="6" s="1"/>
  <c r="H59" i="6"/>
  <c r="I59" i="6" s="1"/>
  <c r="H57" i="6"/>
  <c r="H55" i="6"/>
  <c r="I55" i="6" s="1"/>
  <c r="H53" i="6"/>
  <c r="H51" i="6"/>
  <c r="I51" i="6" s="1"/>
  <c r="H49" i="6"/>
  <c r="I49" i="6" s="1"/>
  <c r="H47" i="6"/>
  <c r="I47" i="6" s="1"/>
  <c r="H45" i="6"/>
  <c r="I45" i="6" s="1"/>
  <c r="J45" i="6" s="1"/>
  <c r="H44" i="6"/>
  <c r="H39" i="6"/>
  <c r="H38" i="6"/>
  <c r="H37" i="6"/>
  <c r="H35" i="6"/>
  <c r="H34" i="6"/>
  <c r="H33" i="6"/>
  <c r="I33" i="6" s="1"/>
  <c r="J33" i="6" s="1"/>
  <c r="H30" i="6"/>
  <c r="H28" i="6"/>
  <c r="I28" i="6" s="1"/>
  <c r="E28" i="6"/>
  <c r="H27" i="6"/>
  <c r="H24" i="6"/>
  <c r="E24" i="6"/>
  <c r="H23" i="6"/>
  <c r="H21" i="6"/>
  <c r="I21" i="6" s="1"/>
  <c r="H20" i="6"/>
  <c r="I20" i="6" s="1"/>
  <c r="H19" i="6"/>
  <c r="I19" i="6" s="1"/>
  <c r="H16" i="6"/>
  <c r="I16" i="6" s="1"/>
  <c r="J16" i="6" s="1"/>
  <c r="K16" i="6" s="1"/>
  <c r="H13" i="6"/>
  <c r="I13" i="6" s="1"/>
  <c r="H11" i="6"/>
  <c r="I11" i="6" s="1"/>
  <c r="H9" i="6"/>
  <c r="H7" i="6"/>
  <c r="I7" i="6" s="1"/>
  <c r="H5" i="6"/>
  <c r="I5" i="6" s="1"/>
  <c r="H101" i="4"/>
  <c r="I101" i="4" s="1"/>
  <c r="J101" i="4" s="1"/>
  <c r="H84" i="4"/>
  <c r="H83" i="4"/>
  <c r="I83" i="4" s="1"/>
  <c r="H82" i="4"/>
  <c r="I82" i="4" s="1"/>
  <c r="H81" i="4"/>
  <c r="H77" i="4"/>
  <c r="H76" i="4"/>
  <c r="H75" i="4"/>
  <c r="I75" i="4" s="1"/>
  <c r="H74" i="4"/>
  <c r="E63" i="4"/>
  <c r="H62" i="4"/>
  <c r="I62" i="4" s="1"/>
  <c r="E62" i="4"/>
  <c r="H61" i="4"/>
  <c r="H60" i="4"/>
  <c r="H59" i="4"/>
  <c r="H58" i="4"/>
  <c r="H57" i="4"/>
  <c r="H56" i="4"/>
  <c r="H55" i="4"/>
  <c r="H51" i="4"/>
  <c r="H45" i="4"/>
  <c r="I45" i="4" s="1"/>
  <c r="H43" i="4"/>
  <c r="H39" i="4"/>
  <c r="H38" i="4"/>
  <c r="I38" i="4" s="1"/>
  <c r="H36" i="4"/>
  <c r="H35" i="4"/>
  <c r="H34" i="4"/>
  <c r="H29" i="4"/>
  <c r="E28" i="4"/>
  <c r="H25" i="4"/>
  <c r="H24" i="4"/>
  <c r="I24" i="4" s="1"/>
  <c r="E24" i="4"/>
  <c r="H23" i="4"/>
  <c r="H22" i="4"/>
  <c r="I22" i="4" s="1"/>
  <c r="J22" i="4" s="1"/>
  <c r="H21" i="4"/>
  <c r="H20" i="4"/>
  <c r="H19" i="4"/>
  <c r="I19" i="4" s="1"/>
  <c r="H18" i="4"/>
  <c r="H17" i="4"/>
  <c r="H16" i="4"/>
  <c r="H15" i="4"/>
  <c r="H13" i="4"/>
  <c r="I13" i="4" s="1"/>
  <c r="H11" i="4"/>
  <c r="I11" i="4" s="1"/>
  <c r="J11" i="4" s="1"/>
  <c r="H9" i="4"/>
  <c r="I9" i="4" s="1"/>
  <c r="J9" i="4" s="1"/>
  <c r="H7" i="4"/>
  <c r="H5" i="4"/>
  <c r="I5" i="4" s="1"/>
  <c r="J5" i="4" s="1"/>
  <c r="H99" i="3"/>
  <c r="H93" i="3"/>
  <c r="I93" i="3" s="1"/>
  <c r="H91" i="3"/>
  <c r="I91" i="3" s="1"/>
  <c r="J91" i="3" s="1"/>
  <c r="H89" i="3"/>
  <c r="I89" i="3" s="1"/>
  <c r="H86" i="3"/>
  <c r="I86" i="3" s="1"/>
  <c r="J86" i="3" s="1"/>
  <c r="H85" i="3"/>
  <c r="H82" i="3"/>
  <c r="H81" i="3"/>
  <c r="I81" i="3" s="1"/>
  <c r="H80" i="3"/>
  <c r="H79" i="3"/>
  <c r="I79" i="3" s="1"/>
  <c r="H78" i="3"/>
  <c r="H75" i="3"/>
  <c r="H73" i="3"/>
  <c r="I73" i="3" s="1"/>
  <c r="H70" i="3"/>
  <c r="H69" i="3"/>
  <c r="I69" i="3" s="1"/>
  <c r="J69" i="3" s="1"/>
  <c r="K69" i="3" s="1"/>
  <c r="H68" i="3"/>
  <c r="H67" i="3"/>
  <c r="I67" i="3" s="1"/>
  <c r="J67" i="3" s="1"/>
  <c r="H64" i="3"/>
  <c r="E64" i="3"/>
  <c r="H63" i="3"/>
  <c r="E63" i="3"/>
  <c r="H62" i="3"/>
  <c r="H60" i="3"/>
  <c r="I60" i="3" s="1"/>
  <c r="J60" i="3" s="1"/>
  <c r="H59" i="3"/>
  <c r="I59" i="3" s="1"/>
  <c r="J59" i="3" s="1"/>
  <c r="H58" i="3"/>
  <c r="I58" i="3" s="1"/>
  <c r="J58" i="3" s="1"/>
  <c r="H57" i="3"/>
  <c r="H55" i="3"/>
  <c r="I55" i="3" s="1"/>
  <c r="H53" i="3"/>
  <c r="I53" i="3" s="1"/>
  <c r="H51" i="3"/>
  <c r="I51" i="3" s="1"/>
  <c r="H49" i="3"/>
  <c r="I49" i="3" s="1"/>
  <c r="H47" i="3"/>
  <c r="I47" i="3" s="1"/>
  <c r="H45" i="3"/>
  <c r="I45" i="3" s="1"/>
  <c r="H43" i="3"/>
  <c r="I43" i="3" s="1"/>
  <c r="H39" i="3"/>
  <c r="H38" i="3"/>
  <c r="I38" i="3" s="1"/>
  <c r="J38" i="3" s="1"/>
  <c r="H36" i="3"/>
  <c r="I36" i="3" s="1"/>
  <c r="J36" i="3" s="1"/>
  <c r="H29" i="3"/>
  <c r="E28" i="3"/>
  <c r="H27" i="3"/>
  <c r="H26" i="3"/>
  <c r="I26" i="3" s="1"/>
  <c r="J26" i="3" s="1"/>
  <c r="E24" i="3"/>
  <c r="H23" i="3"/>
  <c r="I23" i="3" s="1"/>
  <c r="H22" i="3"/>
  <c r="I22" i="3" s="1"/>
  <c r="J22" i="3" s="1"/>
  <c r="K22" i="3" s="1"/>
  <c r="H21" i="3"/>
  <c r="I21" i="3" s="1"/>
  <c r="H19" i="3"/>
  <c r="I19" i="3" s="1"/>
  <c r="H17" i="3"/>
  <c r="I17" i="3" s="1"/>
  <c r="H14" i="3"/>
  <c r="I14" i="3" s="1"/>
  <c r="H12" i="3"/>
  <c r="I12" i="3" s="1"/>
  <c r="H8" i="3"/>
  <c r="H6" i="3"/>
  <c r="I6" i="3" s="1"/>
  <c r="K106" i="4" l="1"/>
  <c r="L106" i="4" s="1"/>
  <c r="K107" i="3"/>
  <c r="L107" i="3" s="1"/>
  <c r="K106" i="3"/>
  <c r="L106" i="3" s="1"/>
  <c r="K105" i="4"/>
  <c r="L105" i="4" s="1"/>
  <c r="L106" i="6"/>
  <c r="M106" i="6" s="1"/>
  <c r="L107" i="6"/>
  <c r="M107" i="6" s="1"/>
  <c r="J7" i="6"/>
  <c r="K7" i="6" s="1"/>
  <c r="J21" i="6"/>
  <c r="K21" i="6" s="1"/>
  <c r="J74" i="6"/>
  <c r="J13" i="4"/>
  <c r="I16" i="4"/>
  <c r="J16" i="4" s="1"/>
  <c r="J12" i="3"/>
  <c r="K12" i="3" s="1"/>
  <c r="L12" i="3" s="1"/>
  <c r="J21" i="3"/>
  <c r="K21" i="3" s="1"/>
  <c r="L21" i="3" s="1"/>
  <c r="J19" i="4"/>
  <c r="K19" i="4" s="1"/>
  <c r="L19" i="4" s="1"/>
  <c r="J83" i="4"/>
  <c r="K83" i="4" s="1"/>
  <c r="J89" i="3"/>
  <c r="K89" i="3" s="1"/>
  <c r="I7" i="4"/>
  <c r="J7" i="4" s="1"/>
  <c r="K7" i="4" s="1"/>
  <c r="L7" i="4" s="1"/>
  <c r="J80" i="6"/>
  <c r="K80" i="6" s="1"/>
  <c r="L80" i="6" s="1"/>
  <c r="J23" i="3"/>
  <c r="K23" i="3" s="1"/>
  <c r="L23" i="3" s="1"/>
  <c r="J79" i="3"/>
  <c r="K79" i="3" s="1"/>
  <c r="I20" i="4"/>
  <c r="J20" i="4" s="1"/>
  <c r="I23" i="4"/>
  <c r="J23" i="4" s="1"/>
  <c r="I34" i="6"/>
  <c r="J34" i="6" s="1"/>
  <c r="L84" i="6"/>
  <c r="M84" i="6" s="1"/>
  <c r="I17" i="4"/>
  <c r="J17" i="4" s="1"/>
  <c r="J5" i="6"/>
  <c r="K5" i="6" s="1"/>
  <c r="L5" i="6" s="1"/>
  <c r="M5" i="6" s="1"/>
  <c r="N5" i="6" s="1"/>
  <c r="J67" i="6"/>
  <c r="K67" i="6" s="1"/>
  <c r="J6" i="3"/>
  <c r="K6" i="3" s="1"/>
  <c r="L6" i="3" s="1"/>
  <c r="J93" i="3"/>
  <c r="K93" i="3" s="1"/>
  <c r="L93" i="3" s="1"/>
  <c r="J92" i="6"/>
  <c r="I15" i="4"/>
  <c r="J15" i="4" s="1"/>
  <c r="I18" i="4"/>
  <c r="J18" i="4" s="1"/>
  <c r="I21" i="4"/>
  <c r="J21" i="4" s="1"/>
  <c r="J38" i="4"/>
  <c r="K38" i="4" s="1"/>
  <c r="J62" i="4"/>
  <c r="K62" i="4" s="1"/>
  <c r="J82" i="4"/>
  <c r="I44" i="6"/>
  <c r="J44" i="6" s="1"/>
  <c r="K44" i="6" s="1"/>
  <c r="L44" i="6" s="1"/>
  <c r="J51" i="6"/>
  <c r="K51" i="6" s="1"/>
  <c r="L76" i="6"/>
  <c r="H5" i="3"/>
  <c r="H11" i="3"/>
  <c r="H54" i="3"/>
  <c r="H48" i="4"/>
  <c r="K26" i="3"/>
  <c r="L26" i="3" s="1"/>
  <c r="H4" i="3"/>
  <c r="I8" i="3"/>
  <c r="J8" i="3" s="1"/>
  <c r="H10" i="3"/>
  <c r="H46" i="3"/>
  <c r="I27" i="3"/>
  <c r="J27" i="3" s="1"/>
  <c r="K38" i="3"/>
  <c r="L38" i="3" s="1"/>
  <c r="H65" i="3"/>
  <c r="I70" i="3"/>
  <c r="J70" i="3" s="1"/>
  <c r="K91" i="3"/>
  <c r="L91" i="3" s="1"/>
  <c r="K5" i="4"/>
  <c r="L5" i="4" s="1"/>
  <c r="H25" i="3"/>
  <c r="K58" i="3"/>
  <c r="L58" i="3" s="1"/>
  <c r="I63" i="3"/>
  <c r="J63" i="3" s="1"/>
  <c r="K67" i="3"/>
  <c r="L67" i="3" s="1"/>
  <c r="K11" i="4"/>
  <c r="L11" i="4" s="1"/>
  <c r="I34" i="4"/>
  <c r="J34" i="4" s="1"/>
  <c r="H103" i="4"/>
  <c r="J19" i="3"/>
  <c r="H48" i="3"/>
  <c r="H56" i="3"/>
  <c r="L69" i="3"/>
  <c r="K86" i="3"/>
  <c r="L86" i="3" s="1"/>
  <c r="H9" i="3"/>
  <c r="J14" i="3"/>
  <c r="K36" i="3"/>
  <c r="L36" i="3" s="1"/>
  <c r="H50" i="3"/>
  <c r="K9" i="4"/>
  <c r="L9" i="4" s="1"/>
  <c r="J17" i="3"/>
  <c r="H42" i="3"/>
  <c r="I68" i="3"/>
  <c r="J68" i="3" s="1"/>
  <c r="H26" i="4"/>
  <c r="H7" i="3"/>
  <c r="L22" i="3"/>
  <c r="H40" i="3"/>
  <c r="H44" i="3"/>
  <c r="H52" i="3"/>
  <c r="K59" i="3"/>
  <c r="L59" i="3" s="1"/>
  <c r="K60" i="3"/>
  <c r="L60" i="3" s="1"/>
  <c r="I57" i="4"/>
  <c r="J57" i="4" s="1"/>
  <c r="H31" i="3"/>
  <c r="H33" i="3"/>
  <c r="H35" i="3"/>
  <c r="H37" i="3"/>
  <c r="J43" i="3"/>
  <c r="J45" i="3"/>
  <c r="J47" i="3"/>
  <c r="J49" i="3"/>
  <c r="J51" i="3"/>
  <c r="J53" i="3"/>
  <c r="J55" i="3"/>
  <c r="J73" i="3"/>
  <c r="H87" i="3"/>
  <c r="H92" i="3"/>
  <c r="L38" i="4"/>
  <c r="H50" i="4"/>
  <c r="H66" i="4"/>
  <c r="H77" i="3"/>
  <c r="I60" i="4"/>
  <c r="J60" i="4" s="1"/>
  <c r="H13" i="3"/>
  <c r="H15" i="3"/>
  <c r="H16" i="3"/>
  <c r="H18" i="3"/>
  <c r="H20" i="3"/>
  <c r="H61" i="3"/>
  <c r="H71" i="3"/>
  <c r="H76" i="3"/>
  <c r="K101" i="4"/>
  <c r="L101" i="4" s="1"/>
  <c r="H24" i="3"/>
  <c r="H30" i="3"/>
  <c r="H32" i="3"/>
  <c r="H34" i="3"/>
  <c r="H72" i="3"/>
  <c r="H90" i="3"/>
  <c r="H94" i="3"/>
  <c r="K13" i="4"/>
  <c r="L13" i="4" s="1"/>
  <c r="I64" i="3"/>
  <c r="J64" i="3" s="1"/>
  <c r="H66" i="3"/>
  <c r="H101" i="3"/>
  <c r="J24" i="4"/>
  <c r="H28" i="4"/>
  <c r="H30" i="4"/>
  <c r="I35" i="4"/>
  <c r="J35" i="4" s="1"/>
  <c r="I36" i="4"/>
  <c r="J36" i="4" s="1"/>
  <c r="H49" i="4"/>
  <c r="H28" i="3"/>
  <c r="H41" i="3"/>
  <c r="I99" i="3"/>
  <c r="J99" i="3" s="1"/>
  <c r="K22" i="4"/>
  <c r="L22" i="4" s="1"/>
  <c r="H47" i="4"/>
  <c r="I51" i="4"/>
  <c r="J51" i="4" s="1"/>
  <c r="H74" i="3"/>
  <c r="I80" i="3"/>
  <c r="J80" i="3" s="1"/>
  <c r="J81" i="3"/>
  <c r="H103" i="3"/>
  <c r="H32" i="4"/>
  <c r="I58" i="4"/>
  <c r="J58" i="4" s="1"/>
  <c r="H69" i="4"/>
  <c r="H80" i="4"/>
  <c r="H86" i="4"/>
  <c r="H98" i="4"/>
  <c r="H26" i="6"/>
  <c r="H46" i="4"/>
  <c r="I59" i="4"/>
  <c r="J59" i="4" s="1"/>
  <c r="H71" i="4"/>
  <c r="H83" i="3"/>
  <c r="H97" i="3"/>
  <c r="H4" i="4"/>
  <c r="H6" i="4"/>
  <c r="H8" i="4"/>
  <c r="H10" i="4"/>
  <c r="H12" i="4"/>
  <c r="H14" i="4"/>
  <c r="H44" i="4"/>
  <c r="J45" i="4"/>
  <c r="H68" i="4"/>
  <c r="H85" i="4"/>
  <c r="H96" i="4"/>
  <c r="H37" i="4"/>
  <c r="H40" i="4"/>
  <c r="H42" i="4"/>
  <c r="H65" i="4"/>
  <c r="H73" i="4"/>
  <c r="I76" i="4"/>
  <c r="J76" i="4" s="1"/>
  <c r="H102" i="3"/>
  <c r="H104" i="3"/>
  <c r="I25" i="4"/>
  <c r="J25" i="4" s="1"/>
  <c r="H27" i="4"/>
  <c r="H31" i="4"/>
  <c r="H33" i="4"/>
  <c r="H41" i="4"/>
  <c r="I43" i="4"/>
  <c r="J43" i="4" s="1"/>
  <c r="H63" i="4"/>
  <c r="H70" i="4"/>
  <c r="J75" i="4"/>
  <c r="H78" i="4"/>
  <c r="H88" i="4"/>
  <c r="H100" i="4"/>
  <c r="H54" i="4"/>
  <c r="H67" i="4"/>
  <c r="H92" i="4"/>
  <c r="H84" i="3"/>
  <c r="H96" i="3"/>
  <c r="H52" i="4"/>
  <c r="H53" i="4"/>
  <c r="I55" i="4"/>
  <c r="J55" i="4" s="1"/>
  <c r="H64" i="4"/>
  <c r="H72" i="4"/>
  <c r="H90" i="4"/>
  <c r="H79" i="4"/>
  <c r="H89" i="4"/>
  <c r="H91" i="4"/>
  <c r="H93" i="4"/>
  <c r="H95" i="4"/>
  <c r="H102" i="4"/>
  <c r="I27" i="6"/>
  <c r="J27" i="6" s="1"/>
  <c r="I9" i="6"/>
  <c r="J9" i="6" s="1"/>
  <c r="H42" i="6"/>
  <c r="K33" i="6"/>
  <c r="L33" i="6" s="1"/>
  <c r="I37" i="6"/>
  <c r="J37" i="6" s="1"/>
  <c r="H79" i="6"/>
  <c r="H10" i="6"/>
  <c r="I30" i="6"/>
  <c r="J30" i="6" s="1"/>
  <c r="L21" i="6"/>
  <c r="L7" i="6"/>
  <c r="J13" i="6"/>
  <c r="H18" i="6"/>
  <c r="J19" i="6"/>
  <c r="H22" i="6"/>
  <c r="I23" i="6"/>
  <c r="J23" i="6" s="1"/>
  <c r="K69" i="6"/>
  <c r="L69" i="6" s="1"/>
  <c r="H29" i="6"/>
  <c r="H48" i="6"/>
  <c r="H8" i="6"/>
  <c r="J11" i="6"/>
  <c r="H14" i="6"/>
  <c r="H15" i="6"/>
  <c r="L16" i="6"/>
  <c r="J20" i="6"/>
  <c r="J28" i="6"/>
  <c r="L61" i="6"/>
  <c r="H6" i="6"/>
  <c r="H17" i="6"/>
  <c r="I24" i="6"/>
  <c r="J24" i="6" s="1"/>
  <c r="I35" i="6"/>
  <c r="J35" i="6" s="1"/>
  <c r="H99" i="6"/>
  <c r="H4" i="6"/>
  <c r="H12" i="6"/>
  <c r="H25" i="6"/>
  <c r="K45" i="6"/>
  <c r="L45" i="6" s="1"/>
  <c r="I53" i="6"/>
  <c r="J53" i="6" s="1"/>
  <c r="I86" i="6"/>
  <c r="J86" i="6" s="1"/>
  <c r="H87" i="6"/>
  <c r="H40" i="6"/>
  <c r="H43" i="6"/>
  <c r="J49" i="6"/>
  <c r="H97" i="6"/>
  <c r="H31" i="6"/>
  <c r="H46" i="6"/>
  <c r="H54" i="6"/>
  <c r="H77" i="6"/>
  <c r="H85" i="6"/>
  <c r="J90" i="6"/>
  <c r="H50" i="6"/>
  <c r="H36" i="6"/>
  <c r="H41" i="6"/>
  <c r="J55" i="6"/>
  <c r="H58" i="6"/>
  <c r="I68" i="6"/>
  <c r="J68" i="6" s="1"/>
  <c r="H56" i="6"/>
  <c r="I66" i="6"/>
  <c r="J66" i="6" s="1"/>
  <c r="H101" i="6"/>
  <c r="H32" i="6"/>
  <c r="I38" i="6"/>
  <c r="J38" i="6" s="1"/>
  <c r="J47" i="6"/>
  <c r="H52" i="6"/>
  <c r="J59" i="6"/>
  <c r="H65" i="6"/>
  <c r="L67" i="6"/>
  <c r="L71" i="6"/>
  <c r="H72" i="6"/>
  <c r="L93" i="6"/>
  <c r="J94" i="6"/>
  <c r="H103" i="6"/>
  <c r="H89" i="6"/>
  <c r="H91" i="6"/>
  <c r="H62" i="6"/>
  <c r="H63" i="6"/>
  <c r="H64" i="6"/>
  <c r="H70" i="6"/>
  <c r="H75" i="6"/>
  <c r="H83" i="6"/>
  <c r="H60" i="6"/>
  <c r="H73" i="6"/>
  <c r="H81" i="6"/>
  <c r="H96" i="6"/>
  <c r="H102" i="6"/>
  <c r="H104" i="6"/>
  <c r="L62" i="4" l="1"/>
  <c r="M106" i="3"/>
  <c r="N106" i="3" s="1"/>
  <c r="M107" i="3"/>
  <c r="N107" i="3" s="1"/>
  <c r="M106" i="4"/>
  <c r="N106" i="4" s="1"/>
  <c r="M105" i="4"/>
  <c r="N105" i="4" s="1"/>
  <c r="N106" i="6"/>
  <c r="N107" i="6"/>
  <c r="L83" i="4"/>
  <c r="N84" i="6"/>
  <c r="L51" i="6"/>
  <c r="K74" i="6"/>
  <c r="L74" i="6" s="1"/>
  <c r="M74" i="6" s="1"/>
  <c r="N74" i="6" s="1"/>
  <c r="K16" i="4"/>
  <c r="L16" i="4" s="1"/>
  <c r="M16" i="4" s="1"/>
  <c r="N16" i="4" s="1"/>
  <c r="K21" i="4"/>
  <c r="L21" i="4" s="1"/>
  <c r="M21" i="4" s="1"/>
  <c r="N21" i="4" s="1"/>
  <c r="K18" i="4"/>
  <c r="L18" i="4" s="1"/>
  <c r="M18" i="4" s="1"/>
  <c r="N18" i="4" s="1"/>
  <c r="K20" i="4"/>
  <c r="L20" i="4" s="1"/>
  <c r="K15" i="4"/>
  <c r="L15" i="4" s="1"/>
  <c r="M15" i="4" s="1"/>
  <c r="N15" i="4" s="1"/>
  <c r="K34" i="6"/>
  <c r="L34" i="6" s="1"/>
  <c r="M34" i="6" s="1"/>
  <c r="N34" i="6" s="1"/>
  <c r="K23" i="4"/>
  <c r="L23" i="4" s="1"/>
  <c r="M23" i="4" s="1"/>
  <c r="N23" i="4" s="1"/>
  <c r="L89" i="3"/>
  <c r="M89" i="3" s="1"/>
  <c r="N89" i="3" s="1"/>
  <c r="M76" i="6"/>
  <c r="N76" i="6" s="1"/>
  <c r="K92" i="6"/>
  <c r="L92" i="6" s="1"/>
  <c r="L79" i="3"/>
  <c r="M79" i="3" s="1"/>
  <c r="N79" i="3" s="1"/>
  <c r="K17" i="4"/>
  <c r="L17" i="4" s="1"/>
  <c r="M17" i="4" s="1"/>
  <c r="N17" i="4" s="1"/>
  <c r="K82" i="4"/>
  <c r="L82" i="4" s="1"/>
  <c r="K86" i="6"/>
  <c r="L86" i="6" s="1"/>
  <c r="K25" i="4"/>
  <c r="L25" i="4" s="1"/>
  <c r="M93" i="3"/>
  <c r="N93" i="3" s="1"/>
  <c r="M23" i="3"/>
  <c r="N23" i="3" s="1"/>
  <c r="K68" i="3"/>
  <c r="L68" i="3" s="1"/>
  <c r="M9" i="4"/>
  <c r="N9" i="4" s="1"/>
  <c r="K63" i="3"/>
  <c r="L63" i="3" s="1"/>
  <c r="M6" i="3"/>
  <c r="N6" i="3" s="1"/>
  <c r="M44" i="6"/>
  <c r="N44" i="6" s="1"/>
  <c r="K51" i="4"/>
  <c r="L51" i="4" s="1"/>
  <c r="M7" i="4"/>
  <c r="N7" i="4" s="1"/>
  <c r="K68" i="6"/>
  <c r="L68" i="6" s="1"/>
  <c r="M33" i="6"/>
  <c r="N33" i="6" s="1"/>
  <c r="M60" i="3"/>
  <c r="N60" i="3" s="1"/>
  <c r="M58" i="3"/>
  <c r="N58" i="3" s="1"/>
  <c r="M101" i="4"/>
  <c r="N101" i="4" s="1"/>
  <c r="M80" i="6"/>
  <c r="N80" i="6" s="1"/>
  <c r="K27" i="6"/>
  <c r="L27" i="6" s="1"/>
  <c r="K76" i="4"/>
  <c r="L76" i="4" s="1"/>
  <c r="K36" i="4"/>
  <c r="L36" i="4" s="1"/>
  <c r="M45" i="6"/>
  <c r="N45" i="6" s="1"/>
  <c r="K35" i="4"/>
  <c r="L35" i="4" s="1"/>
  <c r="M36" i="3"/>
  <c r="N36" i="3" s="1"/>
  <c r="M5" i="4"/>
  <c r="N5" i="4" s="1"/>
  <c r="K27" i="3"/>
  <c r="L27" i="3" s="1"/>
  <c r="K38" i="6"/>
  <c r="L38" i="6" s="1"/>
  <c r="K35" i="6"/>
  <c r="L35" i="6" s="1"/>
  <c r="K9" i="6"/>
  <c r="L9" i="6" s="1"/>
  <c r="K24" i="6"/>
  <c r="L24" i="6" s="1"/>
  <c r="M69" i="6"/>
  <c r="N69" i="6" s="1"/>
  <c r="K64" i="3"/>
  <c r="L64" i="3" s="1"/>
  <c r="M91" i="3"/>
  <c r="N91" i="3" s="1"/>
  <c r="M21" i="3"/>
  <c r="N21" i="3" s="1"/>
  <c r="I43" i="6"/>
  <c r="J43" i="6" s="1"/>
  <c r="I14" i="6"/>
  <c r="J14" i="6" s="1"/>
  <c r="J26" i="6"/>
  <c r="I26" i="6"/>
  <c r="K99" i="3"/>
  <c r="L99" i="3" s="1"/>
  <c r="I40" i="3"/>
  <c r="J40" i="3" s="1"/>
  <c r="I54" i="3"/>
  <c r="J54" i="3" s="1"/>
  <c r="I70" i="6"/>
  <c r="J70" i="6" s="1"/>
  <c r="I72" i="6"/>
  <c r="J72" i="6" s="1"/>
  <c r="M51" i="6"/>
  <c r="N51" i="6" s="1"/>
  <c r="M61" i="6"/>
  <c r="N61" i="6" s="1"/>
  <c r="I48" i="6"/>
  <c r="J48" i="6" s="1"/>
  <c r="I22" i="6"/>
  <c r="J22" i="6" s="1"/>
  <c r="M21" i="6"/>
  <c r="N21" i="6" s="1"/>
  <c r="I91" i="4"/>
  <c r="J91" i="4" s="1"/>
  <c r="M62" i="4"/>
  <c r="N62" i="4" s="1"/>
  <c r="I84" i="3"/>
  <c r="J84" i="3" s="1"/>
  <c r="J54" i="4"/>
  <c r="I54" i="4"/>
  <c r="I88" i="4"/>
  <c r="J88" i="4" s="1"/>
  <c r="I102" i="3"/>
  <c r="J102" i="3" s="1"/>
  <c r="I97" i="3"/>
  <c r="J97" i="3" s="1"/>
  <c r="I71" i="4"/>
  <c r="J71" i="4" s="1"/>
  <c r="I46" i="4"/>
  <c r="J46" i="4" s="1"/>
  <c r="I69" i="4"/>
  <c r="J69" i="4" s="1"/>
  <c r="I74" i="3"/>
  <c r="J74" i="3" s="1"/>
  <c r="I101" i="3"/>
  <c r="J101" i="3" s="1"/>
  <c r="I72" i="3"/>
  <c r="J72" i="3" s="1"/>
  <c r="I24" i="3"/>
  <c r="J24" i="3" s="1"/>
  <c r="I20" i="3"/>
  <c r="J20" i="3" s="1"/>
  <c r="M38" i="4"/>
  <c r="N38" i="4" s="1"/>
  <c r="K49" i="3"/>
  <c r="L49" i="3" s="1"/>
  <c r="I35" i="3"/>
  <c r="J35" i="3" s="1"/>
  <c r="I7" i="3"/>
  <c r="J7" i="3" s="1"/>
  <c r="I42" i="3"/>
  <c r="J42" i="3" s="1"/>
  <c r="I9" i="3"/>
  <c r="J9" i="3" s="1"/>
  <c r="M69" i="3"/>
  <c r="N69" i="3" s="1"/>
  <c r="I103" i="4"/>
  <c r="J103" i="4" s="1"/>
  <c r="I11" i="3"/>
  <c r="J11" i="3" s="1"/>
  <c r="K90" i="6"/>
  <c r="L90" i="6" s="1"/>
  <c r="I25" i="6"/>
  <c r="J25" i="6" s="1"/>
  <c r="K23" i="6"/>
  <c r="L23" i="6" s="1"/>
  <c r="I70" i="4"/>
  <c r="J70" i="4" s="1"/>
  <c r="M22" i="4"/>
  <c r="N22" i="4" s="1"/>
  <c r="K57" i="4"/>
  <c r="L57" i="4" s="1"/>
  <c r="I41" i="6"/>
  <c r="J41" i="6" s="1"/>
  <c r="K37" i="6"/>
  <c r="L37" i="6" s="1"/>
  <c r="K60" i="4"/>
  <c r="L60" i="4" s="1"/>
  <c r="K47" i="3"/>
  <c r="L47" i="3" s="1"/>
  <c r="I50" i="3"/>
  <c r="J50" i="3" s="1"/>
  <c r="K19" i="3"/>
  <c r="L19" i="3" s="1"/>
  <c r="M12" i="3"/>
  <c r="N12" i="3" s="1"/>
  <c r="I102" i="6"/>
  <c r="J102" i="6" s="1"/>
  <c r="M93" i="6"/>
  <c r="N93" i="6" s="1"/>
  <c r="K55" i="6"/>
  <c r="L55" i="6" s="1"/>
  <c r="I68" i="4"/>
  <c r="J68" i="4" s="1"/>
  <c r="K24" i="4"/>
  <c r="L24" i="4" s="1"/>
  <c r="I96" i="6"/>
  <c r="J96" i="6" s="1"/>
  <c r="K47" i="6"/>
  <c r="L47" i="6" s="1"/>
  <c r="I37" i="4"/>
  <c r="J37" i="4" s="1"/>
  <c r="I96" i="4"/>
  <c r="J96" i="4" s="1"/>
  <c r="I103" i="3"/>
  <c r="J103" i="3" s="1"/>
  <c r="M13" i="4"/>
  <c r="N13" i="4" s="1"/>
  <c r="I18" i="3"/>
  <c r="J18" i="3" s="1"/>
  <c r="I64" i="6"/>
  <c r="J64" i="6" s="1"/>
  <c r="I56" i="6"/>
  <c r="J56" i="6" s="1"/>
  <c r="I77" i="6"/>
  <c r="J77" i="6" s="1"/>
  <c r="I40" i="6"/>
  <c r="J40" i="6" s="1"/>
  <c r="I12" i="6"/>
  <c r="J12" i="6" s="1"/>
  <c r="K11" i="6"/>
  <c r="L11" i="6" s="1"/>
  <c r="K13" i="6"/>
  <c r="L13" i="6" s="1"/>
  <c r="I89" i="4"/>
  <c r="J89" i="4" s="1"/>
  <c r="I72" i="4"/>
  <c r="J72" i="4" s="1"/>
  <c r="I53" i="4"/>
  <c r="J53" i="4" s="1"/>
  <c r="I63" i="4"/>
  <c r="J63" i="4" s="1"/>
  <c r="K43" i="4"/>
  <c r="L43" i="4" s="1"/>
  <c r="K45" i="4"/>
  <c r="L45" i="4" s="1"/>
  <c r="I14" i="4"/>
  <c r="J14" i="4" s="1"/>
  <c r="I8" i="4"/>
  <c r="J8" i="4" s="1"/>
  <c r="I83" i="3"/>
  <c r="J83" i="3" s="1"/>
  <c r="I86" i="4"/>
  <c r="J86" i="4" s="1"/>
  <c r="K80" i="3"/>
  <c r="L80" i="3" s="1"/>
  <c r="I66" i="3"/>
  <c r="J66" i="3" s="1"/>
  <c r="I94" i="3"/>
  <c r="J94" i="3" s="1"/>
  <c r="I16" i="3"/>
  <c r="J16" i="3" s="1"/>
  <c r="I66" i="4"/>
  <c r="J66" i="4" s="1"/>
  <c r="K73" i="3"/>
  <c r="L73" i="3" s="1"/>
  <c r="K45" i="3"/>
  <c r="L45" i="3" s="1"/>
  <c r="I33" i="3"/>
  <c r="J33" i="3" s="1"/>
  <c r="I4" i="3"/>
  <c r="J4" i="3" s="1"/>
  <c r="K66" i="6"/>
  <c r="L66" i="6" s="1"/>
  <c r="I31" i="6"/>
  <c r="J31" i="6" s="1"/>
  <c r="I33" i="4"/>
  <c r="J33" i="4" s="1"/>
  <c r="I60" i="6"/>
  <c r="J60" i="6" s="1"/>
  <c r="M71" i="6"/>
  <c r="N71" i="6" s="1"/>
  <c r="I46" i="6"/>
  <c r="J46" i="6" s="1"/>
  <c r="K20" i="6"/>
  <c r="L20" i="6" s="1"/>
  <c r="I52" i="4"/>
  <c r="J52" i="4" s="1"/>
  <c r="I31" i="4"/>
  <c r="J31" i="4" s="1"/>
  <c r="I73" i="4"/>
  <c r="J73" i="4" s="1"/>
  <c r="I42" i="4"/>
  <c r="J42" i="4" s="1"/>
  <c r="I44" i="4"/>
  <c r="J44" i="4" s="1"/>
  <c r="M83" i="4"/>
  <c r="N83" i="4" s="1"/>
  <c r="I47" i="4"/>
  <c r="J47" i="4" s="1"/>
  <c r="I30" i="4"/>
  <c r="J30" i="4" s="1"/>
  <c r="I34" i="3"/>
  <c r="J34" i="3" s="1"/>
  <c r="I77" i="3"/>
  <c r="J77" i="3" s="1"/>
  <c r="I92" i="3"/>
  <c r="J92" i="3" s="1"/>
  <c r="K43" i="3"/>
  <c r="L43" i="3" s="1"/>
  <c r="I26" i="4"/>
  <c r="J26" i="4" s="1"/>
  <c r="I56" i="3"/>
  <c r="J56" i="3" s="1"/>
  <c r="K34" i="4"/>
  <c r="L34" i="4" s="1"/>
  <c r="K70" i="3"/>
  <c r="L70" i="3" s="1"/>
  <c r="I10" i="3"/>
  <c r="J10" i="3" s="1"/>
  <c r="M26" i="3"/>
  <c r="N26" i="3" s="1"/>
  <c r="I5" i="3"/>
  <c r="J5" i="3" s="1"/>
  <c r="I89" i="6"/>
  <c r="J89" i="6" s="1"/>
  <c r="K30" i="6"/>
  <c r="L30" i="6" s="1"/>
  <c r="I96" i="3"/>
  <c r="J96" i="3" s="1"/>
  <c r="I98" i="4"/>
  <c r="J98" i="4" s="1"/>
  <c r="I49" i="4"/>
  <c r="J49" i="4" s="1"/>
  <c r="I61" i="3"/>
  <c r="J61" i="3" s="1"/>
  <c r="M22" i="3"/>
  <c r="N22" i="3" s="1"/>
  <c r="M67" i="3"/>
  <c r="N67" i="3" s="1"/>
  <c r="K28" i="6"/>
  <c r="L28" i="6" s="1"/>
  <c r="I10" i="6"/>
  <c r="J10" i="6" s="1"/>
  <c r="I92" i="4"/>
  <c r="J92" i="4" s="1"/>
  <c r="I52" i="3"/>
  <c r="J52" i="3" s="1"/>
  <c r="I103" i="6"/>
  <c r="J103" i="6" s="1"/>
  <c r="K59" i="6"/>
  <c r="L59" i="6" s="1"/>
  <c r="I97" i="6"/>
  <c r="J97" i="6" s="1"/>
  <c r="I6" i="6"/>
  <c r="J6" i="6" s="1"/>
  <c r="I81" i="6"/>
  <c r="J81" i="6" s="1"/>
  <c r="I63" i="6"/>
  <c r="J63" i="6" s="1"/>
  <c r="M67" i="6"/>
  <c r="N67" i="6" s="1"/>
  <c r="I32" i="6"/>
  <c r="J32" i="6" s="1"/>
  <c r="I36" i="6"/>
  <c r="J36" i="6" s="1"/>
  <c r="I50" i="6"/>
  <c r="J50" i="6" s="1"/>
  <c r="M16" i="6"/>
  <c r="N16" i="6" s="1"/>
  <c r="I8" i="6"/>
  <c r="J8" i="6" s="1"/>
  <c r="K19" i="6"/>
  <c r="L19" i="6" s="1"/>
  <c r="M7" i="6"/>
  <c r="N7" i="6" s="1"/>
  <c r="I42" i="6"/>
  <c r="J42" i="6" s="1"/>
  <c r="I95" i="4"/>
  <c r="J95" i="4" s="1"/>
  <c r="I67" i="4"/>
  <c r="J67" i="4" s="1"/>
  <c r="I78" i="4"/>
  <c r="J78" i="4" s="1"/>
  <c r="I27" i="4"/>
  <c r="J27" i="4" s="1"/>
  <c r="I85" i="4"/>
  <c r="J85" i="4" s="1"/>
  <c r="I12" i="4"/>
  <c r="J12" i="4" s="1"/>
  <c r="I6" i="4"/>
  <c r="J6" i="4" s="1"/>
  <c r="I41" i="3"/>
  <c r="J41" i="3" s="1"/>
  <c r="I28" i="4"/>
  <c r="J28" i="4" s="1"/>
  <c r="I90" i="3"/>
  <c r="J90" i="3" s="1"/>
  <c r="I32" i="3"/>
  <c r="J32" i="3" s="1"/>
  <c r="I15" i="3"/>
  <c r="J15" i="3" s="1"/>
  <c r="I31" i="3"/>
  <c r="J31" i="3" s="1"/>
  <c r="I44" i="3"/>
  <c r="J44" i="3" s="1"/>
  <c r="K17" i="3"/>
  <c r="L17" i="3" s="1"/>
  <c r="I48" i="4"/>
  <c r="J48" i="4" s="1"/>
  <c r="K53" i="6"/>
  <c r="L53" i="6" s="1"/>
  <c r="I90" i="4"/>
  <c r="J90" i="4" s="1"/>
  <c r="L51" i="3"/>
  <c r="K51" i="3"/>
  <c r="I104" i="6"/>
  <c r="J104" i="6" s="1"/>
  <c r="I65" i="6"/>
  <c r="J65" i="6" s="1"/>
  <c r="I52" i="6"/>
  <c r="J52" i="6" s="1"/>
  <c r="I87" i="6"/>
  <c r="J87" i="6" s="1"/>
  <c r="I17" i="6"/>
  <c r="J17" i="6" s="1"/>
  <c r="I15" i="6"/>
  <c r="J15" i="6" s="1"/>
  <c r="I64" i="4"/>
  <c r="J64" i="4" s="1"/>
  <c r="I100" i="4"/>
  <c r="J100" i="4" s="1"/>
  <c r="K58" i="4"/>
  <c r="L58" i="4" s="1"/>
  <c r="I50" i="4"/>
  <c r="J50" i="4" s="1"/>
  <c r="K55" i="3"/>
  <c r="L55" i="3" s="1"/>
  <c r="N86" i="3"/>
  <c r="M86" i="3"/>
  <c r="I25" i="3"/>
  <c r="J25" i="3" s="1"/>
  <c r="I65" i="3"/>
  <c r="J65" i="3" s="1"/>
  <c r="K8" i="3"/>
  <c r="L8" i="3" s="1"/>
  <c r="I79" i="6"/>
  <c r="J79" i="6" s="1"/>
  <c r="K55" i="4"/>
  <c r="L55" i="4" s="1"/>
  <c r="I41" i="4"/>
  <c r="J41" i="4" s="1"/>
  <c r="K59" i="4"/>
  <c r="L59" i="4" s="1"/>
  <c r="I32" i="4"/>
  <c r="J32" i="4" s="1"/>
  <c r="M59" i="3"/>
  <c r="N59" i="3" s="1"/>
  <c r="M38" i="3"/>
  <c r="N38" i="3" s="1"/>
  <c r="I83" i="6"/>
  <c r="J83" i="6" s="1"/>
  <c r="I101" i="6"/>
  <c r="J101" i="6" s="1"/>
  <c r="I58" i="6"/>
  <c r="J58" i="6" s="1"/>
  <c r="I4" i="6"/>
  <c r="J4" i="6" s="1"/>
  <c r="K81" i="3"/>
  <c r="L81" i="3" s="1"/>
  <c r="I28" i="3"/>
  <c r="J28" i="3" s="1"/>
  <c r="M19" i="4"/>
  <c r="N19" i="4" s="1"/>
  <c r="I76" i="3"/>
  <c r="J76" i="3" s="1"/>
  <c r="M11" i="4"/>
  <c r="N11" i="4" s="1"/>
  <c r="I46" i="3"/>
  <c r="J46" i="3" s="1"/>
  <c r="I73" i="6"/>
  <c r="J73" i="6" s="1"/>
  <c r="I91" i="6"/>
  <c r="J91" i="6" s="1"/>
  <c r="K94" i="6"/>
  <c r="L94" i="6" s="1"/>
  <c r="I54" i="6"/>
  <c r="J54" i="6" s="1"/>
  <c r="K49" i="6"/>
  <c r="L49" i="6" s="1"/>
  <c r="I99" i="6"/>
  <c r="J99" i="6" s="1"/>
  <c r="I18" i="6"/>
  <c r="J18" i="6" s="1"/>
  <c r="I102" i="4"/>
  <c r="J102" i="4" s="1"/>
  <c r="I93" i="4"/>
  <c r="J93" i="4" s="1"/>
  <c r="I79" i="4"/>
  <c r="J79" i="4" s="1"/>
  <c r="K75" i="4"/>
  <c r="L75" i="4" s="1"/>
  <c r="I104" i="3"/>
  <c r="J104" i="3" s="1"/>
  <c r="I65" i="4"/>
  <c r="J65" i="4" s="1"/>
  <c r="I40" i="4"/>
  <c r="J40" i="4" s="1"/>
  <c r="I10" i="4"/>
  <c r="J10" i="4" s="1"/>
  <c r="I4" i="4"/>
  <c r="J4" i="4" s="1"/>
  <c r="I80" i="4"/>
  <c r="J80" i="4" s="1"/>
  <c r="I30" i="3"/>
  <c r="J30" i="3" s="1"/>
  <c r="I71" i="3"/>
  <c r="J71" i="3" s="1"/>
  <c r="I13" i="3"/>
  <c r="J13" i="3" s="1"/>
  <c r="I87" i="3"/>
  <c r="J87" i="3" s="1"/>
  <c r="K53" i="3"/>
  <c r="L53" i="3" s="1"/>
  <c r="I37" i="3"/>
  <c r="J37" i="3" s="1"/>
  <c r="K14" i="3"/>
  <c r="L14" i="3" s="1"/>
  <c r="I48" i="3"/>
  <c r="J48" i="3" s="1"/>
  <c r="M92" i="6" l="1"/>
  <c r="N92" i="6"/>
  <c r="M20" i="4"/>
  <c r="N20" i="4" s="1"/>
  <c r="M82" i="4"/>
  <c r="N82" i="4" s="1"/>
  <c r="M55" i="4"/>
  <c r="N55" i="4" s="1"/>
  <c r="K37" i="3"/>
  <c r="L37" i="3" s="1"/>
  <c r="K48" i="3"/>
  <c r="L48" i="3" s="1"/>
  <c r="K87" i="3"/>
  <c r="L87" i="3" s="1"/>
  <c r="M81" i="3"/>
  <c r="N81" i="3" s="1"/>
  <c r="K10" i="4"/>
  <c r="L10" i="4" s="1"/>
  <c r="K93" i="4"/>
  <c r="L93" i="4" s="1"/>
  <c r="M94" i="6"/>
  <c r="N94" i="6" s="1"/>
  <c r="M8" i="3"/>
  <c r="N8" i="3" s="1"/>
  <c r="K67" i="4"/>
  <c r="L67" i="4" s="1"/>
  <c r="K50" i="6"/>
  <c r="L50" i="6" s="1"/>
  <c r="K49" i="4"/>
  <c r="L49" i="4" s="1"/>
  <c r="K26" i="4"/>
  <c r="L26" i="4" s="1"/>
  <c r="K86" i="4"/>
  <c r="L86" i="4" s="1"/>
  <c r="K40" i="6"/>
  <c r="L40" i="6" s="1"/>
  <c r="M55" i="6"/>
  <c r="N55" i="6" s="1"/>
  <c r="K103" i="4"/>
  <c r="L103" i="4" s="1"/>
  <c r="M49" i="3"/>
  <c r="N49" i="3" s="1"/>
  <c r="K91" i="4"/>
  <c r="L91" i="4" s="1"/>
  <c r="K70" i="6"/>
  <c r="L70" i="6" s="1"/>
  <c r="M64" i="3"/>
  <c r="N64" i="3" s="1"/>
  <c r="M28" i="6"/>
  <c r="N28" i="6" s="1"/>
  <c r="K31" i="4"/>
  <c r="L31" i="4" s="1"/>
  <c r="M24" i="4"/>
  <c r="N24" i="4" s="1"/>
  <c r="M14" i="3"/>
  <c r="N14" i="3" s="1"/>
  <c r="K71" i="3"/>
  <c r="L71" i="3" s="1"/>
  <c r="K32" i="3"/>
  <c r="L32" i="3"/>
  <c r="K85" i="4"/>
  <c r="L85" i="4" s="1"/>
  <c r="M70" i="3"/>
  <c r="N70" i="3" s="1"/>
  <c r="K16" i="3"/>
  <c r="L16" i="3" s="1"/>
  <c r="M19" i="3"/>
  <c r="N19" i="3" s="1"/>
  <c r="K9" i="3"/>
  <c r="L9" i="3" s="1"/>
  <c r="K84" i="3"/>
  <c r="L84" i="3" s="1"/>
  <c r="K54" i="3"/>
  <c r="L54" i="3" s="1"/>
  <c r="M76" i="4"/>
  <c r="N76" i="4" s="1"/>
  <c r="K58" i="6"/>
  <c r="L58" i="6" s="1"/>
  <c r="K6" i="6"/>
  <c r="L6" i="6" s="1"/>
  <c r="K10" i="3"/>
  <c r="L10" i="3" s="1"/>
  <c r="K48" i="6"/>
  <c r="L48" i="6" s="1"/>
  <c r="K40" i="4"/>
  <c r="L40" i="4" s="1"/>
  <c r="K73" i="6"/>
  <c r="L73" i="6" s="1"/>
  <c r="K79" i="6"/>
  <c r="L79" i="6" s="1"/>
  <c r="K25" i="3"/>
  <c r="L25" i="3" s="1"/>
  <c r="K48" i="4"/>
  <c r="L48" i="4" s="1"/>
  <c r="K32" i="6"/>
  <c r="L32" i="6" s="1"/>
  <c r="K96" i="3"/>
  <c r="L96" i="3" s="1"/>
  <c r="M43" i="3"/>
  <c r="N43" i="3" s="1"/>
  <c r="K31" i="6"/>
  <c r="L31" i="6" s="1"/>
  <c r="K8" i="4"/>
  <c r="L8" i="4" s="1"/>
  <c r="K56" i="6"/>
  <c r="L56" i="6" s="1"/>
  <c r="M57" i="4"/>
  <c r="N57" i="4" s="1"/>
  <c r="M90" i="6"/>
  <c r="N90" i="6" s="1"/>
  <c r="K20" i="3"/>
  <c r="L20" i="3" s="1"/>
  <c r="K18" i="6"/>
  <c r="L18" i="6" s="1"/>
  <c r="K83" i="6"/>
  <c r="L83" i="6" s="1"/>
  <c r="M17" i="3"/>
  <c r="N17" i="3" s="1"/>
  <c r="M59" i="6"/>
  <c r="N59" i="6" s="1"/>
  <c r="K33" i="3"/>
  <c r="L33" i="3" s="1"/>
  <c r="K53" i="4"/>
  <c r="L53" i="4" s="1"/>
  <c r="K96" i="4"/>
  <c r="L96" i="4" s="1"/>
  <c r="K68" i="4"/>
  <c r="L68" i="4" s="1"/>
  <c r="K11" i="3"/>
  <c r="L11" i="3" s="1"/>
  <c r="M38" i="6"/>
  <c r="N38" i="6" s="1"/>
  <c r="K97" i="3"/>
  <c r="L97" i="3" s="1"/>
  <c r="K64" i="4"/>
  <c r="L64" i="4" s="1"/>
  <c r="K65" i="6"/>
  <c r="L65" i="6" s="1"/>
  <c r="K28" i="4"/>
  <c r="L28" i="4" s="1"/>
  <c r="K27" i="4"/>
  <c r="L27" i="4" s="1"/>
  <c r="M19" i="6"/>
  <c r="N19" i="6" s="1"/>
  <c r="K56" i="3"/>
  <c r="L56" i="3" s="1"/>
  <c r="K89" i="4"/>
  <c r="L89" i="4" s="1"/>
  <c r="M11" i="6"/>
  <c r="N11" i="6" s="1"/>
  <c r="K50" i="3"/>
  <c r="L50" i="3" s="1"/>
  <c r="K7" i="3"/>
  <c r="L7" i="3" s="1"/>
  <c r="K80" i="4"/>
  <c r="L80" i="4" s="1"/>
  <c r="K28" i="3"/>
  <c r="L28" i="3" s="1"/>
  <c r="M55" i="3"/>
  <c r="N55" i="3" s="1"/>
  <c r="K15" i="6"/>
  <c r="L15" i="6" s="1"/>
  <c r="K41" i="3"/>
  <c r="L41" i="3" s="1"/>
  <c r="K8" i="6"/>
  <c r="L8" i="6" s="1"/>
  <c r="K63" i="6"/>
  <c r="L63" i="6" s="1"/>
  <c r="K77" i="3"/>
  <c r="L77" i="3" s="1"/>
  <c r="K42" i="4"/>
  <c r="L42" i="4" s="1"/>
  <c r="M20" i="6"/>
  <c r="N20" i="6" s="1"/>
  <c r="M45" i="4"/>
  <c r="N45" i="4" s="1"/>
  <c r="K46" i="4"/>
  <c r="L46" i="4" s="1"/>
  <c r="K14" i="6"/>
  <c r="L14" i="6" s="1"/>
  <c r="K17" i="6"/>
  <c r="L17" i="6" s="1"/>
  <c r="M53" i="6"/>
  <c r="N53" i="6" s="1"/>
  <c r="K31" i="3"/>
  <c r="L31" i="3" s="1"/>
  <c r="K6" i="4"/>
  <c r="L6" i="4" s="1"/>
  <c r="K52" i="3"/>
  <c r="L52" i="3" s="1"/>
  <c r="K10" i="6"/>
  <c r="L10" i="6" s="1"/>
  <c r="K61" i="3"/>
  <c r="L61" i="3" s="1"/>
  <c r="M73" i="3"/>
  <c r="N73" i="3" s="1"/>
  <c r="M80" i="3"/>
  <c r="N80" i="3"/>
  <c r="K41" i="6"/>
  <c r="L41" i="6" s="1"/>
  <c r="K88" i="4"/>
  <c r="L88" i="4" s="1"/>
  <c r="K22" i="6"/>
  <c r="L22" i="6" s="1"/>
  <c r="M99" i="3"/>
  <c r="N99" i="3" s="1"/>
  <c r="M58" i="4"/>
  <c r="N58" i="4" s="1"/>
  <c r="M47" i="6"/>
  <c r="N47" i="6" s="1"/>
  <c r="K74" i="3"/>
  <c r="L74" i="3" s="1"/>
  <c r="M9" i="6"/>
  <c r="N9" i="6" s="1"/>
  <c r="M60" i="4"/>
  <c r="N60" i="4" s="1"/>
  <c r="M25" i="4"/>
  <c r="N25" i="4" s="1"/>
  <c r="M53" i="3"/>
  <c r="N53" i="3" s="1"/>
  <c r="K30" i="3"/>
  <c r="L30" i="3" s="1"/>
  <c r="K104" i="3"/>
  <c r="L104" i="3" s="1"/>
  <c r="K99" i="6"/>
  <c r="L99" i="6" s="1"/>
  <c r="K91" i="6"/>
  <c r="L91" i="6" s="1"/>
  <c r="K4" i="6"/>
  <c r="L4" i="6" s="1"/>
  <c r="K32" i="4"/>
  <c r="L32" i="4" s="1"/>
  <c r="K100" i="4"/>
  <c r="L100" i="4" s="1"/>
  <c r="K87" i="6"/>
  <c r="L87" i="6" s="1"/>
  <c r="K104" i="6"/>
  <c r="L104" i="6" s="1"/>
  <c r="K90" i="4"/>
  <c r="L90" i="4" s="1"/>
  <c r="K15" i="3"/>
  <c r="L15" i="3" s="1"/>
  <c r="K42" i="6"/>
  <c r="L42" i="6" s="1"/>
  <c r="K36" i="6"/>
  <c r="L36" i="6" s="1"/>
  <c r="K81" i="6"/>
  <c r="L81" i="6" s="1"/>
  <c r="K103" i="6"/>
  <c r="L103" i="6" s="1"/>
  <c r="K98" i="4"/>
  <c r="L98" i="4" s="1"/>
  <c r="M34" i="4"/>
  <c r="N34" i="4" s="1"/>
  <c r="K34" i="3"/>
  <c r="L34" i="3" s="1"/>
  <c r="K47" i="4"/>
  <c r="L47" i="4" s="1"/>
  <c r="K44" i="4"/>
  <c r="L44" i="4" s="1"/>
  <c r="K60" i="6"/>
  <c r="L60" i="6" s="1"/>
  <c r="M45" i="3"/>
  <c r="N45" i="3" s="1"/>
  <c r="K94" i="3"/>
  <c r="L94" i="3" s="1"/>
  <c r="K83" i="3"/>
  <c r="L83" i="3" s="1"/>
  <c r="M43" i="4"/>
  <c r="N43" i="4" s="1"/>
  <c r="K72" i="4"/>
  <c r="L72" i="4" s="1"/>
  <c r="K12" i="6"/>
  <c r="L12" i="6" s="1"/>
  <c r="K64" i="6"/>
  <c r="L64" i="6" s="1"/>
  <c r="K18" i="3"/>
  <c r="L18" i="3" s="1"/>
  <c r="K103" i="3"/>
  <c r="L103" i="3" s="1"/>
  <c r="K96" i="6"/>
  <c r="L96" i="6" s="1"/>
  <c r="K102" i="6"/>
  <c r="L102" i="6" s="1"/>
  <c r="K70" i="4"/>
  <c r="L70" i="4" s="1"/>
  <c r="K35" i="3"/>
  <c r="L35" i="3" s="1"/>
  <c r="K24" i="3"/>
  <c r="L24" i="3" s="1"/>
  <c r="K69" i="4"/>
  <c r="L69" i="4" s="1"/>
  <c r="K54" i="4"/>
  <c r="L54" i="4" s="1"/>
  <c r="K72" i="6"/>
  <c r="L72" i="6" s="1"/>
  <c r="K26" i="6"/>
  <c r="L26" i="6" s="1"/>
  <c r="K43" i="6"/>
  <c r="L43" i="6" s="1"/>
  <c r="M35" i="6"/>
  <c r="N35" i="6" s="1"/>
  <c r="M68" i="6"/>
  <c r="N68" i="6" s="1"/>
  <c r="M68" i="3"/>
  <c r="N68" i="3" s="1"/>
  <c r="K102" i="4"/>
  <c r="L102" i="4" s="1"/>
  <c r="K4" i="3"/>
  <c r="L4" i="3" s="1"/>
  <c r="K66" i="3"/>
  <c r="L66" i="3" s="1"/>
  <c r="M23" i="6"/>
  <c r="N23" i="6" s="1"/>
  <c r="K72" i="3"/>
  <c r="L72" i="3" s="1"/>
  <c r="M24" i="6"/>
  <c r="N24" i="6" s="1"/>
  <c r="M35" i="4"/>
  <c r="N35" i="4" s="1"/>
  <c r="M75" i="4"/>
  <c r="N75" i="4" s="1"/>
  <c r="M49" i="6"/>
  <c r="N49" i="6" s="1"/>
  <c r="M59" i="4"/>
  <c r="N59" i="4" s="1"/>
  <c r="M30" i="6"/>
  <c r="N30" i="6" s="1"/>
  <c r="K13" i="3"/>
  <c r="L13" i="3" s="1"/>
  <c r="K4" i="4"/>
  <c r="L4" i="4" s="1"/>
  <c r="K65" i="4"/>
  <c r="L65" i="4" s="1"/>
  <c r="K79" i="4"/>
  <c r="L79" i="4" s="1"/>
  <c r="K54" i="6"/>
  <c r="L54" i="6" s="1"/>
  <c r="K46" i="3"/>
  <c r="L46" i="3" s="1"/>
  <c r="K76" i="3"/>
  <c r="L76" i="3" s="1"/>
  <c r="K101" i="6"/>
  <c r="L101" i="6" s="1"/>
  <c r="K41" i="4"/>
  <c r="L41" i="4" s="1"/>
  <c r="K65" i="3"/>
  <c r="L65" i="3" s="1"/>
  <c r="K50" i="4"/>
  <c r="L50" i="4" s="1"/>
  <c r="K52" i="6"/>
  <c r="L52" i="6" s="1"/>
  <c r="M51" i="3"/>
  <c r="N51" i="3" s="1"/>
  <c r="K44" i="3"/>
  <c r="L44" i="3" s="1"/>
  <c r="K90" i="3"/>
  <c r="L90" i="3" s="1"/>
  <c r="K12" i="4"/>
  <c r="L12" i="4" s="1"/>
  <c r="K78" i="4"/>
  <c r="L78" i="4" s="1"/>
  <c r="K95" i="4"/>
  <c r="L95" i="4" s="1"/>
  <c r="K97" i="6"/>
  <c r="L97" i="6" s="1"/>
  <c r="K92" i="4"/>
  <c r="L92" i="4" s="1"/>
  <c r="K89" i="6"/>
  <c r="L89" i="6" s="1"/>
  <c r="K5" i="3"/>
  <c r="L5" i="3" s="1"/>
  <c r="K92" i="3"/>
  <c r="L92" i="3" s="1"/>
  <c r="K30" i="4"/>
  <c r="L30" i="4" s="1"/>
  <c r="K73" i="4"/>
  <c r="L73" i="4" s="1"/>
  <c r="K52" i="4"/>
  <c r="L52" i="4" s="1"/>
  <c r="K46" i="6"/>
  <c r="L46" i="6" s="1"/>
  <c r="K33" i="4"/>
  <c r="L33" i="4" s="1"/>
  <c r="M66" i="6"/>
  <c r="N66" i="6" s="1"/>
  <c r="K66" i="4"/>
  <c r="L66" i="4" s="1"/>
  <c r="K14" i="4"/>
  <c r="L14" i="4" s="1"/>
  <c r="K63" i="4"/>
  <c r="L63" i="4" s="1"/>
  <c r="M13" i="6"/>
  <c r="N13" i="6" s="1"/>
  <c r="K77" i="6"/>
  <c r="L77" i="6" s="1"/>
  <c r="K37" i="4"/>
  <c r="L37" i="4" s="1"/>
  <c r="M47" i="3"/>
  <c r="N47" i="3" s="1"/>
  <c r="M37" i="6"/>
  <c r="N37" i="6" s="1"/>
  <c r="K25" i="6"/>
  <c r="L25" i="6" s="1"/>
  <c r="K42" i="3"/>
  <c r="L42" i="3" s="1"/>
  <c r="K101" i="3"/>
  <c r="L101" i="3" s="1"/>
  <c r="K71" i="4"/>
  <c r="L71" i="4" s="1"/>
  <c r="K102" i="3"/>
  <c r="L102" i="3" s="1"/>
  <c r="K40" i="3"/>
  <c r="L40" i="3" s="1"/>
  <c r="M27" i="3"/>
  <c r="N27" i="3" s="1"/>
  <c r="M36" i="4"/>
  <c r="N36" i="4" s="1"/>
  <c r="M27" i="6"/>
  <c r="N27" i="6" s="1"/>
  <c r="M51" i="4"/>
  <c r="N51" i="4" s="1"/>
  <c r="M63" i="3"/>
  <c r="N63" i="3" s="1"/>
  <c r="M86" i="6"/>
  <c r="N86" i="6" s="1"/>
  <c r="M33" i="4" l="1"/>
  <c r="N33" i="4" s="1"/>
  <c r="M54" i="6"/>
  <c r="N54" i="6" s="1"/>
  <c r="M48" i="4"/>
  <c r="N48" i="4" s="1"/>
  <c r="M48" i="3"/>
  <c r="N48" i="3" s="1"/>
  <c r="M97" i="6"/>
  <c r="N97" i="6" s="1"/>
  <c r="M101" i="3"/>
  <c r="N101" i="3" s="1"/>
  <c r="M25" i="6"/>
  <c r="N25" i="6" s="1"/>
  <c r="M14" i="4"/>
  <c r="N14" i="4" s="1"/>
  <c r="M92" i="3"/>
  <c r="N92" i="3"/>
  <c r="M78" i="4"/>
  <c r="N78" i="4" s="1"/>
  <c r="M46" i="3"/>
  <c r="N46" i="3" s="1"/>
  <c r="M103" i="3"/>
  <c r="N103" i="3" s="1"/>
  <c r="M83" i="3"/>
  <c r="N83" i="3" s="1"/>
  <c r="M44" i="4"/>
  <c r="N44" i="4" s="1"/>
  <c r="M42" i="6"/>
  <c r="N42" i="6" s="1"/>
  <c r="M50" i="3"/>
  <c r="N50" i="3" s="1"/>
  <c r="M68" i="4"/>
  <c r="N68" i="4" s="1"/>
  <c r="M40" i="4"/>
  <c r="N40" i="4" s="1"/>
  <c r="M103" i="4"/>
  <c r="N103" i="4" s="1"/>
  <c r="M26" i="4"/>
  <c r="N26" i="4" s="1"/>
  <c r="M87" i="3"/>
  <c r="N87" i="3" s="1"/>
  <c r="M94" i="3"/>
  <c r="N94" i="3" s="1"/>
  <c r="M84" i="3"/>
  <c r="N84" i="3" s="1"/>
  <c r="M40" i="3"/>
  <c r="N40" i="3"/>
  <c r="M46" i="6"/>
  <c r="N46" i="6" s="1"/>
  <c r="M90" i="3"/>
  <c r="N90" i="3" s="1"/>
  <c r="M52" i="6"/>
  <c r="N52" i="6" s="1"/>
  <c r="M41" i="4"/>
  <c r="N41" i="4" s="1"/>
  <c r="M72" i="3"/>
  <c r="N72" i="3" s="1"/>
  <c r="M43" i="6"/>
  <c r="N43" i="6" s="1"/>
  <c r="M54" i="4"/>
  <c r="N54" i="4" s="1"/>
  <c r="M90" i="4"/>
  <c r="N90" i="4" s="1"/>
  <c r="M61" i="3"/>
  <c r="N61" i="3" s="1"/>
  <c r="M14" i="6"/>
  <c r="N14" i="6" s="1"/>
  <c r="M8" i="6"/>
  <c r="N8" i="6" s="1"/>
  <c r="M97" i="3"/>
  <c r="N97" i="3" s="1"/>
  <c r="M9" i="3"/>
  <c r="N9" i="3" s="1"/>
  <c r="M49" i="4"/>
  <c r="N49" i="4" s="1"/>
  <c r="M77" i="6"/>
  <c r="N77" i="6" s="1"/>
  <c r="M5" i="3"/>
  <c r="N5" i="3" s="1"/>
  <c r="M92" i="4"/>
  <c r="N92" i="4" s="1"/>
  <c r="M44" i="3"/>
  <c r="N44" i="3" s="1"/>
  <c r="M50" i="4"/>
  <c r="N50" i="4" s="1"/>
  <c r="M4" i="3"/>
  <c r="N4" i="3" s="1"/>
  <c r="M26" i="6"/>
  <c r="N26" i="6" s="1"/>
  <c r="M102" i="6"/>
  <c r="N102" i="6" s="1"/>
  <c r="M64" i="6"/>
  <c r="N64" i="6" s="1"/>
  <c r="M104" i="6"/>
  <c r="N104" i="6" s="1"/>
  <c r="M99" i="6"/>
  <c r="N99" i="6" s="1"/>
  <c r="M10" i="6"/>
  <c r="N10" i="6" s="1"/>
  <c r="M42" i="4"/>
  <c r="N42" i="4" s="1"/>
  <c r="M89" i="4"/>
  <c r="N89" i="4" s="1"/>
  <c r="M18" i="6"/>
  <c r="N18" i="6" s="1"/>
  <c r="M25" i="3"/>
  <c r="N25" i="3" s="1"/>
  <c r="M48" i="6"/>
  <c r="N48" i="6" s="1"/>
  <c r="M31" i="4"/>
  <c r="N31" i="4" s="1"/>
  <c r="M70" i="6"/>
  <c r="N70" i="6" s="1"/>
  <c r="M37" i="3"/>
  <c r="N37" i="3" s="1"/>
  <c r="M56" i="6"/>
  <c r="N56" i="6" s="1"/>
  <c r="M65" i="3"/>
  <c r="N65" i="3" s="1"/>
  <c r="M69" i="4"/>
  <c r="N69" i="4" s="1"/>
  <c r="M70" i="4"/>
  <c r="N70" i="4" s="1"/>
  <c r="M12" i="6"/>
  <c r="N12" i="6" s="1"/>
  <c r="M98" i="4"/>
  <c r="N98" i="4" s="1"/>
  <c r="M87" i="6"/>
  <c r="N87" i="6" s="1"/>
  <c r="M32" i="4"/>
  <c r="N32" i="4" s="1"/>
  <c r="M52" i="3"/>
  <c r="N52" i="3" s="1"/>
  <c r="M46" i="4"/>
  <c r="N46" i="4" s="1"/>
  <c r="M77" i="3"/>
  <c r="N77" i="3" s="1"/>
  <c r="M41" i="3"/>
  <c r="N41" i="3" s="1"/>
  <c r="M28" i="4"/>
  <c r="N28" i="4" s="1"/>
  <c r="M53" i="4"/>
  <c r="N53" i="4" s="1"/>
  <c r="M8" i="4"/>
  <c r="N8" i="4" s="1"/>
  <c r="M96" i="3"/>
  <c r="N96" i="3" s="1"/>
  <c r="M10" i="3"/>
  <c r="N10" i="3" s="1"/>
  <c r="M71" i="3"/>
  <c r="N71" i="3" s="1"/>
  <c r="M93" i="4"/>
  <c r="N93" i="4" s="1"/>
  <c r="M12" i="4"/>
  <c r="N12" i="4" s="1"/>
  <c r="M79" i="4"/>
  <c r="N79" i="4" s="1"/>
  <c r="M73" i="4"/>
  <c r="N73" i="4" s="1"/>
  <c r="M65" i="4"/>
  <c r="N65" i="4" s="1"/>
  <c r="M102" i="4"/>
  <c r="N102" i="4" s="1"/>
  <c r="M24" i="3"/>
  <c r="N24" i="3" s="1"/>
  <c r="M96" i="6"/>
  <c r="N96" i="6" s="1"/>
  <c r="M60" i="6"/>
  <c r="N60" i="6" s="1"/>
  <c r="M103" i="6"/>
  <c r="N103" i="6" s="1"/>
  <c r="M100" i="4"/>
  <c r="N100" i="4" s="1"/>
  <c r="M22" i="6"/>
  <c r="N22" i="6" s="1"/>
  <c r="M6" i="4"/>
  <c r="N6" i="4" s="1"/>
  <c r="M28" i="3"/>
  <c r="N28" i="3" s="1"/>
  <c r="M65" i="6"/>
  <c r="N65" i="6" s="1"/>
  <c r="M11" i="3"/>
  <c r="N11" i="3" s="1"/>
  <c r="M33" i="3"/>
  <c r="N33" i="3" s="1"/>
  <c r="M83" i="6"/>
  <c r="N83" i="6" s="1"/>
  <c r="M79" i="6"/>
  <c r="N79" i="6" s="1"/>
  <c r="M6" i="6"/>
  <c r="N6" i="6" s="1"/>
  <c r="M85" i="4"/>
  <c r="N85" i="4" s="1"/>
  <c r="M40" i="6"/>
  <c r="N40" i="6" s="1"/>
  <c r="M50" i="6"/>
  <c r="N50" i="6" s="1"/>
  <c r="M10" i="4"/>
  <c r="N10" i="4" s="1"/>
  <c r="M66" i="4"/>
  <c r="N66" i="4" s="1"/>
  <c r="M63" i="6"/>
  <c r="N63" i="6" s="1"/>
  <c r="M102" i="3"/>
  <c r="N102" i="3" s="1"/>
  <c r="M4" i="4"/>
  <c r="N4" i="4" s="1"/>
  <c r="M35" i="3"/>
  <c r="N35" i="3" s="1"/>
  <c r="M72" i="4"/>
  <c r="N72" i="4" s="1"/>
  <c r="M81" i="6"/>
  <c r="N81" i="6" s="1"/>
  <c r="M4" i="6"/>
  <c r="N4" i="6" s="1"/>
  <c r="M104" i="3"/>
  <c r="N104" i="3" s="1"/>
  <c r="M88" i="4"/>
  <c r="N88" i="4" s="1"/>
  <c r="M31" i="3"/>
  <c r="N31" i="3" s="1"/>
  <c r="M80" i="4"/>
  <c r="N80" i="4" s="1"/>
  <c r="M56" i="3"/>
  <c r="N56" i="3" s="1"/>
  <c r="M64" i="4"/>
  <c r="N64" i="4" s="1"/>
  <c r="M58" i="6"/>
  <c r="N58" i="6" s="1"/>
  <c r="M91" i="4"/>
  <c r="N91" i="4" s="1"/>
  <c r="M86" i="4"/>
  <c r="N86" i="4" s="1"/>
  <c r="M67" i="4"/>
  <c r="N67" i="4" s="1"/>
  <c r="M42" i="3"/>
  <c r="N42" i="3" s="1"/>
  <c r="M47" i="4"/>
  <c r="N47" i="4" s="1"/>
  <c r="M17" i="6"/>
  <c r="N17" i="6" s="1"/>
  <c r="M96" i="4"/>
  <c r="N96" i="4" s="1"/>
  <c r="M52" i="4"/>
  <c r="N52" i="4" s="1"/>
  <c r="M101" i="6"/>
  <c r="N101" i="6" s="1"/>
  <c r="M71" i="4"/>
  <c r="N71" i="4" s="1"/>
  <c r="M63" i="4"/>
  <c r="N63" i="4" s="1"/>
  <c r="M30" i="4"/>
  <c r="N30" i="4" s="1"/>
  <c r="M95" i="4"/>
  <c r="N95" i="4" s="1"/>
  <c r="M76" i="3"/>
  <c r="N76" i="3" s="1"/>
  <c r="M72" i="6"/>
  <c r="N72" i="6" s="1"/>
  <c r="M36" i="6"/>
  <c r="N36" i="6" s="1"/>
  <c r="M31" i="6"/>
  <c r="N31" i="6" s="1"/>
  <c r="M32" i="6"/>
  <c r="N32" i="6" s="1"/>
  <c r="M73" i="6"/>
  <c r="N73" i="6" s="1"/>
  <c r="M54" i="3"/>
  <c r="N54" i="3" s="1"/>
  <c r="M27" i="4"/>
  <c r="N27" i="4" s="1"/>
  <c r="M15" i="3"/>
  <c r="N15" i="3" s="1"/>
  <c r="M91" i="6"/>
  <c r="N91" i="6" s="1"/>
  <c r="M15" i="6"/>
  <c r="N15" i="6" s="1"/>
  <c r="M16" i="3"/>
  <c r="N16" i="3" s="1"/>
  <c r="M13" i="3"/>
  <c r="N13" i="3" s="1"/>
  <c r="M37" i="4"/>
  <c r="N37" i="4" s="1"/>
  <c r="M18" i="3"/>
  <c r="N18" i="3" s="1"/>
  <c r="M34" i="3"/>
  <c r="N34" i="3" s="1"/>
  <c r="M7" i="3"/>
  <c r="N7" i="3" s="1"/>
  <c r="M32" i="3"/>
  <c r="N32" i="3" s="1"/>
  <c r="M89" i="6"/>
  <c r="N89" i="6"/>
  <c r="M66" i="3"/>
  <c r="N66" i="3" s="1"/>
  <c r="M74" i="3"/>
  <c r="N74" i="3" s="1"/>
  <c r="M41" i="6"/>
  <c r="N41" i="6" s="1"/>
  <c r="M20" i="3"/>
  <c r="N20" i="3" s="1"/>
  <c r="M30" i="3"/>
  <c r="N30" i="3" s="1"/>
</calcChain>
</file>

<file path=xl/sharedStrings.xml><?xml version="1.0" encoding="utf-8"?>
<sst xmlns="http://schemas.openxmlformats.org/spreadsheetml/2006/main" count="315" uniqueCount="101">
  <si>
    <t>Código</t>
  </si>
  <si>
    <t>Descripción</t>
  </si>
  <si>
    <t>EAN</t>
  </si>
  <si>
    <t>Kg. x Caja</t>
  </si>
  <si>
    <t>Cant. X Caja</t>
  </si>
  <si>
    <t>Precio de Lista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</si>
  <si>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</si>
  <si>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</si>
  <si>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</si>
  <si>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</si>
  <si>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</si>
  <si>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</si>
  <si>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</si>
  <si>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</si>
  <si>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</si>
  <si>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</si>
  <si>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</si>
  <si>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</si>
  <si>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</si>
  <si>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</si>
  <si>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</si>
  <si>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</si>
  <si>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</si>
  <si>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</si>
  <si>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</si>
  <si>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</si>
  <si>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</si>
  <si>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</si>
  <si>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</si>
  <si>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</si>
  <si>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</si>
  <si>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</si>
  <si>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</si>
  <si>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</si>
  <si>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</si>
  <si>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</si>
  <si>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</si>
  <si>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</si>
  <si>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</si>
  <si>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</si>
  <si>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</si>
  <si>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</si>
  <si>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</si>
  <si>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</si>
  <si>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</si>
  <si>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</si>
  <si>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</si>
  <si>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</si>
  <si>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</si>
  <si>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</si>
  <si>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</si>
  <si>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</si>
  <si>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</si>
  <si>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</si>
  <si>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</si>
  <si>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</si>
  <si>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</si>
  <si>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</si>
  <si>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</si>
  <si>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</si>
  <si>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</si>
  <si>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</si>
  <si>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</si>
  <si>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</si>
  <si>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</si>
  <si>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</si>
  <si>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</si>
  <si>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</si>
  <si>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</si>
  <si>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</si>
  <si>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</si>
  <si>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</si>
  <si>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</si>
  <si>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</si>
  <si>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</si>
  <si>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</si>
  <si>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</si>
  <si>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</si>
  <si>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</si>
  <si>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</si>
  <si>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</si>
  <si>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</si>
  <si>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</si>
  <si>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</si>
  <si>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</si>
  <si>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</si>
  <si>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</si>
  <si>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</si>
  <si>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</si>
  <si>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</si>
  <si>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</si>
  <si>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</si>
  <si>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</si>
  <si>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CHORIZOS CONGELADOS DE CERDO LIBRE DE GLUTEN</t>
  </si>
  <si>
    <t>PAPAS PRE COCIDAS SUPERCONGELADAS LIBRES DE GLUTEN 700G</t>
  </si>
  <si>
    <t>NUGGETS DE ESPINACA 300GR</t>
  </si>
  <si>
    <t>NUGGETS DE BRÓCOLI 300GR</t>
  </si>
  <si>
    <t>MEDALLÓN DE CALABAZA Y CHOCLO 300GR</t>
  </si>
  <si>
    <t>MEDALLÓN DE ESPINACA 300GR</t>
  </si>
  <si>
    <t>LOMO DE ATUN AL NATURAL SWIFT 170g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</si>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</sst>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#,##0_ ;[Red]\-#,##0\ "/>
    <numFmt numFmtId="166" formatCode="0.0%"/>
    <numFmt numFmtId="167" formatCode="#,##0.0_ ;[Red]\-#,##0.0\ 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indexed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80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3" fillId="2" borderId="1" xfId="1" applyFont="1" applyFill="1" applyBorder="1" applyAlignment="1">
      <alignment horizontal="center" vertical="distributed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distributed"/>
    </xf>
    <xf numFmtId="0" fontId="3" fillId="2" borderId="2" xfId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 wrapText="1"/>
    </xf>
    <xf numFmtId="0" fontId="4" fillId="3" borderId="4" xfId="1" applyFont="1" applyFill="1" applyBorder="1" applyAlignment="1" applyProtection="1">
      <alignment horizontal="center" vertical="center"/>
      <protection hidden="1"/>
    </xf>
    <xf numFmtId="0" fontId="4" fillId="3" borderId="5" xfId="1" applyFont="1" applyFill="1" applyBorder="1" applyAlignment="1" applyProtection="1">
      <alignment vertical="center"/>
      <protection hidden="1"/>
    </xf>
    <xf numFmtId="0" fontId="4" fillId="3" borderId="5" xfId="1" applyFont="1" applyFill="1" applyBorder="1" applyAlignment="1" applyProtection="1">
      <alignment horizontal="center" vertical="center"/>
      <protection hidden="1"/>
    </xf>
    <xf numFmtId="0" fontId="1" fillId="4" borderId="5" xfId="0" applyFont="1" applyFill="1" applyBorder="1"/>
    <xf numFmtId="9" fontId="1" fillId="4" borderId="5" xfId="0" applyNumberFormat="1" applyFont="1" applyFill="1" applyBorder="1"/>
    <xf numFmtId="1" fontId="1" fillId="4" borderId="6" xfId="0" applyNumberFormat="1" applyFont="1" applyFill="1" applyBorder="1"/>
    <xf numFmtId="0" fontId="5" fillId="0" borderId="7" xfId="2" applyFont="1" applyBorder="1" applyAlignment="1">
      <alignment horizontal="center"/>
    </xf>
    <xf numFmtId="0" fontId="5" fillId="0" borderId="8" xfId="2" applyFont="1" applyBorder="1"/>
    <xf numFmtId="1" fontId="5" fillId="0" borderId="8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2" fontId="5" fillId="0" borderId="8" xfId="1" applyNumberFormat="1" applyFont="1" applyBorder="1" applyAlignment="1">
      <alignment horizontal="center"/>
    </xf>
    <xf numFmtId="1" fontId="5" fillId="0" borderId="9" xfId="1" applyNumberFormat="1" applyFont="1" applyBorder="1" applyAlignment="1">
      <alignment horizontal="center"/>
    </xf>
    <xf numFmtId="0" fontId="5" fillId="0" borderId="7" xfId="2" applyFont="1" applyFill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left"/>
    </xf>
    <xf numFmtId="0" fontId="5" fillId="0" borderId="8" xfId="2" applyFont="1" applyFill="1" applyBorder="1"/>
    <xf numFmtId="1" fontId="5" fillId="0" borderId="8" xfId="2" applyNumberFormat="1" applyFont="1" applyFill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4" fillId="3" borderId="7" xfId="1" applyFont="1" applyFill="1" applyBorder="1" applyAlignment="1" applyProtection="1">
      <alignment horizontal="center" vertical="center"/>
      <protection hidden="1"/>
    </xf>
    <xf numFmtId="0" fontId="4" fillId="3" borderId="8" xfId="1" applyFont="1" applyFill="1" applyBorder="1" applyAlignment="1" applyProtection="1">
      <alignment vertical="center"/>
      <protection hidden="1"/>
    </xf>
    <xf numFmtId="0" fontId="4" fillId="3" borderId="8" xfId="1" applyFont="1" applyFill="1" applyBorder="1" applyAlignment="1" applyProtection="1">
      <alignment horizontal="center" vertical="center"/>
      <protection hidden="1"/>
    </xf>
    <xf numFmtId="165" fontId="4" fillId="3" borderId="8" xfId="1" applyNumberFormat="1" applyFont="1" applyFill="1" applyBorder="1" applyAlignment="1" applyProtection="1">
      <alignment vertical="center"/>
      <protection hidden="1"/>
    </xf>
    <xf numFmtId="0" fontId="1" fillId="4" borderId="8" xfId="0" applyFont="1" applyFill="1" applyBorder="1"/>
    <xf numFmtId="9" fontId="1" fillId="4" borderId="8" xfId="0" applyNumberFormat="1" applyFont="1" applyFill="1" applyBorder="1"/>
    <xf numFmtId="1" fontId="1" fillId="4" borderId="9" xfId="0" applyNumberFormat="1" applyFont="1" applyFill="1" applyBorder="1"/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left"/>
    </xf>
    <xf numFmtId="1" fontId="6" fillId="0" borderId="8" xfId="1" applyNumberFormat="1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2" fontId="6" fillId="0" borderId="8" xfId="1" applyNumberFormat="1" applyFont="1" applyBorder="1" applyAlignment="1">
      <alignment horizontal="center"/>
    </xf>
    <xf numFmtId="1" fontId="6" fillId="0" borderId="9" xfId="1" applyNumberFormat="1" applyFont="1" applyBorder="1" applyAlignment="1">
      <alignment horizontal="center"/>
    </xf>
    <xf numFmtId="1" fontId="6" fillId="0" borderId="8" xfId="1" applyNumberFormat="1" applyFont="1" applyBorder="1" applyAlignment="1">
      <alignment horizontal="left"/>
    </xf>
    <xf numFmtId="0" fontId="4" fillId="3" borderId="10" xfId="1" applyFont="1" applyFill="1" applyBorder="1" applyAlignment="1" applyProtection="1">
      <alignment horizontal="center" vertical="center"/>
      <protection hidden="1"/>
    </xf>
    <xf numFmtId="0" fontId="4" fillId="3" borderId="11" xfId="1" applyFont="1" applyFill="1" applyBorder="1" applyAlignment="1" applyProtection="1">
      <alignment vertical="center"/>
      <protection hidden="1"/>
    </xf>
    <xf numFmtId="0" fontId="4" fillId="3" borderId="11" xfId="1" applyFont="1" applyFill="1" applyBorder="1" applyAlignment="1" applyProtection="1">
      <alignment horizontal="center" vertical="center"/>
      <protection hidden="1"/>
    </xf>
    <xf numFmtId="165" fontId="4" fillId="3" borderId="11" xfId="1" applyNumberFormat="1" applyFont="1" applyFill="1" applyBorder="1" applyAlignment="1" applyProtection="1">
      <alignment vertical="center"/>
      <protection hidden="1"/>
    </xf>
    <xf numFmtId="1" fontId="6" fillId="0" borderId="12" xfId="1" applyNumberFormat="1" applyFont="1" applyBorder="1" applyAlignment="1">
      <alignment horizontal="left"/>
    </xf>
    <xf numFmtId="0" fontId="4" fillId="3" borderId="13" xfId="1" applyFont="1" applyFill="1" applyBorder="1" applyAlignment="1" applyProtection="1">
      <alignment horizontal="center" vertical="center"/>
      <protection hidden="1"/>
    </xf>
    <xf numFmtId="0" fontId="4" fillId="3" borderId="14" xfId="1" applyFont="1" applyFill="1" applyBorder="1" applyAlignment="1" applyProtection="1">
      <alignment vertical="center"/>
      <protection hidden="1"/>
    </xf>
    <xf numFmtId="0" fontId="4" fillId="3" borderId="14" xfId="1" applyFont="1" applyFill="1" applyBorder="1" applyAlignment="1" applyProtection="1">
      <alignment horizontal="center" vertical="center"/>
      <protection hidden="1"/>
    </xf>
    <xf numFmtId="165" fontId="4" fillId="3" borderId="14" xfId="1" applyNumberFormat="1" applyFont="1" applyFill="1" applyBorder="1" applyAlignment="1" applyProtection="1">
      <alignment vertical="center"/>
      <protection hidden="1"/>
    </xf>
    <xf numFmtId="2" fontId="5" fillId="3" borderId="14" xfId="1" applyNumberFormat="1" applyFont="1" applyFill="1" applyBorder="1" applyAlignment="1" applyProtection="1">
      <alignment vertical="center"/>
      <protection hidden="1"/>
    </xf>
    <xf numFmtId="0" fontId="8" fillId="0" borderId="15" xfId="3" applyFont="1" applyBorder="1" applyAlignment="1">
      <alignment horizontal="center"/>
    </xf>
    <xf numFmtId="0" fontId="8" fillId="0" borderId="16" xfId="3" applyFont="1" applyBorder="1"/>
    <xf numFmtId="1" fontId="6" fillId="0" borderId="17" xfId="1" applyNumberFormat="1" applyFont="1" applyBorder="1" applyAlignment="1">
      <alignment horizontal="left"/>
    </xf>
    <xf numFmtId="0" fontId="9" fillId="0" borderId="16" xfId="3" applyFont="1" applyBorder="1"/>
    <xf numFmtId="2" fontId="5" fillId="0" borderId="16" xfId="1" applyNumberFormat="1" applyFont="1" applyBorder="1" applyAlignment="1">
      <alignment horizontal="center"/>
    </xf>
    <xf numFmtId="1" fontId="5" fillId="0" borderId="18" xfId="1" applyNumberFormat="1" applyFont="1" applyBorder="1" applyAlignment="1">
      <alignment horizontal="center"/>
    </xf>
    <xf numFmtId="0" fontId="8" fillId="0" borderId="10" xfId="3" applyFont="1" applyBorder="1" applyAlignment="1">
      <alignment horizontal="center"/>
    </xf>
    <xf numFmtId="0" fontId="8" fillId="0" borderId="11" xfId="3" applyFont="1" applyBorder="1"/>
    <xf numFmtId="1" fontId="6" fillId="0" borderId="19" xfId="1" applyNumberFormat="1" applyFont="1" applyBorder="1" applyAlignment="1">
      <alignment horizontal="left"/>
    </xf>
    <xf numFmtId="0" fontId="9" fillId="0" borderId="11" xfId="3" applyFont="1" applyBorder="1"/>
    <xf numFmtId="2" fontId="5" fillId="0" borderId="11" xfId="1" applyNumberFormat="1" applyFont="1" applyBorder="1" applyAlignment="1">
      <alignment horizontal="center"/>
    </xf>
    <xf numFmtId="1" fontId="5" fillId="0" borderId="20" xfId="1" applyNumberFormat="1" applyFont="1" applyBorder="1" applyAlignment="1">
      <alignment horizontal="center"/>
    </xf>
    <xf numFmtId="0" fontId="1" fillId="4" borderId="14" xfId="0" applyFont="1" applyFill="1" applyBorder="1"/>
    <xf numFmtId="166" fontId="1" fillId="4" borderId="14" xfId="0" applyNumberFormat="1" applyFont="1" applyFill="1" applyBorder="1"/>
    <xf numFmtId="9" fontId="1" fillId="4" borderId="14" xfId="0" applyNumberFormat="1" applyFont="1" applyFill="1" applyBorder="1"/>
    <xf numFmtId="1" fontId="1" fillId="4" borderId="21" xfId="0" applyNumberFormat="1" applyFont="1" applyFill="1" applyBorder="1"/>
    <xf numFmtId="167" fontId="4" fillId="0" borderId="8" xfId="1" applyNumberFormat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4" xfId="1" applyFont="1" applyBorder="1" applyAlignment="1">
      <alignment horizontal="left"/>
    </xf>
    <xf numFmtId="1" fontId="5" fillId="0" borderId="1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" fontId="0" fillId="0" borderId="0" xfId="0" applyNumberFormat="1"/>
    <xf numFmtId="2" fontId="1" fillId="0" borderId="0" xfId="0" applyNumberFormat="1" applyFont="1"/>
    <xf numFmtId="2" fontId="3" fillId="2" borderId="2" xfId="1" applyNumberFormat="1" applyFont="1" applyFill="1" applyBorder="1" applyAlignment="1">
      <alignment horizontal="center" vertical="distributed"/>
    </xf>
    <xf numFmtId="2" fontId="4" fillId="3" borderId="5" xfId="1" applyNumberFormat="1" applyFont="1" applyFill="1" applyBorder="1" applyAlignment="1" applyProtection="1">
      <alignment vertical="center"/>
      <protection hidden="1"/>
    </xf>
    <xf numFmtId="2" fontId="5" fillId="3" borderId="8" xfId="1" applyNumberFormat="1" applyFont="1" applyFill="1" applyBorder="1" applyAlignment="1" applyProtection="1">
      <alignment vertical="center"/>
      <protection hidden="1"/>
    </xf>
    <xf numFmtId="2" fontId="5" fillId="3" borderId="11" xfId="1" applyNumberFormat="1" applyFont="1" applyFill="1" applyBorder="1" applyAlignment="1" applyProtection="1">
      <alignment vertical="center"/>
      <protection hidden="1"/>
    </xf>
    <xf numFmtId="2" fontId="0" fillId="0" borderId="0" xfId="0" applyNumberFormat="1"/>
  </cellXfs>
  <cellStyles count="4">
    <cellStyle name="Normal" xfId="0" builtinId="0"/>
    <cellStyle name="Normal 3" xfId="2" xr:uid="{00000000-0005-0000-0000-000002000000}"/>
    <cellStyle name="Normal_ARQUITECTURA DE PRECIOS 1 0" xfId="1" xr:uid="{00000000-0005-0000-0000-000003000000}"/>
    <cellStyle name="Normal_Precio públicos al 01-03" xfId="3" xr:uid="{00000000-0005-0000-0000-000004000000}"/>
  </cellStyles>
  <dxfs count="6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7"/>
  <sheetViews>
    <sheetView tabSelected="1" zoomScale="80" zoomScaleNormal="80" workbookViewId="0">
      <pane xSplit="2" ySplit="2" topLeftCell="C105" activePane="bottomRight" state="frozen"/>
      <selection activeCell="J107" sqref="J107"/>
      <selection pane="topRight" activeCell="J107" sqref="J107"/>
      <selection pane="bottomLeft" activeCell="J107" sqref="J107"/>
      <selection pane="bottomRight" activeCell="F109" sqref="F109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46.28515625" bestFit="1" customWidth="1"/>
    <col min="4" max="4" width="15.140625" bestFit="1" customWidth="1"/>
    <col min="5" max="5" width="8" bestFit="1" customWidth="1"/>
    <col min="6" max="6" width="9.42578125" bestFit="1" customWidth="1"/>
    <col min="7" max="7" width="9.42578125" style="79" bestFit="1" customWidth="1"/>
    <col min="8" max="13" width="11.42578125" customWidth="1" outlineLevel="1"/>
    <col min="14" max="14" width="11.42578125" style="73" customWidth="1"/>
  </cols>
  <sheetData>
    <row r="1" spans="2:14" s="1" customFormat="1" ht="12.75" thickBot="1" x14ac:dyDescent="0.25">
      <c r="G1" s="74"/>
      <c r="N1" s="2"/>
    </row>
    <row r="2" spans="2:14" s="1" customFormat="1" ht="36.75" thickBot="1" x14ac:dyDescent="0.25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75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7" t="s">
        <v>12</v>
      </c>
    </row>
    <row r="3" spans="2:14" s="1" customFormat="1" ht="12" x14ac:dyDescent="0.2">
      <c r="B3" s="8"/>
      <c r="C3" s="9"/>
      <c r="D3" s="10"/>
      <c r="E3" s="9"/>
      <c r="F3" s="9"/>
      <c r="G3" s="76"/>
      <c r="H3" s="11"/>
      <c r="I3" s="12">
        <v>0.21</v>
      </c>
      <c r="J3" s="11"/>
      <c r="K3" s="12">
        <v>0.35</v>
      </c>
      <c r="L3" s="11"/>
      <c r="M3" s="12">
        <v>0.45</v>
      </c>
      <c r="N3" s="13"/>
    </row>
    <row r="4" spans="2:14" x14ac:dyDescent="0.25">
      <c r="B4" s="14">
        <v>100021632</v>
      </c>
      <c r="C4" s="15" t="s">
        <v>13</v>
      </c>
      <c r="D4" s="16">
        <v>7790360026606</v>
      </c>
      <c r="E4" s="17">
        <v>4.8</v>
      </c>
      <c r="F4" s="18">
        <v>30</v>
      </c>
      <c r="G4" s="19">
        <v>39054.638581504725</v>
      </c>
      <c r="H4" s="19">
        <f>+G4/F4</f>
        <v>1301.8212860501576</v>
      </c>
      <c r="I4" s="19">
        <f>+H4*I$3</f>
        <v>273.38247007053309</v>
      </c>
      <c r="J4" s="19">
        <f>+H4+I4</f>
        <v>1575.2037561206907</v>
      </c>
      <c r="K4" s="19">
        <f>+J4*K$3</f>
        <v>551.32131464224176</v>
      </c>
      <c r="L4" s="19">
        <f>+J4+K4</f>
        <v>2126.5250707629325</v>
      </c>
      <c r="M4" s="19">
        <f>+L4*M$3</f>
        <v>956.93628184331965</v>
      </c>
      <c r="N4" s="20">
        <f>+L4+M4</f>
        <v>3083.4613526062521</v>
      </c>
    </row>
    <row r="5" spans="2:14" x14ac:dyDescent="0.25">
      <c r="B5" s="21">
        <v>100021652</v>
      </c>
      <c r="C5" s="15" t="s">
        <v>14</v>
      </c>
      <c r="D5" s="16">
        <v>7790360026576</v>
      </c>
      <c r="E5" s="17">
        <v>5.76</v>
      </c>
      <c r="F5" s="18">
        <v>18</v>
      </c>
      <c r="G5" s="19">
        <v>47014.671300940456</v>
      </c>
      <c r="H5" s="19">
        <f t="shared" ref="H5:H75" si="0">+G5/F5</f>
        <v>2611.9261833855808</v>
      </c>
      <c r="I5" s="19">
        <f t="shared" ref="I5:I77" si="1">+H5*I$3</f>
        <v>548.50449851097198</v>
      </c>
      <c r="J5" s="19">
        <f t="shared" ref="J5:J77" si="2">+H5+I5</f>
        <v>3160.4306818965529</v>
      </c>
      <c r="K5" s="19">
        <f t="shared" ref="K5:K77" si="3">+J5*K$3</f>
        <v>1106.1507386637934</v>
      </c>
      <c r="L5" s="19">
        <f t="shared" ref="L5:L77" si="4">+J5+K5</f>
        <v>4266.5814205603465</v>
      </c>
      <c r="M5" s="19">
        <f t="shared" ref="M5:M77" si="5">+L5*M$3</f>
        <v>1919.9616392521559</v>
      </c>
      <c r="N5" s="20">
        <f t="shared" ref="N5:N77" si="6">+L5+M5</f>
        <v>6186.5430598125022</v>
      </c>
    </row>
    <row r="6" spans="2:14" x14ac:dyDescent="0.25">
      <c r="B6" s="21">
        <v>100021631</v>
      </c>
      <c r="C6" s="15" t="s">
        <v>15</v>
      </c>
      <c r="D6" s="16">
        <v>7790360026590</v>
      </c>
      <c r="E6" s="17">
        <v>7.68</v>
      </c>
      <c r="F6" s="18">
        <v>8</v>
      </c>
      <c r="G6" s="19">
        <v>62487.421730407565</v>
      </c>
      <c r="H6" s="19">
        <f t="shared" si="0"/>
        <v>7810.9277163009456</v>
      </c>
      <c r="I6" s="19">
        <f t="shared" si="1"/>
        <v>1640.2948204231984</v>
      </c>
      <c r="J6" s="19">
        <f t="shared" si="2"/>
        <v>9451.2225367241444</v>
      </c>
      <c r="K6" s="19">
        <f t="shared" si="3"/>
        <v>3307.9278878534506</v>
      </c>
      <c r="L6" s="19">
        <f t="shared" si="4"/>
        <v>12759.150424577594</v>
      </c>
      <c r="M6" s="19">
        <f t="shared" si="5"/>
        <v>5741.6176910599179</v>
      </c>
      <c r="N6" s="20">
        <f t="shared" si="6"/>
        <v>18500.768115637511</v>
      </c>
    </row>
    <row r="7" spans="2:14" x14ac:dyDescent="0.25">
      <c r="B7" s="21">
        <v>100021630</v>
      </c>
      <c r="C7" s="15" t="s">
        <v>16</v>
      </c>
      <c r="D7" s="16">
        <v>7790360026583</v>
      </c>
      <c r="E7" s="17">
        <v>9.6</v>
      </c>
      <c r="F7" s="18">
        <v>6</v>
      </c>
      <c r="G7" s="19">
        <v>78109.27716300945</v>
      </c>
      <c r="H7" s="19">
        <f t="shared" si="0"/>
        <v>13018.212860501575</v>
      </c>
      <c r="I7" s="19">
        <f t="shared" si="1"/>
        <v>2733.8247007053305</v>
      </c>
      <c r="J7" s="19">
        <f t="shared" si="2"/>
        <v>15752.037561206906</v>
      </c>
      <c r="K7" s="19">
        <f t="shared" si="3"/>
        <v>5513.2131464224167</v>
      </c>
      <c r="L7" s="19">
        <f t="shared" si="4"/>
        <v>21265.250707629322</v>
      </c>
      <c r="M7" s="19">
        <f t="shared" si="5"/>
        <v>9569.3628184331956</v>
      </c>
      <c r="N7" s="20">
        <f t="shared" si="6"/>
        <v>30834.613526062516</v>
      </c>
    </row>
    <row r="8" spans="2:14" x14ac:dyDescent="0.25">
      <c r="B8" s="22">
        <v>100021653</v>
      </c>
      <c r="C8" s="23" t="s">
        <v>17</v>
      </c>
      <c r="D8" s="16">
        <v>7790360026682</v>
      </c>
      <c r="E8" s="17">
        <v>5.76</v>
      </c>
      <c r="F8" s="18">
        <v>18</v>
      </c>
      <c r="G8" s="19">
        <v>51552.122927586242</v>
      </c>
      <c r="H8" s="19">
        <f t="shared" si="0"/>
        <v>2864.0068293103468</v>
      </c>
      <c r="I8" s="19">
        <f t="shared" si="1"/>
        <v>601.44143415517283</v>
      </c>
      <c r="J8" s="19">
        <f t="shared" si="2"/>
        <v>3465.4482634655196</v>
      </c>
      <c r="K8" s="19">
        <f t="shared" si="3"/>
        <v>1212.9068922129318</v>
      </c>
      <c r="L8" s="19">
        <f t="shared" si="4"/>
        <v>4678.3551556784514</v>
      </c>
      <c r="M8" s="19">
        <f t="shared" si="5"/>
        <v>2105.2598200553034</v>
      </c>
      <c r="N8" s="20">
        <f t="shared" si="6"/>
        <v>6783.6149757337553</v>
      </c>
    </row>
    <row r="9" spans="2:14" x14ac:dyDescent="0.25">
      <c r="B9" s="22">
        <v>100516169</v>
      </c>
      <c r="C9" s="23" t="s">
        <v>18</v>
      </c>
      <c r="D9" s="16">
        <v>7790360967961</v>
      </c>
      <c r="E9" s="17">
        <v>5.76</v>
      </c>
      <c r="F9" s="18">
        <v>18</v>
      </c>
      <c r="G9" s="19">
        <v>47534.511197250016</v>
      </c>
      <c r="H9" s="19">
        <f t="shared" si="0"/>
        <v>2640.8061776250011</v>
      </c>
      <c r="I9" s="19">
        <f t="shared" si="1"/>
        <v>554.56929730125023</v>
      </c>
      <c r="J9" s="19">
        <f t="shared" si="2"/>
        <v>3195.3754749262512</v>
      </c>
      <c r="K9" s="19">
        <f t="shared" si="3"/>
        <v>1118.3814162241879</v>
      </c>
      <c r="L9" s="19">
        <f t="shared" si="4"/>
        <v>4313.7568911504386</v>
      </c>
      <c r="M9" s="19">
        <f t="shared" si="5"/>
        <v>1941.1906010176974</v>
      </c>
      <c r="N9" s="20">
        <f t="shared" si="6"/>
        <v>6254.9474921681358</v>
      </c>
    </row>
    <row r="10" spans="2:14" x14ac:dyDescent="0.25">
      <c r="B10" s="22">
        <v>100520337</v>
      </c>
      <c r="C10" s="23" t="s">
        <v>19</v>
      </c>
      <c r="D10" s="16">
        <v>7790360977960</v>
      </c>
      <c r="E10" s="17">
        <v>4.8</v>
      </c>
      <c r="F10" s="18">
        <v>30</v>
      </c>
      <c r="G10" s="19">
        <v>27614.341692789974</v>
      </c>
      <c r="H10" s="19">
        <f>+G10/F10</f>
        <v>920.4780564263325</v>
      </c>
      <c r="I10" s="19">
        <f>+H10*I$3</f>
        <v>193.30039184952983</v>
      </c>
      <c r="J10" s="19">
        <f>+H10+I10</f>
        <v>1113.7784482758623</v>
      </c>
      <c r="K10" s="19">
        <f>+J10*K$3</f>
        <v>389.82245689655178</v>
      </c>
      <c r="L10" s="19">
        <f>+J10+K10</f>
        <v>1503.6009051724141</v>
      </c>
      <c r="M10" s="19">
        <f>+L10*M$3</f>
        <v>676.62040732758635</v>
      </c>
      <c r="N10" s="20">
        <f>+L10+M10</f>
        <v>2180.2213125000003</v>
      </c>
    </row>
    <row r="11" spans="2:14" x14ac:dyDescent="0.25">
      <c r="B11" s="22">
        <v>100021503</v>
      </c>
      <c r="C11" s="23" t="s">
        <v>20</v>
      </c>
      <c r="D11" s="16">
        <v>7790360966841</v>
      </c>
      <c r="E11" s="17">
        <v>3.3119999999999998</v>
      </c>
      <c r="F11" s="18">
        <v>12</v>
      </c>
      <c r="G11" s="19">
        <v>21084.263322884013</v>
      </c>
      <c r="H11" s="19">
        <f t="shared" si="0"/>
        <v>1757.0219435736678</v>
      </c>
      <c r="I11" s="19">
        <f t="shared" si="1"/>
        <v>368.97460815047026</v>
      </c>
      <c r="J11" s="19">
        <f t="shared" si="2"/>
        <v>2125.996551724138</v>
      </c>
      <c r="K11" s="19">
        <f t="shared" si="3"/>
        <v>744.09879310344832</v>
      </c>
      <c r="L11" s="19">
        <f t="shared" si="4"/>
        <v>2870.0953448275864</v>
      </c>
      <c r="M11" s="19">
        <f t="shared" si="5"/>
        <v>1291.5429051724138</v>
      </c>
      <c r="N11" s="20">
        <f t="shared" si="6"/>
        <v>4161.63825</v>
      </c>
    </row>
    <row r="12" spans="2:14" x14ac:dyDescent="0.25">
      <c r="B12" s="22">
        <v>100516201</v>
      </c>
      <c r="C12" s="23" t="s">
        <v>21</v>
      </c>
      <c r="D12" s="16">
        <v>7790360968548</v>
      </c>
      <c r="E12" s="17">
        <v>6.6239999999999997</v>
      </c>
      <c r="F12" s="18">
        <v>8</v>
      </c>
      <c r="G12" s="19">
        <v>46067.117847020418</v>
      </c>
      <c r="H12" s="19">
        <f t="shared" si="0"/>
        <v>5758.3897308775522</v>
      </c>
      <c r="I12" s="19">
        <f t="shared" si="1"/>
        <v>1209.2618434842859</v>
      </c>
      <c r="J12" s="19">
        <f t="shared" si="2"/>
        <v>6967.6515743618384</v>
      </c>
      <c r="K12" s="19">
        <f t="shared" si="3"/>
        <v>2438.6780510266431</v>
      </c>
      <c r="L12" s="19">
        <f t="shared" si="4"/>
        <v>9406.3296253884819</v>
      </c>
      <c r="M12" s="19">
        <f t="shared" si="5"/>
        <v>4232.8483314248169</v>
      </c>
      <c r="N12" s="20">
        <f t="shared" si="6"/>
        <v>13639.177956813299</v>
      </c>
    </row>
    <row r="13" spans="2:14" x14ac:dyDescent="0.25">
      <c r="B13" s="22">
        <v>100021643</v>
      </c>
      <c r="C13" s="23" t="s">
        <v>22</v>
      </c>
      <c r="D13" s="16">
        <v>7790360966797</v>
      </c>
      <c r="E13" s="17">
        <v>4.7039999999999997</v>
      </c>
      <c r="F13" s="18">
        <v>42</v>
      </c>
      <c r="G13" s="19">
        <v>28251.565956112863</v>
      </c>
      <c r="H13" s="19">
        <f t="shared" si="0"/>
        <v>672.65633228840147</v>
      </c>
      <c r="I13" s="19">
        <f t="shared" si="1"/>
        <v>141.25782978056429</v>
      </c>
      <c r="J13" s="19">
        <f t="shared" si="2"/>
        <v>813.91416206896577</v>
      </c>
      <c r="K13" s="19">
        <f t="shared" si="3"/>
        <v>284.86995672413798</v>
      </c>
      <c r="L13" s="19">
        <f t="shared" si="4"/>
        <v>1098.7841187931037</v>
      </c>
      <c r="M13" s="19">
        <f t="shared" si="5"/>
        <v>494.45285345689672</v>
      </c>
      <c r="N13" s="20">
        <f t="shared" si="6"/>
        <v>1593.2369722500005</v>
      </c>
    </row>
    <row r="14" spans="2:14" x14ac:dyDescent="0.25">
      <c r="B14" s="22">
        <v>100516325</v>
      </c>
      <c r="C14" s="23" t="s">
        <v>23</v>
      </c>
      <c r="D14" s="16">
        <v>7790360967763</v>
      </c>
      <c r="E14" s="17">
        <v>4.7039999999999997</v>
      </c>
      <c r="F14" s="18">
        <v>21</v>
      </c>
      <c r="G14" s="19">
        <v>31773.021457371331</v>
      </c>
      <c r="H14" s="19">
        <f t="shared" si="0"/>
        <v>1513.0010217795873</v>
      </c>
      <c r="I14" s="19">
        <f t="shared" si="1"/>
        <v>317.73021457371334</v>
      </c>
      <c r="J14" s="19">
        <f t="shared" si="2"/>
        <v>1830.7312363533006</v>
      </c>
      <c r="K14" s="19">
        <f t="shared" si="3"/>
        <v>640.75593272365518</v>
      </c>
      <c r="L14" s="19">
        <f t="shared" si="4"/>
        <v>2471.487169076956</v>
      </c>
      <c r="M14" s="19">
        <f t="shared" si="5"/>
        <v>1112.1692260846303</v>
      </c>
      <c r="N14" s="20">
        <f t="shared" si="6"/>
        <v>3583.6563951615863</v>
      </c>
    </row>
    <row r="15" spans="2:14" x14ac:dyDescent="0.25">
      <c r="B15" s="22">
        <v>100021676</v>
      </c>
      <c r="C15" s="23" t="s">
        <v>24</v>
      </c>
      <c r="D15" s="16">
        <v>7790360967411</v>
      </c>
      <c r="E15" s="17">
        <v>7.5</v>
      </c>
      <c r="F15" s="18">
        <v>30</v>
      </c>
      <c r="G15" s="19">
        <v>61903.059404388732</v>
      </c>
      <c r="H15" s="19">
        <f t="shared" si="0"/>
        <v>2063.4353134796243</v>
      </c>
      <c r="I15" s="19">
        <f t="shared" si="1"/>
        <v>433.32141583072109</v>
      </c>
      <c r="J15" s="19">
        <f t="shared" si="2"/>
        <v>2496.7567293103452</v>
      </c>
      <c r="K15" s="19">
        <f t="shared" si="3"/>
        <v>873.86485525862076</v>
      </c>
      <c r="L15" s="19">
        <f t="shared" si="4"/>
        <v>3370.6215845689658</v>
      </c>
      <c r="M15" s="19">
        <f t="shared" si="5"/>
        <v>1516.7797130560346</v>
      </c>
      <c r="N15" s="20">
        <f t="shared" si="6"/>
        <v>4887.4012976250006</v>
      </c>
    </row>
    <row r="16" spans="2:14" x14ac:dyDescent="0.25">
      <c r="B16" s="22">
        <v>100516008</v>
      </c>
      <c r="C16" s="23" t="s">
        <v>25</v>
      </c>
      <c r="D16" s="16">
        <v>7790360967701</v>
      </c>
      <c r="E16" s="17">
        <v>5.76</v>
      </c>
      <c r="F16" s="18">
        <v>24</v>
      </c>
      <c r="G16" s="19">
        <v>54953.721035668372</v>
      </c>
      <c r="H16" s="19">
        <f t="shared" si="0"/>
        <v>2289.738376486182</v>
      </c>
      <c r="I16" s="19">
        <f t="shared" si="1"/>
        <v>480.84505906209819</v>
      </c>
      <c r="J16" s="19">
        <f t="shared" si="2"/>
        <v>2770.5834355482802</v>
      </c>
      <c r="K16" s="19">
        <f t="shared" si="3"/>
        <v>969.70420244189802</v>
      </c>
      <c r="L16" s="19">
        <f t="shared" si="4"/>
        <v>3740.2876379901782</v>
      </c>
      <c r="M16" s="19">
        <f t="shared" si="5"/>
        <v>1683.1294370955802</v>
      </c>
      <c r="N16" s="20">
        <f t="shared" si="6"/>
        <v>5423.4170750857584</v>
      </c>
    </row>
    <row r="17" spans="2:14" x14ac:dyDescent="0.25">
      <c r="B17" s="22">
        <v>100520834</v>
      </c>
      <c r="C17" s="23" t="s">
        <v>26</v>
      </c>
      <c r="D17" s="16">
        <v>7790360980618</v>
      </c>
      <c r="E17" s="17">
        <v>6.66</v>
      </c>
      <c r="F17" s="18">
        <v>36</v>
      </c>
      <c r="G17" s="19">
        <v>64264.025194058624</v>
      </c>
      <c r="H17" s="19">
        <f>+G17/F17</f>
        <v>1785.1118109460729</v>
      </c>
      <c r="I17" s="19">
        <f>+H17*I$3</f>
        <v>374.8734802986753</v>
      </c>
      <c r="J17" s="19">
        <f>+H17+I17</f>
        <v>2159.9852912447482</v>
      </c>
      <c r="K17" s="19">
        <f>+J17*K$3</f>
        <v>755.99485193566181</v>
      </c>
      <c r="L17" s="19">
        <f>+J17+K17</f>
        <v>2915.9801431804099</v>
      </c>
      <c r="M17" s="19">
        <f>+L17*M$3</f>
        <v>1312.1910644311845</v>
      </c>
      <c r="N17" s="20">
        <f>+L17+M17</f>
        <v>4228.1712076115946</v>
      </c>
    </row>
    <row r="18" spans="2:14" x14ac:dyDescent="0.25">
      <c r="B18" s="22">
        <v>100021680</v>
      </c>
      <c r="C18" s="23" t="s">
        <v>27</v>
      </c>
      <c r="D18" s="16">
        <v>7790360967688</v>
      </c>
      <c r="E18" s="17">
        <v>4.32</v>
      </c>
      <c r="F18" s="18">
        <v>18</v>
      </c>
      <c r="G18" s="19">
        <v>51472.632736841813</v>
      </c>
      <c r="H18" s="19">
        <f t="shared" si="0"/>
        <v>2859.5907076023232</v>
      </c>
      <c r="I18" s="19">
        <f t="shared" si="1"/>
        <v>600.5140485964879</v>
      </c>
      <c r="J18" s="19">
        <f t="shared" si="2"/>
        <v>3460.1047561988112</v>
      </c>
      <c r="K18" s="19">
        <f t="shared" si="3"/>
        <v>1211.0366646695838</v>
      </c>
      <c r="L18" s="19">
        <f t="shared" si="4"/>
        <v>4671.1414208683946</v>
      </c>
      <c r="M18" s="19">
        <f t="shared" si="5"/>
        <v>2102.0136393907778</v>
      </c>
      <c r="N18" s="20">
        <f t="shared" si="6"/>
        <v>6773.1550602591724</v>
      </c>
    </row>
    <row r="19" spans="2:14" x14ac:dyDescent="0.25">
      <c r="B19" s="22">
        <v>100021644</v>
      </c>
      <c r="C19" s="23" t="s">
        <v>28</v>
      </c>
      <c r="D19" s="16">
        <v>7790360008541</v>
      </c>
      <c r="E19" s="17">
        <v>4.7039999999999997</v>
      </c>
      <c r="F19" s="18">
        <v>42</v>
      </c>
      <c r="G19" s="19">
        <v>19172.581341933932</v>
      </c>
      <c r="H19" s="19">
        <f t="shared" si="0"/>
        <v>456.49003195080792</v>
      </c>
      <c r="I19" s="19">
        <f t="shared" si="1"/>
        <v>95.862906709669659</v>
      </c>
      <c r="J19" s="19">
        <f t="shared" si="2"/>
        <v>552.35293866047755</v>
      </c>
      <c r="K19" s="19">
        <f>+J19*0.33</f>
        <v>182.27646975795761</v>
      </c>
      <c r="L19" s="19">
        <f t="shared" si="4"/>
        <v>734.6294084184351</v>
      </c>
      <c r="M19" s="19">
        <f t="shared" si="5"/>
        <v>330.58323378829579</v>
      </c>
      <c r="N19" s="20">
        <f t="shared" si="6"/>
        <v>1065.2126422067308</v>
      </c>
    </row>
    <row r="20" spans="2:14" x14ac:dyDescent="0.25">
      <c r="B20" s="22">
        <v>100021677</v>
      </c>
      <c r="C20" s="23" t="s">
        <v>29</v>
      </c>
      <c r="D20" s="16">
        <v>7790360967404</v>
      </c>
      <c r="E20" s="17">
        <v>3.3119999999999998</v>
      </c>
      <c r="F20" s="18">
        <v>12</v>
      </c>
      <c r="G20" s="19">
        <v>15215.664444176517</v>
      </c>
      <c r="H20" s="19">
        <f t="shared" si="0"/>
        <v>1267.9720370147097</v>
      </c>
      <c r="I20" s="19">
        <f t="shared" si="1"/>
        <v>266.27412777308905</v>
      </c>
      <c r="J20" s="19">
        <f t="shared" si="2"/>
        <v>1534.2461647877988</v>
      </c>
      <c r="K20" s="19">
        <f>+J20*0.33</f>
        <v>506.30123437997361</v>
      </c>
      <c r="L20" s="19">
        <f t="shared" si="4"/>
        <v>2040.5473991677723</v>
      </c>
      <c r="M20" s="19">
        <f t="shared" si="5"/>
        <v>918.24632962549754</v>
      </c>
      <c r="N20" s="20">
        <f t="shared" si="6"/>
        <v>2958.79372879327</v>
      </c>
    </row>
    <row r="21" spans="2:14" x14ac:dyDescent="0.25">
      <c r="B21" s="22">
        <v>100021638</v>
      </c>
      <c r="C21" s="23" t="s">
        <v>30</v>
      </c>
      <c r="D21" s="16">
        <v>7790360026699</v>
      </c>
      <c r="E21" s="17">
        <v>4.8</v>
      </c>
      <c r="F21" s="18">
        <v>60</v>
      </c>
      <c r="G21" s="19">
        <v>48413.086682057918</v>
      </c>
      <c r="H21" s="19">
        <f t="shared" si="0"/>
        <v>806.88477803429862</v>
      </c>
      <c r="I21" s="19">
        <f t="shared" si="1"/>
        <v>169.44580338720272</v>
      </c>
      <c r="J21" s="19">
        <f t="shared" si="2"/>
        <v>976.33058142150139</v>
      </c>
      <c r="K21" s="19">
        <f t="shared" si="3"/>
        <v>341.71570349752545</v>
      </c>
      <c r="L21" s="19">
        <f t="shared" si="4"/>
        <v>1318.0462849190269</v>
      </c>
      <c r="M21" s="19">
        <f t="shared" si="5"/>
        <v>593.12082821356216</v>
      </c>
      <c r="N21" s="20">
        <f t="shared" si="6"/>
        <v>1911.1671131325891</v>
      </c>
    </row>
    <row r="22" spans="2:14" x14ac:dyDescent="0.25">
      <c r="B22" s="22">
        <v>100021575</v>
      </c>
      <c r="C22" s="23" t="s">
        <v>31</v>
      </c>
      <c r="D22" s="16">
        <v>7790360007032</v>
      </c>
      <c r="E22" s="17">
        <v>4.1399999999999997</v>
      </c>
      <c r="F22" s="18">
        <v>60</v>
      </c>
      <c r="G22" s="19">
        <v>39706.426716643567</v>
      </c>
      <c r="H22" s="19">
        <f t="shared" si="0"/>
        <v>661.77377861072614</v>
      </c>
      <c r="I22" s="19">
        <f t="shared" si="1"/>
        <v>138.97249350825248</v>
      </c>
      <c r="J22" s="19">
        <f t="shared" si="2"/>
        <v>800.7462721189786</v>
      </c>
      <c r="K22" s="19">
        <f t="shared" si="3"/>
        <v>280.2611952416425</v>
      </c>
      <c r="L22" s="19">
        <f t="shared" si="4"/>
        <v>1081.0074673606211</v>
      </c>
      <c r="M22" s="19">
        <f t="shared" si="5"/>
        <v>486.45336031227953</v>
      </c>
      <c r="N22" s="20">
        <f t="shared" si="6"/>
        <v>1567.4608276729007</v>
      </c>
    </row>
    <row r="23" spans="2:14" x14ac:dyDescent="0.25">
      <c r="B23" s="22">
        <v>100021514</v>
      </c>
      <c r="C23" s="23" t="s">
        <v>32</v>
      </c>
      <c r="D23" s="16">
        <v>7790360006943</v>
      </c>
      <c r="E23" s="17">
        <v>4.1399999999999997</v>
      </c>
      <c r="F23" s="18">
        <v>60</v>
      </c>
      <c r="G23" s="19">
        <v>36132.623192663334</v>
      </c>
      <c r="H23" s="19">
        <f t="shared" si="0"/>
        <v>602.21038654438894</v>
      </c>
      <c r="I23" s="19">
        <f t="shared" si="1"/>
        <v>126.46418117432167</v>
      </c>
      <c r="J23" s="19">
        <f t="shared" si="2"/>
        <v>728.67456771871059</v>
      </c>
      <c r="K23" s="19">
        <f t="shared" si="3"/>
        <v>255.0360987015487</v>
      </c>
      <c r="L23" s="19">
        <f t="shared" si="4"/>
        <v>983.71066642025926</v>
      </c>
      <c r="M23" s="19">
        <f t="shared" si="5"/>
        <v>442.66979988911669</v>
      </c>
      <c r="N23" s="20">
        <f t="shared" si="6"/>
        <v>1426.3804663093761</v>
      </c>
    </row>
    <row r="24" spans="2:14" x14ac:dyDescent="0.25">
      <c r="B24" s="21">
        <v>100516208</v>
      </c>
      <c r="C24" s="24" t="s">
        <v>33</v>
      </c>
      <c r="D24" s="25">
        <v>7790360968203</v>
      </c>
      <c r="E24" s="17">
        <f>60*0.08</f>
        <v>4.8</v>
      </c>
      <c r="F24" s="18">
        <v>60</v>
      </c>
      <c r="G24" s="19">
        <v>41892.918554289827</v>
      </c>
      <c r="H24" s="19">
        <f t="shared" si="0"/>
        <v>698.21530923816374</v>
      </c>
      <c r="I24" s="19">
        <f t="shared" si="1"/>
        <v>146.62521494001439</v>
      </c>
      <c r="J24" s="19">
        <f t="shared" si="2"/>
        <v>844.84052417817816</v>
      </c>
      <c r="K24" s="19">
        <f t="shared" si="3"/>
        <v>295.69418346236233</v>
      </c>
      <c r="L24" s="19">
        <f t="shared" si="4"/>
        <v>1140.5347076405405</v>
      </c>
      <c r="M24" s="19">
        <f t="shared" si="5"/>
        <v>513.24061843824325</v>
      </c>
      <c r="N24" s="20">
        <f t="shared" si="6"/>
        <v>1653.7753260787838</v>
      </c>
    </row>
    <row r="25" spans="2:14" x14ac:dyDescent="0.25">
      <c r="B25" s="22">
        <v>100518346</v>
      </c>
      <c r="C25" s="23" t="s">
        <v>34</v>
      </c>
      <c r="D25" s="16"/>
      <c r="E25" s="17">
        <v>6.54</v>
      </c>
      <c r="F25" s="18">
        <v>60</v>
      </c>
      <c r="G25" s="19">
        <v>59877.116759374636</v>
      </c>
      <c r="H25" s="19">
        <f t="shared" si="0"/>
        <v>997.95194598957721</v>
      </c>
      <c r="I25" s="19">
        <f t="shared" si="1"/>
        <v>209.5699086578112</v>
      </c>
      <c r="J25" s="19">
        <f t="shared" si="2"/>
        <v>1207.5218546473884</v>
      </c>
      <c r="K25" s="19">
        <f t="shared" si="3"/>
        <v>422.63264912658593</v>
      </c>
      <c r="L25" s="19">
        <f t="shared" si="4"/>
        <v>1630.1545037739743</v>
      </c>
      <c r="M25" s="19">
        <f t="shared" si="5"/>
        <v>733.56952669828843</v>
      </c>
      <c r="N25" s="20">
        <f t="shared" si="6"/>
        <v>2363.7240304722627</v>
      </c>
    </row>
    <row r="26" spans="2:14" x14ac:dyDescent="0.25">
      <c r="B26" s="22">
        <v>100516259</v>
      </c>
      <c r="C26" s="23" t="s">
        <v>35</v>
      </c>
      <c r="D26" s="16">
        <v>7790360968340</v>
      </c>
      <c r="E26" s="17">
        <v>18.16</v>
      </c>
      <c r="F26" s="18">
        <v>48</v>
      </c>
      <c r="G26" s="19">
        <v>138537.06631969524</v>
      </c>
      <c r="H26" s="19">
        <f t="shared" si="0"/>
        <v>2886.1888816603173</v>
      </c>
      <c r="I26" s="19">
        <f t="shared" si="1"/>
        <v>606.09966514866665</v>
      </c>
      <c r="J26" s="19">
        <f t="shared" si="2"/>
        <v>3492.2885468089839</v>
      </c>
      <c r="K26" s="19">
        <f t="shared" si="3"/>
        <v>1222.3009913831443</v>
      </c>
      <c r="L26" s="19">
        <f t="shared" si="4"/>
        <v>4714.5895381921282</v>
      </c>
      <c r="M26" s="19">
        <f t="shared" si="5"/>
        <v>2121.5652921864576</v>
      </c>
      <c r="N26" s="20">
        <f t="shared" si="6"/>
        <v>6836.1548303785858</v>
      </c>
    </row>
    <row r="27" spans="2:14" x14ac:dyDescent="0.25">
      <c r="B27" s="26">
        <v>100518095</v>
      </c>
      <c r="C27" s="23" t="s">
        <v>36</v>
      </c>
      <c r="D27" s="16">
        <v>7790360974785</v>
      </c>
      <c r="E27" s="17">
        <v>6.66</v>
      </c>
      <c r="F27" s="18">
        <v>36</v>
      </c>
      <c r="G27" s="19">
        <v>69025.627256995998</v>
      </c>
      <c r="H27" s="19">
        <f t="shared" si="0"/>
        <v>1917.3785349165555</v>
      </c>
      <c r="I27" s="19">
        <f t="shared" si="1"/>
        <v>402.64949233247665</v>
      </c>
      <c r="J27" s="19">
        <f t="shared" si="2"/>
        <v>2320.0280272490322</v>
      </c>
      <c r="K27" s="19">
        <f t="shared" si="3"/>
        <v>812.00980953716123</v>
      </c>
      <c r="L27" s="19">
        <f t="shared" si="4"/>
        <v>3132.0378367861936</v>
      </c>
      <c r="M27" s="19">
        <f t="shared" si="5"/>
        <v>1409.4170265537871</v>
      </c>
      <c r="N27" s="20">
        <f t="shared" si="6"/>
        <v>4541.4548633399809</v>
      </c>
    </row>
    <row r="28" spans="2:14" x14ac:dyDescent="0.25">
      <c r="B28" s="22">
        <v>100518223</v>
      </c>
      <c r="C28" s="23" t="s">
        <v>37</v>
      </c>
      <c r="D28" s="16">
        <v>7790360975065</v>
      </c>
      <c r="E28" s="17">
        <f>60*0.106</f>
        <v>6.3599999999999994</v>
      </c>
      <c r="F28" s="18">
        <v>30</v>
      </c>
      <c r="G28" s="19">
        <v>53740.286886102404</v>
      </c>
      <c r="H28" s="19">
        <f t="shared" si="0"/>
        <v>1791.3428962034134</v>
      </c>
      <c r="I28" s="19">
        <f t="shared" si="1"/>
        <v>376.18200820271682</v>
      </c>
      <c r="J28" s="19">
        <f t="shared" si="2"/>
        <v>2167.5249044061302</v>
      </c>
      <c r="K28" s="19">
        <f t="shared" si="3"/>
        <v>758.63371654214552</v>
      </c>
      <c r="L28" s="19">
        <f t="shared" si="4"/>
        <v>2926.1586209482757</v>
      </c>
      <c r="M28" s="19">
        <f t="shared" si="5"/>
        <v>1316.771379426724</v>
      </c>
      <c r="N28" s="20">
        <f t="shared" si="6"/>
        <v>4242.9300003749995</v>
      </c>
    </row>
    <row r="29" spans="2:14" x14ac:dyDescent="0.25">
      <c r="B29" s="27"/>
      <c r="C29" s="28"/>
      <c r="D29" s="29"/>
      <c r="E29" s="28"/>
      <c r="F29" s="30"/>
      <c r="G29" s="30"/>
      <c r="H29" s="31" t="e">
        <f t="shared" si="0"/>
        <v>#DIV/0!</v>
      </c>
      <c r="I29" s="32">
        <v>0.21</v>
      </c>
      <c r="J29" s="31"/>
      <c r="K29" s="32">
        <v>0.35</v>
      </c>
      <c r="L29" s="31"/>
      <c r="M29" s="32">
        <v>0.5</v>
      </c>
      <c r="N29" s="33"/>
    </row>
    <row r="30" spans="2:14" x14ac:dyDescent="0.25">
      <c r="B30" s="22">
        <v>100022085</v>
      </c>
      <c r="C30" s="23" t="s">
        <v>38</v>
      </c>
      <c r="D30" s="16">
        <v>7790360000132</v>
      </c>
      <c r="E30" s="17">
        <v>5.4</v>
      </c>
      <c r="F30" s="18">
        <v>24</v>
      </c>
      <c r="G30" s="19">
        <v>22478.46743295019</v>
      </c>
      <c r="H30" s="19">
        <f t="shared" si="0"/>
        <v>936.60280970625797</v>
      </c>
      <c r="I30" s="19">
        <f t="shared" si="1"/>
        <v>196.68659003831416</v>
      </c>
      <c r="J30" s="19">
        <f t="shared" si="2"/>
        <v>1133.2893997445722</v>
      </c>
      <c r="K30" s="19">
        <f t="shared" si="3"/>
        <v>396.65128991060021</v>
      </c>
      <c r="L30" s="19">
        <f t="shared" si="4"/>
        <v>1529.9406896551723</v>
      </c>
      <c r="M30" s="19">
        <f t="shared" si="5"/>
        <v>688.4733103448275</v>
      </c>
      <c r="N30" s="20">
        <f t="shared" si="6"/>
        <v>2218.4139999999998</v>
      </c>
    </row>
    <row r="31" spans="2:14" x14ac:dyDescent="0.25">
      <c r="B31" s="22">
        <v>100522204</v>
      </c>
      <c r="C31" s="23" t="s">
        <v>38</v>
      </c>
      <c r="D31" s="16">
        <v>7790360983947</v>
      </c>
      <c r="E31" s="17">
        <v>5.4</v>
      </c>
      <c r="F31" s="18">
        <v>24</v>
      </c>
      <c r="G31" s="19">
        <v>22478.46743295019</v>
      </c>
      <c r="H31" s="19">
        <f t="shared" si="0"/>
        <v>936.60280970625797</v>
      </c>
      <c r="I31" s="19">
        <f t="shared" si="1"/>
        <v>196.68659003831416</v>
      </c>
      <c r="J31" s="19">
        <f t="shared" si="2"/>
        <v>1133.2893997445722</v>
      </c>
      <c r="K31" s="19">
        <f t="shared" si="3"/>
        <v>396.65128991060021</v>
      </c>
      <c r="L31" s="19">
        <f t="shared" si="4"/>
        <v>1529.9406896551723</v>
      </c>
      <c r="M31" s="19">
        <f t="shared" si="5"/>
        <v>688.4733103448275</v>
      </c>
      <c r="N31" s="20">
        <f t="shared" si="6"/>
        <v>2218.4139999999998</v>
      </c>
    </row>
    <row r="32" spans="2:14" x14ac:dyDescent="0.25">
      <c r="B32" s="22">
        <v>100022072</v>
      </c>
      <c r="C32" s="23" t="s">
        <v>39</v>
      </c>
      <c r="D32" s="16">
        <v>7790360024541</v>
      </c>
      <c r="E32" s="17">
        <v>5.4</v>
      </c>
      <c r="F32" s="18">
        <v>12</v>
      </c>
      <c r="G32" s="19">
        <v>21354.54406130268</v>
      </c>
      <c r="H32" s="19">
        <f t="shared" si="0"/>
        <v>1779.54533844189</v>
      </c>
      <c r="I32" s="19">
        <f t="shared" si="1"/>
        <v>373.70452107279687</v>
      </c>
      <c r="J32" s="19">
        <f t="shared" si="2"/>
        <v>2153.2498595146867</v>
      </c>
      <c r="K32" s="19">
        <f t="shared" si="3"/>
        <v>753.63745083014032</v>
      </c>
      <c r="L32" s="19">
        <f t="shared" si="4"/>
        <v>2906.8873103448268</v>
      </c>
      <c r="M32" s="19">
        <f t="shared" si="5"/>
        <v>1308.099289655172</v>
      </c>
      <c r="N32" s="20">
        <f t="shared" si="6"/>
        <v>4214.9865999999984</v>
      </c>
    </row>
    <row r="33" spans="2:14" x14ac:dyDescent="0.25">
      <c r="B33" s="22">
        <v>100522205</v>
      </c>
      <c r="C33" s="23" t="s">
        <v>39</v>
      </c>
      <c r="D33" s="16">
        <v>7790360983954</v>
      </c>
      <c r="E33" s="17">
        <v>5.4</v>
      </c>
      <c r="F33" s="18">
        <v>12</v>
      </c>
      <c r="G33" s="19">
        <v>21354.54406130268</v>
      </c>
      <c r="H33" s="19">
        <f t="shared" si="0"/>
        <v>1779.54533844189</v>
      </c>
      <c r="I33" s="19">
        <f t="shared" si="1"/>
        <v>373.70452107279687</v>
      </c>
      <c r="J33" s="19">
        <f t="shared" si="2"/>
        <v>2153.2498595146867</v>
      </c>
      <c r="K33" s="19">
        <f t="shared" si="3"/>
        <v>753.63745083014032</v>
      </c>
      <c r="L33" s="19">
        <f t="shared" si="4"/>
        <v>2906.8873103448268</v>
      </c>
      <c r="M33" s="19">
        <f t="shared" si="5"/>
        <v>1308.099289655172</v>
      </c>
      <c r="N33" s="20">
        <f t="shared" si="6"/>
        <v>4214.9865999999984</v>
      </c>
    </row>
    <row r="34" spans="2:14" x14ac:dyDescent="0.25">
      <c r="B34" s="22">
        <v>100516849</v>
      </c>
      <c r="C34" s="23" t="s">
        <v>40</v>
      </c>
      <c r="D34" s="16">
        <v>7790360970053</v>
      </c>
      <c r="E34" s="17">
        <v>4.5599999990400004</v>
      </c>
      <c r="F34" s="18">
        <v>24</v>
      </c>
      <c r="G34" s="19">
        <v>17982.773946360154</v>
      </c>
      <c r="H34" s="19">
        <f t="shared" si="0"/>
        <v>749.28224776500645</v>
      </c>
      <c r="I34" s="19">
        <f t="shared" si="1"/>
        <v>157.34927203065135</v>
      </c>
      <c r="J34" s="19">
        <f t="shared" si="2"/>
        <v>906.63151979565782</v>
      </c>
      <c r="K34" s="19">
        <f t="shared" si="3"/>
        <v>317.32103192848024</v>
      </c>
      <c r="L34" s="19">
        <f t="shared" si="4"/>
        <v>1223.9525517241382</v>
      </c>
      <c r="M34" s="19">
        <f t="shared" si="5"/>
        <v>550.77864827586222</v>
      </c>
      <c r="N34" s="20">
        <f t="shared" si="6"/>
        <v>1774.7312000000004</v>
      </c>
    </row>
    <row r="35" spans="2:14" x14ac:dyDescent="0.25">
      <c r="B35" s="22">
        <v>100022039</v>
      </c>
      <c r="C35" s="23" t="s">
        <v>41</v>
      </c>
      <c r="D35" s="16">
        <v>7790360007063</v>
      </c>
      <c r="E35" s="17">
        <v>8.6999999999999993</v>
      </c>
      <c r="F35" s="18">
        <v>10</v>
      </c>
      <c r="G35" s="19">
        <v>61645.968390268135</v>
      </c>
      <c r="H35" s="19">
        <f t="shared" si="0"/>
        <v>6164.5968390268135</v>
      </c>
      <c r="I35" s="19">
        <f t="shared" si="1"/>
        <v>1294.5653361956308</v>
      </c>
      <c r="J35" s="19">
        <f t="shared" si="2"/>
        <v>7459.1621752224446</v>
      </c>
      <c r="K35" s="19">
        <f t="shared" si="3"/>
        <v>2610.7067613278555</v>
      </c>
      <c r="L35" s="19">
        <f t="shared" si="4"/>
        <v>10069.8689365503</v>
      </c>
      <c r="M35" s="19">
        <f t="shared" si="5"/>
        <v>4531.4410214476347</v>
      </c>
      <c r="N35" s="20">
        <f t="shared" si="6"/>
        <v>14601.309957997935</v>
      </c>
    </row>
    <row r="36" spans="2:14" x14ac:dyDescent="0.25">
      <c r="B36" s="22">
        <v>100522206</v>
      </c>
      <c r="C36" s="23" t="s">
        <v>41</v>
      </c>
      <c r="D36" s="16">
        <v>7790360983961</v>
      </c>
      <c r="E36" s="17">
        <v>8.6999999999999993</v>
      </c>
      <c r="F36" s="18">
        <v>10</v>
      </c>
      <c r="G36" s="19">
        <v>61645.968390268135</v>
      </c>
      <c r="H36" s="19">
        <f t="shared" si="0"/>
        <v>6164.5968390268135</v>
      </c>
      <c r="I36" s="19">
        <f t="shared" si="1"/>
        <v>1294.5653361956308</v>
      </c>
      <c r="J36" s="19">
        <f t="shared" si="2"/>
        <v>7459.1621752224446</v>
      </c>
      <c r="K36" s="19">
        <f t="shared" si="3"/>
        <v>2610.7067613278555</v>
      </c>
      <c r="L36" s="19">
        <f t="shared" si="4"/>
        <v>10069.8689365503</v>
      </c>
      <c r="M36" s="19">
        <f t="shared" si="5"/>
        <v>4531.4410214476347</v>
      </c>
      <c r="N36" s="20">
        <f t="shared" si="6"/>
        <v>14601.309957997935</v>
      </c>
    </row>
    <row r="37" spans="2:14" x14ac:dyDescent="0.25">
      <c r="B37" s="22">
        <v>100022058</v>
      </c>
      <c r="C37" s="23" t="s">
        <v>42</v>
      </c>
      <c r="D37" s="16">
        <v>7790360026002</v>
      </c>
      <c r="E37" s="17">
        <v>4.5599999990400004</v>
      </c>
      <c r="F37" s="18">
        <v>24</v>
      </c>
      <c r="G37" s="19">
        <v>19639.955616517032</v>
      </c>
      <c r="H37" s="19">
        <f t="shared" si="0"/>
        <v>818.33148402154302</v>
      </c>
      <c r="I37" s="19">
        <f t="shared" si="1"/>
        <v>171.84961164452403</v>
      </c>
      <c r="J37" s="19">
        <f t="shared" si="2"/>
        <v>990.18109566606699</v>
      </c>
      <c r="K37" s="19">
        <f>+J37*0.33</f>
        <v>326.75976156980215</v>
      </c>
      <c r="L37" s="19">
        <f t="shared" si="4"/>
        <v>1316.9408572358691</v>
      </c>
      <c r="M37" s="19">
        <f t="shared" si="5"/>
        <v>592.62338575614115</v>
      </c>
      <c r="N37" s="20">
        <f t="shared" si="6"/>
        <v>1909.5642429920103</v>
      </c>
    </row>
    <row r="38" spans="2:14" x14ac:dyDescent="0.25">
      <c r="B38" s="22">
        <v>100518151</v>
      </c>
      <c r="C38" s="23" t="s">
        <v>43</v>
      </c>
      <c r="D38" s="16">
        <v>7790360974990</v>
      </c>
      <c r="E38" s="17">
        <v>8.6999999999999993</v>
      </c>
      <c r="F38" s="18">
        <v>10</v>
      </c>
      <c r="G38" s="19">
        <v>70230.313521249351</v>
      </c>
      <c r="H38" s="19">
        <f t="shared" si="0"/>
        <v>7023.0313521249354</v>
      </c>
      <c r="I38" s="19">
        <f t="shared" si="1"/>
        <v>1474.8365839462365</v>
      </c>
      <c r="J38" s="19">
        <f t="shared" si="2"/>
        <v>8497.8679360711722</v>
      </c>
      <c r="K38" s="19">
        <f>+J38*0.33</f>
        <v>2804.2964189034869</v>
      </c>
      <c r="L38" s="19">
        <f t="shared" si="4"/>
        <v>11302.164354974659</v>
      </c>
      <c r="M38" s="19">
        <f t="shared" si="5"/>
        <v>5085.9739597385969</v>
      </c>
      <c r="N38" s="20">
        <f t="shared" si="6"/>
        <v>16388.138314713255</v>
      </c>
    </row>
    <row r="39" spans="2:14" x14ac:dyDescent="0.25">
      <c r="B39" s="27"/>
      <c r="C39" s="28"/>
      <c r="D39" s="29"/>
      <c r="E39" s="28"/>
      <c r="F39" s="30"/>
      <c r="G39" s="30"/>
      <c r="H39" s="31" t="e">
        <f t="shared" si="0"/>
        <v>#DIV/0!</v>
      </c>
      <c r="I39" s="32">
        <v>0.21</v>
      </c>
      <c r="J39" s="31"/>
      <c r="K39" s="32">
        <v>0.22</v>
      </c>
      <c r="L39" s="31"/>
      <c r="M39" s="32">
        <v>0.35</v>
      </c>
      <c r="N39" s="33"/>
    </row>
    <row r="40" spans="2:14" x14ac:dyDescent="0.25">
      <c r="B40" s="22">
        <v>100021000</v>
      </c>
      <c r="C40" s="23" t="s">
        <v>44</v>
      </c>
      <c r="D40" s="16">
        <v>7790360720382</v>
      </c>
      <c r="E40" s="17">
        <v>2.16</v>
      </c>
      <c r="F40" s="18">
        <v>24</v>
      </c>
      <c r="G40" s="19">
        <v>13579.524837332692</v>
      </c>
      <c r="H40" s="19">
        <f t="shared" si="0"/>
        <v>565.81353488886214</v>
      </c>
      <c r="I40" s="19">
        <f t="shared" si="1"/>
        <v>118.82084232666105</v>
      </c>
      <c r="J40" s="19">
        <f t="shared" si="2"/>
        <v>684.63437721552316</v>
      </c>
      <c r="K40" s="19">
        <f>+J40*K$39</f>
        <v>150.61956298741509</v>
      </c>
      <c r="L40" s="19">
        <f t="shared" si="4"/>
        <v>835.25394020293822</v>
      </c>
      <c r="M40" s="19">
        <f>+L40*M$39</f>
        <v>292.33887907102837</v>
      </c>
      <c r="N40" s="20">
        <f t="shared" si="6"/>
        <v>1127.5928192739666</v>
      </c>
    </row>
    <row r="41" spans="2:14" x14ac:dyDescent="0.25">
      <c r="B41" s="22">
        <v>100021001</v>
      </c>
      <c r="C41" s="23" t="s">
        <v>45</v>
      </c>
      <c r="D41" s="16">
        <v>7790360720115</v>
      </c>
      <c r="E41" s="17">
        <v>2.16</v>
      </c>
      <c r="F41" s="18">
        <v>24</v>
      </c>
      <c r="G41" s="19">
        <v>13579.524837332692</v>
      </c>
      <c r="H41" s="19">
        <f t="shared" si="0"/>
        <v>565.81353488886214</v>
      </c>
      <c r="I41" s="19">
        <f t="shared" si="1"/>
        <v>118.82084232666105</v>
      </c>
      <c r="J41" s="19">
        <f t="shared" si="2"/>
        <v>684.63437721552316</v>
      </c>
      <c r="K41" s="19">
        <f t="shared" ref="K41:K56" si="7">+J41*K$39</f>
        <v>150.61956298741509</v>
      </c>
      <c r="L41" s="19">
        <f t="shared" si="4"/>
        <v>835.25394020293822</v>
      </c>
      <c r="M41" s="19">
        <f t="shared" ref="M41:M56" si="8">+L41*M$39</f>
        <v>292.33887907102837</v>
      </c>
      <c r="N41" s="20">
        <f t="shared" si="6"/>
        <v>1127.5928192739666</v>
      </c>
    </row>
    <row r="42" spans="2:14" x14ac:dyDescent="0.25">
      <c r="B42" s="26">
        <v>100522277</v>
      </c>
      <c r="C42" s="23" t="s">
        <v>46</v>
      </c>
      <c r="D42" s="16"/>
      <c r="E42" s="17">
        <v>2.16</v>
      </c>
      <c r="F42" s="18">
        <v>24</v>
      </c>
      <c r="G42" s="19">
        <v>13579.524837332692</v>
      </c>
      <c r="H42" s="19">
        <f t="shared" si="0"/>
        <v>565.81353488886214</v>
      </c>
      <c r="I42" s="19">
        <f t="shared" si="1"/>
        <v>118.82084232666105</v>
      </c>
      <c r="J42" s="19">
        <f t="shared" si="2"/>
        <v>684.63437721552316</v>
      </c>
      <c r="K42" s="19">
        <f t="shared" si="7"/>
        <v>150.61956298741509</v>
      </c>
      <c r="L42" s="19">
        <f t="shared" si="4"/>
        <v>835.25394020293822</v>
      </c>
      <c r="M42" s="19">
        <f t="shared" si="8"/>
        <v>292.33887907102837</v>
      </c>
      <c r="N42" s="20">
        <f t="shared" si="6"/>
        <v>1127.5928192739666</v>
      </c>
    </row>
    <row r="43" spans="2:14" x14ac:dyDescent="0.25">
      <c r="B43" s="26">
        <v>100522333</v>
      </c>
      <c r="C43" s="23" t="s">
        <v>47</v>
      </c>
      <c r="D43" s="16"/>
      <c r="E43" s="17">
        <v>2.16</v>
      </c>
      <c r="F43" s="18">
        <v>24</v>
      </c>
      <c r="G43" s="19">
        <v>13579.524837332692</v>
      </c>
      <c r="H43" s="19">
        <f t="shared" si="0"/>
        <v>565.81353488886214</v>
      </c>
      <c r="I43" s="19">
        <f t="shared" si="1"/>
        <v>118.82084232666105</v>
      </c>
      <c r="J43" s="19">
        <f t="shared" si="2"/>
        <v>684.63437721552316</v>
      </c>
      <c r="K43" s="19">
        <f t="shared" si="7"/>
        <v>150.61956298741509</v>
      </c>
      <c r="L43" s="19">
        <f t="shared" si="4"/>
        <v>835.25394020293822</v>
      </c>
      <c r="M43" s="19">
        <f t="shared" si="8"/>
        <v>292.33887907102837</v>
      </c>
      <c r="N43" s="20">
        <f t="shared" si="6"/>
        <v>1127.5928192739666</v>
      </c>
    </row>
    <row r="44" spans="2:14" x14ac:dyDescent="0.25">
      <c r="B44" s="22">
        <v>100021045</v>
      </c>
      <c r="C44" s="23" t="s">
        <v>48</v>
      </c>
      <c r="D44" s="16">
        <v>7790360966582</v>
      </c>
      <c r="E44" s="17">
        <v>2.16</v>
      </c>
      <c r="F44" s="18">
        <v>24</v>
      </c>
      <c r="G44" s="19">
        <v>13579.52483733269</v>
      </c>
      <c r="H44" s="19">
        <f t="shared" si="0"/>
        <v>565.81353488886214</v>
      </c>
      <c r="I44" s="19">
        <f t="shared" si="1"/>
        <v>118.82084232666105</v>
      </c>
      <c r="J44" s="19">
        <f t="shared" si="2"/>
        <v>684.63437721552316</v>
      </c>
      <c r="K44" s="19">
        <f t="shared" si="7"/>
        <v>150.61956298741509</v>
      </c>
      <c r="L44" s="19">
        <f t="shared" si="4"/>
        <v>835.25394020293822</v>
      </c>
      <c r="M44" s="19">
        <f t="shared" si="8"/>
        <v>292.33887907102837</v>
      </c>
      <c r="N44" s="20">
        <f t="shared" si="6"/>
        <v>1127.5928192739666</v>
      </c>
    </row>
    <row r="45" spans="2:14" x14ac:dyDescent="0.25">
      <c r="B45" s="22">
        <v>100021004</v>
      </c>
      <c r="C45" s="23" t="s">
        <v>49</v>
      </c>
      <c r="D45" s="16">
        <v>7790360964526</v>
      </c>
      <c r="E45" s="17">
        <v>2.1120000000000001</v>
      </c>
      <c r="F45" s="18">
        <v>24</v>
      </c>
      <c r="G45" s="19">
        <v>13579.52483733269</v>
      </c>
      <c r="H45" s="19">
        <f t="shared" si="0"/>
        <v>565.81353488886214</v>
      </c>
      <c r="I45" s="19">
        <f t="shared" si="1"/>
        <v>118.82084232666105</v>
      </c>
      <c r="J45" s="19">
        <f t="shared" si="2"/>
        <v>684.63437721552316</v>
      </c>
      <c r="K45" s="19">
        <f t="shared" si="7"/>
        <v>150.61956298741509</v>
      </c>
      <c r="L45" s="19">
        <f t="shared" si="4"/>
        <v>835.25394020293822</v>
      </c>
      <c r="M45" s="19">
        <f t="shared" si="8"/>
        <v>292.33887907102837</v>
      </c>
      <c r="N45" s="20">
        <f t="shared" si="6"/>
        <v>1127.5928192739666</v>
      </c>
    </row>
    <row r="46" spans="2:14" x14ac:dyDescent="0.25">
      <c r="B46" s="22">
        <v>100021006</v>
      </c>
      <c r="C46" s="23" t="s">
        <v>50</v>
      </c>
      <c r="D46" s="16">
        <v>7790360964557</v>
      </c>
      <c r="E46" s="17">
        <v>2.1120000000000001</v>
      </c>
      <c r="F46" s="18">
        <v>24</v>
      </c>
      <c r="G46" s="19">
        <v>13579.52483733269</v>
      </c>
      <c r="H46" s="19">
        <f t="shared" si="0"/>
        <v>565.81353488886214</v>
      </c>
      <c r="I46" s="19">
        <f t="shared" si="1"/>
        <v>118.82084232666105</v>
      </c>
      <c r="J46" s="19">
        <f t="shared" si="2"/>
        <v>684.63437721552316</v>
      </c>
      <c r="K46" s="19">
        <f t="shared" si="7"/>
        <v>150.61956298741509</v>
      </c>
      <c r="L46" s="19">
        <f t="shared" si="4"/>
        <v>835.25394020293822</v>
      </c>
      <c r="M46" s="19">
        <f t="shared" si="8"/>
        <v>292.33887907102837</v>
      </c>
      <c r="N46" s="20">
        <f t="shared" si="6"/>
        <v>1127.5928192739666</v>
      </c>
    </row>
    <row r="47" spans="2:14" x14ac:dyDescent="0.25">
      <c r="B47" s="22">
        <v>100021007</v>
      </c>
      <c r="C47" s="23" t="s">
        <v>51</v>
      </c>
      <c r="D47" s="16">
        <v>7790360964540</v>
      </c>
      <c r="E47" s="17">
        <v>2.04</v>
      </c>
      <c r="F47" s="18">
        <v>24</v>
      </c>
      <c r="G47" s="19">
        <v>15501.688125000002</v>
      </c>
      <c r="H47" s="19">
        <f t="shared" si="0"/>
        <v>645.9036718750001</v>
      </c>
      <c r="I47" s="19">
        <f t="shared" si="1"/>
        <v>135.63977109375003</v>
      </c>
      <c r="J47" s="19">
        <f t="shared" si="2"/>
        <v>781.54344296875013</v>
      </c>
      <c r="K47" s="19">
        <f t="shared" si="7"/>
        <v>171.93955745312502</v>
      </c>
      <c r="L47" s="19">
        <f t="shared" si="4"/>
        <v>953.4830004218752</v>
      </c>
      <c r="M47" s="19">
        <f t="shared" si="8"/>
        <v>333.71905014765628</v>
      </c>
      <c r="N47" s="20">
        <f t="shared" si="6"/>
        <v>1287.2020505695314</v>
      </c>
    </row>
    <row r="48" spans="2:14" x14ac:dyDescent="0.25">
      <c r="B48" s="22">
        <v>100021013</v>
      </c>
      <c r="C48" s="23" t="s">
        <v>52</v>
      </c>
      <c r="D48" s="16">
        <v>7790360965714</v>
      </c>
      <c r="E48" s="17">
        <v>2.04</v>
      </c>
      <c r="F48" s="18">
        <v>24</v>
      </c>
      <c r="G48" s="19">
        <v>15501.688125000002</v>
      </c>
      <c r="H48" s="19">
        <f t="shared" si="0"/>
        <v>645.9036718750001</v>
      </c>
      <c r="I48" s="19">
        <f t="shared" si="1"/>
        <v>135.63977109375003</v>
      </c>
      <c r="J48" s="19">
        <f t="shared" si="2"/>
        <v>781.54344296875013</v>
      </c>
      <c r="K48" s="19">
        <f t="shared" si="7"/>
        <v>171.93955745312502</v>
      </c>
      <c r="L48" s="19">
        <f t="shared" si="4"/>
        <v>953.4830004218752</v>
      </c>
      <c r="M48" s="19">
        <f t="shared" si="8"/>
        <v>333.71905014765628</v>
      </c>
      <c r="N48" s="20">
        <f t="shared" si="6"/>
        <v>1287.2020505695314</v>
      </c>
    </row>
    <row r="49" spans="2:14" x14ac:dyDescent="0.25">
      <c r="B49" s="22">
        <v>100021014</v>
      </c>
      <c r="C49" s="23" t="s">
        <v>53</v>
      </c>
      <c r="D49" s="16">
        <v>7790360965721</v>
      </c>
      <c r="E49" s="17">
        <v>2.04</v>
      </c>
      <c r="F49" s="18">
        <v>24</v>
      </c>
      <c r="G49" s="19">
        <v>15501.688125000002</v>
      </c>
      <c r="H49" s="19">
        <f t="shared" si="0"/>
        <v>645.9036718750001</v>
      </c>
      <c r="I49" s="19">
        <f t="shared" si="1"/>
        <v>135.63977109375003</v>
      </c>
      <c r="J49" s="19">
        <f t="shared" si="2"/>
        <v>781.54344296875013</v>
      </c>
      <c r="K49" s="19">
        <f t="shared" si="7"/>
        <v>171.93955745312502</v>
      </c>
      <c r="L49" s="19">
        <f t="shared" si="4"/>
        <v>953.4830004218752</v>
      </c>
      <c r="M49" s="19">
        <f t="shared" si="8"/>
        <v>333.71905014765628</v>
      </c>
      <c r="N49" s="20">
        <f t="shared" si="6"/>
        <v>1287.2020505695314</v>
      </c>
    </row>
    <row r="50" spans="2:14" x14ac:dyDescent="0.25">
      <c r="B50" s="22">
        <v>100021054</v>
      </c>
      <c r="C50" s="23" t="s">
        <v>54</v>
      </c>
      <c r="D50" s="16">
        <v>7790360965707</v>
      </c>
      <c r="E50" s="17">
        <v>2.04</v>
      </c>
      <c r="F50" s="18">
        <v>24</v>
      </c>
      <c r="G50" s="19">
        <v>15501.688125000002</v>
      </c>
      <c r="H50" s="19">
        <f t="shared" si="0"/>
        <v>645.9036718750001</v>
      </c>
      <c r="I50" s="19">
        <f t="shared" si="1"/>
        <v>135.63977109375003</v>
      </c>
      <c r="J50" s="19">
        <f t="shared" si="2"/>
        <v>781.54344296875013</v>
      </c>
      <c r="K50" s="19">
        <f t="shared" si="7"/>
        <v>171.93955745312502</v>
      </c>
      <c r="L50" s="19">
        <f t="shared" si="4"/>
        <v>953.4830004218752</v>
      </c>
      <c r="M50" s="19">
        <f t="shared" si="8"/>
        <v>333.71905014765628</v>
      </c>
      <c r="N50" s="20">
        <f t="shared" si="6"/>
        <v>1287.2020505695314</v>
      </c>
    </row>
    <row r="51" spans="2:14" x14ac:dyDescent="0.25">
      <c r="B51" s="22">
        <v>100021055</v>
      </c>
      <c r="C51" s="23" t="s">
        <v>55</v>
      </c>
      <c r="D51" s="16">
        <v>7790360965189</v>
      </c>
      <c r="E51" s="17">
        <v>2.04</v>
      </c>
      <c r="F51" s="18">
        <v>24</v>
      </c>
      <c r="G51" s="19">
        <v>15501.688125000002</v>
      </c>
      <c r="H51" s="19">
        <f t="shared" si="0"/>
        <v>645.9036718750001</v>
      </c>
      <c r="I51" s="19">
        <f t="shared" si="1"/>
        <v>135.63977109375003</v>
      </c>
      <c r="J51" s="19">
        <f t="shared" si="2"/>
        <v>781.54344296875013</v>
      </c>
      <c r="K51" s="19">
        <f t="shared" si="7"/>
        <v>171.93955745312502</v>
      </c>
      <c r="L51" s="19">
        <f t="shared" si="4"/>
        <v>953.4830004218752</v>
      </c>
      <c r="M51" s="19">
        <f t="shared" si="8"/>
        <v>333.71905014765628</v>
      </c>
      <c r="N51" s="20">
        <f t="shared" si="6"/>
        <v>1287.2020505695314</v>
      </c>
    </row>
    <row r="52" spans="2:14" x14ac:dyDescent="0.25">
      <c r="B52" s="22">
        <v>100021015</v>
      </c>
      <c r="C52" s="23" t="s">
        <v>56</v>
      </c>
      <c r="D52" s="16">
        <v>7790360965202</v>
      </c>
      <c r="E52" s="17">
        <v>2.04</v>
      </c>
      <c r="F52" s="18">
        <v>24</v>
      </c>
      <c r="G52" s="19">
        <v>15501.688125000002</v>
      </c>
      <c r="H52" s="19">
        <f t="shared" si="0"/>
        <v>645.9036718750001</v>
      </c>
      <c r="I52" s="19">
        <f t="shared" si="1"/>
        <v>135.63977109375003</v>
      </c>
      <c r="J52" s="19">
        <f t="shared" si="2"/>
        <v>781.54344296875013</v>
      </c>
      <c r="K52" s="19">
        <f t="shared" si="7"/>
        <v>171.93955745312502</v>
      </c>
      <c r="L52" s="19">
        <f t="shared" si="4"/>
        <v>953.4830004218752</v>
      </c>
      <c r="M52" s="19">
        <f t="shared" si="8"/>
        <v>333.71905014765628</v>
      </c>
      <c r="N52" s="20">
        <f t="shared" si="6"/>
        <v>1287.2020505695314</v>
      </c>
    </row>
    <row r="53" spans="2:14" x14ac:dyDescent="0.25">
      <c r="B53" s="22">
        <v>100021008</v>
      </c>
      <c r="C53" s="23" t="s">
        <v>57</v>
      </c>
      <c r="D53" s="16">
        <v>7790360720122</v>
      </c>
      <c r="E53" s="17">
        <v>2.16</v>
      </c>
      <c r="F53" s="18">
        <v>24</v>
      </c>
      <c r="G53" s="19">
        <v>11493.435828538131</v>
      </c>
      <c r="H53" s="19">
        <f t="shared" si="0"/>
        <v>478.89315952242214</v>
      </c>
      <c r="I53" s="19">
        <f t="shared" si="1"/>
        <v>100.56756349970864</v>
      </c>
      <c r="J53" s="19">
        <f t="shared" si="2"/>
        <v>579.46072302213076</v>
      </c>
      <c r="K53" s="19">
        <f t="shared" si="7"/>
        <v>127.48135906486877</v>
      </c>
      <c r="L53" s="19">
        <f t="shared" si="4"/>
        <v>706.94208208699956</v>
      </c>
      <c r="M53" s="19">
        <f t="shared" si="8"/>
        <v>247.42972873044982</v>
      </c>
      <c r="N53" s="20">
        <f t="shared" si="6"/>
        <v>954.37181081744939</v>
      </c>
    </row>
    <row r="54" spans="2:14" x14ac:dyDescent="0.25">
      <c r="B54" s="22">
        <v>100021009</v>
      </c>
      <c r="C54" s="23" t="s">
        <v>58</v>
      </c>
      <c r="D54" s="16">
        <v>7790360965127</v>
      </c>
      <c r="E54" s="17">
        <v>2.16</v>
      </c>
      <c r="F54" s="18">
        <v>24</v>
      </c>
      <c r="G54" s="19">
        <v>11493.435828538131</v>
      </c>
      <c r="H54" s="19">
        <f t="shared" si="0"/>
        <v>478.89315952242214</v>
      </c>
      <c r="I54" s="19">
        <f t="shared" si="1"/>
        <v>100.56756349970864</v>
      </c>
      <c r="J54" s="19">
        <f t="shared" si="2"/>
        <v>579.46072302213076</v>
      </c>
      <c r="K54" s="19">
        <f t="shared" si="7"/>
        <v>127.48135906486877</v>
      </c>
      <c r="L54" s="19">
        <f t="shared" si="4"/>
        <v>706.94208208699956</v>
      </c>
      <c r="M54" s="19">
        <f t="shared" si="8"/>
        <v>247.42972873044982</v>
      </c>
      <c r="N54" s="20">
        <f t="shared" si="6"/>
        <v>954.37181081744939</v>
      </c>
    </row>
    <row r="55" spans="2:14" x14ac:dyDescent="0.25">
      <c r="B55" s="22">
        <v>100021010</v>
      </c>
      <c r="C55" s="23" t="s">
        <v>59</v>
      </c>
      <c r="D55" s="16">
        <v>7790920008707</v>
      </c>
      <c r="E55" s="17">
        <v>2.16</v>
      </c>
      <c r="F55" s="18">
        <v>24</v>
      </c>
      <c r="G55" s="19">
        <v>11493.435828538131</v>
      </c>
      <c r="H55" s="19">
        <f t="shared" si="0"/>
        <v>478.89315952242214</v>
      </c>
      <c r="I55" s="19">
        <f t="shared" si="1"/>
        <v>100.56756349970864</v>
      </c>
      <c r="J55" s="19">
        <f t="shared" si="2"/>
        <v>579.46072302213076</v>
      </c>
      <c r="K55" s="19">
        <f t="shared" si="7"/>
        <v>127.48135906486877</v>
      </c>
      <c r="L55" s="19">
        <f t="shared" si="4"/>
        <v>706.94208208699956</v>
      </c>
      <c r="M55" s="19">
        <f t="shared" si="8"/>
        <v>247.42972873044982</v>
      </c>
      <c r="N55" s="20">
        <f t="shared" si="6"/>
        <v>954.37181081744939</v>
      </c>
    </row>
    <row r="56" spans="2:14" x14ac:dyDescent="0.25">
      <c r="B56" s="22">
        <v>100021011</v>
      </c>
      <c r="C56" s="23" t="s">
        <v>60</v>
      </c>
      <c r="D56" s="16">
        <v>7790920008714</v>
      </c>
      <c r="E56" s="17">
        <v>2.16</v>
      </c>
      <c r="F56" s="18">
        <v>24</v>
      </c>
      <c r="G56" s="19">
        <v>11493.435828538131</v>
      </c>
      <c r="H56" s="19">
        <f t="shared" si="0"/>
        <v>478.89315952242214</v>
      </c>
      <c r="I56" s="19">
        <f t="shared" si="1"/>
        <v>100.56756349970864</v>
      </c>
      <c r="J56" s="19">
        <f t="shared" si="2"/>
        <v>579.46072302213076</v>
      </c>
      <c r="K56" s="19">
        <f t="shared" si="7"/>
        <v>127.48135906486877</v>
      </c>
      <c r="L56" s="19">
        <f t="shared" si="4"/>
        <v>706.94208208699956</v>
      </c>
      <c r="M56" s="19">
        <f t="shared" si="8"/>
        <v>247.42972873044982</v>
      </c>
      <c r="N56" s="20">
        <f t="shared" si="6"/>
        <v>954.37181081744939</v>
      </c>
    </row>
    <row r="57" spans="2:14" x14ac:dyDescent="0.25">
      <c r="B57" s="27"/>
      <c r="C57" s="28"/>
      <c r="D57" s="29"/>
      <c r="E57" s="28"/>
      <c r="F57" s="30"/>
      <c r="G57" s="30"/>
      <c r="H57" s="31" t="e">
        <f t="shared" si="0"/>
        <v>#DIV/0!</v>
      </c>
      <c r="I57" s="32">
        <v>0.21</v>
      </c>
      <c r="J57" s="31"/>
      <c r="K57" s="32">
        <v>0.35</v>
      </c>
      <c r="L57" s="31"/>
      <c r="M57" s="32">
        <v>0.5</v>
      </c>
      <c r="N57" s="33"/>
    </row>
    <row r="58" spans="2:14" x14ac:dyDescent="0.25">
      <c r="B58" s="22">
        <v>100516217</v>
      </c>
      <c r="C58" s="23" t="s">
        <v>61</v>
      </c>
      <c r="D58" s="16">
        <v>7790360967824</v>
      </c>
      <c r="E58" s="17">
        <v>5.8</v>
      </c>
      <c r="F58" s="18">
        <v>20</v>
      </c>
      <c r="G58" s="19">
        <v>26768.099150561164</v>
      </c>
      <c r="H58" s="19">
        <f t="shared" si="0"/>
        <v>1338.4049575280583</v>
      </c>
      <c r="I58" s="19">
        <f t="shared" si="1"/>
        <v>281.06504108089223</v>
      </c>
      <c r="J58" s="19">
        <f t="shared" si="2"/>
        <v>1619.4699986089504</v>
      </c>
      <c r="K58" s="19">
        <f t="shared" si="3"/>
        <v>566.81449951313255</v>
      </c>
      <c r="L58" s="19">
        <f t="shared" si="4"/>
        <v>2186.2844981220828</v>
      </c>
      <c r="M58" s="19">
        <f t="shared" si="5"/>
        <v>983.82802415493734</v>
      </c>
      <c r="N58" s="20">
        <f t="shared" si="6"/>
        <v>3170.1125222770202</v>
      </c>
    </row>
    <row r="59" spans="2:14" x14ac:dyDescent="0.25">
      <c r="B59" s="22">
        <v>100516214</v>
      </c>
      <c r="C59" s="23" t="s">
        <v>62</v>
      </c>
      <c r="D59" s="16">
        <v>7790360967794</v>
      </c>
      <c r="E59" s="17">
        <v>7</v>
      </c>
      <c r="F59" s="18">
        <v>20</v>
      </c>
      <c r="G59" s="19">
        <v>38594.846410714905</v>
      </c>
      <c r="H59" s="19">
        <f t="shared" si="0"/>
        <v>1929.7423205357452</v>
      </c>
      <c r="I59" s="19">
        <f t="shared" si="1"/>
        <v>405.24588731250645</v>
      </c>
      <c r="J59" s="19">
        <f t="shared" si="2"/>
        <v>2334.9882078482515</v>
      </c>
      <c r="K59" s="19">
        <f t="shared" si="3"/>
        <v>817.24587274688793</v>
      </c>
      <c r="L59" s="19">
        <f t="shared" si="4"/>
        <v>3152.2340805951394</v>
      </c>
      <c r="M59" s="19">
        <f t="shared" si="5"/>
        <v>1418.5053362678127</v>
      </c>
      <c r="N59" s="20">
        <f t="shared" si="6"/>
        <v>4570.7394168629526</v>
      </c>
    </row>
    <row r="60" spans="2:14" x14ac:dyDescent="0.25">
      <c r="B60" s="22">
        <v>100516215</v>
      </c>
      <c r="C60" s="23" t="s">
        <v>63</v>
      </c>
      <c r="D60" s="16">
        <v>7790360967800</v>
      </c>
      <c r="E60" s="17">
        <v>7</v>
      </c>
      <c r="F60" s="18">
        <v>20</v>
      </c>
      <c r="G60" s="19">
        <v>38594.846410714905</v>
      </c>
      <c r="H60" s="19">
        <f t="shared" si="0"/>
        <v>1929.7423205357452</v>
      </c>
      <c r="I60" s="19">
        <f t="shared" si="1"/>
        <v>405.24588731250645</v>
      </c>
      <c r="J60" s="19">
        <f t="shared" si="2"/>
        <v>2334.9882078482515</v>
      </c>
      <c r="K60" s="19">
        <f t="shared" si="3"/>
        <v>817.24587274688793</v>
      </c>
      <c r="L60" s="19">
        <f t="shared" si="4"/>
        <v>3152.2340805951394</v>
      </c>
      <c r="M60" s="19">
        <f t="shared" si="5"/>
        <v>1418.5053362678127</v>
      </c>
      <c r="N60" s="20">
        <f t="shared" si="6"/>
        <v>4570.7394168629526</v>
      </c>
    </row>
    <row r="61" spans="2:14" x14ac:dyDescent="0.25">
      <c r="B61" s="22">
        <v>100516216</v>
      </c>
      <c r="C61" s="23" t="s">
        <v>64</v>
      </c>
      <c r="D61" s="16">
        <v>7790360967817</v>
      </c>
      <c r="E61" s="17">
        <v>7</v>
      </c>
      <c r="F61" s="18">
        <v>20</v>
      </c>
      <c r="G61" s="19">
        <v>38594.846410714905</v>
      </c>
      <c r="H61" s="19">
        <f t="shared" si="0"/>
        <v>1929.7423205357452</v>
      </c>
      <c r="I61" s="19">
        <f t="shared" si="1"/>
        <v>405.24588731250645</v>
      </c>
      <c r="J61" s="19">
        <f t="shared" si="2"/>
        <v>2334.9882078482515</v>
      </c>
      <c r="K61" s="19">
        <f t="shared" si="3"/>
        <v>817.24587274688793</v>
      </c>
      <c r="L61" s="19">
        <f t="shared" si="4"/>
        <v>3152.2340805951394</v>
      </c>
      <c r="M61" s="19">
        <f t="shared" si="5"/>
        <v>1418.5053362678127</v>
      </c>
      <c r="N61" s="20">
        <f t="shared" si="6"/>
        <v>4570.7394168629526</v>
      </c>
    </row>
    <row r="62" spans="2:14" x14ac:dyDescent="0.25">
      <c r="B62" s="27"/>
      <c r="C62" s="28"/>
      <c r="D62" s="29"/>
      <c r="E62" s="28"/>
      <c r="F62" s="30"/>
      <c r="G62" s="30"/>
      <c r="H62" s="31" t="e">
        <f t="shared" si="0"/>
        <v>#DIV/0!</v>
      </c>
      <c r="I62" s="32">
        <v>0.21</v>
      </c>
      <c r="J62" s="31"/>
      <c r="K62" s="32">
        <v>0.35</v>
      </c>
      <c r="L62" s="31"/>
      <c r="M62" s="32">
        <v>0.5</v>
      </c>
      <c r="N62" s="33"/>
    </row>
    <row r="63" spans="2:14" x14ac:dyDescent="0.25">
      <c r="B63" s="22">
        <v>100021704</v>
      </c>
      <c r="C63" s="23" t="s">
        <v>65</v>
      </c>
      <c r="D63" s="16">
        <v>7790360023902</v>
      </c>
      <c r="E63" s="17">
        <f>12*0.38</f>
        <v>4.5600000000000005</v>
      </c>
      <c r="F63" s="18">
        <v>12</v>
      </c>
      <c r="G63" s="19">
        <v>41455.299372666384</v>
      </c>
      <c r="H63" s="19">
        <f t="shared" si="0"/>
        <v>3454.6082810555322</v>
      </c>
      <c r="I63" s="19">
        <f t="shared" si="1"/>
        <v>725.46773902166171</v>
      </c>
      <c r="J63" s="19">
        <f t="shared" si="2"/>
        <v>4180.0760200771938</v>
      </c>
      <c r="K63" s="19">
        <f t="shared" si="3"/>
        <v>1463.0266070270177</v>
      </c>
      <c r="L63" s="19">
        <f t="shared" si="4"/>
        <v>5643.1026271042119</v>
      </c>
      <c r="M63" s="19">
        <f t="shared" si="5"/>
        <v>2539.3961821968956</v>
      </c>
      <c r="N63" s="20">
        <f t="shared" si="6"/>
        <v>8182.498809301107</v>
      </c>
    </row>
    <row r="64" spans="2:14" x14ac:dyDescent="0.25">
      <c r="B64" s="22">
        <v>100021705</v>
      </c>
      <c r="C64" s="23" t="s">
        <v>66</v>
      </c>
      <c r="D64" s="16">
        <v>7790360024336</v>
      </c>
      <c r="E64" s="17">
        <f>12*0.38</f>
        <v>4.5600000000000005</v>
      </c>
      <c r="F64" s="18">
        <v>12</v>
      </c>
      <c r="G64" s="19">
        <v>37683.831852857693</v>
      </c>
      <c r="H64" s="19">
        <f t="shared" si="0"/>
        <v>3140.3193210714744</v>
      </c>
      <c r="I64" s="19">
        <f t="shared" si="1"/>
        <v>659.46705742500956</v>
      </c>
      <c r="J64" s="19">
        <f t="shared" si="2"/>
        <v>3799.7863784964838</v>
      </c>
      <c r="K64" s="19">
        <f t="shared" si="3"/>
        <v>1329.9252324737693</v>
      </c>
      <c r="L64" s="19">
        <f t="shared" si="4"/>
        <v>5129.7116109702529</v>
      </c>
      <c r="M64" s="19">
        <f t="shared" si="5"/>
        <v>2308.3702249366138</v>
      </c>
      <c r="N64" s="20">
        <f t="shared" si="6"/>
        <v>7438.0818359068671</v>
      </c>
    </row>
    <row r="65" spans="2:14" x14ac:dyDescent="0.25">
      <c r="B65" s="22">
        <v>100021709</v>
      </c>
      <c r="C65" s="23" t="s">
        <v>67</v>
      </c>
      <c r="D65" s="16">
        <v>7790360024701</v>
      </c>
      <c r="E65" s="17">
        <v>7.6</v>
      </c>
      <c r="F65" s="18">
        <v>10</v>
      </c>
      <c r="G65" s="19">
        <v>60469.386535052479</v>
      </c>
      <c r="H65" s="19">
        <f t="shared" si="0"/>
        <v>6046.9386535052481</v>
      </c>
      <c r="I65" s="19">
        <f t="shared" si="1"/>
        <v>1269.8571172361021</v>
      </c>
      <c r="J65" s="19">
        <f t="shared" si="2"/>
        <v>7316.7957707413498</v>
      </c>
      <c r="K65" s="19">
        <f t="shared" si="3"/>
        <v>2560.8785197594721</v>
      </c>
      <c r="L65" s="19">
        <f t="shared" si="4"/>
        <v>9877.6742905008214</v>
      </c>
      <c r="M65" s="19">
        <f t="shared" si="5"/>
        <v>4444.9534307253698</v>
      </c>
      <c r="N65" s="20">
        <f t="shared" si="6"/>
        <v>14322.627721226192</v>
      </c>
    </row>
    <row r="66" spans="2:14" x14ac:dyDescent="0.25">
      <c r="B66" s="22">
        <v>100521357</v>
      </c>
      <c r="C66" s="23" t="s">
        <v>68</v>
      </c>
      <c r="D66" s="16">
        <v>7790360982018</v>
      </c>
      <c r="E66" s="17">
        <v>4.5599999999999996</v>
      </c>
      <c r="F66" s="18">
        <v>12</v>
      </c>
      <c r="G66" s="19">
        <v>48595.608600000021</v>
      </c>
      <c r="H66" s="19">
        <f t="shared" si="0"/>
        <v>4049.6340500000019</v>
      </c>
      <c r="I66" s="19">
        <f t="shared" si="1"/>
        <v>850.42315050000036</v>
      </c>
      <c r="J66" s="19">
        <f t="shared" si="2"/>
        <v>4900.0572005000022</v>
      </c>
      <c r="K66" s="19">
        <f t="shared" si="3"/>
        <v>1715.0200201750006</v>
      </c>
      <c r="L66" s="19">
        <f t="shared" si="4"/>
        <v>6615.0772206750025</v>
      </c>
      <c r="M66" s="19">
        <f t="shared" si="5"/>
        <v>2976.7847493037511</v>
      </c>
      <c r="N66" s="20">
        <f t="shared" si="6"/>
        <v>9591.8619699787541</v>
      </c>
    </row>
    <row r="67" spans="2:14" x14ac:dyDescent="0.25">
      <c r="B67" s="22">
        <v>100521358</v>
      </c>
      <c r="C67" s="23" t="s">
        <v>69</v>
      </c>
      <c r="D67" s="16">
        <v>7790360982025</v>
      </c>
      <c r="E67" s="17">
        <v>7.6</v>
      </c>
      <c r="F67" s="18">
        <v>10</v>
      </c>
      <c r="G67" s="19">
        <v>72893.412900000025</v>
      </c>
      <c r="H67" s="19">
        <f t="shared" si="0"/>
        <v>7289.3412900000021</v>
      </c>
      <c r="I67" s="19">
        <f t="shared" si="1"/>
        <v>1530.7616709000004</v>
      </c>
      <c r="J67" s="19">
        <f t="shared" si="2"/>
        <v>8820.1029609000034</v>
      </c>
      <c r="K67" s="19">
        <f t="shared" si="3"/>
        <v>3087.0360363150012</v>
      </c>
      <c r="L67" s="19">
        <f t="shared" si="4"/>
        <v>11907.138997215005</v>
      </c>
      <c r="M67" s="19">
        <f t="shared" si="5"/>
        <v>5358.212548746752</v>
      </c>
      <c r="N67" s="20">
        <f t="shared" si="6"/>
        <v>17265.351545961756</v>
      </c>
    </row>
    <row r="68" spans="2:14" x14ac:dyDescent="0.25">
      <c r="B68" s="22">
        <v>100522130</v>
      </c>
      <c r="C68" s="23" t="s">
        <v>70</v>
      </c>
      <c r="D68" s="16">
        <v>7790360982445</v>
      </c>
      <c r="E68" s="17">
        <v>4.8</v>
      </c>
      <c r="F68" s="18">
        <v>12</v>
      </c>
      <c r="G68" s="19">
        <v>36337.501893000008</v>
      </c>
      <c r="H68" s="19">
        <f t="shared" si="0"/>
        <v>3028.1251577500007</v>
      </c>
      <c r="I68" s="19">
        <f t="shared" si="1"/>
        <v>635.90628312750016</v>
      </c>
      <c r="J68" s="19">
        <f t="shared" si="2"/>
        <v>3664.0314408775007</v>
      </c>
      <c r="K68" s="19">
        <f t="shared" si="3"/>
        <v>1282.4110043071253</v>
      </c>
      <c r="L68" s="19">
        <f t="shared" si="4"/>
        <v>4946.4424451846262</v>
      </c>
      <c r="M68" s="19">
        <f t="shared" si="5"/>
        <v>2225.8991003330821</v>
      </c>
      <c r="N68" s="20">
        <f t="shared" si="6"/>
        <v>7172.3415455177083</v>
      </c>
    </row>
    <row r="69" spans="2:14" x14ac:dyDescent="0.25">
      <c r="B69" s="34">
        <v>100021725</v>
      </c>
      <c r="C69" s="35" t="s">
        <v>71</v>
      </c>
      <c r="D69" s="36">
        <v>7790360027009</v>
      </c>
      <c r="E69" s="37">
        <v>6</v>
      </c>
      <c r="F69" s="38">
        <v>4</v>
      </c>
      <c r="G69" s="39">
        <v>31255.569913892599</v>
      </c>
      <c r="H69" s="39">
        <f t="shared" si="0"/>
        <v>7813.8924784731498</v>
      </c>
      <c r="I69" s="39">
        <f t="shared" si="1"/>
        <v>1640.9174204793615</v>
      </c>
      <c r="J69" s="39">
        <f t="shared" si="2"/>
        <v>9454.8098989525115</v>
      </c>
      <c r="K69" s="39">
        <f t="shared" si="3"/>
        <v>3309.1834646333787</v>
      </c>
      <c r="L69" s="39">
        <f t="shared" si="4"/>
        <v>12763.993363585891</v>
      </c>
      <c r="M69" s="39">
        <f t="shared" si="5"/>
        <v>5743.797013613651</v>
      </c>
      <c r="N69" s="40">
        <f t="shared" si="6"/>
        <v>18507.790377199541</v>
      </c>
    </row>
    <row r="70" spans="2:14" x14ac:dyDescent="0.25">
      <c r="B70" s="22">
        <v>100517055</v>
      </c>
      <c r="C70" s="23" t="s">
        <v>72</v>
      </c>
      <c r="D70" s="16">
        <v>7790360971135</v>
      </c>
      <c r="E70" s="17">
        <v>3.12</v>
      </c>
      <c r="F70" s="18">
        <v>12</v>
      </c>
      <c r="G70" s="19">
        <v>31213.60900094096</v>
      </c>
      <c r="H70" s="19">
        <f t="shared" si="0"/>
        <v>2601.1340834117468</v>
      </c>
      <c r="I70" s="19">
        <f t="shared" si="1"/>
        <v>546.2381575164668</v>
      </c>
      <c r="J70" s="19">
        <f t="shared" si="2"/>
        <v>3147.3722409282136</v>
      </c>
      <c r="K70" s="19">
        <f t="shared" si="3"/>
        <v>1101.5802843248746</v>
      </c>
      <c r="L70" s="19">
        <f t="shared" si="4"/>
        <v>4248.9525252530884</v>
      </c>
      <c r="M70" s="19">
        <f t="shared" si="5"/>
        <v>1912.0286363638897</v>
      </c>
      <c r="N70" s="20">
        <f t="shared" si="6"/>
        <v>6160.9811616169782</v>
      </c>
    </row>
    <row r="71" spans="2:14" x14ac:dyDescent="0.25">
      <c r="B71" s="22">
        <v>100517186</v>
      </c>
      <c r="C71" s="23" t="s">
        <v>73</v>
      </c>
      <c r="D71" s="16">
        <v>7790360971395</v>
      </c>
      <c r="E71" s="17">
        <v>8</v>
      </c>
      <c r="F71" s="18">
        <v>8</v>
      </c>
      <c r="G71" s="19">
        <v>78871.461568832005</v>
      </c>
      <c r="H71" s="19">
        <f t="shared" si="0"/>
        <v>9858.9326961040006</v>
      </c>
      <c r="I71" s="19">
        <f t="shared" si="1"/>
        <v>2070.3758661818401</v>
      </c>
      <c r="J71" s="19">
        <f t="shared" si="2"/>
        <v>11929.308562285842</v>
      </c>
      <c r="K71" s="19">
        <f t="shared" si="3"/>
        <v>4175.2579968000446</v>
      </c>
      <c r="L71" s="19">
        <f t="shared" si="4"/>
        <v>16104.566559085886</v>
      </c>
      <c r="M71" s="19">
        <f t="shared" si="5"/>
        <v>7247.0549515886487</v>
      </c>
      <c r="N71" s="20">
        <f t="shared" si="6"/>
        <v>23351.621510674537</v>
      </c>
    </row>
    <row r="72" spans="2:14" x14ac:dyDescent="0.25">
      <c r="B72" s="22">
        <v>100521663</v>
      </c>
      <c r="C72" s="23" t="s">
        <v>74</v>
      </c>
      <c r="D72" s="16">
        <v>7790360982537</v>
      </c>
      <c r="E72" s="17">
        <v>4.8</v>
      </c>
      <c r="F72" s="18">
        <v>12</v>
      </c>
      <c r="G72" s="19">
        <v>41797.283176593519</v>
      </c>
      <c r="H72" s="19">
        <f t="shared" si="0"/>
        <v>3483.1069313827934</v>
      </c>
      <c r="I72" s="19">
        <f t="shared" si="1"/>
        <v>731.45245559038653</v>
      </c>
      <c r="J72" s="19">
        <f t="shared" si="2"/>
        <v>4214.5593869731802</v>
      </c>
      <c r="K72" s="19">
        <f t="shared" si="3"/>
        <v>1475.0957854406129</v>
      </c>
      <c r="L72" s="19">
        <f t="shared" si="4"/>
        <v>5689.6551724137935</v>
      </c>
      <c r="M72" s="19">
        <f t="shared" si="5"/>
        <v>2560.344827586207</v>
      </c>
      <c r="N72" s="20">
        <f t="shared" si="6"/>
        <v>8250</v>
      </c>
    </row>
    <row r="73" spans="2:14" x14ac:dyDescent="0.25">
      <c r="B73" s="34">
        <v>100021728</v>
      </c>
      <c r="C73" s="35" t="s">
        <v>75</v>
      </c>
      <c r="D73" s="36">
        <v>7790360967558</v>
      </c>
      <c r="E73" s="37">
        <v>3.84</v>
      </c>
      <c r="F73" s="38">
        <v>12</v>
      </c>
      <c r="G73" s="39">
        <v>39236.851140679726</v>
      </c>
      <c r="H73" s="39">
        <f t="shared" si="0"/>
        <v>3269.7375950566438</v>
      </c>
      <c r="I73" s="39">
        <f t="shared" si="1"/>
        <v>686.64489496189515</v>
      </c>
      <c r="J73" s="39">
        <f t="shared" si="2"/>
        <v>3956.3824900185391</v>
      </c>
      <c r="K73" s="39">
        <f t="shared" si="3"/>
        <v>1384.7338715064886</v>
      </c>
      <c r="L73" s="39">
        <f t="shared" si="4"/>
        <v>5341.116361525028</v>
      </c>
      <c r="M73" s="39">
        <f t="shared" si="5"/>
        <v>2403.5023626862626</v>
      </c>
      <c r="N73" s="40">
        <f t="shared" si="6"/>
        <v>7744.6187242112901</v>
      </c>
    </row>
    <row r="74" spans="2:14" x14ac:dyDescent="0.25">
      <c r="B74" s="34">
        <v>100517679</v>
      </c>
      <c r="C74" s="35" t="s">
        <v>76</v>
      </c>
      <c r="D74" s="36">
        <v>7790360973498</v>
      </c>
      <c r="E74" s="37">
        <v>7.68</v>
      </c>
      <c r="F74" s="38">
        <v>8</v>
      </c>
      <c r="G74" s="39">
        <v>39413.592299367461</v>
      </c>
      <c r="H74" s="39">
        <f t="shared" si="0"/>
        <v>4926.6990374209327</v>
      </c>
      <c r="I74" s="39">
        <f t="shared" si="1"/>
        <v>1034.6067978583958</v>
      </c>
      <c r="J74" s="39">
        <f t="shared" si="2"/>
        <v>5961.3058352793287</v>
      </c>
      <c r="K74" s="39">
        <f t="shared" si="3"/>
        <v>2086.4570423477649</v>
      </c>
      <c r="L74" s="39">
        <f t="shared" si="4"/>
        <v>8047.762877627094</v>
      </c>
      <c r="M74" s="39">
        <f t="shared" si="5"/>
        <v>3621.4932949321924</v>
      </c>
      <c r="N74" s="40">
        <f t="shared" si="6"/>
        <v>11669.256172559286</v>
      </c>
    </row>
    <row r="75" spans="2:14" x14ac:dyDescent="0.25">
      <c r="B75" s="27"/>
      <c r="C75" s="28"/>
      <c r="D75" s="29"/>
      <c r="E75" s="28"/>
      <c r="F75" s="30"/>
      <c r="G75" s="77" t="e">
        <v>#VALUE!</v>
      </c>
      <c r="H75" s="31" t="e">
        <f t="shared" si="0"/>
        <v>#VALUE!</v>
      </c>
      <c r="I75" s="32">
        <v>0.21</v>
      </c>
      <c r="J75" s="31"/>
      <c r="K75" s="32">
        <v>0.35</v>
      </c>
      <c r="L75" s="31"/>
      <c r="M75" s="32">
        <v>0.5</v>
      </c>
      <c r="N75" s="33"/>
    </row>
    <row r="76" spans="2:14" hidden="1" x14ac:dyDescent="0.25">
      <c r="B76" s="22">
        <v>100516219</v>
      </c>
      <c r="C76" s="23" t="s">
        <v>77</v>
      </c>
      <c r="D76" s="41">
        <v>7790360967770</v>
      </c>
      <c r="E76" s="17">
        <v>10</v>
      </c>
      <c r="F76" s="18">
        <v>25</v>
      </c>
      <c r="G76" s="19">
        <v>18259.399891781304</v>
      </c>
      <c r="H76" s="19">
        <f t="shared" ref="H76:H84" si="9">+G76/F76</f>
        <v>730.37599567125221</v>
      </c>
      <c r="I76" s="19">
        <f t="shared" si="1"/>
        <v>153.37895909096295</v>
      </c>
      <c r="J76" s="19">
        <f t="shared" si="2"/>
        <v>883.75495476221522</v>
      </c>
      <c r="K76" s="19">
        <f t="shared" si="3"/>
        <v>309.31423416677529</v>
      </c>
      <c r="L76" s="19">
        <f t="shared" si="4"/>
        <v>1193.0691889289906</v>
      </c>
      <c r="M76" s="19">
        <f t="shared" si="5"/>
        <v>536.88113501804582</v>
      </c>
      <c r="N76" s="20">
        <f t="shared" si="6"/>
        <v>1729.9503239470364</v>
      </c>
    </row>
    <row r="77" spans="2:14" hidden="1" x14ac:dyDescent="0.25">
      <c r="B77" s="22">
        <v>100516220</v>
      </c>
      <c r="C77" s="23" t="s">
        <v>78</v>
      </c>
      <c r="D77" s="41">
        <v>7790360967787</v>
      </c>
      <c r="E77" s="17">
        <v>12</v>
      </c>
      <c r="F77" s="18">
        <v>6</v>
      </c>
      <c r="G77" s="19">
        <v>19613.921820029205</v>
      </c>
      <c r="H77" s="19">
        <f t="shared" si="9"/>
        <v>3268.9869700048675</v>
      </c>
      <c r="I77" s="19">
        <f t="shared" si="1"/>
        <v>686.48726370102213</v>
      </c>
      <c r="J77" s="19">
        <f t="shared" si="2"/>
        <v>3955.4742337058897</v>
      </c>
      <c r="K77" s="19">
        <f t="shared" si="3"/>
        <v>1384.4159817970612</v>
      </c>
      <c r="L77" s="19">
        <f t="shared" si="4"/>
        <v>5339.8902155029509</v>
      </c>
      <c r="M77" s="19">
        <f t="shared" si="5"/>
        <v>2402.9505969763281</v>
      </c>
      <c r="N77" s="20">
        <f t="shared" si="6"/>
        <v>7742.8408124792786</v>
      </c>
    </row>
    <row r="78" spans="2:14" ht="15.75" hidden="1" thickBot="1" x14ac:dyDescent="0.3">
      <c r="B78" s="42"/>
      <c r="C78" s="43"/>
      <c r="D78" s="44"/>
      <c r="E78" s="43"/>
      <c r="F78" s="45"/>
      <c r="G78" s="78" t="e">
        <v>#VALUE!</v>
      </c>
      <c r="H78" s="31" t="e">
        <f t="shared" si="9"/>
        <v>#VALUE!</v>
      </c>
      <c r="I78" s="32"/>
      <c r="J78" s="31"/>
      <c r="K78" s="32"/>
      <c r="L78" s="31"/>
      <c r="M78" s="32"/>
      <c r="N78" s="33"/>
    </row>
    <row r="79" spans="2:14" x14ac:dyDescent="0.25">
      <c r="B79" s="26">
        <v>100518158</v>
      </c>
      <c r="C79" s="23" t="s">
        <v>79</v>
      </c>
      <c r="D79" s="46">
        <v>7790360974280</v>
      </c>
      <c r="E79" s="17">
        <v>12</v>
      </c>
      <c r="F79" s="18">
        <v>24</v>
      </c>
      <c r="G79" s="19">
        <v>75339.602925809828</v>
      </c>
      <c r="H79" s="19">
        <f t="shared" si="9"/>
        <v>3139.1501219087427</v>
      </c>
      <c r="I79" s="19">
        <f>+H79*I$3</f>
        <v>659.22152560083589</v>
      </c>
      <c r="J79" s="19">
        <f>+H79+I79</f>
        <v>3798.3716475095785</v>
      </c>
      <c r="K79" s="19">
        <f>+J79*K$3</f>
        <v>1329.4300766283525</v>
      </c>
      <c r="L79" s="19">
        <f>+J79+K79</f>
        <v>5127.8017241379312</v>
      </c>
      <c r="M79" s="19">
        <f>+L79*M$3</f>
        <v>2307.5107758620693</v>
      </c>
      <c r="N79" s="20">
        <f>+L79+M79</f>
        <v>7435.3125</v>
      </c>
    </row>
    <row r="80" spans="2:14" x14ac:dyDescent="0.25">
      <c r="B80" s="26">
        <v>100518160</v>
      </c>
      <c r="C80" s="23" t="s">
        <v>80</v>
      </c>
      <c r="D80" s="46">
        <v>7790360974686</v>
      </c>
      <c r="E80" s="17">
        <v>12</v>
      </c>
      <c r="F80" s="18">
        <v>12</v>
      </c>
      <c r="G80" s="19">
        <v>75339.602925809828</v>
      </c>
      <c r="H80" s="19">
        <f t="shared" si="9"/>
        <v>6278.3002438174854</v>
      </c>
      <c r="I80" s="19">
        <f>+H80*I$3</f>
        <v>1318.4430512016718</v>
      </c>
      <c r="J80" s="19">
        <f>+H80+I80</f>
        <v>7596.7432950191569</v>
      </c>
      <c r="K80" s="19">
        <f>+J80*K$3</f>
        <v>2658.860153256705</v>
      </c>
      <c r="L80" s="19">
        <f>+J80+K80</f>
        <v>10255.603448275862</v>
      </c>
      <c r="M80" s="19">
        <f>+L80*M$3</f>
        <v>4615.0215517241386</v>
      </c>
      <c r="N80" s="20">
        <f>+L80+M80</f>
        <v>14870.625</v>
      </c>
    </row>
    <row r="81" spans="2:14" x14ac:dyDescent="0.25">
      <c r="B81" s="26">
        <v>100518463</v>
      </c>
      <c r="C81" s="23" t="s">
        <v>81</v>
      </c>
      <c r="D81" s="46"/>
      <c r="E81" s="17">
        <v>5</v>
      </c>
      <c r="F81" s="18">
        <v>1</v>
      </c>
      <c r="G81" s="19">
        <v>36693.267187500001</v>
      </c>
      <c r="H81" s="19">
        <f t="shared" si="9"/>
        <v>36693.267187500001</v>
      </c>
      <c r="I81" s="19">
        <f>+H81*I$3</f>
        <v>7705.586109375</v>
      </c>
      <c r="J81" s="19">
        <f>+H81+I81</f>
        <v>44398.853296875001</v>
      </c>
      <c r="K81" s="19">
        <f>+J81*K$3</f>
        <v>15539.598653906249</v>
      </c>
      <c r="L81" s="19">
        <f>+J81+K81</f>
        <v>59938.451950781251</v>
      </c>
      <c r="M81" s="19">
        <f>+L81*M$3</f>
        <v>26972.303377851564</v>
      </c>
      <c r="N81" s="20">
        <f>+L81+M81</f>
        <v>86910.755328632818</v>
      </c>
    </row>
    <row r="82" spans="2:14" ht="15.75" thickBot="1" x14ac:dyDescent="0.3">
      <c r="B82" s="47"/>
      <c r="C82" s="48"/>
      <c r="D82" s="49"/>
      <c r="E82" s="48"/>
      <c r="F82" s="50"/>
      <c r="G82" s="51" t="e">
        <v>#VALUE!</v>
      </c>
      <c r="H82" s="31" t="e">
        <f t="shared" si="9"/>
        <v>#VALUE!</v>
      </c>
      <c r="I82" s="32"/>
      <c r="J82" s="31"/>
      <c r="K82" s="32"/>
      <c r="L82" s="31"/>
      <c r="M82" s="32"/>
      <c r="N82" s="33"/>
    </row>
    <row r="83" spans="2:14" x14ac:dyDescent="0.25">
      <c r="B83" s="52">
        <v>100518291</v>
      </c>
      <c r="C83" s="53" t="s">
        <v>82</v>
      </c>
      <c r="D83" s="54">
        <v>7790360975195</v>
      </c>
      <c r="E83" s="55">
        <v>5</v>
      </c>
      <c r="F83" s="55">
        <v>10</v>
      </c>
      <c r="G83" s="56">
        <v>17536.686967689053</v>
      </c>
      <c r="H83" s="56">
        <f t="shared" si="9"/>
        <v>1753.6686967689052</v>
      </c>
      <c r="I83" s="56">
        <f>+H83*I$3</f>
        <v>368.2704263214701</v>
      </c>
      <c r="J83" s="56">
        <f>+H83+I83</f>
        <v>2121.9391230903752</v>
      </c>
      <c r="K83" s="56">
        <f>+J83*K$39</f>
        <v>466.82660707988254</v>
      </c>
      <c r="L83" s="56">
        <f>+J83+K83</f>
        <v>2588.7657301702579</v>
      </c>
      <c r="M83" s="56">
        <f>+L83*M$39</f>
        <v>906.06800555959023</v>
      </c>
      <c r="N83" s="57">
        <f>+L83+M83</f>
        <v>3494.8337357298483</v>
      </c>
    </row>
    <row r="84" spans="2:14" ht="15.75" thickBot="1" x14ac:dyDescent="0.3">
      <c r="B84" s="58">
        <v>100518292</v>
      </c>
      <c r="C84" s="59" t="s">
        <v>83</v>
      </c>
      <c r="D84" s="60">
        <v>7790360975201</v>
      </c>
      <c r="E84" s="61">
        <v>12</v>
      </c>
      <c r="F84" s="61">
        <v>12</v>
      </c>
      <c r="G84" s="62">
        <v>41380.323708459917</v>
      </c>
      <c r="H84" s="62">
        <f t="shared" si="9"/>
        <v>3448.3603090383262</v>
      </c>
      <c r="I84" s="62">
        <f>+H84*I$3</f>
        <v>724.15566489804849</v>
      </c>
      <c r="J84" s="62">
        <f>+H84+I84</f>
        <v>4172.5159739363744</v>
      </c>
      <c r="K84" s="62">
        <f>+J84*K$39</f>
        <v>917.95351426600234</v>
      </c>
      <c r="L84" s="62">
        <f>+J84+K84</f>
        <v>5090.4694882023769</v>
      </c>
      <c r="M84" s="62">
        <f>+L84*M$39</f>
        <v>1781.6643208708317</v>
      </c>
      <c r="N84" s="63">
        <f>+L84+M84</f>
        <v>6872.1338090732088</v>
      </c>
    </row>
    <row r="85" spans="2:14" ht="15.75" thickBot="1" x14ac:dyDescent="0.3">
      <c r="B85" s="47"/>
      <c r="C85" s="48"/>
      <c r="D85" s="49"/>
      <c r="E85" s="48"/>
      <c r="F85" s="50"/>
      <c r="G85" s="51" t="e">
        <v>#VALUE!</v>
      </c>
      <c r="H85" s="31" t="e">
        <f>+G85/F85</f>
        <v>#VALUE!</v>
      </c>
      <c r="I85" s="32">
        <v>0.105</v>
      </c>
      <c r="J85" s="31"/>
      <c r="K85" s="32">
        <v>0.3</v>
      </c>
      <c r="L85" s="31"/>
      <c r="M85" s="32">
        <v>0.4</v>
      </c>
      <c r="N85" s="33"/>
    </row>
    <row r="86" spans="2:14" x14ac:dyDescent="0.25">
      <c r="B86" s="52">
        <v>100517915</v>
      </c>
      <c r="C86" s="53" t="s">
        <v>84</v>
      </c>
      <c r="D86" s="54">
        <v>7790360974020</v>
      </c>
      <c r="E86" s="55">
        <v>18</v>
      </c>
      <c r="F86" s="55">
        <v>36</v>
      </c>
      <c r="G86" s="56">
        <v>154338.47338253396</v>
      </c>
      <c r="H86" s="56">
        <f>+G86/F86</f>
        <v>4287.1798161814986</v>
      </c>
      <c r="I86" s="56">
        <f>+H86*I$85</f>
        <v>450.15388069905731</v>
      </c>
      <c r="J86" s="56">
        <f>+H86+I86</f>
        <v>4737.3336968805561</v>
      </c>
      <c r="K86" s="56">
        <f>+J86*K$85</f>
        <v>1421.2001090641668</v>
      </c>
      <c r="L86" s="56">
        <f>+J86+K86</f>
        <v>6158.5338059447231</v>
      </c>
      <c r="M86" s="56">
        <f>+L86*M$85</f>
        <v>2463.4135223778894</v>
      </c>
      <c r="N86" s="57">
        <f>+L86+M86</f>
        <v>8621.9473283226125</v>
      </c>
    </row>
    <row r="87" spans="2:14" ht="15.75" thickBot="1" x14ac:dyDescent="0.3">
      <c r="B87" s="58">
        <v>100517914</v>
      </c>
      <c r="C87" s="59" t="s">
        <v>85</v>
      </c>
      <c r="D87" s="60">
        <v>7790360974037</v>
      </c>
      <c r="E87" s="61">
        <v>20</v>
      </c>
      <c r="F87" s="61">
        <v>20</v>
      </c>
      <c r="G87" s="62">
        <v>168417.57189887395</v>
      </c>
      <c r="H87" s="62">
        <f>+G87/F87</f>
        <v>8420.878594943697</v>
      </c>
      <c r="I87" s="62">
        <f>+H87*I$85</f>
        <v>884.1922524690882</v>
      </c>
      <c r="J87" s="62">
        <f>+H87+I87</f>
        <v>9305.070847412786</v>
      </c>
      <c r="K87" s="62">
        <f>+J87*K$85</f>
        <v>2791.5212542238355</v>
      </c>
      <c r="L87" s="62">
        <f>+J87+K87</f>
        <v>12096.592101636621</v>
      </c>
      <c r="M87" s="62">
        <f>+L87*M$85</f>
        <v>4838.6368406546489</v>
      </c>
      <c r="N87" s="63">
        <f>+L87+M87</f>
        <v>16935.228942291269</v>
      </c>
    </row>
    <row r="88" spans="2:14" ht="15.75" thickBot="1" x14ac:dyDescent="0.3">
      <c r="B88" s="47"/>
      <c r="C88" s="48"/>
      <c r="D88" s="49"/>
      <c r="E88" s="48"/>
      <c r="F88" s="50"/>
      <c r="G88" s="51"/>
      <c r="H88" s="64"/>
      <c r="I88" s="65">
        <v>0.105</v>
      </c>
      <c r="J88" s="64"/>
      <c r="K88" s="66">
        <v>0.3</v>
      </c>
      <c r="L88" s="64"/>
      <c r="M88" s="66">
        <v>0.4</v>
      </c>
      <c r="N88" s="67"/>
    </row>
    <row r="89" spans="2:14" x14ac:dyDescent="0.25">
      <c r="B89" s="22">
        <v>100010689</v>
      </c>
      <c r="C89" s="23" t="s">
        <v>86</v>
      </c>
      <c r="D89" s="16"/>
      <c r="E89" s="68">
        <v>22</v>
      </c>
      <c r="F89" s="18">
        <v>1</v>
      </c>
      <c r="G89" s="19">
        <v>16464.642857142862</v>
      </c>
      <c r="H89" s="56">
        <f t="shared" ref="H89:H94" si="10">+G89/F89</f>
        <v>16464.642857142862</v>
      </c>
      <c r="I89" s="56">
        <f t="shared" ref="I89:I94" si="11">+H89*I$88</f>
        <v>1728.7875000000006</v>
      </c>
      <c r="J89" s="56">
        <f t="shared" ref="J89:J94" si="12">+H89+I89</f>
        <v>18193.430357142865</v>
      </c>
      <c r="K89" s="56">
        <f t="shared" ref="K89:K94" si="13">+J89*K$88</f>
        <v>5458.0291071428592</v>
      </c>
      <c r="L89" s="56">
        <f t="shared" ref="L89:L94" si="14">+J89+K89</f>
        <v>23651.459464285723</v>
      </c>
      <c r="M89" s="56">
        <f t="shared" ref="M89:M94" si="15">+L89*M$88</f>
        <v>9460.5837857142888</v>
      </c>
      <c r="N89" s="57">
        <f t="shared" ref="N89:N94" si="16">+L89+M89</f>
        <v>33112.04325000001</v>
      </c>
    </row>
    <row r="90" spans="2:14" x14ac:dyDescent="0.25">
      <c r="B90" s="22">
        <v>100518335</v>
      </c>
      <c r="C90" s="23" t="s">
        <v>87</v>
      </c>
      <c r="D90" s="16"/>
      <c r="E90" s="68">
        <v>22.5</v>
      </c>
      <c r="F90" s="18">
        <v>1</v>
      </c>
      <c r="G90" s="19">
        <v>10429.178571428572</v>
      </c>
      <c r="H90" s="19">
        <f t="shared" si="10"/>
        <v>10429.178571428572</v>
      </c>
      <c r="I90" s="19">
        <f t="shared" si="11"/>
        <v>1095.06375</v>
      </c>
      <c r="J90" s="19">
        <f t="shared" si="12"/>
        <v>11524.242321428572</v>
      </c>
      <c r="K90" s="19">
        <f t="shared" si="13"/>
        <v>3457.2726964285716</v>
      </c>
      <c r="L90" s="19">
        <f t="shared" si="14"/>
        <v>14981.515017857144</v>
      </c>
      <c r="M90" s="19">
        <f t="shared" si="15"/>
        <v>5992.6060071428583</v>
      </c>
      <c r="N90" s="20">
        <f t="shared" si="16"/>
        <v>20974.121025</v>
      </c>
    </row>
    <row r="91" spans="2:14" x14ac:dyDescent="0.25">
      <c r="B91" s="22">
        <v>100518332</v>
      </c>
      <c r="C91" s="23" t="s">
        <v>88</v>
      </c>
      <c r="D91" s="16"/>
      <c r="E91" s="68">
        <v>21.5</v>
      </c>
      <c r="F91" s="18">
        <v>1</v>
      </c>
      <c r="G91" s="19">
        <v>11223.535714285716</v>
      </c>
      <c r="H91" s="19">
        <f t="shared" si="10"/>
        <v>11223.535714285716</v>
      </c>
      <c r="I91" s="19">
        <f t="shared" si="11"/>
        <v>1178.4712500000001</v>
      </c>
      <c r="J91" s="19">
        <f t="shared" si="12"/>
        <v>12402.006964285716</v>
      </c>
      <c r="K91" s="19">
        <f t="shared" si="13"/>
        <v>3720.6020892857146</v>
      </c>
      <c r="L91" s="19">
        <f t="shared" si="14"/>
        <v>16122.60905357143</v>
      </c>
      <c r="M91" s="19">
        <f t="shared" si="15"/>
        <v>6449.0436214285728</v>
      </c>
      <c r="N91" s="20">
        <f t="shared" si="16"/>
        <v>22571.652675000005</v>
      </c>
    </row>
    <row r="92" spans="2:14" x14ac:dyDescent="0.25">
      <c r="B92" s="22">
        <v>100518334</v>
      </c>
      <c r="C92" s="23" t="s">
        <v>89</v>
      </c>
      <c r="D92" s="16"/>
      <c r="E92" s="68">
        <v>22.5</v>
      </c>
      <c r="F92" s="18">
        <v>1</v>
      </c>
      <c r="G92" s="19">
        <v>9237.6428571428587</v>
      </c>
      <c r="H92" s="19">
        <f t="shared" si="10"/>
        <v>9237.6428571428587</v>
      </c>
      <c r="I92" s="19">
        <f t="shared" si="11"/>
        <v>969.9525000000001</v>
      </c>
      <c r="J92" s="19">
        <f t="shared" si="12"/>
        <v>10207.595357142858</v>
      </c>
      <c r="K92" s="19">
        <f t="shared" si="13"/>
        <v>3062.2786071428573</v>
      </c>
      <c r="L92" s="19">
        <f t="shared" si="14"/>
        <v>13269.873964285714</v>
      </c>
      <c r="M92" s="19">
        <f t="shared" si="15"/>
        <v>5307.9495857142865</v>
      </c>
      <c r="N92" s="20">
        <f t="shared" si="16"/>
        <v>18577.823550000001</v>
      </c>
    </row>
    <row r="93" spans="2:14" x14ac:dyDescent="0.25">
      <c r="B93" s="22">
        <v>100518227</v>
      </c>
      <c r="C93" s="23" t="s">
        <v>90</v>
      </c>
      <c r="D93" s="16"/>
      <c r="E93" s="68">
        <v>22.5</v>
      </c>
      <c r="F93" s="18">
        <v>1</v>
      </c>
      <c r="G93" s="19">
        <v>9237.6428571428587</v>
      </c>
      <c r="H93" s="19">
        <f t="shared" si="10"/>
        <v>9237.6428571428587</v>
      </c>
      <c r="I93" s="19">
        <f t="shared" si="11"/>
        <v>969.9525000000001</v>
      </c>
      <c r="J93" s="19">
        <f t="shared" si="12"/>
        <v>10207.595357142858</v>
      </c>
      <c r="K93" s="19">
        <f t="shared" si="13"/>
        <v>3062.2786071428573</v>
      </c>
      <c r="L93" s="19">
        <f t="shared" si="14"/>
        <v>13269.873964285714</v>
      </c>
      <c r="M93" s="19">
        <f t="shared" si="15"/>
        <v>5307.9495857142865</v>
      </c>
      <c r="N93" s="20">
        <f t="shared" si="16"/>
        <v>18577.823550000001</v>
      </c>
    </row>
    <row r="94" spans="2:14" x14ac:dyDescent="0.25">
      <c r="B94" s="69">
        <v>100027726</v>
      </c>
      <c r="C94" s="70" t="s">
        <v>91</v>
      </c>
      <c r="D94" s="71"/>
      <c r="E94" s="68">
        <v>22.5</v>
      </c>
      <c r="F94" s="18">
        <v>1</v>
      </c>
      <c r="G94" s="19">
        <v>6814.5000000000009</v>
      </c>
      <c r="H94" s="19">
        <f t="shared" si="10"/>
        <v>6814.5000000000009</v>
      </c>
      <c r="I94" s="19">
        <f t="shared" si="11"/>
        <v>715.52250000000004</v>
      </c>
      <c r="J94" s="19">
        <f t="shared" si="12"/>
        <v>7530.0225000000009</v>
      </c>
      <c r="K94" s="19">
        <f t="shared" si="13"/>
        <v>2259.00675</v>
      </c>
      <c r="L94" s="19">
        <f t="shared" si="14"/>
        <v>9789.0292500000014</v>
      </c>
      <c r="M94" s="19">
        <f t="shared" si="15"/>
        <v>3915.6117000000008</v>
      </c>
      <c r="N94" s="20">
        <f t="shared" si="16"/>
        <v>13704.640950000003</v>
      </c>
    </row>
    <row r="95" spans="2:14" ht="15.75" thickBot="1" x14ac:dyDescent="0.3">
      <c r="B95" s="47"/>
      <c r="C95" s="48"/>
      <c r="D95" s="49"/>
      <c r="E95" s="48"/>
      <c r="F95" s="50"/>
      <c r="G95" s="51"/>
      <c r="H95" s="64"/>
      <c r="I95" s="65">
        <v>0.21</v>
      </c>
      <c r="J95" s="64"/>
      <c r="K95" s="66">
        <v>0.35</v>
      </c>
      <c r="L95" s="64"/>
      <c r="M95" s="66">
        <v>0.45</v>
      </c>
      <c r="N95" s="67"/>
    </row>
    <row r="96" spans="2:14" ht="15.75" thickBot="1" x14ac:dyDescent="0.3">
      <c r="B96" s="22">
        <v>100520837</v>
      </c>
      <c r="C96" s="23" t="s">
        <v>92</v>
      </c>
      <c r="D96" s="16">
        <v>7790360980625</v>
      </c>
      <c r="E96" s="68">
        <v>4.8</v>
      </c>
      <c r="F96" s="18">
        <v>12</v>
      </c>
      <c r="G96" s="19">
        <v>35756.175548589337</v>
      </c>
      <c r="H96" s="72">
        <f>+G96/F96</f>
        <v>2979.6812957157781</v>
      </c>
      <c r="I96" s="35">
        <f>+H96*I$95</f>
        <v>625.73307210031339</v>
      </c>
      <c r="J96" s="36">
        <f>+H96+I96</f>
        <v>3605.4143678160917</v>
      </c>
      <c r="K96" s="68">
        <f>+J96*K$95</f>
        <v>1261.895028735632</v>
      </c>
      <c r="L96" s="18">
        <f>+J96+K96</f>
        <v>4867.3093965517237</v>
      </c>
      <c r="M96" s="56">
        <f>+L96*M$95</f>
        <v>2190.2892284482759</v>
      </c>
      <c r="N96" s="57">
        <f>+L96+M96</f>
        <v>7057.5986249999996</v>
      </c>
    </row>
    <row r="97" spans="2:14" x14ac:dyDescent="0.25">
      <c r="B97" s="72">
        <v>100522395</v>
      </c>
      <c r="C97" s="35" t="s">
        <v>93</v>
      </c>
      <c r="D97" s="71"/>
      <c r="E97" s="68">
        <v>4.8</v>
      </c>
      <c r="F97" s="18">
        <v>12</v>
      </c>
      <c r="G97" s="19">
        <v>36471.292000000001</v>
      </c>
      <c r="H97" s="72">
        <f>+G97/F97</f>
        <v>3039.2743333333333</v>
      </c>
      <c r="I97" s="35">
        <f>+H97*I$95</f>
        <v>638.24761000000001</v>
      </c>
      <c r="J97" s="36">
        <f>+H97+I97</f>
        <v>3677.5219433333332</v>
      </c>
      <c r="K97" s="68">
        <f>+J97*K$95</f>
        <v>1287.1326801666664</v>
      </c>
      <c r="L97" s="18">
        <f>+J97+K97</f>
        <v>4964.6546234999996</v>
      </c>
      <c r="M97" s="56">
        <f>+L97*M$95</f>
        <v>2234.0945805749998</v>
      </c>
      <c r="N97" s="57">
        <f>+L97+M97</f>
        <v>7198.7492040749994</v>
      </c>
    </row>
    <row r="98" spans="2:14" ht="15.75" thickBot="1" x14ac:dyDescent="0.3">
      <c r="B98" s="47"/>
      <c r="C98" s="48"/>
      <c r="D98" s="49"/>
      <c r="E98" s="48"/>
      <c r="F98" s="50"/>
      <c r="G98" s="51"/>
      <c r="H98" s="64"/>
      <c r="I98" s="65">
        <v>0.21</v>
      </c>
      <c r="J98" s="64"/>
      <c r="K98" s="66">
        <v>0.35</v>
      </c>
      <c r="L98" s="64"/>
      <c r="M98" s="66">
        <v>0.45</v>
      </c>
      <c r="N98" s="67"/>
    </row>
    <row r="99" spans="2:14" x14ac:dyDescent="0.25">
      <c r="B99" s="22">
        <v>100520902</v>
      </c>
      <c r="C99" s="23" t="s">
        <v>94</v>
      </c>
      <c r="D99" s="16">
        <v>7790360981042</v>
      </c>
      <c r="E99" s="68">
        <v>9.8000000000000007</v>
      </c>
      <c r="F99" s="18">
        <v>14</v>
      </c>
      <c r="G99" s="19">
        <v>32345.802856147693</v>
      </c>
      <c r="H99" s="72">
        <f>+G99/F99</f>
        <v>2310.4144897248352</v>
      </c>
      <c r="I99" s="35">
        <f>+H99*I$98</f>
        <v>485.18704284221536</v>
      </c>
      <c r="J99" s="36">
        <f>+H99+I99</f>
        <v>2795.6015325670505</v>
      </c>
      <c r="K99" s="68">
        <f>+J99*K$98</f>
        <v>978.46053639846764</v>
      </c>
      <c r="L99" s="18">
        <f>+J99+K99</f>
        <v>3774.0620689655179</v>
      </c>
      <c r="M99" s="56">
        <f>+L99*M$98</f>
        <v>1698.3279310344831</v>
      </c>
      <c r="N99" s="57">
        <f>+L99+M99</f>
        <v>5472.3900000000012</v>
      </c>
    </row>
    <row r="100" spans="2:14" ht="15.75" thickBot="1" x14ac:dyDescent="0.3">
      <c r="B100" s="47"/>
      <c r="C100" s="48"/>
      <c r="D100" s="49"/>
      <c r="E100" s="48"/>
      <c r="F100" s="50"/>
      <c r="G100" s="51"/>
      <c r="H100" s="64"/>
      <c r="I100" s="65">
        <v>0.21</v>
      </c>
      <c r="J100" s="64"/>
      <c r="K100" s="66">
        <v>0.35</v>
      </c>
      <c r="L100" s="64"/>
      <c r="M100" s="66">
        <v>0.45</v>
      </c>
      <c r="N100" s="67"/>
    </row>
    <row r="101" spans="2:14" ht="15.75" thickBot="1" x14ac:dyDescent="0.3">
      <c r="B101" s="22">
        <v>100521457</v>
      </c>
      <c r="C101" s="23" t="s">
        <v>95</v>
      </c>
      <c r="D101" s="16">
        <v>7790360982254</v>
      </c>
      <c r="E101" s="68">
        <v>4.8</v>
      </c>
      <c r="F101" s="18">
        <v>16</v>
      </c>
      <c r="G101" s="19">
        <v>36127.899686520381</v>
      </c>
      <c r="H101" s="72">
        <f>+G101/F101</f>
        <v>2257.9937304075238</v>
      </c>
      <c r="I101" s="35">
        <f>+H101*I$100</f>
        <v>474.17868338557997</v>
      </c>
      <c r="J101" s="36">
        <f>+H101+I101</f>
        <v>2732.1724137931037</v>
      </c>
      <c r="K101" s="68">
        <f>+J101*K$100</f>
        <v>956.26034482758621</v>
      </c>
      <c r="L101" s="18">
        <f>+J101+K101</f>
        <v>3688.43275862069</v>
      </c>
      <c r="M101" s="56">
        <f>+L101*M$100</f>
        <v>1659.7947413793106</v>
      </c>
      <c r="N101" s="57">
        <f>+L101+M101</f>
        <v>5348.2275000000009</v>
      </c>
    </row>
    <row r="102" spans="2:14" ht="15.75" thickBot="1" x14ac:dyDescent="0.3">
      <c r="B102" s="22">
        <v>100521455</v>
      </c>
      <c r="C102" s="23" t="s">
        <v>96</v>
      </c>
      <c r="D102" s="16">
        <v>7790360982247</v>
      </c>
      <c r="E102" s="68">
        <v>4.8</v>
      </c>
      <c r="F102" s="18">
        <v>16</v>
      </c>
      <c r="G102" s="19">
        <v>36127.899686520381</v>
      </c>
      <c r="H102" s="72">
        <f t="shared" ref="H102:H104" si="17">+G102/F102</f>
        <v>2257.9937304075238</v>
      </c>
      <c r="I102" s="35">
        <f t="shared" ref="I102:I104" si="18">+H102*I$100</f>
        <v>474.17868338557997</v>
      </c>
      <c r="J102" s="36">
        <f t="shared" ref="J102:J104" si="19">+H102+I102</f>
        <v>2732.1724137931037</v>
      </c>
      <c r="K102" s="68">
        <f t="shared" ref="K102:K104" si="20">+J102*K$100</f>
        <v>956.26034482758621</v>
      </c>
      <c r="L102" s="18">
        <f t="shared" ref="L102:L104" si="21">+J102+K102</f>
        <v>3688.43275862069</v>
      </c>
      <c r="M102" s="56">
        <f t="shared" ref="M102:M104" si="22">+L102*M$100</f>
        <v>1659.7947413793106</v>
      </c>
      <c r="N102" s="57">
        <f t="shared" ref="N102:N104" si="23">+L102+M102</f>
        <v>5348.2275000000009</v>
      </c>
    </row>
    <row r="103" spans="2:14" ht="15.75" thickBot="1" x14ac:dyDescent="0.3">
      <c r="B103" s="22">
        <v>100521453</v>
      </c>
      <c r="C103" s="23" t="s">
        <v>97</v>
      </c>
      <c r="D103" s="16">
        <v>7790360982223</v>
      </c>
      <c r="E103" s="68">
        <v>5.4</v>
      </c>
      <c r="F103" s="18">
        <v>18</v>
      </c>
      <c r="G103" s="19">
        <v>35563.401253918506</v>
      </c>
      <c r="H103" s="72">
        <f t="shared" si="17"/>
        <v>1975.7445141065837</v>
      </c>
      <c r="I103" s="35">
        <f t="shared" si="18"/>
        <v>414.90634796238254</v>
      </c>
      <c r="J103" s="36">
        <f t="shared" si="19"/>
        <v>2390.650862068966</v>
      </c>
      <c r="K103" s="68">
        <f t="shared" si="20"/>
        <v>836.72780172413809</v>
      </c>
      <c r="L103" s="18">
        <f t="shared" si="21"/>
        <v>3227.3786637931044</v>
      </c>
      <c r="M103" s="56">
        <f t="shared" si="22"/>
        <v>1452.3203987068971</v>
      </c>
      <c r="N103" s="57">
        <f t="shared" si="23"/>
        <v>4679.6990625000017</v>
      </c>
    </row>
    <row r="104" spans="2:14" x14ac:dyDescent="0.25">
      <c r="B104" s="22">
        <v>100521454</v>
      </c>
      <c r="C104" s="23" t="s">
        <v>98</v>
      </c>
      <c r="D104" s="16">
        <v>7790360982230</v>
      </c>
      <c r="E104" s="68">
        <v>5.3999999999999995</v>
      </c>
      <c r="F104" s="18">
        <v>18</v>
      </c>
      <c r="G104" s="19">
        <v>35563.401253918506</v>
      </c>
      <c r="H104" s="72">
        <f t="shared" si="17"/>
        <v>1975.7445141065837</v>
      </c>
      <c r="I104" s="35">
        <f t="shared" si="18"/>
        <v>414.90634796238254</v>
      </c>
      <c r="J104" s="36">
        <f t="shared" si="19"/>
        <v>2390.650862068966</v>
      </c>
      <c r="K104" s="68">
        <f t="shared" si="20"/>
        <v>836.72780172413809</v>
      </c>
      <c r="L104" s="18">
        <f t="shared" si="21"/>
        <v>3227.3786637931044</v>
      </c>
      <c r="M104" s="56">
        <f t="shared" si="22"/>
        <v>1452.3203987068971</v>
      </c>
      <c r="N104" s="57">
        <f t="shared" si="23"/>
        <v>4679.6990625000017</v>
      </c>
    </row>
    <row r="105" spans="2:14" ht="15.75" thickBot="1" x14ac:dyDescent="0.3">
      <c r="B105" s="47"/>
      <c r="C105" s="48"/>
      <c r="D105" s="49"/>
      <c r="E105" s="48"/>
      <c r="F105" s="50"/>
      <c r="G105" s="51"/>
      <c r="H105" s="64"/>
      <c r="I105" s="65">
        <v>0.21</v>
      </c>
      <c r="J105" s="64"/>
      <c r="K105" s="66">
        <v>0.22</v>
      </c>
      <c r="L105" s="64"/>
      <c r="M105" s="66">
        <v>0.35</v>
      </c>
      <c r="N105" s="67"/>
    </row>
    <row r="106" spans="2:14" ht="15.75" thickBot="1" x14ac:dyDescent="0.3">
      <c r="B106" s="72">
        <v>100522246</v>
      </c>
      <c r="C106" s="35" t="s">
        <v>99</v>
      </c>
      <c r="D106" s="36">
        <v>7790360984234</v>
      </c>
      <c r="E106" s="68">
        <v>8.16</v>
      </c>
      <c r="F106" s="18">
        <v>48</v>
      </c>
      <c r="G106" s="19">
        <v>116812.71733730749</v>
      </c>
      <c r="H106" s="72">
        <f t="shared" ref="H106:H107" si="24">+G106/F106</f>
        <v>2433.5982778605726</v>
      </c>
      <c r="I106" s="35">
        <f t="shared" ref="I106:I107" si="25">+H106*I$3</f>
        <v>511.05563835072024</v>
      </c>
      <c r="J106" s="36">
        <f t="shared" ref="J106:J107" si="26">+H106+I106</f>
        <v>2944.6539162112927</v>
      </c>
      <c r="K106" s="68">
        <f>+J106*K$105</f>
        <v>647.82386156648442</v>
      </c>
      <c r="L106" s="18">
        <f t="shared" ref="L106:L107" si="27">+J106+K106</f>
        <v>3592.4777777777772</v>
      </c>
      <c r="M106" s="56">
        <f>+L106*M$105</f>
        <v>1257.3672222222219</v>
      </c>
      <c r="N106" s="57">
        <f t="shared" ref="N106:N107" si="28">+L106+M106</f>
        <v>4849.8449999999993</v>
      </c>
    </row>
    <row r="107" spans="2:14" x14ac:dyDescent="0.25">
      <c r="B107" s="72">
        <v>100522247</v>
      </c>
      <c r="C107" s="35" t="s">
        <v>100</v>
      </c>
      <c r="D107" s="36">
        <v>7790360984241</v>
      </c>
      <c r="E107" s="68">
        <v>8.16</v>
      </c>
      <c r="F107" s="18">
        <v>48</v>
      </c>
      <c r="G107" s="19">
        <v>116812.71733730749</v>
      </c>
      <c r="H107" s="72">
        <f t="shared" si="24"/>
        <v>2433.5982778605726</v>
      </c>
      <c r="I107" s="35">
        <f t="shared" si="25"/>
        <v>511.05563835072024</v>
      </c>
      <c r="J107" s="36">
        <f t="shared" si="26"/>
        <v>2944.6539162112927</v>
      </c>
      <c r="K107" s="68">
        <f>+J107*K$105</f>
        <v>647.82386156648442</v>
      </c>
      <c r="L107" s="18">
        <f t="shared" si="27"/>
        <v>3592.4777777777772</v>
      </c>
      <c r="M107" s="56">
        <f>+L107*M$105</f>
        <v>1257.3672222222219</v>
      </c>
      <c r="N107" s="57">
        <f t="shared" si="28"/>
        <v>4849.8449999999993</v>
      </c>
    </row>
  </sheetData>
  <conditionalFormatting sqref="B20:C20">
    <cfRule type="cellIs" dxfId="68" priority="23" stopIfTrue="1" operator="equal">
      <formula>0</formula>
    </cfRule>
  </conditionalFormatting>
  <conditionalFormatting sqref="B27:C27">
    <cfRule type="cellIs" dxfId="67" priority="16" stopIfTrue="1" operator="equal">
      <formula>0</formula>
    </cfRule>
  </conditionalFormatting>
  <conditionalFormatting sqref="B97:C97">
    <cfRule type="cellIs" dxfId="66" priority="3" stopIfTrue="1" operator="equal">
      <formula>0</formula>
    </cfRule>
  </conditionalFormatting>
  <conditionalFormatting sqref="B63:D63">
    <cfRule type="cellIs" dxfId="65" priority="21" stopIfTrue="1" operator="equal">
      <formula>0</formula>
    </cfRule>
  </conditionalFormatting>
  <conditionalFormatting sqref="B16:F19">
    <cfRule type="cellIs" dxfId="64" priority="13" stopIfTrue="1" operator="equal">
      <formula>0</formula>
    </cfRule>
  </conditionalFormatting>
  <conditionalFormatting sqref="B106:F107">
    <cfRule type="cellIs" dxfId="63" priority="2" stopIfTrue="1" operator="equal">
      <formula>0</formula>
    </cfRule>
  </conditionalFormatting>
  <conditionalFormatting sqref="B69:N69">
    <cfRule type="cellIs" dxfId="62" priority="7" stopIfTrue="1" operator="equal">
      <formula>0</formula>
    </cfRule>
  </conditionalFormatting>
  <conditionalFormatting sqref="B73:N74">
    <cfRule type="cellIs" dxfId="61" priority="6" stopIfTrue="1" operator="equal">
      <formula>0</formula>
    </cfRule>
  </conditionalFormatting>
  <conditionalFormatting sqref="C28">
    <cfRule type="cellIs" dxfId="60" priority="15" stopIfTrue="1" operator="equal">
      <formula>0</formula>
    </cfRule>
  </conditionalFormatting>
  <conditionalFormatting sqref="E20:F20">
    <cfRule type="cellIs" dxfId="59" priority="22" stopIfTrue="1" operator="equal">
      <formula>0</formula>
    </cfRule>
  </conditionalFormatting>
  <conditionalFormatting sqref="E89:F94">
    <cfRule type="cellIs" dxfId="58" priority="14" stopIfTrue="1" operator="equal">
      <formula>0</formula>
    </cfRule>
  </conditionalFormatting>
  <conditionalFormatting sqref="E96:F97">
    <cfRule type="cellIs" dxfId="57" priority="4" stopIfTrue="1" operator="equal">
      <formula>0</formula>
    </cfRule>
  </conditionalFormatting>
  <conditionalFormatting sqref="E99:F99">
    <cfRule type="cellIs" dxfId="56" priority="11" stopIfTrue="1" operator="equal">
      <formula>0</formula>
    </cfRule>
  </conditionalFormatting>
  <conditionalFormatting sqref="E101:F104">
    <cfRule type="cellIs" dxfId="55" priority="9" stopIfTrue="1" operator="equal">
      <formula>0</formula>
    </cfRule>
  </conditionalFormatting>
  <conditionalFormatting sqref="E58:N61">
    <cfRule type="cellIs" dxfId="54" priority="19" stopIfTrue="1" operator="equal">
      <formula>0</formula>
    </cfRule>
  </conditionalFormatting>
  <conditionalFormatting sqref="G16:H20">
    <cfRule type="cellIs" dxfId="53" priority="20" stopIfTrue="1" operator="equal">
      <formula>0</formula>
    </cfRule>
  </conditionalFormatting>
  <conditionalFormatting sqref="H96:L97">
    <cfRule type="cellIs" dxfId="52" priority="12" stopIfTrue="1" operator="equal">
      <formula>0</formula>
    </cfRule>
  </conditionalFormatting>
  <conditionalFormatting sqref="H99:L99">
    <cfRule type="cellIs" dxfId="51" priority="10" stopIfTrue="1" operator="equal">
      <formula>0</formula>
    </cfRule>
  </conditionalFormatting>
  <conditionalFormatting sqref="H101:L104">
    <cfRule type="cellIs" dxfId="50" priority="8" stopIfTrue="1" operator="equal">
      <formula>0</formula>
    </cfRule>
  </conditionalFormatting>
  <conditionalFormatting sqref="H106:L107">
    <cfRule type="cellIs" dxfId="49" priority="1" stopIfTrue="1" operator="equal">
      <formula>0</formula>
    </cfRule>
  </conditionalFormatting>
  <conditionalFormatting sqref="H90:N94">
    <cfRule type="cellIs" dxfId="48" priority="5" stopIfTrue="1" operator="equal">
      <formula>0</formula>
    </cfRule>
  </conditionalFormatting>
  <conditionalFormatting sqref="K38">
    <cfRule type="cellIs" dxfId="47" priority="18" stopIfTrue="1" operator="equal">
      <formula>0</formula>
    </cfRule>
  </conditionalFormatting>
  <conditionalFormatting sqref="K16:N18 L19:N20">
    <cfRule type="cellIs" dxfId="46" priority="17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06"/>
  <sheetViews>
    <sheetView zoomScale="55" zoomScaleNormal="55" workbookViewId="0">
      <pane xSplit="2" ySplit="2" topLeftCell="C86" activePane="bottomRight" state="frozen"/>
      <selection activeCell="J107" sqref="J107"/>
      <selection pane="topRight" activeCell="J107" sqref="J107"/>
      <selection pane="bottomLeft" activeCell="J107" sqref="J107"/>
      <selection pane="bottomRight" activeCell="L110" sqref="L110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46.28515625" bestFit="1" customWidth="1"/>
    <col min="4" max="4" width="12.140625" customWidth="1"/>
    <col min="5" max="5" width="8" bestFit="1" customWidth="1"/>
    <col min="6" max="6" width="9.42578125" bestFit="1" customWidth="1"/>
    <col min="7" max="7" width="9.42578125" style="79" bestFit="1" customWidth="1"/>
    <col min="8" max="13" width="11.42578125" customWidth="1" outlineLevel="1"/>
    <col min="14" max="14" width="11.42578125" style="73" customWidth="1"/>
  </cols>
  <sheetData>
    <row r="1" spans="2:14" s="1" customFormat="1" ht="12.75" thickBot="1" x14ac:dyDescent="0.25">
      <c r="G1" s="74"/>
      <c r="N1" s="2"/>
    </row>
    <row r="2" spans="2:14" s="1" customFormat="1" ht="36.75" thickBot="1" x14ac:dyDescent="0.25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75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7" t="s">
        <v>12</v>
      </c>
    </row>
    <row r="3" spans="2:14" s="1" customFormat="1" ht="12" x14ac:dyDescent="0.2">
      <c r="B3" s="8"/>
      <c r="C3" s="9"/>
      <c r="D3" s="10"/>
      <c r="E3" s="9"/>
      <c r="F3" s="9"/>
      <c r="G3" s="76"/>
      <c r="H3" s="11"/>
      <c r="I3" s="12">
        <v>0.21</v>
      </c>
      <c r="J3" s="11"/>
      <c r="K3" s="12">
        <v>0.33</v>
      </c>
      <c r="L3" s="11"/>
      <c r="M3" s="12">
        <v>0.4</v>
      </c>
      <c r="N3" s="13"/>
    </row>
    <row r="4" spans="2:14" x14ac:dyDescent="0.25">
      <c r="B4" s="14">
        <v>100021632</v>
      </c>
      <c r="C4" s="15" t="s">
        <v>13</v>
      </c>
      <c r="D4" s="16">
        <v>7790360026606</v>
      </c>
      <c r="E4" s="17">
        <v>4.8</v>
      </c>
      <c r="F4" s="18">
        <v>30</v>
      </c>
      <c r="G4" s="19">
        <v>44187.112006578951</v>
      </c>
      <c r="H4" s="19">
        <f>+G4/F4</f>
        <v>1472.9037335526316</v>
      </c>
      <c r="I4" s="19">
        <f>+H4*I$3</f>
        <v>309.30978404605264</v>
      </c>
      <c r="J4" s="19">
        <f>+H4+I4</f>
        <v>1782.2135175986841</v>
      </c>
      <c r="K4" s="19">
        <f>+J4*K$3</f>
        <v>588.13046080756578</v>
      </c>
      <c r="L4" s="19">
        <f>+J4+K4</f>
        <v>2370.3439784062498</v>
      </c>
      <c r="M4" s="19">
        <f>+L4*M$3</f>
        <v>948.13759136249996</v>
      </c>
      <c r="N4" s="20">
        <f>+L4+M4</f>
        <v>3318.48156976875</v>
      </c>
    </row>
    <row r="5" spans="2:14" x14ac:dyDescent="0.25">
      <c r="B5" s="21">
        <v>100021652</v>
      </c>
      <c r="C5" s="15" t="s">
        <v>14</v>
      </c>
      <c r="D5" s="16">
        <v>7790360026576</v>
      </c>
      <c r="E5" s="17">
        <v>5.76</v>
      </c>
      <c r="F5" s="18">
        <v>18</v>
      </c>
      <c r="G5" s="19">
        <v>57541.051073863644</v>
      </c>
      <c r="H5" s="19">
        <f t="shared" ref="H5:H74" si="0">+G5/F5</f>
        <v>3196.7250596590911</v>
      </c>
      <c r="I5" s="19">
        <f t="shared" ref="I5:I76" si="1">+H5*I$3</f>
        <v>671.31226252840906</v>
      </c>
      <c r="J5" s="19">
        <f t="shared" ref="J5:J76" si="2">+H5+I5</f>
        <v>3868.0373221875002</v>
      </c>
      <c r="K5" s="19">
        <f t="shared" ref="K5:K76" si="3">+J5*K$3</f>
        <v>1276.4523163218751</v>
      </c>
      <c r="L5" s="19">
        <f t="shared" ref="L5:L76" si="4">+J5+K5</f>
        <v>5144.4896385093753</v>
      </c>
      <c r="M5" s="19">
        <f t="shared" ref="M5:M76" si="5">+L5*M$3</f>
        <v>2057.79585540375</v>
      </c>
      <c r="N5" s="20">
        <f t="shared" ref="N5:N76" si="6">+L5+M5</f>
        <v>7202.2854939131248</v>
      </c>
    </row>
    <row r="6" spans="2:14" x14ac:dyDescent="0.25">
      <c r="B6" s="21">
        <v>100021631</v>
      </c>
      <c r="C6" s="15" t="s">
        <v>15</v>
      </c>
      <c r="D6" s="16">
        <v>7790360026590</v>
      </c>
      <c r="E6" s="17">
        <v>7.68</v>
      </c>
      <c r="F6" s="18">
        <v>8</v>
      </c>
      <c r="G6" s="19">
        <v>67164.410250000001</v>
      </c>
      <c r="H6" s="19">
        <f t="shared" si="0"/>
        <v>8395.5512812500001</v>
      </c>
      <c r="I6" s="19">
        <f t="shared" si="1"/>
        <v>1763.0657690625001</v>
      </c>
      <c r="J6" s="19">
        <f t="shared" si="2"/>
        <v>10158.617050312499</v>
      </c>
      <c r="K6" s="19">
        <f t="shared" si="3"/>
        <v>3352.3436266031249</v>
      </c>
      <c r="L6" s="19">
        <f t="shared" si="4"/>
        <v>13510.960676915623</v>
      </c>
      <c r="M6" s="19">
        <f t="shared" si="5"/>
        <v>5404.3842707662498</v>
      </c>
      <c r="N6" s="20">
        <f t="shared" si="6"/>
        <v>18915.344947681871</v>
      </c>
    </row>
    <row r="7" spans="2:14" x14ac:dyDescent="0.25">
      <c r="B7" s="21">
        <v>100021630</v>
      </c>
      <c r="C7" s="15" t="s">
        <v>16</v>
      </c>
      <c r="D7" s="16">
        <v>7790360026583</v>
      </c>
      <c r="E7" s="17">
        <v>9.6</v>
      </c>
      <c r="F7" s="18">
        <v>6</v>
      </c>
      <c r="G7" s="19">
        <v>82188.028332236849</v>
      </c>
      <c r="H7" s="19">
        <f t="shared" si="0"/>
        <v>13698.004722039475</v>
      </c>
      <c r="I7" s="19">
        <f t="shared" si="1"/>
        <v>2876.5809916282897</v>
      </c>
      <c r="J7" s="19">
        <f t="shared" si="2"/>
        <v>16574.585713667766</v>
      </c>
      <c r="K7" s="19">
        <f t="shared" si="3"/>
        <v>5469.6132855103633</v>
      </c>
      <c r="L7" s="19">
        <f t="shared" si="4"/>
        <v>22044.19899917813</v>
      </c>
      <c r="M7" s="19">
        <f t="shared" si="5"/>
        <v>8817.6795996712517</v>
      </c>
      <c r="N7" s="20">
        <f t="shared" si="6"/>
        <v>30861.878598849384</v>
      </c>
    </row>
    <row r="8" spans="2:14" x14ac:dyDescent="0.25">
      <c r="B8" s="22">
        <v>100021653</v>
      </c>
      <c r="C8" s="23" t="s">
        <v>17</v>
      </c>
      <c r="D8" s="16">
        <v>7790360026682</v>
      </c>
      <c r="E8" s="17">
        <v>5.76</v>
      </c>
      <c r="F8" s="18">
        <v>18</v>
      </c>
      <c r="G8" s="19">
        <v>58326.987848684214</v>
      </c>
      <c r="H8" s="19">
        <f t="shared" si="0"/>
        <v>3240.3882138157896</v>
      </c>
      <c r="I8" s="19">
        <f t="shared" si="1"/>
        <v>680.48152490131577</v>
      </c>
      <c r="J8" s="19">
        <f t="shared" si="2"/>
        <v>3920.8697387171055</v>
      </c>
      <c r="K8" s="19">
        <f t="shared" si="3"/>
        <v>1293.8870137766448</v>
      </c>
      <c r="L8" s="19">
        <f t="shared" si="4"/>
        <v>5214.7567524937504</v>
      </c>
      <c r="M8" s="19">
        <f t="shared" si="5"/>
        <v>2085.9027009975002</v>
      </c>
      <c r="N8" s="20">
        <f t="shared" si="6"/>
        <v>7300.659453491251</v>
      </c>
    </row>
    <row r="9" spans="2:14" x14ac:dyDescent="0.25">
      <c r="B9" s="22">
        <v>100516169</v>
      </c>
      <c r="C9" s="23" t="s">
        <v>18</v>
      </c>
      <c r="D9" s="16">
        <v>7790360967961</v>
      </c>
      <c r="E9" s="17">
        <v>5.76</v>
      </c>
      <c r="F9" s="18">
        <v>18</v>
      </c>
      <c r="G9" s="19">
        <v>47534.511197250016</v>
      </c>
      <c r="H9" s="19">
        <f t="shared" si="0"/>
        <v>2640.8061776250011</v>
      </c>
      <c r="I9" s="19">
        <f t="shared" si="1"/>
        <v>554.56929730125023</v>
      </c>
      <c r="J9" s="19">
        <f t="shared" si="2"/>
        <v>3195.3754749262512</v>
      </c>
      <c r="K9" s="19">
        <f t="shared" si="3"/>
        <v>1054.473906725663</v>
      </c>
      <c r="L9" s="19">
        <f t="shared" si="4"/>
        <v>4249.849381651914</v>
      </c>
      <c r="M9" s="19">
        <f t="shared" si="5"/>
        <v>1699.9397526607656</v>
      </c>
      <c r="N9" s="20">
        <f t="shared" si="6"/>
        <v>5949.7891343126794</v>
      </c>
    </row>
    <row r="10" spans="2:14" x14ac:dyDescent="0.25">
      <c r="B10" s="22">
        <v>100520337</v>
      </c>
      <c r="C10" s="23" t="s">
        <v>19</v>
      </c>
      <c r="D10" s="16">
        <v>7790360977960</v>
      </c>
      <c r="E10" s="17">
        <v>4.8</v>
      </c>
      <c r="F10" s="18">
        <v>30</v>
      </c>
      <c r="G10" s="19">
        <v>29765.977443609023</v>
      </c>
      <c r="H10" s="19">
        <f>+G10/F10</f>
        <v>992.19924812030081</v>
      </c>
      <c r="I10" s="19">
        <f>+H10*I$3</f>
        <v>208.36184210526315</v>
      </c>
      <c r="J10" s="19">
        <f>+H10+I10</f>
        <v>1200.5610902255639</v>
      </c>
      <c r="K10" s="19">
        <f>+J10*K$3</f>
        <v>396.1851597744361</v>
      </c>
      <c r="L10" s="19">
        <f>+J10+K10</f>
        <v>1596.7462500000001</v>
      </c>
      <c r="M10" s="19">
        <f>+L10*M$3</f>
        <v>638.69850000000008</v>
      </c>
      <c r="N10" s="20">
        <f>+L10+M10</f>
        <v>2235.4447500000001</v>
      </c>
    </row>
    <row r="11" spans="2:14" x14ac:dyDescent="0.25">
      <c r="B11" s="22">
        <v>100021503</v>
      </c>
      <c r="C11" s="23" t="s">
        <v>20</v>
      </c>
      <c r="D11" s="16">
        <v>7790360966841</v>
      </c>
      <c r="E11" s="17">
        <v>3.3119999999999998</v>
      </c>
      <c r="F11" s="18">
        <v>12</v>
      </c>
      <c r="G11" s="19">
        <v>25165.542165071773</v>
      </c>
      <c r="H11" s="19">
        <f t="shared" si="0"/>
        <v>2097.1285137559812</v>
      </c>
      <c r="I11" s="19">
        <f t="shared" si="1"/>
        <v>440.39698788875603</v>
      </c>
      <c r="J11" s="19">
        <f t="shared" si="2"/>
        <v>2537.5255016447372</v>
      </c>
      <c r="K11" s="19">
        <f t="shared" si="3"/>
        <v>837.38341554276337</v>
      </c>
      <c r="L11" s="19">
        <f t="shared" si="4"/>
        <v>3374.9089171875007</v>
      </c>
      <c r="M11" s="19">
        <f t="shared" si="5"/>
        <v>1349.9635668750004</v>
      </c>
      <c r="N11" s="20">
        <f t="shared" si="6"/>
        <v>4724.8724840625009</v>
      </c>
    </row>
    <row r="12" spans="2:14" x14ac:dyDescent="0.25">
      <c r="B12" s="22">
        <v>100516201</v>
      </c>
      <c r="C12" s="23" t="s">
        <v>21</v>
      </c>
      <c r="D12" s="16">
        <v>7790360968548</v>
      </c>
      <c r="E12" s="17">
        <v>6.6239999999999997</v>
      </c>
      <c r="F12" s="18">
        <v>8</v>
      </c>
      <c r="G12" s="19">
        <v>49695.701424801344</v>
      </c>
      <c r="H12" s="19">
        <f t="shared" si="0"/>
        <v>6211.962678100168</v>
      </c>
      <c r="I12" s="19">
        <f t="shared" si="1"/>
        <v>1304.5121624010353</v>
      </c>
      <c r="J12" s="19">
        <f t="shared" si="2"/>
        <v>7516.4748405012033</v>
      </c>
      <c r="K12" s="19">
        <f t="shared" si="3"/>
        <v>2480.4366973653973</v>
      </c>
      <c r="L12" s="19">
        <f t="shared" si="4"/>
        <v>9996.9115378666011</v>
      </c>
      <c r="M12" s="19">
        <f t="shared" si="5"/>
        <v>3998.7646151466406</v>
      </c>
      <c r="N12" s="20">
        <f t="shared" si="6"/>
        <v>13995.676153013243</v>
      </c>
    </row>
    <row r="13" spans="2:14" x14ac:dyDescent="0.25">
      <c r="B13" s="22">
        <v>100021643</v>
      </c>
      <c r="C13" s="23" t="s">
        <v>22</v>
      </c>
      <c r="D13" s="16">
        <v>7790360966797</v>
      </c>
      <c r="E13" s="17">
        <v>4.7039999999999997</v>
      </c>
      <c r="F13" s="18">
        <v>42</v>
      </c>
      <c r="G13" s="19">
        <v>24868.421052631584</v>
      </c>
      <c r="H13" s="19">
        <f t="shared" si="0"/>
        <v>592.1052631578948</v>
      </c>
      <c r="I13" s="19">
        <f t="shared" si="1"/>
        <v>124.3421052631579</v>
      </c>
      <c r="J13" s="19">
        <f t="shared" si="2"/>
        <v>716.44736842105272</v>
      </c>
      <c r="K13" s="19">
        <f t="shared" si="3"/>
        <v>236.4276315789474</v>
      </c>
      <c r="L13" s="19">
        <f t="shared" si="4"/>
        <v>952.87500000000011</v>
      </c>
      <c r="M13" s="19">
        <f t="shared" si="5"/>
        <v>381.15000000000009</v>
      </c>
      <c r="N13" s="20">
        <f t="shared" si="6"/>
        <v>1334.0250000000001</v>
      </c>
    </row>
    <row r="14" spans="2:14" x14ac:dyDescent="0.25">
      <c r="B14" s="22">
        <v>100516325</v>
      </c>
      <c r="C14" s="23" t="s">
        <v>23</v>
      </c>
      <c r="D14" s="16">
        <v>7790360967763</v>
      </c>
      <c r="E14" s="17">
        <v>4.7039999999999997</v>
      </c>
      <c r="F14" s="18">
        <v>21</v>
      </c>
      <c r="G14" s="19">
        <v>29947.061815119498</v>
      </c>
      <c r="H14" s="19">
        <f t="shared" si="0"/>
        <v>1426.0505626247379</v>
      </c>
      <c r="I14" s="19">
        <f t="shared" si="1"/>
        <v>299.47061815119497</v>
      </c>
      <c r="J14" s="19">
        <f t="shared" si="2"/>
        <v>1725.5211807759329</v>
      </c>
      <c r="K14" s="19">
        <f t="shared" si="3"/>
        <v>569.42198965605792</v>
      </c>
      <c r="L14" s="19">
        <f t="shared" si="4"/>
        <v>2294.9431704319909</v>
      </c>
      <c r="M14" s="19">
        <f t="shared" si="5"/>
        <v>917.97726817279636</v>
      </c>
      <c r="N14" s="20">
        <f t="shared" si="6"/>
        <v>3212.9204386047873</v>
      </c>
    </row>
    <row r="15" spans="2:14" x14ac:dyDescent="0.25">
      <c r="B15" s="22">
        <v>100021676</v>
      </c>
      <c r="C15" s="23" t="s">
        <v>24</v>
      </c>
      <c r="D15" s="16">
        <v>7790360967411</v>
      </c>
      <c r="E15" s="17">
        <v>7.5</v>
      </c>
      <c r="F15" s="18">
        <v>30</v>
      </c>
      <c r="G15" s="19">
        <v>70541.904455741635</v>
      </c>
      <c r="H15" s="19">
        <f t="shared" si="0"/>
        <v>2351.3968151913878</v>
      </c>
      <c r="I15" s="19">
        <f t="shared" si="1"/>
        <v>493.7933311901914</v>
      </c>
      <c r="J15" s="19">
        <f t="shared" si="2"/>
        <v>2845.1901463815793</v>
      </c>
      <c r="K15" s="19">
        <f t="shared" si="3"/>
        <v>938.91274830592124</v>
      </c>
      <c r="L15" s="19">
        <f t="shared" si="4"/>
        <v>3784.1028946875003</v>
      </c>
      <c r="M15" s="19">
        <f t="shared" si="5"/>
        <v>1513.6411578750003</v>
      </c>
      <c r="N15" s="20">
        <f t="shared" si="6"/>
        <v>5297.7440525625007</v>
      </c>
    </row>
    <row r="16" spans="2:14" x14ac:dyDescent="0.25">
      <c r="B16" s="22">
        <v>100516008</v>
      </c>
      <c r="C16" s="23" t="s">
        <v>25</v>
      </c>
      <c r="D16" s="16">
        <v>7790360967701</v>
      </c>
      <c r="E16" s="17">
        <v>5.76</v>
      </c>
      <c r="F16" s="18">
        <v>24</v>
      </c>
      <c r="G16" s="19">
        <v>68994.307364733933</v>
      </c>
      <c r="H16" s="19">
        <f t="shared" si="0"/>
        <v>2874.7628068639137</v>
      </c>
      <c r="I16" s="19">
        <f t="shared" si="1"/>
        <v>603.70018944142191</v>
      </c>
      <c r="J16" s="19">
        <f t="shared" si="2"/>
        <v>3478.4629963053358</v>
      </c>
      <c r="K16" s="19">
        <f t="shared" si="3"/>
        <v>1147.8927887807608</v>
      </c>
      <c r="L16" s="19">
        <f t="shared" si="4"/>
        <v>4626.3557850860961</v>
      </c>
      <c r="M16" s="19">
        <f t="shared" si="5"/>
        <v>1850.5423140344385</v>
      </c>
      <c r="N16" s="20">
        <f t="shared" si="6"/>
        <v>6476.8980991205344</v>
      </c>
    </row>
    <row r="17" spans="2:14" x14ac:dyDescent="0.25">
      <c r="B17" s="22">
        <v>100520834</v>
      </c>
      <c r="C17" s="23" t="s">
        <v>26</v>
      </c>
      <c r="D17" s="16">
        <v>7790360980618</v>
      </c>
      <c r="E17" s="17">
        <v>6.66</v>
      </c>
      <c r="F17" s="18">
        <v>36</v>
      </c>
      <c r="G17" s="19">
        <v>67560.058709650781</v>
      </c>
      <c r="H17" s="19">
        <f>+G17/F17</f>
        <v>1876.6682974902994</v>
      </c>
      <c r="I17" s="19">
        <f>+H17*I$3</f>
        <v>394.10034247296289</v>
      </c>
      <c r="J17" s="19">
        <f>+H17+I17</f>
        <v>2270.7686399632621</v>
      </c>
      <c r="K17" s="19">
        <f>+J17*K$3</f>
        <v>749.35365118787649</v>
      </c>
      <c r="L17" s="19">
        <f>+J17+K17</f>
        <v>3020.1222911511386</v>
      </c>
      <c r="M17" s="19">
        <f>+L17*M$3</f>
        <v>1208.0489164604555</v>
      </c>
      <c r="N17" s="20">
        <f>+L17+M17</f>
        <v>4228.1712076115946</v>
      </c>
    </row>
    <row r="18" spans="2:14" x14ac:dyDescent="0.25">
      <c r="B18" s="22">
        <v>100021680</v>
      </c>
      <c r="C18" s="23" t="s">
        <v>27</v>
      </c>
      <c r="D18" s="16">
        <v>7790360967688</v>
      </c>
      <c r="E18" s="17">
        <v>4.32</v>
      </c>
      <c r="F18" s="18">
        <v>18</v>
      </c>
      <c r="G18" s="19">
        <v>52915.790664043008</v>
      </c>
      <c r="H18" s="19">
        <f t="shared" si="0"/>
        <v>2939.7661480023894</v>
      </c>
      <c r="I18" s="19">
        <f t="shared" si="1"/>
        <v>617.3508910805017</v>
      </c>
      <c r="J18" s="19">
        <f t="shared" si="2"/>
        <v>3557.1170390828911</v>
      </c>
      <c r="K18" s="19">
        <f t="shared" si="3"/>
        <v>1173.8486228973541</v>
      </c>
      <c r="L18" s="19">
        <f t="shared" si="4"/>
        <v>4730.9656619802454</v>
      </c>
      <c r="M18" s="19">
        <f t="shared" si="5"/>
        <v>1892.3862647920982</v>
      </c>
      <c r="N18" s="20">
        <f t="shared" si="6"/>
        <v>6623.3519267723441</v>
      </c>
    </row>
    <row r="19" spans="2:14" x14ac:dyDescent="0.25">
      <c r="B19" s="22">
        <v>100021644</v>
      </c>
      <c r="C19" s="23" t="s">
        <v>28</v>
      </c>
      <c r="D19" s="16">
        <v>7790360008541</v>
      </c>
      <c r="E19" s="17">
        <v>4.7039999999999997</v>
      </c>
      <c r="F19" s="18">
        <v>42</v>
      </c>
      <c r="G19" s="19">
        <v>21066.23076923077</v>
      </c>
      <c r="H19" s="19">
        <f t="shared" si="0"/>
        <v>501.57692307692309</v>
      </c>
      <c r="I19" s="19">
        <f t="shared" si="1"/>
        <v>105.33115384615384</v>
      </c>
      <c r="J19" s="19">
        <f t="shared" si="2"/>
        <v>606.90807692307692</v>
      </c>
      <c r="K19" s="19">
        <f>+J19*0.33</f>
        <v>200.27966538461538</v>
      </c>
      <c r="L19" s="19">
        <f t="shared" si="4"/>
        <v>807.18774230769236</v>
      </c>
      <c r="M19" s="19">
        <f t="shared" si="5"/>
        <v>322.87509692307697</v>
      </c>
      <c r="N19" s="20">
        <f t="shared" si="6"/>
        <v>1130.0628392307694</v>
      </c>
    </row>
    <row r="20" spans="2:14" x14ac:dyDescent="0.25">
      <c r="B20" s="22">
        <v>100021677</v>
      </c>
      <c r="C20" s="23" t="s">
        <v>29</v>
      </c>
      <c r="D20" s="16">
        <v>7790360967404</v>
      </c>
      <c r="E20" s="17">
        <v>3.3119999999999998</v>
      </c>
      <c r="F20" s="18">
        <v>12</v>
      </c>
      <c r="G20" s="19">
        <v>15913.330804195804</v>
      </c>
      <c r="H20" s="19">
        <f t="shared" si="0"/>
        <v>1326.1109003496504</v>
      </c>
      <c r="I20" s="19">
        <f t="shared" si="1"/>
        <v>278.48328907342659</v>
      </c>
      <c r="J20" s="19">
        <f t="shared" si="2"/>
        <v>1604.5941894230768</v>
      </c>
      <c r="K20" s="19">
        <f>+J20*0.33</f>
        <v>529.51608250961533</v>
      </c>
      <c r="L20" s="19">
        <f t="shared" si="4"/>
        <v>2134.1102719326923</v>
      </c>
      <c r="M20" s="19">
        <f t="shared" si="5"/>
        <v>853.64410877307694</v>
      </c>
      <c r="N20" s="20">
        <f t="shared" si="6"/>
        <v>2987.7543807057691</v>
      </c>
    </row>
    <row r="21" spans="2:14" x14ac:dyDescent="0.25">
      <c r="B21" s="22">
        <v>100021638</v>
      </c>
      <c r="C21" s="23" t="s">
        <v>30</v>
      </c>
      <c r="D21" s="16">
        <v>7790360026699</v>
      </c>
      <c r="E21" s="17">
        <v>4.8</v>
      </c>
      <c r="F21" s="18">
        <v>60</v>
      </c>
      <c r="G21" s="19">
        <v>53909.269862687011</v>
      </c>
      <c r="H21" s="19">
        <f t="shared" si="0"/>
        <v>898.48783104478355</v>
      </c>
      <c r="I21" s="19">
        <f t="shared" si="1"/>
        <v>188.68244451940453</v>
      </c>
      <c r="J21" s="19">
        <f t="shared" si="2"/>
        <v>1087.1702755641882</v>
      </c>
      <c r="K21" s="19">
        <f t="shared" si="3"/>
        <v>358.76619093618211</v>
      </c>
      <c r="L21" s="19">
        <f t="shared" si="4"/>
        <v>1445.9364665003702</v>
      </c>
      <c r="M21" s="19">
        <f t="shared" si="5"/>
        <v>578.37458660014806</v>
      </c>
      <c r="N21" s="20">
        <f t="shared" si="6"/>
        <v>2024.3110531005182</v>
      </c>
    </row>
    <row r="22" spans="2:14" x14ac:dyDescent="0.25">
      <c r="B22" s="22">
        <v>100021575</v>
      </c>
      <c r="C22" s="23" t="s">
        <v>31</v>
      </c>
      <c r="D22" s="16">
        <v>7790360007032</v>
      </c>
      <c r="E22" s="17">
        <v>4.1399999999999997</v>
      </c>
      <c r="F22" s="18">
        <v>60</v>
      </c>
      <c r="G22" s="19">
        <v>43782.410526416636</v>
      </c>
      <c r="H22" s="19">
        <f t="shared" si="0"/>
        <v>729.7068421069439</v>
      </c>
      <c r="I22" s="19">
        <f t="shared" si="1"/>
        <v>153.23843684245821</v>
      </c>
      <c r="J22" s="19">
        <f t="shared" si="2"/>
        <v>882.94527894940211</v>
      </c>
      <c r="K22" s="19">
        <f t="shared" si="3"/>
        <v>291.37194205330269</v>
      </c>
      <c r="L22" s="19">
        <f t="shared" si="4"/>
        <v>1174.3172210027049</v>
      </c>
      <c r="M22" s="19">
        <f t="shared" si="5"/>
        <v>469.72688840108196</v>
      </c>
      <c r="N22" s="20">
        <f t="shared" si="6"/>
        <v>1644.0441094037869</v>
      </c>
    </row>
    <row r="23" spans="2:14" x14ac:dyDescent="0.25">
      <c r="B23" s="22">
        <v>100021514</v>
      </c>
      <c r="C23" s="23" t="s">
        <v>32</v>
      </c>
      <c r="D23" s="16">
        <v>7790360006943</v>
      </c>
      <c r="E23" s="17">
        <v>4.1399999999999997</v>
      </c>
      <c r="F23" s="18">
        <v>60</v>
      </c>
      <c r="G23" s="19">
        <v>40234.644556591877</v>
      </c>
      <c r="H23" s="19">
        <f t="shared" si="0"/>
        <v>670.57740927653128</v>
      </c>
      <c r="I23" s="19">
        <f t="shared" si="1"/>
        <v>140.82125594807155</v>
      </c>
      <c r="J23" s="19">
        <f t="shared" si="2"/>
        <v>811.39866522460284</v>
      </c>
      <c r="K23" s="19">
        <f t="shared" si="3"/>
        <v>267.76155952411892</v>
      </c>
      <c r="L23" s="19">
        <f t="shared" si="4"/>
        <v>1079.1602247487217</v>
      </c>
      <c r="M23" s="19">
        <f t="shared" si="5"/>
        <v>431.66408989948872</v>
      </c>
      <c r="N23" s="20">
        <f t="shared" si="6"/>
        <v>1510.8243146482105</v>
      </c>
    </row>
    <row r="24" spans="2:14" x14ac:dyDescent="0.25">
      <c r="B24" s="21">
        <v>100516208</v>
      </c>
      <c r="C24" s="24" t="s">
        <v>33</v>
      </c>
      <c r="D24" s="25">
        <v>7790360968203</v>
      </c>
      <c r="E24" s="17">
        <f>60*0.08</f>
        <v>4.8</v>
      </c>
      <c r="F24" s="18">
        <v>60</v>
      </c>
      <c r="G24" s="19">
        <v>46172.878802064566</v>
      </c>
      <c r="H24" s="19">
        <f t="shared" si="0"/>
        <v>769.54798003440942</v>
      </c>
      <c r="I24" s="19">
        <f t="shared" si="1"/>
        <v>161.60507580722597</v>
      </c>
      <c r="J24" s="19">
        <f t="shared" si="2"/>
        <v>931.15305584163536</v>
      </c>
      <c r="K24" s="19">
        <f t="shared" si="3"/>
        <v>307.28050842773968</v>
      </c>
      <c r="L24" s="19">
        <f t="shared" si="4"/>
        <v>1238.433564269375</v>
      </c>
      <c r="M24" s="19">
        <f t="shared" si="5"/>
        <v>495.37342570775002</v>
      </c>
      <c r="N24" s="20">
        <f t="shared" si="6"/>
        <v>1733.8069899771249</v>
      </c>
    </row>
    <row r="25" spans="2:14" x14ac:dyDescent="0.25">
      <c r="B25" s="22">
        <v>100518346</v>
      </c>
      <c r="C25" s="23" t="s">
        <v>34</v>
      </c>
      <c r="D25" s="16"/>
      <c r="E25" s="17">
        <v>6.54</v>
      </c>
      <c r="F25" s="18">
        <v>60</v>
      </c>
      <c r="G25" s="19">
        <v>63499.785407384043</v>
      </c>
      <c r="H25" s="19">
        <f t="shared" si="0"/>
        <v>1058.3297567897341</v>
      </c>
      <c r="I25" s="19">
        <f t="shared" si="1"/>
        <v>222.24924892584417</v>
      </c>
      <c r="J25" s="19">
        <f t="shared" si="2"/>
        <v>1280.5790057155782</v>
      </c>
      <c r="K25" s="19">
        <f t="shared" si="3"/>
        <v>422.59107188614081</v>
      </c>
      <c r="L25" s="19">
        <f t="shared" si="4"/>
        <v>1703.170077601719</v>
      </c>
      <c r="M25" s="19">
        <f t="shared" si="5"/>
        <v>681.26803104068767</v>
      </c>
      <c r="N25" s="20">
        <f t="shared" si="6"/>
        <v>2384.4381086424064</v>
      </c>
    </row>
    <row r="26" spans="2:14" x14ac:dyDescent="0.25">
      <c r="B26" s="22">
        <v>100516259</v>
      </c>
      <c r="C26" s="23" t="s">
        <v>35</v>
      </c>
      <c r="D26" s="16">
        <v>7790360968340</v>
      </c>
      <c r="E26" s="17">
        <v>18.16</v>
      </c>
      <c r="F26" s="18">
        <v>48</v>
      </c>
      <c r="G26" s="19">
        <v>149542.39430649939</v>
      </c>
      <c r="H26" s="19">
        <f t="shared" si="0"/>
        <v>3115.4665480520707</v>
      </c>
      <c r="I26" s="19">
        <f t="shared" si="1"/>
        <v>654.2479750909348</v>
      </c>
      <c r="J26" s="19">
        <f t="shared" si="2"/>
        <v>3769.7145231430054</v>
      </c>
      <c r="K26" s="19">
        <f t="shared" si="3"/>
        <v>1244.0057926371919</v>
      </c>
      <c r="L26" s="19">
        <f t="shared" si="4"/>
        <v>5013.7203157801978</v>
      </c>
      <c r="M26" s="19">
        <f t="shared" si="5"/>
        <v>2005.4881263120792</v>
      </c>
      <c r="N26" s="20">
        <f t="shared" si="6"/>
        <v>7019.2084420922765</v>
      </c>
    </row>
    <row r="27" spans="2:14" x14ac:dyDescent="0.25">
      <c r="B27" s="26">
        <v>100518095</v>
      </c>
      <c r="C27" s="23" t="s">
        <v>36</v>
      </c>
      <c r="D27" s="16">
        <v>7790360974785</v>
      </c>
      <c r="E27" s="17">
        <v>6.66</v>
      </c>
      <c r="F27" s="18">
        <v>36</v>
      </c>
      <c r="G27" s="19">
        <v>70960.925217472526</v>
      </c>
      <c r="H27" s="19">
        <f t="shared" si="0"/>
        <v>1971.136811596459</v>
      </c>
      <c r="I27" s="19">
        <f t="shared" si="1"/>
        <v>413.93873043525639</v>
      </c>
      <c r="J27" s="19">
        <f t="shared" si="2"/>
        <v>2385.0755420317155</v>
      </c>
      <c r="K27" s="19">
        <f t="shared" si="3"/>
        <v>787.07492887046612</v>
      </c>
      <c r="L27" s="19">
        <f t="shared" si="4"/>
        <v>3172.1504709021815</v>
      </c>
      <c r="M27" s="19">
        <f t="shared" si="5"/>
        <v>1268.8601883608726</v>
      </c>
      <c r="N27" s="20">
        <f t="shared" si="6"/>
        <v>4441.0106592630545</v>
      </c>
    </row>
    <row r="28" spans="2:14" x14ac:dyDescent="0.25">
      <c r="B28" s="22">
        <v>100518223</v>
      </c>
      <c r="C28" s="23" t="s">
        <v>37</v>
      </c>
      <c r="D28" s="16">
        <v>7790360975065</v>
      </c>
      <c r="E28" s="17">
        <f>60*0.106</f>
        <v>6.3599999999999994</v>
      </c>
      <c r="F28" s="18">
        <v>30</v>
      </c>
      <c r="G28" s="19">
        <v>55247.02390160058</v>
      </c>
      <c r="H28" s="19">
        <f t="shared" si="0"/>
        <v>1841.5674633866861</v>
      </c>
      <c r="I28" s="19">
        <f t="shared" si="1"/>
        <v>386.72916731120404</v>
      </c>
      <c r="J28" s="19">
        <f t="shared" si="2"/>
        <v>2228.2966306978901</v>
      </c>
      <c r="K28" s="19">
        <f t="shared" si="3"/>
        <v>735.33788813030378</v>
      </c>
      <c r="L28" s="19">
        <f t="shared" si="4"/>
        <v>2963.6345188281939</v>
      </c>
      <c r="M28" s="19">
        <f t="shared" si="5"/>
        <v>1185.4538075312776</v>
      </c>
      <c r="N28" s="20">
        <f t="shared" si="6"/>
        <v>4149.0883263594715</v>
      </c>
    </row>
    <row r="29" spans="2:14" x14ac:dyDescent="0.25">
      <c r="B29" s="27"/>
      <c r="C29" s="28"/>
      <c r="D29" s="29"/>
      <c r="E29" s="28"/>
      <c r="F29" s="30"/>
      <c r="G29" s="30" t="e">
        <v>#VALUE!</v>
      </c>
      <c r="H29" s="31" t="e">
        <f t="shared" si="0"/>
        <v>#VALUE!</v>
      </c>
      <c r="I29" s="32">
        <v>0.21</v>
      </c>
      <c r="J29" s="31"/>
      <c r="K29" s="32">
        <v>0.35</v>
      </c>
      <c r="L29" s="31"/>
      <c r="M29" s="32">
        <v>0.5</v>
      </c>
      <c r="N29" s="33"/>
    </row>
    <row r="30" spans="2:14" x14ac:dyDescent="0.25">
      <c r="B30" s="22">
        <v>100022085</v>
      </c>
      <c r="C30" s="23" t="s">
        <v>38</v>
      </c>
      <c r="D30" s="16">
        <v>7790360000132</v>
      </c>
      <c r="E30" s="17">
        <v>5.4</v>
      </c>
      <c r="F30" s="18">
        <v>24</v>
      </c>
      <c r="G30" s="19">
        <v>26853.822868860469</v>
      </c>
      <c r="H30" s="19">
        <f t="shared" si="0"/>
        <v>1118.9092862025195</v>
      </c>
      <c r="I30" s="19">
        <f t="shared" si="1"/>
        <v>234.97095010252909</v>
      </c>
      <c r="J30" s="19">
        <f t="shared" si="2"/>
        <v>1353.8802363050486</v>
      </c>
      <c r="K30" s="19">
        <f t="shared" si="3"/>
        <v>446.78047798066603</v>
      </c>
      <c r="L30" s="19">
        <f t="shared" si="4"/>
        <v>1800.6607142857147</v>
      </c>
      <c r="M30" s="19">
        <f t="shared" si="5"/>
        <v>720.26428571428596</v>
      </c>
      <c r="N30" s="20">
        <f t="shared" si="6"/>
        <v>2520.9250000000006</v>
      </c>
    </row>
    <row r="31" spans="2:14" x14ac:dyDescent="0.25">
      <c r="B31" s="22">
        <v>100522204</v>
      </c>
      <c r="C31" s="23" t="s">
        <v>38</v>
      </c>
      <c r="D31" s="16">
        <v>7790360983947</v>
      </c>
      <c r="E31" s="17">
        <v>5.4</v>
      </c>
      <c r="F31" s="18">
        <v>24</v>
      </c>
      <c r="G31" s="19">
        <v>26853.822868860469</v>
      </c>
      <c r="H31" s="19">
        <f t="shared" si="0"/>
        <v>1118.9092862025195</v>
      </c>
      <c r="I31" s="19">
        <f t="shared" si="1"/>
        <v>234.97095010252909</v>
      </c>
      <c r="J31" s="19">
        <f t="shared" si="2"/>
        <v>1353.8802363050486</v>
      </c>
      <c r="K31" s="19">
        <f t="shared" si="3"/>
        <v>446.78047798066603</v>
      </c>
      <c r="L31" s="19">
        <f t="shared" si="4"/>
        <v>1800.6607142857147</v>
      </c>
      <c r="M31" s="19">
        <f t="shared" si="5"/>
        <v>720.26428571428596</v>
      </c>
      <c r="N31" s="20">
        <f t="shared" si="6"/>
        <v>2520.9250000000006</v>
      </c>
    </row>
    <row r="32" spans="2:14" x14ac:dyDescent="0.25">
      <c r="B32" s="22">
        <v>100022072</v>
      </c>
      <c r="C32" s="23" t="s">
        <v>39</v>
      </c>
      <c r="D32" s="16">
        <v>7790360024541</v>
      </c>
      <c r="E32" s="17">
        <v>5.4</v>
      </c>
      <c r="F32" s="18">
        <v>12</v>
      </c>
      <c r="G32" s="19">
        <v>25511.131725417446</v>
      </c>
      <c r="H32" s="19">
        <f t="shared" si="0"/>
        <v>2125.9276437847871</v>
      </c>
      <c r="I32" s="19">
        <f t="shared" si="1"/>
        <v>446.44480519480527</v>
      </c>
      <c r="J32" s="19">
        <f t="shared" si="2"/>
        <v>2572.3724489795923</v>
      </c>
      <c r="K32" s="19">
        <f t="shared" si="3"/>
        <v>848.88290816326548</v>
      </c>
      <c r="L32" s="19">
        <f t="shared" si="4"/>
        <v>3421.255357142858</v>
      </c>
      <c r="M32" s="19">
        <f t="shared" si="5"/>
        <v>1368.5021428571433</v>
      </c>
      <c r="N32" s="20">
        <f t="shared" si="6"/>
        <v>4789.7575000000015</v>
      </c>
    </row>
    <row r="33" spans="2:14" x14ac:dyDescent="0.25">
      <c r="B33" s="22">
        <v>100522205</v>
      </c>
      <c r="C33" s="23" t="s">
        <v>39</v>
      </c>
      <c r="D33" s="16">
        <v>7790360983954</v>
      </c>
      <c r="E33" s="17">
        <v>5.4</v>
      </c>
      <c r="F33" s="18">
        <v>12</v>
      </c>
      <c r="G33" s="19">
        <v>25511.131725417446</v>
      </c>
      <c r="H33" s="19">
        <f t="shared" si="0"/>
        <v>2125.9276437847871</v>
      </c>
      <c r="I33" s="19">
        <f t="shared" si="1"/>
        <v>446.44480519480527</v>
      </c>
      <c r="J33" s="19">
        <f t="shared" si="2"/>
        <v>2572.3724489795923</v>
      </c>
      <c r="K33" s="19">
        <f t="shared" si="3"/>
        <v>848.88290816326548</v>
      </c>
      <c r="L33" s="19">
        <f t="shared" si="4"/>
        <v>3421.255357142858</v>
      </c>
      <c r="M33" s="19">
        <f t="shared" si="5"/>
        <v>1368.5021428571433</v>
      </c>
      <c r="N33" s="20">
        <f t="shared" si="6"/>
        <v>4789.7575000000015</v>
      </c>
    </row>
    <row r="34" spans="2:14" x14ac:dyDescent="0.25">
      <c r="B34" s="22">
        <v>100516849</v>
      </c>
      <c r="C34" s="23" t="s">
        <v>40</v>
      </c>
      <c r="D34" s="16">
        <v>7790360970053</v>
      </c>
      <c r="E34" s="17">
        <v>4.5599999990400004</v>
      </c>
      <c r="F34" s="18">
        <v>24</v>
      </c>
      <c r="G34" s="19">
        <v>21483.058295088373</v>
      </c>
      <c r="H34" s="19">
        <f t="shared" si="0"/>
        <v>895.12742896201553</v>
      </c>
      <c r="I34" s="19">
        <f t="shared" si="1"/>
        <v>187.97676008202325</v>
      </c>
      <c r="J34" s="19">
        <f t="shared" si="2"/>
        <v>1083.1041890440388</v>
      </c>
      <c r="K34" s="19">
        <f t="shared" si="3"/>
        <v>357.42438238453281</v>
      </c>
      <c r="L34" s="19">
        <f t="shared" si="4"/>
        <v>1440.5285714285715</v>
      </c>
      <c r="M34" s="19">
        <f t="shared" si="5"/>
        <v>576.21142857142866</v>
      </c>
      <c r="N34" s="20">
        <f t="shared" si="6"/>
        <v>2016.7400000000002</v>
      </c>
    </row>
    <row r="35" spans="2:14" x14ac:dyDescent="0.25">
      <c r="B35" s="22">
        <v>100022039</v>
      </c>
      <c r="C35" s="23" t="s">
        <v>41</v>
      </c>
      <c r="D35" s="16">
        <v>7790360007063</v>
      </c>
      <c r="E35" s="17">
        <v>8.6999999999999993</v>
      </c>
      <c r="F35" s="18">
        <v>10</v>
      </c>
      <c r="G35" s="19">
        <v>66403.468290369288</v>
      </c>
      <c r="H35" s="19">
        <f t="shared" si="0"/>
        <v>6640.3468290369292</v>
      </c>
      <c r="I35" s="19">
        <f t="shared" si="1"/>
        <v>1394.4728340977551</v>
      </c>
      <c r="J35" s="19">
        <f t="shared" si="2"/>
        <v>8034.8196631346846</v>
      </c>
      <c r="K35" s="19">
        <f t="shared" si="3"/>
        <v>2651.4904888344458</v>
      </c>
      <c r="L35" s="19">
        <f t="shared" si="4"/>
        <v>10686.31015196913</v>
      </c>
      <c r="M35" s="19">
        <f t="shared" si="5"/>
        <v>4274.5240607876522</v>
      </c>
      <c r="N35" s="20">
        <f t="shared" si="6"/>
        <v>14960.834212756781</v>
      </c>
    </row>
    <row r="36" spans="2:14" x14ac:dyDescent="0.25">
      <c r="B36" s="22">
        <v>100522206</v>
      </c>
      <c r="C36" s="23" t="s">
        <v>41</v>
      </c>
      <c r="D36" s="16">
        <v>7790360983961</v>
      </c>
      <c r="E36" s="17">
        <v>8.6999999999999993</v>
      </c>
      <c r="F36" s="18">
        <v>10</v>
      </c>
      <c r="G36" s="19">
        <v>66403.468290369288</v>
      </c>
      <c r="H36" s="19">
        <f t="shared" si="0"/>
        <v>6640.3468290369292</v>
      </c>
      <c r="I36" s="19">
        <f t="shared" si="1"/>
        <v>1394.4728340977551</v>
      </c>
      <c r="J36" s="19">
        <f t="shared" si="2"/>
        <v>8034.8196631346846</v>
      </c>
      <c r="K36" s="19">
        <f t="shared" si="3"/>
        <v>2651.4904888344458</v>
      </c>
      <c r="L36" s="19">
        <f t="shared" si="4"/>
        <v>10686.31015196913</v>
      </c>
      <c r="M36" s="19">
        <f t="shared" si="5"/>
        <v>4274.5240607876522</v>
      </c>
      <c r="N36" s="20">
        <f t="shared" si="6"/>
        <v>14960.834212756781</v>
      </c>
    </row>
    <row r="37" spans="2:14" x14ac:dyDescent="0.25">
      <c r="B37" s="22">
        <v>100022058</v>
      </c>
      <c r="C37" s="23" t="s">
        <v>42</v>
      </c>
      <c r="D37" s="16">
        <v>7790360026002</v>
      </c>
      <c r="E37" s="17">
        <v>4.5599999990400004</v>
      </c>
      <c r="F37" s="18">
        <v>24</v>
      </c>
      <c r="G37" s="19">
        <v>18273.697834498445</v>
      </c>
      <c r="H37" s="19">
        <f t="shared" si="0"/>
        <v>761.40407643743526</v>
      </c>
      <c r="I37" s="19">
        <f t="shared" si="1"/>
        <v>159.89485605186141</v>
      </c>
      <c r="J37" s="19">
        <f t="shared" si="2"/>
        <v>921.2989324892967</v>
      </c>
      <c r="K37" s="19">
        <f>+J37*0.33</f>
        <v>304.02864772146791</v>
      </c>
      <c r="L37" s="19">
        <f t="shared" si="4"/>
        <v>1225.3275802107646</v>
      </c>
      <c r="M37" s="19">
        <f t="shared" si="5"/>
        <v>490.13103208430584</v>
      </c>
      <c r="N37" s="20">
        <f t="shared" si="6"/>
        <v>1715.4586122950705</v>
      </c>
    </row>
    <row r="38" spans="2:14" x14ac:dyDescent="0.25">
      <c r="B38" s="22">
        <v>100518151</v>
      </c>
      <c r="C38" s="23" t="s">
        <v>43</v>
      </c>
      <c r="D38" s="16">
        <v>7790360974990</v>
      </c>
      <c r="E38" s="17">
        <v>8.6999999999999993</v>
      </c>
      <c r="F38" s="18">
        <v>10</v>
      </c>
      <c r="G38" s="19">
        <v>76363.988533924654</v>
      </c>
      <c r="H38" s="19">
        <f t="shared" si="0"/>
        <v>7636.3988533924658</v>
      </c>
      <c r="I38" s="19">
        <f t="shared" si="1"/>
        <v>1603.6437592124178</v>
      </c>
      <c r="J38" s="19">
        <f t="shared" si="2"/>
        <v>9240.0426126048842</v>
      </c>
      <c r="K38" s="19">
        <f>+J38*0.33</f>
        <v>3049.2140621596118</v>
      </c>
      <c r="L38" s="19">
        <f t="shared" si="4"/>
        <v>12289.256674764496</v>
      </c>
      <c r="M38" s="19">
        <f t="shared" si="5"/>
        <v>4915.7026699057988</v>
      </c>
      <c r="N38" s="20">
        <f t="shared" si="6"/>
        <v>17204.959344670293</v>
      </c>
    </row>
    <row r="39" spans="2:14" x14ac:dyDescent="0.25">
      <c r="B39" s="27"/>
      <c r="C39" s="28"/>
      <c r="D39" s="29"/>
      <c r="E39" s="28"/>
      <c r="F39" s="30"/>
      <c r="G39" s="30" t="e">
        <v>#VALUE!</v>
      </c>
      <c r="H39" s="31" t="e">
        <f t="shared" si="0"/>
        <v>#VALUE!</v>
      </c>
      <c r="I39" s="32">
        <v>0.21</v>
      </c>
      <c r="J39" s="31"/>
      <c r="K39" s="32">
        <v>0.22</v>
      </c>
      <c r="L39" s="31"/>
      <c r="M39" s="32">
        <v>0.35</v>
      </c>
      <c r="N39" s="33"/>
    </row>
    <row r="40" spans="2:14" x14ac:dyDescent="0.25">
      <c r="B40" s="22">
        <v>100021000</v>
      </c>
      <c r="C40" s="23" t="s">
        <v>44</v>
      </c>
      <c r="D40" s="16">
        <v>7790360720382</v>
      </c>
      <c r="E40" s="17">
        <v>2.16</v>
      </c>
      <c r="F40" s="18">
        <v>24</v>
      </c>
      <c r="G40" s="19">
        <v>13579.524837332692</v>
      </c>
      <c r="H40" s="19">
        <f t="shared" si="0"/>
        <v>565.81353488886214</v>
      </c>
      <c r="I40" s="19">
        <f t="shared" si="1"/>
        <v>118.82084232666105</v>
      </c>
      <c r="J40" s="19">
        <f t="shared" si="2"/>
        <v>684.63437721552316</v>
      </c>
      <c r="K40" s="19">
        <f>+J40*K$39</f>
        <v>150.61956298741509</v>
      </c>
      <c r="L40" s="19">
        <f t="shared" si="4"/>
        <v>835.25394020293822</v>
      </c>
      <c r="M40" s="19">
        <f>+L40*M$39</f>
        <v>292.33887907102837</v>
      </c>
      <c r="N40" s="20">
        <f t="shared" si="6"/>
        <v>1127.5928192739666</v>
      </c>
    </row>
    <row r="41" spans="2:14" x14ac:dyDescent="0.25">
      <c r="B41" s="22">
        <v>100021001</v>
      </c>
      <c r="C41" s="23" t="s">
        <v>45</v>
      </c>
      <c r="D41" s="16">
        <v>7790360720115</v>
      </c>
      <c r="E41" s="17">
        <v>2.16</v>
      </c>
      <c r="F41" s="18">
        <v>24</v>
      </c>
      <c r="G41" s="19">
        <v>13579.524837332692</v>
      </c>
      <c r="H41" s="19">
        <f t="shared" si="0"/>
        <v>565.81353488886214</v>
      </c>
      <c r="I41" s="19">
        <f t="shared" si="1"/>
        <v>118.82084232666105</v>
      </c>
      <c r="J41" s="19">
        <f t="shared" si="2"/>
        <v>684.63437721552316</v>
      </c>
      <c r="K41" s="19">
        <f t="shared" ref="K41:K55" si="7">+J41*K$39</f>
        <v>150.61956298741509</v>
      </c>
      <c r="L41" s="19">
        <f t="shared" si="4"/>
        <v>835.25394020293822</v>
      </c>
      <c r="M41" s="19">
        <f t="shared" ref="M41:M55" si="8">+L41*M$39</f>
        <v>292.33887907102837</v>
      </c>
      <c r="N41" s="20">
        <f t="shared" si="6"/>
        <v>1127.5928192739666</v>
      </c>
    </row>
    <row r="42" spans="2:14" x14ac:dyDescent="0.25">
      <c r="B42" s="26">
        <v>100522277</v>
      </c>
      <c r="C42" s="23" t="s">
        <v>46</v>
      </c>
      <c r="D42" s="16">
        <v>7790360966582</v>
      </c>
      <c r="E42" s="17">
        <v>2.16</v>
      </c>
      <c r="F42" s="18">
        <v>24</v>
      </c>
      <c r="G42" s="19">
        <v>13579.524837332692</v>
      </c>
      <c r="H42" s="19">
        <f t="shared" si="0"/>
        <v>565.81353488886214</v>
      </c>
      <c r="I42" s="19">
        <f t="shared" si="1"/>
        <v>118.82084232666105</v>
      </c>
      <c r="J42" s="19">
        <f t="shared" si="2"/>
        <v>684.63437721552316</v>
      </c>
      <c r="K42" s="19">
        <f t="shared" si="7"/>
        <v>150.61956298741509</v>
      </c>
      <c r="L42" s="19">
        <f t="shared" si="4"/>
        <v>835.25394020293822</v>
      </c>
      <c r="M42" s="19">
        <f t="shared" si="8"/>
        <v>292.33887907102837</v>
      </c>
      <c r="N42" s="20">
        <f t="shared" si="6"/>
        <v>1127.5928192739666</v>
      </c>
    </row>
    <row r="43" spans="2:14" x14ac:dyDescent="0.25">
      <c r="B43" s="26">
        <v>100522333</v>
      </c>
      <c r="C43" s="23" t="s">
        <v>47</v>
      </c>
      <c r="D43" s="16">
        <v>7790360964526</v>
      </c>
      <c r="E43" s="17">
        <v>2.1120000000000001</v>
      </c>
      <c r="F43" s="18">
        <v>24</v>
      </c>
      <c r="G43" s="19">
        <v>13579.524837332692</v>
      </c>
      <c r="H43" s="19">
        <f t="shared" si="0"/>
        <v>565.81353488886214</v>
      </c>
      <c r="I43" s="19">
        <f t="shared" si="1"/>
        <v>118.82084232666105</v>
      </c>
      <c r="J43" s="19">
        <f t="shared" si="2"/>
        <v>684.63437721552316</v>
      </c>
      <c r="K43" s="19">
        <f t="shared" si="7"/>
        <v>150.61956298741509</v>
      </c>
      <c r="L43" s="19">
        <f t="shared" si="4"/>
        <v>835.25394020293822</v>
      </c>
      <c r="M43" s="19">
        <f t="shared" si="8"/>
        <v>292.33887907102837</v>
      </c>
      <c r="N43" s="20">
        <f t="shared" si="6"/>
        <v>1127.5928192739666</v>
      </c>
    </row>
    <row r="44" spans="2:14" x14ac:dyDescent="0.25">
      <c r="B44" s="22">
        <v>100021045</v>
      </c>
      <c r="C44" s="23" t="s">
        <v>48</v>
      </c>
      <c r="D44" s="16">
        <v>7790360966582</v>
      </c>
      <c r="E44" s="17">
        <v>2.16</v>
      </c>
      <c r="F44" s="18">
        <v>24</v>
      </c>
      <c r="G44" s="19">
        <v>13579.52483733269</v>
      </c>
      <c r="H44" s="19">
        <f t="shared" si="0"/>
        <v>565.81353488886214</v>
      </c>
      <c r="I44" s="19">
        <f t="shared" si="1"/>
        <v>118.82084232666105</v>
      </c>
      <c r="J44" s="19">
        <f t="shared" si="2"/>
        <v>684.63437721552316</v>
      </c>
      <c r="K44" s="19">
        <f t="shared" si="7"/>
        <v>150.61956298741509</v>
      </c>
      <c r="L44" s="19">
        <f t="shared" si="4"/>
        <v>835.25394020293822</v>
      </c>
      <c r="M44" s="19">
        <f t="shared" si="8"/>
        <v>292.33887907102837</v>
      </c>
      <c r="N44" s="20">
        <f t="shared" si="6"/>
        <v>1127.5928192739666</v>
      </c>
    </row>
    <row r="45" spans="2:14" x14ac:dyDescent="0.25">
      <c r="B45" s="22">
        <v>100021006</v>
      </c>
      <c r="C45" s="23" t="s">
        <v>50</v>
      </c>
      <c r="D45" s="16">
        <v>7790360964557</v>
      </c>
      <c r="E45" s="17">
        <v>2.1120000000000001</v>
      </c>
      <c r="F45" s="18">
        <v>24</v>
      </c>
      <c r="G45" s="19">
        <v>13579.52483733269</v>
      </c>
      <c r="H45" s="19">
        <f t="shared" si="0"/>
        <v>565.81353488886214</v>
      </c>
      <c r="I45" s="19">
        <f t="shared" si="1"/>
        <v>118.82084232666105</v>
      </c>
      <c r="J45" s="19">
        <f t="shared" si="2"/>
        <v>684.63437721552316</v>
      </c>
      <c r="K45" s="19">
        <f t="shared" si="7"/>
        <v>150.61956298741509</v>
      </c>
      <c r="L45" s="19">
        <f t="shared" si="4"/>
        <v>835.25394020293822</v>
      </c>
      <c r="M45" s="19">
        <f t="shared" si="8"/>
        <v>292.33887907102837</v>
      </c>
      <c r="N45" s="20">
        <f t="shared" si="6"/>
        <v>1127.5928192739666</v>
      </c>
    </row>
    <row r="46" spans="2:14" x14ac:dyDescent="0.25">
      <c r="B46" s="22">
        <v>100021007</v>
      </c>
      <c r="C46" s="23" t="s">
        <v>51</v>
      </c>
      <c r="D46" s="16">
        <v>7790360964540</v>
      </c>
      <c r="E46" s="17">
        <v>2.04</v>
      </c>
      <c r="F46" s="18">
        <v>24</v>
      </c>
      <c r="G46" s="19">
        <v>15501.688125000002</v>
      </c>
      <c r="H46" s="19">
        <f t="shared" si="0"/>
        <v>645.9036718750001</v>
      </c>
      <c r="I46" s="19">
        <f t="shared" si="1"/>
        <v>135.63977109375003</v>
      </c>
      <c r="J46" s="19">
        <f t="shared" si="2"/>
        <v>781.54344296875013</v>
      </c>
      <c r="K46" s="19">
        <f t="shared" si="7"/>
        <v>171.93955745312502</v>
      </c>
      <c r="L46" s="19">
        <f t="shared" si="4"/>
        <v>953.4830004218752</v>
      </c>
      <c r="M46" s="19">
        <f t="shared" si="8"/>
        <v>333.71905014765628</v>
      </c>
      <c r="N46" s="20">
        <f t="shared" si="6"/>
        <v>1287.2020505695314</v>
      </c>
    </row>
    <row r="47" spans="2:14" x14ac:dyDescent="0.25">
      <c r="B47" s="22">
        <v>100021013</v>
      </c>
      <c r="C47" s="23" t="s">
        <v>52</v>
      </c>
      <c r="D47" s="16">
        <v>7790360965714</v>
      </c>
      <c r="E47" s="17">
        <v>2.04</v>
      </c>
      <c r="F47" s="18">
        <v>24</v>
      </c>
      <c r="G47" s="19">
        <v>15501.688125000002</v>
      </c>
      <c r="H47" s="19">
        <f t="shared" si="0"/>
        <v>645.9036718750001</v>
      </c>
      <c r="I47" s="19">
        <f t="shared" si="1"/>
        <v>135.63977109375003</v>
      </c>
      <c r="J47" s="19">
        <f t="shared" si="2"/>
        <v>781.54344296875013</v>
      </c>
      <c r="K47" s="19">
        <f t="shared" si="7"/>
        <v>171.93955745312502</v>
      </c>
      <c r="L47" s="19">
        <f t="shared" si="4"/>
        <v>953.4830004218752</v>
      </c>
      <c r="M47" s="19">
        <f t="shared" si="8"/>
        <v>333.71905014765628</v>
      </c>
      <c r="N47" s="20">
        <f t="shared" si="6"/>
        <v>1287.2020505695314</v>
      </c>
    </row>
    <row r="48" spans="2:14" x14ac:dyDescent="0.25">
      <c r="B48" s="22">
        <v>100021014</v>
      </c>
      <c r="C48" s="23" t="s">
        <v>53</v>
      </c>
      <c r="D48" s="16">
        <v>7790360965721</v>
      </c>
      <c r="E48" s="17">
        <v>2.04</v>
      </c>
      <c r="F48" s="18">
        <v>24</v>
      </c>
      <c r="G48" s="19">
        <v>15501.688125000002</v>
      </c>
      <c r="H48" s="19">
        <f t="shared" si="0"/>
        <v>645.9036718750001</v>
      </c>
      <c r="I48" s="19">
        <f t="shared" si="1"/>
        <v>135.63977109375003</v>
      </c>
      <c r="J48" s="19">
        <f t="shared" si="2"/>
        <v>781.54344296875013</v>
      </c>
      <c r="K48" s="19">
        <f t="shared" si="7"/>
        <v>171.93955745312502</v>
      </c>
      <c r="L48" s="19">
        <f t="shared" si="4"/>
        <v>953.4830004218752</v>
      </c>
      <c r="M48" s="19">
        <f t="shared" si="8"/>
        <v>333.71905014765628</v>
      </c>
      <c r="N48" s="20">
        <f t="shared" si="6"/>
        <v>1287.2020505695314</v>
      </c>
    </row>
    <row r="49" spans="2:14" x14ac:dyDescent="0.25">
      <c r="B49" s="22">
        <v>100021054</v>
      </c>
      <c r="C49" s="23" t="s">
        <v>54</v>
      </c>
      <c r="D49" s="16">
        <v>7790360965707</v>
      </c>
      <c r="E49" s="17">
        <v>2.04</v>
      </c>
      <c r="F49" s="18">
        <v>24</v>
      </c>
      <c r="G49" s="19">
        <v>15501.688125000002</v>
      </c>
      <c r="H49" s="19">
        <f t="shared" si="0"/>
        <v>645.9036718750001</v>
      </c>
      <c r="I49" s="19">
        <f t="shared" si="1"/>
        <v>135.63977109375003</v>
      </c>
      <c r="J49" s="19">
        <f t="shared" si="2"/>
        <v>781.54344296875013</v>
      </c>
      <c r="K49" s="19">
        <f t="shared" si="7"/>
        <v>171.93955745312502</v>
      </c>
      <c r="L49" s="19">
        <f t="shared" si="4"/>
        <v>953.4830004218752</v>
      </c>
      <c r="M49" s="19">
        <f t="shared" si="8"/>
        <v>333.71905014765628</v>
      </c>
      <c r="N49" s="20">
        <f t="shared" si="6"/>
        <v>1287.2020505695314</v>
      </c>
    </row>
    <row r="50" spans="2:14" x14ac:dyDescent="0.25">
      <c r="B50" s="22">
        <v>100021055</v>
      </c>
      <c r="C50" s="23" t="s">
        <v>55</v>
      </c>
      <c r="D50" s="16">
        <v>7790360965189</v>
      </c>
      <c r="E50" s="17">
        <v>2.04</v>
      </c>
      <c r="F50" s="18">
        <v>24</v>
      </c>
      <c r="G50" s="19">
        <v>15501.688125000002</v>
      </c>
      <c r="H50" s="19">
        <f t="shared" si="0"/>
        <v>645.9036718750001</v>
      </c>
      <c r="I50" s="19">
        <f t="shared" si="1"/>
        <v>135.63977109375003</v>
      </c>
      <c r="J50" s="19">
        <f t="shared" si="2"/>
        <v>781.54344296875013</v>
      </c>
      <c r="K50" s="19">
        <f t="shared" si="7"/>
        <v>171.93955745312502</v>
      </c>
      <c r="L50" s="19">
        <f t="shared" si="4"/>
        <v>953.4830004218752</v>
      </c>
      <c r="M50" s="19">
        <f t="shared" si="8"/>
        <v>333.71905014765628</v>
      </c>
      <c r="N50" s="20">
        <f t="shared" si="6"/>
        <v>1287.2020505695314</v>
      </c>
    </row>
    <row r="51" spans="2:14" x14ac:dyDescent="0.25">
      <c r="B51" s="22">
        <v>100021015</v>
      </c>
      <c r="C51" s="23" t="s">
        <v>56</v>
      </c>
      <c r="D51" s="16">
        <v>7790360965202</v>
      </c>
      <c r="E51" s="17">
        <v>2.04</v>
      </c>
      <c r="F51" s="18">
        <v>24</v>
      </c>
      <c r="G51" s="19">
        <v>15501.688125000002</v>
      </c>
      <c r="H51" s="19">
        <f t="shared" si="0"/>
        <v>645.9036718750001</v>
      </c>
      <c r="I51" s="19">
        <f t="shared" si="1"/>
        <v>135.63977109375003</v>
      </c>
      <c r="J51" s="19">
        <f t="shared" si="2"/>
        <v>781.54344296875013</v>
      </c>
      <c r="K51" s="19">
        <f t="shared" si="7"/>
        <v>171.93955745312502</v>
      </c>
      <c r="L51" s="19">
        <f t="shared" si="4"/>
        <v>953.4830004218752</v>
      </c>
      <c r="M51" s="19">
        <f t="shared" si="8"/>
        <v>333.71905014765628</v>
      </c>
      <c r="N51" s="20">
        <f t="shared" si="6"/>
        <v>1287.2020505695314</v>
      </c>
    </row>
    <row r="52" spans="2:14" x14ac:dyDescent="0.25">
      <c r="B52" s="22">
        <v>100021008</v>
      </c>
      <c r="C52" s="23" t="s">
        <v>57</v>
      </c>
      <c r="D52" s="16">
        <v>7790360720122</v>
      </c>
      <c r="E52" s="17">
        <v>2.16</v>
      </c>
      <c r="F52" s="18">
        <v>24</v>
      </c>
      <c r="G52" s="19">
        <v>11493.435828538131</v>
      </c>
      <c r="H52" s="19">
        <f t="shared" si="0"/>
        <v>478.89315952242214</v>
      </c>
      <c r="I52" s="19">
        <f t="shared" si="1"/>
        <v>100.56756349970864</v>
      </c>
      <c r="J52" s="19">
        <f t="shared" si="2"/>
        <v>579.46072302213076</v>
      </c>
      <c r="K52" s="19">
        <f t="shared" si="7"/>
        <v>127.48135906486877</v>
      </c>
      <c r="L52" s="19">
        <f t="shared" si="4"/>
        <v>706.94208208699956</v>
      </c>
      <c r="M52" s="19">
        <f t="shared" si="8"/>
        <v>247.42972873044982</v>
      </c>
      <c r="N52" s="20">
        <f t="shared" si="6"/>
        <v>954.37181081744939</v>
      </c>
    </row>
    <row r="53" spans="2:14" x14ac:dyDescent="0.25">
      <c r="B53" s="22">
        <v>100021009</v>
      </c>
      <c r="C53" s="23" t="s">
        <v>58</v>
      </c>
      <c r="D53" s="16">
        <v>7790360965127</v>
      </c>
      <c r="E53" s="17">
        <v>2.16</v>
      </c>
      <c r="F53" s="18">
        <v>24</v>
      </c>
      <c r="G53" s="19">
        <v>11493.435828538131</v>
      </c>
      <c r="H53" s="19">
        <f t="shared" si="0"/>
        <v>478.89315952242214</v>
      </c>
      <c r="I53" s="19">
        <f t="shared" si="1"/>
        <v>100.56756349970864</v>
      </c>
      <c r="J53" s="19">
        <f t="shared" si="2"/>
        <v>579.46072302213076</v>
      </c>
      <c r="K53" s="19">
        <f t="shared" si="7"/>
        <v>127.48135906486877</v>
      </c>
      <c r="L53" s="19">
        <f t="shared" si="4"/>
        <v>706.94208208699956</v>
      </c>
      <c r="M53" s="19">
        <f t="shared" si="8"/>
        <v>247.42972873044982</v>
      </c>
      <c r="N53" s="20">
        <f t="shared" si="6"/>
        <v>954.37181081744939</v>
      </c>
    </row>
    <row r="54" spans="2:14" x14ac:dyDescent="0.25">
      <c r="B54" s="22">
        <v>100021010</v>
      </c>
      <c r="C54" s="23" t="s">
        <v>59</v>
      </c>
      <c r="D54" s="16">
        <v>7790920008707</v>
      </c>
      <c r="E54" s="17">
        <v>2.16</v>
      </c>
      <c r="F54" s="18">
        <v>24</v>
      </c>
      <c r="G54" s="19">
        <v>11493.435828538131</v>
      </c>
      <c r="H54" s="19">
        <f t="shared" si="0"/>
        <v>478.89315952242214</v>
      </c>
      <c r="I54" s="19">
        <f t="shared" si="1"/>
        <v>100.56756349970864</v>
      </c>
      <c r="J54" s="19">
        <f t="shared" si="2"/>
        <v>579.46072302213076</v>
      </c>
      <c r="K54" s="19">
        <f t="shared" si="7"/>
        <v>127.48135906486877</v>
      </c>
      <c r="L54" s="19">
        <f t="shared" si="4"/>
        <v>706.94208208699956</v>
      </c>
      <c r="M54" s="19">
        <f t="shared" si="8"/>
        <v>247.42972873044982</v>
      </c>
      <c r="N54" s="20">
        <f t="shared" si="6"/>
        <v>954.37181081744939</v>
      </c>
    </row>
    <row r="55" spans="2:14" x14ac:dyDescent="0.25">
      <c r="B55" s="22">
        <v>100021011</v>
      </c>
      <c r="C55" s="23" t="s">
        <v>60</v>
      </c>
      <c r="D55" s="16">
        <v>7790920008714</v>
      </c>
      <c r="E55" s="17">
        <v>2.16</v>
      </c>
      <c r="F55" s="18">
        <v>24</v>
      </c>
      <c r="G55" s="19">
        <v>11493.435828538131</v>
      </c>
      <c r="H55" s="19">
        <f t="shared" si="0"/>
        <v>478.89315952242214</v>
      </c>
      <c r="I55" s="19">
        <f t="shared" si="1"/>
        <v>100.56756349970864</v>
      </c>
      <c r="J55" s="19">
        <f t="shared" si="2"/>
        <v>579.46072302213076</v>
      </c>
      <c r="K55" s="19">
        <f t="shared" si="7"/>
        <v>127.48135906486877</v>
      </c>
      <c r="L55" s="19">
        <f t="shared" si="4"/>
        <v>706.94208208699956</v>
      </c>
      <c r="M55" s="19">
        <f t="shared" si="8"/>
        <v>247.42972873044982</v>
      </c>
      <c r="N55" s="20">
        <f t="shared" si="6"/>
        <v>954.37181081744939</v>
      </c>
    </row>
    <row r="56" spans="2:14" x14ac:dyDescent="0.25">
      <c r="B56" s="27"/>
      <c r="C56" s="28"/>
      <c r="D56" s="29"/>
      <c r="E56" s="28"/>
      <c r="F56" s="30"/>
      <c r="G56" s="30" t="e">
        <v>#VALUE!</v>
      </c>
      <c r="H56" s="31" t="e">
        <f t="shared" si="0"/>
        <v>#VALUE!</v>
      </c>
      <c r="I56" s="32">
        <v>0.21</v>
      </c>
      <c r="J56" s="31"/>
      <c r="K56" s="32">
        <v>0.35</v>
      </c>
      <c r="L56" s="31"/>
      <c r="M56" s="32">
        <v>0.5</v>
      </c>
      <c r="N56" s="33"/>
    </row>
    <row r="57" spans="2:14" x14ac:dyDescent="0.25">
      <c r="B57" s="22">
        <v>100516217</v>
      </c>
      <c r="C57" s="23" t="s">
        <v>61</v>
      </c>
      <c r="D57" s="16">
        <v>7790360967824</v>
      </c>
      <c r="E57" s="17">
        <v>5.8</v>
      </c>
      <c r="F57" s="18">
        <v>20</v>
      </c>
      <c r="G57" s="19">
        <v>26798.761348900862</v>
      </c>
      <c r="H57" s="19">
        <f t="shared" si="0"/>
        <v>1339.9380674450431</v>
      </c>
      <c r="I57" s="19">
        <f t="shared" si="1"/>
        <v>281.38699416345906</v>
      </c>
      <c r="J57" s="19">
        <f t="shared" si="2"/>
        <v>1621.3250616085022</v>
      </c>
      <c r="K57" s="19">
        <f t="shared" si="3"/>
        <v>535.03727033080577</v>
      </c>
      <c r="L57" s="19">
        <f t="shared" si="4"/>
        <v>2156.3623319393082</v>
      </c>
      <c r="M57" s="19">
        <f t="shared" si="5"/>
        <v>862.54493277572328</v>
      </c>
      <c r="N57" s="20">
        <f t="shared" si="6"/>
        <v>3018.9072647150315</v>
      </c>
    </row>
    <row r="58" spans="2:14" x14ac:dyDescent="0.25">
      <c r="B58" s="22">
        <v>100516214</v>
      </c>
      <c r="C58" s="23" t="s">
        <v>62</v>
      </c>
      <c r="D58" s="16">
        <v>7790360967794</v>
      </c>
      <c r="E58" s="17">
        <v>7</v>
      </c>
      <c r="F58" s="18">
        <v>20</v>
      </c>
      <c r="G58" s="19">
        <v>38777.327954028005</v>
      </c>
      <c r="H58" s="19">
        <f t="shared" si="0"/>
        <v>1938.8663977014003</v>
      </c>
      <c r="I58" s="19">
        <f t="shared" si="1"/>
        <v>407.16194351729405</v>
      </c>
      <c r="J58" s="19">
        <f t="shared" si="2"/>
        <v>2346.0283412186945</v>
      </c>
      <c r="K58" s="19">
        <f t="shared" si="3"/>
        <v>774.18935260216927</v>
      </c>
      <c r="L58" s="19">
        <f t="shared" si="4"/>
        <v>3120.217693820864</v>
      </c>
      <c r="M58" s="19">
        <f t="shared" si="5"/>
        <v>1248.0870775283456</v>
      </c>
      <c r="N58" s="20">
        <f t="shared" si="6"/>
        <v>4368.3047713492097</v>
      </c>
    </row>
    <row r="59" spans="2:14" x14ac:dyDescent="0.25">
      <c r="B59" s="22">
        <v>100516215</v>
      </c>
      <c r="C59" s="23" t="s">
        <v>63</v>
      </c>
      <c r="D59" s="16">
        <v>7790360967800</v>
      </c>
      <c r="E59" s="17">
        <v>7</v>
      </c>
      <c r="F59" s="18">
        <v>20</v>
      </c>
      <c r="G59" s="19">
        <v>38777.327954028005</v>
      </c>
      <c r="H59" s="19">
        <f t="shared" si="0"/>
        <v>1938.8663977014003</v>
      </c>
      <c r="I59" s="19">
        <f t="shared" si="1"/>
        <v>407.16194351729405</v>
      </c>
      <c r="J59" s="19">
        <f t="shared" si="2"/>
        <v>2346.0283412186945</v>
      </c>
      <c r="K59" s="19">
        <f t="shared" si="3"/>
        <v>774.18935260216927</v>
      </c>
      <c r="L59" s="19">
        <f t="shared" si="4"/>
        <v>3120.217693820864</v>
      </c>
      <c r="M59" s="19">
        <f t="shared" si="5"/>
        <v>1248.0870775283456</v>
      </c>
      <c r="N59" s="20">
        <f t="shared" si="6"/>
        <v>4368.3047713492097</v>
      </c>
    </row>
    <row r="60" spans="2:14" x14ac:dyDescent="0.25">
      <c r="B60" s="22">
        <v>100516216</v>
      </c>
      <c r="C60" s="23" t="s">
        <v>64</v>
      </c>
      <c r="D60" s="16">
        <v>7790360967817</v>
      </c>
      <c r="E60" s="17">
        <v>7</v>
      </c>
      <c r="F60" s="18">
        <v>20</v>
      </c>
      <c r="G60" s="19">
        <v>38777.327954028005</v>
      </c>
      <c r="H60" s="19">
        <f t="shared" si="0"/>
        <v>1938.8663977014003</v>
      </c>
      <c r="I60" s="19">
        <f t="shared" si="1"/>
        <v>407.16194351729405</v>
      </c>
      <c r="J60" s="19">
        <f t="shared" si="2"/>
        <v>2346.0283412186945</v>
      </c>
      <c r="K60" s="19">
        <f t="shared" si="3"/>
        <v>774.18935260216927</v>
      </c>
      <c r="L60" s="19">
        <f t="shared" si="4"/>
        <v>3120.217693820864</v>
      </c>
      <c r="M60" s="19">
        <f t="shared" si="5"/>
        <v>1248.0870775283456</v>
      </c>
      <c r="N60" s="20">
        <f t="shared" si="6"/>
        <v>4368.3047713492097</v>
      </c>
    </row>
    <row r="61" spans="2:14" x14ac:dyDescent="0.25">
      <c r="B61" s="27"/>
      <c r="C61" s="28"/>
      <c r="D61" s="29"/>
      <c r="E61" s="28"/>
      <c r="F61" s="30"/>
      <c r="G61" s="30" t="e">
        <v>#VALUE!</v>
      </c>
      <c r="H61" s="31" t="e">
        <f t="shared" si="0"/>
        <v>#VALUE!</v>
      </c>
      <c r="I61" s="32">
        <v>0.21</v>
      </c>
      <c r="J61" s="31"/>
      <c r="K61" s="32">
        <v>0.35</v>
      </c>
      <c r="L61" s="31"/>
      <c r="M61" s="32">
        <v>0.5</v>
      </c>
      <c r="N61" s="33"/>
    </row>
    <row r="62" spans="2:14" x14ac:dyDescent="0.25">
      <c r="B62" s="22">
        <v>100021704</v>
      </c>
      <c r="C62" s="23" t="s">
        <v>65</v>
      </c>
      <c r="D62" s="16">
        <v>7790360023902</v>
      </c>
      <c r="E62" s="17">
        <f>12*0.38</f>
        <v>4.5600000000000005</v>
      </c>
      <c r="F62" s="18">
        <v>12</v>
      </c>
      <c r="G62" s="19">
        <v>36137.296321829432</v>
      </c>
      <c r="H62" s="19">
        <f t="shared" si="0"/>
        <v>3011.4413601524525</v>
      </c>
      <c r="I62" s="19">
        <f t="shared" si="1"/>
        <v>632.40268563201505</v>
      </c>
      <c r="J62" s="19">
        <f t="shared" si="2"/>
        <v>3643.8440457844677</v>
      </c>
      <c r="K62" s="19">
        <f t="shared" si="3"/>
        <v>1202.4685351088744</v>
      </c>
      <c r="L62" s="19">
        <f t="shared" si="4"/>
        <v>4846.3125808933419</v>
      </c>
      <c r="M62" s="19">
        <f t="shared" si="5"/>
        <v>1938.5250323573368</v>
      </c>
      <c r="N62" s="20">
        <f t="shared" si="6"/>
        <v>6784.8376132506783</v>
      </c>
    </row>
    <row r="63" spans="2:14" x14ac:dyDescent="0.25">
      <c r="B63" s="22">
        <v>100021705</v>
      </c>
      <c r="C63" s="23" t="s">
        <v>66</v>
      </c>
      <c r="D63" s="16">
        <v>7790360024336</v>
      </c>
      <c r="E63" s="17">
        <f>12*0.38</f>
        <v>4.5600000000000005</v>
      </c>
      <c r="F63" s="18">
        <v>12</v>
      </c>
      <c r="G63" s="19">
        <v>32860.30137569191</v>
      </c>
      <c r="H63" s="19">
        <f t="shared" si="0"/>
        <v>2738.3584479743258</v>
      </c>
      <c r="I63" s="19">
        <f t="shared" si="1"/>
        <v>575.05527407460841</v>
      </c>
      <c r="J63" s="19">
        <f t="shared" si="2"/>
        <v>3313.4137220489342</v>
      </c>
      <c r="K63" s="19">
        <f t="shared" si="3"/>
        <v>1093.4265282761482</v>
      </c>
      <c r="L63" s="19">
        <f t="shared" si="4"/>
        <v>4406.8402503250827</v>
      </c>
      <c r="M63" s="19">
        <f t="shared" si="5"/>
        <v>1762.7361001300333</v>
      </c>
      <c r="N63" s="20">
        <f t="shared" si="6"/>
        <v>6169.576350455116</v>
      </c>
    </row>
    <row r="64" spans="2:14" x14ac:dyDescent="0.25">
      <c r="B64" s="22">
        <v>100021709</v>
      </c>
      <c r="C64" s="23" t="s">
        <v>67</v>
      </c>
      <c r="D64" s="16">
        <v>7790360024701</v>
      </c>
      <c r="E64" s="17">
        <v>7.6</v>
      </c>
      <c r="F64" s="18">
        <v>10</v>
      </c>
      <c r="G64" s="19">
        <v>62208.540703129322</v>
      </c>
      <c r="H64" s="19">
        <f t="shared" si="0"/>
        <v>6220.854070312932</v>
      </c>
      <c r="I64" s="19">
        <f t="shared" si="1"/>
        <v>1306.3793547657156</v>
      </c>
      <c r="J64" s="19">
        <f t="shared" si="2"/>
        <v>7527.233425078648</v>
      </c>
      <c r="K64" s="19">
        <f t="shared" si="3"/>
        <v>2483.9870302759541</v>
      </c>
      <c r="L64" s="19">
        <f t="shared" si="4"/>
        <v>10011.220455354602</v>
      </c>
      <c r="M64" s="19">
        <f t="shared" si="5"/>
        <v>4004.4881821418408</v>
      </c>
      <c r="N64" s="20">
        <f t="shared" si="6"/>
        <v>14015.708637496442</v>
      </c>
    </row>
    <row r="65" spans="2:14" x14ac:dyDescent="0.25">
      <c r="B65" s="22">
        <v>100521357</v>
      </c>
      <c r="C65" s="23" t="s">
        <v>68</v>
      </c>
      <c r="D65" s="16">
        <v>7790360982018</v>
      </c>
      <c r="E65" s="17">
        <v>4.5599999999999996</v>
      </c>
      <c r="F65" s="18">
        <v>12</v>
      </c>
      <c r="G65" s="19">
        <v>48595.608600000021</v>
      </c>
      <c r="H65" s="19">
        <f t="shared" si="0"/>
        <v>4049.6340500000019</v>
      </c>
      <c r="I65" s="19">
        <f t="shared" si="1"/>
        <v>850.42315050000036</v>
      </c>
      <c r="J65" s="19">
        <f t="shared" si="2"/>
        <v>4900.0572005000022</v>
      </c>
      <c r="K65" s="19">
        <f t="shared" si="3"/>
        <v>1617.0188761650008</v>
      </c>
      <c r="L65" s="19">
        <f t="shared" si="4"/>
        <v>6517.0760766650028</v>
      </c>
      <c r="M65" s="19">
        <f t="shared" si="5"/>
        <v>2606.8304306660011</v>
      </c>
      <c r="N65" s="20">
        <f t="shared" si="6"/>
        <v>9123.9065073310048</v>
      </c>
    </row>
    <row r="66" spans="2:14" x14ac:dyDescent="0.25">
      <c r="B66" s="22">
        <v>100521358</v>
      </c>
      <c r="C66" s="23" t="s">
        <v>69</v>
      </c>
      <c r="D66" s="16">
        <v>7790360982025</v>
      </c>
      <c r="E66" s="17">
        <v>7.6</v>
      </c>
      <c r="F66" s="18">
        <v>10</v>
      </c>
      <c r="G66" s="19">
        <v>72893.412900000025</v>
      </c>
      <c r="H66" s="19">
        <f t="shared" si="0"/>
        <v>7289.3412900000021</v>
      </c>
      <c r="I66" s="19">
        <f t="shared" si="1"/>
        <v>1530.7616709000004</v>
      </c>
      <c r="J66" s="19">
        <f t="shared" si="2"/>
        <v>8820.1029609000034</v>
      </c>
      <c r="K66" s="19">
        <f t="shared" si="3"/>
        <v>2910.6339770970012</v>
      </c>
      <c r="L66" s="19">
        <f t="shared" si="4"/>
        <v>11730.736937997004</v>
      </c>
      <c r="M66" s="19">
        <f t="shared" si="5"/>
        <v>4692.2947751988022</v>
      </c>
      <c r="N66" s="20">
        <f t="shared" si="6"/>
        <v>16423.031713195807</v>
      </c>
    </row>
    <row r="67" spans="2:14" x14ac:dyDescent="0.25">
      <c r="B67" s="22">
        <v>100522130</v>
      </c>
      <c r="C67" s="23" t="s">
        <v>70</v>
      </c>
      <c r="D67" s="16">
        <v>7790360982445</v>
      </c>
      <c r="E67" s="17">
        <v>4.8</v>
      </c>
      <c r="F67" s="18">
        <v>12</v>
      </c>
      <c r="G67" s="19">
        <v>36337.501893000008</v>
      </c>
      <c r="H67" s="19">
        <f t="shared" si="0"/>
        <v>3028.1251577500007</v>
      </c>
      <c r="I67" s="19">
        <f t="shared" si="1"/>
        <v>635.90628312750016</v>
      </c>
      <c r="J67" s="19">
        <f t="shared" si="2"/>
        <v>3664.0314408775007</v>
      </c>
      <c r="K67" s="19">
        <f t="shared" si="3"/>
        <v>1209.1303754895753</v>
      </c>
      <c r="L67" s="19">
        <f t="shared" si="4"/>
        <v>4873.1618163670755</v>
      </c>
      <c r="M67" s="19">
        <f t="shared" si="5"/>
        <v>1949.2647265468304</v>
      </c>
      <c r="N67" s="20">
        <f t="shared" si="6"/>
        <v>6822.4265429139059</v>
      </c>
    </row>
    <row r="68" spans="2:14" x14ac:dyDescent="0.25">
      <c r="B68" s="34">
        <v>100021725</v>
      </c>
      <c r="C68" s="35" t="s">
        <v>71</v>
      </c>
      <c r="D68" s="36">
        <v>7790360027009</v>
      </c>
      <c r="E68" s="37">
        <v>6</v>
      </c>
      <c r="F68" s="38">
        <v>4</v>
      </c>
      <c r="G68" s="39">
        <v>31749.879413747352</v>
      </c>
      <c r="H68" s="39">
        <f t="shared" si="0"/>
        <v>7937.4698534368381</v>
      </c>
      <c r="I68" s="39">
        <f t="shared" si="1"/>
        <v>1666.8686692217359</v>
      </c>
      <c r="J68" s="39">
        <f t="shared" si="2"/>
        <v>9604.3385226585742</v>
      </c>
      <c r="K68" s="39">
        <f t="shared" si="3"/>
        <v>3169.4317124773297</v>
      </c>
      <c r="L68" s="39">
        <f t="shared" si="4"/>
        <v>12773.770235135904</v>
      </c>
      <c r="M68" s="39">
        <f t="shared" si="5"/>
        <v>5109.5080940543621</v>
      </c>
      <c r="N68" s="40">
        <f t="shared" si="6"/>
        <v>17883.278329190267</v>
      </c>
    </row>
    <row r="69" spans="2:14" x14ac:dyDescent="0.25">
      <c r="B69" s="22">
        <v>100517055</v>
      </c>
      <c r="C69" s="23" t="s">
        <v>72</v>
      </c>
      <c r="D69" s="16">
        <v>7790360971135</v>
      </c>
      <c r="E69" s="17">
        <v>3.12</v>
      </c>
      <c r="F69" s="18">
        <v>12</v>
      </c>
      <c r="G69" s="19">
        <v>27152.794840566257</v>
      </c>
      <c r="H69" s="19">
        <f t="shared" si="0"/>
        <v>2262.7329033805213</v>
      </c>
      <c r="I69" s="19">
        <f t="shared" si="1"/>
        <v>475.17390970990948</v>
      </c>
      <c r="J69" s="19">
        <f t="shared" si="2"/>
        <v>2737.9068130904307</v>
      </c>
      <c r="K69" s="19">
        <f t="shared" si="3"/>
        <v>903.50924831984219</v>
      </c>
      <c r="L69" s="19">
        <f t="shared" si="4"/>
        <v>3641.416061410273</v>
      </c>
      <c r="M69" s="19">
        <f t="shared" si="5"/>
        <v>1456.5664245641092</v>
      </c>
      <c r="N69" s="20">
        <f t="shared" si="6"/>
        <v>5097.9824859743821</v>
      </c>
    </row>
    <row r="70" spans="2:14" x14ac:dyDescent="0.25">
      <c r="B70" s="22">
        <v>100517186</v>
      </c>
      <c r="C70" s="23" t="s">
        <v>73</v>
      </c>
      <c r="D70" s="16">
        <v>7790360971395</v>
      </c>
      <c r="E70" s="17">
        <v>8</v>
      </c>
      <c r="F70" s="18">
        <v>8</v>
      </c>
      <c r="G70" s="19">
        <v>68590.402333342587</v>
      </c>
      <c r="H70" s="19">
        <f t="shared" si="0"/>
        <v>8573.8002916678233</v>
      </c>
      <c r="I70" s="19">
        <f t="shared" si="1"/>
        <v>1800.4980612502429</v>
      </c>
      <c r="J70" s="19">
        <f t="shared" si="2"/>
        <v>10374.298352918066</v>
      </c>
      <c r="K70" s="19">
        <f t="shared" si="3"/>
        <v>3423.5184564629617</v>
      </c>
      <c r="L70" s="19">
        <f t="shared" si="4"/>
        <v>13797.816809381027</v>
      </c>
      <c r="M70" s="19">
        <f t="shared" si="5"/>
        <v>5519.1267237524116</v>
      </c>
      <c r="N70" s="20">
        <f t="shared" si="6"/>
        <v>19316.943533133439</v>
      </c>
    </row>
    <row r="71" spans="2:14" x14ac:dyDescent="0.25">
      <c r="B71" s="22">
        <v>100521663</v>
      </c>
      <c r="C71" s="23" t="s">
        <v>74</v>
      </c>
      <c r="D71" s="16">
        <v>7790360982537</v>
      </c>
      <c r="E71" s="17">
        <v>4.8</v>
      </c>
      <c r="F71" s="18">
        <v>12</v>
      </c>
      <c r="G71" s="19">
        <v>43941.02138463041</v>
      </c>
      <c r="H71" s="19">
        <f t="shared" si="0"/>
        <v>3661.7517820525341</v>
      </c>
      <c r="I71" s="19">
        <f t="shared" si="1"/>
        <v>768.96787423103217</v>
      </c>
      <c r="J71" s="19">
        <f t="shared" si="2"/>
        <v>4430.7196562835661</v>
      </c>
      <c r="K71" s="19">
        <f t="shared" si="3"/>
        <v>1462.1374865735768</v>
      </c>
      <c r="L71" s="19">
        <f t="shared" si="4"/>
        <v>5892.8571428571431</v>
      </c>
      <c r="M71" s="19">
        <f t="shared" si="5"/>
        <v>2357.1428571428573</v>
      </c>
      <c r="N71" s="20">
        <f t="shared" si="6"/>
        <v>8250</v>
      </c>
    </row>
    <row r="72" spans="2:14" x14ac:dyDescent="0.25">
      <c r="B72" s="34">
        <v>100021728</v>
      </c>
      <c r="C72" s="35" t="s">
        <v>75</v>
      </c>
      <c r="D72" s="36">
        <v>7790360967558</v>
      </c>
      <c r="E72" s="37">
        <v>3.84</v>
      </c>
      <c r="F72" s="38">
        <v>12</v>
      </c>
      <c r="G72" s="39">
        <v>41610.87745899515</v>
      </c>
      <c r="H72" s="39">
        <f t="shared" si="0"/>
        <v>3467.5731215829292</v>
      </c>
      <c r="I72" s="39">
        <f t="shared" si="1"/>
        <v>728.19035553241508</v>
      </c>
      <c r="J72" s="39">
        <f t="shared" si="2"/>
        <v>4195.7634771153444</v>
      </c>
      <c r="K72" s="39">
        <f t="shared" si="3"/>
        <v>1384.6019474480638</v>
      </c>
      <c r="L72" s="39">
        <f t="shared" si="4"/>
        <v>5580.3654245634079</v>
      </c>
      <c r="M72" s="39">
        <f t="shared" si="5"/>
        <v>2232.1461698253634</v>
      </c>
      <c r="N72" s="40">
        <f t="shared" si="6"/>
        <v>7812.5115943887713</v>
      </c>
    </row>
    <row r="73" spans="2:14" x14ac:dyDescent="0.25">
      <c r="B73" s="34">
        <v>100517679</v>
      </c>
      <c r="C73" s="35" t="s">
        <v>76</v>
      </c>
      <c r="D73" s="36">
        <v>7790360973498</v>
      </c>
      <c r="E73" s="37">
        <v>7.68</v>
      </c>
      <c r="F73" s="38">
        <v>8</v>
      </c>
      <c r="G73" s="39">
        <v>39413.592299367461</v>
      </c>
      <c r="H73" s="39">
        <f t="shared" si="0"/>
        <v>4926.6990374209327</v>
      </c>
      <c r="I73" s="39">
        <f t="shared" si="1"/>
        <v>1034.6067978583958</v>
      </c>
      <c r="J73" s="39">
        <f t="shared" si="2"/>
        <v>5961.3058352793287</v>
      </c>
      <c r="K73" s="39">
        <f t="shared" si="3"/>
        <v>1967.2309256421786</v>
      </c>
      <c r="L73" s="39">
        <f t="shared" si="4"/>
        <v>7928.5367609215073</v>
      </c>
      <c r="M73" s="39">
        <f t="shared" si="5"/>
        <v>3171.414704368603</v>
      </c>
      <c r="N73" s="40">
        <f t="shared" si="6"/>
        <v>11099.951465290111</v>
      </c>
    </row>
    <row r="74" spans="2:14" x14ac:dyDescent="0.25">
      <c r="B74" s="27"/>
      <c r="C74" s="28"/>
      <c r="D74" s="29"/>
      <c r="E74" s="28"/>
      <c r="F74" s="30"/>
      <c r="G74" s="77" t="e">
        <v>#VALUE!</v>
      </c>
      <c r="H74" s="31" t="e">
        <f t="shared" si="0"/>
        <v>#VALUE!</v>
      </c>
      <c r="I74" s="32">
        <v>0.21</v>
      </c>
      <c r="J74" s="31"/>
      <c r="K74" s="32">
        <v>0.35</v>
      </c>
      <c r="L74" s="31"/>
      <c r="M74" s="32">
        <v>0.5</v>
      </c>
      <c r="N74" s="33"/>
    </row>
    <row r="75" spans="2:14" hidden="1" x14ac:dyDescent="0.25">
      <c r="B75" s="22">
        <v>100516219</v>
      </c>
      <c r="C75" s="23" t="s">
        <v>77</v>
      </c>
      <c r="D75" s="41">
        <v>7790360967770</v>
      </c>
      <c r="E75" s="17">
        <v>10</v>
      </c>
      <c r="F75" s="18">
        <v>25</v>
      </c>
      <c r="G75" s="19">
        <v>18259.399891781304</v>
      </c>
      <c r="H75" s="19">
        <f t="shared" ref="H75:H83" si="9">+G75/F75</f>
        <v>730.37599567125221</v>
      </c>
      <c r="I75" s="19">
        <f t="shared" si="1"/>
        <v>153.37895909096295</v>
      </c>
      <c r="J75" s="19">
        <f t="shared" si="2"/>
        <v>883.75495476221522</v>
      </c>
      <c r="K75" s="19">
        <f t="shared" si="3"/>
        <v>291.63913507153103</v>
      </c>
      <c r="L75" s="19">
        <f t="shared" si="4"/>
        <v>1175.3940898337462</v>
      </c>
      <c r="M75" s="19">
        <f t="shared" si="5"/>
        <v>470.15763593349851</v>
      </c>
      <c r="N75" s="20">
        <f t="shared" si="6"/>
        <v>1645.5517257672448</v>
      </c>
    </row>
    <row r="76" spans="2:14" hidden="1" x14ac:dyDescent="0.25">
      <c r="B76" s="22">
        <v>100516220</v>
      </c>
      <c r="C76" s="23" t="s">
        <v>78</v>
      </c>
      <c r="D76" s="41">
        <v>7790360967787</v>
      </c>
      <c r="E76" s="17">
        <v>12</v>
      </c>
      <c r="F76" s="18">
        <v>6</v>
      </c>
      <c r="G76" s="19">
        <v>19613.921820029205</v>
      </c>
      <c r="H76" s="19">
        <f t="shared" si="9"/>
        <v>3268.9869700048675</v>
      </c>
      <c r="I76" s="19">
        <f t="shared" si="1"/>
        <v>686.48726370102213</v>
      </c>
      <c r="J76" s="19">
        <f t="shared" si="2"/>
        <v>3955.4742337058897</v>
      </c>
      <c r="K76" s="19">
        <f t="shared" si="3"/>
        <v>1305.3064971229437</v>
      </c>
      <c r="L76" s="19">
        <f t="shared" si="4"/>
        <v>5260.7807308288338</v>
      </c>
      <c r="M76" s="19">
        <f t="shared" si="5"/>
        <v>2104.3122923315336</v>
      </c>
      <c r="N76" s="20">
        <f t="shared" si="6"/>
        <v>7365.093023160367</v>
      </c>
    </row>
    <row r="77" spans="2:14" ht="15.75" hidden="1" thickBot="1" x14ac:dyDescent="0.3">
      <c r="B77" s="42"/>
      <c r="C77" s="43"/>
      <c r="D77" s="44"/>
      <c r="E77" s="43"/>
      <c r="F77" s="45"/>
      <c r="G77" s="78" t="e">
        <v>#VALUE!</v>
      </c>
      <c r="H77" s="31" t="e">
        <f t="shared" si="9"/>
        <v>#VALUE!</v>
      </c>
      <c r="I77" s="32"/>
      <c r="J77" s="31"/>
      <c r="K77" s="32"/>
      <c r="L77" s="31"/>
      <c r="M77" s="32"/>
      <c r="N77" s="33"/>
    </row>
    <row r="78" spans="2:14" x14ac:dyDescent="0.25">
      <c r="B78" s="26">
        <v>100518158</v>
      </c>
      <c r="C78" s="23" t="s">
        <v>79</v>
      </c>
      <c r="D78" s="46">
        <v>7790360974280</v>
      </c>
      <c r="E78" s="17">
        <v>12</v>
      </c>
      <c r="F78" s="18">
        <v>24</v>
      </c>
      <c r="G78" s="19">
        <v>79203.691045796324</v>
      </c>
      <c r="H78" s="19">
        <f t="shared" si="9"/>
        <v>3300.153793574847</v>
      </c>
      <c r="I78" s="19">
        <f>+H78*I$3</f>
        <v>693.03229665071785</v>
      </c>
      <c r="J78" s="19">
        <f>+H78+I78</f>
        <v>3993.1860902255648</v>
      </c>
      <c r="K78" s="19">
        <f>+J78*K$3</f>
        <v>1317.7514097744365</v>
      </c>
      <c r="L78" s="19">
        <f>+J78+K78</f>
        <v>5310.9375000000018</v>
      </c>
      <c r="M78" s="19">
        <f>+L78*M$3</f>
        <v>2124.3750000000009</v>
      </c>
      <c r="N78" s="20">
        <f>+L78+M78</f>
        <v>7435.3125000000027</v>
      </c>
    </row>
    <row r="79" spans="2:14" x14ac:dyDescent="0.25">
      <c r="B79" s="26">
        <v>100518160</v>
      </c>
      <c r="C79" s="23" t="s">
        <v>80</v>
      </c>
      <c r="D79" s="46">
        <v>7790360974686</v>
      </c>
      <c r="E79" s="17">
        <v>12</v>
      </c>
      <c r="F79" s="18">
        <v>12</v>
      </c>
      <c r="G79" s="19">
        <v>79203.691045796324</v>
      </c>
      <c r="H79" s="19">
        <f t="shared" si="9"/>
        <v>6600.307587149694</v>
      </c>
      <c r="I79" s="19">
        <f>+H79*I$3</f>
        <v>1386.0645933014357</v>
      </c>
      <c r="J79" s="19">
        <f>+H79+I79</f>
        <v>7986.3721804511297</v>
      </c>
      <c r="K79" s="19">
        <f>+J79*K$3</f>
        <v>2635.502819548873</v>
      </c>
      <c r="L79" s="19">
        <f>+J79+K79</f>
        <v>10621.875000000004</v>
      </c>
      <c r="M79" s="19">
        <f>+L79*M$3</f>
        <v>4248.7500000000018</v>
      </c>
      <c r="N79" s="20">
        <f>+L79+M79</f>
        <v>14870.625000000005</v>
      </c>
    </row>
    <row r="80" spans="2:14" x14ac:dyDescent="0.25">
      <c r="B80" s="26">
        <v>100518463</v>
      </c>
      <c r="C80" s="23" t="s">
        <v>81</v>
      </c>
      <c r="D80" s="46"/>
      <c r="E80" s="17">
        <v>5</v>
      </c>
      <c r="F80" s="18">
        <v>1</v>
      </c>
      <c r="G80" s="19">
        <v>36649.894031605167</v>
      </c>
      <c r="H80" s="19">
        <f t="shared" si="9"/>
        <v>36649.894031605167</v>
      </c>
      <c r="I80" s="19">
        <f>+H80*I$3</f>
        <v>7696.4777466370851</v>
      </c>
      <c r="J80" s="19">
        <f>+H80+I80</f>
        <v>44346.371778242254</v>
      </c>
      <c r="K80" s="19">
        <f>+J80*K$3</f>
        <v>14634.302686819945</v>
      </c>
      <c r="L80" s="19">
        <f>+J80+K80</f>
        <v>58980.674465062199</v>
      </c>
      <c r="M80" s="19">
        <f>+L80*M$3</f>
        <v>23592.269786024881</v>
      </c>
      <c r="N80" s="20">
        <f>+L80+M80</f>
        <v>82572.944251087087</v>
      </c>
    </row>
    <row r="81" spans="2:14" ht="15.75" thickBot="1" x14ac:dyDescent="0.3">
      <c r="B81" s="47"/>
      <c r="C81" s="48"/>
      <c r="D81" s="49"/>
      <c r="E81" s="48"/>
      <c r="F81" s="50"/>
      <c r="G81" s="51" t="e">
        <v>#VALUE!</v>
      </c>
      <c r="H81" s="31" t="e">
        <f t="shared" si="9"/>
        <v>#VALUE!</v>
      </c>
      <c r="I81" s="32"/>
      <c r="J81" s="31"/>
      <c r="K81" s="32"/>
      <c r="L81" s="31"/>
      <c r="M81" s="32"/>
      <c r="N81" s="33"/>
    </row>
    <row r="82" spans="2:14" x14ac:dyDescent="0.25">
      <c r="B82" s="52">
        <v>100518291</v>
      </c>
      <c r="C82" s="53" t="s">
        <v>82</v>
      </c>
      <c r="D82" s="54">
        <v>7790360975195</v>
      </c>
      <c r="E82" s="55">
        <v>5</v>
      </c>
      <c r="F82" s="55">
        <v>10</v>
      </c>
      <c r="G82" s="56">
        <v>17536.686967689053</v>
      </c>
      <c r="H82" s="56">
        <f t="shared" si="9"/>
        <v>1753.6686967689052</v>
      </c>
      <c r="I82" s="56">
        <f>+H82*I$3</f>
        <v>368.2704263214701</v>
      </c>
      <c r="J82" s="56">
        <f>+H82+I82</f>
        <v>2121.9391230903752</v>
      </c>
      <c r="K82" s="56">
        <f>+J82*K$39</f>
        <v>466.82660707988254</v>
      </c>
      <c r="L82" s="56">
        <f>+J82+K82</f>
        <v>2588.7657301702579</v>
      </c>
      <c r="M82" s="56">
        <f>+L82*M$39</f>
        <v>906.06800555959023</v>
      </c>
      <c r="N82" s="57">
        <f>+L82+M82</f>
        <v>3494.8337357298483</v>
      </c>
    </row>
    <row r="83" spans="2:14" ht="15.75" thickBot="1" x14ac:dyDescent="0.3">
      <c r="B83" s="58">
        <v>100518292</v>
      </c>
      <c r="C83" s="59" t="s">
        <v>83</v>
      </c>
      <c r="D83" s="60">
        <v>7790360975201</v>
      </c>
      <c r="E83" s="61">
        <v>12</v>
      </c>
      <c r="F83" s="61">
        <v>12</v>
      </c>
      <c r="G83" s="62">
        <v>41380.323708459917</v>
      </c>
      <c r="H83" s="62">
        <f t="shared" si="9"/>
        <v>3448.3603090383262</v>
      </c>
      <c r="I83" s="62">
        <f>+H83*I$3</f>
        <v>724.15566489804849</v>
      </c>
      <c r="J83" s="62">
        <f>+H83+I83</f>
        <v>4172.5159739363744</v>
      </c>
      <c r="K83" s="62">
        <f>+J83*K$39</f>
        <v>917.95351426600234</v>
      </c>
      <c r="L83" s="62">
        <f>+J83+K83</f>
        <v>5090.4694882023769</v>
      </c>
      <c r="M83" s="62">
        <f>+L83*M$39</f>
        <v>1781.6643208708317</v>
      </c>
      <c r="N83" s="63">
        <f>+L83+M83</f>
        <v>6872.1338090732088</v>
      </c>
    </row>
    <row r="84" spans="2:14" ht="15.75" thickBot="1" x14ac:dyDescent="0.3">
      <c r="B84" s="47"/>
      <c r="C84" s="48"/>
      <c r="D84" s="49"/>
      <c r="E84" s="48"/>
      <c r="F84" s="50"/>
      <c r="G84" s="51" t="e">
        <v>#VALUE!</v>
      </c>
      <c r="H84" s="31" t="e">
        <f>+G84/F84</f>
        <v>#VALUE!</v>
      </c>
      <c r="I84" s="32">
        <v>0.105</v>
      </c>
      <c r="J84" s="31"/>
      <c r="K84" s="32">
        <v>0.3</v>
      </c>
      <c r="L84" s="31"/>
      <c r="M84" s="32">
        <v>0.4</v>
      </c>
      <c r="N84" s="33"/>
    </row>
    <row r="85" spans="2:14" x14ac:dyDescent="0.25">
      <c r="B85" s="52">
        <v>100517915</v>
      </c>
      <c r="C85" s="53" t="s">
        <v>84</v>
      </c>
      <c r="D85" s="54">
        <v>7790360974020</v>
      </c>
      <c r="E85" s="55">
        <v>18</v>
      </c>
      <c r="F85" s="55">
        <v>36</v>
      </c>
      <c r="G85" s="56">
        <v>154338.47338253396</v>
      </c>
      <c r="H85" s="56">
        <f>+G85/F85</f>
        <v>4287.1798161814986</v>
      </c>
      <c r="I85" s="56">
        <f>+H85*I$84</f>
        <v>450.15388069905731</v>
      </c>
      <c r="J85" s="56">
        <f>+H85+I85</f>
        <v>4737.3336968805561</v>
      </c>
      <c r="K85" s="56">
        <f>+J85*K$84</f>
        <v>1421.2001090641668</v>
      </c>
      <c r="L85" s="56">
        <f>+J85+K85</f>
        <v>6158.5338059447231</v>
      </c>
      <c r="M85" s="56">
        <f>+L85*M$84</f>
        <v>2463.4135223778894</v>
      </c>
      <c r="N85" s="57">
        <f>+L85+M85</f>
        <v>8621.9473283226125</v>
      </c>
    </row>
    <row r="86" spans="2:14" ht="15.75" thickBot="1" x14ac:dyDescent="0.3">
      <c r="B86" s="58">
        <v>100517914</v>
      </c>
      <c r="C86" s="59" t="s">
        <v>85</v>
      </c>
      <c r="D86" s="60">
        <v>7790360974037</v>
      </c>
      <c r="E86" s="61">
        <v>20</v>
      </c>
      <c r="F86" s="61">
        <v>20</v>
      </c>
      <c r="G86" s="62">
        <v>168417.57189887395</v>
      </c>
      <c r="H86" s="62">
        <f>+G86/F86</f>
        <v>8420.878594943697</v>
      </c>
      <c r="I86" s="62">
        <f>+H86*I$84</f>
        <v>884.1922524690882</v>
      </c>
      <c r="J86" s="62">
        <f>+H86+I86</f>
        <v>9305.070847412786</v>
      </c>
      <c r="K86" s="62">
        <f>+J86*K$84</f>
        <v>2791.5212542238355</v>
      </c>
      <c r="L86" s="62">
        <f>+J86+K86</f>
        <v>12096.592101636621</v>
      </c>
      <c r="M86" s="62">
        <f>+L86*M$84</f>
        <v>4838.6368406546489</v>
      </c>
      <c r="N86" s="63">
        <f>+L86+M86</f>
        <v>16935.228942291269</v>
      </c>
    </row>
    <row r="87" spans="2:14" ht="15.75" thickBot="1" x14ac:dyDescent="0.3">
      <c r="B87" s="47"/>
      <c r="C87" s="48"/>
      <c r="D87" s="49"/>
      <c r="E87" s="48"/>
      <c r="F87" s="50"/>
      <c r="G87" s="51"/>
      <c r="H87" s="64"/>
      <c r="I87" s="65">
        <v>0.105</v>
      </c>
      <c r="J87" s="64"/>
      <c r="K87" s="66">
        <v>0.3</v>
      </c>
      <c r="L87" s="64"/>
      <c r="M87" s="66">
        <v>0.4</v>
      </c>
      <c r="N87" s="67"/>
    </row>
    <row r="88" spans="2:14" x14ac:dyDescent="0.25">
      <c r="B88" s="22">
        <v>100010689</v>
      </c>
      <c r="C88" s="23" t="s">
        <v>86</v>
      </c>
      <c r="D88" s="16"/>
      <c r="E88" s="68">
        <v>22</v>
      </c>
      <c r="F88" s="18">
        <v>1</v>
      </c>
      <c r="G88" s="19">
        <v>16464.642857142862</v>
      </c>
      <c r="H88" s="56">
        <f t="shared" ref="H88:H93" si="10">+G88/F88</f>
        <v>16464.642857142862</v>
      </c>
      <c r="I88" s="56">
        <f t="shared" ref="I88:I93" si="11">+H88*I$87</f>
        <v>1728.7875000000006</v>
      </c>
      <c r="J88" s="56">
        <f t="shared" ref="J88:J93" si="12">+H88+I88</f>
        <v>18193.430357142865</v>
      </c>
      <c r="K88" s="56">
        <f t="shared" ref="K88:K93" si="13">+J88*K$87</f>
        <v>5458.0291071428592</v>
      </c>
      <c r="L88" s="56">
        <f t="shared" ref="L88:L93" si="14">+J88+K88</f>
        <v>23651.459464285723</v>
      </c>
      <c r="M88" s="56">
        <f t="shared" ref="M88:M93" si="15">+L88*M$87</f>
        <v>9460.5837857142888</v>
      </c>
      <c r="N88" s="57">
        <f t="shared" ref="N88:N93" si="16">+L88+M88</f>
        <v>33112.04325000001</v>
      </c>
    </row>
    <row r="89" spans="2:14" x14ac:dyDescent="0.25">
      <c r="B89" s="22">
        <v>100518335</v>
      </c>
      <c r="C89" s="23" t="s">
        <v>87</v>
      </c>
      <c r="D89" s="16"/>
      <c r="E89" s="68">
        <v>22.5</v>
      </c>
      <c r="F89" s="18">
        <v>1</v>
      </c>
      <c r="G89" s="19">
        <v>10429.178571428572</v>
      </c>
      <c r="H89" s="19">
        <f t="shared" si="10"/>
        <v>10429.178571428572</v>
      </c>
      <c r="I89" s="19">
        <f t="shared" si="11"/>
        <v>1095.06375</v>
      </c>
      <c r="J89" s="19">
        <f t="shared" si="12"/>
        <v>11524.242321428572</v>
      </c>
      <c r="K89" s="19">
        <f t="shared" si="13"/>
        <v>3457.2726964285716</v>
      </c>
      <c r="L89" s="19">
        <f t="shared" si="14"/>
        <v>14981.515017857144</v>
      </c>
      <c r="M89" s="19">
        <f t="shared" si="15"/>
        <v>5992.6060071428583</v>
      </c>
      <c r="N89" s="20">
        <f t="shared" si="16"/>
        <v>20974.121025</v>
      </c>
    </row>
    <row r="90" spans="2:14" x14ac:dyDescent="0.25">
      <c r="B90" s="22">
        <v>100518332</v>
      </c>
      <c r="C90" s="23" t="s">
        <v>88</v>
      </c>
      <c r="D90" s="16"/>
      <c r="E90" s="68">
        <v>21.5</v>
      </c>
      <c r="F90" s="18">
        <v>1</v>
      </c>
      <c r="G90" s="19">
        <v>11223.535714285716</v>
      </c>
      <c r="H90" s="19">
        <f t="shared" si="10"/>
        <v>11223.535714285716</v>
      </c>
      <c r="I90" s="19">
        <f t="shared" si="11"/>
        <v>1178.4712500000001</v>
      </c>
      <c r="J90" s="19">
        <f t="shared" si="12"/>
        <v>12402.006964285716</v>
      </c>
      <c r="K90" s="19">
        <f t="shared" si="13"/>
        <v>3720.6020892857146</v>
      </c>
      <c r="L90" s="19">
        <f t="shared" si="14"/>
        <v>16122.60905357143</v>
      </c>
      <c r="M90" s="19">
        <f t="shared" si="15"/>
        <v>6449.0436214285728</v>
      </c>
      <c r="N90" s="20">
        <f t="shared" si="16"/>
        <v>22571.652675000005</v>
      </c>
    </row>
    <row r="91" spans="2:14" x14ac:dyDescent="0.25">
      <c r="B91" s="22">
        <v>100518334</v>
      </c>
      <c r="C91" s="23" t="s">
        <v>89</v>
      </c>
      <c r="D91" s="16"/>
      <c r="E91" s="68">
        <v>22.5</v>
      </c>
      <c r="F91" s="18">
        <v>1</v>
      </c>
      <c r="G91" s="19">
        <v>9237.6428571428587</v>
      </c>
      <c r="H91" s="19">
        <f t="shared" si="10"/>
        <v>9237.6428571428587</v>
      </c>
      <c r="I91" s="19">
        <f t="shared" si="11"/>
        <v>969.9525000000001</v>
      </c>
      <c r="J91" s="19">
        <f t="shared" si="12"/>
        <v>10207.595357142858</v>
      </c>
      <c r="K91" s="19">
        <f t="shared" si="13"/>
        <v>3062.2786071428573</v>
      </c>
      <c r="L91" s="19">
        <f t="shared" si="14"/>
        <v>13269.873964285714</v>
      </c>
      <c r="M91" s="19">
        <f t="shared" si="15"/>
        <v>5307.9495857142865</v>
      </c>
      <c r="N91" s="20">
        <f t="shared" si="16"/>
        <v>18577.823550000001</v>
      </c>
    </row>
    <row r="92" spans="2:14" x14ac:dyDescent="0.25">
      <c r="B92" s="22">
        <v>100518227</v>
      </c>
      <c r="C92" s="23" t="s">
        <v>90</v>
      </c>
      <c r="D92" s="16"/>
      <c r="E92" s="68">
        <v>22.5</v>
      </c>
      <c r="F92" s="18">
        <v>1</v>
      </c>
      <c r="G92" s="19">
        <v>9237.6428571428587</v>
      </c>
      <c r="H92" s="19">
        <f t="shared" si="10"/>
        <v>9237.6428571428587</v>
      </c>
      <c r="I92" s="19">
        <f t="shared" si="11"/>
        <v>969.9525000000001</v>
      </c>
      <c r="J92" s="19">
        <f t="shared" si="12"/>
        <v>10207.595357142858</v>
      </c>
      <c r="K92" s="19">
        <f t="shared" si="13"/>
        <v>3062.2786071428573</v>
      </c>
      <c r="L92" s="19">
        <f t="shared" si="14"/>
        <v>13269.873964285714</v>
      </c>
      <c r="M92" s="19">
        <f t="shared" si="15"/>
        <v>5307.9495857142865</v>
      </c>
      <c r="N92" s="20">
        <f t="shared" si="16"/>
        <v>18577.823550000001</v>
      </c>
    </row>
    <row r="93" spans="2:14" x14ac:dyDescent="0.25">
      <c r="B93" s="69">
        <v>100027726</v>
      </c>
      <c r="C93" s="70" t="s">
        <v>91</v>
      </c>
      <c r="D93" s="71"/>
      <c r="E93" s="68">
        <v>22.5</v>
      </c>
      <c r="F93" s="18">
        <v>1</v>
      </c>
      <c r="G93" s="19">
        <v>6814.5000000000009</v>
      </c>
      <c r="H93" s="19">
        <f t="shared" si="10"/>
        <v>6814.5000000000009</v>
      </c>
      <c r="I93" s="19">
        <f t="shared" si="11"/>
        <v>715.52250000000004</v>
      </c>
      <c r="J93" s="19">
        <f t="shared" si="12"/>
        <v>7530.0225000000009</v>
      </c>
      <c r="K93" s="19">
        <f t="shared" si="13"/>
        <v>2259.00675</v>
      </c>
      <c r="L93" s="19">
        <f t="shared" si="14"/>
        <v>9789.0292500000014</v>
      </c>
      <c r="M93" s="19">
        <f t="shared" si="15"/>
        <v>3915.6117000000008</v>
      </c>
      <c r="N93" s="20">
        <f t="shared" si="16"/>
        <v>13704.640950000003</v>
      </c>
    </row>
    <row r="94" spans="2:14" ht="15.75" thickBot="1" x14ac:dyDescent="0.3">
      <c r="B94" s="47"/>
      <c r="C94" s="48"/>
      <c r="D94" s="49"/>
      <c r="E94" s="48"/>
      <c r="F94" s="50"/>
      <c r="G94" s="51"/>
      <c r="H94" s="64"/>
      <c r="I94" s="65">
        <v>0.21</v>
      </c>
      <c r="J94" s="64"/>
      <c r="K94" s="66">
        <v>0.35</v>
      </c>
      <c r="L94" s="64"/>
      <c r="M94" s="66">
        <v>0.45</v>
      </c>
      <c r="N94" s="67"/>
    </row>
    <row r="95" spans="2:14" ht="15.75" thickBot="1" x14ac:dyDescent="0.3">
      <c r="B95" s="22">
        <v>100520837</v>
      </c>
      <c r="C95" s="23" t="s">
        <v>92</v>
      </c>
      <c r="D95" s="16">
        <v>7790360980625</v>
      </c>
      <c r="E95" s="68">
        <v>4.8</v>
      </c>
      <c r="F95" s="18">
        <v>12</v>
      </c>
      <c r="G95" s="19">
        <v>35756.175548589337</v>
      </c>
      <c r="H95" s="72">
        <f>+G95/F95</f>
        <v>2979.6812957157781</v>
      </c>
      <c r="I95" s="35">
        <f>+H95*I$94</f>
        <v>625.73307210031339</v>
      </c>
      <c r="J95" s="36">
        <f>+H95+I95</f>
        <v>3605.4143678160917</v>
      </c>
      <c r="K95" s="68">
        <f>+J95*K$94</f>
        <v>1261.895028735632</v>
      </c>
      <c r="L95" s="18">
        <f>+J95+K95</f>
        <v>4867.3093965517237</v>
      </c>
      <c r="M95" s="56">
        <f>+L95*M$94</f>
        <v>2190.2892284482759</v>
      </c>
      <c r="N95" s="57">
        <f>+L95+M95</f>
        <v>7057.5986249999996</v>
      </c>
    </row>
    <row r="96" spans="2:14" x14ac:dyDescent="0.25">
      <c r="B96" s="72">
        <v>100522395</v>
      </c>
      <c r="C96" s="35" t="s">
        <v>93</v>
      </c>
      <c r="D96" s="71"/>
      <c r="E96" s="68">
        <v>4.8</v>
      </c>
      <c r="F96" s="18">
        <v>12</v>
      </c>
      <c r="G96" s="19">
        <v>36471.292000000001</v>
      </c>
      <c r="H96" s="72">
        <f>+G96/F96</f>
        <v>3039.2743333333333</v>
      </c>
      <c r="I96" s="35">
        <f>+H96*I$94</f>
        <v>638.24761000000001</v>
      </c>
      <c r="J96" s="36">
        <f>+H96+I96</f>
        <v>3677.5219433333332</v>
      </c>
      <c r="K96" s="68">
        <f>+J96*K$94</f>
        <v>1287.1326801666664</v>
      </c>
      <c r="L96" s="18">
        <f>+J96+K96</f>
        <v>4964.6546234999996</v>
      </c>
      <c r="M96" s="56">
        <f>+L96*M$94</f>
        <v>2234.0945805749998</v>
      </c>
      <c r="N96" s="57">
        <f>+L96+M96</f>
        <v>7198.7492040749994</v>
      </c>
    </row>
    <row r="97" spans="2:14" ht="15.75" thickBot="1" x14ac:dyDescent="0.3">
      <c r="B97" s="47"/>
      <c r="C97" s="48"/>
      <c r="D97" s="49"/>
      <c r="E97" s="48"/>
      <c r="F97" s="50"/>
      <c r="G97" s="51"/>
      <c r="H97" s="64"/>
      <c r="I97" s="65">
        <v>0.21</v>
      </c>
      <c r="J97" s="64"/>
      <c r="K97" s="66">
        <v>0.35</v>
      </c>
      <c r="L97" s="64"/>
      <c r="M97" s="66">
        <v>0.45</v>
      </c>
      <c r="N97" s="67"/>
    </row>
    <row r="98" spans="2:14" x14ac:dyDescent="0.25">
      <c r="B98" s="22">
        <v>100520902</v>
      </c>
      <c r="C98" s="23" t="s">
        <v>94</v>
      </c>
      <c r="D98" s="16">
        <v>7790360981042</v>
      </c>
      <c r="E98" s="68">
        <v>9.8000000000000007</v>
      </c>
      <c r="F98" s="18">
        <v>14</v>
      </c>
      <c r="G98" s="19">
        <v>32345.802856147693</v>
      </c>
      <c r="H98" s="72">
        <f>+G98/F98</f>
        <v>2310.4144897248352</v>
      </c>
      <c r="I98" s="35">
        <f>+H98*I$97</f>
        <v>485.18704284221536</v>
      </c>
      <c r="J98" s="36">
        <f>+H98+I98</f>
        <v>2795.6015325670505</v>
      </c>
      <c r="K98" s="68">
        <f>+J98*K$97</f>
        <v>978.46053639846764</v>
      </c>
      <c r="L98" s="18">
        <f>+J98+K98</f>
        <v>3774.0620689655179</v>
      </c>
      <c r="M98" s="56">
        <f>+L98*M$97</f>
        <v>1698.3279310344831</v>
      </c>
      <c r="N98" s="57">
        <f>+L98+M98</f>
        <v>5472.3900000000012</v>
      </c>
    </row>
    <row r="99" spans="2:14" ht="15.75" thickBot="1" x14ac:dyDescent="0.3">
      <c r="B99" s="47"/>
      <c r="C99" s="48"/>
      <c r="D99" s="49"/>
      <c r="E99" s="48"/>
      <c r="F99" s="50"/>
      <c r="G99" s="51"/>
      <c r="H99" s="64"/>
      <c r="I99" s="65">
        <v>0.21</v>
      </c>
      <c r="J99" s="64"/>
      <c r="K99" s="66">
        <v>0.35</v>
      </c>
      <c r="L99" s="64"/>
      <c r="M99" s="66">
        <v>0.45</v>
      </c>
      <c r="N99" s="67"/>
    </row>
    <row r="100" spans="2:14" ht="15.75" thickBot="1" x14ac:dyDescent="0.3">
      <c r="B100" s="22">
        <v>100521457</v>
      </c>
      <c r="C100" s="23" t="s">
        <v>95</v>
      </c>
      <c r="D100" s="16">
        <v>7790360982254</v>
      </c>
      <c r="E100" s="68">
        <v>4.8</v>
      </c>
      <c r="F100" s="18">
        <v>16</v>
      </c>
      <c r="G100" s="19">
        <v>36127.899686520381</v>
      </c>
      <c r="H100" s="72">
        <f>+G100/F100</f>
        <v>2257.9937304075238</v>
      </c>
      <c r="I100" s="35">
        <f>+H100*I$99</f>
        <v>474.17868338557997</v>
      </c>
      <c r="J100" s="36">
        <f>+H100+I100</f>
        <v>2732.1724137931037</v>
      </c>
      <c r="K100" s="68">
        <f>+J100*K$99</f>
        <v>956.26034482758621</v>
      </c>
      <c r="L100" s="18">
        <f>+J100+K100</f>
        <v>3688.43275862069</v>
      </c>
      <c r="M100" s="56">
        <f>+L100*M$99</f>
        <v>1659.7947413793106</v>
      </c>
      <c r="N100" s="57">
        <f>+L100+M100</f>
        <v>5348.2275000000009</v>
      </c>
    </row>
    <row r="101" spans="2:14" ht="15.75" thickBot="1" x14ac:dyDescent="0.3">
      <c r="B101" s="22">
        <v>100521455</v>
      </c>
      <c r="C101" s="23" t="s">
        <v>96</v>
      </c>
      <c r="D101" s="16">
        <v>7790360982247</v>
      </c>
      <c r="E101" s="68">
        <v>4.8</v>
      </c>
      <c r="F101" s="18">
        <v>16</v>
      </c>
      <c r="G101" s="19">
        <v>36127.899686520381</v>
      </c>
      <c r="H101" s="72">
        <f t="shared" ref="H101:H103" si="17">+G101/F101</f>
        <v>2257.9937304075238</v>
      </c>
      <c r="I101" s="35">
        <f t="shared" ref="I101:I103" si="18">+H101*I$99</f>
        <v>474.17868338557997</v>
      </c>
      <c r="J101" s="36">
        <f t="shared" ref="J101:J103" si="19">+H101+I101</f>
        <v>2732.1724137931037</v>
      </c>
      <c r="K101" s="68">
        <f t="shared" ref="K101:K103" si="20">+J101*K$99</f>
        <v>956.26034482758621</v>
      </c>
      <c r="L101" s="18">
        <f t="shared" ref="L101:L103" si="21">+J101+K101</f>
        <v>3688.43275862069</v>
      </c>
      <c r="M101" s="56">
        <f t="shared" ref="M101:M103" si="22">+L101*M$99</f>
        <v>1659.7947413793106</v>
      </c>
      <c r="N101" s="57">
        <f t="shared" ref="N101:N103" si="23">+L101+M101</f>
        <v>5348.2275000000009</v>
      </c>
    </row>
    <row r="102" spans="2:14" ht="15.75" thickBot="1" x14ac:dyDescent="0.3">
      <c r="B102" s="22">
        <v>100521453</v>
      </c>
      <c r="C102" s="23" t="s">
        <v>97</v>
      </c>
      <c r="D102" s="16">
        <v>7790360982223</v>
      </c>
      <c r="E102" s="68">
        <v>5.4</v>
      </c>
      <c r="F102" s="18">
        <v>18</v>
      </c>
      <c r="G102" s="19">
        <v>35563.401253918506</v>
      </c>
      <c r="H102" s="72">
        <f t="shared" si="17"/>
        <v>1975.7445141065837</v>
      </c>
      <c r="I102" s="35">
        <f t="shared" si="18"/>
        <v>414.90634796238254</v>
      </c>
      <c r="J102" s="36">
        <f t="shared" si="19"/>
        <v>2390.650862068966</v>
      </c>
      <c r="K102" s="68">
        <f t="shared" si="20"/>
        <v>836.72780172413809</v>
      </c>
      <c r="L102" s="18">
        <f t="shared" si="21"/>
        <v>3227.3786637931044</v>
      </c>
      <c r="M102" s="56">
        <f t="shared" si="22"/>
        <v>1452.3203987068971</v>
      </c>
      <c r="N102" s="57">
        <f t="shared" si="23"/>
        <v>4679.6990625000017</v>
      </c>
    </row>
    <row r="103" spans="2:14" x14ac:dyDescent="0.25">
      <c r="B103" s="22">
        <v>100521454</v>
      </c>
      <c r="C103" s="23" t="s">
        <v>98</v>
      </c>
      <c r="D103" s="16">
        <v>7790360982230</v>
      </c>
      <c r="E103" s="68">
        <v>5.3999999999999995</v>
      </c>
      <c r="F103" s="18">
        <v>18</v>
      </c>
      <c r="G103" s="19">
        <v>35563.401253918506</v>
      </c>
      <c r="H103" s="72">
        <f t="shared" si="17"/>
        <v>1975.7445141065837</v>
      </c>
      <c r="I103" s="35">
        <f t="shared" si="18"/>
        <v>414.90634796238254</v>
      </c>
      <c r="J103" s="36">
        <f t="shared" si="19"/>
        <v>2390.650862068966</v>
      </c>
      <c r="K103" s="68">
        <f t="shared" si="20"/>
        <v>836.72780172413809</v>
      </c>
      <c r="L103" s="18">
        <f t="shared" si="21"/>
        <v>3227.3786637931044</v>
      </c>
      <c r="M103" s="56">
        <f t="shared" si="22"/>
        <v>1452.3203987068971</v>
      </c>
      <c r="N103" s="57">
        <f t="shared" si="23"/>
        <v>4679.6990625000017</v>
      </c>
    </row>
    <row r="104" spans="2:14" ht="15.75" thickBot="1" x14ac:dyDescent="0.3">
      <c r="B104" s="47"/>
      <c r="C104" s="48"/>
      <c r="D104" s="49"/>
      <c r="E104" s="48"/>
      <c r="F104" s="50"/>
      <c r="G104" s="51"/>
      <c r="H104" s="64"/>
      <c r="I104" s="65">
        <v>0.21</v>
      </c>
      <c r="J104" s="64"/>
      <c r="K104" s="66">
        <v>0.22</v>
      </c>
      <c r="L104" s="64"/>
      <c r="M104" s="66">
        <v>0.35</v>
      </c>
      <c r="N104" s="67"/>
    </row>
    <row r="105" spans="2:14" ht="15.75" thickBot="1" x14ac:dyDescent="0.3">
      <c r="B105" s="72">
        <v>100522246</v>
      </c>
      <c r="C105" s="35" t="s">
        <v>99</v>
      </c>
      <c r="D105" s="36">
        <v>7790360984234</v>
      </c>
      <c r="E105" s="68">
        <v>8.16</v>
      </c>
      <c r="F105" s="18">
        <v>48</v>
      </c>
      <c r="G105" s="19">
        <v>116812.71733730749</v>
      </c>
      <c r="H105" s="72">
        <f t="shared" ref="H105:H106" si="24">+G105/F105</f>
        <v>2433.5982778605726</v>
      </c>
      <c r="I105" s="35">
        <f t="shared" ref="I105:I106" si="25">+H105*I$3</f>
        <v>511.05563835072024</v>
      </c>
      <c r="J105" s="36">
        <f t="shared" ref="J105:J106" si="26">+H105+I105</f>
        <v>2944.6539162112927</v>
      </c>
      <c r="K105" s="68">
        <f>+J105*K$104</f>
        <v>647.82386156648442</v>
      </c>
      <c r="L105" s="18">
        <f t="shared" ref="L105:L106" si="27">+J105+K105</f>
        <v>3592.4777777777772</v>
      </c>
      <c r="M105" s="56">
        <f>+L105*M$104</f>
        <v>1257.3672222222219</v>
      </c>
      <c r="N105" s="57">
        <f t="shared" ref="N105:N106" si="28">+L105+M105</f>
        <v>4849.8449999999993</v>
      </c>
    </row>
    <row r="106" spans="2:14" x14ac:dyDescent="0.25">
      <c r="B106" s="72">
        <v>100522247</v>
      </c>
      <c r="C106" s="35" t="s">
        <v>100</v>
      </c>
      <c r="D106" s="36">
        <v>7790360984241</v>
      </c>
      <c r="E106" s="68">
        <v>8.16</v>
      </c>
      <c r="F106" s="18">
        <v>48</v>
      </c>
      <c r="G106" s="19">
        <v>116812.71733730749</v>
      </c>
      <c r="H106" s="72">
        <f t="shared" si="24"/>
        <v>2433.5982778605726</v>
      </c>
      <c r="I106" s="35">
        <f t="shared" si="25"/>
        <v>511.05563835072024</v>
      </c>
      <c r="J106" s="36">
        <f t="shared" si="26"/>
        <v>2944.6539162112927</v>
      </c>
      <c r="K106" s="68">
        <f>+J106*K$104</f>
        <v>647.82386156648442</v>
      </c>
      <c r="L106" s="18">
        <f t="shared" si="27"/>
        <v>3592.4777777777772</v>
      </c>
      <c r="M106" s="56">
        <f>+L106*M$104</f>
        <v>1257.3672222222219</v>
      </c>
      <c r="N106" s="57">
        <f t="shared" si="28"/>
        <v>4849.8449999999993</v>
      </c>
    </row>
  </sheetData>
  <conditionalFormatting sqref="B20:C20">
    <cfRule type="cellIs" dxfId="45" priority="23" stopIfTrue="1" operator="equal">
      <formula>0</formula>
    </cfRule>
  </conditionalFormatting>
  <conditionalFormatting sqref="B27:C27">
    <cfRule type="cellIs" dxfId="44" priority="16" stopIfTrue="1" operator="equal">
      <formula>0</formula>
    </cfRule>
  </conditionalFormatting>
  <conditionalFormatting sqref="B96:C96">
    <cfRule type="cellIs" dxfId="43" priority="3" stopIfTrue="1" operator="equal">
      <formula>0</formula>
    </cfRule>
  </conditionalFormatting>
  <conditionalFormatting sqref="B62:D62">
    <cfRule type="cellIs" dxfId="42" priority="21" stopIfTrue="1" operator="equal">
      <formula>0</formula>
    </cfRule>
  </conditionalFormatting>
  <conditionalFormatting sqref="B16:F19">
    <cfRule type="cellIs" dxfId="41" priority="13" stopIfTrue="1" operator="equal">
      <formula>0</formula>
    </cfRule>
  </conditionalFormatting>
  <conditionalFormatting sqref="B105:F106">
    <cfRule type="cellIs" dxfId="40" priority="2" stopIfTrue="1" operator="equal">
      <formula>0</formula>
    </cfRule>
  </conditionalFormatting>
  <conditionalFormatting sqref="B68:N68">
    <cfRule type="cellIs" dxfId="39" priority="7" stopIfTrue="1" operator="equal">
      <formula>0</formula>
    </cfRule>
  </conditionalFormatting>
  <conditionalFormatting sqref="B72:N73">
    <cfRule type="cellIs" dxfId="38" priority="6" stopIfTrue="1" operator="equal">
      <formula>0</formula>
    </cfRule>
  </conditionalFormatting>
  <conditionalFormatting sqref="C28">
    <cfRule type="cellIs" dxfId="37" priority="15" stopIfTrue="1" operator="equal">
      <formula>0</formula>
    </cfRule>
  </conditionalFormatting>
  <conditionalFormatting sqref="E20:F20">
    <cfRule type="cellIs" dxfId="36" priority="22" stopIfTrue="1" operator="equal">
      <formula>0</formula>
    </cfRule>
  </conditionalFormatting>
  <conditionalFormatting sqref="E88:F93">
    <cfRule type="cellIs" dxfId="35" priority="14" stopIfTrue="1" operator="equal">
      <formula>0</formula>
    </cfRule>
  </conditionalFormatting>
  <conditionalFormatting sqref="E95:F96">
    <cfRule type="cellIs" dxfId="34" priority="4" stopIfTrue="1" operator="equal">
      <formula>0</formula>
    </cfRule>
  </conditionalFormatting>
  <conditionalFormatting sqref="E98:F98">
    <cfRule type="cellIs" dxfId="33" priority="11" stopIfTrue="1" operator="equal">
      <formula>0</formula>
    </cfRule>
  </conditionalFormatting>
  <conditionalFormatting sqref="E100:F103">
    <cfRule type="cellIs" dxfId="32" priority="9" stopIfTrue="1" operator="equal">
      <formula>0</formula>
    </cfRule>
  </conditionalFormatting>
  <conditionalFormatting sqref="E57:N60">
    <cfRule type="cellIs" dxfId="31" priority="19" stopIfTrue="1" operator="equal">
      <formula>0</formula>
    </cfRule>
  </conditionalFormatting>
  <conditionalFormatting sqref="G16:H20">
    <cfRule type="cellIs" dxfId="30" priority="20" stopIfTrue="1" operator="equal">
      <formula>0</formula>
    </cfRule>
  </conditionalFormatting>
  <conditionalFormatting sqref="H95:L96">
    <cfRule type="cellIs" dxfId="29" priority="12" stopIfTrue="1" operator="equal">
      <formula>0</formula>
    </cfRule>
  </conditionalFormatting>
  <conditionalFormatting sqref="H98:L98">
    <cfRule type="cellIs" dxfId="28" priority="10" stopIfTrue="1" operator="equal">
      <formula>0</formula>
    </cfRule>
  </conditionalFormatting>
  <conditionalFormatting sqref="H100:L103">
    <cfRule type="cellIs" dxfId="27" priority="8" stopIfTrue="1" operator="equal">
      <formula>0</formula>
    </cfRule>
  </conditionalFormatting>
  <conditionalFormatting sqref="H105:L106">
    <cfRule type="cellIs" dxfId="26" priority="1" stopIfTrue="1" operator="equal">
      <formula>0</formula>
    </cfRule>
  </conditionalFormatting>
  <conditionalFormatting sqref="H89:N93">
    <cfRule type="cellIs" dxfId="25" priority="5" stopIfTrue="1" operator="equal">
      <formula>0</formula>
    </cfRule>
  </conditionalFormatting>
  <conditionalFormatting sqref="K38">
    <cfRule type="cellIs" dxfId="24" priority="18" stopIfTrue="1" operator="equal">
      <formula>0</formula>
    </cfRule>
  </conditionalFormatting>
  <conditionalFormatting sqref="K16:N18 L19:N20">
    <cfRule type="cellIs" dxfId="23" priority="17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07"/>
  <sheetViews>
    <sheetView zoomScale="70" zoomScaleNormal="70" workbookViewId="0">
      <pane xSplit="2" ySplit="2" topLeftCell="C3" activePane="bottomRight" state="frozen"/>
      <selection activeCell="U65" sqref="U65"/>
      <selection pane="topRight" activeCell="U65" sqref="U65"/>
      <selection pane="bottomLeft" activeCell="U65" sqref="U65"/>
      <selection pane="bottomRight" activeCell="R9" sqref="R9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46.28515625" bestFit="1" customWidth="1"/>
    <col min="4" max="4" width="12.140625" customWidth="1"/>
    <col min="5" max="5" width="8" bestFit="1" customWidth="1"/>
    <col min="6" max="6" width="9.42578125" bestFit="1" customWidth="1"/>
    <col min="7" max="7" width="9.42578125" style="79" bestFit="1" customWidth="1"/>
    <col min="8" max="13" width="11.42578125" customWidth="1" outlineLevel="1"/>
    <col min="14" max="14" width="11.42578125" style="73" customWidth="1"/>
  </cols>
  <sheetData>
    <row r="1" spans="2:14" s="1" customFormat="1" ht="12.75" thickBot="1" x14ac:dyDescent="0.25">
      <c r="G1" s="74"/>
      <c r="N1" s="2"/>
    </row>
    <row r="2" spans="2:14" s="1" customFormat="1" ht="36.75" thickBot="1" x14ac:dyDescent="0.25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75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7" t="s">
        <v>12</v>
      </c>
    </row>
    <row r="3" spans="2:14" s="1" customFormat="1" ht="12" x14ac:dyDescent="0.2">
      <c r="B3" s="8"/>
      <c r="C3" s="9"/>
      <c r="D3" s="10"/>
      <c r="E3" s="9"/>
      <c r="F3" s="9"/>
      <c r="G3" s="76"/>
      <c r="H3" s="11"/>
      <c r="I3" s="12">
        <v>0.21</v>
      </c>
      <c r="J3" s="11"/>
      <c r="K3" s="12">
        <v>0.33</v>
      </c>
      <c r="L3" s="11"/>
      <c r="M3" s="12">
        <v>0.4</v>
      </c>
      <c r="N3" s="13"/>
    </row>
    <row r="4" spans="2:14" x14ac:dyDescent="0.25">
      <c r="B4" s="14">
        <v>100021632</v>
      </c>
      <c r="C4" s="15" t="s">
        <v>13</v>
      </c>
      <c r="D4" s="16">
        <v>7790360026606</v>
      </c>
      <c r="E4" s="17">
        <v>4.8</v>
      </c>
      <c r="F4" s="18">
        <v>30</v>
      </c>
      <c r="G4" s="19">
        <v>36141.234491626812</v>
      </c>
      <c r="H4" s="19">
        <f>+G4/F4</f>
        <v>1204.7078163875603</v>
      </c>
      <c r="I4" s="19">
        <f>+H4*I$3</f>
        <v>252.98864144138767</v>
      </c>
      <c r="J4" s="19">
        <f>+H4+I4</f>
        <v>1457.696457828948</v>
      </c>
      <c r="K4" s="19">
        <f>+J4*K$3</f>
        <v>481.03983108355288</v>
      </c>
      <c r="L4" s="19">
        <f>+J4+K4</f>
        <v>1938.7362889125009</v>
      </c>
      <c r="M4" s="19">
        <f>+L4*M$3</f>
        <v>775.49451556500037</v>
      </c>
      <c r="N4" s="20">
        <f>+L4+M4</f>
        <v>2714.2308044775014</v>
      </c>
    </row>
    <row r="5" spans="2:14" x14ac:dyDescent="0.25">
      <c r="B5" s="21">
        <v>100021652</v>
      </c>
      <c r="C5" s="15" t="s">
        <v>14</v>
      </c>
      <c r="D5" s="16">
        <v>7790360026576</v>
      </c>
      <c r="E5" s="17">
        <v>5.76</v>
      </c>
      <c r="F5" s="18">
        <v>18</v>
      </c>
      <c r="G5" s="19">
        <v>51551.958767942597</v>
      </c>
      <c r="H5" s="19">
        <f t="shared" ref="H5:H75" si="0">+G5/F5</f>
        <v>2863.9977093301441</v>
      </c>
      <c r="I5" s="19">
        <f t="shared" ref="I5:I77" si="1">+H5*I$3</f>
        <v>601.43951895933026</v>
      </c>
      <c r="J5" s="19">
        <f t="shared" ref="J5:J77" si="2">+H5+I5</f>
        <v>3465.4372282894742</v>
      </c>
      <c r="K5" s="19">
        <f t="shared" ref="K5:K77" si="3">+J5*K$3</f>
        <v>1143.5942853355266</v>
      </c>
      <c r="L5" s="19">
        <f t="shared" ref="L5:L77" si="4">+J5+K5</f>
        <v>4609.031513625001</v>
      </c>
      <c r="M5" s="19">
        <f t="shared" ref="M5:M77" si="5">+L5*M$3</f>
        <v>1843.6126054500005</v>
      </c>
      <c r="N5" s="20">
        <f t="shared" ref="N5:N77" si="6">+L5+M5</f>
        <v>6452.6441190750011</v>
      </c>
    </row>
    <row r="6" spans="2:14" x14ac:dyDescent="0.25">
      <c r="B6" s="21">
        <v>100021631</v>
      </c>
      <c r="C6" s="15" t="s">
        <v>15</v>
      </c>
      <c r="D6" s="16">
        <v>7790360026590</v>
      </c>
      <c r="E6" s="17">
        <v>7.68</v>
      </c>
      <c r="F6" s="18">
        <v>8</v>
      </c>
      <c r="G6" s="19">
        <v>63608.572705263192</v>
      </c>
      <c r="H6" s="19">
        <f t="shared" si="0"/>
        <v>7951.071588157899</v>
      </c>
      <c r="I6" s="19">
        <f t="shared" si="1"/>
        <v>1669.7250335131587</v>
      </c>
      <c r="J6" s="19">
        <f t="shared" si="2"/>
        <v>9620.7966216710574</v>
      </c>
      <c r="K6" s="19">
        <f t="shared" si="3"/>
        <v>3174.8628851514491</v>
      </c>
      <c r="L6" s="19">
        <f t="shared" si="4"/>
        <v>12795.659506822507</v>
      </c>
      <c r="M6" s="19">
        <f t="shared" si="5"/>
        <v>5118.2638027290031</v>
      </c>
      <c r="N6" s="20">
        <f t="shared" si="6"/>
        <v>17913.923309551508</v>
      </c>
    </row>
    <row r="7" spans="2:14" x14ac:dyDescent="0.25">
      <c r="B7" s="21">
        <v>100021630</v>
      </c>
      <c r="C7" s="15" t="s">
        <v>16</v>
      </c>
      <c r="D7" s="16">
        <v>7790360026583</v>
      </c>
      <c r="E7" s="17">
        <v>9.6</v>
      </c>
      <c r="F7" s="18">
        <v>6</v>
      </c>
      <c r="G7" s="19">
        <v>79510.715881578988</v>
      </c>
      <c r="H7" s="19">
        <f t="shared" si="0"/>
        <v>13251.785980263165</v>
      </c>
      <c r="I7" s="19">
        <f t="shared" si="1"/>
        <v>2782.8750558552647</v>
      </c>
      <c r="J7" s="19">
        <f t="shared" si="2"/>
        <v>16034.661036118428</v>
      </c>
      <c r="K7" s="19">
        <f t="shared" si="3"/>
        <v>5291.4381419190813</v>
      </c>
      <c r="L7" s="19">
        <f t="shared" si="4"/>
        <v>21326.099178037512</v>
      </c>
      <c r="M7" s="19">
        <f t="shared" si="5"/>
        <v>8530.4396712150046</v>
      </c>
      <c r="N7" s="20">
        <f t="shared" si="6"/>
        <v>29856.538849252516</v>
      </c>
    </row>
    <row r="8" spans="2:14" x14ac:dyDescent="0.25">
      <c r="B8" s="22">
        <v>100021653</v>
      </c>
      <c r="C8" s="23" t="s">
        <v>17</v>
      </c>
      <c r="D8" s="16">
        <v>7790360026682</v>
      </c>
      <c r="E8" s="17">
        <v>5.76</v>
      </c>
      <c r="F8" s="18">
        <v>18</v>
      </c>
      <c r="G8" s="19">
        <v>51551.958767942597</v>
      </c>
      <c r="H8" s="19">
        <f t="shared" si="0"/>
        <v>2863.9977093301441</v>
      </c>
      <c r="I8" s="19">
        <f t="shared" si="1"/>
        <v>601.43951895933026</v>
      </c>
      <c r="J8" s="19">
        <f t="shared" si="2"/>
        <v>3465.4372282894742</v>
      </c>
      <c r="K8" s="19">
        <f t="shared" si="3"/>
        <v>1143.5942853355266</v>
      </c>
      <c r="L8" s="19">
        <f t="shared" si="4"/>
        <v>4609.031513625001</v>
      </c>
      <c r="M8" s="19">
        <f t="shared" si="5"/>
        <v>1843.6126054500005</v>
      </c>
      <c r="N8" s="20">
        <f t="shared" si="6"/>
        <v>6452.6441190750011</v>
      </c>
    </row>
    <row r="9" spans="2:14" x14ac:dyDescent="0.25">
      <c r="B9" s="22">
        <v>100516169</v>
      </c>
      <c r="C9" s="23" t="s">
        <v>18</v>
      </c>
      <c r="D9" s="16">
        <v>7790360967961</v>
      </c>
      <c r="E9" s="17">
        <v>5.76</v>
      </c>
      <c r="F9" s="18">
        <v>18</v>
      </c>
      <c r="G9" s="19">
        <v>47534.511197250016</v>
      </c>
      <c r="H9" s="19">
        <f t="shared" si="0"/>
        <v>2640.8061776250011</v>
      </c>
      <c r="I9" s="19">
        <f t="shared" si="1"/>
        <v>554.56929730125023</v>
      </c>
      <c r="J9" s="19">
        <f t="shared" si="2"/>
        <v>3195.3754749262512</v>
      </c>
      <c r="K9" s="19">
        <f t="shared" si="3"/>
        <v>1054.473906725663</v>
      </c>
      <c r="L9" s="19">
        <f t="shared" si="4"/>
        <v>4249.849381651914</v>
      </c>
      <c r="M9" s="19">
        <f t="shared" si="5"/>
        <v>1699.9397526607656</v>
      </c>
      <c r="N9" s="20">
        <f t="shared" si="6"/>
        <v>5949.7891343126794</v>
      </c>
    </row>
    <row r="10" spans="2:14" x14ac:dyDescent="0.25">
      <c r="B10" s="22">
        <v>100520337</v>
      </c>
      <c r="C10" s="23" t="s">
        <v>19</v>
      </c>
      <c r="D10" s="16">
        <v>7790360977960</v>
      </c>
      <c r="E10" s="17">
        <v>4.8</v>
      </c>
      <c r="F10" s="18">
        <v>30</v>
      </c>
      <c r="G10" s="19">
        <v>28147.378887559815</v>
      </c>
      <c r="H10" s="19">
        <f>+G10/F10</f>
        <v>938.24596291866044</v>
      </c>
      <c r="I10" s="19">
        <f>+H10*I$3</f>
        <v>197.03165221291869</v>
      </c>
      <c r="J10" s="19">
        <f>+H10+I10</f>
        <v>1135.2776151315791</v>
      </c>
      <c r="K10" s="19">
        <f>+J10*K$3</f>
        <v>374.64161299342112</v>
      </c>
      <c r="L10" s="19">
        <f>+J10+K10</f>
        <v>1509.9192281250002</v>
      </c>
      <c r="M10" s="19">
        <f>+L10*M$3</f>
        <v>603.96769125000014</v>
      </c>
      <c r="N10" s="20">
        <f>+L10+M10</f>
        <v>2113.8869193750006</v>
      </c>
    </row>
    <row r="11" spans="2:14" x14ac:dyDescent="0.25">
      <c r="B11" s="22">
        <v>100021503</v>
      </c>
      <c r="C11" s="23" t="s">
        <v>20</v>
      </c>
      <c r="D11" s="16">
        <v>7790360966841</v>
      </c>
      <c r="E11" s="17">
        <v>3.3119999999999998</v>
      </c>
      <c r="F11" s="18">
        <v>12</v>
      </c>
      <c r="G11" s="19">
        <v>20900.325358851685</v>
      </c>
      <c r="H11" s="19">
        <f t="shared" si="0"/>
        <v>1741.6937799043071</v>
      </c>
      <c r="I11" s="19">
        <f t="shared" si="1"/>
        <v>365.7556937799045</v>
      </c>
      <c r="J11" s="19">
        <f t="shared" si="2"/>
        <v>2107.4494736842116</v>
      </c>
      <c r="K11" s="19">
        <f t="shared" si="3"/>
        <v>695.45832631578992</v>
      </c>
      <c r="L11" s="19">
        <f t="shared" si="4"/>
        <v>2802.9078000000018</v>
      </c>
      <c r="M11" s="19">
        <f t="shared" si="5"/>
        <v>1121.1631200000008</v>
      </c>
      <c r="N11" s="20">
        <f t="shared" si="6"/>
        <v>3924.0709200000028</v>
      </c>
    </row>
    <row r="12" spans="2:14" x14ac:dyDescent="0.25">
      <c r="B12" s="22">
        <v>100516201</v>
      </c>
      <c r="C12" s="23" t="s">
        <v>21</v>
      </c>
      <c r="D12" s="16">
        <v>7790360968548</v>
      </c>
      <c r="E12" s="17">
        <v>6.6239999999999997</v>
      </c>
      <c r="F12" s="18">
        <v>8</v>
      </c>
      <c r="G12" s="19">
        <v>39472.682627368442</v>
      </c>
      <c r="H12" s="19">
        <f t="shared" si="0"/>
        <v>4934.0853284210552</v>
      </c>
      <c r="I12" s="19">
        <f t="shared" si="1"/>
        <v>1036.1579189684217</v>
      </c>
      <c r="J12" s="19">
        <f t="shared" si="2"/>
        <v>5970.2432473894769</v>
      </c>
      <c r="K12" s="19">
        <f t="shared" si="3"/>
        <v>1970.1802716385275</v>
      </c>
      <c r="L12" s="19">
        <f t="shared" si="4"/>
        <v>7940.4235190280042</v>
      </c>
      <c r="M12" s="19">
        <f t="shared" si="5"/>
        <v>3176.1694076112017</v>
      </c>
      <c r="N12" s="20">
        <f t="shared" si="6"/>
        <v>11116.592926639205</v>
      </c>
    </row>
    <row r="13" spans="2:14" x14ac:dyDescent="0.25">
      <c r="B13" s="22">
        <v>100021643</v>
      </c>
      <c r="C13" s="23" t="s">
        <v>22</v>
      </c>
      <c r="D13" s="16">
        <v>7790360966797</v>
      </c>
      <c r="E13" s="17">
        <v>4.7039999999999997</v>
      </c>
      <c r="F13" s="18">
        <v>42</v>
      </c>
      <c r="G13" s="19">
        <v>28485.645933014363</v>
      </c>
      <c r="H13" s="19">
        <f t="shared" si="0"/>
        <v>678.22966507177057</v>
      </c>
      <c r="I13" s="19">
        <f t="shared" si="1"/>
        <v>142.42822966507183</v>
      </c>
      <c r="J13" s="19">
        <f t="shared" si="2"/>
        <v>820.65789473684242</v>
      </c>
      <c r="K13" s="19">
        <f t="shared" si="3"/>
        <v>270.817105263158</v>
      </c>
      <c r="L13" s="19">
        <f t="shared" si="4"/>
        <v>1091.4750000000004</v>
      </c>
      <c r="M13" s="19">
        <f t="shared" si="5"/>
        <v>436.59000000000015</v>
      </c>
      <c r="N13" s="20">
        <f t="shared" si="6"/>
        <v>1528.0650000000005</v>
      </c>
    </row>
    <row r="14" spans="2:14" x14ac:dyDescent="0.25">
      <c r="B14" s="22">
        <v>100516325</v>
      </c>
      <c r="C14" s="23" t="s">
        <v>23</v>
      </c>
      <c r="D14" s="16">
        <v>7790360967763</v>
      </c>
      <c r="E14" s="17">
        <v>4.7039999999999997</v>
      </c>
      <c r="F14" s="18">
        <v>21</v>
      </c>
      <c r="G14" s="19">
        <v>27704.095546860721</v>
      </c>
      <c r="H14" s="19">
        <f t="shared" si="0"/>
        <v>1319.2426450886057</v>
      </c>
      <c r="I14" s="19">
        <f t="shared" si="1"/>
        <v>277.04095546860719</v>
      </c>
      <c r="J14" s="19">
        <f t="shared" si="2"/>
        <v>1596.283600557213</v>
      </c>
      <c r="K14" s="19">
        <f t="shared" si="3"/>
        <v>526.77358818388029</v>
      </c>
      <c r="L14" s="19">
        <f t="shared" si="4"/>
        <v>2123.0571887410933</v>
      </c>
      <c r="M14" s="19">
        <f t="shared" si="5"/>
        <v>849.22287549643738</v>
      </c>
      <c r="N14" s="20">
        <f t="shared" si="6"/>
        <v>2972.2800642375305</v>
      </c>
    </row>
    <row r="15" spans="2:14" x14ac:dyDescent="0.25">
      <c r="B15" s="22">
        <v>100021676</v>
      </c>
      <c r="C15" s="23" t="s">
        <v>24</v>
      </c>
      <c r="D15" s="16">
        <v>7790360967411</v>
      </c>
      <c r="E15" s="17">
        <v>7.5</v>
      </c>
      <c r="F15" s="18">
        <v>30</v>
      </c>
      <c r="G15" s="19">
        <v>61188.927342927658</v>
      </c>
      <c r="H15" s="19">
        <f t="shared" si="0"/>
        <v>2039.630911430922</v>
      </c>
      <c r="I15" s="19">
        <f t="shared" si="1"/>
        <v>428.32249140049362</v>
      </c>
      <c r="J15" s="19">
        <f t="shared" si="2"/>
        <v>2467.9534028314156</v>
      </c>
      <c r="K15" s="19">
        <f t="shared" si="3"/>
        <v>814.42462293436722</v>
      </c>
      <c r="L15" s="19">
        <f t="shared" si="4"/>
        <v>3282.3780257657827</v>
      </c>
      <c r="M15" s="19">
        <f t="shared" si="5"/>
        <v>1312.9512103063132</v>
      </c>
      <c r="N15" s="20">
        <f t="shared" si="6"/>
        <v>4595.3292360720961</v>
      </c>
    </row>
    <row r="16" spans="2:14" x14ac:dyDescent="0.25">
      <c r="B16" s="22">
        <v>100516008</v>
      </c>
      <c r="C16" s="23" t="s">
        <v>25</v>
      </c>
      <c r="D16" s="16">
        <v>7790360967701</v>
      </c>
      <c r="E16" s="17">
        <v>5.76</v>
      </c>
      <c r="F16" s="18">
        <v>24</v>
      </c>
      <c r="G16" s="19">
        <v>60720.964014071069</v>
      </c>
      <c r="H16" s="19">
        <f t="shared" si="0"/>
        <v>2530.0401672529611</v>
      </c>
      <c r="I16" s="19">
        <f t="shared" si="1"/>
        <v>531.30843512312185</v>
      </c>
      <c r="J16" s="19">
        <f t="shared" si="2"/>
        <v>3061.3486023760829</v>
      </c>
      <c r="K16" s="19">
        <f t="shared" si="3"/>
        <v>1010.2450387841074</v>
      </c>
      <c r="L16" s="19">
        <f t="shared" si="4"/>
        <v>4071.5936411601901</v>
      </c>
      <c r="M16" s="19">
        <f t="shared" si="5"/>
        <v>1628.6374564640762</v>
      </c>
      <c r="N16" s="20">
        <f t="shared" si="6"/>
        <v>5700.2310976242661</v>
      </c>
    </row>
    <row r="17" spans="2:14" x14ac:dyDescent="0.25">
      <c r="B17" s="22">
        <v>100520834</v>
      </c>
      <c r="C17" s="23" t="s">
        <v>26</v>
      </c>
      <c r="D17" s="16">
        <v>7790360980618</v>
      </c>
      <c r="E17" s="17">
        <v>6.66</v>
      </c>
      <c r="F17" s="18">
        <v>36</v>
      </c>
      <c r="G17" s="19">
        <v>70938.061645133319</v>
      </c>
      <c r="H17" s="19">
        <f>+G17/F17</f>
        <v>1970.5017123648145</v>
      </c>
      <c r="I17" s="19">
        <f>+H17*I$3</f>
        <v>413.80535959661103</v>
      </c>
      <c r="J17" s="19">
        <f>+H17+I17</f>
        <v>2384.3070719614257</v>
      </c>
      <c r="K17" s="19">
        <f>+J17*K$3</f>
        <v>786.8213337472705</v>
      </c>
      <c r="L17" s="19">
        <f>+J17+K17</f>
        <v>3171.1284057086959</v>
      </c>
      <c r="M17" s="19">
        <f>+L17*M$3</f>
        <v>1268.4513622834784</v>
      </c>
      <c r="N17" s="20">
        <f>+L17+M17</f>
        <v>4439.5797679921743</v>
      </c>
    </row>
    <row r="18" spans="2:14" x14ac:dyDescent="0.25">
      <c r="B18" s="22">
        <v>100021680</v>
      </c>
      <c r="C18" s="23" t="s">
        <v>27</v>
      </c>
      <c r="D18" s="16">
        <v>7790360967688</v>
      </c>
      <c r="E18" s="17">
        <v>4.32</v>
      </c>
      <c r="F18" s="18">
        <v>18</v>
      </c>
      <c r="G18" s="19">
        <v>54046.264373683916</v>
      </c>
      <c r="H18" s="19">
        <f t="shared" si="0"/>
        <v>3002.5702429824396</v>
      </c>
      <c r="I18" s="19">
        <f t="shared" si="1"/>
        <v>630.53975102631227</v>
      </c>
      <c r="J18" s="19">
        <f t="shared" si="2"/>
        <v>3633.109994008752</v>
      </c>
      <c r="K18" s="19">
        <f t="shared" si="3"/>
        <v>1198.9262980228882</v>
      </c>
      <c r="L18" s="19">
        <f t="shared" si="4"/>
        <v>4832.0362920316402</v>
      </c>
      <c r="M18" s="19">
        <f t="shared" si="5"/>
        <v>1932.8145168126562</v>
      </c>
      <c r="N18" s="20">
        <f t="shared" si="6"/>
        <v>6764.8508088442959</v>
      </c>
    </row>
    <row r="19" spans="2:14" x14ac:dyDescent="0.25">
      <c r="B19" s="22">
        <v>100021644</v>
      </c>
      <c r="C19" s="23" t="s">
        <v>28</v>
      </c>
      <c r="D19" s="16">
        <v>7790360008541</v>
      </c>
      <c r="E19" s="17">
        <v>4.7039999999999997</v>
      </c>
      <c r="F19" s="18">
        <v>42</v>
      </c>
      <c r="G19" s="19">
        <v>18822.25240696024</v>
      </c>
      <c r="H19" s="19">
        <f t="shared" si="0"/>
        <v>448.14886683238666</v>
      </c>
      <c r="I19" s="19">
        <f t="shared" si="1"/>
        <v>94.1112620348012</v>
      </c>
      <c r="J19" s="19">
        <f t="shared" si="2"/>
        <v>542.26012886718786</v>
      </c>
      <c r="K19" s="19">
        <f>+J19*0.33</f>
        <v>178.94584252617202</v>
      </c>
      <c r="L19" s="19">
        <f t="shared" si="4"/>
        <v>721.20597139335985</v>
      </c>
      <c r="M19" s="19">
        <f t="shared" si="5"/>
        <v>288.48238855734394</v>
      </c>
      <c r="N19" s="20">
        <f t="shared" si="6"/>
        <v>1009.6883599507038</v>
      </c>
    </row>
    <row r="20" spans="2:14" x14ac:dyDescent="0.25">
      <c r="B20" s="22">
        <v>100021677</v>
      </c>
      <c r="C20" s="23" t="s">
        <v>29</v>
      </c>
      <c r="D20" s="16">
        <v>7790360967404</v>
      </c>
      <c r="E20" s="17">
        <v>3.3119999999999998</v>
      </c>
      <c r="F20" s="18">
        <v>12</v>
      </c>
      <c r="G20" s="19">
        <v>17616.947727272734</v>
      </c>
      <c r="H20" s="19">
        <f t="shared" si="0"/>
        <v>1468.0789772727278</v>
      </c>
      <c r="I20" s="19">
        <f t="shared" si="1"/>
        <v>308.29658522727283</v>
      </c>
      <c r="J20" s="19">
        <f t="shared" si="2"/>
        <v>1776.3755625000006</v>
      </c>
      <c r="K20" s="19">
        <f>+J20*0.33</f>
        <v>586.20393562500021</v>
      </c>
      <c r="L20" s="19">
        <f t="shared" si="4"/>
        <v>2362.579498125001</v>
      </c>
      <c r="M20" s="19">
        <f t="shared" si="5"/>
        <v>945.0317992500004</v>
      </c>
      <c r="N20" s="20">
        <f t="shared" si="6"/>
        <v>3307.6112973750014</v>
      </c>
    </row>
    <row r="21" spans="2:14" x14ac:dyDescent="0.25">
      <c r="B21" s="22">
        <v>100021638</v>
      </c>
      <c r="C21" s="23" t="s">
        <v>30</v>
      </c>
      <c r="D21" s="16">
        <v>7790360026699</v>
      </c>
      <c r="E21" s="17">
        <v>4.8</v>
      </c>
      <c r="F21" s="18">
        <v>60</v>
      </c>
      <c r="G21" s="19">
        <v>50422.13177716358</v>
      </c>
      <c r="H21" s="19">
        <f t="shared" si="0"/>
        <v>840.36886295272632</v>
      </c>
      <c r="I21" s="19">
        <f t="shared" si="1"/>
        <v>176.47746122007251</v>
      </c>
      <c r="J21" s="19">
        <f t="shared" si="2"/>
        <v>1016.8463241727989</v>
      </c>
      <c r="K21" s="19">
        <f t="shared" si="3"/>
        <v>335.55928697702365</v>
      </c>
      <c r="L21" s="19">
        <f t="shared" si="4"/>
        <v>1352.4056111498226</v>
      </c>
      <c r="M21" s="19">
        <f t="shared" si="5"/>
        <v>540.96224445992902</v>
      </c>
      <c r="N21" s="20">
        <f t="shared" si="6"/>
        <v>1893.3678556097516</v>
      </c>
    </row>
    <row r="22" spans="2:14" x14ac:dyDescent="0.25">
      <c r="B22" s="22">
        <v>100021575</v>
      </c>
      <c r="C22" s="23" t="s">
        <v>31</v>
      </c>
      <c r="D22" s="16">
        <v>7790360007032</v>
      </c>
      <c r="E22" s="17">
        <v>4.1399999999999997</v>
      </c>
      <c r="F22" s="18">
        <v>60</v>
      </c>
      <c r="G22" s="19">
        <v>42588.344784787107</v>
      </c>
      <c r="H22" s="19">
        <f t="shared" si="0"/>
        <v>709.80574641311841</v>
      </c>
      <c r="I22" s="19">
        <f t="shared" si="1"/>
        <v>149.05920674675485</v>
      </c>
      <c r="J22" s="19">
        <f t="shared" si="2"/>
        <v>858.86495315987327</v>
      </c>
      <c r="K22" s="19">
        <f t="shared" si="3"/>
        <v>283.42543454275818</v>
      </c>
      <c r="L22" s="19">
        <f t="shared" si="4"/>
        <v>1142.2903877026315</v>
      </c>
      <c r="M22" s="19">
        <f t="shared" si="5"/>
        <v>456.91615508105264</v>
      </c>
      <c r="N22" s="20">
        <f t="shared" si="6"/>
        <v>1599.2065427836842</v>
      </c>
    </row>
    <row r="23" spans="2:14" x14ac:dyDescent="0.25">
      <c r="B23" s="22">
        <v>100021514</v>
      </c>
      <c r="C23" s="23" t="s">
        <v>32</v>
      </c>
      <c r="D23" s="16">
        <v>7790360006943</v>
      </c>
      <c r="E23" s="17">
        <v>4.1399999999999997</v>
      </c>
      <c r="F23" s="18">
        <v>60</v>
      </c>
      <c r="G23" s="19">
        <v>39137.336068684825</v>
      </c>
      <c r="H23" s="19">
        <f t="shared" si="0"/>
        <v>652.28893447808036</v>
      </c>
      <c r="I23" s="19">
        <f t="shared" si="1"/>
        <v>136.98067624039686</v>
      </c>
      <c r="J23" s="19">
        <f t="shared" si="2"/>
        <v>789.26961071847722</v>
      </c>
      <c r="K23" s="19">
        <f t="shared" si="3"/>
        <v>260.45897153709751</v>
      </c>
      <c r="L23" s="19">
        <f t="shared" si="4"/>
        <v>1049.7285822555748</v>
      </c>
      <c r="M23" s="19">
        <f t="shared" si="5"/>
        <v>419.89143290222995</v>
      </c>
      <c r="N23" s="20">
        <f t="shared" si="6"/>
        <v>1469.6200151578048</v>
      </c>
    </row>
    <row r="24" spans="2:14" x14ac:dyDescent="0.25">
      <c r="B24" s="21">
        <v>100516208</v>
      </c>
      <c r="C24" s="24" t="s">
        <v>33</v>
      </c>
      <c r="D24" s="25">
        <v>7790360968203</v>
      </c>
      <c r="E24" s="17">
        <f>60*0.08</f>
        <v>4.8</v>
      </c>
      <c r="F24" s="18">
        <v>60</v>
      </c>
      <c r="G24" s="19">
        <v>44913.618471099166</v>
      </c>
      <c r="H24" s="19">
        <f t="shared" si="0"/>
        <v>748.56030785165274</v>
      </c>
      <c r="I24" s="19">
        <f t="shared" si="1"/>
        <v>157.19766464884708</v>
      </c>
      <c r="J24" s="19">
        <f t="shared" si="2"/>
        <v>905.75797250049982</v>
      </c>
      <c r="K24" s="19">
        <f t="shared" si="3"/>
        <v>298.90013092516494</v>
      </c>
      <c r="L24" s="19">
        <f t="shared" si="4"/>
        <v>1204.6581034256646</v>
      </c>
      <c r="M24" s="19">
        <f t="shared" si="5"/>
        <v>481.86324137026588</v>
      </c>
      <c r="N24" s="20">
        <f t="shared" si="6"/>
        <v>1686.5213447959304</v>
      </c>
    </row>
    <row r="25" spans="2:14" x14ac:dyDescent="0.25">
      <c r="B25" s="22">
        <v>100518346</v>
      </c>
      <c r="C25" s="23" t="s">
        <v>34</v>
      </c>
      <c r="D25" s="16"/>
      <c r="E25" s="17">
        <v>6.54</v>
      </c>
      <c r="F25" s="18">
        <v>60</v>
      </c>
      <c r="G25" s="19">
        <v>64856.371731996311</v>
      </c>
      <c r="H25" s="19">
        <f t="shared" si="0"/>
        <v>1080.9395288666051</v>
      </c>
      <c r="I25" s="19">
        <f t="shared" si="1"/>
        <v>226.99730106198706</v>
      </c>
      <c r="J25" s="19">
        <f t="shared" si="2"/>
        <v>1307.936829928592</v>
      </c>
      <c r="K25" s="19">
        <f t="shared" si="3"/>
        <v>431.6191538764354</v>
      </c>
      <c r="L25" s="19">
        <f t="shared" si="4"/>
        <v>1739.5559838050274</v>
      </c>
      <c r="M25" s="19">
        <f t="shared" si="5"/>
        <v>695.822393522011</v>
      </c>
      <c r="N25" s="20">
        <f t="shared" si="6"/>
        <v>2435.3783773270384</v>
      </c>
    </row>
    <row r="26" spans="2:14" x14ac:dyDescent="0.25">
      <c r="B26" s="22">
        <v>100516259</v>
      </c>
      <c r="C26" s="23" t="s">
        <v>35</v>
      </c>
      <c r="D26" s="16">
        <v>7790360968340</v>
      </c>
      <c r="E26" s="17">
        <v>18.16</v>
      </c>
      <c r="F26" s="18">
        <v>48</v>
      </c>
      <c r="G26" s="19">
        <v>145463.96537086758</v>
      </c>
      <c r="H26" s="19">
        <f t="shared" si="0"/>
        <v>3030.499278559741</v>
      </c>
      <c r="I26" s="19">
        <f t="shared" si="1"/>
        <v>636.40484849754557</v>
      </c>
      <c r="J26" s="19">
        <f t="shared" si="2"/>
        <v>3666.9041270572866</v>
      </c>
      <c r="K26" s="19">
        <f t="shared" si="3"/>
        <v>1210.0783619289045</v>
      </c>
      <c r="L26" s="19">
        <f t="shared" si="4"/>
        <v>4876.9824889861911</v>
      </c>
      <c r="M26" s="19">
        <f t="shared" si="5"/>
        <v>1950.7929955944765</v>
      </c>
      <c r="N26" s="20">
        <f t="shared" si="6"/>
        <v>6827.7754845806676</v>
      </c>
    </row>
    <row r="27" spans="2:14" x14ac:dyDescent="0.25">
      <c r="B27" s="26">
        <v>100518095</v>
      </c>
      <c r="C27" s="23" t="s">
        <v>36</v>
      </c>
      <c r="D27" s="16">
        <v>7790360974785</v>
      </c>
      <c r="E27" s="17">
        <v>6.66</v>
      </c>
      <c r="F27" s="18">
        <v>36</v>
      </c>
      <c r="G27" s="19">
        <v>72476.90861984581</v>
      </c>
      <c r="H27" s="19">
        <f t="shared" si="0"/>
        <v>2013.2474616623836</v>
      </c>
      <c r="I27" s="19">
        <f t="shared" si="1"/>
        <v>422.78196694910054</v>
      </c>
      <c r="J27" s="19">
        <f t="shared" si="2"/>
        <v>2436.029428611484</v>
      </c>
      <c r="K27" s="19">
        <f t="shared" si="3"/>
        <v>803.88971144178981</v>
      </c>
      <c r="L27" s="19">
        <f t="shared" si="4"/>
        <v>3239.9191400532736</v>
      </c>
      <c r="M27" s="19">
        <f t="shared" si="5"/>
        <v>1295.9676560213095</v>
      </c>
      <c r="N27" s="20">
        <f t="shared" si="6"/>
        <v>4535.8867960745829</v>
      </c>
    </row>
    <row r="28" spans="2:14" x14ac:dyDescent="0.25">
      <c r="B28" s="22">
        <v>100518223</v>
      </c>
      <c r="C28" s="23" t="s">
        <v>37</v>
      </c>
      <c r="D28" s="16">
        <v>7790360975065</v>
      </c>
      <c r="E28" s="17">
        <f>60*0.106</f>
        <v>6.3599999999999994</v>
      </c>
      <c r="F28" s="18">
        <v>30</v>
      </c>
      <c r="G28" s="19">
        <v>56427.301230407531</v>
      </c>
      <c r="H28" s="19">
        <f t="shared" si="0"/>
        <v>1880.9100410135843</v>
      </c>
      <c r="I28" s="19">
        <f t="shared" si="1"/>
        <v>394.99110861285271</v>
      </c>
      <c r="J28" s="19">
        <f t="shared" si="2"/>
        <v>2275.901149626437</v>
      </c>
      <c r="K28" s="19">
        <f t="shared" si="3"/>
        <v>751.04737937672428</v>
      </c>
      <c r="L28" s="19">
        <f t="shared" si="4"/>
        <v>3026.9485290031612</v>
      </c>
      <c r="M28" s="19">
        <f t="shared" si="5"/>
        <v>1210.7794116012644</v>
      </c>
      <c r="N28" s="20">
        <f t="shared" si="6"/>
        <v>4237.7279406044254</v>
      </c>
    </row>
    <row r="29" spans="2:14" x14ac:dyDescent="0.25">
      <c r="B29" s="27"/>
      <c r="C29" s="28"/>
      <c r="D29" s="29"/>
      <c r="E29" s="28"/>
      <c r="F29" s="30"/>
      <c r="G29" s="30" t="e">
        <v>#VALUE!</v>
      </c>
      <c r="H29" s="31" t="e">
        <f t="shared" si="0"/>
        <v>#VALUE!</v>
      </c>
      <c r="I29" s="32">
        <v>0.21</v>
      </c>
      <c r="J29" s="31"/>
      <c r="K29" s="32">
        <v>0.35</v>
      </c>
      <c r="L29" s="31"/>
      <c r="M29" s="32">
        <v>0.5</v>
      </c>
      <c r="N29" s="33"/>
    </row>
    <row r="30" spans="2:14" x14ac:dyDescent="0.25">
      <c r="B30" s="22">
        <v>100022085</v>
      </c>
      <c r="C30" s="23" t="s">
        <v>38</v>
      </c>
      <c r="D30" s="16">
        <v>7790360000132</v>
      </c>
      <c r="E30" s="17">
        <v>5.4</v>
      </c>
      <c r="F30" s="18">
        <v>24</v>
      </c>
      <c r="G30" s="19">
        <v>21970.510692315205</v>
      </c>
      <c r="H30" s="19">
        <f t="shared" si="0"/>
        <v>915.43794551313351</v>
      </c>
      <c r="I30" s="19">
        <f t="shared" si="1"/>
        <v>192.24196855775804</v>
      </c>
      <c r="J30" s="19">
        <f t="shared" si="2"/>
        <v>1107.6799140708915</v>
      </c>
      <c r="K30" s="19">
        <f t="shared" si="3"/>
        <v>365.53437164339419</v>
      </c>
      <c r="L30" s="19">
        <f t="shared" si="4"/>
        <v>1473.2142857142858</v>
      </c>
      <c r="M30" s="19">
        <f t="shared" si="5"/>
        <v>589.28571428571433</v>
      </c>
      <c r="N30" s="20">
        <f t="shared" si="6"/>
        <v>2062.5</v>
      </c>
    </row>
    <row r="31" spans="2:14" x14ac:dyDescent="0.25">
      <c r="B31" s="22">
        <v>100522204</v>
      </c>
      <c r="C31" s="23" t="s">
        <v>38</v>
      </c>
      <c r="D31" s="16">
        <v>7790360983947</v>
      </c>
      <c r="E31" s="17">
        <v>5.4</v>
      </c>
      <c r="F31" s="18">
        <v>24</v>
      </c>
      <c r="G31" s="19">
        <v>21970.510692315205</v>
      </c>
      <c r="H31" s="19">
        <f t="shared" si="0"/>
        <v>915.43794551313351</v>
      </c>
      <c r="I31" s="19">
        <f t="shared" si="1"/>
        <v>192.24196855775804</v>
      </c>
      <c r="J31" s="19">
        <f t="shared" si="2"/>
        <v>1107.6799140708915</v>
      </c>
      <c r="K31" s="19">
        <f t="shared" si="3"/>
        <v>365.53437164339419</v>
      </c>
      <c r="L31" s="19">
        <f t="shared" si="4"/>
        <v>1473.2142857142858</v>
      </c>
      <c r="M31" s="19">
        <f t="shared" si="5"/>
        <v>589.28571428571433</v>
      </c>
      <c r="N31" s="20">
        <f t="shared" si="6"/>
        <v>2062.5</v>
      </c>
    </row>
    <row r="32" spans="2:14" x14ac:dyDescent="0.25">
      <c r="B32" s="22">
        <v>100022072</v>
      </c>
      <c r="C32" s="23" t="s">
        <v>39</v>
      </c>
      <c r="D32" s="16">
        <v>7790360024541</v>
      </c>
      <c r="E32" s="17">
        <v>5.4</v>
      </c>
      <c r="F32" s="18">
        <v>12</v>
      </c>
      <c r="G32" s="19">
        <v>20871.985157699444</v>
      </c>
      <c r="H32" s="19">
        <f t="shared" si="0"/>
        <v>1739.3320964749537</v>
      </c>
      <c r="I32" s="19">
        <f t="shared" si="1"/>
        <v>365.25974025974028</v>
      </c>
      <c r="J32" s="19">
        <f t="shared" si="2"/>
        <v>2104.591836734694</v>
      </c>
      <c r="K32" s="19">
        <f t="shared" si="3"/>
        <v>694.51530612244903</v>
      </c>
      <c r="L32" s="19">
        <f t="shared" si="4"/>
        <v>2799.1071428571431</v>
      </c>
      <c r="M32" s="19">
        <f t="shared" si="5"/>
        <v>1119.6428571428573</v>
      </c>
      <c r="N32" s="20">
        <f t="shared" si="6"/>
        <v>3918.7500000000005</v>
      </c>
    </row>
    <row r="33" spans="2:14" x14ac:dyDescent="0.25">
      <c r="B33" s="22">
        <v>100522205</v>
      </c>
      <c r="C33" s="23" t="s">
        <v>39</v>
      </c>
      <c r="D33" s="16">
        <v>7790360983954</v>
      </c>
      <c r="E33" s="17">
        <v>5.4</v>
      </c>
      <c r="F33" s="18">
        <v>12</v>
      </c>
      <c r="G33" s="19">
        <v>20871.985157699444</v>
      </c>
      <c r="H33" s="19">
        <f t="shared" si="0"/>
        <v>1739.3320964749537</v>
      </c>
      <c r="I33" s="19">
        <f t="shared" si="1"/>
        <v>365.25974025974028</v>
      </c>
      <c r="J33" s="19">
        <f t="shared" si="2"/>
        <v>2104.591836734694</v>
      </c>
      <c r="K33" s="19">
        <f t="shared" si="3"/>
        <v>694.51530612244903</v>
      </c>
      <c r="L33" s="19">
        <f t="shared" si="4"/>
        <v>2799.1071428571431</v>
      </c>
      <c r="M33" s="19">
        <f t="shared" si="5"/>
        <v>1119.6428571428573</v>
      </c>
      <c r="N33" s="20">
        <f t="shared" si="6"/>
        <v>3918.7500000000005</v>
      </c>
    </row>
    <row r="34" spans="2:14" x14ac:dyDescent="0.25">
      <c r="B34" s="22">
        <v>100516849</v>
      </c>
      <c r="C34" s="23" t="s">
        <v>40</v>
      </c>
      <c r="D34" s="16">
        <v>7790360970053</v>
      </c>
      <c r="E34" s="17">
        <v>4.5599999990400004</v>
      </c>
      <c r="F34" s="18">
        <v>24</v>
      </c>
      <c r="G34" s="19">
        <v>17576.408553852165</v>
      </c>
      <c r="H34" s="19">
        <f t="shared" si="0"/>
        <v>732.35035641050683</v>
      </c>
      <c r="I34" s="19">
        <f t="shared" si="1"/>
        <v>153.79357484620644</v>
      </c>
      <c r="J34" s="19">
        <f t="shared" si="2"/>
        <v>886.14393125671324</v>
      </c>
      <c r="K34" s="19">
        <f t="shared" si="3"/>
        <v>292.42749731471537</v>
      </c>
      <c r="L34" s="19">
        <f t="shared" si="4"/>
        <v>1178.5714285714287</v>
      </c>
      <c r="M34" s="19">
        <f t="shared" si="5"/>
        <v>471.4285714285715</v>
      </c>
      <c r="N34" s="20">
        <f t="shared" si="6"/>
        <v>1650.0000000000002</v>
      </c>
    </row>
    <row r="35" spans="2:14" x14ac:dyDescent="0.25">
      <c r="B35" s="22">
        <v>100022039</v>
      </c>
      <c r="C35" s="23" t="s">
        <v>41</v>
      </c>
      <c r="D35" s="16">
        <v>7790360007063</v>
      </c>
      <c r="E35" s="17">
        <v>8.6999999999999993</v>
      </c>
      <c r="F35" s="18">
        <v>10</v>
      </c>
      <c r="G35" s="19">
        <v>52385.600303146959</v>
      </c>
      <c r="H35" s="19">
        <f t="shared" si="0"/>
        <v>5238.5600303146957</v>
      </c>
      <c r="I35" s="19">
        <f t="shared" si="1"/>
        <v>1100.097606366086</v>
      </c>
      <c r="J35" s="19">
        <f t="shared" si="2"/>
        <v>6338.6576366807822</v>
      </c>
      <c r="K35" s="19">
        <f t="shared" si="3"/>
        <v>2091.7570201046583</v>
      </c>
      <c r="L35" s="19">
        <f t="shared" si="4"/>
        <v>8430.4146567854405</v>
      </c>
      <c r="M35" s="19">
        <f t="shared" si="5"/>
        <v>3372.1658627141765</v>
      </c>
      <c r="N35" s="20">
        <f t="shared" si="6"/>
        <v>11802.580519499617</v>
      </c>
    </row>
    <row r="36" spans="2:14" x14ac:dyDescent="0.25">
      <c r="B36" s="22">
        <v>100522206</v>
      </c>
      <c r="C36" s="23" t="s">
        <v>41</v>
      </c>
      <c r="D36" s="16">
        <v>7790360983961</v>
      </c>
      <c r="E36" s="17">
        <v>8.6999999999999993</v>
      </c>
      <c r="F36" s="18">
        <v>10</v>
      </c>
      <c r="G36" s="19">
        <v>52385.600303146959</v>
      </c>
      <c r="H36" s="19">
        <f t="shared" si="0"/>
        <v>5238.5600303146957</v>
      </c>
      <c r="I36" s="19">
        <f t="shared" si="1"/>
        <v>1100.097606366086</v>
      </c>
      <c r="J36" s="19">
        <f t="shared" si="2"/>
        <v>6338.6576366807822</v>
      </c>
      <c r="K36" s="19">
        <f t="shared" si="3"/>
        <v>2091.7570201046583</v>
      </c>
      <c r="L36" s="19">
        <f t="shared" si="4"/>
        <v>8430.4146567854405</v>
      </c>
      <c r="M36" s="19">
        <f t="shared" si="5"/>
        <v>3372.1658627141765</v>
      </c>
      <c r="N36" s="20">
        <f t="shared" si="6"/>
        <v>11802.580519499617</v>
      </c>
    </row>
    <row r="37" spans="2:14" x14ac:dyDescent="0.25">
      <c r="B37" s="22">
        <v>100022058</v>
      </c>
      <c r="C37" s="23" t="s">
        <v>42</v>
      </c>
      <c r="D37" s="16">
        <v>7790360026002</v>
      </c>
      <c r="E37" s="17">
        <v>4.5599999990400004</v>
      </c>
      <c r="F37" s="18">
        <v>24</v>
      </c>
      <c r="G37" s="19">
        <v>17603.103418553557</v>
      </c>
      <c r="H37" s="19">
        <f t="shared" si="0"/>
        <v>733.46264243973155</v>
      </c>
      <c r="I37" s="19">
        <f t="shared" si="1"/>
        <v>154.02715491234363</v>
      </c>
      <c r="J37" s="19">
        <f t="shared" si="2"/>
        <v>887.48979735207513</v>
      </c>
      <c r="K37" s="19">
        <f>+J37*0.33</f>
        <v>292.8716331261848</v>
      </c>
      <c r="L37" s="19">
        <f t="shared" si="4"/>
        <v>1180.36143047826</v>
      </c>
      <c r="M37" s="19">
        <f t="shared" si="5"/>
        <v>472.14457219130401</v>
      </c>
      <c r="N37" s="20">
        <f t="shared" si="6"/>
        <v>1652.5060026695639</v>
      </c>
    </row>
    <row r="38" spans="2:14" x14ac:dyDescent="0.25">
      <c r="B38" s="22">
        <v>100518151</v>
      </c>
      <c r="C38" s="23" t="s">
        <v>43</v>
      </c>
      <c r="D38" s="16">
        <v>7790360974990</v>
      </c>
      <c r="E38" s="17">
        <v>8.6999999999999993</v>
      </c>
      <c r="F38" s="18">
        <v>10</v>
      </c>
      <c r="G38" s="19">
        <v>63817.203759130185</v>
      </c>
      <c r="H38" s="19">
        <f t="shared" si="0"/>
        <v>6381.7203759130189</v>
      </c>
      <c r="I38" s="19">
        <f t="shared" si="1"/>
        <v>1340.1612789417338</v>
      </c>
      <c r="J38" s="19">
        <f t="shared" si="2"/>
        <v>7721.8816548547529</v>
      </c>
      <c r="K38" s="19">
        <f>+J38*0.33</f>
        <v>2548.2209461020684</v>
      </c>
      <c r="L38" s="19">
        <f t="shared" si="4"/>
        <v>10270.102600956821</v>
      </c>
      <c r="M38" s="19">
        <f t="shared" si="5"/>
        <v>4108.0410403827291</v>
      </c>
      <c r="N38" s="20">
        <f t="shared" si="6"/>
        <v>14378.14364133955</v>
      </c>
    </row>
    <row r="39" spans="2:14" x14ac:dyDescent="0.25">
      <c r="B39" s="27"/>
      <c r="C39" s="28"/>
      <c r="D39" s="29"/>
      <c r="E39" s="28"/>
      <c r="F39" s="30"/>
      <c r="G39" s="30" t="e">
        <v>#VALUE!</v>
      </c>
      <c r="H39" s="31" t="e">
        <f t="shared" si="0"/>
        <v>#VALUE!</v>
      </c>
      <c r="I39" s="32">
        <v>0.21</v>
      </c>
      <c r="J39" s="31"/>
      <c r="K39" s="32">
        <v>0.22</v>
      </c>
      <c r="L39" s="31"/>
      <c r="M39" s="32">
        <v>0.35</v>
      </c>
      <c r="N39" s="33"/>
    </row>
    <row r="40" spans="2:14" x14ac:dyDescent="0.25">
      <c r="B40" s="22">
        <v>100021000</v>
      </c>
      <c r="C40" s="23" t="s">
        <v>44</v>
      </c>
      <c r="D40" s="16">
        <v>7790360720382</v>
      </c>
      <c r="E40" s="17">
        <v>2.16</v>
      </c>
      <c r="F40" s="18">
        <v>24</v>
      </c>
      <c r="G40" s="19">
        <v>13579.524837332692</v>
      </c>
      <c r="H40" s="19">
        <f t="shared" si="0"/>
        <v>565.81353488886214</v>
      </c>
      <c r="I40" s="19">
        <f t="shared" si="1"/>
        <v>118.82084232666105</v>
      </c>
      <c r="J40" s="19">
        <f t="shared" si="2"/>
        <v>684.63437721552316</v>
      </c>
      <c r="K40" s="19">
        <f>+J40*K$39</f>
        <v>150.61956298741509</v>
      </c>
      <c r="L40" s="19">
        <f t="shared" si="4"/>
        <v>835.25394020293822</v>
      </c>
      <c r="M40" s="19">
        <f>+L40*M$39</f>
        <v>292.33887907102837</v>
      </c>
      <c r="N40" s="20">
        <f t="shared" si="6"/>
        <v>1127.5928192739666</v>
      </c>
    </row>
    <row r="41" spans="2:14" x14ac:dyDescent="0.25">
      <c r="B41" s="22">
        <v>100021001</v>
      </c>
      <c r="C41" s="23" t="s">
        <v>45</v>
      </c>
      <c r="D41" s="16">
        <v>7790360720115</v>
      </c>
      <c r="E41" s="17">
        <v>2.16</v>
      </c>
      <c r="F41" s="18">
        <v>24</v>
      </c>
      <c r="G41" s="19">
        <v>13579.524837332692</v>
      </c>
      <c r="H41" s="19">
        <f t="shared" si="0"/>
        <v>565.81353488886214</v>
      </c>
      <c r="I41" s="19">
        <f t="shared" si="1"/>
        <v>118.82084232666105</v>
      </c>
      <c r="J41" s="19">
        <f t="shared" si="2"/>
        <v>684.63437721552316</v>
      </c>
      <c r="K41" s="19">
        <f t="shared" ref="K41:K56" si="7">+J41*K$39</f>
        <v>150.61956298741509</v>
      </c>
      <c r="L41" s="19">
        <f t="shared" si="4"/>
        <v>835.25394020293822</v>
      </c>
      <c r="M41" s="19">
        <f t="shared" ref="M41:M56" si="8">+L41*M$39</f>
        <v>292.33887907102837</v>
      </c>
      <c r="N41" s="20">
        <f t="shared" si="6"/>
        <v>1127.5928192739666</v>
      </c>
    </row>
    <row r="42" spans="2:14" x14ac:dyDescent="0.25">
      <c r="B42" s="26">
        <v>100522277</v>
      </c>
      <c r="C42" s="23" t="s">
        <v>46</v>
      </c>
      <c r="D42" s="16"/>
      <c r="E42" s="17">
        <v>2.16</v>
      </c>
      <c r="F42" s="18">
        <v>24</v>
      </c>
      <c r="G42" s="19">
        <v>13579.524837332692</v>
      </c>
      <c r="H42" s="19">
        <f t="shared" si="0"/>
        <v>565.81353488886214</v>
      </c>
      <c r="I42" s="19">
        <f t="shared" si="1"/>
        <v>118.82084232666105</v>
      </c>
      <c r="J42" s="19">
        <f t="shared" si="2"/>
        <v>684.63437721552316</v>
      </c>
      <c r="K42" s="19">
        <f t="shared" si="7"/>
        <v>150.61956298741509</v>
      </c>
      <c r="L42" s="19">
        <f t="shared" si="4"/>
        <v>835.25394020293822</v>
      </c>
      <c r="M42" s="19">
        <f t="shared" si="8"/>
        <v>292.33887907102837</v>
      </c>
      <c r="N42" s="20">
        <f t="shared" si="6"/>
        <v>1127.5928192739666</v>
      </c>
    </row>
    <row r="43" spans="2:14" x14ac:dyDescent="0.25">
      <c r="B43" s="26">
        <v>100522333</v>
      </c>
      <c r="C43" s="23" t="s">
        <v>47</v>
      </c>
      <c r="D43" s="16"/>
      <c r="E43" s="17">
        <v>2.16</v>
      </c>
      <c r="F43" s="18">
        <v>24</v>
      </c>
      <c r="G43" s="19">
        <v>13579.524837332692</v>
      </c>
      <c r="H43" s="19">
        <f t="shared" si="0"/>
        <v>565.81353488886214</v>
      </c>
      <c r="I43" s="19">
        <f t="shared" si="1"/>
        <v>118.82084232666105</v>
      </c>
      <c r="J43" s="19">
        <f t="shared" si="2"/>
        <v>684.63437721552316</v>
      </c>
      <c r="K43" s="19">
        <f t="shared" si="7"/>
        <v>150.61956298741509</v>
      </c>
      <c r="L43" s="19">
        <f t="shared" si="4"/>
        <v>835.25394020293822</v>
      </c>
      <c r="M43" s="19">
        <f t="shared" si="8"/>
        <v>292.33887907102837</v>
      </c>
      <c r="N43" s="20">
        <f t="shared" si="6"/>
        <v>1127.5928192739666</v>
      </c>
    </row>
    <row r="44" spans="2:14" x14ac:dyDescent="0.25">
      <c r="B44" s="22">
        <v>100021045</v>
      </c>
      <c r="C44" s="23" t="s">
        <v>48</v>
      </c>
      <c r="D44" s="16">
        <v>7790360966582</v>
      </c>
      <c r="E44" s="17">
        <v>2.16</v>
      </c>
      <c r="F44" s="18">
        <v>24</v>
      </c>
      <c r="G44" s="19">
        <v>13579.52483733269</v>
      </c>
      <c r="H44" s="19">
        <f t="shared" si="0"/>
        <v>565.81353488886214</v>
      </c>
      <c r="I44" s="19">
        <f t="shared" si="1"/>
        <v>118.82084232666105</v>
      </c>
      <c r="J44" s="19">
        <f t="shared" si="2"/>
        <v>684.63437721552316</v>
      </c>
      <c r="K44" s="19">
        <f t="shared" si="7"/>
        <v>150.61956298741509</v>
      </c>
      <c r="L44" s="19">
        <f t="shared" si="4"/>
        <v>835.25394020293822</v>
      </c>
      <c r="M44" s="19">
        <f t="shared" si="8"/>
        <v>292.33887907102837</v>
      </c>
      <c r="N44" s="20">
        <f t="shared" si="6"/>
        <v>1127.5928192739666</v>
      </c>
    </row>
    <row r="45" spans="2:14" x14ac:dyDescent="0.25">
      <c r="B45" s="22">
        <v>100021004</v>
      </c>
      <c r="C45" s="23" t="s">
        <v>49</v>
      </c>
      <c r="D45" s="16">
        <v>7790360964526</v>
      </c>
      <c r="E45" s="17">
        <v>2.1120000000000001</v>
      </c>
      <c r="F45" s="18">
        <v>24</v>
      </c>
      <c r="G45" s="19">
        <v>13579.52483733269</v>
      </c>
      <c r="H45" s="19">
        <f t="shared" si="0"/>
        <v>565.81353488886214</v>
      </c>
      <c r="I45" s="19">
        <f t="shared" si="1"/>
        <v>118.82084232666105</v>
      </c>
      <c r="J45" s="19">
        <f t="shared" si="2"/>
        <v>684.63437721552316</v>
      </c>
      <c r="K45" s="19">
        <f t="shared" si="7"/>
        <v>150.61956298741509</v>
      </c>
      <c r="L45" s="19">
        <f t="shared" si="4"/>
        <v>835.25394020293822</v>
      </c>
      <c r="M45" s="19">
        <f t="shared" si="8"/>
        <v>292.33887907102837</v>
      </c>
      <c r="N45" s="20">
        <f t="shared" si="6"/>
        <v>1127.5928192739666</v>
      </c>
    </row>
    <row r="46" spans="2:14" x14ac:dyDescent="0.25">
      <c r="B46" s="22">
        <v>100021006</v>
      </c>
      <c r="C46" s="23" t="s">
        <v>50</v>
      </c>
      <c r="D46" s="16">
        <v>7790360964557</v>
      </c>
      <c r="E46" s="17">
        <v>2.1120000000000001</v>
      </c>
      <c r="F46" s="18">
        <v>24</v>
      </c>
      <c r="G46" s="19">
        <v>13579.52483733269</v>
      </c>
      <c r="H46" s="19">
        <f t="shared" si="0"/>
        <v>565.81353488886214</v>
      </c>
      <c r="I46" s="19">
        <f t="shared" si="1"/>
        <v>118.82084232666105</v>
      </c>
      <c r="J46" s="19">
        <f t="shared" si="2"/>
        <v>684.63437721552316</v>
      </c>
      <c r="K46" s="19">
        <f t="shared" si="7"/>
        <v>150.61956298741509</v>
      </c>
      <c r="L46" s="19">
        <f t="shared" si="4"/>
        <v>835.25394020293822</v>
      </c>
      <c r="M46" s="19">
        <f t="shared" si="8"/>
        <v>292.33887907102837</v>
      </c>
      <c r="N46" s="20">
        <f t="shared" si="6"/>
        <v>1127.5928192739666</v>
      </c>
    </row>
    <row r="47" spans="2:14" x14ac:dyDescent="0.25">
      <c r="B47" s="22">
        <v>100021007</v>
      </c>
      <c r="C47" s="23" t="s">
        <v>51</v>
      </c>
      <c r="D47" s="16">
        <v>7790360964540</v>
      </c>
      <c r="E47" s="17">
        <v>2.04</v>
      </c>
      <c r="F47" s="18">
        <v>24</v>
      </c>
      <c r="G47" s="19">
        <v>15501.688125000002</v>
      </c>
      <c r="H47" s="19">
        <f t="shared" si="0"/>
        <v>645.9036718750001</v>
      </c>
      <c r="I47" s="19">
        <f t="shared" si="1"/>
        <v>135.63977109375003</v>
      </c>
      <c r="J47" s="19">
        <f t="shared" si="2"/>
        <v>781.54344296875013</v>
      </c>
      <c r="K47" s="19">
        <f t="shared" si="7"/>
        <v>171.93955745312502</v>
      </c>
      <c r="L47" s="19">
        <f t="shared" si="4"/>
        <v>953.4830004218752</v>
      </c>
      <c r="M47" s="19">
        <f t="shared" si="8"/>
        <v>333.71905014765628</v>
      </c>
      <c r="N47" s="20">
        <f t="shared" si="6"/>
        <v>1287.2020505695314</v>
      </c>
    </row>
    <row r="48" spans="2:14" x14ac:dyDescent="0.25">
      <c r="B48" s="22">
        <v>100021013</v>
      </c>
      <c r="C48" s="23" t="s">
        <v>52</v>
      </c>
      <c r="D48" s="16">
        <v>7790360965714</v>
      </c>
      <c r="E48" s="17">
        <v>2.04</v>
      </c>
      <c r="F48" s="18">
        <v>24</v>
      </c>
      <c r="G48" s="19">
        <v>15501.688125000002</v>
      </c>
      <c r="H48" s="19">
        <f t="shared" si="0"/>
        <v>645.9036718750001</v>
      </c>
      <c r="I48" s="19">
        <f t="shared" si="1"/>
        <v>135.63977109375003</v>
      </c>
      <c r="J48" s="19">
        <f t="shared" si="2"/>
        <v>781.54344296875013</v>
      </c>
      <c r="K48" s="19">
        <f t="shared" si="7"/>
        <v>171.93955745312502</v>
      </c>
      <c r="L48" s="19">
        <f t="shared" si="4"/>
        <v>953.4830004218752</v>
      </c>
      <c r="M48" s="19">
        <f t="shared" si="8"/>
        <v>333.71905014765628</v>
      </c>
      <c r="N48" s="20">
        <f t="shared" si="6"/>
        <v>1287.2020505695314</v>
      </c>
    </row>
    <row r="49" spans="2:14" x14ac:dyDescent="0.25">
      <c r="B49" s="22">
        <v>100021014</v>
      </c>
      <c r="C49" s="23" t="s">
        <v>53</v>
      </c>
      <c r="D49" s="16">
        <v>7790360965721</v>
      </c>
      <c r="E49" s="17">
        <v>2.04</v>
      </c>
      <c r="F49" s="18">
        <v>24</v>
      </c>
      <c r="G49" s="19">
        <v>15501.688125000002</v>
      </c>
      <c r="H49" s="19">
        <f t="shared" si="0"/>
        <v>645.9036718750001</v>
      </c>
      <c r="I49" s="19">
        <f t="shared" si="1"/>
        <v>135.63977109375003</v>
      </c>
      <c r="J49" s="19">
        <f t="shared" si="2"/>
        <v>781.54344296875013</v>
      </c>
      <c r="K49" s="19">
        <f t="shared" si="7"/>
        <v>171.93955745312502</v>
      </c>
      <c r="L49" s="19">
        <f t="shared" si="4"/>
        <v>953.4830004218752</v>
      </c>
      <c r="M49" s="19">
        <f t="shared" si="8"/>
        <v>333.71905014765628</v>
      </c>
      <c r="N49" s="20">
        <f t="shared" si="6"/>
        <v>1287.2020505695314</v>
      </c>
    </row>
    <row r="50" spans="2:14" x14ac:dyDescent="0.25">
      <c r="B50" s="22">
        <v>100021054</v>
      </c>
      <c r="C50" s="23" t="s">
        <v>54</v>
      </c>
      <c r="D50" s="16">
        <v>7790360965707</v>
      </c>
      <c r="E50" s="17">
        <v>2.04</v>
      </c>
      <c r="F50" s="18">
        <v>24</v>
      </c>
      <c r="G50" s="19">
        <v>15501.688125000002</v>
      </c>
      <c r="H50" s="19">
        <f t="shared" si="0"/>
        <v>645.9036718750001</v>
      </c>
      <c r="I50" s="19">
        <f t="shared" si="1"/>
        <v>135.63977109375003</v>
      </c>
      <c r="J50" s="19">
        <f t="shared" si="2"/>
        <v>781.54344296875013</v>
      </c>
      <c r="K50" s="19">
        <f t="shared" si="7"/>
        <v>171.93955745312502</v>
      </c>
      <c r="L50" s="19">
        <f t="shared" si="4"/>
        <v>953.4830004218752</v>
      </c>
      <c r="M50" s="19">
        <f t="shared" si="8"/>
        <v>333.71905014765628</v>
      </c>
      <c r="N50" s="20">
        <f t="shared" si="6"/>
        <v>1287.2020505695314</v>
      </c>
    </row>
    <row r="51" spans="2:14" x14ac:dyDescent="0.25">
      <c r="B51" s="22">
        <v>100021055</v>
      </c>
      <c r="C51" s="23" t="s">
        <v>55</v>
      </c>
      <c r="D51" s="16">
        <v>7790360965189</v>
      </c>
      <c r="E51" s="17">
        <v>2.04</v>
      </c>
      <c r="F51" s="18">
        <v>24</v>
      </c>
      <c r="G51" s="19">
        <v>15501.688125000002</v>
      </c>
      <c r="H51" s="19">
        <f t="shared" si="0"/>
        <v>645.9036718750001</v>
      </c>
      <c r="I51" s="19">
        <f t="shared" si="1"/>
        <v>135.63977109375003</v>
      </c>
      <c r="J51" s="19">
        <f t="shared" si="2"/>
        <v>781.54344296875013</v>
      </c>
      <c r="K51" s="19">
        <f t="shared" si="7"/>
        <v>171.93955745312502</v>
      </c>
      <c r="L51" s="19">
        <f t="shared" si="4"/>
        <v>953.4830004218752</v>
      </c>
      <c r="M51" s="19">
        <f t="shared" si="8"/>
        <v>333.71905014765628</v>
      </c>
      <c r="N51" s="20">
        <f t="shared" si="6"/>
        <v>1287.2020505695314</v>
      </c>
    </row>
    <row r="52" spans="2:14" x14ac:dyDescent="0.25">
      <c r="B52" s="22">
        <v>100021015</v>
      </c>
      <c r="C52" s="23" t="s">
        <v>56</v>
      </c>
      <c r="D52" s="16">
        <v>7790360965202</v>
      </c>
      <c r="E52" s="17">
        <v>2.04</v>
      </c>
      <c r="F52" s="18">
        <v>24</v>
      </c>
      <c r="G52" s="19">
        <v>15501.688125000002</v>
      </c>
      <c r="H52" s="19">
        <f t="shared" si="0"/>
        <v>645.9036718750001</v>
      </c>
      <c r="I52" s="19">
        <f t="shared" si="1"/>
        <v>135.63977109375003</v>
      </c>
      <c r="J52" s="19">
        <f t="shared" si="2"/>
        <v>781.54344296875013</v>
      </c>
      <c r="K52" s="19">
        <f t="shared" si="7"/>
        <v>171.93955745312502</v>
      </c>
      <c r="L52" s="19">
        <f t="shared" si="4"/>
        <v>953.4830004218752</v>
      </c>
      <c r="M52" s="19">
        <f t="shared" si="8"/>
        <v>333.71905014765628</v>
      </c>
      <c r="N52" s="20">
        <f t="shared" si="6"/>
        <v>1287.2020505695314</v>
      </c>
    </row>
    <row r="53" spans="2:14" x14ac:dyDescent="0.25">
      <c r="B53" s="22">
        <v>100021008</v>
      </c>
      <c r="C53" s="23" t="s">
        <v>57</v>
      </c>
      <c r="D53" s="16">
        <v>7790360720122</v>
      </c>
      <c r="E53" s="17">
        <v>2.16</v>
      </c>
      <c r="F53" s="18">
        <v>24</v>
      </c>
      <c r="G53" s="19">
        <v>11493.435828538131</v>
      </c>
      <c r="H53" s="19">
        <f t="shared" si="0"/>
        <v>478.89315952242214</v>
      </c>
      <c r="I53" s="19">
        <f t="shared" si="1"/>
        <v>100.56756349970864</v>
      </c>
      <c r="J53" s="19">
        <f t="shared" si="2"/>
        <v>579.46072302213076</v>
      </c>
      <c r="K53" s="19">
        <f t="shared" si="7"/>
        <v>127.48135906486877</v>
      </c>
      <c r="L53" s="19">
        <f t="shared" si="4"/>
        <v>706.94208208699956</v>
      </c>
      <c r="M53" s="19">
        <f t="shared" si="8"/>
        <v>247.42972873044982</v>
      </c>
      <c r="N53" s="20">
        <f t="shared" si="6"/>
        <v>954.37181081744939</v>
      </c>
    </row>
    <row r="54" spans="2:14" x14ac:dyDescent="0.25">
      <c r="B54" s="22">
        <v>100021009</v>
      </c>
      <c r="C54" s="23" t="s">
        <v>58</v>
      </c>
      <c r="D54" s="16">
        <v>7790360965127</v>
      </c>
      <c r="E54" s="17">
        <v>2.16</v>
      </c>
      <c r="F54" s="18">
        <v>24</v>
      </c>
      <c r="G54" s="19">
        <v>11493.435828538131</v>
      </c>
      <c r="H54" s="19">
        <f t="shared" si="0"/>
        <v>478.89315952242214</v>
      </c>
      <c r="I54" s="19">
        <f t="shared" si="1"/>
        <v>100.56756349970864</v>
      </c>
      <c r="J54" s="19">
        <f t="shared" si="2"/>
        <v>579.46072302213076</v>
      </c>
      <c r="K54" s="19">
        <f t="shared" si="7"/>
        <v>127.48135906486877</v>
      </c>
      <c r="L54" s="19">
        <f t="shared" si="4"/>
        <v>706.94208208699956</v>
      </c>
      <c r="M54" s="19">
        <f t="shared" si="8"/>
        <v>247.42972873044982</v>
      </c>
      <c r="N54" s="20">
        <f t="shared" si="6"/>
        <v>954.37181081744939</v>
      </c>
    </row>
    <row r="55" spans="2:14" x14ac:dyDescent="0.25">
      <c r="B55" s="22">
        <v>100021010</v>
      </c>
      <c r="C55" s="23" t="s">
        <v>59</v>
      </c>
      <c r="D55" s="16">
        <v>7790920008707</v>
      </c>
      <c r="E55" s="17">
        <v>2.16</v>
      </c>
      <c r="F55" s="18">
        <v>24</v>
      </c>
      <c r="G55" s="19">
        <v>11493.435828538131</v>
      </c>
      <c r="H55" s="19">
        <f t="shared" si="0"/>
        <v>478.89315952242214</v>
      </c>
      <c r="I55" s="19">
        <f t="shared" si="1"/>
        <v>100.56756349970864</v>
      </c>
      <c r="J55" s="19">
        <f t="shared" si="2"/>
        <v>579.46072302213076</v>
      </c>
      <c r="K55" s="19">
        <f t="shared" si="7"/>
        <v>127.48135906486877</v>
      </c>
      <c r="L55" s="19">
        <f t="shared" si="4"/>
        <v>706.94208208699956</v>
      </c>
      <c r="M55" s="19">
        <f t="shared" si="8"/>
        <v>247.42972873044982</v>
      </c>
      <c r="N55" s="20">
        <f t="shared" si="6"/>
        <v>954.37181081744939</v>
      </c>
    </row>
    <row r="56" spans="2:14" x14ac:dyDescent="0.25">
      <c r="B56" s="22">
        <v>100021011</v>
      </c>
      <c r="C56" s="23" t="s">
        <v>60</v>
      </c>
      <c r="D56" s="16">
        <v>7790920008714</v>
      </c>
      <c r="E56" s="17">
        <v>2.16</v>
      </c>
      <c r="F56" s="18">
        <v>24</v>
      </c>
      <c r="G56" s="19">
        <v>11493.435828538131</v>
      </c>
      <c r="H56" s="19">
        <f t="shared" si="0"/>
        <v>478.89315952242214</v>
      </c>
      <c r="I56" s="19">
        <f t="shared" si="1"/>
        <v>100.56756349970864</v>
      </c>
      <c r="J56" s="19">
        <f t="shared" si="2"/>
        <v>579.46072302213076</v>
      </c>
      <c r="K56" s="19">
        <f t="shared" si="7"/>
        <v>127.48135906486877</v>
      </c>
      <c r="L56" s="19">
        <f t="shared" si="4"/>
        <v>706.94208208699956</v>
      </c>
      <c r="M56" s="19">
        <f t="shared" si="8"/>
        <v>247.42972873044982</v>
      </c>
      <c r="N56" s="20">
        <f t="shared" si="6"/>
        <v>954.37181081744939</v>
      </c>
    </row>
    <row r="57" spans="2:14" x14ac:dyDescent="0.25">
      <c r="B57" s="27"/>
      <c r="C57" s="28"/>
      <c r="D57" s="29"/>
      <c r="E57" s="28"/>
      <c r="F57" s="30"/>
      <c r="G57" s="30" t="e">
        <v>#VALUE!</v>
      </c>
      <c r="H57" s="31" t="e">
        <f t="shared" si="0"/>
        <v>#VALUE!</v>
      </c>
      <c r="I57" s="32">
        <v>0.21</v>
      </c>
      <c r="J57" s="31"/>
      <c r="K57" s="32">
        <v>0.35</v>
      </c>
      <c r="L57" s="31"/>
      <c r="M57" s="32">
        <v>0.5</v>
      </c>
      <c r="N57" s="33"/>
    </row>
    <row r="58" spans="2:14" x14ac:dyDescent="0.25">
      <c r="B58" s="22">
        <v>100516217</v>
      </c>
      <c r="C58" s="23" t="s">
        <v>61</v>
      </c>
      <c r="D58" s="16">
        <v>7790360967824</v>
      </c>
      <c r="E58" s="17">
        <v>5.8</v>
      </c>
      <c r="F58" s="18">
        <v>20</v>
      </c>
      <c r="G58" s="19">
        <v>28055.91148082872</v>
      </c>
      <c r="H58" s="19">
        <f t="shared" si="0"/>
        <v>1402.7955740414359</v>
      </c>
      <c r="I58" s="19">
        <f t="shared" si="1"/>
        <v>294.58707054870155</v>
      </c>
      <c r="J58" s="19">
        <f t="shared" si="2"/>
        <v>1697.3826445901375</v>
      </c>
      <c r="K58" s="19">
        <f t="shared" si="3"/>
        <v>560.13627271474536</v>
      </c>
      <c r="L58" s="19">
        <f t="shared" si="4"/>
        <v>2257.518917304883</v>
      </c>
      <c r="M58" s="19">
        <f t="shared" si="5"/>
        <v>903.00756692195318</v>
      </c>
      <c r="N58" s="20">
        <f t="shared" si="6"/>
        <v>3160.5264842268361</v>
      </c>
    </row>
    <row r="59" spans="2:14" x14ac:dyDescent="0.25">
      <c r="B59" s="22">
        <v>100516214</v>
      </c>
      <c r="C59" s="23" t="s">
        <v>62</v>
      </c>
      <c r="D59" s="16">
        <v>7790360967794</v>
      </c>
      <c r="E59" s="17">
        <v>7</v>
      </c>
      <c r="F59" s="18">
        <v>20</v>
      </c>
      <c r="G59" s="19">
        <v>42153.236505319852</v>
      </c>
      <c r="H59" s="19">
        <f t="shared" si="0"/>
        <v>2107.6618252659928</v>
      </c>
      <c r="I59" s="19">
        <f t="shared" si="1"/>
        <v>442.60898330585849</v>
      </c>
      <c r="J59" s="19">
        <f t="shared" si="2"/>
        <v>2550.2708085718514</v>
      </c>
      <c r="K59" s="19">
        <f t="shared" si="3"/>
        <v>841.58936682871104</v>
      </c>
      <c r="L59" s="19">
        <f t="shared" si="4"/>
        <v>3391.8601754005622</v>
      </c>
      <c r="M59" s="19">
        <f t="shared" si="5"/>
        <v>1356.744070160225</v>
      </c>
      <c r="N59" s="20">
        <f t="shared" si="6"/>
        <v>4748.6042455607876</v>
      </c>
    </row>
    <row r="60" spans="2:14" x14ac:dyDescent="0.25">
      <c r="B60" s="22">
        <v>100516215</v>
      </c>
      <c r="C60" s="23" t="s">
        <v>63</v>
      </c>
      <c r="D60" s="16">
        <v>7790360967800</v>
      </c>
      <c r="E60" s="17">
        <v>7</v>
      </c>
      <c r="F60" s="18">
        <v>20</v>
      </c>
      <c r="G60" s="19">
        <v>42153.236505319852</v>
      </c>
      <c r="H60" s="19">
        <f t="shared" si="0"/>
        <v>2107.6618252659928</v>
      </c>
      <c r="I60" s="19">
        <f t="shared" si="1"/>
        <v>442.60898330585849</v>
      </c>
      <c r="J60" s="19">
        <f t="shared" si="2"/>
        <v>2550.2708085718514</v>
      </c>
      <c r="K60" s="19">
        <f t="shared" si="3"/>
        <v>841.58936682871104</v>
      </c>
      <c r="L60" s="19">
        <f t="shared" si="4"/>
        <v>3391.8601754005622</v>
      </c>
      <c r="M60" s="19">
        <f t="shared" si="5"/>
        <v>1356.744070160225</v>
      </c>
      <c r="N60" s="20">
        <f t="shared" si="6"/>
        <v>4748.6042455607876</v>
      </c>
    </row>
    <row r="61" spans="2:14" x14ac:dyDescent="0.25">
      <c r="B61" s="22">
        <v>100516216</v>
      </c>
      <c r="C61" s="23" t="s">
        <v>64</v>
      </c>
      <c r="D61" s="16">
        <v>7790360967817</v>
      </c>
      <c r="E61" s="17">
        <v>7</v>
      </c>
      <c r="F61" s="18">
        <v>20</v>
      </c>
      <c r="G61" s="19">
        <v>42153.236505319852</v>
      </c>
      <c r="H61" s="19">
        <f t="shared" si="0"/>
        <v>2107.6618252659928</v>
      </c>
      <c r="I61" s="19">
        <f t="shared" si="1"/>
        <v>442.60898330585849</v>
      </c>
      <c r="J61" s="19">
        <f t="shared" si="2"/>
        <v>2550.2708085718514</v>
      </c>
      <c r="K61" s="19">
        <f t="shared" si="3"/>
        <v>841.58936682871104</v>
      </c>
      <c r="L61" s="19">
        <f t="shared" si="4"/>
        <v>3391.8601754005622</v>
      </c>
      <c r="M61" s="19">
        <f t="shared" si="5"/>
        <v>1356.744070160225</v>
      </c>
      <c r="N61" s="20">
        <f t="shared" si="6"/>
        <v>4748.6042455607876</v>
      </c>
    </row>
    <row r="62" spans="2:14" x14ac:dyDescent="0.25">
      <c r="B62" s="27"/>
      <c r="C62" s="28"/>
      <c r="D62" s="29"/>
      <c r="E62" s="28"/>
      <c r="F62" s="30"/>
      <c r="G62" s="30" t="e">
        <v>#VALUE!</v>
      </c>
      <c r="H62" s="31" t="e">
        <f t="shared" si="0"/>
        <v>#VALUE!</v>
      </c>
      <c r="I62" s="32">
        <v>0.21</v>
      </c>
      <c r="J62" s="31"/>
      <c r="K62" s="32">
        <v>0.35</v>
      </c>
      <c r="L62" s="31"/>
      <c r="M62" s="32">
        <v>0.5</v>
      </c>
      <c r="N62" s="33"/>
    </row>
    <row r="63" spans="2:14" x14ac:dyDescent="0.25">
      <c r="B63" s="22">
        <v>100021704</v>
      </c>
      <c r="C63" s="23" t="s">
        <v>65</v>
      </c>
      <c r="D63" s="16">
        <v>7790360023902</v>
      </c>
      <c r="E63" s="17">
        <f>12*0.38</f>
        <v>4.5600000000000005</v>
      </c>
      <c r="F63" s="18">
        <v>12</v>
      </c>
      <c r="G63" s="19">
        <v>39692.434264276642</v>
      </c>
      <c r="H63" s="19">
        <f t="shared" si="0"/>
        <v>3307.7028553563869</v>
      </c>
      <c r="I63" s="19">
        <f t="shared" si="1"/>
        <v>694.6175996248412</v>
      </c>
      <c r="J63" s="19">
        <f t="shared" si="2"/>
        <v>4002.3204549812281</v>
      </c>
      <c r="K63" s="19">
        <f t="shared" si="3"/>
        <v>1320.7657501438052</v>
      </c>
      <c r="L63" s="19">
        <f t="shared" si="4"/>
        <v>5323.0862051250333</v>
      </c>
      <c r="M63" s="19">
        <f t="shared" si="5"/>
        <v>2129.2344820500134</v>
      </c>
      <c r="N63" s="20">
        <f t="shared" si="6"/>
        <v>7452.3206871750463</v>
      </c>
    </row>
    <row r="64" spans="2:14" x14ac:dyDescent="0.25">
      <c r="B64" s="22">
        <v>100021705</v>
      </c>
      <c r="C64" s="23" t="s">
        <v>66</v>
      </c>
      <c r="D64" s="16">
        <v>7790360024336</v>
      </c>
      <c r="E64" s="17">
        <f>12*0.38</f>
        <v>4.5600000000000005</v>
      </c>
      <c r="F64" s="18">
        <v>12</v>
      </c>
      <c r="G64" s="19">
        <v>35720.532980531854</v>
      </c>
      <c r="H64" s="19">
        <f t="shared" si="0"/>
        <v>2976.7110817109879</v>
      </c>
      <c r="I64" s="19">
        <f t="shared" si="1"/>
        <v>625.10932715930744</v>
      </c>
      <c r="J64" s="19">
        <f t="shared" si="2"/>
        <v>3601.8204088702951</v>
      </c>
      <c r="K64" s="19">
        <f t="shared" si="3"/>
        <v>1188.6007349271974</v>
      </c>
      <c r="L64" s="19">
        <f t="shared" si="4"/>
        <v>4790.4211437974927</v>
      </c>
      <c r="M64" s="19">
        <f t="shared" si="5"/>
        <v>1916.1684575189972</v>
      </c>
      <c r="N64" s="20">
        <f t="shared" si="6"/>
        <v>6706.5896013164902</v>
      </c>
    </row>
    <row r="65" spans="2:14" x14ac:dyDescent="0.25">
      <c r="B65" s="22">
        <v>100021709</v>
      </c>
      <c r="C65" s="23" t="s">
        <v>67</v>
      </c>
      <c r="D65" s="16">
        <v>7790360024701</v>
      </c>
      <c r="E65" s="17">
        <v>7.6</v>
      </c>
      <c r="F65" s="18">
        <v>10</v>
      </c>
      <c r="G65" s="19">
        <v>60214.277255984773</v>
      </c>
      <c r="H65" s="19">
        <f t="shared" si="0"/>
        <v>6021.4277255984771</v>
      </c>
      <c r="I65" s="19">
        <f t="shared" si="1"/>
        <v>1264.4998223756802</v>
      </c>
      <c r="J65" s="19">
        <f t="shared" si="2"/>
        <v>7285.9275479741573</v>
      </c>
      <c r="K65" s="19">
        <f t="shared" si="3"/>
        <v>2404.3560908314721</v>
      </c>
      <c r="L65" s="19">
        <f t="shared" si="4"/>
        <v>9690.2836388056294</v>
      </c>
      <c r="M65" s="19">
        <f t="shared" si="5"/>
        <v>3876.113455522252</v>
      </c>
      <c r="N65" s="20">
        <f t="shared" si="6"/>
        <v>13566.397094327882</v>
      </c>
    </row>
    <row r="66" spans="2:14" x14ac:dyDescent="0.25">
      <c r="B66" s="22">
        <v>100521357</v>
      </c>
      <c r="C66" s="23" t="s">
        <v>68</v>
      </c>
      <c r="D66" s="16">
        <v>7790360982018</v>
      </c>
      <c r="E66" s="17">
        <v>4.5599999999999996</v>
      </c>
      <c r="F66" s="18">
        <v>12</v>
      </c>
      <c r="G66" s="19">
        <v>48595.608600000021</v>
      </c>
      <c r="H66" s="19">
        <f t="shared" si="0"/>
        <v>4049.6340500000019</v>
      </c>
      <c r="I66" s="19">
        <f t="shared" si="1"/>
        <v>850.42315050000036</v>
      </c>
      <c r="J66" s="19">
        <f t="shared" si="2"/>
        <v>4900.0572005000022</v>
      </c>
      <c r="K66" s="19">
        <f t="shared" si="3"/>
        <v>1617.0188761650008</v>
      </c>
      <c r="L66" s="19">
        <f t="shared" si="4"/>
        <v>6517.0760766650028</v>
      </c>
      <c r="M66" s="19">
        <f t="shared" si="5"/>
        <v>2606.8304306660011</v>
      </c>
      <c r="N66" s="20">
        <f t="shared" si="6"/>
        <v>9123.9065073310048</v>
      </c>
    </row>
    <row r="67" spans="2:14" x14ac:dyDescent="0.25">
      <c r="B67" s="22">
        <v>100521358</v>
      </c>
      <c r="C67" s="23" t="s">
        <v>69</v>
      </c>
      <c r="D67" s="16">
        <v>7790360982025</v>
      </c>
      <c r="E67" s="17">
        <v>7.6</v>
      </c>
      <c r="F67" s="18">
        <v>10</v>
      </c>
      <c r="G67" s="19">
        <v>72893.412900000025</v>
      </c>
      <c r="H67" s="19">
        <f t="shared" si="0"/>
        <v>7289.3412900000021</v>
      </c>
      <c r="I67" s="19">
        <f t="shared" si="1"/>
        <v>1530.7616709000004</v>
      </c>
      <c r="J67" s="19">
        <f t="shared" si="2"/>
        <v>8820.1029609000034</v>
      </c>
      <c r="K67" s="19">
        <f t="shared" si="3"/>
        <v>2910.6339770970012</v>
      </c>
      <c r="L67" s="19">
        <f t="shared" si="4"/>
        <v>11730.736937997004</v>
      </c>
      <c r="M67" s="19">
        <f t="shared" si="5"/>
        <v>4692.2947751988022</v>
      </c>
      <c r="N67" s="20">
        <f t="shared" si="6"/>
        <v>16423.031713195807</v>
      </c>
    </row>
    <row r="68" spans="2:14" x14ac:dyDescent="0.25">
      <c r="B68" s="22">
        <v>100522130</v>
      </c>
      <c r="C68" s="23" t="s">
        <v>70</v>
      </c>
      <c r="D68" s="16">
        <v>7790360982445</v>
      </c>
      <c r="E68" s="17">
        <v>4.8</v>
      </c>
      <c r="F68" s="18">
        <v>12</v>
      </c>
      <c r="G68" s="19">
        <v>36337.501893000008</v>
      </c>
      <c r="H68" s="19">
        <f t="shared" si="0"/>
        <v>3028.1251577500007</v>
      </c>
      <c r="I68" s="19">
        <f t="shared" si="1"/>
        <v>635.90628312750016</v>
      </c>
      <c r="J68" s="19">
        <f t="shared" si="2"/>
        <v>3664.0314408775007</v>
      </c>
      <c r="K68" s="19">
        <f t="shared" si="3"/>
        <v>1209.1303754895753</v>
      </c>
      <c r="L68" s="19">
        <f t="shared" si="4"/>
        <v>4873.1618163670755</v>
      </c>
      <c r="M68" s="19">
        <f t="shared" si="5"/>
        <v>1949.2647265468304</v>
      </c>
      <c r="N68" s="20">
        <f t="shared" si="6"/>
        <v>6822.4265429139059</v>
      </c>
    </row>
    <row r="69" spans="2:14" x14ac:dyDescent="0.25">
      <c r="B69" s="34">
        <v>100021725</v>
      </c>
      <c r="C69" s="35" t="s">
        <v>71</v>
      </c>
      <c r="D69" s="36">
        <v>7790360027009</v>
      </c>
      <c r="E69" s="37">
        <v>6</v>
      </c>
      <c r="F69" s="38">
        <v>4</v>
      </c>
      <c r="G69" s="39">
        <v>30046.412829632529</v>
      </c>
      <c r="H69" s="39">
        <f t="shared" si="0"/>
        <v>7511.6032074081322</v>
      </c>
      <c r="I69" s="39">
        <f t="shared" si="1"/>
        <v>1577.4366735557078</v>
      </c>
      <c r="J69" s="39">
        <f t="shared" si="2"/>
        <v>9089.0398809638391</v>
      </c>
      <c r="K69" s="39">
        <f t="shared" si="3"/>
        <v>2999.3831607180668</v>
      </c>
      <c r="L69" s="39">
        <f t="shared" si="4"/>
        <v>12088.423041681906</v>
      </c>
      <c r="M69" s="39">
        <f t="shared" si="5"/>
        <v>4835.3692166727624</v>
      </c>
      <c r="N69" s="40">
        <f t="shared" si="6"/>
        <v>16923.792258354668</v>
      </c>
    </row>
    <row r="70" spans="2:14" x14ac:dyDescent="0.25">
      <c r="B70" s="22">
        <v>100517055</v>
      </c>
      <c r="C70" s="23" t="s">
        <v>72</v>
      </c>
      <c r="D70" s="16">
        <v>7790360971135</v>
      </c>
      <c r="E70" s="17">
        <v>3.12</v>
      </c>
      <c r="F70" s="18">
        <v>12</v>
      </c>
      <c r="G70" s="19">
        <v>29936.929261925314</v>
      </c>
      <c r="H70" s="19">
        <f t="shared" si="0"/>
        <v>2494.7441051604428</v>
      </c>
      <c r="I70" s="19">
        <f t="shared" si="1"/>
        <v>523.89626208369293</v>
      </c>
      <c r="J70" s="19">
        <f t="shared" si="2"/>
        <v>3018.6403672441356</v>
      </c>
      <c r="K70" s="19">
        <f t="shared" si="3"/>
        <v>996.15132119056477</v>
      </c>
      <c r="L70" s="19">
        <f t="shared" si="4"/>
        <v>4014.7916884347005</v>
      </c>
      <c r="M70" s="19">
        <f t="shared" si="5"/>
        <v>1605.9166753738803</v>
      </c>
      <c r="N70" s="20">
        <f t="shared" si="6"/>
        <v>5620.7083638085805</v>
      </c>
    </row>
    <row r="71" spans="2:14" x14ac:dyDescent="0.25">
      <c r="B71" s="22">
        <v>100517186</v>
      </c>
      <c r="C71" s="23" t="s">
        <v>73</v>
      </c>
      <c r="D71" s="16">
        <v>7790360971395</v>
      </c>
      <c r="E71" s="17">
        <v>8</v>
      </c>
      <c r="F71" s="18">
        <v>8</v>
      </c>
      <c r="G71" s="19">
        <v>43941.02138463041</v>
      </c>
      <c r="H71" s="19">
        <f t="shared" si="0"/>
        <v>5492.6276730788013</v>
      </c>
      <c r="I71" s="19">
        <f t="shared" si="1"/>
        <v>1153.4518113465483</v>
      </c>
      <c r="J71" s="19">
        <f t="shared" si="2"/>
        <v>6646.0794844253496</v>
      </c>
      <c r="K71" s="19">
        <f t="shared" si="3"/>
        <v>2193.2062298603655</v>
      </c>
      <c r="L71" s="19">
        <f t="shared" si="4"/>
        <v>8839.2857142857156</v>
      </c>
      <c r="M71" s="19">
        <f t="shared" si="5"/>
        <v>3535.7142857142862</v>
      </c>
      <c r="N71" s="20">
        <f t="shared" si="6"/>
        <v>12375.000000000002</v>
      </c>
    </row>
    <row r="72" spans="2:14" x14ac:dyDescent="0.25">
      <c r="B72" s="22">
        <v>100521663</v>
      </c>
      <c r="C72" s="23" t="s">
        <v>74</v>
      </c>
      <c r="D72" s="16">
        <v>7790360982537</v>
      </c>
      <c r="E72" s="17">
        <v>4.8</v>
      </c>
      <c r="F72" s="18">
        <v>12</v>
      </c>
      <c r="G72" s="19">
        <v>43941.02138463041</v>
      </c>
      <c r="H72" s="19">
        <f t="shared" si="0"/>
        <v>3661.7517820525341</v>
      </c>
      <c r="I72" s="19">
        <f t="shared" si="1"/>
        <v>768.96787423103217</v>
      </c>
      <c r="J72" s="19">
        <f t="shared" si="2"/>
        <v>4430.7196562835661</v>
      </c>
      <c r="K72" s="19">
        <f t="shared" si="3"/>
        <v>1462.1374865735768</v>
      </c>
      <c r="L72" s="19">
        <f t="shared" si="4"/>
        <v>5892.8571428571431</v>
      </c>
      <c r="M72" s="19">
        <f t="shared" si="5"/>
        <v>2357.1428571428573</v>
      </c>
      <c r="N72" s="20">
        <f t="shared" si="6"/>
        <v>8250</v>
      </c>
    </row>
    <row r="73" spans="2:14" x14ac:dyDescent="0.25">
      <c r="B73" s="34">
        <v>100021728</v>
      </c>
      <c r="C73" s="35" t="s">
        <v>75</v>
      </c>
      <c r="D73" s="36">
        <v>7790360967558</v>
      </c>
      <c r="E73" s="37">
        <v>3.84</v>
      </c>
      <c r="F73" s="38">
        <v>12</v>
      </c>
      <c r="G73" s="39">
        <v>41631.804008029045</v>
      </c>
      <c r="H73" s="39">
        <f t="shared" si="0"/>
        <v>3469.3170006690871</v>
      </c>
      <c r="I73" s="39">
        <f t="shared" si="1"/>
        <v>728.55657014050826</v>
      </c>
      <c r="J73" s="39">
        <f t="shared" si="2"/>
        <v>4197.8735708095955</v>
      </c>
      <c r="K73" s="39">
        <f t="shared" si="3"/>
        <v>1385.2982783671666</v>
      </c>
      <c r="L73" s="39">
        <f t="shared" si="4"/>
        <v>5583.1718491767624</v>
      </c>
      <c r="M73" s="39">
        <f t="shared" si="5"/>
        <v>2233.2687396707051</v>
      </c>
      <c r="N73" s="40">
        <f t="shared" si="6"/>
        <v>7816.4405888474676</v>
      </c>
    </row>
    <row r="74" spans="2:14" x14ac:dyDescent="0.25">
      <c r="B74" s="34">
        <v>100517679</v>
      </c>
      <c r="C74" s="35" t="s">
        <v>76</v>
      </c>
      <c r="D74" s="36">
        <v>7790360973498</v>
      </c>
      <c r="E74" s="37">
        <v>7.68</v>
      </c>
      <c r="F74" s="38">
        <v>8</v>
      </c>
      <c r="G74" s="39">
        <v>39413.592299367461</v>
      </c>
      <c r="H74" s="39">
        <f t="shared" si="0"/>
        <v>4926.6990374209327</v>
      </c>
      <c r="I74" s="39">
        <f t="shared" si="1"/>
        <v>1034.6067978583958</v>
      </c>
      <c r="J74" s="39">
        <f t="shared" si="2"/>
        <v>5961.3058352793287</v>
      </c>
      <c r="K74" s="39">
        <f t="shared" si="3"/>
        <v>1967.2309256421786</v>
      </c>
      <c r="L74" s="39">
        <f t="shared" si="4"/>
        <v>7928.5367609215073</v>
      </c>
      <c r="M74" s="39">
        <f t="shared" si="5"/>
        <v>3171.414704368603</v>
      </c>
      <c r="N74" s="40">
        <f t="shared" si="6"/>
        <v>11099.951465290111</v>
      </c>
    </row>
    <row r="75" spans="2:14" x14ac:dyDescent="0.25">
      <c r="B75" s="27"/>
      <c r="C75" s="28"/>
      <c r="D75" s="29"/>
      <c r="E75" s="28"/>
      <c r="F75" s="30"/>
      <c r="G75" s="77" t="e">
        <v>#VALUE!</v>
      </c>
      <c r="H75" s="31" t="e">
        <f t="shared" si="0"/>
        <v>#VALUE!</v>
      </c>
      <c r="I75" s="32">
        <v>0.21</v>
      </c>
      <c r="J75" s="31"/>
      <c r="K75" s="32">
        <v>0.35</v>
      </c>
      <c r="L75" s="31"/>
      <c r="M75" s="32">
        <v>0.5</v>
      </c>
      <c r="N75" s="33"/>
    </row>
    <row r="76" spans="2:14" hidden="1" x14ac:dyDescent="0.25">
      <c r="B76" s="22">
        <v>100516219</v>
      </c>
      <c r="C76" s="23" t="s">
        <v>77</v>
      </c>
      <c r="D76" s="41">
        <v>7790360967770</v>
      </c>
      <c r="E76" s="17">
        <v>10</v>
      </c>
      <c r="F76" s="18">
        <v>25</v>
      </c>
      <c r="G76" s="19">
        <v>18259.399891781304</v>
      </c>
      <c r="H76" s="19">
        <f t="shared" ref="H76:H84" si="9">+G76/F76</f>
        <v>730.37599567125221</v>
      </c>
      <c r="I76" s="19">
        <f t="shared" si="1"/>
        <v>153.37895909096295</v>
      </c>
      <c r="J76" s="19">
        <f t="shared" si="2"/>
        <v>883.75495476221522</v>
      </c>
      <c r="K76" s="19">
        <f t="shared" si="3"/>
        <v>291.63913507153103</v>
      </c>
      <c r="L76" s="19">
        <f t="shared" si="4"/>
        <v>1175.3940898337462</v>
      </c>
      <c r="M76" s="19">
        <f t="shared" si="5"/>
        <v>470.15763593349851</v>
      </c>
      <c r="N76" s="20">
        <f t="shared" si="6"/>
        <v>1645.5517257672448</v>
      </c>
    </row>
    <row r="77" spans="2:14" hidden="1" x14ac:dyDescent="0.25">
      <c r="B77" s="22">
        <v>100516220</v>
      </c>
      <c r="C77" s="23" t="s">
        <v>78</v>
      </c>
      <c r="D77" s="41">
        <v>7790360967787</v>
      </c>
      <c r="E77" s="17">
        <v>12</v>
      </c>
      <c r="F77" s="18">
        <v>6</v>
      </c>
      <c r="G77" s="19">
        <v>19613.921820029205</v>
      </c>
      <c r="H77" s="19">
        <f t="shared" si="9"/>
        <v>3268.9869700048675</v>
      </c>
      <c r="I77" s="19">
        <f t="shared" si="1"/>
        <v>686.48726370102213</v>
      </c>
      <c r="J77" s="19">
        <f t="shared" si="2"/>
        <v>3955.4742337058897</v>
      </c>
      <c r="K77" s="19">
        <f t="shared" si="3"/>
        <v>1305.3064971229437</v>
      </c>
      <c r="L77" s="19">
        <f t="shared" si="4"/>
        <v>5260.7807308288338</v>
      </c>
      <c r="M77" s="19">
        <f t="shared" si="5"/>
        <v>2104.3122923315336</v>
      </c>
      <c r="N77" s="20">
        <f t="shared" si="6"/>
        <v>7365.093023160367</v>
      </c>
    </row>
    <row r="78" spans="2:14" ht="15.75" hidden="1" thickBot="1" x14ac:dyDescent="0.3">
      <c r="B78" s="42"/>
      <c r="C78" s="43"/>
      <c r="D78" s="44"/>
      <c r="E78" s="43"/>
      <c r="F78" s="45"/>
      <c r="G78" s="78" t="e">
        <v>#VALUE!</v>
      </c>
      <c r="H78" s="31" t="e">
        <f t="shared" si="9"/>
        <v>#VALUE!</v>
      </c>
      <c r="I78" s="32"/>
      <c r="J78" s="31"/>
      <c r="K78" s="32"/>
      <c r="L78" s="31"/>
      <c r="M78" s="32"/>
      <c r="N78" s="33"/>
    </row>
    <row r="79" spans="2:14" x14ac:dyDescent="0.25">
      <c r="B79" s="26">
        <v>100518158</v>
      </c>
      <c r="C79" s="23" t="s">
        <v>79</v>
      </c>
      <c r="D79" s="46">
        <v>7790360974280</v>
      </c>
      <c r="E79" s="17">
        <v>12</v>
      </c>
      <c r="F79" s="18">
        <v>24</v>
      </c>
      <c r="G79" s="19">
        <v>79203.691045796324</v>
      </c>
      <c r="H79" s="19">
        <f t="shared" si="9"/>
        <v>3300.153793574847</v>
      </c>
      <c r="I79" s="19">
        <f>+H79*I$3</f>
        <v>693.03229665071785</v>
      </c>
      <c r="J79" s="19">
        <f>+H79+I79</f>
        <v>3993.1860902255648</v>
      </c>
      <c r="K79" s="19">
        <f>+J79*K$3</f>
        <v>1317.7514097744365</v>
      </c>
      <c r="L79" s="19">
        <f>+J79+K79</f>
        <v>5310.9375000000018</v>
      </c>
      <c r="M79" s="19">
        <f>+L79*M$3</f>
        <v>2124.3750000000009</v>
      </c>
      <c r="N79" s="20">
        <f>+L79+M79</f>
        <v>7435.3125000000027</v>
      </c>
    </row>
    <row r="80" spans="2:14" x14ac:dyDescent="0.25">
      <c r="B80" s="26">
        <v>100518160</v>
      </c>
      <c r="C80" s="23" t="s">
        <v>80</v>
      </c>
      <c r="D80" s="46">
        <v>7790360974686</v>
      </c>
      <c r="E80" s="17">
        <v>12</v>
      </c>
      <c r="F80" s="18">
        <v>12</v>
      </c>
      <c r="G80" s="19">
        <v>79203.691045796324</v>
      </c>
      <c r="H80" s="19">
        <f t="shared" si="9"/>
        <v>6600.307587149694</v>
      </c>
      <c r="I80" s="19">
        <f>+H80*I$3</f>
        <v>1386.0645933014357</v>
      </c>
      <c r="J80" s="19">
        <f>+H80+I80</f>
        <v>7986.3721804511297</v>
      </c>
      <c r="K80" s="19">
        <f>+J80*K$3</f>
        <v>2635.502819548873</v>
      </c>
      <c r="L80" s="19">
        <f>+J80+K80</f>
        <v>10621.875000000004</v>
      </c>
      <c r="M80" s="19">
        <f>+L80*M$3</f>
        <v>4248.7500000000018</v>
      </c>
      <c r="N80" s="20">
        <f>+L80+M80</f>
        <v>14870.625000000005</v>
      </c>
    </row>
    <row r="81" spans="2:14" x14ac:dyDescent="0.25">
      <c r="B81" s="26">
        <v>100518463</v>
      </c>
      <c r="C81" s="23" t="s">
        <v>81</v>
      </c>
      <c r="D81" s="46"/>
      <c r="E81" s="17">
        <v>5</v>
      </c>
      <c r="F81" s="18">
        <v>1</v>
      </c>
      <c r="G81" s="19">
        <v>36693.267187500001</v>
      </c>
      <c r="H81" s="19">
        <f t="shared" si="9"/>
        <v>36693.267187500001</v>
      </c>
      <c r="I81" s="19">
        <f>+H81*I$3</f>
        <v>7705.586109375</v>
      </c>
      <c r="J81" s="19">
        <f>+H81+I81</f>
        <v>44398.853296875001</v>
      </c>
      <c r="K81" s="19">
        <f>+J81*K$3</f>
        <v>14651.621587968752</v>
      </c>
      <c r="L81" s="19">
        <f>+J81+K81</f>
        <v>59050.474884843752</v>
      </c>
      <c r="M81" s="19">
        <f>+L81*M$3</f>
        <v>23620.189953937501</v>
      </c>
      <c r="N81" s="20">
        <f>+L81+M81</f>
        <v>82670.66483878126</v>
      </c>
    </row>
    <row r="82" spans="2:14" ht="15.75" thickBot="1" x14ac:dyDescent="0.3">
      <c r="B82" s="47"/>
      <c r="C82" s="48"/>
      <c r="D82" s="49"/>
      <c r="E82" s="48"/>
      <c r="F82" s="50"/>
      <c r="G82" s="51" t="e">
        <v>#VALUE!</v>
      </c>
      <c r="H82" s="31" t="e">
        <f t="shared" si="9"/>
        <v>#VALUE!</v>
      </c>
      <c r="I82" s="32"/>
      <c r="J82" s="31"/>
      <c r="K82" s="32"/>
      <c r="L82" s="31"/>
      <c r="M82" s="32"/>
      <c r="N82" s="33"/>
    </row>
    <row r="83" spans="2:14" x14ac:dyDescent="0.25">
      <c r="B83" s="52">
        <v>100518291</v>
      </c>
      <c r="C83" s="53" t="s">
        <v>82</v>
      </c>
      <c r="D83" s="54">
        <v>7790360975195</v>
      </c>
      <c r="E83" s="55">
        <v>5</v>
      </c>
      <c r="F83" s="55">
        <v>10</v>
      </c>
      <c r="G83" s="56">
        <v>17536.686967689053</v>
      </c>
      <c r="H83" s="56">
        <f t="shared" si="9"/>
        <v>1753.6686967689052</v>
      </c>
      <c r="I83" s="56">
        <f>+H83*I$3</f>
        <v>368.2704263214701</v>
      </c>
      <c r="J83" s="56">
        <f>+H83+I83</f>
        <v>2121.9391230903752</v>
      </c>
      <c r="K83" s="56">
        <f>+J83*K$39</f>
        <v>466.82660707988254</v>
      </c>
      <c r="L83" s="56">
        <f>+J83+K83</f>
        <v>2588.7657301702579</v>
      </c>
      <c r="M83" s="56">
        <f>+L83*M$39</f>
        <v>906.06800555959023</v>
      </c>
      <c r="N83" s="57">
        <f>+L83+M83</f>
        <v>3494.8337357298483</v>
      </c>
    </row>
    <row r="84" spans="2:14" ht="15.75" thickBot="1" x14ac:dyDescent="0.3">
      <c r="B84" s="58">
        <v>100518292</v>
      </c>
      <c r="C84" s="59" t="s">
        <v>83</v>
      </c>
      <c r="D84" s="60">
        <v>7790360975201</v>
      </c>
      <c r="E84" s="61">
        <v>12</v>
      </c>
      <c r="F84" s="61">
        <v>12</v>
      </c>
      <c r="G84" s="62">
        <v>41380.323708459917</v>
      </c>
      <c r="H84" s="62">
        <f t="shared" si="9"/>
        <v>3448.3603090383262</v>
      </c>
      <c r="I84" s="62">
        <f>+H84*I$3</f>
        <v>724.15566489804849</v>
      </c>
      <c r="J84" s="62">
        <f>+H84+I84</f>
        <v>4172.5159739363744</v>
      </c>
      <c r="K84" s="62">
        <f>+J84*K$39</f>
        <v>917.95351426600234</v>
      </c>
      <c r="L84" s="62">
        <f>+J84+K84</f>
        <v>5090.4694882023769</v>
      </c>
      <c r="M84" s="62">
        <f>+L84*M$39</f>
        <v>1781.6643208708317</v>
      </c>
      <c r="N84" s="63">
        <f>+L84+M84</f>
        <v>6872.1338090732088</v>
      </c>
    </row>
    <row r="85" spans="2:14" ht="15.75" thickBot="1" x14ac:dyDescent="0.3">
      <c r="B85" s="47"/>
      <c r="C85" s="48"/>
      <c r="D85" s="49"/>
      <c r="E85" s="48"/>
      <c r="F85" s="50"/>
      <c r="G85" s="51" t="e">
        <v>#VALUE!</v>
      </c>
      <c r="H85" s="31" t="e">
        <f>+G85/F85</f>
        <v>#VALUE!</v>
      </c>
      <c r="I85" s="32">
        <v>0.105</v>
      </c>
      <c r="J85" s="31"/>
      <c r="K85" s="32">
        <v>0.3</v>
      </c>
      <c r="L85" s="31"/>
      <c r="M85" s="32">
        <v>0.4</v>
      </c>
      <c r="N85" s="33"/>
    </row>
    <row r="86" spans="2:14" x14ac:dyDescent="0.25">
      <c r="B86" s="52">
        <v>100517915</v>
      </c>
      <c r="C86" s="53" t="s">
        <v>84</v>
      </c>
      <c r="D86" s="54">
        <v>7790360974020</v>
      </c>
      <c r="E86" s="55">
        <v>18</v>
      </c>
      <c r="F86" s="55">
        <v>36</v>
      </c>
      <c r="G86" s="56">
        <v>154338.47338253396</v>
      </c>
      <c r="H86" s="56">
        <f>+G86/F86</f>
        <v>4287.1798161814986</v>
      </c>
      <c r="I86" s="56">
        <f>+H86*I$85</f>
        <v>450.15388069905731</v>
      </c>
      <c r="J86" s="56">
        <f>+H86+I86</f>
        <v>4737.3336968805561</v>
      </c>
      <c r="K86" s="56">
        <f>+J86*K$85</f>
        <v>1421.2001090641668</v>
      </c>
      <c r="L86" s="56">
        <f>+J86+K86</f>
        <v>6158.5338059447231</v>
      </c>
      <c r="M86" s="56">
        <f>+L86*M$85</f>
        <v>2463.4135223778894</v>
      </c>
      <c r="N86" s="57">
        <f>+L86+M86</f>
        <v>8621.9473283226125</v>
      </c>
    </row>
    <row r="87" spans="2:14" ht="15.75" thickBot="1" x14ac:dyDescent="0.3">
      <c r="B87" s="58">
        <v>100517914</v>
      </c>
      <c r="C87" s="59" t="s">
        <v>85</v>
      </c>
      <c r="D87" s="60">
        <v>7790360974037</v>
      </c>
      <c r="E87" s="61">
        <v>20</v>
      </c>
      <c r="F87" s="61">
        <v>20</v>
      </c>
      <c r="G87" s="62">
        <v>168417.57189887395</v>
      </c>
      <c r="H87" s="62">
        <f>+G87/F87</f>
        <v>8420.878594943697</v>
      </c>
      <c r="I87" s="62">
        <f>+H87*I$85</f>
        <v>884.1922524690882</v>
      </c>
      <c r="J87" s="62">
        <f>+H87+I87</f>
        <v>9305.070847412786</v>
      </c>
      <c r="K87" s="62">
        <f>+J87*K$85</f>
        <v>2791.5212542238355</v>
      </c>
      <c r="L87" s="62">
        <f>+J87+K87</f>
        <v>12096.592101636621</v>
      </c>
      <c r="M87" s="62">
        <f>+L87*M$85</f>
        <v>4838.6368406546489</v>
      </c>
      <c r="N87" s="63">
        <f>+L87+M87</f>
        <v>16935.228942291269</v>
      </c>
    </row>
    <row r="88" spans="2:14" ht="15.75" thickBot="1" x14ac:dyDescent="0.3">
      <c r="B88" s="47"/>
      <c r="C88" s="48"/>
      <c r="D88" s="49"/>
      <c r="E88" s="48"/>
      <c r="F88" s="50"/>
      <c r="G88" s="51"/>
      <c r="H88" s="64"/>
      <c r="I88" s="65">
        <v>0.105</v>
      </c>
      <c r="J88" s="64"/>
      <c r="K88" s="66">
        <v>0.3</v>
      </c>
      <c r="L88" s="64"/>
      <c r="M88" s="66">
        <v>0.4</v>
      </c>
      <c r="N88" s="67"/>
    </row>
    <row r="89" spans="2:14" x14ac:dyDescent="0.25">
      <c r="B89" s="22">
        <v>100010689</v>
      </c>
      <c r="C89" s="23" t="s">
        <v>86</v>
      </c>
      <c r="D89" s="16"/>
      <c r="E89" s="68">
        <v>22</v>
      </c>
      <c r="F89" s="18">
        <v>1</v>
      </c>
      <c r="G89" s="19">
        <v>16464.642857142862</v>
      </c>
      <c r="H89" s="56">
        <f t="shared" ref="H89:H94" si="10">+G89/F89</f>
        <v>16464.642857142862</v>
      </c>
      <c r="I89" s="56">
        <f t="shared" ref="I89:I94" si="11">+H89*I$88</f>
        <v>1728.7875000000006</v>
      </c>
      <c r="J89" s="56">
        <f t="shared" ref="J89:J94" si="12">+H89+I89</f>
        <v>18193.430357142865</v>
      </c>
      <c r="K89" s="56">
        <f t="shared" ref="K89:K94" si="13">+J89*K$88</f>
        <v>5458.0291071428592</v>
      </c>
      <c r="L89" s="56">
        <f t="shared" ref="L89:L94" si="14">+J89+K89</f>
        <v>23651.459464285723</v>
      </c>
      <c r="M89" s="56">
        <f t="shared" ref="M89:M94" si="15">+L89*M$88</f>
        <v>9460.5837857142888</v>
      </c>
      <c r="N89" s="57">
        <f t="shared" ref="N89:N94" si="16">+L89+M89</f>
        <v>33112.04325000001</v>
      </c>
    </row>
    <row r="90" spans="2:14" x14ac:dyDescent="0.25">
      <c r="B90" s="22">
        <v>100518335</v>
      </c>
      <c r="C90" s="23" t="s">
        <v>87</v>
      </c>
      <c r="D90" s="16"/>
      <c r="E90" s="68">
        <v>22.5</v>
      </c>
      <c r="F90" s="18">
        <v>1</v>
      </c>
      <c r="G90" s="19">
        <v>10429.178571428572</v>
      </c>
      <c r="H90" s="19">
        <f t="shared" si="10"/>
        <v>10429.178571428572</v>
      </c>
      <c r="I90" s="19">
        <f t="shared" si="11"/>
        <v>1095.06375</v>
      </c>
      <c r="J90" s="19">
        <f t="shared" si="12"/>
        <v>11524.242321428572</v>
      </c>
      <c r="K90" s="19">
        <f t="shared" si="13"/>
        <v>3457.2726964285716</v>
      </c>
      <c r="L90" s="19">
        <f t="shared" si="14"/>
        <v>14981.515017857144</v>
      </c>
      <c r="M90" s="19">
        <f t="shared" si="15"/>
        <v>5992.6060071428583</v>
      </c>
      <c r="N90" s="20">
        <f t="shared" si="16"/>
        <v>20974.121025</v>
      </c>
    </row>
    <row r="91" spans="2:14" x14ac:dyDescent="0.25">
      <c r="B91" s="22">
        <v>100518332</v>
      </c>
      <c r="C91" s="23" t="s">
        <v>88</v>
      </c>
      <c r="D91" s="16"/>
      <c r="E91" s="68">
        <v>21.5</v>
      </c>
      <c r="F91" s="18">
        <v>1</v>
      </c>
      <c r="G91" s="19">
        <v>11223.535714285716</v>
      </c>
      <c r="H91" s="19">
        <f t="shared" si="10"/>
        <v>11223.535714285716</v>
      </c>
      <c r="I91" s="19">
        <f t="shared" si="11"/>
        <v>1178.4712500000001</v>
      </c>
      <c r="J91" s="19">
        <f t="shared" si="12"/>
        <v>12402.006964285716</v>
      </c>
      <c r="K91" s="19">
        <f t="shared" si="13"/>
        <v>3720.6020892857146</v>
      </c>
      <c r="L91" s="19">
        <f t="shared" si="14"/>
        <v>16122.60905357143</v>
      </c>
      <c r="M91" s="19">
        <f t="shared" si="15"/>
        <v>6449.0436214285728</v>
      </c>
      <c r="N91" s="20">
        <f t="shared" si="16"/>
        <v>22571.652675000005</v>
      </c>
    </row>
    <row r="92" spans="2:14" x14ac:dyDescent="0.25">
      <c r="B92" s="22">
        <v>100518334</v>
      </c>
      <c r="C92" s="23" t="s">
        <v>89</v>
      </c>
      <c r="D92" s="16"/>
      <c r="E92" s="68">
        <v>22.5</v>
      </c>
      <c r="F92" s="18">
        <v>1</v>
      </c>
      <c r="G92" s="19">
        <v>9237.6428571428587</v>
      </c>
      <c r="H92" s="19">
        <f t="shared" si="10"/>
        <v>9237.6428571428587</v>
      </c>
      <c r="I92" s="19">
        <f t="shared" si="11"/>
        <v>969.9525000000001</v>
      </c>
      <c r="J92" s="19">
        <f t="shared" si="12"/>
        <v>10207.595357142858</v>
      </c>
      <c r="K92" s="19">
        <f t="shared" si="13"/>
        <v>3062.2786071428573</v>
      </c>
      <c r="L92" s="19">
        <f t="shared" si="14"/>
        <v>13269.873964285714</v>
      </c>
      <c r="M92" s="19">
        <f t="shared" si="15"/>
        <v>5307.9495857142865</v>
      </c>
      <c r="N92" s="20">
        <f t="shared" si="16"/>
        <v>18577.823550000001</v>
      </c>
    </row>
    <row r="93" spans="2:14" x14ac:dyDescent="0.25">
      <c r="B93" s="22">
        <v>100518227</v>
      </c>
      <c r="C93" s="23" t="s">
        <v>90</v>
      </c>
      <c r="D93" s="16"/>
      <c r="E93" s="68">
        <v>22.5</v>
      </c>
      <c r="F93" s="18">
        <v>1</v>
      </c>
      <c r="G93" s="19">
        <v>9237.6428571428587</v>
      </c>
      <c r="H93" s="19">
        <f t="shared" si="10"/>
        <v>9237.6428571428587</v>
      </c>
      <c r="I93" s="19">
        <f t="shared" si="11"/>
        <v>969.9525000000001</v>
      </c>
      <c r="J93" s="19">
        <f t="shared" si="12"/>
        <v>10207.595357142858</v>
      </c>
      <c r="K93" s="19">
        <f t="shared" si="13"/>
        <v>3062.2786071428573</v>
      </c>
      <c r="L93" s="19">
        <f t="shared" si="14"/>
        <v>13269.873964285714</v>
      </c>
      <c r="M93" s="19">
        <f t="shared" si="15"/>
        <v>5307.9495857142865</v>
      </c>
      <c r="N93" s="20">
        <f t="shared" si="16"/>
        <v>18577.823550000001</v>
      </c>
    </row>
    <row r="94" spans="2:14" x14ac:dyDescent="0.25">
      <c r="B94" s="69">
        <v>100027726</v>
      </c>
      <c r="C94" s="70" t="s">
        <v>91</v>
      </c>
      <c r="D94" s="71"/>
      <c r="E94" s="68">
        <v>22.5</v>
      </c>
      <c r="F94" s="18">
        <v>1</v>
      </c>
      <c r="G94" s="19">
        <v>6814.5000000000009</v>
      </c>
      <c r="H94" s="19">
        <f t="shared" si="10"/>
        <v>6814.5000000000009</v>
      </c>
      <c r="I94" s="19">
        <f t="shared" si="11"/>
        <v>715.52250000000004</v>
      </c>
      <c r="J94" s="19">
        <f t="shared" si="12"/>
        <v>7530.0225000000009</v>
      </c>
      <c r="K94" s="19">
        <f t="shared" si="13"/>
        <v>2259.00675</v>
      </c>
      <c r="L94" s="19">
        <f t="shared" si="14"/>
        <v>9789.0292500000014</v>
      </c>
      <c r="M94" s="19">
        <f t="shared" si="15"/>
        <v>3915.6117000000008</v>
      </c>
      <c r="N94" s="20">
        <f t="shared" si="16"/>
        <v>13704.640950000003</v>
      </c>
    </row>
    <row r="95" spans="2:14" ht="15.75" thickBot="1" x14ac:dyDescent="0.3">
      <c r="B95" s="47"/>
      <c r="C95" s="48"/>
      <c r="D95" s="49"/>
      <c r="E95" s="48"/>
      <c r="F95" s="50"/>
      <c r="G95" s="51"/>
      <c r="H95" s="64"/>
      <c r="I95" s="65">
        <v>0.21</v>
      </c>
      <c r="J95" s="64"/>
      <c r="K95" s="66">
        <v>0.35</v>
      </c>
      <c r="L95" s="64"/>
      <c r="M95" s="66">
        <v>0.45</v>
      </c>
      <c r="N95" s="67"/>
    </row>
    <row r="96" spans="2:14" ht="15.75" thickBot="1" x14ac:dyDescent="0.3">
      <c r="B96" s="22">
        <v>100520837</v>
      </c>
      <c r="C96" s="23" t="s">
        <v>92</v>
      </c>
      <c r="D96" s="16">
        <v>7790360980625</v>
      </c>
      <c r="E96" s="68">
        <v>4.8</v>
      </c>
      <c r="F96" s="18">
        <v>12</v>
      </c>
      <c r="G96" s="19">
        <v>35756.175548589337</v>
      </c>
      <c r="H96" s="72">
        <f>+G96/F96</f>
        <v>2979.6812957157781</v>
      </c>
      <c r="I96" s="35">
        <f>+H96*I$95</f>
        <v>625.73307210031339</v>
      </c>
      <c r="J96" s="36">
        <f>+H96+I96</f>
        <v>3605.4143678160917</v>
      </c>
      <c r="K96" s="68">
        <f>+J96*K$95</f>
        <v>1261.895028735632</v>
      </c>
      <c r="L96" s="18">
        <f>+J96+K96</f>
        <v>4867.3093965517237</v>
      </c>
      <c r="M96" s="56">
        <f>+L96*M$95</f>
        <v>2190.2892284482759</v>
      </c>
      <c r="N96" s="57">
        <f>+L96+M96</f>
        <v>7057.5986249999996</v>
      </c>
    </row>
    <row r="97" spans="2:14" x14ac:dyDescent="0.25">
      <c r="B97" s="72">
        <v>100522395</v>
      </c>
      <c r="C97" s="35" t="s">
        <v>93</v>
      </c>
      <c r="D97" s="71"/>
      <c r="E97" s="68">
        <v>4.8</v>
      </c>
      <c r="F97" s="18">
        <v>12</v>
      </c>
      <c r="G97" s="19">
        <v>36471.292000000001</v>
      </c>
      <c r="H97" s="72">
        <f>+G97/F97</f>
        <v>3039.2743333333333</v>
      </c>
      <c r="I97" s="35">
        <f>+H97*I$95</f>
        <v>638.24761000000001</v>
      </c>
      <c r="J97" s="36">
        <f>+H97+I97</f>
        <v>3677.5219433333332</v>
      </c>
      <c r="K97" s="68">
        <f>+J97*K$95</f>
        <v>1287.1326801666664</v>
      </c>
      <c r="L97" s="18">
        <f>+J97+K97</f>
        <v>4964.6546234999996</v>
      </c>
      <c r="M97" s="56">
        <f>+L97*M$95</f>
        <v>2234.0945805749998</v>
      </c>
      <c r="N97" s="57">
        <f>+L97+M97</f>
        <v>7198.7492040749994</v>
      </c>
    </row>
    <row r="98" spans="2:14" ht="15.75" thickBot="1" x14ac:dyDescent="0.3">
      <c r="B98" s="47"/>
      <c r="C98" s="48"/>
      <c r="D98" s="49"/>
      <c r="E98" s="48"/>
      <c r="F98" s="50"/>
      <c r="G98" s="51"/>
      <c r="H98" s="64"/>
      <c r="I98" s="65">
        <v>0.21</v>
      </c>
      <c r="J98" s="64"/>
      <c r="K98" s="66">
        <v>0.35</v>
      </c>
      <c r="L98" s="64"/>
      <c r="M98" s="66">
        <v>0.45</v>
      </c>
      <c r="N98" s="67"/>
    </row>
    <row r="99" spans="2:14" x14ac:dyDescent="0.25">
      <c r="B99" s="72">
        <v>100520902</v>
      </c>
      <c r="C99" s="35" t="s">
        <v>94</v>
      </c>
      <c r="D99" s="36">
        <v>7790360981042</v>
      </c>
      <c r="E99" s="68">
        <v>9.8000000000000007</v>
      </c>
      <c r="F99" s="18">
        <v>14</v>
      </c>
      <c r="G99" s="19">
        <v>32345.802856147693</v>
      </c>
      <c r="H99" s="72">
        <f>+G99/F99</f>
        <v>2310.4144897248352</v>
      </c>
      <c r="I99" s="35">
        <f>+H99*I$98</f>
        <v>485.18704284221536</v>
      </c>
      <c r="J99" s="36">
        <f>+H99+I99</f>
        <v>2795.6015325670505</v>
      </c>
      <c r="K99" s="68">
        <f>+J99*K$98</f>
        <v>978.46053639846764</v>
      </c>
      <c r="L99" s="18">
        <f>+J99+K99</f>
        <v>3774.0620689655179</v>
      </c>
      <c r="M99" s="56">
        <f>+L99*M$98</f>
        <v>1698.3279310344831</v>
      </c>
      <c r="N99" s="57">
        <f>+L99+M99</f>
        <v>5472.3900000000012</v>
      </c>
    </row>
    <row r="100" spans="2:14" ht="15.75" thickBot="1" x14ac:dyDescent="0.3">
      <c r="B100" s="47"/>
      <c r="C100" s="48"/>
      <c r="D100" s="49"/>
      <c r="E100" s="48"/>
      <c r="F100" s="50"/>
      <c r="G100" s="51"/>
      <c r="H100" s="64"/>
      <c r="I100" s="65">
        <v>0.21</v>
      </c>
      <c r="J100" s="64"/>
      <c r="K100" s="66">
        <v>0.35</v>
      </c>
      <c r="L100" s="64"/>
      <c r="M100" s="66">
        <v>0.45</v>
      </c>
      <c r="N100" s="67"/>
    </row>
    <row r="101" spans="2:14" ht="15.75" thickBot="1" x14ac:dyDescent="0.3">
      <c r="B101" s="72">
        <v>100521457</v>
      </c>
      <c r="C101" s="35" t="s">
        <v>95</v>
      </c>
      <c r="D101" s="36">
        <v>7790360982254</v>
      </c>
      <c r="E101" s="68">
        <v>4.8</v>
      </c>
      <c r="F101" s="18">
        <v>16</v>
      </c>
      <c r="G101" s="19">
        <v>36127.899686520381</v>
      </c>
      <c r="H101" s="72">
        <f>+G101/F101</f>
        <v>2257.9937304075238</v>
      </c>
      <c r="I101" s="35">
        <f>+H101*I$100</f>
        <v>474.17868338557997</v>
      </c>
      <c r="J101" s="36">
        <f>+H101+I101</f>
        <v>2732.1724137931037</v>
      </c>
      <c r="K101" s="68">
        <f>+J101*K$100</f>
        <v>956.26034482758621</v>
      </c>
      <c r="L101" s="18">
        <f>+J101+K101</f>
        <v>3688.43275862069</v>
      </c>
      <c r="M101" s="56">
        <f>+L101*M$100</f>
        <v>1659.7947413793106</v>
      </c>
      <c r="N101" s="57">
        <f>+L101+M101</f>
        <v>5348.2275000000009</v>
      </c>
    </row>
    <row r="102" spans="2:14" ht="15.75" thickBot="1" x14ac:dyDescent="0.3">
      <c r="B102" s="72">
        <v>100521455</v>
      </c>
      <c r="C102" s="35" t="s">
        <v>96</v>
      </c>
      <c r="D102" s="36">
        <v>7790360982247</v>
      </c>
      <c r="E102" s="68">
        <v>4.8</v>
      </c>
      <c r="F102" s="18">
        <v>16</v>
      </c>
      <c r="G102" s="19">
        <v>36127.899686520381</v>
      </c>
      <c r="H102" s="72">
        <f t="shared" ref="H102:H104" si="17">+G102/F102</f>
        <v>2257.9937304075238</v>
      </c>
      <c r="I102" s="35">
        <f t="shared" ref="I102:I104" si="18">+H102*I$100</f>
        <v>474.17868338557997</v>
      </c>
      <c r="J102" s="36">
        <f t="shared" ref="J102:J104" si="19">+H102+I102</f>
        <v>2732.1724137931037</v>
      </c>
      <c r="K102" s="68">
        <f t="shared" ref="K102:K104" si="20">+J102*K$100</f>
        <v>956.26034482758621</v>
      </c>
      <c r="L102" s="18">
        <f t="shared" ref="L102:L104" si="21">+J102+K102</f>
        <v>3688.43275862069</v>
      </c>
      <c r="M102" s="56">
        <f t="shared" ref="M102:M104" si="22">+L102*M$100</f>
        <v>1659.7947413793106</v>
      </c>
      <c r="N102" s="57">
        <f t="shared" ref="N102:N104" si="23">+L102+M102</f>
        <v>5348.2275000000009</v>
      </c>
    </row>
    <row r="103" spans="2:14" ht="15.75" thickBot="1" x14ac:dyDescent="0.3">
      <c r="B103" s="72">
        <v>100521453</v>
      </c>
      <c r="C103" s="35" t="s">
        <v>97</v>
      </c>
      <c r="D103" s="36">
        <v>7790360982223</v>
      </c>
      <c r="E103" s="68">
        <v>5.4</v>
      </c>
      <c r="F103" s="18">
        <v>18</v>
      </c>
      <c r="G103" s="19">
        <v>35563.401253918506</v>
      </c>
      <c r="H103" s="72">
        <f t="shared" si="17"/>
        <v>1975.7445141065837</v>
      </c>
      <c r="I103" s="35">
        <f t="shared" si="18"/>
        <v>414.90634796238254</v>
      </c>
      <c r="J103" s="36">
        <f t="shared" si="19"/>
        <v>2390.650862068966</v>
      </c>
      <c r="K103" s="68">
        <f t="shared" si="20"/>
        <v>836.72780172413809</v>
      </c>
      <c r="L103" s="18">
        <f t="shared" si="21"/>
        <v>3227.3786637931044</v>
      </c>
      <c r="M103" s="56">
        <f t="shared" si="22"/>
        <v>1452.3203987068971</v>
      </c>
      <c r="N103" s="57">
        <f t="shared" si="23"/>
        <v>4679.6990625000017</v>
      </c>
    </row>
    <row r="104" spans="2:14" x14ac:dyDescent="0.25">
      <c r="B104" s="72">
        <v>100521454</v>
      </c>
      <c r="C104" s="35" t="s">
        <v>98</v>
      </c>
      <c r="D104" s="36">
        <v>7790360982230</v>
      </c>
      <c r="E104" s="68">
        <v>5.3999999999999995</v>
      </c>
      <c r="F104" s="18">
        <v>18</v>
      </c>
      <c r="G104" s="19">
        <v>35563.401253918506</v>
      </c>
      <c r="H104" s="72">
        <f t="shared" si="17"/>
        <v>1975.7445141065837</v>
      </c>
      <c r="I104" s="35">
        <f t="shared" si="18"/>
        <v>414.90634796238254</v>
      </c>
      <c r="J104" s="36">
        <f t="shared" si="19"/>
        <v>2390.650862068966</v>
      </c>
      <c r="K104" s="68">
        <f t="shared" si="20"/>
        <v>836.72780172413809</v>
      </c>
      <c r="L104" s="18">
        <f t="shared" si="21"/>
        <v>3227.3786637931044</v>
      </c>
      <c r="M104" s="56">
        <f t="shared" si="22"/>
        <v>1452.3203987068971</v>
      </c>
      <c r="N104" s="57">
        <f t="shared" si="23"/>
        <v>4679.6990625000017</v>
      </c>
    </row>
    <row r="105" spans="2:14" ht="15.75" thickBot="1" x14ac:dyDescent="0.3">
      <c r="B105" s="47"/>
      <c r="C105" s="48"/>
      <c r="D105" s="49"/>
      <c r="E105" s="48"/>
      <c r="F105" s="50"/>
      <c r="G105" s="51"/>
      <c r="H105" s="64"/>
      <c r="I105" s="65">
        <v>0.21</v>
      </c>
      <c r="J105" s="64"/>
      <c r="K105" s="66">
        <v>0.22</v>
      </c>
      <c r="L105" s="64"/>
      <c r="M105" s="66">
        <v>0.35</v>
      </c>
      <c r="N105" s="67"/>
    </row>
    <row r="106" spans="2:14" ht="15.75" thickBot="1" x14ac:dyDescent="0.3">
      <c r="B106" s="72">
        <v>100522246</v>
      </c>
      <c r="C106" s="35" t="s">
        <v>99</v>
      </c>
      <c r="D106" s="36">
        <v>7790360984234</v>
      </c>
      <c r="E106" s="68">
        <v>8.16</v>
      </c>
      <c r="F106" s="18">
        <v>48</v>
      </c>
      <c r="G106" s="19">
        <v>116812.71733730749</v>
      </c>
      <c r="H106" s="72">
        <f t="shared" ref="H106:H107" si="24">+G106/F106</f>
        <v>2433.5982778605726</v>
      </c>
      <c r="I106" s="35">
        <f t="shared" ref="I106:I107" si="25">+H106*I$3</f>
        <v>511.05563835072024</v>
      </c>
      <c r="J106" s="36">
        <f t="shared" ref="J106:J107" si="26">+H106+I106</f>
        <v>2944.6539162112927</v>
      </c>
      <c r="K106" s="68">
        <f>+J106*K$105</f>
        <v>647.82386156648442</v>
      </c>
      <c r="L106" s="18">
        <f t="shared" ref="L106:L107" si="27">+J106+K106</f>
        <v>3592.4777777777772</v>
      </c>
      <c r="M106" s="56">
        <f>+L106*M$105</f>
        <v>1257.3672222222219</v>
      </c>
      <c r="N106" s="57">
        <f t="shared" ref="N106:N107" si="28">+L106+M106</f>
        <v>4849.8449999999993</v>
      </c>
    </row>
    <row r="107" spans="2:14" x14ac:dyDescent="0.25">
      <c r="B107" s="72">
        <v>100522247</v>
      </c>
      <c r="C107" s="35" t="s">
        <v>100</v>
      </c>
      <c r="D107" s="36">
        <v>7790360984241</v>
      </c>
      <c r="E107" s="68">
        <v>8.16</v>
      </c>
      <c r="F107" s="18">
        <v>48</v>
      </c>
      <c r="G107" s="19">
        <v>116812.71733730749</v>
      </c>
      <c r="H107" s="72">
        <f t="shared" si="24"/>
        <v>2433.5982778605726</v>
      </c>
      <c r="I107" s="35">
        <f t="shared" si="25"/>
        <v>511.05563835072024</v>
      </c>
      <c r="J107" s="36">
        <f t="shared" si="26"/>
        <v>2944.6539162112927</v>
      </c>
      <c r="K107" s="68">
        <f>+J107*K$105</f>
        <v>647.82386156648442</v>
      </c>
      <c r="L107" s="18">
        <f t="shared" si="27"/>
        <v>3592.4777777777772</v>
      </c>
      <c r="M107" s="56">
        <f>+L107*M$105</f>
        <v>1257.3672222222219</v>
      </c>
      <c r="N107" s="57">
        <f t="shared" si="28"/>
        <v>4849.8449999999993</v>
      </c>
    </row>
  </sheetData>
  <conditionalFormatting sqref="B20:C20">
    <cfRule type="cellIs" dxfId="22" priority="23" stopIfTrue="1" operator="equal">
      <formula>0</formula>
    </cfRule>
  </conditionalFormatting>
  <conditionalFormatting sqref="B27:C27">
    <cfRule type="cellIs" dxfId="21" priority="16" stopIfTrue="1" operator="equal">
      <formula>0</formula>
    </cfRule>
  </conditionalFormatting>
  <conditionalFormatting sqref="B97:C97">
    <cfRule type="cellIs" dxfId="20" priority="3" stopIfTrue="1" operator="equal">
      <formula>0</formula>
    </cfRule>
  </conditionalFormatting>
  <conditionalFormatting sqref="B63:D63">
    <cfRule type="cellIs" dxfId="19" priority="21" stopIfTrue="1" operator="equal">
      <formula>0</formula>
    </cfRule>
  </conditionalFormatting>
  <conditionalFormatting sqref="B16:F19">
    <cfRule type="cellIs" dxfId="18" priority="13" stopIfTrue="1" operator="equal">
      <formula>0</formula>
    </cfRule>
  </conditionalFormatting>
  <conditionalFormatting sqref="B99:F99">
    <cfRule type="cellIs" dxfId="17" priority="11" stopIfTrue="1" operator="equal">
      <formula>0</formula>
    </cfRule>
  </conditionalFormatting>
  <conditionalFormatting sqref="B101:F104">
    <cfRule type="cellIs" dxfId="16" priority="9" stopIfTrue="1" operator="equal">
      <formula>0</formula>
    </cfRule>
  </conditionalFormatting>
  <conditionalFormatting sqref="B106:F107">
    <cfRule type="cellIs" dxfId="15" priority="2" stopIfTrue="1" operator="equal">
      <formula>0</formula>
    </cfRule>
  </conditionalFormatting>
  <conditionalFormatting sqref="B69:N69">
    <cfRule type="cellIs" dxfId="14" priority="7" stopIfTrue="1" operator="equal">
      <formula>0</formula>
    </cfRule>
  </conditionalFormatting>
  <conditionalFormatting sqref="B73:N74">
    <cfRule type="cellIs" dxfId="13" priority="6" stopIfTrue="1" operator="equal">
      <formula>0</formula>
    </cfRule>
  </conditionalFormatting>
  <conditionalFormatting sqref="C28">
    <cfRule type="cellIs" dxfId="12" priority="15" stopIfTrue="1" operator="equal">
      <formula>0</formula>
    </cfRule>
  </conditionalFormatting>
  <conditionalFormatting sqref="E20:F20">
    <cfRule type="cellIs" dxfId="11" priority="22" stopIfTrue="1" operator="equal">
      <formula>0</formula>
    </cfRule>
  </conditionalFormatting>
  <conditionalFormatting sqref="E89:F94">
    <cfRule type="cellIs" dxfId="10" priority="14" stopIfTrue="1" operator="equal">
      <formula>0</formula>
    </cfRule>
  </conditionalFormatting>
  <conditionalFormatting sqref="E96:F97">
    <cfRule type="cellIs" dxfId="9" priority="4" stopIfTrue="1" operator="equal">
      <formula>0</formula>
    </cfRule>
  </conditionalFormatting>
  <conditionalFormatting sqref="E58:N61">
    <cfRule type="cellIs" dxfId="8" priority="19" stopIfTrue="1" operator="equal">
      <formula>0</formula>
    </cfRule>
  </conditionalFormatting>
  <conditionalFormatting sqref="G16:H20">
    <cfRule type="cellIs" dxfId="7" priority="20" stopIfTrue="1" operator="equal">
      <formula>0</formula>
    </cfRule>
  </conditionalFormatting>
  <conditionalFormatting sqref="H96:L97">
    <cfRule type="cellIs" dxfId="6" priority="12" stopIfTrue="1" operator="equal">
      <formula>0</formula>
    </cfRule>
  </conditionalFormatting>
  <conditionalFormatting sqref="H99:L99">
    <cfRule type="cellIs" dxfId="5" priority="10" stopIfTrue="1" operator="equal">
      <formula>0</formula>
    </cfRule>
  </conditionalFormatting>
  <conditionalFormatting sqref="H101:L104">
    <cfRule type="cellIs" dxfId="4" priority="8" stopIfTrue="1" operator="equal">
      <formula>0</formula>
    </cfRule>
  </conditionalFormatting>
  <conditionalFormatting sqref="H106:L107">
    <cfRule type="cellIs" dxfId="3" priority="1" stopIfTrue="1" operator="equal">
      <formula>0</formula>
    </cfRule>
  </conditionalFormatting>
  <conditionalFormatting sqref="H90:N94">
    <cfRule type="cellIs" dxfId="2" priority="5" stopIfTrue="1" operator="equal">
      <formula>0</formula>
    </cfRule>
  </conditionalFormatting>
  <conditionalFormatting sqref="K38">
    <cfRule type="cellIs" dxfId="1" priority="18" stopIfTrue="1" operator="equal">
      <formula>0</formula>
    </cfRule>
  </conditionalFormatting>
  <conditionalFormatting sqref="K16:N18 L19:N20">
    <cfRule type="cellIs" dxfId="0" priority="17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4:F6"/>
  <sheetViews>
    <sheetView workbookViewId="0">
      <selection activeCell="F17" sqref="F17"/>
    </sheetView>
  </sheetViews>
  <sheetFormatPr baseColWidth="10" defaultRowHeight="15" x14ac:dyDescent="0.25"/>
  <cols>
    <col min="5" max="5" width="33" bestFit="1" customWidth="1"/>
  </cols>
  <sheetData>
    <row r="4" spans="4:6" ht="15.75" thickBot="1" x14ac:dyDescent="0.3"/>
    <row r="5" spans="4:6" ht="15.75" thickBot="1" x14ac:dyDescent="0.3">
      <c r="D5" s="3" t="s">
        <v>0</v>
      </c>
      <c r="E5" s="4" t="s">
        <v>1</v>
      </c>
      <c r="F5" s="75" t="s">
        <v>5</v>
      </c>
    </row>
    <row r="6" spans="4:6" x14ac:dyDescent="0.25">
      <c r="D6" s="22">
        <v>100521663</v>
      </c>
      <c r="E6" s="23" t="s">
        <v>74</v>
      </c>
      <c r="F6" s="19">
        <v>43941.02138463041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Sub Litoral</vt:lpstr>
      <vt:lpstr>Sub NEA</vt:lpstr>
      <vt:lpstr>Sub NOA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 Argentina</dc:creator>
  <cp:lastModifiedBy>Nicolas Gentile</cp:lastModifiedBy>
  <dcterms:created xsi:type="dcterms:W3CDTF">2025-12-05T13:47:26Z</dcterms:created>
  <dcterms:modified xsi:type="dcterms:W3CDTF">2025-12-30T13:17:07Z</dcterms:modified>
</cp:coreProperties>
</file>