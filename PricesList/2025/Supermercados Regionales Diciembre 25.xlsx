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"/>
    </mc:Choice>
  </mc:AlternateContent>
  <xr:revisionPtr revIDLastSave="40" documentId="8_{E6E3212F-A686-4AD7-836A-3E98059D2B24}" xr6:coauthVersionLast="47" xr6:coauthVersionMax="47" xr10:uidLastSave="{808404D6-EAD4-4C1F-B1A4-284151D306D5}"/>
  <bookViews>
    <workbookView xWindow="-120" yWindow="-120" windowWidth="20730" windowHeight="11040" xr2:uid="{938B9B09-1291-4E64-988F-19E5B9A251F2}"/>
  </bookViews>
  <sheets>
    <sheet name="SUPER REG" sheetId="1" r:id="rId1"/>
  </sheets>
  <externalReferences>
    <externalReference r:id="rId2"/>
  </externalReferences>
  <definedNames>
    <definedName name="_Order1" hidden="1">255</definedName>
    <definedName name="_Order2" hidden="1">255</definedName>
    <definedName name="a">"$"</definedName>
    <definedName name="D">"$"</definedName>
    <definedName name="DIV">1000000</definedName>
    <definedName name="E">"$"</definedName>
    <definedName name="escala">"$"</definedName>
    <definedName name="Payment_Needed">"Pagamento necessário"</definedName>
    <definedName name="pro">"$"</definedName>
    <definedName name="Reimbursement">"Reembolso"</definedName>
    <definedName name="U">"$"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4" i="1" l="1"/>
  <c r="I135" i="1"/>
  <c r="I136" i="1"/>
  <c r="I133" i="1"/>
  <c r="I131" i="1"/>
  <c r="I129" i="1"/>
  <c r="I128" i="1"/>
  <c r="I123" i="1"/>
  <c r="I124" i="1"/>
  <c r="I125" i="1"/>
  <c r="I126" i="1"/>
  <c r="I122" i="1"/>
  <c r="I120" i="1"/>
  <c r="I119" i="1"/>
  <c r="I117" i="1"/>
  <c r="I116" i="1"/>
  <c r="I113" i="1"/>
  <c r="I114" i="1"/>
  <c r="I112" i="1"/>
  <c r="I95" i="1"/>
  <c r="I96" i="1"/>
  <c r="I97" i="1"/>
  <c r="I98" i="1"/>
  <c r="I99" i="1"/>
  <c r="I100" i="1"/>
  <c r="I101" i="1"/>
  <c r="I102" i="1"/>
  <c r="I103" i="1"/>
  <c r="I104" i="1"/>
  <c r="I105" i="1"/>
  <c r="I94" i="1"/>
  <c r="I90" i="1"/>
  <c r="I91" i="1"/>
  <c r="I92" i="1"/>
  <c r="I8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69" i="1"/>
  <c r="I69" i="1" s="1"/>
  <c r="I86" i="1"/>
  <c r="I51" i="1"/>
  <c r="I52" i="1"/>
  <c r="I53" i="1"/>
  <c r="I54" i="1"/>
  <c r="I55" i="1"/>
  <c r="I56" i="1"/>
  <c r="I57" i="1"/>
  <c r="I58" i="1"/>
  <c r="I59" i="1"/>
  <c r="I60" i="1"/>
  <c r="I61" i="1"/>
  <c r="I50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6" i="1"/>
  <c r="I47" i="1"/>
  <c r="I62" i="1"/>
  <c r="I63" i="1"/>
  <c r="I64" i="1"/>
  <c r="I65" i="1"/>
  <c r="I66" i="1"/>
  <c r="I88" i="1"/>
  <c r="I107" i="1"/>
  <c r="I109" i="1"/>
  <c r="I110" i="1"/>
  <c r="I11" i="1"/>
  <c r="R131" i="1"/>
  <c r="R129" i="1"/>
  <c r="R128" i="1"/>
  <c r="R117" i="1"/>
  <c r="R116" i="1"/>
  <c r="R100" i="1"/>
  <c r="R105" i="1"/>
  <c r="R103" i="1"/>
  <c r="R102" i="1"/>
  <c r="R101" i="1"/>
  <c r="R99" i="1"/>
  <c r="R97" i="1"/>
  <c r="R96" i="1"/>
  <c r="R89" i="1"/>
  <c r="R92" i="1"/>
  <c r="R91" i="1"/>
  <c r="R90" i="1"/>
  <c r="R80" i="1"/>
  <c r="R85" i="1"/>
  <c r="R84" i="1"/>
  <c r="R83" i="1"/>
  <c r="R82" i="1"/>
  <c r="R81" i="1"/>
  <c r="R79" i="1"/>
  <c r="R78" i="1"/>
  <c r="R77" i="1"/>
  <c r="R76" i="1"/>
  <c r="R75" i="1"/>
  <c r="R74" i="1"/>
  <c r="R73" i="1"/>
  <c r="R72" i="1"/>
  <c r="R71" i="1"/>
  <c r="R70" i="1"/>
  <c r="R69" i="1"/>
  <c r="R55" i="1"/>
  <c r="R61" i="1"/>
  <c r="R57" i="1"/>
  <c r="R56" i="1"/>
  <c r="S53" i="1"/>
  <c r="R51" i="1"/>
  <c r="R50" i="1"/>
  <c r="R29" i="1"/>
  <c r="R17" i="1"/>
  <c r="R22" i="1"/>
  <c r="R20" i="1"/>
  <c r="R19" i="1"/>
  <c r="R18" i="1"/>
  <c r="R25" i="1"/>
  <c r="R24" i="1"/>
  <c r="R23" i="1"/>
  <c r="R13" i="1"/>
  <c r="R12" i="1"/>
  <c r="R11" i="1"/>
  <c r="T60" i="1" l="1"/>
  <c r="U60" i="1" s="1"/>
  <c r="T59" i="1"/>
  <c r="U59" i="1" s="1"/>
  <c r="T57" i="1"/>
  <c r="U57" i="1" s="1"/>
  <c r="T54" i="1"/>
  <c r="U54" i="1" s="1"/>
  <c r="T53" i="1"/>
  <c r="U53" i="1" s="1"/>
  <c r="T51" i="1"/>
  <c r="U51" i="1" s="1"/>
  <c r="T28" i="1"/>
  <c r="U28" i="1" s="1"/>
  <c r="T24" i="1"/>
  <c r="U24" i="1" s="1"/>
  <c r="T21" i="1"/>
  <c r="U21" i="1" s="1"/>
  <c r="T132" i="1"/>
  <c r="U132" i="1" s="1"/>
  <c r="T130" i="1"/>
  <c r="U130" i="1" s="1"/>
  <c r="T129" i="1"/>
  <c r="U129" i="1" s="1"/>
  <c r="T127" i="1"/>
  <c r="U127" i="1" s="1"/>
  <c r="T126" i="1"/>
  <c r="U126" i="1" s="1"/>
  <c r="T125" i="1"/>
  <c r="U125" i="1" s="1"/>
  <c r="T124" i="1"/>
  <c r="U124" i="1" s="1"/>
  <c r="T123" i="1"/>
  <c r="U123" i="1" s="1"/>
  <c r="T122" i="1"/>
  <c r="U122" i="1" s="1"/>
  <c r="T121" i="1"/>
  <c r="U121" i="1" s="1"/>
  <c r="T118" i="1"/>
  <c r="U118" i="1" s="1"/>
  <c r="T115" i="1"/>
  <c r="U115" i="1" s="1"/>
  <c r="T111" i="1"/>
  <c r="U111" i="1" s="1"/>
  <c r="T110" i="1"/>
  <c r="U110" i="1" s="1"/>
  <c r="T109" i="1"/>
  <c r="U109" i="1" s="1"/>
  <c r="T108" i="1"/>
  <c r="U108" i="1" s="1"/>
  <c r="T107" i="1"/>
  <c r="U107" i="1" s="1"/>
  <c r="T106" i="1"/>
  <c r="U106" i="1" s="1"/>
  <c r="T93" i="1"/>
  <c r="U93" i="1" s="1"/>
  <c r="T88" i="1"/>
  <c r="U88" i="1" s="1"/>
  <c r="T87" i="1"/>
  <c r="U87" i="1" s="1"/>
  <c r="T86" i="1"/>
  <c r="U86" i="1" s="1"/>
  <c r="T68" i="1"/>
  <c r="U68" i="1" s="1"/>
  <c r="T67" i="1"/>
  <c r="U67" i="1" s="1"/>
  <c r="T66" i="1"/>
  <c r="U66" i="1" s="1"/>
  <c r="T65" i="1"/>
  <c r="U65" i="1" s="1"/>
  <c r="T64" i="1"/>
  <c r="U64" i="1" s="1"/>
  <c r="T63" i="1"/>
  <c r="U63" i="1" s="1"/>
  <c r="T62" i="1"/>
  <c r="U62" i="1" s="1"/>
  <c r="T49" i="1"/>
  <c r="U49" i="1" s="1"/>
  <c r="T48" i="1"/>
  <c r="U48" i="1" s="1"/>
  <c r="T47" i="1"/>
  <c r="U47" i="1" s="1"/>
  <c r="T46" i="1"/>
  <c r="U46" i="1" s="1"/>
  <c r="T45" i="1"/>
  <c r="U45" i="1" s="1"/>
  <c r="T44" i="1"/>
  <c r="U44" i="1" s="1"/>
  <c r="T71" i="1" l="1"/>
  <c r="U71" i="1" s="1"/>
  <c r="T72" i="1"/>
  <c r="U72" i="1" s="1"/>
  <c r="T99" i="1"/>
  <c r="U99" i="1" s="1"/>
  <c r="T97" i="1"/>
  <c r="U97" i="1" s="1"/>
  <c r="T103" i="1"/>
  <c r="U103" i="1" s="1"/>
  <c r="T98" i="1"/>
  <c r="U98" i="1" s="1"/>
  <c r="T89" i="1"/>
  <c r="U89" i="1" s="1"/>
  <c r="T133" i="1"/>
  <c r="U133" i="1" s="1"/>
  <c r="T134" i="1"/>
  <c r="U134" i="1" s="1"/>
  <c r="T136" i="1"/>
  <c r="U136" i="1" s="1"/>
  <c r="T135" i="1"/>
  <c r="U135" i="1" s="1"/>
  <c r="T128" i="1"/>
  <c r="U128" i="1" s="1"/>
  <c r="T131" i="1"/>
  <c r="U131" i="1" s="1"/>
  <c r="T17" i="1"/>
  <c r="U17" i="1" s="1"/>
  <c r="T120" i="1" l="1"/>
  <c r="U120" i="1" s="1"/>
  <c r="T119" i="1"/>
  <c r="U119" i="1" s="1"/>
  <c r="T117" i="1"/>
  <c r="U117" i="1" s="1"/>
  <c r="T116" i="1"/>
  <c r="U116" i="1" s="1"/>
  <c r="T112" i="1" l="1"/>
  <c r="U112" i="1" s="1"/>
  <c r="T114" i="1"/>
  <c r="U114" i="1" s="1"/>
  <c r="T113" i="1"/>
  <c r="U113" i="1" s="1"/>
  <c r="T35" i="1"/>
  <c r="U35" i="1" s="1"/>
  <c r="T36" i="1"/>
  <c r="U36" i="1" s="1"/>
  <c r="T26" i="1"/>
  <c r="U26" i="1" s="1"/>
  <c r="T27" i="1"/>
  <c r="U27" i="1" s="1"/>
  <c r="T43" i="1"/>
  <c r="U43" i="1" s="1"/>
  <c r="T58" i="1"/>
  <c r="U58" i="1" s="1"/>
  <c r="T105" i="1"/>
  <c r="U105" i="1" s="1"/>
  <c r="T80" i="1"/>
  <c r="U80" i="1" s="1"/>
  <c r="T69" i="1"/>
  <c r="U69" i="1" s="1"/>
  <c r="T102" i="1" l="1"/>
  <c r="U102" i="1" s="1"/>
  <c r="T101" i="1" l="1"/>
  <c r="U101" i="1" s="1"/>
  <c r="T61" i="1" l="1"/>
  <c r="U61" i="1" s="1"/>
  <c r="T55" i="1"/>
  <c r="U55" i="1" s="1"/>
  <c r="T19" i="1"/>
  <c r="U19" i="1" s="1"/>
  <c r="T11" i="1" l="1"/>
  <c r="U11" i="1" s="1"/>
  <c r="T13" i="1" l="1"/>
  <c r="U13" i="1" s="1"/>
  <c r="T18" i="1"/>
  <c r="U18" i="1" s="1"/>
  <c r="T15" i="1"/>
  <c r="U15" i="1" s="1"/>
  <c r="T23" i="1"/>
  <c r="U23" i="1" s="1"/>
  <c r="T25" i="1"/>
  <c r="U25" i="1" s="1"/>
  <c r="T29" i="1"/>
  <c r="U29" i="1" s="1"/>
  <c r="T34" i="1"/>
  <c r="U34" i="1" s="1"/>
  <c r="T16" i="1"/>
  <c r="U16" i="1" s="1"/>
  <c r="T12" i="1"/>
  <c r="U12" i="1" s="1"/>
  <c r="T20" i="1"/>
  <c r="U20" i="1" s="1"/>
  <c r="T39" i="1"/>
  <c r="U39" i="1" s="1"/>
  <c r="T22" i="1"/>
  <c r="U22" i="1" s="1"/>
  <c r="T33" i="1"/>
  <c r="U33" i="1" s="1"/>
  <c r="T14" i="1"/>
  <c r="U14" i="1" s="1"/>
  <c r="T30" i="1"/>
  <c r="U30" i="1" s="1"/>
  <c r="T40" i="1"/>
  <c r="U40" i="1" s="1"/>
  <c r="T31" i="1"/>
  <c r="U31" i="1" s="1"/>
  <c r="T38" i="1"/>
  <c r="U38" i="1" s="1"/>
  <c r="T32" i="1"/>
  <c r="U32" i="1" s="1"/>
  <c r="T41" i="1"/>
  <c r="U41" i="1" s="1"/>
  <c r="T37" i="1"/>
  <c r="U37" i="1" s="1"/>
  <c r="T52" i="1" l="1"/>
  <c r="U52" i="1" s="1"/>
  <c r="T70" i="1"/>
  <c r="U70" i="1" s="1"/>
  <c r="T104" i="1"/>
  <c r="U104" i="1" s="1"/>
  <c r="T85" i="1" l="1"/>
  <c r="U85" i="1" s="1"/>
  <c r="T82" i="1"/>
  <c r="U82" i="1" s="1"/>
  <c r="T79" i="1"/>
  <c r="U79" i="1" s="1"/>
  <c r="T76" i="1"/>
  <c r="U76" i="1" s="1"/>
  <c r="T42" i="1"/>
  <c r="U42" i="1" s="1"/>
  <c r="T100" i="1"/>
  <c r="U100" i="1" s="1"/>
  <c r="T78" i="1"/>
  <c r="U78" i="1" s="1"/>
  <c r="T84" i="1"/>
  <c r="U84" i="1" s="1"/>
  <c r="T74" i="1"/>
  <c r="U74" i="1" s="1"/>
  <c r="T73" i="1"/>
  <c r="U73" i="1" s="1"/>
  <c r="T91" i="1"/>
  <c r="U91" i="1" s="1"/>
  <c r="T75" i="1"/>
  <c r="U75" i="1" s="1"/>
  <c r="T81" i="1"/>
  <c r="U81" i="1" s="1"/>
  <c r="T95" i="1"/>
  <c r="U95" i="1" s="1"/>
  <c r="T77" i="1"/>
  <c r="U77" i="1" s="1"/>
  <c r="T94" i="1"/>
  <c r="U94" i="1" s="1"/>
  <c r="T90" i="1"/>
  <c r="U90" i="1" s="1"/>
  <c r="T96" i="1"/>
  <c r="U96" i="1" s="1"/>
  <c r="T50" i="1"/>
  <c r="U50" i="1" s="1"/>
  <c r="T92" i="1"/>
  <c r="U92" i="1" s="1"/>
  <c r="T83" i="1"/>
  <c r="U83" i="1" s="1"/>
  <c r="T56" i="1" l="1"/>
  <c r="U56" i="1" s="1"/>
  <c r="B3" i="1" l="1"/>
  <c r="L11" i="1"/>
  <c r="J11" i="1" s="1"/>
  <c r="P11" i="1"/>
  <c r="S11" i="1" s="1"/>
  <c r="W11" i="1"/>
  <c r="X11" i="1"/>
  <c r="L12" i="1"/>
  <c r="J12" i="1" s="1"/>
  <c r="P12" i="1"/>
  <c r="S12" i="1" s="1"/>
  <c r="W12" i="1"/>
  <c r="X12" i="1"/>
  <c r="L13" i="1"/>
  <c r="J13" i="1" s="1"/>
  <c r="M13" i="1"/>
  <c r="P13" i="1"/>
  <c r="S13" i="1"/>
  <c r="W13" i="1"/>
  <c r="X13" i="1"/>
  <c r="J14" i="1"/>
  <c r="L14" i="1"/>
  <c r="M14" i="1"/>
  <c r="P14" i="1"/>
  <c r="R14" i="1"/>
  <c r="S14" i="1"/>
  <c r="W14" i="1"/>
  <c r="X14" i="1"/>
  <c r="J15" i="1"/>
  <c r="L15" i="1"/>
  <c r="M15" i="1"/>
  <c r="P15" i="1"/>
  <c r="R15" i="1"/>
  <c r="S15" i="1" s="1"/>
  <c r="W15" i="1"/>
  <c r="X15" i="1"/>
  <c r="J16" i="1"/>
  <c r="L16" i="1"/>
  <c r="M16" i="1"/>
  <c r="P16" i="1"/>
  <c r="R16" i="1" s="1"/>
  <c r="S16" i="1" s="1"/>
  <c r="W16" i="1"/>
  <c r="X16" i="1"/>
  <c r="L17" i="1"/>
  <c r="J17" i="1" s="1"/>
  <c r="M17" i="1"/>
  <c r="P17" i="1"/>
  <c r="S17" i="1"/>
  <c r="W17" i="1"/>
  <c r="X17" i="1"/>
  <c r="L18" i="1"/>
  <c r="J18" i="1" s="1"/>
  <c r="M18" i="1"/>
  <c r="P18" i="1"/>
  <c r="S18" i="1"/>
  <c r="W18" i="1"/>
  <c r="X18" i="1"/>
  <c r="J19" i="1"/>
  <c r="L19" i="1"/>
  <c r="M19" i="1"/>
  <c r="P19" i="1"/>
  <c r="S19" i="1" s="1"/>
  <c r="W19" i="1"/>
  <c r="X19" i="1"/>
  <c r="J20" i="1"/>
  <c r="L20" i="1"/>
  <c r="M20" i="1"/>
  <c r="P20" i="1"/>
  <c r="S20" i="1" s="1"/>
  <c r="W20" i="1"/>
  <c r="X20" i="1"/>
  <c r="L21" i="1"/>
  <c r="J21" i="1" s="1"/>
  <c r="M21" i="1"/>
  <c r="P21" i="1"/>
  <c r="R21" i="1" s="1"/>
  <c r="S21" i="1" s="1"/>
  <c r="W21" i="1"/>
  <c r="X21" i="1"/>
  <c r="J22" i="1"/>
  <c r="L22" i="1"/>
  <c r="M22" i="1"/>
  <c r="P22" i="1"/>
  <c r="S22" i="1"/>
  <c r="W22" i="1"/>
  <c r="X22" i="1"/>
  <c r="J23" i="1"/>
  <c r="L23" i="1"/>
  <c r="M23" i="1"/>
  <c r="P23" i="1"/>
  <c r="S23" i="1" s="1"/>
  <c r="W23" i="1"/>
  <c r="X23" i="1"/>
  <c r="J24" i="1"/>
  <c r="L24" i="1"/>
  <c r="M24" i="1"/>
  <c r="P24" i="1"/>
  <c r="S24" i="1" s="1"/>
  <c r="W24" i="1"/>
  <c r="X24" i="1"/>
  <c r="L25" i="1"/>
  <c r="J25" i="1" s="1"/>
  <c r="M25" i="1"/>
  <c r="P25" i="1"/>
  <c r="S25" i="1"/>
  <c r="W25" i="1"/>
  <c r="X25" i="1"/>
  <c r="L26" i="1"/>
  <c r="J26" i="1" s="1"/>
  <c r="M26" i="1"/>
  <c r="P26" i="1"/>
  <c r="R26" i="1"/>
  <c r="S26" i="1" s="1"/>
  <c r="W26" i="1"/>
  <c r="X26" i="1"/>
  <c r="J27" i="1"/>
  <c r="L27" i="1"/>
  <c r="P27" i="1"/>
  <c r="R27" i="1"/>
  <c r="S27" i="1" s="1"/>
  <c r="W27" i="1"/>
  <c r="J28" i="1"/>
  <c r="L28" i="1"/>
  <c r="M28" i="1"/>
  <c r="P28" i="1"/>
  <c r="R28" i="1"/>
  <c r="S28" i="1" s="1"/>
  <c r="W28" i="1"/>
  <c r="X28" i="1"/>
  <c r="J29" i="1"/>
  <c r="L29" i="1"/>
  <c r="M29" i="1"/>
  <c r="P29" i="1"/>
  <c r="S29" i="1" s="1"/>
  <c r="W29" i="1"/>
  <c r="X29" i="1"/>
  <c r="J30" i="1"/>
  <c r="L30" i="1"/>
  <c r="M30" i="1"/>
  <c r="P30" i="1"/>
  <c r="R30" i="1" s="1"/>
  <c r="S30" i="1" s="1"/>
  <c r="W30" i="1"/>
  <c r="X30" i="1"/>
  <c r="L31" i="1"/>
  <c r="J31" i="1" s="1"/>
  <c r="M31" i="1"/>
  <c r="P31" i="1"/>
  <c r="R31" i="1" s="1"/>
  <c r="S31" i="1" s="1"/>
  <c r="W31" i="1"/>
  <c r="X31" i="1"/>
  <c r="J32" i="1"/>
  <c r="L32" i="1"/>
  <c r="M32" i="1"/>
  <c r="P32" i="1"/>
  <c r="R32" i="1"/>
  <c r="S32" i="1"/>
  <c r="W32" i="1"/>
  <c r="X32" i="1"/>
  <c r="J33" i="1"/>
  <c r="L33" i="1"/>
  <c r="M33" i="1"/>
  <c r="P33" i="1"/>
  <c r="R33" i="1" s="1"/>
  <c r="S33" i="1" s="1"/>
  <c r="W33" i="1"/>
  <c r="X33" i="1"/>
  <c r="F34" i="1"/>
  <c r="L34" i="1"/>
  <c r="J34" i="1" s="1"/>
  <c r="M34" i="1"/>
  <c r="P34" i="1"/>
  <c r="R34" i="1"/>
  <c r="S34" i="1"/>
  <c r="W34" i="1"/>
  <c r="X34" i="1"/>
  <c r="L35" i="1"/>
  <c r="J35" i="1" s="1"/>
  <c r="M35" i="1"/>
  <c r="P35" i="1"/>
  <c r="R35" i="1"/>
  <c r="S35" i="1" s="1"/>
  <c r="W35" i="1"/>
  <c r="X35" i="1"/>
  <c r="J36" i="1"/>
  <c r="L36" i="1"/>
  <c r="M36" i="1"/>
  <c r="P36" i="1"/>
  <c r="R36" i="1" s="1"/>
  <c r="S36" i="1" s="1"/>
  <c r="W36" i="1"/>
  <c r="X36" i="1"/>
  <c r="L37" i="1"/>
  <c r="M37" i="1"/>
  <c r="P37" i="1"/>
  <c r="R37" i="1" s="1"/>
  <c r="S37" i="1" s="1"/>
  <c r="W37" i="1"/>
  <c r="X37" i="1"/>
  <c r="L38" i="1"/>
  <c r="M38" i="1"/>
  <c r="P38" i="1"/>
  <c r="R38" i="1" s="1"/>
  <c r="S38" i="1" s="1"/>
  <c r="W38" i="1"/>
  <c r="X38" i="1"/>
  <c r="L39" i="1"/>
  <c r="M39" i="1"/>
  <c r="P39" i="1"/>
  <c r="R39" i="1" s="1"/>
  <c r="S39" i="1" s="1"/>
  <c r="W39" i="1"/>
  <c r="X39" i="1"/>
  <c r="L40" i="1"/>
  <c r="M40" i="1"/>
  <c r="P40" i="1"/>
  <c r="R40" i="1" s="1"/>
  <c r="S40" i="1" s="1"/>
  <c r="W40" i="1"/>
  <c r="X40" i="1"/>
  <c r="L41" i="1"/>
  <c r="M41" i="1"/>
  <c r="P41" i="1"/>
  <c r="R41" i="1" s="1"/>
  <c r="S41" i="1" s="1"/>
  <c r="W41" i="1"/>
  <c r="X41" i="1"/>
  <c r="L42" i="1"/>
  <c r="M42" i="1"/>
  <c r="P42" i="1"/>
  <c r="R42" i="1" s="1"/>
  <c r="S42" i="1" s="1"/>
  <c r="W42" i="1"/>
  <c r="X42" i="1"/>
  <c r="L43" i="1"/>
  <c r="M43" i="1"/>
  <c r="P43" i="1"/>
  <c r="R43" i="1" s="1"/>
  <c r="S43" i="1" s="1"/>
  <c r="W43" i="1"/>
  <c r="X43" i="1"/>
  <c r="L44" i="1"/>
  <c r="M44" i="1"/>
  <c r="P44" i="1"/>
  <c r="R44" i="1" s="1"/>
  <c r="S44" i="1" s="1"/>
  <c r="W44" i="1"/>
  <c r="X44" i="1"/>
  <c r="F46" i="1"/>
  <c r="L46" i="1"/>
  <c r="M46" i="1"/>
  <c r="P46" i="1"/>
  <c r="R46" i="1" s="1"/>
  <c r="S46" i="1" s="1"/>
  <c r="W46" i="1"/>
  <c r="X46" i="1"/>
  <c r="F47" i="1"/>
  <c r="M47" i="1" s="1"/>
  <c r="L47" i="1"/>
  <c r="P47" i="1"/>
  <c r="R47" i="1"/>
  <c r="S47" i="1"/>
  <c r="W47" i="1"/>
  <c r="X47" i="1"/>
  <c r="J50" i="1"/>
  <c r="L50" i="1"/>
  <c r="M50" i="1"/>
  <c r="P50" i="1"/>
  <c r="S50" i="1"/>
  <c r="W50" i="1"/>
  <c r="X50" i="1"/>
  <c r="J51" i="1"/>
  <c r="L51" i="1"/>
  <c r="M51" i="1"/>
  <c r="P51" i="1"/>
  <c r="S51" i="1" s="1"/>
  <c r="W51" i="1"/>
  <c r="X51" i="1"/>
  <c r="L52" i="1"/>
  <c r="J52" i="1" s="1"/>
  <c r="M52" i="1"/>
  <c r="P52" i="1"/>
  <c r="W52" i="1"/>
  <c r="X52" i="1"/>
  <c r="L54" i="1"/>
  <c r="J54" i="1" s="1"/>
  <c r="M54" i="1"/>
  <c r="P54" i="1"/>
  <c r="R54" i="1" s="1"/>
  <c r="S54" i="1" s="1"/>
  <c r="W54" i="1"/>
  <c r="X54" i="1"/>
  <c r="L55" i="1"/>
  <c r="J55" i="1" s="1"/>
  <c r="M55" i="1"/>
  <c r="P55" i="1"/>
  <c r="S55" i="1" s="1"/>
  <c r="W55" i="1"/>
  <c r="X55" i="1"/>
  <c r="J56" i="1"/>
  <c r="L56" i="1"/>
  <c r="M56" i="1"/>
  <c r="P56" i="1"/>
  <c r="S56" i="1" s="1"/>
  <c r="W56" i="1"/>
  <c r="X56" i="1"/>
  <c r="J57" i="1"/>
  <c r="L57" i="1"/>
  <c r="M57" i="1"/>
  <c r="P57" i="1"/>
  <c r="S57" i="1" s="1"/>
  <c r="W57" i="1"/>
  <c r="X57" i="1"/>
  <c r="L58" i="1"/>
  <c r="M58" i="1"/>
  <c r="P58" i="1"/>
  <c r="R58" i="1" s="1"/>
  <c r="S58" i="1" s="1"/>
  <c r="W58" i="1"/>
  <c r="X58" i="1"/>
  <c r="J59" i="1"/>
  <c r="L59" i="1"/>
  <c r="M59" i="1"/>
  <c r="P59" i="1"/>
  <c r="R59" i="1" s="1"/>
  <c r="S59" i="1" s="1"/>
  <c r="W59" i="1"/>
  <c r="X59" i="1"/>
  <c r="L60" i="1"/>
  <c r="J60" i="1" s="1"/>
  <c r="M60" i="1"/>
  <c r="P60" i="1"/>
  <c r="R60" i="1" s="1"/>
  <c r="S60" i="1" s="1"/>
  <c r="W60" i="1"/>
  <c r="X60" i="1"/>
  <c r="J61" i="1"/>
  <c r="L61" i="1"/>
  <c r="M61" i="1"/>
  <c r="P61" i="1"/>
  <c r="S61" i="1"/>
  <c r="W61" i="1"/>
  <c r="X61" i="1"/>
  <c r="M62" i="1"/>
  <c r="P62" i="1"/>
  <c r="L62" i="1" s="1"/>
  <c r="R62" i="1"/>
  <c r="S62" i="1"/>
  <c r="W62" i="1"/>
  <c r="X62" i="1"/>
  <c r="M63" i="1"/>
  <c r="P63" i="1"/>
  <c r="L63" i="1" s="1"/>
  <c r="R63" i="1"/>
  <c r="S63" i="1"/>
  <c r="W63" i="1"/>
  <c r="X63" i="1"/>
  <c r="M64" i="1"/>
  <c r="P64" i="1"/>
  <c r="L64" i="1" s="1"/>
  <c r="R64" i="1"/>
  <c r="S64" i="1"/>
  <c r="W64" i="1"/>
  <c r="X64" i="1"/>
  <c r="M65" i="1"/>
  <c r="P65" i="1"/>
  <c r="L65" i="1" s="1"/>
  <c r="R65" i="1"/>
  <c r="S65" i="1" s="1"/>
  <c r="W65" i="1"/>
  <c r="X65" i="1"/>
  <c r="M66" i="1"/>
  <c r="P66" i="1"/>
  <c r="L66" i="1" s="1"/>
  <c r="R66" i="1"/>
  <c r="S66" i="1"/>
  <c r="W66" i="1"/>
  <c r="X66" i="1"/>
  <c r="L67" i="1"/>
  <c r="M67" i="1"/>
  <c r="P67" i="1"/>
  <c r="R67" i="1" s="1"/>
  <c r="S67" i="1"/>
  <c r="X67" i="1"/>
  <c r="J69" i="1"/>
  <c r="L69" i="1"/>
  <c r="M69" i="1"/>
  <c r="P69" i="1"/>
  <c r="W69" i="1"/>
  <c r="X69" i="1"/>
  <c r="J70" i="1"/>
  <c r="L70" i="1"/>
  <c r="M70" i="1"/>
  <c r="P70" i="1"/>
  <c r="W70" i="1"/>
  <c r="X70" i="1"/>
  <c r="J71" i="1"/>
  <c r="L71" i="1"/>
  <c r="M71" i="1"/>
  <c r="P71" i="1"/>
  <c r="W71" i="1"/>
  <c r="X71" i="1"/>
  <c r="L72" i="1"/>
  <c r="J72" i="1" s="1"/>
  <c r="M72" i="1"/>
  <c r="P72" i="1"/>
  <c r="W72" i="1"/>
  <c r="X72" i="1"/>
  <c r="L73" i="1"/>
  <c r="J73" i="1" s="1"/>
  <c r="M73" i="1"/>
  <c r="P73" i="1"/>
  <c r="W73" i="1"/>
  <c r="X73" i="1"/>
  <c r="L74" i="1"/>
  <c r="J74" i="1" s="1"/>
  <c r="M74" i="1"/>
  <c r="P74" i="1"/>
  <c r="W74" i="1"/>
  <c r="X74" i="1"/>
  <c r="J75" i="1"/>
  <c r="L75" i="1"/>
  <c r="M75" i="1"/>
  <c r="P75" i="1"/>
  <c r="W75" i="1"/>
  <c r="X75" i="1"/>
  <c r="L76" i="1"/>
  <c r="J76" i="1" s="1"/>
  <c r="M76" i="1"/>
  <c r="P76" i="1"/>
  <c r="W76" i="1"/>
  <c r="X76" i="1"/>
  <c r="L77" i="1"/>
  <c r="J77" i="1" s="1"/>
  <c r="M77" i="1"/>
  <c r="P77" i="1"/>
  <c r="W77" i="1"/>
  <c r="X77" i="1"/>
  <c r="L78" i="1"/>
  <c r="J78" i="1" s="1"/>
  <c r="M78" i="1"/>
  <c r="P78" i="1"/>
  <c r="W78" i="1"/>
  <c r="X78" i="1"/>
  <c r="L79" i="1"/>
  <c r="J79" i="1" s="1"/>
  <c r="M79" i="1"/>
  <c r="P79" i="1"/>
  <c r="W79" i="1"/>
  <c r="X79" i="1"/>
  <c r="J80" i="1"/>
  <c r="L80" i="1"/>
  <c r="M80" i="1"/>
  <c r="P80" i="1"/>
  <c r="W80" i="1"/>
  <c r="X80" i="1"/>
  <c r="L81" i="1"/>
  <c r="J81" i="1" s="1"/>
  <c r="M81" i="1"/>
  <c r="P81" i="1"/>
  <c r="W81" i="1"/>
  <c r="X81" i="1"/>
  <c r="J82" i="1"/>
  <c r="L82" i="1"/>
  <c r="M82" i="1"/>
  <c r="P82" i="1"/>
  <c r="W82" i="1"/>
  <c r="X82" i="1"/>
  <c r="L83" i="1"/>
  <c r="J83" i="1" s="1"/>
  <c r="M83" i="1"/>
  <c r="P83" i="1"/>
  <c r="W83" i="1"/>
  <c r="X83" i="1"/>
  <c r="L84" i="1"/>
  <c r="J84" i="1" s="1"/>
  <c r="M84" i="1"/>
  <c r="P84" i="1"/>
  <c r="W84" i="1"/>
  <c r="X84" i="1"/>
  <c r="J85" i="1"/>
  <c r="L85" i="1"/>
  <c r="M85" i="1"/>
  <c r="P85" i="1"/>
  <c r="W85" i="1"/>
  <c r="X85" i="1"/>
  <c r="L86" i="1"/>
  <c r="J86" i="1" s="1"/>
  <c r="M86" i="1"/>
  <c r="P86" i="1"/>
  <c r="R86" i="1" s="1"/>
  <c r="W86" i="1"/>
  <c r="X86" i="1"/>
  <c r="L88" i="1"/>
  <c r="M88" i="1"/>
  <c r="P88" i="1"/>
  <c r="R88" i="1" s="1"/>
  <c r="S88" i="1" s="1"/>
  <c r="W88" i="1"/>
  <c r="X88" i="1"/>
  <c r="L89" i="1"/>
  <c r="J89" i="1" s="1"/>
  <c r="M89" i="1"/>
  <c r="P89" i="1"/>
  <c r="S89" i="1" s="1"/>
  <c r="W89" i="1"/>
  <c r="X89" i="1"/>
  <c r="J90" i="1"/>
  <c r="L90" i="1"/>
  <c r="M90" i="1"/>
  <c r="P90" i="1"/>
  <c r="S90" i="1"/>
  <c r="W90" i="1"/>
  <c r="X90" i="1"/>
  <c r="L91" i="1"/>
  <c r="J91" i="1" s="1"/>
  <c r="M91" i="1"/>
  <c r="P91" i="1"/>
  <c r="S91" i="1" s="1"/>
  <c r="W91" i="1"/>
  <c r="X91" i="1"/>
  <c r="J92" i="1"/>
  <c r="L92" i="1"/>
  <c r="M92" i="1"/>
  <c r="P92" i="1"/>
  <c r="S92" i="1" s="1"/>
  <c r="W92" i="1"/>
  <c r="X92" i="1"/>
  <c r="F94" i="1"/>
  <c r="L94" i="1"/>
  <c r="J94" i="1" s="1"/>
  <c r="M94" i="1"/>
  <c r="P94" i="1"/>
  <c r="R94" i="1" s="1"/>
  <c r="S94" i="1" s="1"/>
  <c r="W94" i="1"/>
  <c r="X94" i="1"/>
  <c r="F95" i="1"/>
  <c r="M95" i="1" s="1"/>
  <c r="L95" i="1"/>
  <c r="J95" i="1" s="1"/>
  <c r="P95" i="1"/>
  <c r="R95" i="1" s="1"/>
  <c r="S95" i="1" s="1"/>
  <c r="W95" i="1"/>
  <c r="X95" i="1"/>
  <c r="L96" i="1"/>
  <c r="J96" i="1" s="1"/>
  <c r="M96" i="1"/>
  <c r="P96" i="1"/>
  <c r="S96" i="1" s="1"/>
  <c r="W96" i="1"/>
  <c r="X96" i="1"/>
  <c r="J97" i="1"/>
  <c r="L97" i="1"/>
  <c r="M97" i="1"/>
  <c r="P97" i="1"/>
  <c r="S97" i="1"/>
  <c r="W97" i="1"/>
  <c r="X97" i="1"/>
  <c r="L98" i="1"/>
  <c r="J98" i="1" s="1"/>
  <c r="M98" i="1"/>
  <c r="P98" i="1"/>
  <c r="R98" i="1" s="1"/>
  <c r="S98" i="1" s="1"/>
  <c r="W98" i="1"/>
  <c r="X98" i="1"/>
  <c r="J99" i="1"/>
  <c r="L99" i="1"/>
  <c r="M99" i="1"/>
  <c r="P99" i="1"/>
  <c r="S99" i="1" s="1"/>
  <c r="W99" i="1"/>
  <c r="X99" i="1"/>
  <c r="L100" i="1"/>
  <c r="J100" i="1" s="1"/>
  <c r="M100" i="1"/>
  <c r="P100" i="1"/>
  <c r="S100" i="1"/>
  <c r="W100" i="1"/>
  <c r="X100" i="1"/>
  <c r="L101" i="1"/>
  <c r="J101" i="1" s="1"/>
  <c r="M101" i="1"/>
  <c r="P101" i="1"/>
  <c r="S101" i="1" s="1"/>
  <c r="W101" i="1"/>
  <c r="X101" i="1"/>
  <c r="J102" i="1"/>
  <c r="L102" i="1"/>
  <c r="M102" i="1"/>
  <c r="P102" i="1"/>
  <c r="S102" i="1" s="1"/>
  <c r="W102" i="1"/>
  <c r="X102" i="1"/>
  <c r="L103" i="1"/>
  <c r="J103" i="1" s="1"/>
  <c r="M103" i="1"/>
  <c r="P103" i="1"/>
  <c r="S103" i="1" s="1"/>
  <c r="W103" i="1"/>
  <c r="X103" i="1"/>
  <c r="L104" i="1"/>
  <c r="J104" i="1" s="1"/>
  <c r="M104" i="1"/>
  <c r="P104" i="1"/>
  <c r="R104" i="1" s="1"/>
  <c r="S104" i="1" s="1"/>
  <c r="W104" i="1"/>
  <c r="X104" i="1"/>
  <c r="J105" i="1"/>
  <c r="L105" i="1"/>
  <c r="M105" i="1"/>
  <c r="P105" i="1"/>
  <c r="S105" i="1"/>
  <c r="W105" i="1"/>
  <c r="X105" i="1"/>
  <c r="L107" i="1"/>
  <c r="J107" i="1" s="1"/>
  <c r="M107" i="1"/>
  <c r="P107" i="1"/>
  <c r="R107" i="1" s="1"/>
  <c r="S107" i="1" s="1"/>
  <c r="W107" i="1"/>
  <c r="X107" i="1"/>
  <c r="X108" i="1"/>
  <c r="L109" i="1"/>
  <c r="J109" i="1" s="1"/>
  <c r="M109" i="1"/>
  <c r="P109" i="1"/>
  <c r="R109" i="1"/>
  <c r="S109" i="1" s="1"/>
  <c r="W109" i="1"/>
  <c r="X109" i="1"/>
  <c r="L110" i="1"/>
  <c r="J110" i="1" s="1"/>
  <c r="M110" i="1"/>
  <c r="P110" i="1"/>
  <c r="R110" i="1" s="1"/>
  <c r="S110" i="1" s="1"/>
  <c r="W110" i="1"/>
  <c r="X110" i="1"/>
  <c r="L112" i="1"/>
  <c r="J112" i="1" s="1"/>
  <c r="M112" i="1"/>
  <c r="P112" i="1"/>
  <c r="R112" i="1"/>
  <c r="S112" i="1" s="1"/>
  <c r="W112" i="1"/>
  <c r="X112" i="1"/>
  <c r="L113" i="1"/>
  <c r="J113" i="1" s="1"/>
  <c r="M113" i="1"/>
  <c r="P113" i="1"/>
  <c r="R113" i="1" s="1"/>
  <c r="S113" i="1" s="1"/>
  <c r="W113" i="1"/>
  <c r="X113" i="1"/>
  <c r="L114" i="1"/>
  <c r="J114" i="1" s="1"/>
  <c r="M114" i="1"/>
  <c r="P114" i="1"/>
  <c r="R114" i="1" s="1"/>
  <c r="S114" i="1" s="1"/>
  <c r="W114" i="1"/>
  <c r="X114" i="1"/>
  <c r="J116" i="1"/>
  <c r="L116" i="1"/>
  <c r="M116" i="1"/>
  <c r="P116" i="1"/>
  <c r="S116" i="1" s="1"/>
  <c r="W116" i="1"/>
  <c r="X116" i="1"/>
  <c r="L117" i="1"/>
  <c r="J117" i="1" s="1"/>
  <c r="M117" i="1"/>
  <c r="P117" i="1"/>
  <c r="S117" i="1" s="1"/>
  <c r="W117" i="1"/>
  <c r="X117" i="1"/>
  <c r="J119" i="1"/>
  <c r="L119" i="1"/>
  <c r="M119" i="1"/>
  <c r="P119" i="1"/>
  <c r="R119" i="1" s="1"/>
  <c r="S119" i="1" s="1"/>
  <c r="W119" i="1"/>
  <c r="X119" i="1"/>
  <c r="J120" i="1"/>
  <c r="L120" i="1"/>
  <c r="M120" i="1"/>
  <c r="P120" i="1"/>
  <c r="R120" i="1"/>
  <c r="S120" i="1" s="1"/>
  <c r="W120" i="1"/>
  <c r="X120" i="1"/>
  <c r="L122" i="1"/>
  <c r="J122" i="1" s="1"/>
  <c r="M122" i="1"/>
  <c r="P122" i="1"/>
  <c r="R122" i="1" s="1"/>
  <c r="S122" i="1" s="1"/>
  <c r="W122" i="1"/>
  <c r="X122" i="1"/>
  <c r="L123" i="1"/>
  <c r="J123" i="1" s="1"/>
  <c r="M123" i="1"/>
  <c r="P123" i="1"/>
  <c r="R123" i="1"/>
  <c r="S123" i="1" s="1"/>
  <c r="W123" i="1"/>
  <c r="X123" i="1"/>
  <c r="L124" i="1"/>
  <c r="J124" i="1" s="1"/>
  <c r="M124" i="1"/>
  <c r="P124" i="1"/>
  <c r="R124" i="1" s="1"/>
  <c r="S124" i="1" s="1"/>
  <c r="W124" i="1"/>
  <c r="X124" i="1"/>
  <c r="L125" i="1"/>
  <c r="J125" i="1" s="1"/>
  <c r="M125" i="1"/>
  <c r="P125" i="1"/>
  <c r="R125" i="1" s="1"/>
  <c r="S125" i="1" s="1"/>
  <c r="W125" i="1"/>
  <c r="X125" i="1"/>
  <c r="J126" i="1"/>
  <c r="L126" i="1"/>
  <c r="M126" i="1"/>
  <c r="P126" i="1"/>
  <c r="R126" i="1" s="1"/>
  <c r="S126" i="1" s="1"/>
  <c r="W126" i="1"/>
  <c r="X126" i="1"/>
  <c r="L128" i="1"/>
  <c r="J128" i="1" s="1"/>
  <c r="M128" i="1"/>
  <c r="P128" i="1"/>
  <c r="S128" i="1" s="1"/>
  <c r="W128" i="1"/>
  <c r="X128" i="1"/>
  <c r="J129" i="1"/>
  <c r="L129" i="1"/>
  <c r="M129" i="1"/>
  <c r="P129" i="1"/>
  <c r="W129" i="1" s="1"/>
  <c r="S129" i="1"/>
  <c r="X129" i="1"/>
  <c r="J131" i="1"/>
  <c r="L131" i="1"/>
  <c r="M131" i="1"/>
  <c r="P131" i="1"/>
  <c r="S131" i="1"/>
  <c r="W131" i="1"/>
  <c r="X131" i="1"/>
  <c r="L133" i="1"/>
  <c r="J133" i="1" s="1"/>
  <c r="M133" i="1"/>
  <c r="P133" i="1"/>
  <c r="R133" i="1" s="1"/>
  <c r="S133" i="1" s="1"/>
  <c r="W133" i="1"/>
  <c r="X133" i="1"/>
  <c r="L134" i="1"/>
  <c r="J134" i="1" s="1"/>
  <c r="M134" i="1"/>
  <c r="P134" i="1"/>
  <c r="R134" i="1"/>
  <c r="S134" i="1" s="1"/>
  <c r="W134" i="1"/>
  <c r="X134" i="1"/>
  <c r="L135" i="1"/>
  <c r="J135" i="1" s="1"/>
  <c r="M135" i="1"/>
  <c r="P135" i="1"/>
  <c r="R135" i="1" s="1"/>
  <c r="S135" i="1" s="1"/>
  <c r="W135" i="1"/>
  <c r="X135" i="1"/>
  <c r="J136" i="1"/>
  <c r="L136" i="1"/>
  <c r="M136" i="1"/>
  <c r="P136" i="1"/>
  <c r="R136" i="1" s="1"/>
  <c r="S136" i="1" s="1"/>
  <c r="W136" i="1"/>
  <c r="X136" i="1"/>
  <c r="R52" i="1" l="1"/>
  <c r="S52" i="1" s="1"/>
</calcChain>
</file>

<file path=xl/sharedStrings.xml><?xml version="1.0" encoding="utf-8"?>
<sst xmlns="http://schemas.openxmlformats.org/spreadsheetml/2006/main" count="389" uniqueCount="169">
  <si>
    <t>MEDALLÓN DE ESPINACA 300GR</t>
  </si>
  <si>
    <t xml:space="preserve">MEDALLONES DE VEGETALES - ARG                            </t>
  </si>
  <si>
    <t xml:space="preserve">REBOZADOS DE VEGETALES - ARG                      </t>
  </si>
  <si>
    <t>MEDALLÓN DE CALABAZA Y CHOCLO 300GR</t>
  </si>
  <si>
    <t>NUGGETS DE BRÓCOLI 300GR</t>
  </si>
  <si>
    <t xml:space="preserve">NUGGETS DE VEGETALES - ARG                            </t>
  </si>
  <si>
    <t>NUGGETS DE ESPINACA 300GR</t>
  </si>
  <si>
    <t/>
  </si>
  <si>
    <t>PAPAS PRE COCIDAS SUPERCONGELADAS LIBRES DE GLUTEN 700G</t>
  </si>
  <si>
    <t>CHORIZOS FRESCOS DE CERDO CONGELADOS LIBRE DE GLUTEN 12u x 400g</t>
  </si>
  <si>
    <t>CHORIZO FRESCO DE CERDO</t>
  </si>
  <si>
    <t>CHORIZO FRESCO ARG</t>
  </si>
  <si>
    <t>CHORIZOS FRESCOS DE CERDO LIBRE DE GLUTEN</t>
  </si>
  <si>
    <t>VACIO EN PORCIONES NOV ENFRIADO PARA VENTA LOCAL (L)</t>
  </si>
  <si>
    <t>TAPA DE ASADO EN PORCIONES ENF SWIFT (L)</t>
  </si>
  <si>
    <t>CARNAZA CUADRADA EN PORCIONES ENF SWIFT (L)</t>
  </si>
  <si>
    <t>ROAST BEEF EN PORCIONES ENF SWIFT (L)</t>
  </si>
  <si>
    <t>ENTRAÑA FINA ENF SWIFT</t>
  </si>
  <si>
    <t>CARNE PICADA CONGELADA 20 UN X 1 kg SWIFT</t>
  </si>
  <si>
    <t xml:space="preserve">CHARQUEO - ARG                          </t>
  </si>
  <si>
    <t>CARNE PICADA CONGELADA 36 UN X 500 g SWIFT</t>
  </si>
  <si>
    <t>GRASA VACUNA REFINADA SWIFT 12x1Kg</t>
  </si>
  <si>
    <t>GRASA VACUNA REFINADA SWIFT 10 X 500</t>
  </si>
  <si>
    <t>MILANESAS DE CARNE VACUNA CONG GRANEL 5 kg (CAL GR)</t>
  </si>
  <si>
    <t>MILANESAS DE CARNE - ARG</t>
  </si>
  <si>
    <t>MILANESA DE CARNE VACUNA CONGELADA 12un x 1000grs</t>
  </si>
  <si>
    <t>MILANESA DE CARNE VACUNA CONGELADA 24un x 500grs</t>
  </si>
  <si>
    <t>PAPAS PREFRITAS SUPERCONGELADAS 6x2000gr</t>
  </si>
  <si>
    <t xml:space="preserve">OUTRAS BATATAS                                    </t>
  </si>
  <si>
    <t xml:space="preserve">PAPAS - ARG                                       </t>
  </si>
  <si>
    <t>PAPAS PREFRITAS SUPERCONGELADAS 25x400gr</t>
  </si>
  <si>
    <t>MORTADELA SWIFT 10 x 300g</t>
  </si>
  <si>
    <t xml:space="preserve">FI3 - TERCEROS NACIONALES - ARG                   </t>
  </si>
  <si>
    <t xml:space="preserve">FIAMBRE - ARG                                     </t>
  </si>
  <si>
    <t>MEDALLONES DE POLLO GASTRONÓMICO  8x12x80 Grs.</t>
  </si>
  <si>
    <t xml:space="preserve">NUGGETS DE POLLO - ARG                            </t>
  </si>
  <si>
    <t xml:space="preserve">REBOZADOS DE CARNE - ARG                          </t>
  </si>
  <si>
    <t>MEDALLONES DE POLLO "SWIFT" - 12x4x80g</t>
  </si>
  <si>
    <t>MILANESITAS DE CARNE "SWIFT" - 12x400g</t>
  </si>
  <si>
    <t>PALITO DE POLLO "SWIFT"  8 X 1 Kg..</t>
  </si>
  <si>
    <t>PALITO DE POLLO "SWIFT"  12 X 260 Grs.</t>
  </si>
  <si>
    <t>BOCADITOS DE POLLO GASTRONOMICOS "LA BLANCA" - x6kg</t>
  </si>
  <si>
    <t>BOCADITOS DE POLLO "SWIFT KIDS" - 12x400g</t>
  </si>
  <si>
    <t>CRUNCHIES DE POLLO "SWIFT" - 10x760g</t>
  </si>
  <si>
    <t>CRUNCHIES DE POLLO "SWIFT" - 12x380g</t>
  </si>
  <si>
    <t>BOCADITOS DE POLLO "SWIFT" - 10x760g</t>
  </si>
  <si>
    <t>BOCADITOS DE POLLO "SWIFT" - 12x380g</t>
  </si>
  <si>
    <t>BOCADITOS DE CARNE "SWIFT" - 12x380g</t>
  </si>
  <si>
    <t xml:space="preserve">NUGGETS DE CARNE - ARG                            </t>
  </si>
  <si>
    <t>MILANESAS DE  SOJA RELLENAS CON TOMATE Y QUESO</t>
  </si>
  <si>
    <t xml:space="preserve">MILANESAS DE SOJA - ARG                           </t>
  </si>
  <si>
    <t>MILANESAS DE  SOJA RELLENAS CON ESPINACA Y QUESO</t>
  </si>
  <si>
    <t>MILANESAS DE  SOJA RELLENAS CON JAMON Y QUESO</t>
  </si>
  <si>
    <t>MILANESAS DE  SOJA CLASICAS PREFRITA</t>
  </si>
  <si>
    <t>MILANESAS DE  SOJA CON ORÉGANO</t>
  </si>
  <si>
    <t>PICADILLO DE CARNE 24X90G SAFRA LICITACION</t>
  </si>
  <si>
    <t xml:space="preserve">CC4 - SAFRA - ARG                                 </t>
  </si>
  <si>
    <t xml:space="preserve">UNTABLES - ARG                                    </t>
  </si>
  <si>
    <t>PATE DE FOIE 24X90G SAFRA</t>
  </si>
  <si>
    <t>PICADILLO DE CARNE 24X90G SAFRA</t>
  </si>
  <si>
    <t>PATE DE FOIE 24X90G LA BLANCA</t>
  </si>
  <si>
    <t xml:space="preserve">CC3 - LA BLANCA - ARG                             </t>
  </si>
  <si>
    <t>PICADILLO DE CARNE 24X90G LA BLANCA</t>
  </si>
  <si>
    <t>PATE DE SALMON 24X85G SWIFT GOURMET</t>
  </si>
  <si>
    <t xml:space="preserve">CC8 - ESPECIALES - ARG                            </t>
  </si>
  <si>
    <t>PATE HONGOS 24X85G</t>
  </si>
  <si>
    <t xml:space="preserve">PATE JAMON AHUMADO 24X85G </t>
  </si>
  <si>
    <t>PATE DE FOIE C/PIMIENTA VERDE 24X85G SWIFT GOURMET</t>
  </si>
  <si>
    <t>PATE DE FOIE TIPO PROVENZAL 24X85G SWIFT GOURMET</t>
  </si>
  <si>
    <t>PATE DE FOIE DE POLLO 24X85G SWIFT</t>
  </si>
  <si>
    <t xml:space="preserve">CC7 - VARIEDADES - ARG                            </t>
  </si>
  <si>
    <t>JAMON DEL DIABLO 24X88G SWIFT</t>
  </si>
  <si>
    <t>PATE DE FOIE A LA CREMA 24X88G SWIFT</t>
  </si>
  <si>
    <t>PICADILLO DE CARNE PICANTE 24X90G SWIFT</t>
  </si>
  <si>
    <t xml:space="preserve">CC1 - PATE Y PICADILLO SWIFT - ARG                </t>
  </si>
  <si>
    <t>Pate de Foie Jalapeño 24x90 Swift</t>
  </si>
  <si>
    <t>Picadillo de Carne Picante Chile Chipotle 24x90 g</t>
  </si>
  <si>
    <t xml:space="preserve">PICADILLO DE CARNE 24X90G SWIFT </t>
  </si>
  <si>
    <t>PATE DE FOIE 24X90G SWIFT</t>
  </si>
  <si>
    <t>SALCHICHAS 6X24 DIA</t>
  </si>
  <si>
    <t xml:space="preserve">SA4 - MARCA PROPIA - ARG                          </t>
  </si>
  <si>
    <t xml:space="preserve">SALCHICHAS - ARG                                  </t>
  </si>
  <si>
    <t>SALCHICHAS 12X12 DIA</t>
  </si>
  <si>
    <t>Salchichas Dia 20x6</t>
  </si>
  <si>
    <t>SALCHICHAS 6x24 LA ANONIMA</t>
  </si>
  <si>
    <t>SALCHICHAS 12x12 LA ANONIMA</t>
  </si>
  <si>
    <t>SALCHICHAS 24X6 LA ANONIMA</t>
  </si>
  <si>
    <t>SALCHICHAS SIN PIEL "LA BLANCA"  24X6X190 Grs;</t>
  </si>
  <si>
    <t xml:space="preserve">SA3 - LA BLANCA - ARG                             </t>
  </si>
  <si>
    <t xml:space="preserve">SALCHICHAS CONGELADAS SWIFT 12x12x870g </t>
  </si>
  <si>
    <t xml:space="preserve">SA2 - MERCADO CALIENTE - ARG                      </t>
  </si>
  <si>
    <t>SALCHICHAS GASTRONÓMICAS  SWIFT  10X12X720 Grs</t>
  </si>
  <si>
    <t>SALCHICHAS LARGAS 10 x 12 x 870g</t>
  </si>
  <si>
    <t>SALCHICHAS  LARGAS  10 x 12  SWIFT  INSTITUCIONAL</t>
  </si>
  <si>
    <t>SALCHICHAS SIN PIEL 24X6 "SWIFT KIDS" X 190 g</t>
  </si>
  <si>
    <t xml:space="preserve">SA1 - SWIFT - ARG                                 </t>
  </si>
  <si>
    <t>SALCHICHAS 6X24 SWIFT</t>
  </si>
  <si>
    <t>SALCHICHAS 12X12 SWIFT</t>
  </si>
  <si>
    <t>SALCHICHAS 24X6 SWIFT</t>
  </si>
  <si>
    <t>HAMBURGUESA CLÁSICA 78 - 84 x 55gs</t>
  </si>
  <si>
    <t xml:space="preserve">HG2 - MERCADO CALIENTE - ARG                      </t>
  </si>
  <si>
    <t xml:space="preserve">HAMBURGUESAS - ARG                                </t>
  </si>
  <si>
    <t>MEDALLON 30x80g REC</t>
  </si>
  <si>
    <t xml:space="preserve">MEDALLON 30x80g PROMOFIESTA  </t>
  </si>
  <si>
    <t>HAMBURGUESA 276 x 55 g GRANEL SWIFT</t>
  </si>
  <si>
    <t xml:space="preserve">HG1 - SWIFT - ARG                                 </t>
  </si>
  <si>
    <t xml:space="preserve">Hamburguesa 30 x 80gramos. </t>
  </si>
  <si>
    <t>HAMBURGUESA 36 X 185 GRS</t>
  </si>
  <si>
    <t>HAMBURGUESA 6X20X80g "LA ANONIMA"</t>
  </si>
  <si>
    <t xml:space="preserve">HG3 - MARCA PROPIA - ARG                          </t>
  </si>
  <si>
    <t>HAMBURGUESA 8X12X80g "LA ANONIMA"</t>
  </si>
  <si>
    <t>HAMBURGUESA 18X4X80g "LA ANONIMA"</t>
  </si>
  <si>
    <t>Hamburguesa Dia 6 X 20</t>
  </si>
  <si>
    <t>Hamburguesa Dia 12 X 12</t>
  </si>
  <si>
    <t>Hamburguesa Dia 18 X 4</t>
  </si>
  <si>
    <t xml:space="preserve">MEDALLON GIGANTE 48x113.5g </t>
  </si>
  <si>
    <t>MEDALLON 60X109G CARNE VACUNA PARRILLERO SWIFT</t>
  </si>
  <si>
    <t>MEDALLON 60x80g PARRILLERO MC SWIFT</t>
  </si>
  <si>
    <t>MEDALLON 60X69G CARNE VACUNA</t>
  </si>
  <si>
    <t>MEDALLONES 60X69g "SWIFT BURGER"PARRILLERAS  FAMILY</t>
  </si>
  <si>
    <t>MEDALLONES 60X80g "SWIFT BURGER" PARRILLERAS FAMILY</t>
  </si>
  <si>
    <t>MEDALLON 12x4X69G LA BLANCA</t>
  </si>
  <si>
    <t xml:space="preserve">HG5 - B-BRAND - ARG                               </t>
  </si>
  <si>
    <t>MEDALLON 42X112G LA BLANCA</t>
  </si>
  <si>
    <t xml:space="preserve">HAMBURGUESAS 18X2X120g CLL BRA/ARG </t>
  </si>
  <si>
    <t xml:space="preserve">HG4 - EXPORTACION - ARG                           </t>
  </si>
  <si>
    <t>HAMBURGUESA 30X2X 106grs</t>
  </si>
  <si>
    <t>HAMBURGUESA X-TREMA 36 x 185 grs</t>
  </si>
  <si>
    <r>
      <t xml:space="preserve">HAMBURGUESA 24X2X120g </t>
    </r>
    <r>
      <rPr>
        <b/>
        <sz val="9"/>
        <rFont val="Calibri"/>
        <family val="2"/>
        <scheme val="minor"/>
      </rPr>
      <t>CASERA</t>
    </r>
    <r>
      <rPr>
        <sz val="9"/>
        <rFont val="Calibri"/>
        <family val="2"/>
        <scheme val="minor"/>
      </rPr>
      <t xml:space="preserve"> SWIFT</t>
    </r>
  </si>
  <si>
    <t>HAMBURGUESA  CLASICA SWIFT 125g</t>
  </si>
  <si>
    <t xml:space="preserve">HAMBURGUESA 30X250g CLASICA "XL" SWIFT </t>
  </si>
  <si>
    <t>MEDALLON DOBLE BURGER 2X2</t>
  </si>
  <si>
    <t xml:space="preserve">MEDALLÓN DOBLE BURGER PACK PROMO 4X3 </t>
  </si>
  <si>
    <t>MEDALLON 42X112G DOBLE BURGER SWIFT</t>
  </si>
  <si>
    <t>HAMBURGUESA 8X12X69G BURGER SWIFT</t>
  </si>
  <si>
    <t>Medallón CAJITA 12x4 69 grs</t>
  </si>
  <si>
    <t>MEDALLON BURGER SWIFT MEGA 30 x 160 g</t>
  </si>
  <si>
    <t>MEDALLONES 18X4X80G SWIFT RECETA ESPECIAL</t>
  </si>
  <si>
    <t>MEDALLON 18X4X80G PARRILLERO SWIFT</t>
  </si>
  <si>
    <t xml:space="preserve">HAMBURGUESA 6X20X80G CLASICA SWIFT </t>
  </si>
  <si>
    <t>HAMBURGUESA 8X12X80G CLASICA SWIFT</t>
  </si>
  <si>
    <t>HAMBURGUESA 18X4X80G CLASICA SWIFT</t>
  </si>
  <si>
    <t>HAMBURGUESAS 30x160g CLASICA x2 SWIFT</t>
  </si>
  <si>
    <t>NNNnet</t>
  </si>
  <si>
    <t>Variación Vs $fact</t>
  </si>
  <si>
    <t>Control precio DUX</t>
  </si>
  <si>
    <t>Precio de estuche en factura</t>
  </si>
  <si>
    <t>Precio de Lista</t>
  </si>
  <si>
    <t>Bonificación en factura</t>
  </si>
  <si>
    <t>$ Factura</t>
  </si>
  <si>
    <t>Acuerdo  + Escala</t>
  </si>
  <si>
    <t>x kg</t>
  </si>
  <si>
    <t>x estuche</t>
  </si>
  <si>
    <t>Precio Publico Mínimo c/IVA</t>
  </si>
  <si>
    <t>Precio Publico regular  c/IVA</t>
  </si>
  <si>
    <t>Cant. X Caja</t>
  </si>
  <si>
    <t>Kg. x Caja</t>
  </si>
  <si>
    <t>EAN</t>
  </si>
  <si>
    <t>Descripción</t>
  </si>
  <si>
    <t>Código</t>
  </si>
  <si>
    <t>Familia</t>
  </si>
  <si>
    <t>Clase</t>
  </si>
  <si>
    <t>Super Regionales</t>
  </si>
  <si>
    <t>Canal</t>
  </si>
  <si>
    <t>N° Lista</t>
  </si>
  <si>
    <t>Cadena</t>
  </si>
  <si>
    <t>Código Cliente</t>
  </si>
  <si>
    <t>Fecha</t>
  </si>
  <si>
    <t>Arquitectura de precios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</si>
</sst>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.00_ ;[Red]\-#,##0.00\ "/>
    <numFmt numFmtId="166" formatCode="#,##0_ ;[Red]\-#,##0\ "/>
    <numFmt numFmtId="167" formatCode="#,##0.0_ ;[Red]\-#,##0.0\ "/>
    <numFmt numFmtId="168" formatCode="_ &quot;$&quot;\ * #,##0.00_ ;_ &quot;$&quot;\ * \-#,##0.00_ ;_ &quot;$&quot;\ * &quot;-&quot;??_ ;_ @_ "/>
    <numFmt numFmtId="169" formatCode="#,##0.000_ ;[Red]\-#,##0.000\ "/>
    <numFmt numFmtId="170" formatCode="_ * #,##0.00_ ;_ * \-#,##0.00_ ;_ * &quot;-&quot;??_ ;_ @_ "/>
  </numFmts>
  <fonts count="18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b/>
      <sz val="9"/>
      <name val="Calibri"/>
      <family val="2"/>
    </font>
    <font>
      <b/>
      <sz val="9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9"/>
      <name val="Calibri"/>
      <family val="2"/>
    </font>
    <font>
      <sz val="9"/>
      <name val="Calibri"/>
      <family val="2"/>
      <scheme val="minor"/>
    </font>
    <font>
      <b/>
      <sz val="9"/>
      <color theme="2" tint="-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9"/>
      <color indexed="9"/>
      <name val="Calibri"/>
      <family val="2"/>
      <scheme val="minor"/>
    </font>
    <font>
      <sz val="9"/>
      <color indexed="8"/>
      <name val="Calibri"/>
      <family val="2"/>
    </font>
    <font>
      <sz val="9"/>
      <color indexed="8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0" tint="-0.499984740745262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3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9" fontId="1" fillId="0" borderId="0" applyFill="0" applyBorder="0" applyAlignment="0" applyProtection="0"/>
  </cellStyleXfs>
  <cellXfs count="113">
    <xf numFmtId="0" fontId="0" fillId="0" borderId="0" xfId="0"/>
    <xf numFmtId="0" fontId="2" fillId="0" borderId="0" xfId="4" applyFont="1"/>
    <xf numFmtId="9" fontId="1" fillId="0" borderId="0" xfId="3"/>
    <xf numFmtId="164" fontId="2" fillId="0" borderId="0" xfId="4" applyNumberFormat="1" applyFont="1"/>
    <xf numFmtId="0" fontId="3" fillId="0" borderId="0" xfId="4" applyFont="1"/>
    <xf numFmtId="9" fontId="2" fillId="0" borderId="0" xfId="3" applyFont="1"/>
    <xf numFmtId="0" fontId="4" fillId="0" borderId="0" xfId="4" applyFont="1"/>
    <xf numFmtId="0" fontId="2" fillId="0" borderId="0" xfId="4" applyFont="1" applyAlignment="1">
      <alignment horizontal="center"/>
    </xf>
    <xf numFmtId="0" fontId="2" fillId="0" borderId="0" xfId="4" applyFont="1" applyAlignment="1">
      <alignment horizontal="left"/>
    </xf>
    <xf numFmtId="165" fontId="5" fillId="0" borderId="1" xfId="5" applyNumberFormat="1" applyFont="1" applyBorder="1" applyAlignment="1">
      <alignment horizontal="center"/>
    </xf>
    <xf numFmtId="164" fontId="5" fillId="0" borderId="1" xfId="3" applyNumberFormat="1" applyFont="1" applyFill="1" applyBorder="1" applyAlignment="1">
      <alignment horizontal="center"/>
    </xf>
    <xf numFmtId="165" fontId="6" fillId="0" borderId="2" xfId="5" applyNumberFormat="1" applyFont="1" applyBorder="1" applyAlignment="1">
      <alignment horizontal="center"/>
    </xf>
    <xf numFmtId="165" fontId="0" fillId="0" borderId="0" xfId="0" applyNumberFormat="1"/>
    <xf numFmtId="165" fontId="2" fillId="0" borderId="0" xfId="4" applyNumberFormat="1" applyFont="1"/>
    <xf numFmtId="165" fontId="6" fillId="0" borderId="1" xfId="5" applyNumberFormat="1" applyFont="1" applyBorder="1" applyAlignment="1">
      <alignment horizontal="center"/>
    </xf>
    <xf numFmtId="164" fontId="6" fillId="0" borderId="1" xfId="3" applyNumberFormat="1" applyFont="1" applyFill="1" applyBorder="1" applyAlignment="1">
      <alignment horizontal="center"/>
    </xf>
    <xf numFmtId="165" fontId="7" fillId="0" borderId="2" xfId="5" applyNumberFormat="1" applyFont="1" applyBorder="1" applyAlignment="1">
      <alignment horizontal="center"/>
    </xf>
    <xf numFmtId="0" fontId="1" fillId="0" borderId="0" xfId="4"/>
    <xf numFmtId="166" fontId="6" fillId="0" borderId="1" xfId="5" applyNumberFormat="1" applyFont="1" applyBorder="1" applyAlignment="1">
      <alignment horizontal="center"/>
    </xf>
    <xf numFmtId="167" fontId="6" fillId="0" borderId="1" xfId="5" applyNumberFormat="1" applyFont="1" applyBorder="1" applyAlignment="1">
      <alignment horizontal="center"/>
    </xf>
    <xf numFmtId="1" fontId="8" fillId="0" borderId="1" xfId="5" applyNumberFormat="1" applyFont="1" applyBorder="1" applyAlignment="1">
      <alignment horizontal="center"/>
    </xf>
    <xf numFmtId="0" fontId="8" fillId="0" borderId="1" xfId="5" applyFont="1" applyBorder="1" applyAlignment="1">
      <alignment horizontal="left"/>
    </xf>
    <xf numFmtId="0" fontId="8" fillId="0" borderId="1" xfId="5" applyFont="1" applyBorder="1" applyAlignment="1">
      <alignment horizontal="center"/>
    </xf>
    <xf numFmtId="0" fontId="9" fillId="0" borderId="1" xfId="5" applyFont="1" applyBorder="1" applyAlignment="1">
      <alignment horizontal="left"/>
    </xf>
    <xf numFmtId="0" fontId="6" fillId="2" borderId="3" xfId="5" applyFont="1" applyFill="1" applyBorder="1" applyAlignment="1" applyProtection="1">
      <alignment vertical="center"/>
      <protection hidden="1"/>
    </xf>
    <xf numFmtId="10" fontId="6" fillId="2" borderId="4" xfId="3" applyNumberFormat="1" applyFont="1" applyFill="1" applyBorder="1" applyAlignment="1" applyProtection="1">
      <alignment vertical="center"/>
      <protection hidden="1"/>
    </xf>
    <xf numFmtId="0" fontId="6" fillId="2" borderId="4" xfId="5" applyFont="1" applyFill="1" applyBorder="1" applyAlignment="1" applyProtection="1">
      <alignment vertical="center"/>
      <protection hidden="1"/>
    </xf>
    <xf numFmtId="168" fontId="0" fillId="0" borderId="0" xfId="2" applyFont="1" applyFill="1"/>
    <xf numFmtId="164" fontId="6" fillId="2" borderId="4" xfId="5" applyNumberFormat="1" applyFont="1" applyFill="1" applyBorder="1" applyAlignment="1" applyProtection="1">
      <alignment vertical="center"/>
      <protection hidden="1"/>
    </xf>
    <xf numFmtId="0" fontId="7" fillId="2" borderId="4" xfId="5" applyFont="1" applyFill="1" applyBorder="1" applyAlignment="1" applyProtection="1">
      <alignment vertical="center"/>
      <protection hidden="1"/>
    </xf>
    <xf numFmtId="0" fontId="6" fillId="2" borderId="5" xfId="5" applyFont="1" applyFill="1" applyBorder="1" applyAlignment="1" applyProtection="1">
      <alignment vertical="center"/>
      <protection hidden="1"/>
    </xf>
    <xf numFmtId="0" fontId="10" fillId="2" borderId="3" xfId="5" applyFont="1" applyFill="1" applyBorder="1" applyAlignment="1" applyProtection="1">
      <alignment vertical="center"/>
      <protection hidden="1"/>
    </xf>
    <xf numFmtId="166" fontId="6" fillId="2" borderId="3" xfId="5" applyNumberFormat="1" applyFont="1" applyFill="1" applyBorder="1" applyAlignment="1" applyProtection="1">
      <alignment vertical="center"/>
      <protection hidden="1"/>
    </xf>
    <xf numFmtId="0" fontId="6" fillId="2" borderId="4" xfId="5" applyFont="1" applyFill="1" applyBorder="1" applyAlignment="1" applyProtection="1">
      <alignment horizontal="center" vertical="center"/>
      <protection hidden="1"/>
    </xf>
    <xf numFmtId="0" fontId="6" fillId="2" borderId="4" xfId="5" applyFont="1" applyFill="1" applyBorder="1" applyAlignment="1" applyProtection="1">
      <alignment horizontal="left" vertical="center"/>
      <protection hidden="1"/>
    </xf>
    <xf numFmtId="0" fontId="6" fillId="2" borderId="5" xfId="5" applyFont="1" applyFill="1" applyBorder="1" applyAlignment="1" applyProtection="1">
      <alignment horizontal="left" vertical="center"/>
      <protection hidden="1"/>
    </xf>
    <xf numFmtId="2" fontId="6" fillId="2" borderId="5" xfId="5" applyNumberFormat="1" applyFont="1" applyFill="1" applyBorder="1" applyAlignment="1" applyProtection="1">
      <alignment vertical="center"/>
      <protection hidden="1"/>
    </xf>
    <xf numFmtId="1" fontId="8" fillId="0" borderId="6" xfId="5" applyNumberFormat="1" applyFont="1" applyBorder="1" applyAlignment="1">
      <alignment horizontal="left"/>
    </xf>
    <xf numFmtId="0" fontId="9" fillId="0" borderId="1" xfId="5" applyFont="1" applyBorder="1" applyAlignment="1">
      <alignment horizontal="center"/>
    </xf>
    <xf numFmtId="9" fontId="6" fillId="2" borderId="4" xfId="3" applyFont="1" applyFill="1" applyBorder="1" applyAlignment="1" applyProtection="1">
      <alignment vertical="center"/>
      <protection hidden="1"/>
    </xf>
    <xf numFmtId="9" fontId="6" fillId="0" borderId="1" xfId="3" applyFont="1" applyFill="1" applyBorder="1" applyAlignment="1">
      <alignment horizontal="center"/>
    </xf>
    <xf numFmtId="9" fontId="5" fillId="0" borderId="1" xfId="3" applyFont="1" applyFill="1" applyBorder="1" applyAlignment="1">
      <alignment horizontal="center"/>
    </xf>
    <xf numFmtId="166" fontId="5" fillId="0" borderId="1" xfId="5" applyNumberFormat="1" applyFont="1" applyBorder="1" applyAlignment="1">
      <alignment horizontal="center"/>
    </xf>
    <xf numFmtId="1" fontId="9" fillId="0" borderId="1" xfId="5" applyNumberFormat="1" applyFont="1" applyBorder="1" applyAlignment="1">
      <alignment horizontal="center"/>
    </xf>
    <xf numFmtId="169" fontId="6" fillId="0" borderId="1" xfId="5" applyNumberFormat="1" applyFont="1" applyBorder="1" applyAlignment="1">
      <alignment horizontal="center"/>
    </xf>
    <xf numFmtId="10" fontId="2" fillId="0" borderId="0" xfId="3" applyNumberFormat="1" applyFont="1"/>
    <xf numFmtId="165" fontId="6" fillId="0" borderId="3" xfId="5" applyNumberFormat="1" applyFont="1" applyBorder="1" applyAlignment="1">
      <alignment horizontal="center"/>
    </xf>
    <xf numFmtId="9" fontId="6" fillId="0" borderId="4" xfId="3" applyFont="1" applyFill="1" applyBorder="1" applyAlignment="1">
      <alignment horizontal="center"/>
    </xf>
    <xf numFmtId="165" fontId="6" fillId="0" borderId="7" xfId="5" applyNumberFormat="1" applyFont="1" applyBorder="1" applyAlignment="1">
      <alignment horizontal="center"/>
    </xf>
    <xf numFmtId="170" fontId="6" fillId="0" borderId="4" xfId="1" applyFont="1" applyFill="1" applyBorder="1" applyAlignment="1">
      <alignment horizontal="center"/>
    </xf>
    <xf numFmtId="164" fontId="6" fillId="0" borderId="7" xfId="3" applyNumberFormat="1" applyFont="1" applyFill="1" applyBorder="1" applyAlignment="1">
      <alignment horizontal="center"/>
    </xf>
    <xf numFmtId="165" fontId="7" fillId="0" borderId="7" xfId="5" applyNumberFormat="1" applyFont="1" applyBorder="1" applyAlignment="1">
      <alignment horizontal="center"/>
    </xf>
    <xf numFmtId="165" fontId="6" fillId="0" borderId="4" xfId="5" applyNumberFormat="1" applyFont="1" applyBorder="1" applyAlignment="1">
      <alignment horizontal="center"/>
    </xf>
    <xf numFmtId="165" fontId="6" fillId="0" borderId="5" xfId="5" applyNumberFormat="1" applyFont="1" applyBorder="1" applyAlignment="1">
      <alignment horizontal="center"/>
    </xf>
    <xf numFmtId="166" fontId="6" fillId="0" borderId="3" xfId="5" applyNumberFormat="1" applyFont="1" applyBorder="1" applyAlignment="1">
      <alignment horizontal="center"/>
    </xf>
    <xf numFmtId="1" fontId="9" fillId="0" borderId="4" xfId="5" applyNumberFormat="1" applyFont="1" applyBorder="1" applyAlignment="1">
      <alignment horizontal="center"/>
    </xf>
    <xf numFmtId="0" fontId="9" fillId="0" borderId="4" xfId="5" applyFont="1" applyBorder="1" applyAlignment="1">
      <alignment horizontal="left"/>
    </xf>
    <xf numFmtId="0" fontId="9" fillId="0" borderId="4" xfId="5" applyFont="1" applyBorder="1" applyAlignment="1">
      <alignment horizontal="center"/>
    </xf>
    <xf numFmtId="170" fontId="6" fillId="0" borderId="1" xfId="1" applyFont="1" applyFill="1" applyBorder="1" applyAlignment="1">
      <alignment horizontal="center"/>
    </xf>
    <xf numFmtId="164" fontId="6" fillId="0" borderId="2" xfId="3" applyNumberFormat="1" applyFont="1" applyFill="1" applyBorder="1" applyAlignment="1">
      <alignment horizontal="center"/>
    </xf>
    <xf numFmtId="0" fontId="8" fillId="0" borderId="4" xfId="5" applyFont="1" applyBorder="1" applyAlignment="1">
      <alignment horizontal="left"/>
    </xf>
    <xf numFmtId="0" fontId="8" fillId="0" borderId="5" xfId="5" applyFont="1" applyBorder="1" applyAlignment="1">
      <alignment horizontal="left"/>
    </xf>
    <xf numFmtId="166" fontId="6" fillId="0" borderId="1" xfId="6" applyNumberFormat="1" applyFont="1" applyBorder="1" applyAlignment="1">
      <alignment horizontal="center"/>
    </xf>
    <xf numFmtId="165" fontId="6" fillId="0" borderId="1" xfId="6" applyNumberFormat="1" applyFont="1" applyBorder="1" applyAlignment="1">
      <alignment horizontal="center"/>
    </xf>
    <xf numFmtId="0" fontId="9" fillId="0" borderId="1" xfId="7" applyFont="1" applyBorder="1"/>
    <xf numFmtId="1" fontId="9" fillId="0" borderId="1" xfId="7" applyNumberFormat="1" applyFont="1" applyFill="1" applyBorder="1" applyAlignment="1">
      <alignment horizontal="center"/>
    </xf>
    <xf numFmtId="0" fontId="9" fillId="0" borderId="1" xfId="7" applyFont="1" applyFill="1" applyBorder="1"/>
    <xf numFmtId="0" fontId="9" fillId="0" borderId="1" xfId="7" applyFont="1" applyFill="1" applyBorder="1" applyAlignment="1">
      <alignment horizontal="center"/>
    </xf>
    <xf numFmtId="10" fontId="6" fillId="0" borderId="1" xfId="3" applyNumberFormat="1" applyFont="1" applyFill="1" applyBorder="1" applyAlignment="1">
      <alignment horizontal="center"/>
    </xf>
    <xf numFmtId="165" fontId="6" fillId="3" borderId="1" xfId="5" applyNumberFormat="1" applyFont="1" applyFill="1" applyBorder="1" applyAlignment="1">
      <alignment horizontal="center"/>
    </xf>
    <xf numFmtId="10" fontId="6" fillId="3" borderId="1" xfId="3" applyNumberFormat="1" applyFont="1" applyFill="1" applyBorder="1" applyAlignment="1">
      <alignment horizontal="center"/>
    </xf>
    <xf numFmtId="165" fontId="6" fillId="3" borderId="2" xfId="5" applyNumberFormat="1" applyFont="1" applyFill="1" applyBorder="1" applyAlignment="1">
      <alignment horizontal="center"/>
    </xf>
    <xf numFmtId="164" fontId="6" fillId="3" borderId="2" xfId="3" applyNumberFormat="1" applyFont="1" applyFill="1" applyBorder="1" applyAlignment="1">
      <alignment horizontal="center"/>
    </xf>
    <xf numFmtId="0" fontId="2" fillId="3" borderId="0" xfId="4" applyFont="1" applyFill="1"/>
    <xf numFmtId="166" fontId="6" fillId="3" borderId="1" xfId="6" applyNumberFormat="1" applyFont="1" applyFill="1" applyBorder="1" applyAlignment="1">
      <alignment horizontal="center"/>
    </xf>
    <xf numFmtId="165" fontId="6" fillId="3" borderId="1" xfId="6" applyNumberFormat="1" applyFont="1" applyFill="1" applyBorder="1" applyAlignment="1">
      <alignment horizontal="center"/>
    </xf>
    <xf numFmtId="1" fontId="9" fillId="3" borderId="1" xfId="5" applyNumberFormat="1" applyFont="1" applyFill="1" applyBorder="1" applyAlignment="1">
      <alignment horizontal="center"/>
    </xf>
    <xf numFmtId="0" fontId="9" fillId="3" borderId="1" xfId="7" applyFont="1" applyFill="1" applyBorder="1"/>
    <xf numFmtId="0" fontId="9" fillId="3" borderId="1" xfId="5" applyFont="1" applyFill="1" applyBorder="1" applyAlignment="1">
      <alignment horizontal="center"/>
    </xf>
    <xf numFmtId="1" fontId="9" fillId="0" borderId="1" xfId="7" applyNumberFormat="1" applyFont="1" applyBorder="1" applyAlignment="1">
      <alignment horizontal="center"/>
    </xf>
    <xf numFmtId="0" fontId="9" fillId="0" borderId="1" xfId="7" applyFont="1" applyBorder="1" applyAlignment="1">
      <alignment horizontal="center"/>
    </xf>
    <xf numFmtId="9" fontId="11" fillId="0" borderId="0" xfId="3" applyFont="1"/>
    <xf numFmtId="0" fontId="12" fillId="0" borderId="0" xfId="4" applyFont="1"/>
    <xf numFmtId="16" fontId="6" fillId="2" borderId="5" xfId="5" applyNumberFormat="1" applyFont="1" applyFill="1" applyBorder="1" applyAlignment="1" applyProtection="1">
      <alignment vertical="center"/>
      <protection hidden="1"/>
    </xf>
    <xf numFmtId="0" fontId="13" fillId="4" borderId="8" xfId="5" applyFont="1" applyFill="1" applyBorder="1" applyAlignment="1">
      <alignment horizontal="center" vertical="distributed"/>
    </xf>
    <xf numFmtId="9" fontId="13" fillId="4" borderId="8" xfId="3" applyFont="1" applyFill="1" applyBorder="1" applyAlignment="1">
      <alignment horizontal="center" vertical="distributed"/>
    </xf>
    <xf numFmtId="0" fontId="13" fillId="4" borderId="8" xfId="5" applyFont="1" applyFill="1" applyBorder="1" applyAlignment="1">
      <alignment horizontal="center" vertical="center" wrapText="1"/>
    </xf>
    <xf numFmtId="164" fontId="13" fillId="4" borderId="8" xfId="5" applyNumberFormat="1" applyFont="1" applyFill="1" applyBorder="1" applyAlignment="1">
      <alignment horizontal="center" vertical="center" wrapText="1"/>
    </xf>
    <xf numFmtId="9" fontId="2" fillId="0" borderId="0" xfId="3" applyFont="1" applyAlignment="1">
      <alignment horizontal="center"/>
    </xf>
    <xf numFmtId="0" fontId="13" fillId="4" borderId="1" xfId="5" applyFont="1" applyFill="1" applyBorder="1" applyAlignment="1">
      <alignment horizontal="center" vertical="distributed"/>
    </xf>
    <xf numFmtId="0" fontId="13" fillId="4" borderId="1" xfId="5" applyFont="1" applyFill="1" applyBorder="1" applyAlignment="1">
      <alignment horizontal="center" vertical="center"/>
    </xf>
    <xf numFmtId="0" fontId="3" fillId="0" borderId="0" xfId="4" applyFont="1" applyAlignment="1">
      <alignment horizontal="center"/>
    </xf>
    <xf numFmtId="9" fontId="4" fillId="0" borderId="0" xfId="3" applyFont="1"/>
    <xf numFmtId="9" fontId="9" fillId="0" borderId="0" xfId="5" applyNumberFormat="1" applyFont="1" applyAlignment="1">
      <alignment horizontal="center"/>
    </xf>
    <xf numFmtId="0" fontId="9" fillId="0" borderId="0" xfId="5" applyFont="1" applyAlignment="1">
      <alignment horizontal="left"/>
    </xf>
    <xf numFmtId="0" fontId="9" fillId="0" borderId="0" xfId="5" applyFont="1" applyAlignment="1">
      <alignment horizontal="center"/>
    </xf>
    <xf numFmtId="0" fontId="13" fillId="4" borderId="1" xfId="5" applyFont="1" applyFill="1" applyBorder="1" applyAlignment="1">
      <alignment horizontal="left" vertical="center"/>
    </xf>
    <xf numFmtId="1" fontId="15" fillId="0" borderId="3" xfId="3" applyNumberFormat="1" applyFont="1" applyBorder="1" applyAlignment="1"/>
    <xf numFmtId="1" fontId="15" fillId="0" borderId="5" xfId="3" applyNumberFormat="1" applyFont="1" applyBorder="1" applyAlignment="1">
      <alignment horizontal="left"/>
    </xf>
    <xf numFmtId="0" fontId="9" fillId="0" borderId="3" xfId="5" applyFont="1" applyBorder="1" applyAlignment="1">
      <alignment horizontal="center"/>
    </xf>
    <xf numFmtId="0" fontId="9" fillId="0" borderId="5" xfId="4" applyFont="1" applyBorder="1" applyAlignment="1">
      <alignment horizontal="left"/>
    </xf>
    <xf numFmtId="9" fontId="17" fillId="5" borderId="11" xfId="8" applyFont="1" applyFill="1" applyBorder="1" applyAlignment="1" applyProtection="1">
      <alignment horizontal="center"/>
      <protection locked="0"/>
    </xf>
    <xf numFmtId="2" fontId="17" fillId="0" borderId="11" xfId="2" applyNumberFormat="1" applyFont="1" applyFill="1" applyBorder="1" applyAlignment="1" applyProtection="1">
      <alignment horizontal="center"/>
    </xf>
    <xf numFmtId="2" fontId="17" fillId="6" borderId="11" xfId="2" applyNumberFormat="1" applyFont="1" applyFill="1" applyBorder="1" applyAlignment="1" applyProtection="1">
      <alignment horizontal="center"/>
    </xf>
    <xf numFmtId="9" fontId="17" fillId="7" borderId="11" xfId="8" applyFont="1" applyFill="1" applyBorder="1" applyAlignment="1" applyProtection="1">
      <alignment horizontal="center"/>
      <protection locked="0"/>
    </xf>
    <xf numFmtId="164" fontId="6" fillId="6" borderId="1" xfId="3" applyNumberFormat="1" applyFont="1" applyFill="1" applyBorder="1" applyAlignment="1">
      <alignment horizontal="center"/>
    </xf>
    <xf numFmtId="165" fontId="6" fillId="6" borderId="2" xfId="5" applyNumberFormat="1" applyFont="1" applyFill="1" applyBorder="1" applyAlignment="1">
      <alignment horizontal="center"/>
    </xf>
    <xf numFmtId="165" fontId="6" fillId="6" borderId="1" xfId="5" applyNumberFormat="1" applyFont="1" applyFill="1" applyBorder="1" applyAlignment="1">
      <alignment horizontal="center"/>
    </xf>
    <xf numFmtId="0" fontId="16" fillId="4" borderId="0" xfId="5" applyFont="1" applyFill="1" applyAlignment="1">
      <alignment horizontal="center" vertical="center"/>
    </xf>
    <xf numFmtId="14" fontId="9" fillId="0" borderId="5" xfId="5" applyNumberFormat="1" applyFont="1" applyBorder="1" applyAlignment="1">
      <alignment horizontal="center"/>
    </xf>
    <xf numFmtId="14" fontId="9" fillId="0" borderId="3" xfId="5" applyNumberFormat="1" applyFont="1" applyBorder="1" applyAlignment="1">
      <alignment horizontal="center"/>
    </xf>
    <xf numFmtId="9" fontId="14" fillId="0" borderId="10" xfId="3" applyFont="1" applyBorder="1" applyAlignment="1">
      <alignment horizontal="center"/>
    </xf>
    <xf numFmtId="9" fontId="14" fillId="0" borderId="9" xfId="3" applyFont="1" applyBorder="1" applyAlignment="1">
      <alignment horizontal="center"/>
    </xf>
  </cellXfs>
  <cellStyles count="9">
    <cellStyle name="Millares" xfId="1" builtinId="3"/>
    <cellStyle name="Moneda" xfId="2" builtinId="4"/>
    <cellStyle name="Normal" xfId="0" builtinId="0"/>
    <cellStyle name="Normal 3" xfId="7" xr:uid="{B1C41D5F-2A83-4836-B9C4-C900A5C1F694}"/>
    <cellStyle name="Normal_ARQUITECTURA DE PRECIOS 1 0" xfId="5" xr:uid="{7F5848B1-FFE1-4E72-8504-0692F3074A58}"/>
    <cellStyle name="Normal_ARQUITECTURA DE PRECIOS 1 0 2" xfId="6" xr:uid="{7D8C38B9-F8E6-4BD2-90BA-BE23D50E85B8}"/>
    <cellStyle name="Normal_Precio públicos al 01-03" xfId="4" xr:uid="{DCCFC72A-202D-4002-AF82-3F2A10DA60C5}"/>
    <cellStyle name="Porcentaje" xfId="3" builtinId="5"/>
    <cellStyle name="Porcentaje 2" xfId="8" xr:uid="{EEBA5BF0-4191-4A9E-B48C-090A46CA6592}"/>
  </cellStyles>
  <dxfs count="17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rian.dallaverde\AppData\Local\Microsoft\Windows\INetCache\Content.Outlook\5QY1WRMX\Verba%20super%20interior%20NOV%2025.xlsx" TargetMode="External"/><Relationship Id="rId1" Type="http://schemas.openxmlformats.org/officeDocument/2006/relationships/externalLinkPath" Target="file:///C:\Users\adrian.dallaverde\AppData\Local\Microsoft\Windows\INetCache\Content.Outlook\5QY1WRMX\Verba%20super%20interior%20NOV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álisis Acciones Comerciales"/>
      <sheetName val="Resumen B. Even "/>
      <sheetName val="BE actualizar cada mes"/>
      <sheetName val="Listas DUX"/>
      <sheetName val="Contratos"/>
      <sheetName val="Informe De Clientes"/>
      <sheetName val="Hoja1"/>
      <sheetName val="INfo de ventas ultimos 3 meses"/>
      <sheetName val="Hoja3"/>
      <sheetName val="MILLAN2"/>
    </sheetNames>
    <sheetDataSet>
      <sheetData sheetId="0">
        <row r="14">
          <cell r="A14">
            <v>100021632</v>
          </cell>
          <cell r="B14" t="str">
            <v>HAMBURGUESAS 30x160g CLASICA x2</v>
          </cell>
          <cell r="C14">
            <v>2</v>
          </cell>
          <cell r="D14">
            <v>9.6</v>
          </cell>
          <cell r="E14">
            <v>47623.208094000016</v>
          </cell>
          <cell r="F14">
            <v>0.12332507025605692</v>
          </cell>
          <cell r="G14">
            <v>41750.072609988645</v>
          </cell>
        </row>
        <row r="15">
          <cell r="A15">
            <v>100021652</v>
          </cell>
          <cell r="B15" t="str">
            <v>HAMBURGUESA 18X4X80G CLASICA SWIFT</v>
          </cell>
          <cell r="C15">
            <v>2</v>
          </cell>
          <cell r="D15">
            <v>11.52</v>
          </cell>
          <cell r="E15">
            <v>63441.273924000008</v>
          </cell>
          <cell r="F15">
            <v>0.26769999216799256</v>
          </cell>
          <cell r="G15">
            <v>46458.045391417734</v>
          </cell>
        </row>
        <row r="16">
          <cell r="A16">
            <v>100021631</v>
          </cell>
          <cell r="B16" t="str">
            <v>HAMBURGUESA 8X12X80G CLASICA SWIFT</v>
          </cell>
          <cell r="C16">
            <v>2</v>
          </cell>
          <cell r="D16">
            <v>15.36</v>
          </cell>
          <cell r="E16">
            <v>81762.31661850003</v>
          </cell>
          <cell r="F16">
            <v>0.18504775085295108</v>
          </cell>
          <cell r="G16">
            <v>66632.383823719734</v>
          </cell>
        </row>
        <row r="17">
          <cell r="A17">
            <v>100021630</v>
          </cell>
          <cell r="B17" t="str">
            <v xml:space="preserve">HAMBURGUESA 6X20X80G CLASICA SWIFT </v>
          </cell>
          <cell r="C17">
            <v>0</v>
          </cell>
          <cell r="D17" t="str">
            <v/>
          </cell>
          <cell r="E17">
            <v>102202.91379900002</v>
          </cell>
          <cell r="F17">
            <v>8.269791899060634E-8</v>
          </cell>
          <cell r="G17">
            <v>102202.90534703173</v>
          </cell>
        </row>
        <row r="18">
          <cell r="A18">
            <v>100021676</v>
          </cell>
          <cell r="B18" t="str">
            <v xml:space="preserve">HAMBURGUESA 30X250g CLASICA "XL" SWIFT </v>
          </cell>
          <cell r="C18">
            <v>1.3333333333333333</v>
          </cell>
          <cell r="D18">
            <v>10</v>
          </cell>
          <cell r="E18">
            <v>77622.530217749998</v>
          </cell>
          <cell r="F18">
            <v>0.16799996400991291</v>
          </cell>
          <cell r="G18">
            <v>64581.947934809621</v>
          </cell>
        </row>
        <row r="19">
          <cell r="A19">
            <v>100516008</v>
          </cell>
          <cell r="B19" t="str">
            <v>HAMBURGUESAS 24X240G SWIFT TIPO CASERA</v>
          </cell>
          <cell r="C19">
            <v>2</v>
          </cell>
          <cell r="D19">
            <v>11.52</v>
          </cell>
          <cell r="E19">
            <v>64691.055906750014</v>
          </cell>
          <cell r="F19">
            <v>5.2070971989433133E-2</v>
          </cell>
          <cell r="G19">
            <v>61322.529746662782</v>
          </cell>
        </row>
        <row r="20">
          <cell r="A20">
            <v>100520834</v>
          </cell>
          <cell r="B20" t="str">
            <v xml:space="preserve">HAMBURGUESA X-TREMA 36 x 185g </v>
          </cell>
          <cell r="C20">
            <v>0</v>
          </cell>
          <cell r="D20" t="str">
            <v/>
          </cell>
          <cell r="E20">
            <v>66951.572735250011</v>
          </cell>
          <cell r="F20">
            <v>-6.9245687481463718E-8</v>
          </cell>
          <cell r="G20">
            <v>66951.577371357693</v>
          </cell>
        </row>
        <row r="21">
          <cell r="A21">
            <v>100021653</v>
          </cell>
          <cell r="B21" t="str">
            <v>MEDALLON 18X4X80G PARRILLERO SWIFT</v>
          </cell>
          <cell r="C21">
            <v>0</v>
          </cell>
          <cell r="D21" t="str">
            <v/>
          </cell>
          <cell r="E21">
            <v>62914.041114750005</v>
          </cell>
          <cell r="F21">
            <v>6.1219301486652305E-8</v>
          </cell>
          <cell r="G21">
            <v>62914.037263196355</v>
          </cell>
        </row>
        <row r="22">
          <cell r="A22">
            <v>100021638</v>
          </cell>
          <cell r="B22" t="str">
            <v>MEDALLONES 60X80g "SWIFT BURGER" PARRILLERAS FAMILY</v>
          </cell>
          <cell r="C22">
            <v>0</v>
          </cell>
          <cell r="D22" t="str">
            <v/>
          </cell>
          <cell r="E22">
            <v>52429.519248750017</v>
          </cell>
          <cell r="F22" t="e">
            <v>#N/A</v>
          </cell>
          <cell r="G22">
            <v>0</v>
          </cell>
        </row>
        <row r="23">
          <cell r="A23">
            <v>100516169</v>
          </cell>
          <cell r="B23" t="str">
            <v>MEDALLONES 18X4X80G SWIFT RECETA ESPECIAL (MEDALLON- ARG)</v>
          </cell>
          <cell r="C23">
            <v>0</v>
          </cell>
          <cell r="D23" t="str">
            <v/>
          </cell>
          <cell r="E23">
            <v>55189.593159750002</v>
          </cell>
          <cell r="F23">
            <v>-3.0165815656746792E-7</v>
          </cell>
          <cell r="G23">
            <v>55189.609808140936</v>
          </cell>
        </row>
        <row r="24">
          <cell r="A24">
            <v>100516170</v>
          </cell>
          <cell r="B24" t="str">
            <v>MEDALLONES 30X160 Grs. RECETA ESPECIAL</v>
          </cell>
          <cell r="C24" t="e">
            <v>#N/A</v>
          </cell>
          <cell r="D24" t="e">
            <v>#N/A</v>
          </cell>
          <cell r="E24" t="e">
            <v>#N/A</v>
          </cell>
          <cell r="F24" t="e">
            <v>#N/A</v>
          </cell>
          <cell r="G24">
            <v>0</v>
          </cell>
        </row>
        <row r="25">
          <cell r="A25">
            <v>100021503</v>
          </cell>
          <cell r="B25" t="str">
            <v>Medallón CAJITA 12x4 69 grs</v>
          </cell>
          <cell r="C25">
            <v>2</v>
          </cell>
          <cell r="D25">
            <v>6.6239999999999997</v>
          </cell>
          <cell r="E25">
            <v>28112.96237400001</v>
          </cell>
          <cell r="F25">
            <v>0.28237920749810447</v>
          </cell>
          <cell r="G25">
            <v>20174.446338405858</v>
          </cell>
        </row>
        <row r="26">
          <cell r="A26">
            <v>100516201</v>
          </cell>
          <cell r="B26" t="str">
            <v>MEDALLONES BURGER 8x12un x 69gr</v>
          </cell>
          <cell r="C26">
            <v>2</v>
          </cell>
          <cell r="D26">
            <v>13.247999999999999</v>
          </cell>
          <cell r="E26">
            <v>48925.926063000014</v>
          </cell>
          <cell r="F26">
            <v>9.3879960138358157E-2</v>
          </cell>
          <cell r="G26">
            <v>44332.762074473314</v>
          </cell>
        </row>
        <row r="27">
          <cell r="A27">
            <v>100021643</v>
          </cell>
          <cell r="B27" t="str">
            <v>MEDALLON 42X112G DOBLE BURGER SWIFT</v>
          </cell>
          <cell r="C27">
            <v>0.66666666666666663</v>
          </cell>
          <cell r="D27" t="str">
            <v/>
          </cell>
          <cell r="E27">
            <v>42172.988649750005</v>
          </cell>
          <cell r="F27">
            <v>0.33149244806309131</v>
          </cell>
          <cell r="G27">
            <v>28192.961400107411</v>
          </cell>
        </row>
        <row r="28">
          <cell r="A28">
            <v>100516325</v>
          </cell>
          <cell r="B28" t="str">
            <v>MED.DOBLE BURGER x 4 - 21x224g</v>
          </cell>
          <cell r="C28">
            <v>2</v>
          </cell>
          <cell r="D28">
            <v>9.4079999999999995</v>
          </cell>
          <cell r="E28">
            <v>34408.967890500004</v>
          </cell>
          <cell r="F28">
            <v>9.3455856254786585E-2</v>
          </cell>
          <cell r="G28">
            <v>31193.248333449868</v>
          </cell>
        </row>
        <row r="29">
          <cell r="A29">
            <v>100520337</v>
          </cell>
          <cell r="B29" t="str">
            <v>MEDALLON 30x160g MEGA BURGER SWIFT</v>
          </cell>
          <cell r="C29">
            <v>2</v>
          </cell>
          <cell r="D29">
            <v>9.6</v>
          </cell>
          <cell r="E29">
            <v>33797.674417500006</v>
          </cell>
          <cell r="F29">
            <v>0.18749833672965721</v>
          </cell>
          <cell r="G29">
            <v>27460.666678888269</v>
          </cell>
        </row>
        <row r="30">
          <cell r="A30">
            <v>100021644</v>
          </cell>
          <cell r="B30" t="str">
            <v>MEDALLON 42X112G LA BLANCA</v>
          </cell>
          <cell r="C30">
            <v>2</v>
          </cell>
          <cell r="D30">
            <v>9.4079999999999995</v>
          </cell>
          <cell r="E30">
            <v>24466.375930500006</v>
          </cell>
          <cell r="F30">
            <v>0.21433116114157638</v>
          </cell>
          <cell r="G30">
            <v>19222.469168389624</v>
          </cell>
        </row>
        <row r="31">
          <cell r="A31">
            <v>100021677</v>
          </cell>
          <cell r="B31" t="str">
            <v>MEDALLON 12x4X69G LA BLANCA</v>
          </cell>
          <cell r="C31">
            <v>0</v>
          </cell>
          <cell r="D31" t="str">
            <v/>
          </cell>
          <cell r="E31">
            <v>20865.887658000003</v>
          </cell>
          <cell r="F31">
            <v>-1.5880809224981195E-6</v>
          </cell>
          <cell r="G31">
            <v>20865.920794718124</v>
          </cell>
        </row>
        <row r="32">
          <cell r="A32">
            <v>100021575</v>
          </cell>
          <cell r="B32" t="str">
            <v>MEDALLONES 60 X 69 GRS SWIFT BURGUER PARRILLERAS FAMILY</v>
          </cell>
          <cell r="C32">
            <v>0</v>
          </cell>
          <cell r="D32" t="str">
            <v/>
          </cell>
          <cell r="E32">
            <v>43000.532536500003</v>
          </cell>
          <cell r="F32" t="e">
            <v>#N/A</v>
          </cell>
          <cell r="G32">
            <v>0</v>
          </cell>
        </row>
        <row r="33">
          <cell r="A33">
            <v>100021514</v>
          </cell>
          <cell r="B33" t="str">
            <v>Medallon   60X69G Carne Vacuna</v>
          </cell>
          <cell r="C33">
            <v>0</v>
          </cell>
          <cell r="D33" t="str">
            <v/>
          </cell>
          <cell r="E33">
            <v>39130.244984250006</v>
          </cell>
          <cell r="F33" t="e">
            <v>#N/A</v>
          </cell>
          <cell r="G33">
            <v>0</v>
          </cell>
        </row>
        <row r="34">
          <cell r="A34">
            <v>100516208</v>
          </cell>
          <cell r="B34" t="str">
            <v>Medallón Parrilero MC Swift  x60 80 grs</v>
          </cell>
          <cell r="C34">
            <v>0</v>
          </cell>
          <cell r="D34" t="str">
            <v/>
          </cell>
          <cell r="E34">
            <v>45368.423493750015</v>
          </cell>
          <cell r="F34" t="e">
            <v>#N/A</v>
          </cell>
          <cell r="G34">
            <v>0</v>
          </cell>
        </row>
        <row r="35">
          <cell r="A35">
            <v>100516191</v>
          </cell>
          <cell r="B35" t="str">
            <v xml:space="preserve">MEDALLON 60x80g PROMOFIESTA </v>
          </cell>
          <cell r="C35" t="e">
            <v>#N/A</v>
          </cell>
          <cell r="D35" t="e">
            <v>#N/A</v>
          </cell>
          <cell r="E35" t="e">
            <v>#N/A</v>
          </cell>
          <cell r="F35" t="e">
            <v>#N/A</v>
          </cell>
          <cell r="G35">
            <v>0</v>
          </cell>
        </row>
        <row r="36">
          <cell r="A36">
            <v>100021530</v>
          </cell>
          <cell r="B36" t="str">
            <v>MEDALLON 40X109G CARNE VACUNA PARRILLERO SWIFT</v>
          </cell>
          <cell r="C36" t="e">
            <v>#N/A</v>
          </cell>
          <cell r="D36" t="e">
            <v>#N/A</v>
          </cell>
          <cell r="E36" t="e">
            <v>#N/A</v>
          </cell>
          <cell r="F36" t="e">
            <v>#N/A</v>
          </cell>
          <cell r="G36">
            <v>0</v>
          </cell>
        </row>
        <row r="37">
          <cell r="A37">
            <v>100518346</v>
          </cell>
          <cell r="B37" t="str">
            <v>MEDALLON 60X109G CARNE VACUNA PARRILLERO SWIFT</v>
          </cell>
          <cell r="C37">
            <v>0</v>
          </cell>
          <cell r="D37" t="str">
            <v/>
          </cell>
          <cell r="E37">
            <v>64844.624344500007</v>
          </cell>
          <cell r="F37" t="e">
            <v>#N/A</v>
          </cell>
          <cell r="G37">
            <v>0</v>
          </cell>
        </row>
        <row r="38">
          <cell r="A38">
            <v>100516259</v>
          </cell>
          <cell r="B38" t="str">
            <v>MEDALLON GIGANTE 113,5 g</v>
          </cell>
          <cell r="C38" t="e">
            <v>#N/A</v>
          </cell>
          <cell r="D38" t="e">
            <v>#N/A</v>
          </cell>
          <cell r="E38" t="e">
            <v>#N/A</v>
          </cell>
          <cell r="F38" t="e">
            <v>#N/A</v>
          </cell>
          <cell r="G38">
            <v>0</v>
          </cell>
        </row>
        <row r="39">
          <cell r="A39">
            <v>100021669</v>
          </cell>
          <cell r="B39" t="str">
            <v>Hamburguesa Dia 18 X 4</v>
          </cell>
          <cell r="C39" t="e">
            <v>#VALUE!</v>
          </cell>
          <cell r="D39" t="e">
            <v>#VALUE!</v>
          </cell>
          <cell r="E39" t="e">
            <v>#VALUE!</v>
          </cell>
          <cell r="F39" t="e">
            <v>#VALUE!</v>
          </cell>
          <cell r="G39">
            <v>0</v>
          </cell>
        </row>
        <row r="40">
          <cell r="A40">
            <v>100021670</v>
          </cell>
          <cell r="B40" t="str">
            <v>Hamburguesa Dia 12 X 12</v>
          </cell>
          <cell r="C40" t="e">
            <v>#VALUE!</v>
          </cell>
          <cell r="D40" t="e">
            <v>#VALUE!</v>
          </cell>
          <cell r="E40" t="e">
            <v>#VALUE!</v>
          </cell>
          <cell r="F40" t="e">
            <v>#VALUE!</v>
          </cell>
          <cell r="G40">
            <v>0</v>
          </cell>
        </row>
        <row r="41">
          <cell r="A41">
            <v>100021671</v>
          </cell>
          <cell r="B41" t="str">
            <v>Hamburguesa Dia 6 X 20</v>
          </cell>
          <cell r="C41" t="e">
            <v>#VALUE!</v>
          </cell>
          <cell r="D41" t="e">
            <v>#VALUE!</v>
          </cell>
          <cell r="E41" t="e">
            <v>#VALUE!</v>
          </cell>
          <cell r="F41" t="e">
            <v>#VALUE!</v>
          </cell>
          <cell r="G41">
            <v>0</v>
          </cell>
        </row>
        <row r="42">
          <cell r="A42">
            <v>100021647</v>
          </cell>
          <cell r="B42" t="str">
            <v>Hamburguesa La Anonima X 4</v>
          </cell>
          <cell r="C42" t="e">
            <v>#VALUE!</v>
          </cell>
          <cell r="D42" t="e">
            <v>#VALUE!</v>
          </cell>
          <cell r="E42" t="e">
            <v>#VALUE!</v>
          </cell>
          <cell r="F42" t="e">
            <v>#VALUE!</v>
          </cell>
          <cell r="G42">
            <v>0</v>
          </cell>
        </row>
        <row r="43">
          <cell r="A43">
            <v>100021648</v>
          </cell>
          <cell r="B43" t="str">
            <v>Hamburguesa La Anonima X 12</v>
          </cell>
          <cell r="C43" t="e">
            <v>#VALUE!</v>
          </cell>
          <cell r="D43" t="e">
            <v>#VALUE!</v>
          </cell>
          <cell r="E43" t="e">
            <v>#VALUE!</v>
          </cell>
          <cell r="F43" t="e">
            <v>#VALUE!</v>
          </cell>
          <cell r="G43">
            <v>0</v>
          </cell>
        </row>
        <row r="44">
          <cell r="A44">
            <v>100021649</v>
          </cell>
          <cell r="B44" t="str">
            <v>Hamburguesa La Anonima X 20</v>
          </cell>
          <cell r="C44" t="e">
            <v>#VALUE!</v>
          </cell>
          <cell r="D44" t="e">
            <v>#VALUE!</v>
          </cell>
          <cell r="E44" t="e">
            <v>#VALUE!</v>
          </cell>
          <cell r="F44" t="e">
            <v>#VALUE!</v>
          </cell>
          <cell r="G44">
            <v>0</v>
          </cell>
        </row>
        <row r="45">
          <cell r="A45">
            <v>100518095</v>
          </cell>
          <cell r="B45" t="str">
            <v>HAMBURGUESA 36 X 185 GR</v>
          </cell>
          <cell r="C45">
            <v>0</v>
          </cell>
          <cell r="D45" t="str">
            <v/>
          </cell>
          <cell r="E45">
            <v>74752.101900000009</v>
          </cell>
          <cell r="F45" t="e">
            <v>#N/A</v>
          </cell>
          <cell r="G45">
            <v>0</v>
          </cell>
        </row>
        <row r="46">
          <cell r="A46">
            <v>100518223</v>
          </cell>
          <cell r="B46" t="str">
            <v>HAMBURGUESA 30x 106 GR</v>
          </cell>
          <cell r="C46">
            <v>0</v>
          </cell>
          <cell r="D46" t="str">
            <v/>
          </cell>
          <cell r="E46">
            <v>58198.664490750009</v>
          </cell>
          <cell r="F46" t="e">
            <v>#N/A</v>
          </cell>
          <cell r="G46">
            <v>0</v>
          </cell>
        </row>
        <row r="47">
          <cell r="A47" t="str">
            <v>Total categoría Salchichas</v>
          </cell>
          <cell r="C47" t="e">
            <v>#N/A</v>
          </cell>
          <cell r="D47" t="e">
            <v>#N/A</v>
          </cell>
          <cell r="F47" t="e">
            <v>#N/A</v>
          </cell>
        </row>
        <row r="48">
          <cell r="A48">
            <v>100022085</v>
          </cell>
          <cell r="B48" t="str">
            <v>SALCHICHAS 24X6 SWIFT</v>
          </cell>
          <cell r="C48">
            <v>5</v>
          </cell>
          <cell r="D48">
            <v>26.999999999999996</v>
          </cell>
          <cell r="E48">
            <v>36238.783247548221</v>
          </cell>
          <cell r="F48">
            <v>0.31945817525344938</v>
          </cell>
          <cell r="G48">
            <v>24662.007677881196</v>
          </cell>
        </row>
        <row r="49">
          <cell r="A49">
            <v>100022072</v>
          </cell>
          <cell r="B49" t="str">
            <v>SALCHICHAS 12X12 SWIFT</v>
          </cell>
          <cell r="C49">
            <v>5</v>
          </cell>
          <cell r="D49">
            <v>26.999999999999996</v>
          </cell>
          <cell r="E49">
            <v>32044.258607822587</v>
          </cell>
          <cell r="F49">
            <v>0.20728804081753893</v>
          </cell>
          <cell r="G49">
            <v>25401.867021556485</v>
          </cell>
        </row>
        <row r="50">
          <cell r="A50">
            <v>100022039</v>
          </cell>
          <cell r="B50" t="str">
            <v>SALCHICHAS  LARGAS  10 x 12  SWIFT  INSTITUCIONAL</v>
          </cell>
          <cell r="C50">
            <v>5</v>
          </cell>
          <cell r="D50">
            <v>43.5</v>
          </cell>
          <cell r="E50">
            <v>58942.518668212986</v>
          </cell>
          <cell r="F50">
            <v>4.7859362107504605E-2</v>
          </cell>
          <cell r="G50">
            <v>56121.567323742631</v>
          </cell>
        </row>
        <row r="51">
          <cell r="A51">
            <v>100022058</v>
          </cell>
          <cell r="B51" t="str">
            <v>SALCHICHAS SIN PIEL "LA BLANCA"  24X6X190 Grs;</v>
          </cell>
          <cell r="C51">
            <v>5</v>
          </cell>
          <cell r="D51">
            <v>22.799999995200004</v>
          </cell>
          <cell r="E51">
            <v>19169.818500000001</v>
          </cell>
          <cell r="F51">
            <v>0.29357906621984575</v>
          </cell>
          <cell r="G51">
            <v>13541.961085166076</v>
          </cell>
        </row>
        <row r="52">
          <cell r="A52">
            <v>100518151</v>
          </cell>
          <cell r="B52" t="str">
            <v xml:space="preserve">SALCHICHAS LARGAS 10 x 12 x 870g  </v>
          </cell>
          <cell r="C52" t="e">
            <v>#N/A</v>
          </cell>
          <cell r="D52" t="e">
            <v>#N/A</v>
          </cell>
          <cell r="E52" t="e">
            <v>#N/A</v>
          </cell>
          <cell r="F52" t="e">
            <v>#N/A</v>
          </cell>
          <cell r="G52">
            <v>0</v>
          </cell>
        </row>
        <row r="53">
          <cell r="A53">
            <v>100516849</v>
          </cell>
          <cell r="B53" t="str">
            <v>SALCHICHAS SIN PIEL 24X6 "SWIFT KIDS" X 190 g</v>
          </cell>
          <cell r="C53">
            <v>5</v>
          </cell>
          <cell r="D53">
            <v>22.800000000000004</v>
          </cell>
          <cell r="E53">
            <v>30275.845946423357</v>
          </cell>
          <cell r="F53">
            <v>0.32897471543543166</v>
          </cell>
          <cell r="G53">
            <v>20315.858141631765</v>
          </cell>
        </row>
        <row r="54">
          <cell r="A54" t="str">
            <v>Total categoría Untables</v>
          </cell>
          <cell r="C54" t="e">
            <v>#N/A</v>
          </cell>
          <cell r="D54" t="e">
            <v>#N/A</v>
          </cell>
          <cell r="F54" t="e">
            <v>#N/A</v>
          </cell>
        </row>
        <row r="55">
          <cell r="A55">
            <v>100021000</v>
          </cell>
          <cell r="B55" t="str">
            <v>PATE DE FOIE 24X90G SWIFT</v>
          </cell>
          <cell r="C55">
            <v>14.666666666666668</v>
          </cell>
          <cell r="D55">
            <v>31.680000000000003</v>
          </cell>
          <cell r="E55">
            <v>18093.68629116872</v>
          </cell>
          <cell r="F55">
            <v>0.30144140908593259</v>
          </cell>
          <cell r="G55">
            <v>12639.5</v>
          </cell>
        </row>
        <row r="56">
          <cell r="A56">
            <v>100021001</v>
          </cell>
          <cell r="B56" t="str">
            <v xml:space="preserve">PICADILLO DE CARNE 24X90G SWIFT </v>
          </cell>
          <cell r="C56">
            <v>46.666666666666664</v>
          </cell>
          <cell r="D56">
            <v>100.8</v>
          </cell>
          <cell r="E56">
            <v>18093.68629116872</v>
          </cell>
          <cell r="F56">
            <v>0.30144140908593259</v>
          </cell>
          <cell r="G56">
            <v>12639.5</v>
          </cell>
        </row>
        <row r="57">
          <cell r="A57">
            <v>100522277</v>
          </cell>
          <cell r="B57" t="str">
            <v>PICADILLO DE CARNE PICANTE CHILE CHIPOTLE 24x90 g</v>
          </cell>
          <cell r="C57">
            <v>5</v>
          </cell>
          <cell r="D57" t="str">
            <v/>
          </cell>
          <cell r="E57">
            <v>18093.68629116872</v>
          </cell>
          <cell r="F57">
            <v>0.30144140908593259</v>
          </cell>
          <cell r="G57">
            <v>12639.5</v>
          </cell>
        </row>
        <row r="58">
          <cell r="A58">
            <v>100522333</v>
          </cell>
          <cell r="B58" t="str">
            <v>PATE DE FOIE JALAPEÑO 24x90 Swift</v>
          </cell>
          <cell r="C58">
            <v>5</v>
          </cell>
          <cell r="D58" t="str">
            <v/>
          </cell>
          <cell r="E58">
            <v>18093.68629116872</v>
          </cell>
          <cell r="F58">
            <v>0.30144140908593259</v>
          </cell>
          <cell r="G58">
            <v>12639.5</v>
          </cell>
        </row>
        <row r="59">
          <cell r="A59">
            <v>100021045</v>
          </cell>
          <cell r="B59" t="str">
            <v>PICADILLO DE CARNE PICANTE 24X90G SWIFT</v>
          </cell>
          <cell r="C59">
            <v>5.3333333333333339</v>
          </cell>
          <cell r="D59">
            <v>11.520000000000001</v>
          </cell>
          <cell r="E59">
            <v>18093.68629116872</v>
          </cell>
          <cell r="F59">
            <v>0.30144140908593259</v>
          </cell>
          <cell r="G59">
            <v>12639.5</v>
          </cell>
        </row>
        <row r="60">
          <cell r="A60">
            <v>100021004</v>
          </cell>
          <cell r="B60" t="str">
            <v>PATE DE FOIE A LA CREMA 24X88G SWIFT</v>
          </cell>
          <cell r="C60">
            <v>1.6666666666666665</v>
          </cell>
          <cell r="D60">
            <v>3.52</v>
          </cell>
          <cell r="E60">
            <v>18093.68629116872</v>
          </cell>
          <cell r="F60">
            <v>0.30144140908593259</v>
          </cell>
          <cell r="G60">
            <v>12639.5</v>
          </cell>
        </row>
        <row r="61">
          <cell r="A61">
            <v>100021006</v>
          </cell>
          <cell r="B61" t="str">
            <v>JAMON DEL DIABLO 24X88G SWIFT</v>
          </cell>
          <cell r="C61">
            <v>2.666666666666667</v>
          </cell>
          <cell r="D61">
            <v>5.6320000000000006</v>
          </cell>
          <cell r="E61">
            <v>18093.68629116872</v>
          </cell>
          <cell r="F61">
            <v>0.30144140908593259</v>
          </cell>
          <cell r="G61">
            <v>12639.5</v>
          </cell>
        </row>
        <row r="62">
          <cell r="A62">
            <v>100021007</v>
          </cell>
          <cell r="B62" t="str">
            <v>PATE DE FOIE DE POLLO 24X85G SWIFT</v>
          </cell>
          <cell r="C62">
            <v>1</v>
          </cell>
          <cell r="D62">
            <v>2.04</v>
          </cell>
          <cell r="E62">
            <v>23485.790794108114</v>
          </cell>
          <cell r="F62">
            <v>0.36091569745657298</v>
          </cell>
          <cell r="G62">
            <v>15009.400229333423</v>
          </cell>
        </row>
        <row r="63">
          <cell r="A63">
            <v>100021013</v>
          </cell>
          <cell r="B63" t="str">
            <v>PATE DE FOIE TIPO PROVENZAL 24X85G SWIFT GOURMET</v>
          </cell>
          <cell r="C63">
            <v>1</v>
          </cell>
          <cell r="D63">
            <v>2.04</v>
          </cell>
          <cell r="E63">
            <v>23485.790794108114</v>
          </cell>
          <cell r="F63">
            <v>0.36091569745657298</v>
          </cell>
          <cell r="G63">
            <v>15009.400229333423</v>
          </cell>
        </row>
        <row r="64">
          <cell r="A64">
            <v>100021014</v>
          </cell>
          <cell r="B64" t="str">
            <v>PATE DE FOIE C/PIMIENTA VERDE 24X85G SWIFT GOURMET</v>
          </cell>
          <cell r="C64">
            <v>1.3333333333333335</v>
          </cell>
          <cell r="D64">
            <v>2.72</v>
          </cell>
          <cell r="E64">
            <v>23485.790794108114</v>
          </cell>
          <cell r="F64">
            <v>0.36091569745657298</v>
          </cell>
          <cell r="G64">
            <v>15009.400229333423</v>
          </cell>
        </row>
        <row r="65">
          <cell r="A65">
            <v>100021015</v>
          </cell>
          <cell r="B65" t="str">
            <v>PATE DE SALMON 24X85G SWIFT GOURMET</v>
          </cell>
          <cell r="C65">
            <v>1.6666666666666665</v>
          </cell>
          <cell r="D65">
            <v>3.4</v>
          </cell>
          <cell r="E65">
            <v>25163.347279401547</v>
          </cell>
          <cell r="F65">
            <v>0.40352128037657303</v>
          </cell>
          <cell r="G65">
            <v>15009.401166657079</v>
          </cell>
        </row>
        <row r="66">
          <cell r="A66">
            <v>100021054</v>
          </cell>
          <cell r="B66" t="str">
            <v xml:space="preserve">PATE JAMON AHUMADO 24X85G </v>
          </cell>
          <cell r="C66">
            <v>1.6666666666666665</v>
          </cell>
          <cell r="D66">
            <v>3.4</v>
          </cell>
          <cell r="E66">
            <v>23485.790794108114</v>
          </cell>
          <cell r="F66">
            <v>0.36091569745657298</v>
          </cell>
          <cell r="G66">
            <v>15009.400229333423</v>
          </cell>
        </row>
        <row r="67">
          <cell r="A67">
            <v>100021055</v>
          </cell>
          <cell r="B67" t="str">
            <v>PATE HONGOS 24X85G</v>
          </cell>
          <cell r="C67">
            <v>1</v>
          </cell>
          <cell r="D67">
            <v>2.04</v>
          </cell>
          <cell r="E67">
            <v>23485.790794108114</v>
          </cell>
          <cell r="F67">
            <v>0.36091569745657298</v>
          </cell>
          <cell r="G67">
            <v>15009.400229333423</v>
          </cell>
        </row>
        <row r="68">
          <cell r="A68">
            <v>100517846</v>
          </cell>
          <cell r="B68" t="str">
            <v xml:space="preserve">SURTIDO GOURMET 24X85G SWIFT GOURMET </v>
          </cell>
          <cell r="C68" t="e">
            <v>#N/A</v>
          </cell>
          <cell r="D68" t="e">
            <v>#N/A</v>
          </cell>
          <cell r="E68" t="e">
            <v>#N/A</v>
          </cell>
          <cell r="F68" t="e">
            <v>#N/A</v>
          </cell>
          <cell r="G68">
            <v>0</v>
          </cell>
        </row>
        <row r="69">
          <cell r="A69">
            <v>100021008</v>
          </cell>
          <cell r="B69" t="str">
            <v>PICADILLO DE CARNE 24X90G LA BLANCA</v>
          </cell>
          <cell r="C69">
            <v>283.33333333333331</v>
          </cell>
          <cell r="D69">
            <v>612</v>
          </cell>
          <cell r="E69">
            <v>14252.568653482602</v>
          </cell>
          <cell r="F69">
            <v>0.40112651031273733</v>
          </cell>
          <cell r="G69">
            <v>8535.485526518416</v>
          </cell>
        </row>
        <row r="70">
          <cell r="A70">
            <v>100021009</v>
          </cell>
          <cell r="B70" t="str">
            <v>PATE DE FOIE 24X90G LA BLANCA</v>
          </cell>
          <cell r="C70">
            <v>25</v>
          </cell>
          <cell r="D70">
            <v>54</v>
          </cell>
          <cell r="E70">
            <v>14252.568653482602</v>
          </cell>
          <cell r="F70">
            <v>0.40112651031273733</v>
          </cell>
          <cell r="G70">
            <v>8535.485526518416</v>
          </cell>
        </row>
        <row r="71">
          <cell r="A71">
            <v>100021010</v>
          </cell>
          <cell r="B71" t="str">
            <v>PICADILLO DE CARNE 24X90G SAFRA</v>
          </cell>
          <cell r="C71">
            <v>39.999999999999993</v>
          </cell>
          <cell r="D71">
            <v>86.399999999999991</v>
          </cell>
          <cell r="E71">
            <v>14252.568653482602</v>
          </cell>
          <cell r="F71">
            <v>0.40112651031273733</v>
          </cell>
          <cell r="G71">
            <v>8535.485526518416</v>
          </cell>
        </row>
        <row r="72">
          <cell r="A72">
            <v>100021011</v>
          </cell>
          <cell r="B72" t="str">
            <v>PATE DE FOIE 24X90G SAFRA</v>
          </cell>
          <cell r="C72">
            <v>5</v>
          </cell>
          <cell r="D72">
            <v>10.8</v>
          </cell>
          <cell r="E72">
            <v>14252.568653482602</v>
          </cell>
          <cell r="F72">
            <v>0.40112651031273733</v>
          </cell>
          <cell r="G72">
            <v>8535.485526518416</v>
          </cell>
        </row>
        <row r="73">
          <cell r="A73">
            <v>100021133</v>
          </cell>
          <cell r="B73" t="str">
            <v xml:space="preserve">PICADILLO DE CARNE DIA 24X90G </v>
          </cell>
          <cell r="C73">
            <v>0</v>
          </cell>
          <cell r="D73" t="str">
            <v/>
          </cell>
          <cell r="E73" t="str">
            <v/>
          </cell>
          <cell r="G73">
            <v>0</v>
          </cell>
        </row>
        <row r="74">
          <cell r="A74">
            <v>100021134</v>
          </cell>
          <cell r="B74" t="str">
            <v xml:space="preserve">PATE  DIA 24X90G </v>
          </cell>
          <cell r="C74">
            <v>0</v>
          </cell>
          <cell r="D74" t="str">
            <v/>
          </cell>
          <cell r="E74" t="str">
            <v/>
          </cell>
          <cell r="G74">
            <v>0</v>
          </cell>
        </row>
        <row r="75">
          <cell r="A75">
            <v>100021027</v>
          </cell>
          <cell r="B75" t="str">
            <v>PATE DE FOI  PRIMER PRECIO  -  24 X 90  Grs.</v>
          </cell>
          <cell r="C75">
            <v>0</v>
          </cell>
          <cell r="D75" t="str">
            <v/>
          </cell>
          <cell r="E75" t="str">
            <v/>
          </cell>
          <cell r="G75">
            <v>0</v>
          </cell>
        </row>
        <row r="76">
          <cell r="A76">
            <v>100021028</v>
          </cell>
          <cell r="B76" t="str">
            <v>PICADILLO DE CARNE PRIMER PRECIO  -  24 X 90 Grs.</v>
          </cell>
          <cell r="C76">
            <v>0</v>
          </cell>
          <cell r="D76" t="str">
            <v/>
          </cell>
          <cell r="E76" t="str">
            <v/>
          </cell>
          <cell r="G76">
            <v>0</v>
          </cell>
        </row>
        <row r="77">
          <cell r="A77" t="str">
            <v>Total categoría Milanesas de Soja</v>
          </cell>
          <cell r="C77">
            <v>15.666666666666666</v>
          </cell>
          <cell r="D77">
            <v>105</v>
          </cell>
          <cell r="F77">
            <v>45813.32768562244</v>
          </cell>
        </row>
        <row r="78">
          <cell r="A78">
            <v>100516214</v>
          </cell>
          <cell r="B78" t="str">
            <v>MILANESAS DE SOJA RELLENAS CON JAMON Y QUESO</v>
          </cell>
          <cell r="C78">
            <v>5</v>
          </cell>
          <cell r="D78">
            <v>35</v>
          </cell>
          <cell r="E78">
            <v>38717.918830710012</v>
          </cell>
          <cell r="F78">
            <v>7.4999967474655677E-2</v>
          </cell>
          <cell r="G78">
            <v>35814.076177720402</v>
          </cell>
        </row>
        <row r="79">
          <cell r="A79">
            <v>100516215</v>
          </cell>
          <cell r="B79" t="str">
            <v>MILANESAS DE SOJA RELLENAS CON ESPINACA Y QUESO</v>
          </cell>
          <cell r="C79">
            <v>5</v>
          </cell>
          <cell r="D79">
            <v>35</v>
          </cell>
          <cell r="E79">
            <v>38717.918830710012</v>
          </cell>
          <cell r="F79">
            <v>7.4999967474655677E-2</v>
          </cell>
          <cell r="G79">
            <v>35814.076177720402</v>
          </cell>
        </row>
        <row r="80">
          <cell r="A80">
            <v>100516216</v>
          </cell>
          <cell r="B80" t="str">
            <v>MILANESAS DE SOJA RELLENAS CON TOMATE Y QUESO</v>
          </cell>
          <cell r="C80">
            <v>5</v>
          </cell>
          <cell r="D80">
            <v>35</v>
          </cell>
          <cell r="E80">
            <v>38717.918830710012</v>
          </cell>
          <cell r="F80">
            <v>7.4999967474655677E-2</v>
          </cell>
          <cell r="G80">
            <v>35814.076177720402</v>
          </cell>
        </row>
        <row r="81">
          <cell r="A81">
            <v>100516217</v>
          </cell>
          <cell r="B81" t="str">
            <v>MILANESAS DE SOJA CLASICAS PREFRITAS</v>
          </cell>
          <cell r="C81">
            <v>0.66666666666666674</v>
          </cell>
          <cell r="D81" t="str">
            <v/>
          </cell>
          <cell r="E81">
            <v>26853.453828652502</v>
          </cell>
          <cell r="F81">
            <v>0.12599987538873836</v>
          </cell>
          <cell r="G81">
            <v>23469.921992485048</v>
          </cell>
        </row>
        <row r="82">
          <cell r="A82">
            <v>100521453</v>
          </cell>
          <cell r="B82" t="str">
            <v>MEDALLÓN A BASE DE CALABAZA Y CHOCLO PREFRITO SUPERCONGELADO</v>
          </cell>
          <cell r="C82">
            <v>5</v>
          </cell>
          <cell r="D82">
            <v>27</v>
          </cell>
          <cell r="E82">
            <v>34997.247400693159</v>
          </cell>
          <cell r="F82">
            <v>7.5000137402723849E-2</v>
          </cell>
          <cell r="G82">
            <v>32372.449036924052</v>
          </cell>
        </row>
        <row r="83">
          <cell r="A83">
            <v>100521454</v>
          </cell>
          <cell r="B83" t="str">
            <v>MEDALLÓN A BASE DE ESPINACA CON SOJA PREFRITO SUPERCONGELADO 18x300g</v>
          </cell>
          <cell r="C83">
            <v>5</v>
          </cell>
          <cell r="D83">
            <v>27</v>
          </cell>
          <cell r="E83">
            <v>34997.247400693159</v>
          </cell>
          <cell r="F83">
            <v>7.5000137402723849E-2</v>
          </cell>
          <cell r="G83">
            <v>32372.449036924052</v>
          </cell>
        </row>
        <row r="84">
          <cell r="A84">
            <v>100521455</v>
          </cell>
          <cell r="B84" t="str">
            <v>CROQUETA A BASE DE BRÓCOLI Y SOJA PREFRITO SUPERCONGELADO 300g</v>
          </cell>
          <cell r="C84">
            <v>5</v>
          </cell>
          <cell r="D84">
            <v>24</v>
          </cell>
          <cell r="E84">
            <v>35543.871074380171</v>
          </cell>
          <cell r="F84">
            <v>0.12499994710296521</v>
          </cell>
          <cell r="G84">
            <v>31100.889070248035</v>
          </cell>
        </row>
        <row r="85">
          <cell r="A85">
            <v>100521457</v>
          </cell>
          <cell r="B85" t="str">
            <v>CROQUETA A BASE DE ESPINACA Y SOJA REBOZADA SUPERCONGELADA 300g</v>
          </cell>
          <cell r="C85">
            <v>5</v>
          </cell>
          <cell r="D85">
            <v>24</v>
          </cell>
          <cell r="E85">
            <v>35543.871074380171</v>
          </cell>
          <cell r="F85">
            <v>0.12499994710296521</v>
          </cell>
          <cell r="G85">
            <v>31100.889070248035</v>
          </cell>
        </row>
        <row r="86">
          <cell r="A86" t="str">
            <v>Total categoría Rebozados de Carne</v>
          </cell>
          <cell r="C86" t="e">
            <v>#N/A</v>
          </cell>
          <cell r="D86" t="e">
            <v>#N/A</v>
          </cell>
          <cell r="F86" t="e">
            <v>#N/A</v>
          </cell>
        </row>
        <row r="87">
          <cell r="A87">
            <v>100021704</v>
          </cell>
          <cell r="B87" t="str">
            <v>BOCADITOS DE CARNE "SWIFT" - 12x380g</v>
          </cell>
          <cell r="C87">
            <v>0.66666666666666652</v>
          </cell>
          <cell r="D87" t="str">
            <v/>
          </cell>
          <cell r="E87">
            <v>40795.344837535376</v>
          </cell>
          <cell r="F87">
            <v>0.24236294187847465</v>
          </cell>
          <cell r="G87">
            <v>30908.065047763459</v>
          </cell>
        </row>
        <row r="88">
          <cell r="A88">
            <v>100021705</v>
          </cell>
          <cell r="B88" t="str">
            <v>BOCADITOS DE POLLO "SWIFT" - 12x380g</v>
          </cell>
          <cell r="C88">
            <v>1.333333333333333</v>
          </cell>
          <cell r="D88">
            <v>6.0799999999999992</v>
          </cell>
          <cell r="E88">
            <v>37083.914742607434</v>
          </cell>
          <cell r="F88">
            <v>0.24236331792304361</v>
          </cell>
          <cell r="G88">
            <v>28096.134124013824</v>
          </cell>
        </row>
        <row r="89">
          <cell r="A89">
            <v>100021707</v>
          </cell>
          <cell r="B89" t="str">
            <v>BOCADITOS DE CARNE "SWIFT" - 10x760g</v>
          </cell>
          <cell r="C89" t="e">
            <v>#N/A</v>
          </cell>
          <cell r="D89" t="e">
            <v>#N/A</v>
          </cell>
          <cell r="E89" t="e">
            <v>#N/A</v>
          </cell>
          <cell r="F89" t="e">
            <v>#N/A</v>
          </cell>
          <cell r="G89">
            <v>0</v>
          </cell>
        </row>
        <row r="90">
          <cell r="A90">
            <v>100021709</v>
          </cell>
          <cell r="B90" t="str">
            <v>BOCADITOS DE POLLO "SWIFT" - 10x760g</v>
          </cell>
          <cell r="C90">
            <v>0.99999999999999989</v>
          </cell>
          <cell r="D90">
            <v>7.5999999999999988</v>
          </cell>
          <cell r="E90">
            <v>59506.746152711006</v>
          </cell>
          <cell r="F90">
            <v>0.16660010776359133</v>
          </cell>
          <cell r="G90">
            <v>49592.915831008679</v>
          </cell>
        </row>
        <row r="91">
          <cell r="A91">
            <v>100521357</v>
          </cell>
          <cell r="B91" t="str">
            <v>CRUNCHIES DE POLLO "SWIFT" - 12x380g</v>
          </cell>
          <cell r="C91">
            <v>1.333333333333333</v>
          </cell>
          <cell r="D91">
            <v>6.0799999999999992</v>
          </cell>
          <cell r="E91">
            <v>44924.025599999994</v>
          </cell>
          <cell r="F91">
            <v>5.6920223997022915E-2</v>
          </cell>
          <cell r="G91">
            <v>42366.94</v>
          </cell>
        </row>
        <row r="92">
          <cell r="A92">
            <v>100521358</v>
          </cell>
          <cell r="B92" t="str">
            <v>CRUNCHIES DE POLLO "SWIFT" - 10x760g</v>
          </cell>
          <cell r="C92">
            <v>0</v>
          </cell>
          <cell r="D92" t="str">
            <v/>
          </cell>
          <cell r="E92">
            <v>67386.038400000005</v>
          </cell>
          <cell r="F92" t="e">
            <v>#N/A</v>
          </cell>
          <cell r="G92">
            <v>0</v>
          </cell>
        </row>
        <row r="93">
          <cell r="A93">
            <v>100522130</v>
          </cell>
          <cell r="B93" t="str">
            <v>BOCADITOS DE POLLO "SWIFT KIDS" - 12x400g</v>
          </cell>
          <cell r="C93">
            <v>5</v>
          </cell>
          <cell r="D93">
            <v>24.000000000000004</v>
          </cell>
          <cell r="E93">
            <v>32359.435200000011</v>
          </cell>
          <cell r="F93">
            <v>0.15000012608376376</v>
          </cell>
          <cell r="G93">
            <v>27505.515840000626</v>
          </cell>
        </row>
        <row r="94">
          <cell r="A94">
            <v>100517055</v>
          </cell>
          <cell r="B94" t="str">
            <v>PALITO DE POLLO "SWIFT"  12 X 260 Grs.</v>
          </cell>
          <cell r="C94">
            <v>0.66666666666666663</v>
          </cell>
          <cell r="D94" t="str">
            <v/>
          </cell>
          <cell r="E94">
            <v>30716.697511208371</v>
          </cell>
          <cell r="F94">
            <v>0.2690057104294547</v>
          </cell>
          <cell r="G94">
            <v>22453.7304751591</v>
          </cell>
        </row>
        <row r="95">
          <cell r="A95">
            <v>100517186</v>
          </cell>
          <cell r="B95" t="str">
            <v>PALITO DE POLLO "SWIFT"  8 X 1 Kg..</v>
          </cell>
          <cell r="C95">
            <v>5</v>
          </cell>
          <cell r="D95">
            <v>40</v>
          </cell>
          <cell r="E95">
            <v>77615.863445641604</v>
          </cell>
          <cell r="F95">
            <v>9.0909387339972531E-2</v>
          </cell>
          <cell r="G95">
            <v>70559.852851935357</v>
          </cell>
        </row>
        <row r="96">
          <cell r="A96">
            <v>100521663</v>
          </cell>
          <cell r="B96" t="str">
            <v>MILANESITAS DE CARNE "SWIFT" - 12x400g</v>
          </cell>
          <cell r="C96">
            <v>0</v>
          </cell>
          <cell r="D96" t="str">
            <v/>
          </cell>
          <cell r="E96">
            <v>45641.475000000006</v>
          </cell>
          <cell r="F96">
            <v>3.2864837745513532E-7</v>
          </cell>
          <cell r="G96">
            <v>45641.460000003302</v>
          </cell>
        </row>
        <row r="97">
          <cell r="A97">
            <v>100021728</v>
          </cell>
          <cell r="B97" t="str">
            <v>MEDALLONES DE POLLO "SWIFT" - 12x4x80g</v>
          </cell>
          <cell r="C97">
            <v>0</v>
          </cell>
          <cell r="D97" t="str">
            <v/>
          </cell>
          <cell r="E97">
            <v>38612.210244845752</v>
          </cell>
          <cell r="F97">
            <v>5.4347389576482609E-8</v>
          </cell>
          <cell r="G97">
            <v>38612.208146372919</v>
          </cell>
        </row>
        <row r="98">
          <cell r="A98">
            <v>100517679</v>
          </cell>
          <cell r="B98" t="str">
            <v>MEDALLONES DE POLLO GASTRONOMICOS - 8x12x80g</v>
          </cell>
          <cell r="C98">
            <v>5</v>
          </cell>
          <cell r="D98">
            <v>38.4</v>
          </cell>
          <cell r="E98">
            <v>38786.146773037428</v>
          </cell>
          <cell r="F98">
            <v>9.0909562906581337E-2</v>
          </cell>
          <cell r="G98">
            <v>35260.115123070085</v>
          </cell>
        </row>
        <row r="99">
          <cell r="A99">
            <v>100021725</v>
          </cell>
          <cell r="B99" t="str">
            <v>BOCADITOS DE POLLO GASTRONOMICOS "LA BLANCA" - x6kg</v>
          </cell>
          <cell r="C99">
            <v>5</v>
          </cell>
          <cell r="D99">
            <v>30</v>
          </cell>
          <cell r="E99">
            <v>30757.996613609848</v>
          </cell>
          <cell r="F99">
            <v>9.0909787237332451E-2</v>
          </cell>
          <cell r="G99">
            <v>27961.793685619985</v>
          </cell>
        </row>
        <row r="100">
          <cell r="A100" t="str">
            <v>Total categoría Milanesas</v>
          </cell>
          <cell r="C100">
            <v>0</v>
          </cell>
          <cell r="D100">
            <v>0</v>
          </cell>
          <cell r="F100">
            <v>0</v>
          </cell>
        </row>
        <row r="101">
          <cell r="A101">
            <v>100518158</v>
          </cell>
          <cell r="B101" t="str">
            <v>Milanesa de Carne Vacuna  Cong. 24x500Grs.</v>
          </cell>
          <cell r="C101">
            <v>0</v>
          </cell>
          <cell r="D101" t="str">
            <v/>
          </cell>
          <cell r="E101">
            <v>77847.240735803804</v>
          </cell>
          <cell r="F101">
            <v>-1.8903786592919916E-8</v>
          </cell>
          <cell r="G101">
            <v>77847.242207411429</v>
          </cell>
        </row>
        <row r="102">
          <cell r="A102">
            <v>100518160</v>
          </cell>
          <cell r="B102" t="str">
            <v>Milanesa de Carne Vacuna  Cong. 12x1 Kg.</v>
          </cell>
          <cell r="C102">
            <v>0</v>
          </cell>
          <cell r="D102" t="str">
            <v/>
          </cell>
          <cell r="E102">
            <v>77847.240735803804</v>
          </cell>
          <cell r="F102">
            <v>-1.8903786592919916E-8</v>
          </cell>
          <cell r="G102">
            <v>77847.242207411429</v>
          </cell>
        </row>
        <row r="103">
          <cell r="A103">
            <v>100518463</v>
          </cell>
          <cell r="B103" t="str">
            <v>Milanesa de Carne Vacuna  Cong. X 5 Kg.</v>
          </cell>
          <cell r="C103">
            <v>0</v>
          </cell>
          <cell r="D103" t="str">
            <v/>
          </cell>
          <cell r="E103">
            <v>37914.58267893146</v>
          </cell>
          <cell r="F103">
            <v>-1.4131405661879275E-7</v>
          </cell>
          <cell r="G103">
            <v>37914.588036794943</v>
          </cell>
        </row>
        <row r="104">
          <cell r="A104" t="str">
            <v>Total categoría Grasa</v>
          </cell>
          <cell r="C104">
            <v>8.6666666666666679</v>
          </cell>
          <cell r="D104">
            <v>73.666666666666671</v>
          </cell>
          <cell r="F104">
            <v>34112.678503869276</v>
          </cell>
        </row>
        <row r="105">
          <cell r="A105">
            <v>100518291</v>
          </cell>
          <cell r="B105" t="str">
            <v>GRASA VACUNA REFINADA SWIFT 10 X 500</v>
          </cell>
          <cell r="C105">
            <v>4.3333333333333339</v>
          </cell>
          <cell r="D105">
            <v>21.666666666666671</v>
          </cell>
          <cell r="E105">
            <v>15621.022482215691</v>
          </cell>
          <cell r="F105">
            <v>0.14999972986610294</v>
          </cell>
          <cell r="G105">
            <v>13277.873329651016</v>
          </cell>
        </row>
        <row r="106">
          <cell r="A106">
            <v>100518292</v>
          </cell>
          <cell r="B106" t="str">
            <v>GRASA VACUNA REFINADA SWIFT 12x1Kg</v>
          </cell>
          <cell r="C106">
            <v>4.333333333333333</v>
          </cell>
          <cell r="D106">
            <v>52</v>
          </cell>
          <cell r="E106">
            <v>36860.039080482988</v>
          </cell>
          <cell r="F106">
            <v>0.15000004240849718</v>
          </cell>
          <cell r="G106">
            <v>31331.031655231676</v>
          </cell>
        </row>
        <row r="107">
          <cell r="A107" t="str">
            <v>Total categoría Carne Picada</v>
          </cell>
          <cell r="C107">
            <v>0</v>
          </cell>
          <cell r="D107">
            <v>0</v>
          </cell>
          <cell r="F107">
            <v>0</v>
          </cell>
        </row>
        <row r="108">
          <cell r="A108">
            <v>100517914</v>
          </cell>
          <cell r="B108" t="str">
            <v>CARNE PICADA CONGELADA 20 X 1 Kg. SW</v>
          </cell>
          <cell r="C108">
            <v>0</v>
          </cell>
          <cell r="D108" t="str">
            <v/>
          </cell>
          <cell r="E108">
            <v>164105.65095750001</v>
          </cell>
          <cell r="F108">
            <v>1.5752045019411357E-8</v>
          </cell>
          <cell r="G108">
            <v>164105.64837250041</v>
          </cell>
        </row>
        <row r="109">
          <cell r="A109">
            <v>100517915</v>
          </cell>
          <cell r="B109" t="str">
            <v>CARNE PICADA CONGELADA 36 UN x 500 g SWIFT</v>
          </cell>
          <cell r="C109">
            <v>0</v>
          </cell>
          <cell r="D109" t="str">
            <v/>
          </cell>
          <cell r="E109">
            <v>150387.01994925001</v>
          </cell>
          <cell r="F109">
            <v>-2.259836050351154E-8</v>
          </cell>
          <cell r="G109">
            <v>150387.0233477501</v>
          </cell>
        </row>
        <row r="110">
          <cell r="A110" t="str">
            <v>Total categoría Chorizos</v>
          </cell>
          <cell r="C110">
            <v>5</v>
          </cell>
          <cell r="D110">
            <v>24</v>
          </cell>
          <cell r="F110">
            <v>823.90241957078103</v>
          </cell>
        </row>
        <row r="111">
          <cell r="A111">
            <v>100520837</v>
          </cell>
          <cell r="B111" t="str">
            <v>CHORIZOS FRESCOS DE CERDO LIBRE DE GLUTEN</v>
          </cell>
          <cell r="C111">
            <v>5</v>
          </cell>
          <cell r="D111">
            <v>24</v>
          </cell>
          <cell r="E111">
            <v>36946.300453212476</v>
          </cell>
          <cell r="F111">
            <v>0.11149998910095785</v>
          </cell>
          <cell r="G111">
            <v>32826.788355358571</v>
          </cell>
        </row>
        <row r="112">
          <cell r="A112" t="str">
            <v>Total categoría Papas</v>
          </cell>
          <cell r="C112">
            <v>0.66666666666666674</v>
          </cell>
          <cell r="D112">
            <v>0</v>
          </cell>
          <cell r="F112">
            <v>7570.0963181507786</v>
          </cell>
        </row>
        <row r="113">
          <cell r="A113">
            <v>100520902</v>
          </cell>
          <cell r="B113" t="str">
            <v>PAPAS PRE COCIDAS SUPERCONGELADAS LIBRES DE GLUTEN 700g</v>
          </cell>
          <cell r="C113">
            <v>0.66666666666666674</v>
          </cell>
          <cell r="D113" t="str">
            <v/>
          </cell>
          <cell r="E113">
            <v>33422.0359329977</v>
          </cell>
          <cell r="F113">
            <v>0.15100010331161573</v>
          </cell>
          <cell r="G113">
            <v>28375.305054230514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D29D-12FE-4DC8-B148-566AEE3F422A}">
  <sheetPr>
    <tabColor rgb="FF00B050"/>
    <pageSetUpPr fitToPage="1"/>
  </sheetPr>
  <dimension ref="A1:AU198"/>
  <sheetViews>
    <sheetView showGridLines="0" tabSelected="1" topLeftCell="D9" zoomScale="115" zoomScaleNormal="115" workbookViewId="0">
      <selection activeCell="G33" sqref="G33"/>
    </sheetView>
  </sheetViews>
  <sheetFormatPr baseColWidth="10" defaultColWidth="9.140625" defaultRowHeight="12.75" x14ac:dyDescent="0.2"/>
  <cols>
    <col min="1" max="1" width="13.42578125" style="8" customWidth="1"/>
    <col min="2" max="2" width="15.42578125" style="8" customWidth="1"/>
    <col min="3" max="3" width="14.5703125" style="7" customWidth="1"/>
    <col min="4" max="4" width="31.7109375" style="1" customWidth="1"/>
    <col min="5" max="5" width="13.42578125" style="7" customWidth="1"/>
    <col min="6" max="6" width="6.85546875" style="1" customWidth="1"/>
    <col min="7" max="7" width="6.140625" style="1" customWidth="1"/>
    <col min="8" max="8" width="3" style="1" hidden="1" customWidth="1"/>
    <col min="9" max="9" width="11.7109375" style="1" customWidth="1"/>
    <col min="10" max="10" width="11.7109375" style="6" hidden="1" customWidth="1"/>
    <col min="11" max="11" width="6.28515625" style="5" hidden="1" customWidth="1"/>
    <col min="12" max="12" width="9.5703125" style="1" hidden="1" customWidth="1"/>
    <col min="13" max="13" width="9.28515625" style="1" hidden="1" customWidth="1"/>
    <col min="14" max="14" width="12.5703125" style="4" hidden="1" customWidth="1"/>
    <col min="15" max="15" width="7" style="3" hidden="1" customWidth="1"/>
    <col min="16" max="16" width="9.140625" style="1" bestFit="1" customWidth="1"/>
    <col min="17" max="17" width="6.140625" style="3" customWidth="1"/>
    <col min="18" max="18" width="10.5703125" style="1" customWidth="1"/>
    <col min="19" max="19" width="8.42578125" style="1" customWidth="1"/>
    <col min="20" max="20" width="9.5703125" style="1" hidden="1" customWidth="1"/>
    <col min="21" max="21" width="7.85546875" style="1" hidden="1" customWidth="1"/>
    <col min="22" max="22" width="9.28515625" style="1" hidden="1" customWidth="1"/>
    <col min="23" max="23" width="8.140625" style="2" hidden="1" customWidth="1"/>
    <col min="24" max="24" width="8.140625" style="1" hidden="1" customWidth="1"/>
    <col min="25" max="16384" width="9.140625" style="1"/>
  </cols>
  <sheetData>
    <row r="1" spans="1:24" ht="27" hidden="1" customHeight="1" x14ac:dyDescent="0.2">
      <c r="A1" s="108" t="s">
        <v>168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</row>
    <row r="2" spans="1:24" ht="11.25" hidden="1" customHeight="1" x14ac:dyDescent="0.2">
      <c r="A2" s="94"/>
      <c r="B2" s="94"/>
      <c r="C2" s="95"/>
      <c r="I2"/>
      <c r="J2"/>
      <c r="K2"/>
      <c r="L2"/>
      <c r="M2"/>
      <c r="N2"/>
      <c r="O2"/>
      <c r="P2"/>
      <c r="Q2"/>
      <c r="R2"/>
      <c r="S2"/>
      <c r="T2"/>
    </row>
    <row r="3" spans="1:24" hidden="1" x14ac:dyDescent="0.2">
      <c r="A3" s="96" t="s">
        <v>167</v>
      </c>
      <c r="B3" s="109">
        <f ca="1">++TODAY()</f>
        <v>46006</v>
      </c>
      <c r="C3" s="110"/>
      <c r="I3"/>
      <c r="J3"/>
      <c r="K3"/>
      <c r="L3"/>
      <c r="M3"/>
      <c r="N3"/>
      <c r="O3"/>
      <c r="P3"/>
      <c r="Q3"/>
      <c r="R3"/>
      <c r="S3"/>
      <c r="T3"/>
    </row>
    <row r="4" spans="1:24" hidden="1" x14ac:dyDescent="0.2">
      <c r="A4" s="94" t="s">
        <v>166</v>
      </c>
      <c r="B4" s="94"/>
      <c r="C4" s="95"/>
      <c r="I4"/>
      <c r="J4"/>
      <c r="K4"/>
      <c r="L4"/>
      <c r="M4"/>
      <c r="N4"/>
      <c r="O4"/>
      <c r="P4"/>
      <c r="Q4"/>
      <c r="R4"/>
      <c r="S4"/>
      <c r="T4"/>
    </row>
    <row r="5" spans="1:24" hidden="1" x14ac:dyDescent="0.2">
      <c r="A5" s="96" t="s">
        <v>165</v>
      </c>
      <c r="B5" s="100"/>
      <c r="C5" s="99"/>
      <c r="I5"/>
      <c r="J5"/>
      <c r="K5"/>
      <c r="L5"/>
      <c r="M5"/>
      <c r="N5"/>
      <c r="O5"/>
      <c r="P5"/>
      <c r="Q5"/>
      <c r="R5"/>
      <c r="S5"/>
      <c r="T5"/>
    </row>
    <row r="6" spans="1:24" hidden="1" x14ac:dyDescent="0.2">
      <c r="A6" s="96" t="s">
        <v>164</v>
      </c>
      <c r="B6" s="98">
        <v>325103863</v>
      </c>
      <c r="C6" s="97"/>
      <c r="D6" s="8"/>
      <c r="I6"/>
      <c r="J6"/>
      <c r="K6"/>
      <c r="L6"/>
      <c r="M6"/>
      <c r="N6"/>
      <c r="O6"/>
      <c r="P6"/>
      <c r="Q6"/>
      <c r="R6"/>
      <c r="S6"/>
      <c r="T6"/>
    </row>
    <row r="7" spans="1:24" hidden="1" x14ac:dyDescent="0.2">
      <c r="A7" s="96" t="s">
        <v>163</v>
      </c>
      <c r="B7" s="111" t="s">
        <v>162</v>
      </c>
      <c r="C7" s="112"/>
      <c r="D7" s="95"/>
      <c r="E7" s="95"/>
      <c r="I7"/>
      <c r="J7"/>
      <c r="K7"/>
      <c r="L7"/>
      <c r="M7"/>
      <c r="N7"/>
      <c r="O7"/>
      <c r="P7"/>
      <c r="Q7"/>
      <c r="R7"/>
      <c r="S7"/>
      <c r="T7"/>
    </row>
    <row r="8" spans="1:24" hidden="1" x14ac:dyDescent="0.2">
      <c r="B8" s="94"/>
      <c r="C8" s="93"/>
      <c r="D8" s="93"/>
      <c r="E8" s="93"/>
      <c r="J8" s="92"/>
      <c r="N8" s="91"/>
    </row>
    <row r="9" spans="1:24" s="7" customFormat="1" ht="34.5" customHeight="1" x14ac:dyDescent="0.2">
      <c r="A9" s="89" t="s">
        <v>161</v>
      </c>
      <c r="B9" s="89" t="s">
        <v>160</v>
      </c>
      <c r="C9" s="89" t="s">
        <v>159</v>
      </c>
      <c r="D9" s="90" t="s">
        <v>158</v>
      </c>
      <c r="E9" s="89" t="s">
        <v>157</v>
      </c>
      <c r="F9" s="89" t="s">
        <v>156</v>
      </c>
      <c r="G9" s="89" t="s">
        <v>155</v>
      </c>
      <c r="I9" s="89" t="s">
        <v>154</v>
      </c>
      <c r="J9" s="89" t="s">
        <v>153</v>
      </c>
      <c r="K9" s="88"/>
      <c r="L9" s="86" t="s">
        <v>152</v>
      </c>
      <c r="M9" s="86" t="s">
        <v>151</v>
      </c>
      <c r="N9" s="86" t="s">
        <v>147</v>
      </c>
      <c r="O9" s="87" t="s">
        <v>150</v>
      </c>
      <c r="P9" s="86" t="s">
        <v>149</v>
      </c>
      <c r="Q9" s="87" t="s">
        <v>148</v>
      </c>
      <c r="R9" s="86" t="s">
        <v>147</v>
      </c>
      <c r="S9" s="86" t="s">
        <v>146</v>
      </c>
      <c r="V9" s="84" t="s">
        <v>145</v>
      </c>
      <c r="W9" s="85" t="s">
        <v>144</v>
      </c>
      <c r="X9" s="84" t="s">
        <v>143</v>
      </c>
    </row>
    <row r="10" spans="1:24" x14ac:dyDescent="0.2">
      <c r="A10" s="35"/>
      <c r="B10" s="34"/>
      <c r="C10" s="33"/>
      <c r="D10" s="26"/>
      <c r="E10" s="33"/>
      <c r="F10" s="26"/>
      <c r="G10" s="24"/>
      <c r="I10" s="30"/>
      <c r="J10" s="31"/>
      <c r="L10" s="30"/>
      <c r="M10" s="26"/>
      <c r="N10" s="26"/>
      <c r="O10" s="28"/>
      <c r="P10" s="26"/>
      <c r="Q10" s="28"/>
      <c r="R10" s="26"/>
      <c r="S10" s="24"/>
      <c r="U10"/>
      <c r="V10" s="83">
        <v>45994</v>
      </c>
      <c r="W10" s="39"/>
      <c r="X10" s="24"/>
    </row>
    <row r="11" spans="1:24" s="82" customFormat="1" x14ac:dyDescent="0.2">
      <c r="A11" s="21" t="s">
        <v>101</v>
      </c>
      <c r="B11" s="21" t="s">
        <v>105</v>
      </c>
      <c r="C11" s="80">
        <v>100021632</v>
      </c>
      <c r="D11" s="64" t="s">
        <v>142</v>
      </c>
      <c r="E11" s="43">
        <v>7790360026606</v>
      </c>
      <c r="F11" s="14">
        <v>4.8</v>
      </c>
      <c r="G11" s="18">
        <v>30</v>
      </c>
      <c r="I11" s="14">
        <f>+S11*1.55*1.21</f>
        <v>2688.3776338478237</v>
      </c>
      <c r="J11" s="14">
        <f t="shared" ref="J11:J36" si="0">+I11*0.8</f>
        <v>2150.7021070782589</v>
      </c>
      <c r="K11" s="81"/>
      <c r="L11" s="11">
        <f t="shared" ref="L11:L44" si="1">+IF(ISERROR(N11/G11),"",(N11/G11))</f>
        <v>1635.0635433333334</v>
      </c>
      <c r="M11" s="11">
        <v>1448.54025</v>
      </c>
      <c r="N11" s="16">
        <v>49051.906300000002</v>
      </c>
      <c r="O11" s="59"/>
      <c r="P11" s="11">
        <f t="shared" ref="P11:P44" si="2">+IF(ISERROR(N11/(1-O11)),"",(N11/(1-O11)))</f>
        <v>49051.906300000002</v>
      </c>
      <c r="Q11" s="104">
        <v>0.12332510534278041</v>
      </c>
      <c r="R11" s="103">
        <f t="shared" ref="R11:R13" si="3">IF(ISERROR(P11-(P11*Q11)),0,+P11-(P11*Q11))</f>
        <v>43002.574788288308</v>
      </c>
      <c r="S11" s="11">
        <f t="shared" ref="S11:S44" si="4">+IF(ISERROR(R11/G11),"",(R11/G11))</f>
        <v>1433.4191596096102</v>
      </c>
      <c r="T11" s="13">
        <f>VLOOKUP(C11,'[1]Análisis Acciones Comerciales'!A$14:G$113,7,0)*1.03</f>
        <v>43002.574788288308</v>
      </c>
      <c r="U11" s="12">
        <f>1-T11/N11</f>
        <v>0.12332510534278041</v>
      </c>
      <c r="V11" s="11">
        <v>47623.21</v>
      </c>
      <c r="W11" s="68">
        <f t="shared" ref="W11:W44" si="5">+IF(ISERROR(N11/V11-1),"",(N11/V11-1))</f>
        <v>3.0000000000000027E-2</v>
      </c>
      <c r="X11" s="11">
        <f t="shared" ref="X11:X26" si="6">+IF(ISERROR(V11*(1-O11)),"",(V11*(1-O11)))</f>
        <v>47623.21</v>
      </c>
    </row>
    <row r="12" spans="1:24" x14ac:dyDescent="0.2">
      <c r="A12" s="21" t="s">
        <v>101</v>
      </c>
      <c r="B12" s="21" t="s">
        <v>105</v>
      </c>
      <c r="C12" s="67">
        <v>100021652</v>
      </c>
      <c r="D12" s="64" t="s">
        <v>141</v>
      </c>
      <c r="E12" s="43">
        <v>7790360026576</v>
      </c>
      <c r="F12" s="14">
        <v>5.76</v>
      </c>
      <c r="G12" s="18">
        <v>18</v>
      </c>
      <c r="I12" s="14">
        <f t="shared" ref="I12:I43" si="7">+S12*1.55*1.21</f>
        <v>4985.8903364195594</v>
      </c>
      <c r="J12" s="14">
        <f t="shared" si="0"/>
        <v>3988.7122691356476</v>
      </c>
      <c r="K12" s="81"/>
      <c r="L12" s="14">
        <f t="shared" si="1"/>
        <v>3630.25045</v>
      </c>
      <c r="M12" s="14">
        <v>1784.0022499999998</v>
      </c>
      <c r="N12" s="16">
        <v>65344.508099999999</v>
      </c>
      <c r="O12" s="59"/>
      <c r="P12" s="11">
        <f t="shared" si="2"/>
        <v>65344.508099999999</v>
      </c>
      <c r="Q12" s="104">
        <v>0.26769994687341947</v>
      </c>
      <c r="R12" s="103">
        <f t="shared" si="3"/>
        <v>47851.786753160268</v>
      </c>
      <c r="S12" s="14">
        <f t="shared" si="4"/>
        <v>2658.4325973977925</v>
      </c>
      <c r="T12" s="13">
        <f>VLOOKUP(C12,'[1]Análisis Acciones Comerciales'!A$14:G$113,7,0)*1.03</f>
        <v>47851.786753160268</v>
      </c>
      <c r="U12" s="12">
        <f t="shared" ref="U12:U75" si="8">1-T12/N12</f>
        <v>0.26769994687341947</v>
      </c>
      <c r="V12" s="11">
        <v>63441.27</v>
      </c>
      <c r="W12" s="68">
        <f t="shared" si="5"/>
        <v>3.0000000000000027E-2</v>
      </c>
      <c r="X12" s="14">
        <f t="shared" si="6"/>
        <v>63441.27</v>
      </c>
    </row>
    <row r="13" spans="1:24" x14ac:dyDescent="0.2">
      <c r="A13" s="21" t="s">
        <v>101</v>
      </c>
      <c r="B13" s="21" t="s">
        <v>105</v>
      </c>
      <c r="C13" s="67">
        <v>100021631</v>
      </c>
      <c r="D13" s="64" t="s">
        <v>140</v>
      </c>
      <c r="E13" s="43">
        <v>7790360026590</v>
      </c>
      <c r="F13" s="14">
        <v>7.68</v>
      </c>
      <c r="G13" s="18">
        <v>8</v>
      </c>
      <c r="I13" s="14">
        <f t="shared" si="7"/>
        <v>16089.763367153495</v>
      </c>
      <c r="J13" s="14">
        <f t="shared" si="0"/>
        <v>12871.810693722797</v>
      </c>
      <c r="K13"/>
      <c r="L13" s="14">
        <f t="shared" si="1"/>
        <v>10526.898700000002</v>
      </c>
      <c r="M13" s="14">
        <f>+N13/F13</f>
        <v>10965.519479166669</v>
      </c>
      <c r="N13" s="16">
        <v>84215.189600000012</v>
      </c>
      <c r="O13" s="59"/>
      <c r="P13" s="11">
        <f t="shared" si="2"/>
        <v>84215.189600000012</v>
      </c>
      <c r="Q13" s="104">
        <v>0.18504778455748661</v>
      </c>
      <c r="R13" s="103">
        <f t="shared" si="3"/>
        <v>68631.355338431327</v>
      </c>
      <c r="S13" s="14">
        <f t="shared" si="4"/>
        <v>8578.9194173039159</v>
      </c>
      <c r="T13" s="13">
        <f>VLOOKUP(C13,'[1]Análisis Acciones Comerciales'!A$14:G$113,7,0)*1.03</f>
        <v>68631.355338431327</v>
      </c>
      <c r="U13" s="12">
        <f t="shared" si="8"/>
        <v>0.18504778455748661</v>
      </c>
      <c r="V13" s="11">
        <v>81762.320000000007</v>
      </c>
      <c r="W13" s="68">
        <f t="shared" si="5"/>
        <v>3.0000000000000027E-2</v>
      </c>
      <c r="X13" s="14">
        <f t="shared" si="6"/>
        <v>81762.320000000007</v>
      </c>
    </row>
    <row r="14" spans="1:24" x14ac:dyDescent="0.2">
      <c r="A14" s="21" t="s">
        <v>101</v>
      </c>
      <c r="B14" s="21" t="s">
        <v>105</v>
      </c>
      <c r="C14" s="67">
        <v>100021630</v>
      </c>
      <c r="D14" s="64" t="s">
        <v>139</v>
      </c>
      <c r="E14" s="43">
        <v>7790360026583</v>
      </c>
      <c r="F14" s="14">
        <v>9.6</v>
      </c>
      <c r="G14" s="18">
        <v>6</v>
      </c>
      <c r="I14" s="14">
        <f t="shared" si="7"/>
        <v>32905.334072691665</v>
      </c>
      <c r="J14" s="14">
        <f t="shared" si="0"/>
        <v>26324.267258153333</v>
      </c>
      <c r="K14"/>
      <c r="L14" s="14">
        <f t="shared" si="1"/>
        <v>17544.832883333333</v>
      </c>
      <c r="M14" s="14">
        <f>+N14/F14</f>
        <v>10965.520552083333</v>
      </c>
      <c r="N14" s="16">
        <v>105268.9973</v>
      </c>
      <c r="O14" s="59"/>
      <c r="P14" s="11">
        <f t="shared" si="2"/>
        <v>105268.9973</v>
      </c>
      <c r="Q14" s="58"/>
      <c r="R14" s="11">
        <f t="shared" ref="R14:R44" si="9">+IF(ISERROR(P14/(1-Q14)),"",(P14/(1-Q14)))</f>
        <v>105268.9973</v>
      </c>
      <c r="S14" s="14">
        <f t="shared" si="4"/>
        <v>17544.832883333333</v>
      </c>
      <c r="T14" s="13">
        <f>VLOOKUP(C14,'[1]Análisis Acciones Comerciales'!A$14:G$113,7,0)*1.03</f>
        <v>105268.99250744269</v>
      </c>
      <c r="U14" s="12">
        <f t="shared" si="8"/>
        <v>4.5526768910342241E-8</v>
      </c>
      <c r="V14" s="11">
        <v>102202.91</v>
      </c>
      <c r="W14" s="68">
        <f t="shared" si="5"/>
        <v>3.0000000000000027E-2</v>
      </c>
      <c r="X14" s="14">
        <f t="shared" si="6"/>
        <v>102202.91</v>
      </c>
    </row>
    <row r="15" spans="1:24" x14ac:dyDescent="0.2">
      <c r="A15" s="21" t="s">
        <v>101</v>
      </c>
      <c r="B15" s="21" t="s">
        <v>105</v>
      </c>
      <c r="C15" s="38">
        <v>100021653</v>
      </c>
      <c r="D15" s="23" t="s">
        <v>138</v>
      </c>
      <c r="E15" s="43">
        <v>7790360026682</v>
      </c>
      <c r="F15" s="14">
        <v>5.76</v>
      </c>
      <c r="G15" s="18">
        <v>18</v>
      </c>
      <c r="I15" s="14">
        <f t="shared" si="7"/>
        <v>6751.9522489222227</v>
      </c>
      <c r="J15" s="14">
        <f t="shared" si="0"/>
        <v>5401.5617991377785</v>
      </c>
      <c r="K15"/>
      <c r="L15" s="14">
        <f t="shared" si="1"/>
        <v>3600.0811777777781</v>
      </c>
      <c r="M15" s="14">
        <f>+N15/F15</f>
        <v>11250.253680555557</v>
      </c>
      <c r="N15" s="16">
        <v>64801.461200000005</v>
      </c>
      <c r="O15" s="59"/>
      <c r="P15" s="11">
        <f t="shared" si="2"/>
        <v>64801.461200000005</v>
      </c>
      <c r="Q15" s="58"/>
      <c r="R15" s="11">
        <f t="shared" si="9"/>
        <v>64801.461200000005</v>
      </c>
      <c r="S15" s="14">
        <f t="shared" si="4"/>
        <v>3600.0811777777781</v>
      </c>
      <c r="T15" s="13">
        <f>VLOOKUP(C15,'[1]Análisis Acciones Comerciales'!A$14:G$113,7,0)*1.03</f>
        <v>64801.458381092249</v>
      </c>
      <c r="U15" s="12">
        <f t="shared" si="8"/>
        <v>4.3500681945474184E-8</v>
      </c>
      <c r="V15" s="11">
        <v>62914.04</v>
      </c>
      <c r="W15" s="68">
        <f t="shared" si="5"/>
        <v>3.0000000000000027E-2</v>
      </c>
      <c r="X15" s="14">
        <f t="shared" si="6"/>
        <v>62914.04</v>
      </c>
    </row>
    <row r="16" spans="1:24" x14ac:dyDescent="0.2">
      <c r="A16" s="21" t="s">
        <v>101</v>
      </c>
      <c r="B16" s="21" t="s">
        <v>105</v>
      </c>
      <c r="C16" s="80">
        <v>100516169</v>
      </c>
      <c r="D16" s="64" t="s">
        <v>137</v>
      </c>
      <c r="E16" s="79">
        <v>7790360967961</v>
      </c>
      <c r="F16" s="14">
        <v>5.76</v>
      </c>
      <c r="G16" s="18">
        <v>18</v>
      </c>
      <c r="I16" s="14">
        <f t="shared" si="7"/>
        <v>5922.9621292416659</v>
      </c>
      <c r="J16" s="14">
        <f t="shared" si="0"/>
        <v>4738.3697033933331</v>
      </c>
      <c r="K16"/>
      <c r="L16" s="14">
        <f t="shared" si="1"/>
        <v>3158.0709833333331</v>
      </c>
      <c r="M16" s="14">
        <f>+N16/F16</f>
        <v>9868.9718229166665</v>
      </c>
      <c r="N16" s="16">
        <v>56845.277699999999</v>
      </c>
      <c r="O16" s="59"/>
      <c r="P16" s="11">
        <f t="shared" si="2"/>
        <v>56845.277699999999</v>
      </c>
      <c r="Q16" s="58"/>
      <c r="R16" s="11">
        <f t="shared" si="9"/>
        <v>56845.277699999999</v>
      </c>
      <c r="S16" s="14">
        <f t="shared" si="4"/>
        <v>3158.0709833333331</v>
      </c>
      <c r="T16" s="13">
        <f>VLOOKUP(C16,'[1]Análisis Acciones Comerciales'!A$14:G$113,7,0)*1.03</f>
        <v>56845.298102385168</v>
      </c>
      <c r="U16" s="12">
        <f t="shared" si="8"/>
        <v>-3.5891081884287246E-7</v>
      </c>
      <c r="V16" s="11">
        <v>55189.59</v>
      </c>
      <c r="W16" s="68">
        <f t="shared" si="5"/>
        <v>3.0000000000000027E-2</v>
      </c>
      <c r="X16" s="14">
        <f t="shared" si="6"/>
        <v>55189.59</v>
      </c>
    </row>
    <row r="17" spans="1:24" x14ac:dyDescent="0.2">
      <c r="A17" s="21" t="s">
        <v>101</v>
      </c>
      <c r="B17" s="21" t="s">
        <v>105</v>
      </c>
      <c r="C17" s="80">
        <v>100520337</v>
      </c>
      <c r="D17" s="64" t="s">
        <v>136</v>
      </c>
      <c r="E17" s="79">
        <v>7790360977960</v>
      </c>
      <c r="F17" s="14">
        <v>4.8</v>
      </c>
      <c r="G17" s="18">
        <v>30</v>
      </c>
      <c r="I17" s="14">
        <f t="shared" si="7"/>
        <v>1768.2518255647531</v>
      </c>
      <c r="J17" s="14">
        <f t="shared" si="0"/>
        <v>1414.6014604518025</v>
      </c>
      <c r="K17"/>
      <c r="L17" s="14">
        <f t="shared" si="1"/>
        <v>1160.3870133333332</v>
      </c>
      <c r="M17" s="14">
        <f t="shared" ref="M17:M26" si="10">+IF(ISERROR(N17/F17),"",(N17/F17))</f>
        <v>7252.4188333333332</v>
      </c>
      <c r="N17" s="16">
        <v>34811.610399999998</v>
      </c>
      <c r="O17" s="59"/>
      <c r="P17" s="11">
        <f t="shared" si="2"/>
        <v>34811.610399999998</v>
      </c>
      <c r="Q17" s="104">
        <v>0.18749847093385485</v>
      </c>
      <c r="R17" s="103">
        <f t="shared" ref="R17" si="11">IF(ISERROR(P17-(P17*Q17)),0,+P17-(P17*Q17))</f>
        <v>28284.486679254918</v>
      </c>
      <c r="S17" s="14">
        <f t="shared" si="4"/>
        <v>942.81622264183056</v>
      </c>
      <c r="T17" s="13">
        <f>VLOOKUP(C17,'[1]Análisis Acciones Comerciales'!A$14:G$113,7,0)*1.03</f>
        <v>28284.486679254918</v>
      </c>
      <c r="U17" s="12">
        <f t="shared" si="8"/>
        <v>0.18749847093385485</v>
      </c>
      <c r="V17" s="11">
        <v>33797.68</v>
      </c>
      <c r="W17" s="68">
        <f t="shared" si="5"/>
        <v>3.0000000000000027E-2</v>
      </c>
      <c r="X17" s="14">
        <f t="shared" si="6"/>
        <v>33797.68</v>
      </c>
    </row>
    <row r="18" spans="1:24" x14ac:dyDescent="0.2">
      <c r="A18" s="21" t="s">
        <v>101</v>
      </c>
      <c r="B18" s="21" t="s">
        <v>105</v>
      </c>
      <c r="C18" s="80">
        <v>100021503</v>
      </c>
      <c r="D18" s="64" t="s">
        <v>135</v>
      </c>
      <c r="E18" s="79">
        <v>7790360966841</v>
      </c>
      <c r="F18" s="14">
        <v>3.3119999999999998</v>
      </c>
      <c r="G18" s="18">
        <v>12</v>
      </c>
      <c r="I18" s="14">
        <f t="shared" si="7"/>
        <v>3247.6907775758823</v>
      </c>
      <c r="J18" s="14">
        <f t="shared" si="0"/>
        <v>2598.1526220607061</v>
      </c>
      <c r="K18"/>
      <c r="L18" s="14">
        <f t="shared" si="1"/>
        <v>2413.0290666666665</v>
      </c>
      <c r="M18" s="14">
        <f t="shared" si="10"/>
        <v>8742.8589371980688</v>
      </c>
      <c r="N18" s="16">
        <v>28956.3488</v>
      </c>
      <c r="O18" s="59"/>
      <c r="P18" s="11">
        <f t="shared" si="2"/>
        <v>28956.3488</v>
      </c>
      <c r="Q18" s="104">
        <v>0.28237914689858845</v>
      </c>
      <c r="R18" s="103">
        <f t="shared" ref="R18" si="12">IF(ISERROR(P18-(P18*Q18)),0,+P18-(P18*Q18))</f>
        <v>20779.679728558032</v>
      </c>
      <c r="S18" s="14">
        <f t="shared" si="4"/>
        <v>1731.639977379836</v>
      </c>
      <c r="T18" s="13">
        <f>VLOOKUP(C18,'[1]Análisis Acciones Comerciales'!A$14:G$113,7,0)*1.03</f>
        <v>20779.679728558036</v>
      </c>
      <c r="U18" s="12">
        <f t="shared" si="8"/>
        <v>0.28237914689858845</v>
      </c>
      <c r="V18" s="11">
        <v>28112.959999999999</v>
      </c>
      <c r="W18" s="68">
        <f t="shared" si="5"/>
        <v>3.0000000000000027E-2</v>
      </c>
      <c r="X18" s="14">
        <f t="shared" si="6"/>
        <v>28112.959999999999</v>
      </c>
    </row>
    <row r="19" spans="1:24" x14ac:dyDescent="0.2">
      <c r="A19" s="21" t="s">
        <v>101</v>
      </c>
      <c r="B19" s="21" t="s">
        <v>105</v>
      </c>
      <c r="C19" s="38">
        <v>100516201</v>
      </c>
      <c r="D19" s="64" t="s">
        <v>134</v>
      </c>
      <c r="E19" s="43">
        <v>7790360968548</v>
      </c>
      <c r="F19" s="63">
        <v>6.6239999999999997</v>
      </c>
      <c r="G19" s="62">
        <v>8</v>
      </c>
      <c r="I19" s="14">
        <f t="shared" si="7"/>
        <v>10705.059766099368</v>
      </c>
      <c r="J19" s="14">
        <f t="shared" si="0"/>
        <v>8564.0478128794948</v>
      </c>
      <c r="K19"/>
      <c r="L19" s="14">
        <f t="shared" si="1"/>
        <v>6299.2134875000002</v>
      </c>
      <c r="M19" s="14">
        <f t="shared" si="10"/>
        <v>7607.7457578502417</v>
      </c>
      <c r="N19" s="16">
        <v>50393.707900000001</v>
      </c>
      <c r="O19" s="59"/>
      <c r="P19" s="11">
        <f t="shared" si="2"/>
        <v>50393.707900000001</v>
      </c>
      <c r="Q19" s="104">
        <v>9.3880033052548661E-2</v>
      </c>
      <c r="R19" s="103">
        <f>IF(ISERROR(P19-(P19*Q19)),0,+P19-(P19*Q19))</f>
        <v>45662.744936707517</v>
      </c>
      <c r="S19" s="14">
        <f t="shared" si="4"/>
        <v>5707.8431170884396</v>
      </c>
      <c r="T19" s="13">
        <f>VLOOKUP(C19,'[1]Análisis Acciones Comerciales'!A$14:G$113,7,0)*1.03</f>
        <v>45662.744936707517</v>
      </c>
      <c r="U19" s="12">
        <f t="shared" si="8"/>
        <v>9.3880033052548661E-2</v>
      </c>
      <c r="V19" s="11">
        <v>48925.93</v>
      </c>
      <c r="W19" s="68">
        <f t="shared" si="5"/>
        <v>3.0000000000000027E-2</v>
      </c>
      <c r="X19" s="14">
        <f t="shared" si="6"/>
        <v>48925.93</v>
      </c>
    </row>
    <row r="20" spans="1:24" x14ac:dyDescent="0.2">
      <c r="A20" s="21" t="s">
        <v>101</v>
      </c>
      <c r="B20" s="21" t="s">
        <v>105</v>
      </c>
      <c r="C20" s="38">
        <v>100021643</v>
      </c>
      <c r="D20" s="64" t="s">
        <v>133</v>
      </c>
      <c r="E20" s="43">
        <v>7790360966797</v>
      </c>
      <c r="F20" s="63">
        <v>4.7039999999999997</v>
      </c>
      <c r="G20" s="62">
        <v>42</v>
      </c>
      <c r="I20" s="14">
        <f t="shared" si="7"/>
        <v>1296.7184780732973</v>
      </c>
      <c r="J20" s="14">
        <f t="shared" si="0"/>
        <v>1037.3747824586378</v>
      </c>
      <c r="K20"/>
      <c r="L20" s="14">
        <f t="shared" si="1"/>
        <v>1034.2423738095238</v>
      </c>
      <c r="M20" s="14">
        <f t="shared" si="10"/>
        <v>9234.3069090136069</v>
      </c>
      <c r="N20" s="16">
        <v>43438.179700000001</v>
      </c>
      <c r="O20" s="59"/>
      <c r="P20" s="11">
        <f t="shared" si="2"/>
        <v>43438.179700000001</v>
      </c>
      <c r="Q20" s="104">
        <v>0.331492469466656</v>
      </c>
      <c r="R20" s="103">
        <f t="shared" ref="R20" si="13">IF(ISERROR(P20-(P20*Q20)),0,+P20-(P20*Q20))</f>
        <v>29038.750242110633</v>
      </c>
      <c r="S20" s="14">
        <f t="shared" si="4"/>
        <v>691.39881528834837</v>
      </c>
      <c r="T20" s="13">
        <f>VLOOKUP(C20,'[1]Análisis Acciones Comerciales'!A$14:G$113,7,0)*1.03</f>
        <v>29038.750242110633</v>
      </c>
      <c r="U20" s="12">
        <f t="shared" si="8"/>
        <v>0.331492469466656</v>
      </c>
      <c r="V20" s="11">
        <v>42172.99</v>
      </c>
      <c r="W20" s="68">
        <f t="shared" si="5"/>
        <v>3.0000000000000027E-2</v>
      </c>
      <c r="X20" s="14">
        <f t="shared" si="6"/>
        <v>42172.99</v>
      </c>
    </row>
    <row r="21" spans="1:24" hidden="1" x14ac:dyDescent="0.2">
      <c r="A21" s="21" t="s">
        <v>101</v>
      </c>
      <c r="B21" s="21" t="s">
        <v>105</v>
      </c>
      <c r="C21" s="78">
        <v>100516075</v>
      </c>
      <c r="D21" s="77" t="s">
        <v>132</v>
      </c>
      <c r="E21" s="76">
        <v>7790360968470</v>
      </c>
      <c r="F21" s="75">
        <v>4.7039999999999997</v>
      </c>
      <c r="G21" s="74">
        <v>21</v>
      </c>
      <c r="H21" s="73"/>
      <c r="I21" s="14" t="e">
        <f t="shared" si="7"/>
        <v>#VALUE!</v>
      </c>
      <c r="J21" s="14" t="e">
        <f t="shared" si="0"/>
        <v>#VALUE!</v>
      </c>
      <c r="K21"/>
      <c r="L21" s="69" t="str">
        <f t="shared" si="1"/>
        <v/>
      </c>
      <c r="M21" s="69" t="str">
        <f t="shared" si="10"/>
        <v/>
      </c>
      <c r="N21" s="16" t="e">
        <v>#VALUE!</v>
      </c>
      <c r="O21" s="72"/>
      <c r="P21" s="11" t="str">
        <f t="shared" si="2"/>
        <v/>
      </c>
      <c r="Q21" s="105"/>
      <c r="R21" s="106" t="str">
        <f t="shared" si="9"/>
        <v/>
      </c>
      <c r="S21" s="69" t="str">
        <f t="shared" si="4"/>
        <v/>
      </c>
      <c r="T21" s="13" t="e">
        <f>VLOOKUP(C21,'[1]Análisis Acciones Comerciales'!A$14:G$113,7,0)*1.03</f>
        <v>#N/A</v>
      </c>
      <c r="U21" s="12" t="e">
        <f t="shared" si="8"/>
        <v>#N/A</v>
      </c>
      <c r="V21" s="71" t="s">
        <v>7</v>
      </c>
      <c r="W21" s="70" t="str">
        <f t="shared" si="5"/>
        <v/>
      </c>
      <c r="X21" s="69" t="str">
        <f t="shared" si="6"/>
        <v/>
      </c>
    </row>
    <row r="22" spans="1:24" x14ac:dyDescent="0.2">
      <c r="A22" s="21" t="s">
        <v>101</v>
      </c>
      <c r="B22" s="21" t="s">
        <v>105</v>
      </c>
      <c r="C22" s="38">
        <v>100516325</v>
      </c>
      <c r="D22" s="64" t="s">
        <v>131</v>
      </c>
      <c r="E22" s="43">
        <v>7790360967763</v>
      </c>
      <c r="F22" s="63">
        <v>4.7039999999999997</v>
      </c>
      <c r="G22" s="62">
        <v>21</v>
      </c>
      <c r="I22" s="14">
        <f t="shared" si="7"/>
        <v>2869.4297793746086</v>
      </c>
      <c r="J22" s="14">
        <f t="shared" si="0"/>
        <v>2295.5438234996868</v>
      </c>
      <c r="K22"/>
      <c r="L22" s="14">
        <f t="shared" si="1"/>
        <v>1687.6780523809523</v>
      </c>
      <c r="M22" s="14">
        <f t="shared" si="10"/>
        <v>7534.2770195578232</v>
      </c>
      <c r="N22" s="16">
        <v>35441.239099999999</v>
      </c>
      <c r="O22" s="59"/>
      <c r="P22" s="11">
        <f t="shared" si="2"/>
        <v>35441.239099999999</v>
      </c>
      <c r="Q22" s="104">
        <v>9.3455911832005745E-2</v>
      </c>
      <c r="R22" s="103">
        <f t="shared" ref="R22" si="14">IF(ISERROR(P22-(P22*Q22)),0,+P22-(P22*Q22))</f>
        <v>32129.045783453366</v>
      </c>
      <c r="S22" s="14">
        <f t="shared" si="4"/>
        <v>1529.9545611168269</v>
      </c>
      <c r="T22" s="13">
        <f>VLOOKUP(C22,'[1]Análisis Acciones Comerciales'!A$14:G$113,7,0)*1.03</f>
        <v>32129.045783453366</v>
      </c>
      <c r="U22" s="12">
        <f t="shared" si="8"/>
        <v>9.3455911832005745E-2</v>
      </c>
      <c r="V22" s="11">
        <v>34408.97</v>
      </c>
      <c r="W22" s="68">
        <f t="shared" si="5"/>
        <v>3.0000000000000027E-2</v>
      </c>
      <c r="X22" s="14">
        <f t="shared" si="6"/>
        <v>34408.97</v>
      </c>
    </row>
    <row r="23" spans="1:24" x14ac:dyDescent="0.2">
      <c r="A23" s="21" t="s">
        <v>101</v>
      </c>
      <c r="B23" s="21" t="s">
        <v>105</v>
      </c>
      <c r="C23" s="38">
        <v>100021676</v>
      </c>
      <c r="D23" s="64" t="s">
        <v>130</v>
      </c>
      <c r="E23" s="43">
        <v>7790360967411</v>
      </c>
      <c r="F23" s="63">
        <v>7.5</v>
      </c>
      <c r="G23" s="62">
        <v>30</v>
      </c>
      <c r="I23" s="14">
        <f t="shared" si="7"/>
        <v>4158.5715550762507</v>
      </c>
      <c r="J23" s="14">
        <f t="shared" si="0"/>
        <v>3326.8572440610005</v>
      </c>
      <c r="K23"/>
      <c r="L23" s="14">
        <f t="shared" si="1"/>
        <v>2665.0401966666668</v>
      </c>
      <c r="M23" s="14">
        <f t="shared" si="10"/>
        <v>10660.160786666667</v>
      </c>
      <c r="N23" s="16">
        <v>79951.205900000001</v>
      </c>
      <c r="O23" s="59"/>
      <c r="P23" s="11">
        <f t="shared" si="2"/>
        <v>79951.205900000001</v>
      </c>
      <c r="Q23" s="104">
        <v>0.16799996167595121</v>
      </c>
      <c r="R23" s="103">
        <f t="shared" ref="R23:R25" si="15">IF(ISERROR(P23-(P23*Q23)),0,+P23-(P23*Q23))</f>
        <v>66519.406372853919</v>
      </c>
      <c r="S23" s="14">
        <f t="shared" si="4"/>
        <v>2217.3135457617973</v>
      </c>
      <c r="T23" s="13">
        <f>VLOOKUP(C23,'[1]Análisis Acciones Comerciales'!A$14:G$113,7,0)*1.03</f>
        <v>66519.406372853919</v>
      </c>
      <c r="U23" s="12">
        <f t="shared" si="8"/>
        <v>0.16799996167595121</v>
      </c>
      <c r="V23" s="11">
        <v>77622.53</v>
      </c>
      <c r="W23" s="68">
        <f t="shared" si="5"/>
        <v>3.0000000000000027E-2</v>
      </c>
      <c r="X23" s="14">
        <f t="shared" si="6"/>
        <v>77622.53</v>
      </c>
    </row>
    <row r="24" spans="1:24" hidden="1" x14ac:dyDescent="0.2">
      <c r="A24" s="21" t="s">
        <v>101</v>
      </c>
      <c r="B24" s="21" t="s">
        <v>105</v>
      </c>
      <c r="C24" s="38">
        <v>100021664</v>
      </c>
      <c r="D24" s="64" t="s">
        <v>129</v>
      </c>
      <c r="E24" s="43">
        <v>7790360027870</v>
      </c>
      <c r="F24" s="63">
        <v>7.5</v>
      </c>
      <c r="G24" s="62">
        <v>30</v>
      </c>
      <c r="I24" s="14">
        <f t="shared" si="7"/>
        <v>0</v>
      </c>
      <c r="J24" s="14">
        <f t="shared" si="0"/>
        <v>0</v>
      </c>
      <c r="K24"/>
      <c r="L24" s="14" t="str">
        <f t="shared" si="1"/>
        <v/>
      </c>
      <c r="M24" s="14" t="str">
        <f t="shared" si="10"/>
        <v/>
      </c>
      <c r="N24" s="16" t="e">
        <v>#VALUE!</v>
      </c>
      <c r="O24" s="59"/>
      <c r="P24" s="11" t="str">
        <f t="shared" si="2"/>
        <v/>
      </c>
      <c r="Q24" s="104">
        <v>5.2070885436814263E-2</v>
      </c>
      <c r="R24" s="103">
        <f t="shared" si="15"/>
        <v>0</v>
      </c>
      <c r="S24" s="14">
        <f t="shared" si="4"/>
        <v>0</v>
      </c>
      <c r="T24" s="13" t="e">
        <f>VLOOKUP(C24,'[1]Análisis Acciones Comerciales'!A$14:G$113,7,0)*1.03</f>
        <v>#N/A</v>
      </c>
      <c r="U24" s="12" t="e">
        <f t="shared" si="8"/>
        <v>#N/A</v>
      </c>
      <c r="V24" s="11" t="s">
        <v>7</v>
      </c>
      <c r="W24" s="68" t="str">
        <f t="shared" si="5"/>
        <v/>
      </c>
      <c r="X24" s="14" t="str">
        <f t="shared" si="6"/>
        <v/>
      </c>
    </row>
    <row r="25" spans="1:24" x14ac:dyDescent="0.2">
      <c r="A25" s="21" t="s">
        <v>101</v>
      </c>
      <c r="B25" s="21" t="s">
        <v>105</v>
      </c>
      <c r="C25" s="38">
        <v>100516008</v>
      </c>
      <c r="D25" s="64" t="s">
        <v>128</v>
      </c>
      <c r="E25" s="43">
        <v>7790360967701</v>
      </c>
      <c r="F25" s="63">
        <v>5.76</v>
      </c>
      <c r="G25" s="62">
        <v>24</v>
      </c>
      <c r="I25" s="14">
        <f t="shared" si="7"/>
        <v>4935.863194835918</v>
      </c>
      <c r="J25" s="14">
        <f t="shared" si="0"/>
        <v>3948.6905558687345</v>
      </c>
      <c r="K25"/>
      <c r="L25" s="14">
        <f t="shared" si="1"/>
        <v>2776.324229166667</v>
      </c>
      <c r="M25" s="14">
        <f t="shared" si="10"/>
        <v>11568.017621527781</v>
      </c>
      <c r="N25" s="16">
        <v>66631.781500000012</v>
      </c>
      <c r="O25" s="59"/>
      <c r="P25" s="11">
        <f t="shared" si="2"/>
        <v>66631.781500000012</v>
      </c>
      <c r="Q25" s="104">
        <v>5.2070885436814263E-2</v>
      </c>
      <c r="R25" s="103">
        <f t="shared" si="15"/>
        <v>63162.205639062668</v>
      </c>
      <c r="S25" s="14">
        <f t="shared" si="4"/>
        <v>2631.7585682942777</v>
      </c>
      <c r="T25" s="13">
        <f>VLOOKUP(C25,'[1]Análisis Acciones Comerciales'!A$14:G$113,7,0)*1.03</f>
        <v>63162.205639062668</v>
      </c>
      <c r="U25" s="12">
        <f t="shared" si="8"/>
        <v>5.2070885436814263E-2</v>
      </c>
      <c r="V25" s="11">
        <v>64691.05</v>
      </c>
      <c r="W25" s="68">
        <f t="shared" si="5"/>
        <v>3.0000000000000027E-2</v>
      </c>
      <c r="X25" s="14">
        <f t="shared" si="6"/>
        <v>64691.05</v>
      </c>
    </row>
    <row r="26" spans="1:24" x14ac:dyDescent="0.2">
      <c r="A26" s="21" t="s">
        <v>101</v>
      </c>
      <c r="B26" s="21" t="s">
        <v>105</v>
      </c>
      <c r="C26" s="38">
        <v>100520834</v>
      </c>
      <c r="D26" s="64" t="s">
        <v>127</v>
      </c>
      <c r="E26" s="43">
        <v>7790360980618</v>
      </c>
      <c r="F26" s="63">
        <v>6.66</v>
      </c>
      <c r="G26" s="62">
        <v>36</v>
      </c>
      <c r="I26" s="14">
        <f t="shared" si="7"/>
        <v>3592.630545029167</v>
      </c>
      <c r="J26" s="14">
        <f t="shared" si="0"/>
        <v>2874.1044360233336</v>
      </c>
      <c r="K26"/>
      <c r="L26" s="14">
        <f t="shared" si="1"/>
        <v>1915.5588083333334</v>
      </c>
      <c r="M26" s="14">
        <f t="shared" si="10"/>
        <v>10354.371936936937</v>
      </c>
      <c r="N26" s="16">
        <v>68960.117100000003</v>
      </c>
      <c r="O26" s="59"/>
      <c r="P26" s="11">
        <f t="shared" si="2"/>
        <v>68960.117100000003</v>
      </c>
      <c r="Q26" s="15"/>
      <c r="R26" s="11">
        <f t="shared" si="9"/>
        <v>68960.117100000003</v>
      </c>
      <c r="S26" s="14">
        <f t="shared" si="4"/>
        <v>1915.5588083333334</v>
      </c>
      <c r="T26" s="13">
        <f>VLOOKUP(C26,'[1]Análisis Acciones Comerciales'!A$14:G$113,7,0)*1.03</f>
        <v>68960.12469249843</v>
      </c>
      <c r="U26" s="12">
        <f t="shared" si="8"/>
        <v>-1.1009984812737628E-7</v>
      </c>
      <c r="V26" s="11">
        <v>66951.570000000007</v>
      </c>
      <c r="W26" s="68">
        <f t="shared" si="5"/>
        <v>3.0000000000000027E-2</v>
      </c>
      <c r="X26" s="14">
        <f t="shared" si="6"/>
        <v>66951.570000000007</v>
      </c>
    </row>
    <row r="27" spans="1:24" x14ac:dyDescent="0.2">
      <c r="A27" s="21" t="s">
        <v>101</v>
      </c>
      <c r="B27" s="21" t="s">
        <v>105</v>
      </c>
      <c r="C27" s="38">
        <v>100518223</v>
      </c>
      <c r="D27" s="64" t="s">
        <v>126</v>
      </c>
      <c r="E27" s="43">
        <v>7790360975065</v>
      </c>
      <c r="F27" s="63">
        <v>6.36</v>
      </c>
      <c r="G27" s="62">
        <v>30</v>
      </c>
      <c r="I27" s="14">
        <f t="shared" si="7"/>
        <v>3747.5378144966671</v>
      </c>
      <c r="J27" s="14">
        <f t="shared" si="0"/>
        <v>2998.030251597334</v>
      </c>
      <c r="K27"/>
      <c r="L27" s="14">
        <f t="shared" si="1"/>
        <v>1998.1539933333336</v>
      </c>
      <c r="M27" s="14">
        <v>932.20659722222229</v>
      </c>
      <c r="N27" s="16">
        <v>59944.619800000008</v>
      </c>
      <c r="O27" s="59"/>
      <c r="P27" s="11">
        <f t="shared" si="2"/>
        <v>59944.619800000008</v>
      </c>
      <c r="Q27" s="15"/>
      <c r="R27" s="11">
        <f t="shared" si="9"/>
        <v>59944.619800000008</v>
      </c>
      <c r="S27" s="14">
        <f t="shared" si="4"/>
        <v>1998.1539933333336</v>
      </c>
      <c r="T27" s="13">
        <f>VLOOKUP(C27,'[1]Análisis Acciones Comerciales'!A$14:G$113,7,0)*1.03</f>
        <v>0</v>
      </c>
      <c r="U27" s="12">
        <f t="shared" si="8"/>
        <v>1</v>
      </c>
      <c r="V27" s="11">
        <v>58198.66</v>
      </c>
      <c r="W27" s="68">
        <f t="shared" si="5"/>
        <v>3.0000000000000027E-2</v>
      </c>
      <c r="X27" s="14"/>
    </row>
    <row r="28" spans="1:24" x14ac:dyDescent="0.2">
      <c r="A28" s="21" t="s">
        <v>101</v>
      </c>
      <c r="B28" s="21" t="s">
        <v>125</v>
      </c>
      <c r="C28" s="38">
        <v>100021680</v>
      </c>
      <c r="D28" s="64" t="s">
        <v>124</v>
      </c>
      <c r="E28" s="43">
        <v>7790360967688</v>
      </c>
      <c r="F28" s="63">
        <v>4.32</v>
      </c>
      <c r="G28" s="62">
        <v>18</v>
      </c>
      <c r="I28" s="14">
        <f t="shared" si="7"/>
        <v>6281.458004738889</v>
      </c>
      <c r="J28" s="14">
        <f t="shared" si="0"/>
        <v>5025.1664037911114</v>
      </c>
      <c r="K28"/>
      <c r="L28" s="14">
        <f t="shared" si="1"/>
        <v>3349.2178111111111</v>
      </c>
      <c r="M28" s="14">
        <f t="shared" ref="M28:M44" si="16">+IF(ISERROR(N28/F28),"",(N28/F28))</f>
        <v>13955.074212962962</v>
      </c>
      <c r="N28" s="16">
        <v>60285.920599999998</v>
      </c>
      <c r="O28" s="59"/>
      <c r="P28" s="11">
        <f t="shared" si="2"/>
        <v>60285.920599999998</v>
      </c>
      <c r="Q28" s="15"/>
      <c r="R28" s="11">
        <f t="shared" si="9"/>
        <v>60285.920599999998</v>
      </c>
      <c r="S28" s="14">
        <f t="shared" si="4"/>
        <v>3349.2178111111111</v>
      </c>
      <c r="T28" s="13" t="e">
        <f>VLOOKUP(C28,'[1]Análisis Acciones Comerciales'!A$14:G$113,7,0)*1.03</f>
        <v>#N/A</v>
      </c>
      <c r="U28" s="12" t="e">
        <f t="shared" si="8"/>
        <v>#N/A</v>
      </c>
      <c r="V28" s="11">
        <v>58530.02</v>
      </c>
      <c r="W28" s="68">
        <f t="shared" si="5"/>
        <v>3.0000000000000027E-2</v>
      </c>
      <c r="X28" s="14">
        <f t="shared" ref="X28:X44" si="17">+IF(ISERROR(V28*(1-O28)),"",(V28*(1-O28)))</f>
        <v>58530.02</v>
      </c>
    </row>
    <row r="29" spans="1:24" x14ac:dyDescent="0.2">
      <c r="A29" s="21" t="s">
        <v>101</v>
      </c>
      <c r="B29" s="21" t="s">
        <v>122</v>
      </c>
      <c r="C29" s="38">
        <v>100021644</v>
      </c>
      <c r="D29" s="64" t="s">
        <v>123</v>
      </c>
      <c r="E29" s="43">
        <v>7790360008541</v>
      </c>
      <c r="F29" s="63">
        <v>4.7039999999999997</v>
      </c>
      <c r="G29" s="62">
        <v>42</v>
      </c>
      <c r="I29" s="14">
        <f t="shared" si="7"/>
        <v>884.12602745414733</v>
      </c>
      <c r="J29" s="14">
        <f t="shared" si="0"/>
        <v>707.30082196331796</v>
      </c>
      <c r="K29"/>
      <c r="L29" s="14">
        <f t="shared" si="1"/>
        <v>600.00884285714289</v>
      </c>
      <c r="M29" s="14">
        <f t="shared" si="16"/>
        <v>5357.22181122449</v>
      </c>
      <c r="N29" s="16">
        <v>25200.3714</v>
      </c>
      <c r="O29" s="59"/>
      <c r="P29" s="11">
        <f t="shared" si="2"/>
        <v>25200.3714</v>
      </c>
      <c r="Q29" s="104">
        <v>0.21433129182209931</v>
      </c>
      <c r="R29" s="103">
        <f t="shared" ref="R29" si="18">IF(ISERROR(P29-(P29*Q29)),0,+P29-(P29*Q29))</f>
        <v>19799.143243441315</v>
      </c>
      <c r="S29" s="14">
        <f t="shared" si="4"/>
        <v>471.40817246288844</v>
      </c>
      <c r="T29" s="13">
        <f>VLOOKUP(C29,'[1]Análisis Acciones Comerciales'!A$14:G$113,7,0)*1.03</f>
        <v>19799.143243441315</v>
      </c>
      <c r="U29" s="12">
        <f t="shared" si="8"/>
        <v>0.21433129182209931</v>
      </c>
      <c r="V29" s="11">
        <v>24466.38</v>
      </c>
      <c r="W29" s="68">
        <f t="shared" si="5"/>
        <v>3.0000000000000027E-2</v>
      </c>
      <c r="X29" s="14">
        <f t="shared" si="17"/>
        <v>24466.38</v>
      </c>
    </row>
    <row r="30" spans="1:24" x14ac:dyDescent="0.2">
      <c r="A30" s="21" t="s">
        <v>101</v>
      </c>
      <c r="B30" s="21" t="s">
        <v>122</v>
      </c>
      <c r="C30" s="38">
        <v>100021677</v>
      </c>
      <c r="D30" s="64" t="s">
        <v>121</v>
      </c>
      <c r="E30" s="43">
        <v>7790360967404</v>
      </c>
      <c r="F30" s="63">
        <v>3.3119999999999998</v>
      </c>
      <c r="G30" s="62">
        <v>12</v>
      </c>
      <c r="I30" s="14">
        <f t="shared" si="7"/>
        <v>3358.9996663208335</v>
      </c>
      <c r="J30" s="14">
        <f t="shared" si="0"/>
        <v>2687.1997330566669</v>
      </c>
      <c r="K30"/>
      <c r="L30" s="14">
        <f t="shared" si="1"/>
        <v>1790.9888916666666</v>
      </c>
      <c r="M30" s="14">
        <f t="shared" si="16"/>
        <v>6489.0901871980677</v>
      </c>
      <c r="N30" s="16">
        <v>21491.866699999999</v>
      </c>
      <c r="O30" s="59"/>
      <c r="P30" s="11">
        <f t="shared" si="2"/>
        <v>21491.866699999999</v>
      </c>
      <c r="Q30" s="15"/>
      <c r="R30" s="11">
        <f t="shared" si="9"/>
        <v>21491.866699999999</v>
      </c>
      <c r="S30" s="14">
        <f t="shared" si="4"/>
        <v>1790.9888916666666</v>
      </c>
      <c r="T30" s="13">
        <f>VLOOKUP(C30,'[1]Análisis Acciones Comerciales'!A$14:G$113,7,0)*1.03</f>
        <v>21491.898418559667</v>
      </c>
      <c r="U30" s="12">
        <f t="shared" si="8"/>
        <v>-1.4758401449821434E-6</v>
      </c>
      <c r="V30" s="11">
        <v>20865.89</v>
      </c>
      <c r="W30" s="68">
        <f t="shared" si="5"/>
        <v>3.0000000000000027E-2</v>
      </c>
      <c r="X30" s="14">
        <f t="shared" si="17"/>
        <v>20865.89</v>
      </c>
    </row>
    <row r="31" spans="1:24" x14ac:dyDescent="0.2">
      <c r="A31" s="21" t="s">
        <v>101</v>
      </c>
      <c r="B31" s="21" t="s">
        <v>100</v>
      </c>
      <c r="C31" s="38">
        <v>100021638</v>
      </c>
      <c r="D31" s="64" t="s">
        <v>120</v>
      </c>
      <c r="E31" s="43">
        <v>7790360026699</v>
      </c>
      <c r="F31" s="63">
        <v>4.8</v>
      </c>
      <c r="G31" s="62">
        <v>60</v>
      </c>
      <c r="I31" s="14">
        <f t="shared" si="7"/>
        <v>1688.0251950466666</v>
      </c>
      <c r="J31" s="14">
        <f t="shared" si="0"/>
        <v>1350.4201560373333</v>
      </c>
      <c r="K31"/>
      <c r="L31" s="14">
        <f t="shared" si="1"/>
        <v>900.04009333333329</v>
      </c>
      <c r="M31" s="14">
        <f t="shared" si="16"/>
        <v>11250.501166666667</v>
      </c>
      <c r="N31" s="16">
        <v>54002.405599999998</v>
      </c>
      <c r="O31" s="59"/>
      <c r="P31" s="11">
        <f t="shared" si="2"/>
        <v>54002.405599999998</v>
      </c>
      <c r="Q31" s="15"/>
      <c r="R31" s="11">
        <f t="shared" si="9"/>
        <v>54002.405599999998</v>
      </c>
      <c r="S31" s="14">
        <f t="shared" si="4"/>
        <v>900.04009333333329</v>
      </c>
      <c r="T31" s="13">
        <f>VLOOKUP(C31,'[1]Análisis Acciones Comerciales'!A$14:G$113,7,0)*1.03</f>
        <v>0</v>
      </c>
      <c r="U31" s="12">
        <f t="shared" si="8"/>
        <v>1</v>
      </c>
      <c r="V31" s="11">
        <v>52429.52</v>
      </c>
      <c r="W31" s="68">
        <f t="shared" si="5"/>
        <v>3.0000000000000027E-2</v>
      </c>
      <c r="X31" s="14">
        <f t="shared" si="17"/>
        <v>52429.52</v>
      </c>
    </row>
    <row r="32" spans="1:24" x14ac:dyDescent="0.2">
      <c r="A32" s="21" t="s">
        <v>101</v>
      </c>
      <c r="B32" s="21" t="s">
        <v>100</v>
      </c>
      <c r="C32" s="38">
        <v>100021575</v>
      </c>
      <c r="D32" s="64" t="s">
        <v>119</v>
      </c>
      <c r="E32" s="43">
        <v>7790360007032</v>
      </c>
      <c r="F32" s="63">
        <v>4.1399999999999997</v>
      </c>
      <c r="G32" s="62">
        <v>60</v>
      </c>
      <c r="I32" s="14">
        <f t="shared" si="7"/>
        <v>1384.4486472574999</v>
      </c>
      <c r="J32" s="14">
        <f t="shared" si="0"/>
        <v>1107.558917806</v>
      </c>
      <c r="K32"/>
      <c r="L32" s="14">
        <f t="shared" si="1"/>
        <v>738.17576499999996</v>
      </c>
      <c r="M32" s="14">
        <f t="shared" si="16"/>
        <v>10698.199492753623</v>
      </c>
      <c r="N32" s="16">
        <v>44290.545899999997</v>
      </c>
      <c r="O32" s="59"/>
      <c r="P32" s="11">
        <f t="shared" si="2"/>
        <v>44290.545899999997</v>
      </c>
      <c r="Q32" s="15"/>
      <c r="R32" s="11">
        <f t="shared" si="9"/>
        <v>44290.545899999997</v>
      </c>
      <c r="S32" s="14">
        <f t="shared" si="4"/>
        <v>738.17576499999996</v>
      </c>
      <c r="T32" s="13">
        <f>VLOOKUP(C32,'[1]Análisis Acciones Comerciales'!A$14:G$113,7,0)*1.03</f>
        <v>0</v>
      </c>
      <c r="U32" s="12">
        <f t="shared" si="8"/>
        <v>1</v>
      </c>
      <c r="V32" s="11">
        <v>43000.53</v>
      </c>
      <c r="W32" s="68">
        <f t="shared" si="5"/>
        <v>3.0000000000000027E-2</v>
      </c>
      <c r="X32" s="14">
        <f t="shared" si="17"/>
        <v>43000.53</v>
      </c>
    </row>
    <row r="33" spans="1:24" x14ac:dyDescent="0.2">
      <c r="A33" s="21" t="s">
        <v>101</v>
      </c>
      <c r="B33" s="21" t="s">
        <v>100</v>
      </c>
      <c r="C33" s="38">
        <v>100021514</v>
      </c>
      <c r="D33" s="23" t="s">
        <v>118</v>
      </c>
      <c r="E33" s="43">
        <v>7790360006943</v>
      </c>
      <c r="F33" s="14">
        <v>4.1399999999999997</v>
      </c>
      <c r="G33" s="18">
        <v>60</v>
      </c>
      <c r="I33" s="14">
        <f t="shared" si="7"/>
        <v>1259.8407898541666</v>
      </c>
      <c r="J33" s="14">
        <f t="shared" si="0"/>
        <v>1007.8726318833333</v>
      </c>
      <c r="K33"/>
      <c r="L33" s="14">
        <f t="shared" si="1"/>
        <v>671.73595833333331</v>
      </c>
      <c r="M33" s="14">
        <f t="shared" si="16"/>
        <v>9735.3037439613545</v>
      </c>
      <c r="N33" s="16">
        <v>40304.157500000001</v>
      </c>
      <c r="O33" s="15"/>
      <c r="P33" s="11">
        <f t="shared" si="2"/>
        <v>40304.157500000001</v>
      </c>
      <c r="Q33" s="15"/>
      <c r="R33" s="11">
        <f t="shared" si="9"/>
        <v>40304.157500000001</v>
      </c>
      <c r="S33" s="14">
        <f t="shared" si="4"/>
        <v>671.73595833333331</v>
      </c>
      <c r="T33" s="13">
        <f>VLOOKUP(C33,'[1]Análisis Acciones Comerciales'!A$14:G$113,7,0)*1.03</f>
        <v>0</v>
      </c>
      <c r="U33" s="12">
        <f t="shared" si="8"/>
        <v>1</v>
      </c>
      <c r="V33" s="14">
        <v>39130.25</v>
      </c>
      <c r="W33" s="68">
        <f t="shared" si="5"/>
        <v>3.0000000000000027E-2</v>
      </c>
      <c r="X33" s="14">
        <f t="shared" si="17"/>
        <v>39130.25</v>
      </c>
    </row>
    <row r="34" spans="1:24" x14ac:dyDescent="0.2">
      <c r="A34" s="21" t="s">
        <v>101</v>
      </c>
      <c r="B34" s="21" t="s">
        <v>100</v>
      </c>
      <c r="C34" s="67">
        <v>100516208</v>
      </c>
      <c r="D34" s="66" t="s">
        <v>117</v>
      </c>
      <c r="E34" s="65">
        <v>7790360968203</v>
      </c>
      <c r="F34" s="14">
        <f>60*0.08</f>
        <v>4.8</v>
      </c>
      <c r="G34" s="18">
        <v>60</v>
      </c>
      <c r="I34" s="14">
        <f t="shared" si="7"/>
        <v>1460.6854310216668</v>
      </c>
      <c r="J34" s="14">
        <f t="shared" si="0"/>
        <v>1168.5483448173334</v>
      </c>
      <c r="K34"/>
      <c r="L34" s="14">
        <f t="shared" si="1"/>
        <v>778.82454333333339</v>
      </c>
      <c r="M34" s="14">
        <f t="shared" si="16"/>
        <v>9735.3067916666678</v>
      </c>
      <c r="N34" s="16">
        <v>46729.472600000001</v>
      </c>
      <c r="O34" s="59"/>
      <c r="P34" s="11">
        <f t="shared" si="2"/>
        <v>46729.472600000001</v>
      </c>
      <c r="Q34" s="58"/>
      <c r="R34" s="11">
        <f t="shared" si="9"/>
        <v>46729.472600000001</v>
      </c>
      <c r="S34" s="14">
        <f t="shared" si="4"/>
        <v>778.82454333333339</v>
      </c>
      <c r="T34" s="13">
        <f>VLOOKUP(C34,'[1]Análisis Acciones Comerciales'!A$14:G$113,7,0)*1.03</f>
        <v>0</v>
      </c>
      <c r="U34" s="12">
        <f t="shared" si="8"/>
        <v>1</v>
      </c>
      <c r="V34" s="11">
        <v>45368.42</v>
      </c>
      <c r="W34" s="68">
        <f t="shared" si="5"/>
        <v>3.0000000000000027E-2</v>
      </c>
      <c r="X34" s="14">
        <f t="shared" si="17"/>
        <v>45368.42</v>
      </c>
    </row>
    <row r="35" spans="1:24" x14ac:dyDescent="0.2">
      <c r="A35" s="21" t="s">
        <v>101</v>
      </c>
      <c r="B35" s="21" t="s">
        <v>100</v>
      </c>
      <c r="C35" s="38">
        <v>100518346</v>
      </c>
      <c r="D35" s="23" t="s">
        <v>116</v>
      </c>
      <c r="E35" s="43">
        <v>7790360975478</v>
      </c>
      <c r="F35" s="14">
        <v>6.54</v>
      </c>
      <c r="G35" s="18">
        <v>60</v>
      </c>
      <c r="I35" s="14">
        <f t="shared" si="7"/>
        <v>2087.7431111991664</v>
      </c>
      <c r="J35" s="14">
        <f t="shared" si="0"/>
        <v>1670.1944889593333</v>
      </c>
      <c r="K35"/>
      <c r="L35" s="14">
        <f t="shared" si="1"/>
        <v>1113.1661483333332</v>
      </c>
      <c r="M35" s="14">
        <f t="shared" si="16"/>
        <v>10212.53347094801</v>
      </c>
      <c r="N35" s="16">
        <v>66789.968899999993</v>
      </c>
      <c r="O35" s="59"/>
      <c r="P35" s="11">
        <f t="shared" si="2"/>
        <v>66789.968899999993</v>
      </c>
      <c r="Q35" s="58"/>
      <c r="R35" s="11">
        <f t="shared" si="9"/>
        <v>66789.968899999993</v>
      </c>
      <c r="S35" s="14">
        <f t="shared" si="4"/>
        <v>1113.1661483333332</v>
      </c>
      <c r="T35" s="13">
        <f>VLOOKUP(C35,'[1]Análisis Acciones Comerciales'!A$14:G$113,7,0)*1.03</f>
        <v>0</v>
      </c>
      <c r="U35" s="12">
        <f t="shared" si="8"/>
        <v>1</v>
      </c>
      <c r="V35" s="11">
        <v>64844.63</v>
      </c>
      <c r="W35" s="68">
        <f t="shared" si="5"/>
        <v>3.0000000000000027E-2</v>
      </c>
      <c r="X35" s="14">
        <f t="shared" si="17"/>
        <v>64844.63</v>
      </c>
    </row>
    <row r="36" spans="1:24" x14ac:dyDescent="0.2">
      <c r="A36" s="21" t="s">
        <v>101</v>
      </c>
      <c r="B36" s="21" t="s">
        <v>100</v>
      </c>
      <c r="C36" s="67">
        <v>100516259</v>
      </c>
      <c r="D36" s="66" t="s">
        <v>115</v>
      </c>
      <c r="E36" s="65">
        <v>7790360968340</v>
      </c>
      <c r="F36" s="14">
        <v>18.16</v>
      </c>
      <c r="G36" s="18">
        <v>48</v>
      </c>
      <c r="I36" s="14">
        <f t="shared" si="7"/>
        <v>6037.9854541072918</v>
      </c>
      <c r="J36" s="14">
        <f t="shared" si="0"/>
        <v>4830.3883632858333</v>
      </c>
      <c r="K36"/>
      <c r="L36" s="14">
        <f t="shared" si="1"/>
        <v>3219.4004020833331</v>
      </c>
      <c r="M36" s="14">
        <f t="shared" si="16"/>
        <v>8509.4283755506603</v>
      </c>
      <c r="N36" s="16">
        <v>154531.2193</v>
      </c>
      <c r="O36" s="59"/>
      <c r="P36" s="11">
        <f t="shared" si="2"/>
        <v>154531.2193</v>
      </c>
      <c r="Q36" s="58"/>
      <c r="R36" s="11">
        <f t="shared" si="9"/>
        <v>154531.2193</v>
      </c>
      <c r="S36" s="14">
        <f t="shared" si="4"/>
        <v>3219.4004020833331</v>
      </c>
      <c r="T36" s="13">
        <f>VLOOKUP(C36,'[1]Análisis Acciones Comerciales'!A$14:G$113,7,0)*1.03</f>
        <v>0</v>
      </c>
      <c r="U36" s="12">
        <f t="shared" si="8"/>
        <v>1</v>
      </c>
      <c r="V36" s="11">
        <v>150030.31</v>
      </c>
      <c r="W36" s="68">
        <f t="shared" si="5"/>
        <v>3.0000000000000027E-2</v>
      </c>
      <c r="X36" s="14">
        <f t="shared" si="17"/>
        <v>150030.31</v>
      </c>
    </row>
    <row r="37" spans="1:24" hidden="1" x14ac:dyDescent="0.2">
      <c r="A37" s="21" t="s">
        <v>101</v>
      </c>
      <c r="B37" s="21" t="s">
        <v>109</v>
      </c>
      <c r="C37" s="67">
        <v>100021669</v>
      </c>
      <c r="D37" s="66" t="s">
        <v>114</v>
      </c>
      <c r="E37" s="65">
        <v>8480017241375</v>
      </c>
      <c r="F37" s="14">
        <v>5.9749999999999996</v>
      </c>
      <c r="G37" s="18">
        <v>18</v>
      </c>
      <c r="I37" s="14" t="e">
        <f t="shared" si="7"/>
        <v>#VALUE!</v>
      </c>
      <c r="J37" s="14">
        <v>0</v>
      </c>
      <c r="K37"/>
      <c r="L37" s="14" t="str">
        <f t="shared" si="1"/>
        <v/>
      </c>
      <c r="M37" s="14" t="str">
        <f t="shared" si="16"/>
        <v/>
      </c>
      <c r="N37" s="16" t="e">
        <v>#VALUE!</v>
      </c>
      <c r="O37" s="59"/>
      <c r="P37" s="11" t="str">
        <f t="shared" si="2"/>
        <v/>
      </c>
      <c r="Q37" s="58"/>
      <c r="R37" s="11" t="str">
        <f t="shared" si="9"/>
        <v/>
      </c>
      <c r="S37" s="14" t="str">
        <f t="shared" si="4"/>
        <v/>
      </c>
      <c r="T37" s="13">
        <f>VLOOKUP(C37,'[1]Análisis Acciones Comerciales'!A$14:G$113,7,0)*1.03</f>
        <v>0</v>
      </c>
      <c r="U37" s="12" t="e">
        <f t="shared" si="8"/>
        <v>#VALUE!</v>
      </c>
      <c r="V37" s="11" t="s">
        <v>7</v>
      </c>
      <c r="W37" s="40" t="str">
        <f t="shared" si="5"/>
        <v/>
      </c>
      <c r="X37" s="14" t="str">
        <f t="shared" si="17"/>
        <v/>
      </c>
    </row>
    <row r="38" spans="1:24" hidden="1" x14ac:dyDescent="0.2">
      <c r="A38" s="21" t="s">
        <v>101</v>
      </c>
      <c r="B38" s="21" t="s">
        <v>109</v>
      </c>
      <c r="C38" s="38">
        <v>100021670</v>
      </c>
      <c r="D38" s="23" t="s">
        <v>113</v>
      </c>
      <c r="E38" s="43">
        <v>8480017241382</v>
      </c>
      <c r="F38" s="14">
        <v>11.95</v>
      </c>
      <c r="G38" s="18">
        <v>12</v>
      </c>
      <c r="I38" s="14" t="e">
        <f t="shared" si="7"/>
        <v>#VALUE!</v>
      </c>
      <c r="J38" s="14">
        <v>0</v>
      </c>
      <c r="K38"/>
      <c r="L38" s="14" t="str">
        <f t="shared" si="1"/>
        <v/>
      </c>
      <c r="M38" s="14" t="str">
        <f t="shared" si="16"/>
        <v/>
      </c>
      <c r="N38" s="16" t="e">
        <v>#VALUE!</v>
      </c>
      <c r="O38" s="59"/>
      <c r="P38" s="11" t="str">
        <f t="shared" si="2"/>
        <v/>
      </c>
      <c r="Q38" s="58"/>
      <c r="R38" s="11" t="str">
        <f t="shared" si="9"/>
        <v/>
      </c>
      <c r="S38" s="14" t="str">
        <f t="shared" si="4"/>
        <v/>
      </c>
      <c r="T38" s="13">
        <f>VLOOKUP(C38,'[1]Análisis Acciones Comerciales'!A$14:G$113,7,0)*1.03</f>
        <v>0</v>
      </c>
      <c r="U38" s="12" t="e">
        <f t="shared" si="8"/>
        <v>#VALUE!</v>
      </c>
      <c r="V38" s="11" t="s">
        <v>7</v>
      </c>
      <c r="W38" s="40" t="str">
        <f t="shared" si="5"/>
        <v/>
      </c>
      <c r="X38" s="14" t="str">
        <f t="shared" si="17"/>
        <v/>
      </c>
    </row>
    <row r="39" spans="1:24" hidden="1" x14ac:dyDescent="0.2">
      <c r="A39" s="21" t="s">
        <v>101</v>
      </c>
      <c r="B39" s="21" t="s">
        <v>109</v>
      </c>
      <c r="C39" s="38">
        <v>100021671</v>
      </c>
      <c r="D39" s="23" t="s">
        <v>112</v>
      </c>
      <c r="E39" s="43">
        <v>8480017241399</v>
      </c>
      <c r="F39" s="14">
        <v>9.9600000000000009</v>
      </c>
      <c r="G39" s="18">
        <v>6</v>
      </c>
      <c r="I39" s="14" t="e">
        <f t="shared" si="7"/>
        <v>#VALUE!</v>
      </c>
      <c r="J39" s="14">
        <v>0</v>
      </c>
      <c r="K39"/>
      <c r="L39" s="14" t="str">
        <f t="shared" si="1"/>
        <v/>
      </c>
      <c r="M39" s="14" t="str">
        <f t="shared" si="16"/>
        <v/>
      </c>
      <c r="N39" s="16" t="e">
        <v>#VALUE!</v>
      </c>
      <c r="O39" s="59"/>
      <c r="P39" s="11" t="str">
        <f t="shared" si="2"/>
        <v/>
      </c>
      <c r="Q39" s="58"/>
      <c r="R39" s="11" t="str">
        <f t="shared" si="9"/>
        <v/>
      </c>
      <c r="S39" s="14" t="str">
        <f t="shared" si="4"/>
        <v/>
      </c>
      <c r="T39" s="13">
        <f>VLOOKUP(C39,'[1]Análisis Acciones Comerciales'!A$14:G$113,7,0)*1.03</f>
        <v>0</v>
      </c>
      <c r="U39" s="12" t="e">
        <f t="shared" si="8"/>
        <v>#VALUE!</v>
      </c>
      <c r="V39" s="11" t="s">
        <v>7</v>
      </c>
      <c r="W39" s="40" t="str">
        <f t="shared" si="5"/>
        <v/>
      </c>
      <c r="X39" s="14" t="str">
        <f t="shared" si="17"/>
        <v/>
      </c>
    </row>
    <row r="40" spans="1:24" hidden="1" x14ac:dyDescent="0.2">
      <c r="A40" s="21" t="s">
        <v>101</v>
      </c>
      <c r="B40" s="21" t="s">
        <v>109</v>
      </c>
      <c r="C40" s="38">
        <v>100021647</v>
      </c>
      <c r="D40" s="23" t="s">
        <v>111</v>
      </c>
      <c r="E40" s="43">
        <v>7798158708925</v>
      </c>
      <c r="F40" s="14">
        <v>5.76</v>
      </c>
      <c r="G40" s="18">
        <v>18</v>
      </c>
      <c r="I40" s="14" t="e">
        <f t="shared" si="7"/>
        <v>#VALUE!</v>
      </c>
      <c r="J40" s="14">
        <v>0</v>
      </c>
      <c r="K40"/>
      <c r="L40" s="14" t="str">
        <f t="shared" si="1"/>
        <v/>
      </c>
      <c r="M40" s="14" t="str">
        <f t="shared" si="16"/>
        <v/>
      </c>
      <c r="N40" s="16" t="e">
        <v>#VALUE!</v>
      </c>
      <c r="O40" s="59"/>
      <c r="P40" s="11" t="str">
        <f t="shared" si="2"/>
        <v/>
      </c>
      <c r="Q40" s="58"/>
      <c r="R40" s="11" t="str">
        <f t="shared" si="9"/>
        <v/>
      </c>
      <c r="S40" s="14" t="str">
        <f t="shared" si="4"/>
        <v/>
      </c>
      <c r="T40" s="13">
        <f>VLOOKUP(C40,'[1]Análisis Acciones Comerciales'!A$14:G$113,7,0)*1.03</f>
        <v>0</v>
      </c>
      <c r="U40" s="12" t="e">
        <f t="shared" si="8"/>
        <v>#VALUE!</v>
      </c>
      <c r="V40" s="11" t="s">
        <v>7</v>
      </c>
      <c r="W40" s="40" t="str">
        <f t="shared" si="5"/>
        <v/>
      </c>
      <c r="X40" s="14" t="str">
        <f t="shared" si="17"/>
        <v/>
      </c>
    </row>
    <row r="41" spans="1:24" hidden="1" x14ac:dyDescent="0.2">
      <c r="A41" s="21" t="s">
        <v>101</v>
      </c>
      <c r="B41" s="21" t="s">
        <v>109</v>
      </c>
      <c r="C41" s="38">
        <v>100021648</v>
      </c>
      <c r="D41" s="23" t="s">
        <v>110</v>
      </c>
      <c r="E41" s="43">
        <v>7798158708932</v>
      </c>
      <c r="F41" s="14">
        <v>7.68</v>
      </c>
      <c r="G41" s="18">
        <v>8</v>
      </c>
      <c r="I41" s="14" t="e">
        <f t="shared" si="7"/>
        <v>#VALUE!</v>
      </c>
      <c r="J41" s="14">
        <v>0</v>
      </c>
      <c r="K41"/>
      <c r="L41" s="14" t="str">
        <f t="shared" si="1"/>
        <v/>
      </c>
      <c r="M41" s="14" t="str">
        <f t="shared" si="16"/>
        <v/>
      </c>
      <c r="N41" s="16" t="e">
        <v>#VALUE!</v>
      </c>
      <c r="O41" s="59"/>
      <c r="P41" s="11" t="str">
        <f t="shared" si="2"/>
        <v/>
      </c>
      <c r="Q41" s="58"/>
      <c r="R41" s="11" t="str">
        <f t="shared" si="9"/>
        <v/>
      </c>
      <c r="S41" s="14" t="str">
        <f t="shared" si="4"/>
        <v/>
      </c>
      <c r="T41" s="13">
        <f>VLOOKUP(C41,'[1]Análisis Acciones Comerciales'!A$14:G$113,7,0)*1.03</f>
        <v>0</v>
      </c>
      <c r="U41" s="12" t="e">
        <f t="shared" si="8"/>
        <v>#VALUE!</v>
      </c>
      <c r="V41" s="11" t="s">
        <v>7</v>
      </c>
      <c r="W41" s="40" t="str">
        <f t="shared" si="5"/>
        <v/>
      </c>
      <c r="X41" s="14" t="str">
        <f t="shared" si="17"/>
        <v/>
      </c>
    </row>
    <row r="42" spans="1:24" hidden="1" x14ac:dyDescent="0.2">
      <c r="A42" s="21" t="s">
        <v>101</v>
      </c>
      <c r="B42" s="21" t="s">
        <v>109</v>
      </c>
      <c r="C42" s="38">
        <v>100021649</v>
      </c>
      <c r="D42" s="23" t="s">
        <v>108</v>
      </c>
      <c r="E42" s="43">
        <v>7798158708949</v>
      </c>
      <c r="F42" s="14">
        <v>9.6</v>
      </c>
      <c r="G42" s="18">
        <v>6</v>
      </c>
      <c r="I42" s="14" t="e">
        <f t="shared" si="7"/>
        <v>#VALUE!</v>
      </c>
      <c r="J42" s="14">
        <v>0</v>
      </c>
      <c r="K42"/>
      <c r="L42" s="14" t="str">
        <f t="shared" si="1"/>
        <v/>
      </c>
      <c r="M42" s="14" t="str">
        <f t="shared" si="16"/>
        <v/>
      </c>
      <c r="N42" s="16" t="e">
        <v>#VALUE!</v>
      </c>
      <c r="O42" s="59"/>
      <c r="P42" s="11" t="str">
        <f t="shared" si="2"/>
        <v/>
      </c>
      <c r="Q42" s="58"/>
      <c r="R42" s="11" t="str">
        <f t="shared" si="9"/>
        <v/>
      </c>
      <c r="S42" s="14" t="str">
        <f t="shared" si="4"/>
        <v/>
      </c>
      <c r="T42" s="13">
        <f>VLOOKUP(C42,'[1]Análisis Acciones Comerciales'!A$14:G$113,7,0)*1.03</f>
        <v>0</v>
      </c>
      <c r="U42" s="12" t="e">
        <f t="shared" si="8"/>
        <v>#VALUE!</v>
      </c>
      <c r="V42" s="11" t="s">
        <v>7</v>
      </c>
      <c r="W42" s="40" t="str">
        <f t="shared" si="5"/>
        <v/>
      </c>
      <c r="X42" s="14" t="str">
        <f t="shared" si="17"/>
        <v/>
      </c>
    </row>
    <row r="43" spans="1:24" x14ac:dyDescent="0.2">
      <c r="A43" s="21" t="s">
        <v>101</v>
      </c>
      <c r="B43" s="21" t="s">
        <v>105</v>
      </c>
      <c r="C43" s="38">
        <v>100518095</v>
      </c>
      <c r="D43" s="64" t="s">
        <v>107</v>
      </c>
      <c r="E43" s="43">
        <v>7790360974785</v>
      </c>
      <c r="F43" s="63">
        <v>6.66</v>
      </c>
      <c r="G43" s="62">
        <v>36</v>
      </c>
      <c r="I43" s="14">
        <f t="shared" si="7"/>
        <v>4011.2080682361125</v>
      </c>
      <c r="J43" s="14">
        <v>0</v>
      </c>
      <c r="K43"/>
      <c r="L43" s="14">
        <f t="shared" si="1"/>
        <v>2138.7406388888894</v>
      </c>
      <c r="M43" s="14">
        <f t="shared" si="16"/>
        <v>11560.760210210212</v>
      </c>
      <c r="N43" s="16">
        <v>76994.663000000015</v>
      </c>
      <c r="O43" s="59"/>
      <c r="P43" s="11">
        <f t="shared" si="2"/>
        <v>76994.663000000015</v>
      </c>
      <c r="Q43" s="58"/>
      <c r="R43" s="11">
        <f t="shared" si="9"/>
        <v>76994.663000000015</v>
      </c>
      <c r="S43" s="14">
        <f t="shared" si="4"/>
        <v>2138.7406388888894</v>
      </c>
      <c r="T43" s="13">
        <f>VLOOKUP(C43,'[1]Análisis Acciones Comerciales'!A$14:G$113,7,0)*1.03</f>
        <v>0</v>
      </c>
      <c r="U43" s="12">
        <f t="shared" si="8"/>
        <v>1</v>
      </c>
      <c r="V43" s="11">
        <v>74752.100000000006</v>
      </c>
      <c r="W43" s="40">
        <f t="shared" si="5"/>
        <v>3.0000000000000027E-2</v>
      </c>
      <c r="X43" s="14">
        <f t="shared" si="17"/>
        <v>74752.100000000006</v>
      </c>
    </row>
    <row r="44" spans="1:24" ht="12.6" hidden="1" customHeight="1" x14ac:dyDescent="0.2">
      <c r="A44" s="21" t="s">
        <v>101</v>
      </c>
      <c r="B44" s="21" t="s">
        <v>105</v>
      </c>
      <c r="C44" s="38">
        <v>100518163</v>
      </c>
      <c r="D44" s="23" t="s">
        <v>106</v>
      </c>
      <c r="E44" s="43"/>
      <c r="F44" s="14">
        <v>4.8</v>
      </c>
      <c r="G44" s="18">
        <v>30</v>
      </c>
      <c r="I44" s="14">
        <f t="shared" ref="I14:I44" si="19">+L44*1.55*1.21</f>
        <v>0</v>
      </c>
      <c r="J44" s="14">
        <v>0</v>
      </c>
      <c r="K44"/>
      <c r="L44" s="14">
        <f t="shared" si="1"/>
        <v>0</v>
      </c>
      <c r="M44" s="14">
        <f t="shared" si="16"/>
        <v>0</v>
      </c>
      <c r="N44" s="16">
        <v>0</v>
      </c>
      <c r="O44" s="59"/>
      <c r="P44" s="11">
        <f t="shared" si="2"/>
        <v>0</v>
      </c>
      <c r="Q44" s="58"/>
      <c r="R44" s="11">
        <f t="shared" si="9"/>
        <v>0</v>
      </c>
      <c r="S44" s="14">
        <f t="shared" si="4"/>
        <v>0</v>
      </c>
      <c r="T44" s="13" t="e">
        <f>VLOOKUP(C44,'[1]Análisis Acciones Comerciales'!A$14:G$113,7,0)</f>
        <v>#N/A</v>
      </c>
      <c r="U44" t="e">
        <f t="shared" si="8"/>
        <v>#N/A</v>
      </c>
      <c r="V44" s="11" t="s">
        <v>7</v>
      </c>
      <c r="W44" s="40" t="str">
        <f t="shared" si="5"/>
        <v/>
      </c>
      <c r="X44" s="14" t="str">
        <f t="shared" si="17"/>
        <v/>
      </c>
    </row>
    <row r="45" spans="1:24" ht="12.6" hidden="1" customHeight="1" x14ac:dyDescent="0.2">
      <c r="A45" s="61" t="s">
        <v>101</v>
      </c>
      <c r="B45" s="60" t="s">
        <v>105</v>
      </c>
      <c r="C45" s="57">
        <v>100520851</v>
      </c>
      <c r="D45" s="56" t="s">
        <v>104</v>
      </c>
      <c r="E45" s="55"/>
      <c r="F45" s="52">
        <v>15.18</v>
      </c>
      <c r="G45" s="54">
        <v>276</v>
      </c>
      <c r="I45" s="53"/>
      <c r="J45" s="46"/>
      <c r="K45"/>
      <c r="L45" s="53"/>
      <c r="M45" s="52"/>
      <c r="N45" s="51">
        <v>0</v>
      </c>
      <c r="O45" s="50"/>
      <c r="P45" s="48"/>
      <c r="Q45" s="49"/>
      <c r="R45" s="48"/>
      <c r="S45" s="46"/>
      <c r="T45" s="13" t="e">
        <f>VLOOKUP(C45,'[1]Análisis Acciones Comerciales'!A$14:G$113,7,0)</f>
        <v>#N/A</v>
      </c>
      <c r="U45" t="e">
        <f t="shared" si="8"/>
        <v>#N/A</v>
      </c>
      <c r="V45" s="48"/>
      <c r="W45" s="47"/>
      <c r="X45" s="46"/>
    </row>
    <row r="46" spans="1:24" ht="12.6" hidden="1" customHeight="1" x14ac:dyDescent="0.2">
      <c r="A46" s="21" t="s">
        <v>101</v>
      </c>
      <c r="B46" s="21" t="s">
        <v>100</v>
      </c>
      <c r="C46" s="57">
        <v>100521169</v>
      </c>
      <c r="D46" s="56" t="s">
        <v>103</v>
      </c>
      <c r="E46" s="55"/>
      <c r="F46" s="52">
        <f>30*0.08</f>
        <v>2.4</v>
      </c>
      <c r="G46" s="54">
        <v>30</v>
      </c>
      <c r="I46" s="14">
        <f>+L46*1.55*1.21</f>
        <v>0</v>
      </c>
      <c r="J46" s="14">
        <v>0</v>
      </c>
      <c r="K46"/>
      <c r="L46" s="14">
        <f>+IF(ISERROR(N46/G46),"",(N46/G46))</f>
        <v>0</v>
      </c>
      <c r="M46" s="14">
        <f>+IF(ISERROR(N46/F46),"",(N46/F46))</f>
        <v>0</v>
      </c>
      <c r="N46" s="16">
        <v>0</v>
      </c>
      <c r="O46" s="59"/>
      <c r="P46" s="11">
        <f>+IF(ISERROR(N46/(1-O46)),"",(N46/(1-O46)))</f>
        <v>0</v>
      </c>
      <c r="Q46" s="58"/>
      <c r="R46" s="11">
        <f>+IF(ISERROR(P46/(1-Q46)),"",(P46/(1-Q46)))</f>
        <v>0</v>
      </c>
      <c r="S46" s="14">
        <f>+IF(ISERROR(R46/G46),"",(R46/G46))</f>
        <v>0</v>
      </c>
      <c r="T46" s="13" t="e">
        <f>VLOOKUP(C46,'[1]Análisis Acciones Comerciales'!A$14:G$113,7,0)</f>
        <v>#N/A</v>
      </c>
      <c r="U46" t="e">
        <f t="shared" si="8"/>
        <v>#N/A</v>
      </c>
      <c r="V46" s="11" t="s">
        <v>7</v>
      </c>
      <c r="W46" s="40" t="str">
        <f>+IF(ISERROR(N46/V46-1),"",(N46/V46-1))</f>
        <v/>
      </c>
      <c r="X46" s="14" t="str">
        <f>+IF(ISERROR(V46*(1-O46)),"",(V46*(1-O46)))</f>
        <v/>
      </c>
    </row>
    <row r="47" spans="1:24" ht="12.6" hidden="1" customHeight="1" x14ac:dyDescent="0.2">
      <c r="A47" s="21" t="s">
        <v>101</v>
      </c>
      <c r="B47" s="21" t="s">
        <v>100</v>
      </c>
      <c r="C47" s="57">
        <v>100521173</v>
      </c>
      <c r="D47" s="56" t="s">
        <v>102</v>
      </c>
      <c r="E47" s="55"/>
      <c r="F47" s="52">
        <f>30*0.08</f>
        <v>2.4</v>
      </c>
      <c r="G47" s="54">
        <v>30</v>
      </c>
      <c r="I47" s="14">
        <f>+L47*1.55*1.21</f>
        <v>0</v>
      </c>
      <c r="J47" s="14">
        <v>0</v>
      </c>
      <c r="K47"/>
      <c r="L47" s="14">
        <f>+IF(ISERROR(N47/G47),"",(N47/G47))</f>
        <v>0</v>
      </c>
      <c r="M47" s="14">
        <f>+IF(ISERROR(N47/F47),"",(N47/F47))</f>
        <v>0</v>
      </c>
      <c r="N47" s="16">
        <v>0</v>
      </c>
      <c r="O47" s="59"/>
      <c r="P47" s="11">
        <f>+IF(ISERROR(N47/(1-O47)),"",(N47/(1-O47)))</f>
        <v>0</v>
      </c>
      <c r="Q47" s="58"/>
      <c r="R47" s="11">
        <f>+IF(ISERROR(P47/(1-Q47)),"",(P47/(1-Q47)))</f>
        <v>0</v>
      </c>
      <c r="S47" s="14">
        <f>+IF(ISERROR(R47/G47),"",(R47/G47))</f>
        <v>0</v>
      </c>
      <c r="T47" s="13" t="e">
        <f>VLOOKUP(C47,'[1]Análisis Acciones Comerciales'!A$14:G$113,7,0)</f>
        <v>#N/A</v>
      </c>
      <c r="U47" t="e">
        <f t="shared" si="8"/>
        <v>#N/A</v>
      </c>
      <c r="V47" s="11" t="s">
        <v>7</v>
      </c>
      <c r="W47" s="40" t="str">
        <f>+IF(ISERROR(N47/V47-1),"",(N47/V47-1))</f>
        <v/>
      </c>
      <c r="X47" s="14" t="str">
        <f>+IF(ISERROR(V47*(1-O47)),"",(V47*(1-O47)))</f>
        <v/>
      </c>
    </row>
    <row r="48" spans="1:24" ht="12.6" hidden="1" customHeight="1" x14ac:dyDescent="0.2">
      <c r="A48" s="21" t="s">
        <v>101</v>
      </c>
      <c r="B48" s="21" t="s">
        <v>100</v>
      </c>
      <c r="C48" s="57">
        <v>100522168</v>
      </c>
      <c r="D48" s="56" t="s">
        <v>99</v>
      </c>
      <c r="E48" s="55"/>
      <c r="F48" s="52">
        <v>4.62</v>
      </c>
      <c r="G48" s="54">
        <v>48</v>
      </c>
      <c r="I48" s="53"/>
      <c r="J48" s="46"/>
      <c r="K48"/>
      <c r="L48" s="53"/>
      <c r="M48" s="52"/>
      <c r="N48" s="51">
        <v>0</v>
      </c>
      <c r="O48" s="50"/>
      <c r="P48" s="48"/>
      <c r="Q48" s="49"/>
      <c r="R48" s="48"/>
      <c r="S48" s="46"/>
      <c r="T48" s="13" t="e">
        <f>VLOOKUP(C48,'[1]Análisis Acciones Comerciales'!A$14:G$113,7,0)</f>
        <v>#N/A</v>
      </c>
      <c r="U48" t="e">
        <f t="shared" si="8"/>
        <v>#N/A</v>
      </c>
      <c r="V48" s="48"/>
      <c r="W48" s="47"/>
      <c r="X48" s="46"/>
    </row>
    <row r="49" spans="1:24" x14ac:dyDescent="0.2">
      <c r="A49" s="35"/>
      <c r="B49" s="34"/>
      <c r="C49" s="33"/>
      <c r="D49" s="26"/>
      <c r="E49" s="33"/>
      <c r="F49" s="26"/>
      <c r="G49" s="32"/>
      <c r="I49" s="30"/>
      <c r="J49" s="31"/>
      <c r="K49"/>
      <c r="L49" s="30"/>
      <c r="M49" s="26"/>
      <c r="N49" s="26" t="s">
        <v>7</v>
      </c>
      <c r="O49" s="28"/>
      <c r="P49" s="26"/>
      <c r="Q49" s="28"/>
      <c r="R49" s="26"/>
      <c r="S49" s="24"/>
      <c r="T49" s="13" t="e">
        <f>VLOOKUP(C49,'[1]Análisis Acciones Comerciales'!A$14:G$113,7,0)</f>
        <v>#N/A</v>
      </c>
      <c r="U49" t="e">
        <f t="shared" si="8"/>
        <v>#N/A</v>
      </c>
      <c r="V49" s="26"/>
      <c r="W49" s="39"/>
      <c r="X49" s="24"/>
    </row>
    <row r="50" spans="1:24" x14ac:dyDescent="0.2">
      <c r="A50" s="23" t="s">
        <v>81</v>
      </c>
      <c r="B50" s="21" t="s">
        <v>95</v>
      </c>
      <c r="C50" s="38">
        <v>100022085</v>
      </c>
      <c r="D50" s="23" t="s">
        <v>98</v>
      </c>
      <c r="E50" s="43">
        <v>7790360000132</v>
      </c>
      <c r="F50" s="14">
        <v>5.4</v>
      </c>
      <c r="G50" s="18">
        <v>24</v>
      </c>
      <c r="H50" s="45"/>
      <c r="I50" s="14">
        <f>+S50*1.55*1.21</f>
        <v>2023.5947987441452</v>
      </c>
      <c r="J50" s="14">
        <f>+I50*0.8</f>
        <v>1618.8758389953164</v>
      </c>
      <c r="K50"/>
      <c r="L50" s="14">
        <f>+IF(ISERROR(N50/G50),"",(N50/G50))</f>
        <v>1585.4470625000001</v>
      </c>
      <c r="M50" s="14">
        <f>+IF(ISERROR(N50/F50),"",(N50/F50))</f>
        <v>7046.4313888888883</v>
      </c>
      <c r="N50" s="16">
        <v>38050.729500000001</v>
      </c>
      <c r="O50" s="15"/>
      <c r="P50" s="14">
        <f>+IF(ISERROR(N50/(1-O50)),"",(N50/(1-O50)))</f>
        <v>38050.729500000001</v>
      </c>
      <c r="Q50" s="104">
        <v>0.31945830206027315</v>
      </c>
      <c r="R50" s="103">
        <f t="shared" ref="R50:R52" si="20">IF(ISERROR(P50-(P50*Q50)),0,+P50-(P50*Q50))</f>
        <v>25895.108061775252</v>
      </c>
      <c r="S50" s="14">
        <f>+IF(ISERROR(R50/G50),"",(R50/G50))</f>
        <v>1078.9628359073022</v>
      </c>
      <c r="T50" s="13">
        <f>VLOOKUP(C50,'[1]Análisis Acciones Comerciales'!A$14:G$113,7,0)*1.05</f>
        <v>25895.108061775256</v>
      </c>
      <c r="U50" s="12">
        <f t="shared" si="8"/>
        <v>0.31945830206027315</v>
      </c>
      <c r="V50" s="11">
        <v>36238.79</v>
      </c>
      <c r="W50" s="15">
        <f>+IF(ISERROR(N50/V50-1),"",(N50/V50-1))</f>
        <v>5.0000000000000044E-2</v>
      </c>
      <c r="X50" s="14">
        <f>+IF(ISERROR(V50*(1-O50)),"",(V50*(1-O50)))</f>
        <v>36238.79</v>
      </c>
    </row>
    <row r="51" spans="1:24" x14ac:dyDescent="0.2">
      <c r="A51" s="23" t="s">
        <v>81</v>
      </c>
      <c r="B51" s="21" t="s">
        <v>95</v>
      </c>
      <c r="C51" s="38">
        <v>100522204</v>
      </c>
      <c r="D51" s="23" t="s">
        <v>98</v>
      </c>
      <c r="E51" s="43">
        <v>7790360983947</v>
      </c>
      <c r="F51" s="14">
        <v>5.4</v>
      </c>
      <c r="G51" s="18">
        <v>24</v>
      </c>
      <c r="H51" s="45"/>
      <c r="I51" s="14">
        <f t="shared" ref="I51:I61" si="21">+S51*1.55*1.21</f>
        <v>2023.5942403384149</v>
      </c>
      <c r="J51" s="14">
        <f>+I51*0.8</f>
        <v>1618.8753922707319</v>
      </c>
      <c r="K51"/>
      <c r="L51" s="14">
        <f>+IF(ISERROR(N51/G51),"",(N51/G51))</f>
        <v>1585.4466249999998</v>
      </c>
      <c r="M51" s="14">
        <f>+IF(ISERROR(N51/F51),"",(N51/F51))</f>
        <v>7046.4294444444431</v>
      </c>
      <c r="N51" s="16">
        <v>38050.718999999997</v>
      </c>
      <c r="O51" s="15"/>
      <c r="P51" s="14">
        <f>+IF(ISERROR(N51/(1-O51)),"",(N51/(1-O51)))</f>
        <v>38050.718999999997</v>
      </c>
      <c r="Q51" s="104">
        <v>0.31945830206027315</v>
      </c>
      <c r="R51" s="103">
        <f t="shared" si="20"/>
        <v>25895.100916087424</v>
      </c>
      <c r="S51" s="14">
        <f>+IF(ISERROR(R51/G51),"",(R51/G51))</f>
        <v>1078.9625381703092</v>
      </c>
      <c r="T51" s="13" t="e">
        <f>VLOOKUP(C51,'[1]Análisis Acciones Comerciales'!A$14:G$113,7,0)*1.05</f>
        <v>#N/A</v>
      </c>
      <c r="U51" s="12" t="e">
        <f t="shared" si="8"/>
        <v>#N/A</v>
      </c>
      <c r="V51" s="11">
        <v>36238.78</v>
      </c>
      <c r="W51" s="15">
        <f>+IF(ISERROR(N51/V51-1),"",(N51/V51-1))</f>
        <v>5.0000000000000044E-2</v>
      </c>
      <c r="X51" s="14">
        <f>+IF(ISERROR(V51*(1-O51)),"",(V51*(1-O51)))</f>
        <v>36238.78</v>
      </c>
    </row>
    <row r="52" spans="1:24" x14ac:dyDescent="0.2">
      <c r="A52" s="23" t="s">
        <v>81</v>
      </c>
      <c r="B52" s="21" t="s">
        <v>95</v>
      </c>
      <c r="C52" s="38">
        <v>100022072</v>
      </c>
      <c r="D52" s="23" t="s">
        <v>97</v>
      </c>
      <c r="E52" s="43">
        <v>7790360024541</v>
      </c>
      <c r="F52" s="14">
        <v>5.4</v>
      </c>
      <c r="G52" s="18">
        <v>12</v>
      </c>
      <c r="H52" s="45"/>
      <c r="I52" s="14">
        <f t="shared" si="21"/>
        <v>4168.6051399063044</v>
      </c>
      <c r="J52" s="14">
        <f>+I52*0.8</f>
        <v>3334.8841119250437</v>
      </c>
      <c r="K52"/>
      <c r="L52" s="14">
        <f>+IF(ISERROR(N52/G52),"",(N52/G52))</f>
        <v>2803.87275</v>
      </c>
      <c r="M52" s="14">
        <f>+IF(ISERROR(N52/F52),"",(N52/F52))</f>
        <v>6230.8283333333329</v>
      </c>
      <c r="N52" s="16">
        <v>33646.472999999998</v>
      </c>
      <c r="O52" s="15"/>
      <c r="P52" s="14">
        <f>+IF(ISERROR(N52/(1-O52)),"",(N52/(1-O52)))</f>
        <v>33646.472999999998</v>
      </c>
      <c r="Q52" s="104">
        <v>0.20728807525726956</v>
      </c>
      <c r="R52" s="103">
        <f t="shared" si="20"/>
        <v>26671.960372634312</v>
      </c>
      <c r="S52" s="14">
        <f>+IF(ISERROR(R52/G52),"",(R52/G52))</f>
        <v>2222.6633643861928</v>
      </c>
      <c r="T52" s="13">
        <f>VLOOKUP(C52,'[1]Análisis Acciones Comerciales'!A$14:G$113,7,0)*1.05</f>
        <v>26671.960372634312</v>
      </c>
      <c r="U52" s="12">
        <f t="shared" si="8"/>
        <v>0.20728807525726956</v>
      </c>
      <c r="V52" s="11">
        <v>32044.26</v>
      </c>
      <c r="W52" s="15">
        <f>+IF(ISERROR(N52/V52-1),"",(N52/V52-1))</f>
        <v>5.0000000000000044E-2</v>
      </c>
      <c r="X52" s="14">
        <f>+IF(ISERROR(V52*(1-O52)),"",(V52*(1-O52)))</f>
        <v>32044.26</v>
      </c>
    </row>
    <row r="53" spans="1:24" x14ac:dyDescent="0.2">
      <c r="A53" s="23" t="s">
        <v>81</v>
      </c>
      <c r="B53" s="21" t="s">
        <v>95</v>
      </c>
      <c r="C53" s="38">
        <v>100522205</v>
      </c>
      <c r="D53" s="23" t="s">
        <v>97</v>
      </c>
      <c r="E53" s="43">
        <v>7790360983954</v>
      </c>
      <c r="F53" s="14">
        <v>5.4</v>
      </c>
      <c r="G53" s="18">
        <v>12</v>
      </c>
      <c r="H53" s="45"/>
      <c r="I53" s="14">
        <f t="shared" si="21"/>
        <v>4168.6051399063044</v>
      </c>
      <c r="J53" s="14"/>
      <c r="K53"/>
      <c r="L53" s="14"/>
      <c r="M53" s="14"/>
      <c r="N53" s="16">
        <v>33646.472999999998</v>
      </c>
      <c r="O53" s="101">
        <v>0.20728807525726956</v>
      </c>
      <c r="P53" s="102">
        <v>26671.960372634312</v>
      </c>
      <c r="Q53" s="104">
        <v>0.20728807525726956</v>
      </c>
      <c r="R53" s="103">
        <v>26671.960372634312</v>
      </c>
      <c r="S53" s="14">
        <f>R53/G53</f>
        <v>2222.6633643861928</v>
      </c>
      <c r="T53" s="13" t="e">
        <f>VLOOKUP(C53,'[1]Análisis Acciones Comerciales'!A$14:G$113,7,0)*1.05</f>
        <v>#N/A</v>
      </c>
      <c r="U53" s="12" t="e">
        <f t="shared" si="8"/>
        <v>#N/A</v>
      </c>
      <c r="V53" s="11"/>
      <c r="W53" s="15"/>
      <c r="X53" s="14"/>
    </row>
    <row r="54" spans="1:24" hidden="1" x14ac:dyDescent="0.2">
      <c r="A54" s="23" t="s">
        <v>81</v>
      </c>
      <c r="B54" s="21" t="s">
        <v>95</v>
      </c>
      <c r="C54" s="38">
        <v>100022073</v>
      </c>
      <c r="D54" s="23" t="s">
        <v>96</v>
      </c>
      <c r="E54" s="43">
        <v>7790360024558</v>
      </c>
      <c r="F54" s="14">
        <v>5.4</v>
      </c>
      <c r="G54" s="18">
        <v>6</v>
      </c>
      <c r="H54" s="45"/>
      <c r="I54" s="14" t="e">
        <f t="shared" si="21"/>
        <v>#VALUE!</v>
      </c>
      <c r="J54" s="14" t="e">
        <f>+I54*0.8</f>
        <v>#VALUE!</v>
      </c>
      <c r="K54"/>
      <c r="L54" s="14" t="str">
        <f t="shared" ref="L54:L61" si="22">+IF(ISERROR(N54/G54),"",(N54/G54))</f>
        <v/>
      </c>
      <c r="M54" s="14" t="str">
        <f t="shared" ref="M54:M67" si="23">+IF(ISERROR(N54/F54),"",(N54/F54))</f>
        <v/>
      </c>
      <c r="N54" s="16" t="e">
        <v>#VALUE!</v>
      </c>
      <c r="O54" s="15"/>
      <c r="P54" s="14" t="str">
        <f t="shared" ref="P54:P67" si="24">+IF(ISERROR(N54/(1-O54)),"",(N54/(1-O54)))</f>
        <v/>
      </c>
      <c r="Q54" s="105"/>
      <c r="R54" s="107" t="str">
        <f t="shared" ref="R54:R67" si="25">+IF(ISERROR(P54/(1-Q54)),"",(P54/(1-Q54)))</f>
        <v/>
      </c>
      <c r="S54" s="14" t="str">
        <f t="shared" ref="S54:S67" si="26">+IF(ISERROR(R54/G54),"",(R54/G54))</f>
        <v/>
      </c>
      <c r="T54" s="13" t="e">
        <f>VLOOKUP(C54,'[1]Análisis Acciones Comerciales'!A$14:G$113,7,0)*1.05</f>
        <v>#N/A</v>
      </c>
      <c r="U54" s="12" t="e">
        <f t="shared" si="8"/>
        <v>#N/A</v>
      </c>
      <c r="V54" s="11" t="s">
        <v>7</v>
      </c>
      <c r="W54" s="15" t="str">
        <f t="shared" ref="W54:W66" si="27">+IF(ISERROR(N54/V54-1),"",(N54/V54-1))</f>
        <v/>
      </c>
      <c r="X54" s="14" t="str">
        <f t="shared" ref="X54:X67" si="28">+IF(ISERROR(V54*(1-O54)),"",(V54*(1-O54)))</f>
        <v/>
      </c>
    </row>
    <row r="55" spans="1:24" x14ac:dyDescent="0.2">
      <c r="A55" s="23" t="s">
        <v>81</v>
      </c>
      <c r="B55" s="21" t="s">
        <v>95</v>
      </c>
      <c r="C55" s="38">
        <v>100516849</v>
      </c>
      <c r="D55" s="23" t="s">
        <v>94</v>
      </c>
      <c r="E55" s="43">
        <v>7790360970053</v>
      </c>
      <c r="F55" s="14">
        <v>4.5599999990400004</v>
      </c>
      <c r="G55" s="18">
        <v>24</v>
      </c>
      <c r="H55" s="45"/>
      <c r="I55" s="14">
        <f t="shared" si="21"/>
        <v>1666.979647577579</v>
      </c>
      <c r="J55" s="14">
        <f>+I55*0.8</f>
        <v>1333.5837180620633</v>
      </c>
      <c r="K55"/>
      <c r="L55" s="14">
        <f t="shared" si="22"/>
        <v>1324.5684374999998</v>
      </c>
      <c r="M55" s="14">
        <f t="shared" si="23"/>
        <v>6971.4128304150336</v>
      </c>
      <c r="N55" s="16">
        <v>31789.642499999998</v>
      </c>
      <c r="O55" s="15"/>
      <c r="P55" s="14">
        <f t="shared" si="24"/>
        <v>31789.642499999998</v>
      </c>
      <c r="Q55" s="104">
        <v>0.32897480527774559</v>
      </c>
      <c r="R55" s="103">
        <f>IF(ISERROR(P55-(P55*Q55)),0,+P55-(P55*Q55))</f>
        <v>21331.651048713353</v>
      </c>
      <c r="S55" s="14">
        <f t="shared" si="26"/>
        <v>888.81879369638966</v>
      </c>
      <c r="T55" s="13">
        <f>VLOOKUP(C55,'[1]Análisis Acciones Comerciales'!A$14:G$113,7,0)*1.05</f>
        <v>21331.651048713353</v>
      </c>
      <c r="U55" s="12">
        <f t="shared" si="8"/>
        <v>0.32897480527774559</v>
      </c>
      <c r="V55" s="11">
        <v>30275.85</v>
      </c>
      <c r="W55" s="15">
        <f t="shared" si="27"/>
        <v>5.0000000000000044E-2</v>
      </c>
      <c r="X55" s="14">
        <f t="shared" si="28"/>
        <v>30275.85</v>
      </c>
    </row>
    <row r="56" spans="1:24" x14ac:dyDescent="0.2">
      <c r="A56" s="23" t="s">
        <v>81</v>
      </c>
      <c r="B56" s="21" t="s">
        <v>90</v>
      </c>
      <c r="C56" s="38">
        <v>100022039</v>
      </c>
      <c r="D56" s="23" t="s">
        <v>93</v>
      </c>
      <c r="E56" s="43">
        <v>7790360007063</v>
      </c>
      <c r="F56" s="14">
        <v>8.6999999999999993</v>
      </c>
      <c r="G56" s="18">
        <v>10</v>
      </c>
      <c r="H56" s="45"/>
      <c r="I56" s="14">
        <f t="shared" si="21"/>
        <v>11051.879949146327</v>
      </c>
      <c r="J56" s="14">
        <f>+I56*0.8</f>
        <v>8841.5039593170623</v>
      </c>
      <c r="K56"/>
      <c r="L56" s="14">
        <f t="shared" si="22"/>
        <v>6188.9646000000002</v>
      </c>
      <c r="M56" s="14">
        <f t="shared" si="23"/>
        <v>7113.7524137931041</v>
      </c>
      <c r="N56" s="16">
        <v>61889.646000000001</v>
      </c>
      <c r="O56" s="15"/>
      <c r="P56" s="14">
        <f t="shared" si="24"/>
        <v>61889.646000000001</v>
      </c>
      <c r="Q56" s="104">
        <v>4.7859383620811768E-2</v>
      </c>
      <c r="R56" s="103">
        <f t="shared" ref="R56:R57" si="29">IF(ISERROR(P56-(P56*Q56)),0,+P56-(P56*Q56))</f>
        <v>58927.645689929763</v>
      </c>
      <c r="S56" s="14">
        <f t="shared" si="26"/>
        <v>5892.7645689929759</v>
      </c>
      <c r="T56" s="13">
        <f>VLOOKUP(C56,'[1]Análisis Acciones Comerciales'!A$14:G$113,7,0)*1.05</f>
        <v>58927.645689929763</v>
      </c>
      <c r="U56" s="12">
        <f t="shared" si="8"/>
        <v>4.7859383620811768E-2</v>
      </c>
      <c r="V56" s="11">
        <v>58942.52</v>
      </c>
      <c r="W56" s="15">
        <f t="shared" si="27"/>
        <v>5.0000000000000044E-2</v>
      </c>
      <c r="X56" s="14">
        <f t="shared" si="28"/>
        <v>58942.52</v>
      </c>
    </row>
    <row r="57" spans="1:24" x14ac:dyDescent="0.2">
      <c r="A57" s="23" t="s">
        <v>81</v>
      </c>
      <c r="B57" s="21" t="s">
        <v>90</v>
      </c>
      <c r="C57" s="38">
        <v>100522206</v>
      </c>
      <c r="D57" s="23" t="s">
        <v>93</v>
      </c>
      <c r="E57" s="43">
        <v>7790360983961</v>
      </c>
      <c r="F57" s="14">
        <v>8.6999999999999993</v>
      </c>
      <c r="G57" s="18">
        <v>10</v>
      </c>
      <c r="H57" s="45"/>
      <c r="I57" s="14">
        <f t="shared" si="21"/>
        <v>11051.879949146327</v>
      </c>
      <c r="J57" s="14">
        <f>+I57*0.8</f>
        <v>8841.5039593170623</v>
      </c>
      <c r="K57"/>
      <c r="L57" s="14">
        <f t="shared" si="22"/>
        <v>6188.9646000000002</v>
      </c>
      <c r="M57" s="14">
        <f t="shared" si="23"/>
        <v>7113.7524137931041</v>
      </c>
      <c r="N57" s="16">
        <v>61889.646000000001</v>
      </c>
      <c r="O57" s="15"/>
      <c r="P57" s="14">
        <f t="shared" si="24"/>
        <v>61889.646000000001</v>
      </c>
      <c r="Q57" s="104">
        <v>4.7859383620811768E-2</v>
      </c>
      <c r="R57" s="103">
        <f t="shared" si="29"/>
        <v>58927.645689929763</v>
      </c>
      <c r="S57" s="14">
        <f t="shared" si="26"/>
        <v>5892.7645689929759</v>
      </c>
      <c r="T57" s="13" t="e">
        <f>VLOOKUP(C57,'[1]Análisis Acciones Comerciales'!A$14:G$113,7,0)*1.05</f>
        <v>#N/A</v>
      </c>
      <c r="U57" s="12" t="e">
        <f t="shared" si="8"/>
        <v>#N/A</v>
      </c>
      <c r="V57" s="11">
        <v>58942.52</v>
      </c>
      <c r="W57" s="15">
        <f t="shared" si="27"/>
        <v>5.0000000000000044E-2</v>
      </c>
      <c r="X57" s="14">
        <f t="shared" si="28"/>
        <v>58942.52</v>
      </c>
    </row>
    <row r="58" spans="1:24" x14ac:dyDescent="0.2">
      <c r="A58" s="23" t="s">
        <v>81</v>
      </c>
      <c r="B58" s="21" t="s">
        <v>90</v>
      </c>
      <c r="C58" s="38">
        <v>100518151</v>
      </c>
      <c r="D58" s="23" t="s">
        <v>92</v>
      </c>
      <c r="E58" s="43">
        <v>7790360974990</v>
      </c>
      <c r="F58" s="14">
        <v>10.44</v>
      </c>
      <c r="G58" s="18">
        <v>12</v>
      </c>
      <c r="H58" s="45"/>
      <c r="I58" s="14">
        <f t="shared" si="21"/>
        <v>5995.7416413125002</v>
      </c>
      <c r="J58" s="14">
        <v>539.78405219188539</v>
      </c>
      <c r="K58"/>
      <c r="L58" s="14">
        <f t="shared" si="22"/>
        <v>3196.8763750000003</v>
      </c>
      <c r="M58" s="14">
        <f t="shared" si="23"/>
        <v>3674.570545977012</v>
      </c>
      <c r="N58" s="16">
        <v>38362.516500000005</v>
      </c>
      <c r="O58" s="15"/>
      <c r="P58" s="14">
        <f t="shared" si="24"/>
        <v>38362.516500000005</v>
      </c>
      <c r="Q58" s="15"/>
      <c r="R58" s="14">
        <f t="shared" si="25"/>
        <v>38362.516500000005</v>
      </c>
      <c r="S58" s="14">
        <f t="shared" si="26"/>
        <v>3196.8763750000003</v>
      </c>
      <c r="T58" s="13">
        <f>VLOOKUP(C58,'[1]Análisis Acciones Comerciales'!A$14:G$113,7,0)*1.05</f>
        <v>0</v>
      </c>
      <c r="U58" s="12">
        <f t="shared" si="8"/>
        <v>1</v>
      </c>
      <c r="V58" s="11">
        <v>36535.730000000003</v>
      </c>
      <c r="W58" s="15">
        <f t="shared" si="27"/>
        <v>5.0000000000000044E-2</v>
      </c>
      <c r="X58" s="14">
        <f t="shared" si="28"/>
        <v>36535.730000000003</v>
      </c>
    </row>
    <row r="59" spans="1:24" hidden="1" x14ac:dyDescent="0.2">
      <c r="A59" s="23" t="s">
        <v>81</v>
      </c>
      <c r="B59" s="21" t="s">
        <v>90</v>
      </c>
      <c r="C59" s="38">
        <v>100022057</v>
      </c>
      <c r="D59" s="23" t="s">
        <v>91</v>
      </c>
      <c r="E59" s="43">
        <v>7790360025944</v>
      </c>
      <c r="F59" s="14">
        <v>7.1999999999999993</v>
      </c>
      <c r="G59" s="18">
        <v>10</v>
      </c>
      <c r="H59" s="45"/>
      <c r="I59" s="14" t="e">
        <f t="shared" si="21"/>
        <v>#VALUE!</v>
      </c>
      <c r="J59" s="14" t="e">
        <f>+I59*0.8</f>
        <v>#VALUE!</v>
      </c>
      <c r="K59"/>
      <c r="L59" s="14" t="str">
        <f t="shared" si="22"/>
        <v/>
      </c>
      <c r="M59" s="14" t="str">
        <f t="shared" si="23"/>
        <v/>
      </c>
      <c r="N59" s="16" t="e">
        <v>#VALUE!</v>
      </c>
      <c r="O59" s="15"/>
      <c r="P59" s="14" t="str">
        <f t="shared" si="24"/>
        <v/>
      </c>
      <c r="Q59" s="15"/>
      <c r="R59" s="14" t="str">
        <f t="shared" si="25"/>
        <v/>
      </c>
      <c r="S59" s="14" t="str">
        <f t="shared" si="26"/>
        <v/>
      </c>
      <c r="T59" s="13" t="e">
        <f>VLOOKUP(C59,'[1]Análisis Acciones Comerciales'!A$14:G$113,7,0)*1.05</f>
        <v>#N/A</v>
      </c>
      <c r="U59" s="12" t="e">
        <f t="shared" si="8"/>
        <v>#N/A</v>
      </c>
      <c r="V59" s="11" t="s">
        <v>7</v>
      </c>
      <c r="W59" s="15" t="str">
        <f t="shared" si="27"/>
        <v/>
      </c>
      <c r="X59" s="14" t="str">
        <f t="shared" si="28"/>
        <v/>
      </c>
    </row>
    <row r="60" spans="1:24" hidden="1" x14ac:dyDescent="0.2">
      <c r="A60" s="23" t="s">
        <v>81</v>
      </c>
      <c r="B60" s="21" t="s">
        <v>90</v>
      </c>
      <c r="C60" s="38">
        <v>100516731</v>
      </c>
      <c r="D60" s="23" t="s">
        <v>89</v>
      </c>
      <c r="E60" s="43"/>
      <c r="F60" s="14">
        <v>10.44</v>
      </c>
      <c r="G60" s="18">
        <v>12</v>
      </c>
      <c r="H60" s="45"/>
      <c r="I60" s="14" t="e">
        <f t="shared" si="21"/>
        <v>#VALUE!</v>
      </c>
      <c r="J60" s="14" t="e">
        <f>+I60*0.8</f>
        <v>#VALUE!</v>
      </c>
      <c r="K60"/>
      <c r="L60" s="14" t="str">
        <f t="shared" si="22"/>
        <v/>
      </c>
      <c r="M60" s="14" t="str">
        <f t="shared" si="23"/>
        <v/>
      </c>
      <c r="N60" s="16" t="e">
        <v>#VALUE!</v>
      </c>
      <c r="O60" s="15"/>
      <c r="P60" s="14" t="str">
        <f t="shared" si="24"/>
        <v/>
      </c>
      <c r="Q60" s="15"/>
      <c r="R60" s="14" t="str">
        <f t="shared" si="25"/>
        <v/>
      </c>
      <c r="S60" s="14" t="str">
        <f t="shared" si="26"/>
        <v/>
      </c>
      <c r="T60" s="13" t="e">
        <f>VLOOKUP(C60,'[1]Análisis Acciones Comerciales'!A$14:G$113,7,0)*1.05</f>
        <v>#N/A</v>
      </c>
      <c r="U60" s="12" t="e">
        <f t="shared" si="8"/>
        <v>#N/A</v>
      </c>
      <c r="V60" s="11" t="s">
        <v>7</v>
      </c>
      <c r="W60" s="40" t="str">
        <f t="shared" si="27"/>
        <v/>
      </c>
      <c r="X60" s="14" t="str">
        <f t="shared" si="28"/>
        <v/>
      </c>
    </row>
    <row r="61" spans="1:24" x14ac:dyDescent="0.2">
      <c r="A61" s="23" t="s">
        <v>81</v>
      </c>
      <c r="B61" s="21" t="s">
        <v>88</v>
      </c>
      <c r="C61" s="38">
        <v>100022058</v>
      </c>
      <c r="D61" s="23" t="s">
        <v>87</v>
      </c>
      <c r="E61" s="43">
        <v>7790360026002</v>
      </c>
      <c r="F61" s="14">
        <v>4.5599999990400004</v>
      </c>
      <c r="G61" s="18">
        <v>24</v>
      </c>
      <c r="H61" s="45"/>
      <c r="I61" s="14">
        <f t="shared" si="21"/>
        <v>1111.1602256662679</v>
      </c>
      <c r="J61" s="14">
        <f>+I61*0.8</f>
        <v>888.92818053301437</v>
      </c>
      <c r="K61"/>
      <c r="L61" s="14">
        <f t="shared" si="22"/>
        <v>838.6796250000001</v>
      </c>
      <c r="M61" s="14">
        <f t="shared" si="23"/>
        <v>4414.1032904029689</v>
      </c>
      <c r="N61" s="16">
        <v>20128.311000000002</v>
      </c>
      <c r="O61" s="15"/>
      <c r="P61" s="14">
        <f t="shared" si="24"/>
        <v>20128.311000000002</v>
      </c>
      <c r="Q61" s="104">
        <v>0.29357912149586818</v>
      </c>
      <c r="R61" s="103">
        <f>IF(ISERROR(P61-(P61*Q61)),0,+P61-(P61*Q61))</f>
        <v>14219.059139424382</v>
      </c>
      <c r="S61" s="14">
        <f t="shared" si="26"/>
        <v>592.46079747601595</v>
      </c>
      <c r="T61" s="13">
        <f>VLOOKUP(C61,'[1]Análisis Acciones Comerciales'!A$14:G$113,7,0)*1.05</f>
        <v>14219.05913942438</v>
      </c>
      <c r="U61" s="12">
        <f t="shared" si="8"/>
        <v>0.29357912149586818</v>
      </c>
      <c r="V61" s="11">
        <v>19169.82</v>
      </c>
      <c r="W61" s="40">
        <f t="shared" si="27"/>
        <v>5.0000000000000044E-2</v>
      </c>
      <c r="X61" s="14">
        <f t="shared" si="28"/>
        <v>19169.82</v>
      </c>
    </row>
    <row r="62" spans="1:24" hidden="1" x14ac:dyDescent="0.2">
      <c r="A62" s="23" t="s">
        <v>81</v>
      </c>
      <c r="B62" s="21" t="s">
        <v>80</v>
      </c>
      <c r="C62" s="38">
        <v>100022089</v>
      </c>
      <c r="D62" s="23" t="s">
        <v>86</v>
      </c>
      <c r="E62" s="43">
        <v>7798024390315</v>
      </c>
      <c r="F62" s="14">
        <v>5.4</v>
      </c>
      <c r="G62" s="18">
        <v>24</v>
      </c>
      <c r="I62" s="14">
        <f t="shared" ref="I59:I66" si="30">+L62*1.55*1.21</f>
        <v>0</v>
      </c>
      <c r="J62" s="14">
        <v>0</v>
      </c>
      <c r="K62"/>
      <c r="L62" s="14">
        <f>+IF(ISERROR(P62/G62),"",(P62/G62))</f>
        <v>0</v>
      </c>
      <c r="M62" s="14">
        <f t="shared" si="23"/>
        <v>0</v>
      </c>
      <c r="N62" s="16">
        <v>0</v>
      </c>
      <c r="O62" s="15"/>
      <c r="P62" s="14">
        <f t="shared" si="24"/>
        <v>0</v>
      </c>
      <c r="Q62" s="15"/>
      <c r="R62" s="14">
        <f t="shared" si="25"/>
        <v>0</v>
      </c>
      <c r="S62" s="14">
        <f t="shared" si="26"/>
        <v>0</v>
      </c>
      <c r="T62" s="13" t="e">
        <f>VLOOKUP(C62,'[1]Análisis Acciones Comerciales'!A$14:G$113,7,0)</f>
        <v>#N/A</v>
      </c>
      <c r="U62" t="e">
        <f t="shared" si="8"/>
        <v>#N/A</v>
      </c>
      <c r="V62" s="11" t="s">
        <v>7</v>
      </c>
      <c r="W62" s="40" t="str">
        <f t="shared" si="27"/>
        <v/>
      </c>
      <c r="X62" s="14" t="str">
        <f t="shared" si="28"/>
        <v/>
      </c>
    </row>
    <row r="63" spans="1:24" hidden="1" x14ac:dyDescent="0.2">
      <c r="A63" s="23" t="s">
        <v>81</v>
      </c>
      <c r="B63" s="21" t="s">
        <v>80</v>
      </c>
      <c r="C63" s="38">
        <v>100022080</v>
      </c>
      <c r="D63" s="23" t="s">
        <v>85</v>
      </c>
      <c r="E63" s="43">
        <v>7798158706778</v>
      </c>
      <c r="F63" s="14">
        <v>5.4</v>
      </c>
      <c r="G63" s="18">
        <v>12</v>
      </c>
      <c r="I63" s="14">
        <f t="shared" si="30"/>
        <v>0</v>
      </c>
      <c r="J63" s="14">
        <v>0</v>
      </c>
      <c r="K63"/>
      <c r="L63" s="14">
        <f>+IF(ISERROR(P63/G63),"",(P63/G63))</f>
        <v>0</v>
      </c>
      <c r="M63" s="14">
        <f t="shared" si="23"/>
        <v>0</v>
      </c>
      <c r="N63" s="16">
        <v>0</v>
      </c>
      <c r="O63" s="15"/>
      <c r="P63" s="14">
        <f t="shared" si="24"/>
        <v>0</v>
      </c>
      <c r="Q63" s="15"/>
      <c r="R63" s="14">
        <f t="shared" si="25"/>
        <v>0</v>
      </c>
      <c r="S63" s="14">
        <f t="shared" si="26"/>
        <v>0</v>
      </c>
      <c r="T63" s="13" t="e">
        <f>VLOOKUP(C63,'[1]Análisis Acciones Comerciales'!A$14:G$113,7,0)</f>
        <v>#N/A</v>
      </c>
      <c r="U63" t="e">
        <f t="shared" si="8"/>
        <v>#N/A</v>
      </c>
      <c r="V63" s="14" t="s">
        <v>7</v>
      </c>
      <c r="W63" s="40" t="str">
        <f t="shared" si="27"/>
        <v/>
      </c>
      <c r="X63" s="14" t="str">
        <f t="shared" si="28"/>
        <v/>
      </c>
    </row>
    <row r="64" spans="1:24" hidden="1" x14ac:dyDescent="0.2">
      <c r="A64" s="23" t="s">
        <v>81</v>
      </c>
      <c r="B64" s="21" t="s">
        <v>80</v>
      </c>
      <c r="C64" s="38">
        <v>100022081</v>
      </c>
      <c r="D64" s="23" t="s">
        <v>84</v>
      </c>
      <c r="E64" s="43">
        <v>7798158706785</v>
      </c>
      <c r="F64" s="14">
        <v>5.4</v>
      </c>
      <c r="G64" s="18">
        <v>6</v>
      </c>
      <c r="I64" s="14">
        <f t="shared" si="30"/>
        <v>0</v>
      </c>
      <c r="J64" s="14">
        <v>0</v>
      </c>
      <c r="K64"/>
      <c r="L64" s="14">
        <f>+IF(ISERROR(P64/G64),"",(P64/G64))</f>
        <v>0</v>
      </c>
      <c r="M64" s="14">
        <f t="shared" si="23"/>
        <v>0</v>
      </c>
      <c r="N64" s="16">
        <v>0</v>
      </c>
      <c r="O64" s="15"/>
      <c r="P64" s="14">
        <f t="shared" si="24"/>
        <v>0</v>
      </c>
      <c r="Q64" s="15"/>
      <c r="R64" s="14">
        <f t="shared" si="25"/>
        <v>0</v>
      </c>
      <c r="S64" s="14">
        <f t="shared" si="26"/>
        <v>0</v>
      </c>
      <c r="T64" s="13" t="e">
        <f>VLOOKUP(C64,'[1]Análisis Acciones Comerciales'!A$14:G$113,7,0)</f>
        <v>#N/A</v>
      </c>
      <c r="U64" t="e">
        <f t="shared" si="8"/>
        <v>#N/A</v>
      </c>
      <c r="V64" s="14" t="s">
        <v>7</v>
      </c>
      <c r="W64" s="40" t="str">
        <f t="shared" si="27"/>
        <v/>
      </c>
      <c r="X64" s="14" t="str">
        <f t="shared" si="28"/>
        <v/>
      </c>
    </row>
    <row r="65" spans="1:24" hidden="1" x14ac:dyDescent="0.2">
      <c r="A65" s="23" t="s">
        <v>81</v>
      </c>
      <c r="B65" s="21" t="s">
        <v>80</v>
      </c>
      <c r="C65" s="38">
        <v>100022014</v>
      </c>
      <c r="D65" s="23" t="s">
        <v>83</v>
      </c>
      <c r="E65" s="43">
        <v>8480017244512</v>
      </c>
      <c r="F65" s="14">
        <v>4.5</v>
      </c>
      <c r="G65" s="18">
        <v>20</v>
      </c>
      <c r="I65" s="14">
        <f t="shared" si="30"/>
        <v>0</v>
      </c>
      <c r="J65" s="14">
        <v>0</v>
      </c>
      <c r="K65"/>
      <c r="L65" s="14">
        <f>+IF(ISERROR(P65/G65),"",(P65/G65))</f>
        <v>0</v>
      </c>
      <c r="M65" s="14">
        <f t="shared" si="23"/>
        <v>0</v>
      </c>
      <c r="N65" s="16">
        <v>0</v>
      </c>
      <c r="O65" s="15"/>
      <c r="P65" s="14">
        <f t="shared" si="24"/>
        <v>0</v>
      </c>
      <c r="Q65" s="15"/>
      <c r="R65" s="14">
        <f t="shared" si="25"/>
        <v>0</v>
      </c>
      <c r="S65" s="14">
        <f t="shared" si="26"/>
        <v>0</v>
      </c>
      <c r="T65" s="13" t="e">
        <f>VLOOKUP(C65,'[1]Análisis Acciones Comerciales'!A$14:G$113,7,0)</f>
        <v>#N/A</v>
      </c>
      <c r="U65" t="e">
        <f t="shared" si="8"/>
        <v>#N/A</v>
      </c>
      <c r="V65" s="14" t="s">
        <v>7</v>
      </c>
      <c r="W65" s="40" t="str">
        <f t="shared" si="27"/>
        <v/>
      </c>
      <c r="X65" s="14" t="str">
        <f t="shared" si="28"/>
        <v/>
      </c>
    </row>
    <row r="66" spans="1:24" hidden="1" x14ac:dyDescent="0.2">
      <c r="A66" s="23" t="s">
        <v>81</v>
      </c>
      <c r="B66" s="21" t="s">
        <v>80</v>
      </c>
      <c r="C66" s="38">
        <v>100022086</v>
      </c>
      <c r="D66" s="23" t="s">
        <v>82</v>
      </c>
      <c r="E66" s="43">
        <v>8480017090058</v>
      </c>
      <c r="F66" s="14">
        <v>5.4</v>
      </c>
      <c r="G66" s="18">
        <v>12</v>
      </c>
      <c r="I66" s="14">
        <f t="shared" si="30"/>
        <v>0</v>
      </c>
      <c r="J66" s="14">
        <v>0</v>
      </c>
      <c r="K66"/>
      <c r="L66" s="14">
        <f>+IF(ISERROR(P66/G66),"",(P66/G66))</f>
        <v>0</v>
      </c>
      <c r="M66" s="14">
        <f t="shared" si="23"/>
        <v>0</v>
      </c>
      <c r="N66" s="16">
        <v>0</v>
      </c>
      <c r="O66" s="15"/>
      <c r="P66" s="14">
        <f t="shared" si="24"/>
        <v>0</v>
      </c>
      <c r="Q66" s="15"/>
      <c r="R66" s="14">
        <f t="shared" si="25"/>
        <v>0</v>
      </c>
      <c r="S66" s="44">
        <f t="shared" si="26"/>
        <v>0</v>
      </c>
      <c r="T66" s="13" t="e">
        <f>VLOOKUP(C66,'[1]Análisis Acciones Comerciales'!A$14:G$113,7,0)</f>
        <v>#N/A</v>
      </c>
      <c r="U66" t="e">
        <f t="shared" si="8"/>
        <v>#N/A</v>
      </c>
      <c r="V66" s="14" t="s">
        <v>7</v>
      </c>
      <c r="W66" s="40" t="str">
        <f t="shared" si="27"/>
        <v/>
      </c>
      <c r="X66" s="14" t="str">
        <f t="shared" si="28"/>
        <v/>
      </c>
    </row>
    <row r="67" spans="1:24" hidden="1" x14ac:dyDescent="0.2">
      <c r="A67" s="23" t="s">
        <v>81</v>
      </c>
      <c r="B67" s="21" t="s">
        <v>80</v>
      </c>
      <c r="C67" s="38">
        <v>100022087</v>
      </c>
      <c r="D67" s="23" t="s">
        <v>79</v>
      </c>
      <c r="E67" s="43">
        <v>8480017048141</v>
      </c>
      <c r="F67" s="14">
        <v>5.4</v>
      </c>
      <c r="G67" s="18">
        <v>6</v>
      </c>
      <c r="I67" s="14"/>
      <c r="J67" s="14"/>
      <c r="K67"/>
      <c r="L67" s="14">
        <f>+IF(ISERROR(N67/G67),"",(N67/G67))</f>
        <v>0</v>
      </c>
      <c r="M67" s="14">
        <f t="shared" si="23"/>
        <v>0</v>
      </c>
      <c r="N67" s="16">
        <v>0</v>
      </c>
      <c r="O67" s="15"/>
      <c r="P67" s="14">
        <f t="shared" si="24"/>
        <v>0</v>
      </c>
      <c r="Q67" s="15"/>
      <c r="R67" s="14">
        <f t="shared" si="25"/>
        <v>0</v>
      </c>
      <c r="S67" s="44">
        <f t="shared" si="26"/>
        <v>0</v>
      </c>
      <c r="T67" s="13" t="e">
        <f>VLOOKUP(C67,'[1]Análisis Acciones Comerciales'!A$14:G$113,7,0)</f>
        <v>#N/A</v>
      </c>
      <c r="U67" t="e">
        <f t="shared" si="8"/>
        <v>#N/A</v>
      </c>
      <c r="V67" s="14" t="s">
        <v>7</v>
      </c>
      <c r="W67" s="40"/>
      <c r="X67" s="14" t="str">
        <f t="shared" si="28"/>
        <v/>
      </c>
    </row>
    <row r="68" spans="1:24" x14ac:dyDescent="0.2">
      <c r="A68" s="35"/>
      <c r="B68" s="34"/>
      <c r="C68" s="33"/>
      <c r="D68" s="26"/>
      <c r="E68" s="33"/>
      <c r="F68" s="26"/>
      <c r="G68" s="32"/>
      <c r="I68" s="30"/>
      <c r="J68" s="31"/>
      <c r="K68"/>
      <c r="L68" s="30"/>
      <c r="M68" s="26"/>
      <c r="N68" s="26" t="s">
        <v>7</v>
      </c>
      <c r="O68" s="28"/>
      <c r="P68" s="26"/>
      <c r="Q68" s="28"/>
      <c r="R68" s="26"/>
      <c r="S68" s="24"/>
      <c r="T68" s="13" t="e">
        <f>VLOOKUP(C68,'[1]Análisis Acciones Comerciales'!A$14:G$113,7,0)</f>
        <v>#N/A</v>
      </c>
      <c r="U68" t="e">
        <f t="shared" si="8"/>
        <v>#N/A</v>
      </c>
      <c r="V68" s="26"/>
      <c r="W68" s="39"/>
      <c r="X68" s="24"/>
    </row>
    <row r="69" spans="1:24" x14ac:dyDescent="0.2">
      <c r="A69" s="23" t="s">
        <v>57</v>
      </c>
      <c r="B69" s="21" t="s">
        <v>74</v>
      </c>
      <c r="C69" s="38">
        <v>100021000</v>
      </c>
      <c r="D69" s="23" t="s">
        <v>78</v>
      </c>
      <c r="E69" s="43">
        <v>7790360720382</v>
      </c>
      <c r="F69" s="14">
        <v>2.16</v>
      </c>
      <c r="G69" s="18">
        <v>24</v>
      </c>
      <c r="I69" s="14">
        <f>+S69*1.45*1.21</f>
        <v>924.00011458333336</v>
      </c>
      <c r="J69" s="14">
        <f t="shared" ref="J69:J86" si="31">+I69*0.8</f>
        <v>739.20009166666671</v>
      </c>
      <c r="K69"/>
      <c r="L69" s="14">
        <f t="shared" ref="L69:L86" si="32">+IF(ISERROR(N69/G69),"",(N69/G69))</f>
        <v>753.90359546536331</v>
      </c>
      <c r="M69" s="14">
        <f t="shared" ref="M69:M86" si="33">+IF(ISERROR(N69/F69),"",(N69/F69))</f>
        <v>8376.7066162818137</v>
      </c>
      <c r="N69" s="16">
        <v>18093.68629116872</v>
      </c>
      <c r="O69" s="15"/>
      <c r="P69" s="14">
        <f t="shared" ref="P69:P86" si="34">+IF(ISERROR(N69/(1-O69)),"",(N69/(1-O69)))</f>
        <v>18093.68629116872</v>
      </c>
      <c r="Q69" s="104">
        <v>0.30144140908593253</v>
      </c>
      <c r="R69" s="103">
        <f t="shared" ref="R69:R85" si="35">IF(ISERROR(P69-(P69*Q69)),0,+P69-(P69*Q69))</f>
        <v>12639.5</v>
      </c>
      <c r="S69" s="14">
        <f>+IF(ISERROR(P69/G69),"",(R69/G69))</f>
        <v>526.64583333333337</v>
      </c>
      <c r="T69" s="13">
        <f>VLOOKUP(C69,'[1]Análisis Acciones Comerciales'!A$14:G$113,7,0)</f>
        <v>12639.5</v>
      </c>
      <c r="U69">
        <f t="shared" si="8"/>
        <v>0.30144140908593253</v>
      </c>
      <c r="V69" s="11">
        <v>18093.689999999999</v>
      </c>
      <c r="W69" s="40">
        <f t="shared" ref="W69:W86" si="36">+IF(ISERROR(N69/V69-1),"",(N69/V69-1))</f>
        <v>-2.0497926500606667E-7</v>
      </c>
      <c r="X69" s="14">
        <f t="shared" ref="X69:X86" si="37">+IF(ISERROR(V69*(1-O69)),"",(V69*(1-O69)))</f>
        <v>18093.689999999999</v>
      </c>
    </row>
    <row r="70" spans="1:24" x14ac:dyDescent="0.2">
      <c r="A70" s="23" t="s">
        <v>57</v>
      </c>
      <c r="B70" s="21" t="s">
        <v>74</v>
      </c>
      <c r="C70" s="38">
        <v>100021001</v>
      </c>
      <c r="D70" s="23" t="s">
        <v>77</v>
      </c>
      <c r="E70" s="43">
        <v>7790360720115</v>
      </c>
      <c r="F70" s="14">
        <v>2.16</v>
      </c>
      <c r="G70" s="18">
        <v>24</v>
      </c>
      <c r="I70" s="14">
        <f t="shared" ref="I70:I85" si="38">+S70*1.45*1.21</f>
        <v>924.00011458333336</v>
      </c>
      <c r="J70" s="14">
        <f t="shared" si="31"/>
        <v>739.20009166666671</v>
      </c>
      <c r="K70"/>
      <c r="L70" s="14">
        <f t="shared" si="32"/>
        <v>753.90359546536331</v>
      </c>
      <c r="M70" s="14">
        <f t="shared" si="33"/>
        <v>8376.7066162818137</v>
      </c>
      <c r="N70" s="16">
        <v>18093.68629116872</v>
      </c>
      <c r="O70" s="15"/>
      <c r="P70" s="14">
        <f t="shared" si="34"/>
        <v>18093.68629116872</v>
      </c>
      <c r="Q70" s="104">
        <v>0.30144140908593253</v>
      </c>
      <c r="R70" s="103">
        <f t="shared" si="35"/>
        <v>12639.5</v>
      </c>
      <c r="S70" s="14">
        <f t="shared" ref="S70:S86" si="39">+IF(ISERROR(P70/G70),"",(R70/G70))</f>
        <v>526.64583333333337</v>
      </c>
      <c r="T70" s="13">
        <f>VLOOKUP(C70,'[1]Análisis Acciones Comerciales'!A$14:G$113,7,0)</f>
        <v>12639.5</v>
      </c>
      <c r="U70">
        <f t="shared" si="8"/>
        <v>0.30144140908593253</v>
      </c>
      <c r="V70" s="11">
        <v>18093.689999999999</v>
      </c>
      <c r="W70" s="40">
        <f t="shared" si="36"/>
        <v>-2.0497926500606667E-7</v>
      </c>
      <c r="X70" s="14">
        <f t="shared" si="37"/>
        <v>18093.689999999999</v>
      </c>
    </row>
    <row r="71" spans="1:24" x14ac:dyDescent="0.2">
      <c r="A71" s="23" t="s">
        <v>57</v>
      </c>
      <c r="B71" s="21" t="s">
        <v>74</v>
      </c>
      <c r="C71" s="38">
        <v>100522277</v>
      </c>
      <c r="D71" s="23" t="s">
        <v>76</v>
      </c>
      <c r="E71" s="43"/>
      <c r="F71" s="14">
        <v>2.16</v>
      </c>
      <c r="G71" s="18">
        <v>24</v>
      </c>
      <c r="I71" s="14">
        <f t="shared" si="38"/>
        <v>924.00011458333336</v>
      </c>
      <c r="J71" s="14">
        <f t="shared" si="31"/>
        <v>739.20009166666671</v>
      </c>
      <c r="K71"/>
      <c r="L71" s="14">
        <f t="shared" si="32"/>
        <v>753.90359546536331</v>
      </c>
      <c r="M71" s="14">
        <f t="shared" si="33"/>
        <v>8376.7066162818137</v>
      </c>
      <c r="N71" s="16">
        <v>18093.68629116872</v>
      </c>
      <c r="O71" s="15"/>
      <c r="P71" s="14">
        <f t="shared" si="34"/>
        <v>18093.68629116872</v>
      </c>
      <c r="Q71" s="104">
        <v>0.30144140908593253</v>
      </c>
      <c r="R71" s="103">
        <f t="shared" si="35"/>
        <v>12639.5</v>
      </c>
      <c r="S71" s="14">
        <f t="shared" si="39"/>
        <v>526.64583333333337</v>
      </c>
      <c r="T71" s="13">
        <f>VLOOKUP(C71,'[1]Análisis Acciones Comerciales'!A$14:G$113,7,0)</f>
        <v>12639.5</v>
      </c>
      <c r="U71">
        <f t="shared" si="8"/>
        <v>0.30144140908593253</v>
      </c>
      <c r="V71" s="11">
        <v>18093.689999999999</v>
      </c>
      <c r="W71" s="40">
        <f t="shared" si="36"/>
        <v>-2.0497926500606667E-7</v>
      </c>
      <c r="X71" s="14">
        <f t="shared" si="37"/>
        <v>18093.689999999999</v>
      </c>
    </row>
    <row r="72" spans="1:24" x14ac:dyDescent="0.2">
      <c r="A72" s="23" t="s">
        <v>57</v>
      </c>
      <c r="B72" s="21" t="s">
        <v>74</v>
      </c>
      <c r="C72" s="38">
        <v>100522333</v>
      </c>
      <c r="D72" s="23" t="s">
        <v>75</v>
      </c>
      <c r="E72" s="43"/>
      <c r="F72" s="14">
        <v>2.16</v>
      </c>
      <c r="G72" s="18">
        <v>24</v>
      </c>
      <c r="I72" s="14">
        <f t="shared" si="38"/>
        <v>924.00011458333336</v>
      </c>
      <c r="J72" s="14">
        <f t="shared" si="31"/>
        <v>739.20009166666671</v>
      </c>
      <c r="K72"/>
      <c r="L72" s="14">
        <f t="shared" si="32"/>
        <v>753.90359546536331</v>
      </c>
      <c r="M72" s="14">
        <f t="shared" si="33"/>
        <v>8376.7066162818137</v>
      </c>
      <c r="N72" s="16">
        <v>18093.68629116872</v>
      </c>
      <c r="O72" s="15"/>
      <c r="P72" s="14">
        <f t="shared" si="34"/>
        <v>18093.68629116872</v>
      </c>
      <c r="Q72" s="104">
        <v>0.30144140908593253</v>
      </c>
      <c r="R72" s="103">
        <f t="shared" si="35"/>
        <v>12639.5</v>
      </c>
      <c r="S72" s="14">
        <f t="shared" si="39"/>
        <v>526.64583333333337</v>
      </c>
      <c r="T72" s="13">
        <f>VLOOKUP(C72,'[1]Análisis Acciones Comerciales'!A$14:G$113,7,0)</f>
        <v>12639.5</v>
      </c>
      <c r="U72">
        <f t="shared" si="8"/>
        <v>0.30144140908593253</v>
      </c>
      <c r="V72" s="11">
        <v>18093.689999999999</v>
      </c>
      <c r="W72" s="40">
        <f t="shared" si="36"/>
        <v>-2.0497926500606667E-7</v>
      </c>
      <c r="X72" s="14">
        <f t="shared" si="37"/>
        <v>18093.689999999999</v>
      </c>
    </row>
    <row r="73" spans="1:24" x14ac:dyDescent="0.2">
      <c r="A73" s="23" t="s">
        <v>57</v>
      </c>
      <c r="B73" s="21" t="s">
        <v>74</v>
      </c>
      <c r="C73" s="38">
        <v>100021045</v>
      </c>
      <c r="D73" s="23" t="s">
        <v>73</v>
      </c>
      <c r="E73" s="43">
        <v>7790360966582</v>
      </c>
      <c r="F73" s="14">
        <v>2.16</v>
      </c>
      <c r="G73" s="18">
        <v>24</v>
      </c>
      <c r="I73" s="14">
        <f t="shared" si="38"/>
        <v>924.00011458333336</v>
      </c>
      <c r="J73" s="14">
        <f t="shared" si="31"/>
        <v>739.20009166666671</v>
      </c>
      <c r="K73"/>
      <c r="L73" s="14">
        <f t="shared" si="32"/>
        <v>753.90359546536331</v>
      </c>
      <c r="M73" s="14">
        <f t="shared" si="33"/>
        <v>8376.7066162818137</v>
      </c>
      <c r="N73" s="16">
        <v>18093.68629116872</v>
      </c>
      <c r="O73" s="15"/>
      <c r="P73" s="14">
        <f t="shared" si="34"/>
        <v>18093.68629116872</v>
      </c>
      <c r="Q73" s="104">
        <v>0.30144140908593253</v>
      </c>
      <c r="R73" s="103">
        <f t="shared" si="35"/>
        <v>12639.5</v>
      </c>
      <c r="S73" s="14">
        <f t="shared" si="39"/>
        <v>526.64583333333337</v>
      </c>
      <c r="T73" s="13">
        <f>VLOOKUP(C73,'[1]Análisis Acciones Comerciales'!A$14:G$113,7,0)</f>
        <v>12639.5</v>
      </c>
      <c r="U73">
        <f t="shared" si="8"/>
        <v>0.30144140908593253</v>
      </c>
      <c r="V73" s="11">
        <v>18093.689999999999</v>
      </c>
      <c r="W73" s="40">
        <f t="shared" si="36"/>
        <v>-2.0497926500606667E-7</v>
      </c>
      <c r="X73" s="14">
        <f t="shared" si="37"/>
        <v>18093.689999999999</v>
      </c>
    </row>
    <row r="74" spans="1:24" x14ac:dyDescent="0.2">
      <c r="A74" s="23" t="s">
        <v>57</v>
      </c>
      <c r="B74" s="21" t="s">
        <v>70</v>
      </c>
      <c r="C74" s="38">
        <v>100021004</v>
      </c>
      <c r="D74" s="23" t="s">
        <v>72</v>
      </c>
      <c r="E74" s="43">
        <v>7790360964526</v>
      </c>
      <c r="F74" s="14">
        <v>2.1120000000000001</v>
      </c>
      <c r="G74" s="18">
        <v>24</v>
      </c>
      <c r="I74" s="14">
        <f t="shared" si="38"/>
        <v>924.00011458333336</v>
      </c>
      <c r="J74" s="14">
        <f t="shared" si="31"/>
        <v>739.20009166666671</v>
      </c>
      <c r="K74"/>
      <c r="L74" s="14">
        <f t="shared" si="32"/>
        <v>753.90359546536331</v>
      </c>
      <c r="M74" s="14">
        <f t="shared" si="33"/>
        <v>8567.0863121064012</v>
      </c>
      <c r="N74" s="16">
        <v>18093.68629116872</v>
      </c>
      <c r="O74" s="15"/>
      <c r="P74" s="14">
        <f t="shared" si="34"/>
        <v>18093.68629116872</v>
      </c>
      <c r="Q74" s="104">
        <v>0.30144140908593253</v>
      </c>
      <c r="R74" s="103">
        <f t="shared" si="35"/>
        <v>12639.5</v>
      </c>
      <c r="S74" s="14">
        <f t="shared" si="39"/>
        <v>526.64583333333337</v>
      </c>
      <c r="T74" s="13">
        <f>VLOOKUP(C74,'[1]Análisis Acciones Comerciales'!A$14:G$113,7,0)</f>
        <v>12639.5</v>
      </c>
      <c r="U74">
        <f t="shared" si="8"/>
        <v>0.30144140908593253</v>
      </c>
      <c r="V74" s="11">
        <v>18093.689999999999</v>
      </c>
      <c r="W74" s="40">
        <f t="shared" si="36"/>
        <v>-2.0497926500606667E-7</v>
      </c>
      <c r="X74" s="14">
        <f t="shared" si="37"/>
        <v>18093.689999999999</v>
      </c>
    </row>
    <row r="75" spans="1:24" x14ac:dyDescent="0.2">
      <c r="A75" s="23" t="s">
        <v>57</v>
      </c>
      <c r="B75" s="21" t="s">
        <v>70</v>
      </c>
      <c r="C75" s="38">
        <v>100021006</v>
      </c>
      <c r="D75" s="23" t="s">
        <v>71</v>
      </c>
      <c r="E75" s="43">
        <v>7790360964557</v>
      </c>
      <c r="F75" s="14">
        <v>2.1120000000000001</v>
      </c>
      <c r="G75" s="18">
        <v>24</v>
      </c>
      <c r="I75" s="14">
        <f t="shared" si="38"/>
        <v>924.00011458333336</v>
      </c>
      <c r="J75" s="14">
        <f t="shared" si="31"/>
        <v>739.20009166666671</v>
      </c>
      <c r="K75"/>
      <c r="L75" s="14">
        <f t="shared" si="32"/>
        <v>753.90359546536331</v>
      </c>
      <c r="M75" s="14">
        <f t="shared" si="33"/>
        <v>8567.0863121064012</v>
      </c>
      <c r="N75" s="16">
        <v>18093.68629116872</v>
      </c>
      <c r="O75" s="15"/>
      <c r="P75" s="14">
        <f t="shared" si="34"/>
        <v>18093.68629116872</v>
      </c>
      <c r="Q75" s="104">
        <v>0.30144140908593253</v>
      </c>
      <c r="R75" s="103">
        <f t="shared" si="35"/>
        <v>12639.5</v>
      </c>
      <c r="S75" s="14">
        <f t="shared" si="39"/>
        <v>526.64583333333337</v>
      </c>
      <c r="T75" s="13">
        <f>VLOOKUP(C75,'[1]Análisis Acciones Comerciales'!A$14:G$113,7,0)</f>
        <v>12639.5</v>
      </c>
      <c r="U75">
        <f t="shared" si="8"/>
        <v>0.30144140908593253</v>
      </c>
      <c r="V75" s="11">
        <v>18093.689999999999</v>
      </c>
      <c r="W75" s="40">
        <f t="shared" si="36"/>
        <v>-2.0497926500606667E-7</v>
      </c>
      <c r="X75" s="14">
        <f t="shared" si="37"/>
        <v>18093.689999999999</v>
      </c>
    </row>
    <row r="76" spans="1:24" x14ac:dyDescent="0.2">
      <c r="A76" s="23" t="s">
        <v>57</v>
      </c>
      <c r="B76" s="21" t="s">
        <v>70</v>
      </c>
      <c r="C76" s="38">
        <v>100021007</v>
      </c>
      <c r="D76" s="23" t="s">
        <v>69</v>
      </c>
      <c r="E76" s="43">
        <v>7790360964540</v>
      </c>
      <c r="F76" s="14">
        <v>2.04</v>
      </c>
      <c r="G76" s="18">
        <v>24</v>
      </c>
      <c r="I76" s="14">
        <f t="shared" si="38"/>
        <v>1097.2496959318955</v>
      </c>
      <c r="J76" s="14">
        <f t="shared" si="31"/>
        <v>877.79975674551645</v>
      </c>
      <c r="K76"/>
      <c r="L76" s="14">
        <f t="shared" si="32"/>
        <v>978.57461642117141</v>
      </c>
      <c r="M76" s="14">
        <f t="shared" si="33"/>
        <v>11512.642546131428</v>
      </c>
      <c r="N76" s="16">
        <v>23485.790794108114</v>
      </c>
      <c r="O76" s="15"/>
      <c r="P76" s="14">
        <f t="shared" si="34"/>
        <v>23485.790794108114</v>
      </c>
      <c r="Q76" s="104">
        <v>0.36091569745657293</v>
      </c>
      <c r="R76" s="103">
        <f t="shared" si="35"/>
        <v>15009.400229333425</v>
      </c>
      <c r="S76" s="14">
        <f t="shared" si="39"/>
        <v>625.39167622222601</v>
      </c>
      <c r="T76" s="13">
        <f>VLOOKUP(C76,'[1]Análisis Acciones Comerciales'!A$14:G$113,7,0)</f>
        <v>15009.400229333423</v>
      </c>
      <c r="U76">
        <f t="shared" ref="U76:U136" si="40">1-T76/N76</f>
        <v>0.36091569745657293</v>
      </c>
      <c r="V76" s="11">
        <v>23485.79</v>
      </c>
      <c r="W76" s="40">
        <f t="shared" si="36"/>
        <v>3.381228030896466E-8</v>
      </c>
      <c r="X76" s="14">
        <f t="shared" si="37"/>
        <v>23485.79</v>
      </c>
    </row>
    <row r="77" spans="1:24" x14ac:dyDescent="0.2">
      <c r="A77" s="23" t="s">
        <v>57</v>
      </c>
      <c r="B77" s="21" t="s">
        <v>64</v>
      </c>
      <c r="C77" s="38">
        <v>100021013</v>
      </c>
      <c r="D77" s="23" t="s">
        <v>68</v>
      </c>
      <c r="E77" s="43">
        <v>7790360965714</v>
      </c>
      <c r="F77" s="14">
        <v>2.04</v>
      </c>
      <c r="G77" s="18">
        <v>24</v>
      </c>
      <c r="I77" s="14">
        <f t="shared" si="38"/>
        <v>1097.2496959318955</v>
      </c>
      <c r="J77" s="14">
        <f t="shared" si="31"/>
        <v>877.79975674551645</v>
      </c>
      <c r="K77"/>
      <c r="L77" s="14">
        <f t="shared" si="32"/>
        <v>978.57461642117141</v>
      </c>
      <c r="M77" s="14">
        <f t="shared" si="33"/>
        <v>11512.642546131428</v>
      </c>
      <c r="N77" s="16">
        <v>23485.790794108114</v>
      </c>
      <c r="O77" s="15"/>
      <c r="P77" s="14">
        <f t="shared" si="34"/>
        <v>23485.790794108114</v>
      </c>
      <c r="Q77" s="104">
        <v>0.36091569745657293</v>
      </c>
      <c r="R77" s="103">
        <f t="shared" si="35"/>
        <v>15009.400229333425</v>
      </c>
      <c r="S77" s="14">
        <f t="shared" si="39"/>
        <v>625.39167622222601</v>
      </c>
      <c r="T77" s="13">
        <f>VLOOKUP(C77,'[1]Análisis Acciones Comerciales'!A$14:G$113,7,0)</f>
        <v>15009.400229333423</v>
      </c>
      <c r="U77">
        <f t="shared" si="40"/>
        <v>0.36091569745657293</v>
      </c>
      <c r="V77" s="11">
        <v>23485.79</v>
      </c>
      <c r="W77" s="40">
        <f t="shared" si="36"/>
        <v>3.381228030896466E-8</v>
      </c>
      <c r="X77" s="14">
        <f t="shared" si="37"/>
        <v>23485.79</v>
      </c>
    </row>
    <row r="78" spans="1:24" x14ac:dyDescent="0.2">
      <c r="A78" s="23" t="s">
        <v>57</v>
      </c>
      <c r="B78" s="21" t="s">
        <v>64</v>
      </c>
      <c r="C78" s="38">
        <v>100021014</v>
      </c>
      <c r="D78" s="23" t="s">
        <v>67</v>
      </c>
      <c r="E78" s="43">
        <v>7790360965721</v>
      </c>
      <c r="F78" s="14">
        <v>2.04</v>
      </c>
      <c r="G78" s="18">
        <v>24</v>
      </c>
      <c r="I78" s="14">
        <f t="shared" si="38"/>
        <v>1097.2496959318955</v>
      </c>
      <c r="J78" s="14">
        <f t="shared" si="31"/>
        <v>877.79975674551645</v>
      </c>
      <c r="K78"/>
      <c r="L78" s="14">
        <f t="shared" si="32"/>
        <v>978.57461642117141</v>
      </c>
      <c r="M78" s="14">
        <f t="shared" si="33"/>
        <v>11512.642546131428</v>
      </c>
      <c r="N78" s="16">
        <v>23485.790794108114</v>
      </c>
      <c r="O78" s="15"/>
      <c r="P78" s="14">
        <f t="shared" si="34"/>
        <v>23485.790794108114</v>
      </c>
      <c r="Q78" s="104">
        <v>0.36091569745657293</v>
      </c>
      <c r="R78" s="103">
        <f t="shared" si="35"/>
        <v>15009.400229333425</v>
      </c>
      <c r="S78" s="14">
        <f t="shared" si="39"/>
        <v>625.39167622222601</v>
      </c>
      <c r="T78" s="13">
        <f>VLOOKUP(C78,'[1]Análisis Acciones Comerciales'!A$14:G$113,7,0)</f>
        <v>15009.400229333423</v>
      </c>
      <c r="U78">
        <f t="shared" si="40"/>
        <v>0.36091569745657293</v>
      </c>
      <c r="V78" s="11">
        <v>23485.79</v>
      </c>
      <c r="W78" s="40">
        <f t="shared" si="36"/>
        <v>3.381228030896466E-8</v>
      </c>
      <c r="X78" s="14">
        <f t="shared" si="37"/>
        <v>23485.79</v>
      </c>
    </row>
    <row r="79" spans="1:24" x14ac:dyDescent="0.2">
      <c r="A79" s="23" t="s">
        <v>57</v>
      </c>
      <c r="B79" s="21" t="s">
        <v>64</v>
      </c>
      <c r="C79" s="38">
        <v>100021054</v>
      </c>
      <c r="D79" s="23" t="s">
        <v>66</v>
      </c>
      <c r="E79" s="43">
        <v>7790360965707</v>
      </c>
      <c r="F79" s="14">
        <v>2.04</v>
      </c>
      <c r="G79" s="18">
        <v>24</v>
      </c>
      <c r="I79" s="14">
        <f t="shared" si="38"/>
        <v>1097.2496959318955</v>
      </c>
      <c r="J79" s="14">
        <f t="shared" si="31"/>
        <v>877.79975674551645</v>
      </c>
      <c r="K79"/>
      <c r="L79" s="14">
        <f t="shared" si="32"/>
        <v>978.57461642117141</v>
      </c>
      <c r="M79" s="14">
        <f t="shared" si="33"/>
        <v>11512.642546131428</v>
      </c>
      <c r="N79" s="16">
        <v>23485.790794108114</v>
      </c>
      <c r="O79" s="15"/>
      <c r="P79" s="14">
        <f t="shared" si="34"/>
        <v>23485.790794108114</v>
      </c>
      <c r="Q79" s="104">
        <v>0.36091569745657293</v>
      </c>
      <c r="R79" s="103">
        <f t="shared" si="35"/>
        <v>15009.400229333425</v>
      </c>
      <c r="S79" s="14">
        <f t="shared" si="39"/>
        <v>625.39167622222601</v>
      </c>
      <c r="T79" s="13">
        <f>VLOOKUP(C79,'[1]Análisis Acciones Comerciales'!A$14:G$113,7,0)</f>
        <v>15009.400229333423</v>
      </c>
      <c r="U79">
        <f t="shared" si="40"/>
        <v>0.36091569745657293</v>
      </c>
      <c r="V79" s="11">
        <v>23485.79</v>
      </c>
      <c r="W79" s="15">
        <f t="shared" si="36"/>
        <v>3.381228030896466E-8</v>
      </c>
      <c r="X79" s="14">
        <f t="shared" si="37"/>
        <v>23485.79</v>
      </c>
    </row>
    <row r="80" spans="1:24" x14ac:dyDescent="0.2">
      <c r="A80" s="23" t="s">
        <v>57</v>
      </c>
      <c r="B80" s="21" t="s">
        <v>64</v>
      </c>
      <c r="C80" s="38">
        <v>100021055</v>
      </c>
      <c r="D80" s="23" t="s">
        <v>65</v>
      </c>
      <c r="E80" s="43">
        <v>7790360965189</v>
      </c>
      <c r="F80" s="14">
        <v>2.04</v>
      </c>
      <c r="G80" s="18">
        <v>24</v>
      </c>
      <c r="I80" s="14">
        <f t="shared" si="38"/>
        <v>1024.0997801572162</v>
      </c>
      <c r="J80" s="14">
        <f t="shared" si="31"/>
        <v>819.27982412577296</v>
      </c>
      <c r="K80"/>
      <c r="L80" s="14">
        <f t="shared" si="32"/>
        <v>978.57461642117141</v>
      </c>
      <c r="M80" s="14">
        <f t="shared" si="33"/>
        <v>11512.642546131428</v>
      </c>
      <c r="N80" s="16">
        <v>23485.790794108114</v>
      </c>
      <c r="O80" s="15"/>
      <c r="P80" s="14">
        <f t="shared" si="34"/>
        <v>23485.790794108114</v>
      </c>
      <c r="Q80" s="104">
        <v>0.40352128037657309</v>
      </c>
      <c r="R80" s="103">
        <f t="shared" si="35"/>
        <v>14008.774422213275</v>
      </c>
      <c r="S80" s="14">
        <f t="shared" si="39"/>
        <v>583.69893425888642</v>
      </c>
      <c r="T80" s="13">
        <f>VLOOKUP(C80,'[1]Análisis Acciones Comerciales'!A$14:G$113,7,0)</f>
        <v>15009.400229333423</v>
      </c>
      <c r="U80">
        <f t="shared" si="40"/>
        <v>0.36091569745657293</v>
      </c>
      <c r="V80" s="11">
        <v>23485.79</v>
      </c>
      <c r="W80" s="40">
        <f t="shared" si="36"/>
        <v>3.381228030896466E-8</v>
      </c>
      <c r="X80" s="14">
        <f t="shared" si="37"/>
        <v>23485.79</v>
      </c>
    </row>
    <row r="81" spans="1:24" x14ac:dyDescent="0.2">
      <c r="A81" s="23" t="s">
        <v>57</v>
      </c>
      <c r="B81" s="21" t="s">
        <v>64</v>
      </c>
      <c r="C81" s="38">
        <v>100021015</v>
      </c>
      <c r="D81" s="23" t="s">
        <v>63</v>
      </c>
      <c r="E81" s="43">
        <v>7790360965202</v>
      </c>
      <c r="F81" s="14">
        <v>2.04</v>
      </c>
      <c r="G81" s="18">
        <v>24</v>
      </c>
      <c r="I81" s="14">
        <f t="shared" si="38"/>
        <v>1175.624674212745</v>
      </c>
      <c r="J81" s="14">
        <f t="shared" si="31"/>
        <v>940.49973937019604</v>
      </c>
      <c r="K81"/>
      <c r="L81" s="14">
        <f t="shared" si="32"/>
        <v>1048.4728033083977</v>
      </c>
      <c r="M81" s="14">
        <f t="shared" si="33"/>
        <v>12334.974156569386</v>
      </c>
      <c r="N81" s="16">
        <v>25163.347279401547</v>
      </c>
      <c r="O81" s="15"/>
      <c r="P81" s="14">
        <f t="shared" si="34"/>
        <v>25163.347279401547</v>
      </c>
      <c r="Q81" s="104">
        <v>0.36091569745657293</v>
      </c>
      <c r="R81" s="103">
        <f t="shared" si="35"/>
        <v>16081.50024571438</v>
      </c>
      <c r="S81" s="14">
        <f t="shared" si="39"/>
        <v>670.06251023809921</v>
      </c>
      <c r="T81" s="13">
        <f>VLOOKUP(C81,'[1]Análisis Acciones Comerciales'!A$14:G$113,7,0)</f>
        <v>15009.401166657079</v>
      </c>
      <c r="U81">
        <f t="shared" si="40"/>
        <v>0.40352128037657309</v>
      </c>
      <c r="V81" s="11">
        <v>25163.35</v>
      </c>
      <c r="W81" s="15">
        <f t="shared" si="36"/>
        <v>-1.0811749828754103E-7</v>
      </c>
      <c r="X81" s="14">
        <f t="shared" si="37"/>
        <v>25163.35</v>
      </c>
    </row>
    <row r="82" spans="1:24" x14ac:dyDescent="0.2">
      <c r="A82" s="23" t="s">
        <v>57</v>
      </c>
      <c r="B82" s="21" t="s">
        <v>61</v>
      </c>
      <c r="C82" s="38">
        <v>100021008</v>
      </c>
      <c r="D82" s="23" t="s">
        <v>62</v>
      </c>
      <c r="E82" s="43">
        <v>7790360720122</v>
      </c>
      <c r="F82" s="14">
        <v>2.16</v>
      </c>
      <c r="G82" s="18">
        <v>24</v>
      </c>
      <c r="I82" s="14">
        <f t="shared" si="38"/>
        <v>623.97955651152336</v>
      </c>
      <c r="J82" s="14">
        <f t="shared" si="31"/>
        <v>499.1836452092187</v>
      </c>
      <c r="K82"/>
      <c r="L82" s="14">
        <f t="shared" si="32"/>
        <v>593.85702722844178</v>
      </c>
      <c r="M82" s="14">
        <f t="shared" si="33"/>
        <v>6598.4114136493527</v>
      </c>
      <c r="N82" s="16">
        <v>14252.568653482602</v>
      </c>
      <c r="O82" s="15"/>
      <c r="P82" s="14">
        <f t="shared" si="34"/>
        <v>14252.568653482602</v>
      </c>
      <c r="Q82" s="104">
        <v>0.40112651031273738</v>
      </c>
      <c r="R82" s="103">
        <f t="shared" si="35"/>
        <v>8535.485526518416</v>
      </c>
      <c r="S82" s="14">
        <f t="shared" si="39"/>
        <v>355.64523027160067</v>
      </c>
      <c r="T82" s="13">
        <f>VLOOKUP(C82,'[1]Análisis Acciones Comerciales'!A$14:G$113,7,0)</f>
        <v>8535.485526518416</v>
      </c>
      <c r="U82">
        <f t="shared" si="40"/>
        <v>0.40112651031273738</v>
      </c>
      <c r="V82" s="11">
        <v>14252.57</v>
      </c>
      <c r="W82" s="40">
        <f t="shared" si="36"/>
        <v>-9.4475410272742977E-8</v>
      </c>
      <c r="X82" s="14">
        <f t="shared" si="37"/>
        <v>14252.57</v>
      </c>
    </row>
    <row r="83" spans="1:24" x14ac:dyDescent="0.2">
      <c r="A83" s="23" t="s">
        <v>57</v>
      </c>
      <c r="B83" s="21" t="s">
        <v>61</v>
      </c>
      <c r="C83" s="38">
        <v>100021009</v>
      </c>
      <c r="D83" s="23" t="s">
        <v>60</v>
      </c>
      <c r="E83" s="43">
        <v>7790360965127</v>
      </c>
      <c r="F83" s="14">
        <v>2.16</v>
      </c>
      <c r="G83" s="18">
        <v>24</v>
      </c>
      <c r="I83" s="14">
        <f t="shared" si="38"/>
        <v>623.97955651152336</v>
      </c>
      <c r="J83" s="14">
        <f t="shared" si="31"/>
        <v>499.1836452092187</v>
      </c>
      <c r="K83"/>
      <c r="L83" s="14">
        <f t="shared" si="32"/>
        <v>593.85702722844178</v>
      </c>
      <c r="M83" s="14">
        <f t="shared" si="33"/>
        <v>6598.4114136493527</v>
      </c>
      <c r="N83" s="16">
        <v>14252.568653482602</v>
      </c>
      <c r="O83" s="15"/>
      <c r="P83" s="14">
        <f t="shared" si="34"/>
        <v>14252.568653482602</v>
      </c>
      <c r="Q83" s="104">
        <v>0.40112651031273738</v>
      </c>
      <c r="R83" s="103">
        <f t="shared" si="35"/>
        <v>8535.485526518416</v>
      </c>
      <c r="S83" s="14">
        <f t="shared" si="39"/>
        <v>355.64523027160067</v>
      </c>
      <c r="T83" s="13">
        <f>VLOOKUP(C83,'[1]Análisis Acciones Comerciales'!A$14:G$113,7,0)</f>
        <v>8535.485526518416</v>
      </c>
      <c r="U83">
        <f t="shared" si="40"/>
        <v>0.40112651031273738</v>
      </c>
      <c r="V83" s="11">
        <v>14252.57</v>
      </c>
      <c r="W83" s="40">
        <f t="shared" si="36"/>
        <v>-9.4475410272742977E-8</v>
      </c>
      <c r="X83" s="14">
        <f t="shared" si="37"/>
        <v>14252.57</v>
      </c>
    </row>
    <row r="84" spans="1:24" x14ac:dyDescent="0.2">
      <c r="A84" s="23" t="s">
        <v>57</v>
      </c>
      <c r="B84" s="21" t="s">
        <v>56</v>
      </c>
      <c r="C84" s="38">
        <v>100021010</v>
      </c>
      <c r="D84" s="23" t="s">
        <v>59</v>
      </c>
      <c r="E84" s="43">
        <v>7790920008707</v>
      </c>
      <c r="F84" s="14">
        <v>2.16</v>
      </c>
      <c r="G84" s="18">
        <v>24</v>
      </c>
      <c r="I84" s="14">
        <f t="shared" si="38"/>
        <v>623.97955651152336</v>
      </c>
      <c r="J84" s="14">
        <f t="shared" si="31"/>
        <v>499.1836452092187</v>
      </c>
      <c r="K84"/>
      <c r="L84" s="14">
        <f t="shared" si="32"/>
        <v>593.85702722844178</v>
      </c>
      <c r="M84" s="14">
        <f t="shared" si="33"/>
        <v>6598.4114136493527</v>
      </c>
      <c r="N84" s="16">
        <v>14252.568653482602</v>
      </c>
      <c r="O84" s="15"/>
      <c r="P84" s="14">
        <f t="shared" si="34"/>
        <v>14252.568653482602</v>
      </c>
      <c r="Q84" s="104">
        <v>0.40112651031273738</v>
      </c>
      <c r="R84" s="103">
        <f t="shared" si="35"/>
        <v>8535.485526518416</v>
      </c>
      <c r="S84" s="14">
        <f t="shared" si="39"/>
        <v>355.64523027160067</v>
      </c>
      <c r="T84" s="13">
        <f>VLOOKUP(C84,'[1]Análisis Acciones Comerciales'!A$14:G$113,7,0)</f>
        <v>8535.485526518416</v>
      </c>
      <c r="U84">
        <f t="shared" si="40"/>
        <v>0.40112651031273738</v>
      </c>
      <c r="V84" s="11">
        <v>14252.57</v>
      </c>
      <c r="W84" s="40">
        <f t="shared" si="36"/>
        <v>-9.4475410272742977E-8</v>
      </c>
      <c r="X84" s="14">
        <f t="shared" si="37"/>
        <v>14252.57</v>
      </c>
    </row>
    <row r="85" spans="1:24" x14ac:dyDescent="0.2">
      <c r="A85" s="23" t="s">
        <v>57</v>
      </c>
      <c r="B85" s="21" t="s">
        <v>56</v>
      </c>
      <c r="C85" s="38">
        <v>100021011</v>
      </c>
      <c r="D85" s="23" t="s">
        <v>58</v>
      </c>
      <c r="E85" s="43">
        <v>7790920008714</v>
      </c>
      <c r="F85" s="14">
        <v>2.16</v>
      </c>
      <c r="G85" s="18">
        <v>24</v>
      </c>
      <c r="I85" s="14">
        <f t="shared" si="38"/>
        <v>684.7088453074573</v>
      </c>
      <c r="J85" s="14">
        <f t="shared" si="31"/>
        <v>547.76707624596588</v>
      </c>
      <c r="K85"/>
      <c r="L85" s="14">
        <f t="shared" si="32"/>
        <v>593.85702722844178</v>
      </c>
      <c r="M85" s="14">
        <f t="shared" si="33"/>
        <v>6598.4114136493527</v>
      </c>
      <c r="N85" s="16">
        <v>14252.568653482602</v>
      </c>
      <c r="O85" s="15"/>
      <c r="P85" s="14">
        <f t="shared" si="34"/>
        <v>14252.568653482602</v>
      </c>
      <c r="Q85" s="104">
        <v>0.34284068872144158</v>
      </c>
      <c r="R85" s="103">
        <f t="shared" si="35"/>
        <v>9366.2082002729985</v>
      </c>
      <c r="S85" s="14">
        <f t="shared" si="39"/>
        <v>390.25867501137492</v>
      </c>
      <c r="T85" s="13">
        <f>VLOOKUP(C85,'[1]Análisis Acciones Comerciales'!A$14:G$113,7,0)</f>
        <v>8535.485526518416</v>
      </c>
      <c r="U85">
        <f t="shared" si="40"/>
        <v>0.40112651031273738</v>
      </c>
      <c r="V85" s="11">
        <v>14252.57</v>
      </c>
      <c r="W85" s="40">
        <f t="shared" si="36"/>
        <v>-9.4475410272742977E-8</v>
      </c>
      <c r="X85" s="14">
        <f t="shared" si="37"/>
        <v>14252.57</v>
      </c>
    </row>
    <row r="86" spans="1:24" hidden="1" x14ac:dyDescent="0.2">
      <c r="A86" s="23" t="s">
        <v>57</v>
      </c>
      <c r="B86" s="21" t="s">
        <v>56</v>
      </c>
      <c r="C86" s="38">
        <v>100021044</v>
      </c>
      <c r="D86" s="23" t="s">
        <v>55</v>
      </c>
      <c r="E86" s="43"/>
      <c r="F86" s="14">
        <v>2.16</v>
      </c>
      <c r="G86" s="18">
        <v>24</v>
      </c>
      <c r="I86" s="14">
        <f t="shared" ref="I69:I86" si="41">+L86*1.45*1.21</f>
        <v>0</v>
      </c>
      <c r="J86" s="14">
        <f t="shared" si="31"/>
        <v>0</v>
      </c>
      <c r="K86"/>
      <c r="L86" s="14">
        <f t="shared" si="32"/>
        <v>0</v>
      </c>
      <c r="M86" s="14">
        <f t="shared" si="33"/>
        <v>0</v>
      </c>
      <c r="N86" s="16">
        <v>0</v>
      </c>
      <c r="O86" s="15"/>
      <c r="P86" s="14">
        <f t="shared" si="34"/>
        <v>0</v>
      </c>
      <c r="Q86" s="15"/>
      <c r="R86" s="14">
        <f t="shared" ref="R86" si="42">+IF(ISERROR(P86/(1-Q86)),"",(P86/(1-Q86)))</f>
        <v>0</v>
      </c>
      <c r="S86" s="14">
        <f t="shared" si="39"/>
        <v>0</v>
      </c>
      <c r="T86" s="13" t="e">
        <f>VLOOKUP(C86,'[1]Análisis Acciones Comerciales'!A$14:G$113,7,0)</f>
        <v>#N/A</v>
      </c>
      <c r="U86" t="e">
        <f t="shared" si="40"/>
        <v>#N/A</v>
      </c>
      <c r="V86" s="11" t="s">
        <v>7</v>
      </c>
      <c r="W86" s="40" t="str">
        <f t="shared" si="36"/>
        <v/>
      </c>
      <c r="X86" s="14" t="str">
        <f t="shared" si="37"/>
        <v/>
      </c>
    </row>
    <row r="87" spans="1:24" x14ac:dyDescent="0.2">
      <c r="A87" s="35"/>
      <c r="B87" s="34"/>
      <c r="C87" s="33"/>
      <c r="D87" s="26"/>
      <c r="E87" s="33"/>
      <c r="F87" s="26"/>
      <c r="G87" s="32"/>
      <c r="I87" s="30"/>
      <c r="J87" s="31"/>
      <c r="K87"/>
      <c r="L87" s="30"/>
      <c r="M87" s="26"/>
      <c r="N87" s="26" t="s">
        <v>7</v>
      </c>
      <c r="O87" s="28"/>
      <c r="P87" s="26"/>
      <c r="Q87" s="28"/>
      <c r="R87" s="26"/>
      <c r="S87" s="24"/>
      <c r="T87" s="13" t="e">
        <f>VLOOKUP(C87,'[1]Análisis Acciones Comerciales'!A$14:G$113,7,0)</f>
        <v>#N/A</v>
      </c>
      <c r="U87" t="e">
        <f t="shared" si="40"/>
        <v>#N/A</v>
      </c>
      <c r="V87" s="26"/>
      <c r="W87" s="39"/>
      <c r="X87" s="24"/>
    </row>
    <row r="88" spans="1:24" hidden="1" x14ac:dyDescent="0.2">
      <c r="A88" s="23" t="s">
        <v>2</v>
      </c>
      <c r="B88" s="21" t="s">
        <v>50</v>
      </c>
      <c r="C88" s="38">
        <v>100021701</v>
      </c>
      <c r="D88" s="23" t="s">
        <v>54</v>
      </c>
      <c r="E88" s="43">
        <v>7790360023889</v>
      </c>
      <c r="F88" s="14">
        <v>6.6</v>
      </c>
      <c r="G88" s="18">
        <v>20</v>
      </c>
      <c r="I88" s="14">
        <f>+L88*1.55*1.21</f>
        <v>0</v>
      </c>
      <c r="J88" s="14">
        <v>0</v>
      </c>
      <c r="K88"/>
      <c r="L88" s="14">
        <f>+IF(ISERROR(N88/G88),"",(N88/G88))</f>
        <v>0</v>
      </c>
      <c r="M88" s="14">
        <f>+IF(ISERROR(N88/F88),"",(N88/F88))</f>
        <v>0</v>
      </c>
      <c r="N88" s="16">
        <v>0</v>
      </c>
      <c r="O88" s="15"/>
      <c r="P88" s="14">
        <f>+IF(ISERROR(N88/(1-O88)),"",(N88/(1-O88)))</f>
        <v>0</v>
      </c>
      <c r="Q88" s="15"/>
      <c r="R88" s="14">
        <f>+IF(ISERROR(P88/(1-Q88)),"",(P88/(1-Q88)))</f>
        <v>0</v>
      </c>
      <c r="S88" s="14">
        <f>+IF(ISERROR(R88/G88),"",(R88/G88))</f>
        <v>0</v>
      </c>
      <c r="T88" s="13" t="e">
        <f>VLOOKUP(C88,'[1]Análisis Acciones Comerciales'!A$14:G$113,7,0)</f>
        <v>#N/A</v>
      </c>
      <c r="U88" t="e">
        <f t="shared" si="40"/>
        <v>#N/A</v>
      </c>
      <c r="V88" s="11" t="s">
        <v>7</v>
      </c>
      <c r="W88" s="40" t="str">
        <f>+IF(ISERROR(N88/V88-1),"",(N88/V88-1))</f>
        <v/>
      </c>
      <c r="X88" s="14" t="str">
        <f>+IF(ISERROR(V88*(1-O88)),"",(V88*(1-O88)))</f>
        <v/>
      </c>
    </row>
    <row r="89" spans="1:24" x14ac:dyDescent="0.2">
      <c r="A89" s="23" t="s">
        <v>2</v>
      </c>
      <c r="B89" s="21" t="s">
        <v>50</v>
      </c>
      <c r="C89" s="38">
        <v>100516217</v>
      </c>
      <c r="D89" s="23" t="s">
        <v>53</v>
      </c>
      <c r="E89" s="43">
        <v>7790360967824</v>
      </c>
      <c r="F89" s="14">
        <v>5.8</v>
      </c>
      <c r="G89" s="18">
        <v>20</v>
      </c>
      <c r="I89" s="14">
        <f>+S89*1.55*1.21</f>
        <v>2399.1981613153125</v>
      </c>
      <c r="J89" s="14">
        <f>+I89*0.8</f>
        <v>1919.3585290522501</v>
      </c>
      <c r="K89"/>
      <c r="L89" s="14">
        <f>+IF(ISERROR(N89/G89),"",(N89/G89))</f>
        <v>1382.952675</v>
      </c>
      <c r="M89" s="14">
        <f>+IF(ISERROR(N89/F89),"",(N89/F89))</f>
        <v>4768.802327586207</v>
      </c>
      <c r="N89" s="16">
        <v>27659.053500000002</v>
      </c>
      <c r="O89" s="15"/>
      <c r="P89" s="14">
        <f>+IF(ISERROR(N89/(1-O89)),"",(N89/(1-O89)))</f>
        <v>27659.053500000002</v>
      </c>
      <c r="Q89" s="104">
        <v>7.4999999999999997E-2</v>
      </c>
      <c r="R89" s="103">
        <f>IF(ISERROR(P89-(P89*Q89)),0,+P89-(P89*Q89))</f>
        <v>25584.624487500001</v>
      </c>
      <c r="S89" s="14">
        <f>+IF(ISERROR(R89/G89),"",(R89/G89))</f>
        <v>1279.231224375</v>
      </c>
      <c r="T89" s="13">
        <f>VLOOKUP(C89,'[1]Análisis Acciones Comerciales'!A$14:G$113,7,0)*1.03</f>
        <v>24174.019652259598</v>
      </c>
      <c r="U89" s="12">
        <f t="shared" si="40"/>
        <v>0.12599975077745895</v>
      </c>
      <c r="V89" s="14">
        <v>26853.45</v>
      </c>
      <c r="W89" s="40">
        <f>+IF(ISERROR(N89/V89-1),"",(N89/V89-1))</f>
        <v>3.0000000000000027E-2</v>
      </c>
      <c r="X89" s="14">
        <f>+IF(ISERROR(V89*(1-O89)),"",(V89*(1-O89)))</f>
        <v>26853.45</v>
      </c>
    </row>
    <row r="90" spans="1:24" x14ac:dyDescent="0.2">
      <c r="A90" s="23" t="s">
        <v>2</v>
      </c>
      <c r="B90" s="21" t="s">
        <v>50</v>
      </c>
      <c r="C90" s="38">
        <v>100516214</v>
      </c>
      <c r="D90" s="23" t="s">
        <v>52</v>
      </c>
      <c r="E90" s="43">
        <v>7790360967794</v>
      </c>
      <c r="F90" s="14">
        <v>7</v>
      </c>
      <c r="G90" s="18">
        <v>20</v>
      </c>
      <c r="I90" s="14">
        <f t="shared" ref="I90:I92" si="43">+S90*1.55*1.21</f>
        <v>3459.2189262069996</v>
      </c>
      <c r="J90" s="14">
        <f>+I90*0.8</f>
        <v>2767.3751409655997</v>
      </c>
      <c r="K90"/>
      <c r="L90" s="14">
        <f>+IF(ISERROR(N90/G90),"",(N90/G90))</f>
        <v>1993.97288</v>
      </c>
      <c r="M90" s="14">
        <f>+IF(ISERROR(N90/F90),"",(N90/F90))</f>
        <v>5697.0653714285718</v>
      </c>
      <c r="N90" s="16">
        <v>39879.457600000002</v>
      </c>
      <c r="O90" s="15"/>
      <c r="P90" s="14">
        <f>+IF(ISERROR(N90/(1-O90)),"",(N90/(1-O90)))</f>
        <v>39879.457600000002</v>
      </c>
      <c r="Q90" s="104">
        <v>7.4999999999999997E-2</v>
      </c>
      <c r="R90" s="103">
        <f>IF(ISERROR(P90-(P90*Q90)),0,+P90-(P90*Q90))</f>
        <v>36888.49828</v>
      </c>
      <c r="S90" s="14">
        <f>+IF(ISERROR(R90/G90),"",(R90/G90))</f>
        <v>1844.4249139999999</v>
      </c>
      <c r="T90" s="13">
        <f>VLOOKUP(C90,'[1]Análisis Acciones Comerciales'!A$14:G$113,7,0)*1.03</f>
        <v>36888.498463052012</v>
      </c>
      <c r="U90" s="12">
        <f t="shared" si="40"/>
        <v>7.4999995409867126E-2</v>
      </c>
      <c r="V90" s="14">
        <v>38717.919999999998</v>
      </c>
      <c r="W90" s="40">
        <f>+IF(ISERROR(N90/V90-1),"",(N90/V90-1))</f>
        <v>3.0000000000000027E-2</v>
      </c>
      <c r="X90" s="14">
        <f>+IF(ISERROR(V90*(1-O90)),"",(V90*(1-O90)))</f>
        <v>38717.919999999998</v>
      </c>
    </row>
    <row r="91" spans="1:24" x14ac:dyDescent="0.2">
      <c r="A91" s="23" t="s">
        <v>2</v>
      </c>
      <c r="B91" s="21" t="s">
        <v>50</v>
      </c>
      <c r="C91" s="38">
        <v>100516215</v>
      </c>
      <c r="D91" s="23" t="s">
        <v>51</v>
      </c>
      <c r="E91" s="43">
        <v>7790360967800</v>
      </c>
      <c r="F91" s="14">
        <v>7</v>
      </c>
      <c r="G91" s="18">
        <v>20</v>
      </c>
      <c r="I91" s="14">
        <f t="shared" si="43"/>
        <v>3459.2189262069996</v>
      </c>
      <c r="J91" s="14">
        <f>+I91*0.8</f>
        <v>2767.3751409655997</v>
      </c>
      <c r="K91"/>
      <c r="L91" s="14">
        <f>+IF(ISERROR(N91/G91),"",(N91/G91))</f>
        <v>1993.97288</v>
      </c>
      <c r="M91" s="14">
        <f>+IF(ISERROR(N91/F91),"",(N91/F91))</f>
        <v>5697.0653714285718</v>
      </c>
      <c r="N91" s="16">
        <v>39879.457600000002</v>
      </c>
      <c r="O91" s="15"/>
      <c r="P91" s="14">
        <f>+IF(ISERROR(N91/(1-O91)),"",(N91/(1-O91)))</f>
        <v>39879.457600000002</v>
      </c>
      <c r="Q91" s="104">
        <v>7.4999999999999997E-2</v>
      </c>
      <c r="R91" s="103">
        <f>IF(ISERROR(P91-(P91*Q91)),0,+P91-(P91*Q91))</f>
        <v>36888.49828</v>
      </c>
      <c r="S91" s="14">
        <f>+IF(ISERROR(R91/G91),"",(R91/G91))</f>
        <v>1844.4249139999999</v>
      </c>
      <c r="T91" s="13">
        <f>VLOOKUP(C91,'[1]Análisis Acciones Comerciales'!A$14:G$113,7,0)*1.03</f>
        <v>36888.498463052012</v>
      </c>
      <c r="U91" s="12">
        <f t="shared" si="40"/>
        <v>7.4999995409867126E-2</v>
      </c>
      <c r="V91" s="14">
        <v>38717.919999999998</v>
      </c>
      <c r="W91" s="40">
        <f>+IF(ISERROR(N91/V91-1),"",(N91/V91-1))</f>
        <v>3.0000000000000027E-2</v>
      </c>
      <c r="X91" s="14">
        <f>+IF(ISERROR(V91*(1-O91)),"",(V91*(1-O91)))</f>
        <v>38717.919999999998</v>
      </c>
    </row>
    <row r="92" spans="1:24" x14ac:dyDescent="0.2">
      <c r="A92" s="23" t="s">
        <v>2</v>
      </c>
      <c r="B92" s="21" t="s">
        <v>50</v>
      </c>
      <c r="C92" s="38">
        <v>100516216</v>
      </c>
      <c r="D92" s="23" t="s">
        <v>49</v>
      </c>
      <c r="E92" s="43">
        <v>7790360967817</v>
      </c>
      <c r="F92" s="14">
        <v>7</v>
      </c>
      <c r="G92" s="18">
        <v>20</v>
      </c>
      <c r="I92" s="14">
        <f t="shared" si="43"/>
        <v>3459.2189262069996</v>
      </c>
      <c r="J92" s="14">
        <f>+I92*0.8</f>
        <v>2767.3751409655997</v>
      </c>
      <c r="K92"/>
      <c r="L92" s="14">
        <f>+IF(ISERROR(N92/G92),"",(N92/G92))</f>
        <v>1993.97288</v>
      </c>
      <c r="M92" s="14">
        <f>+IF(ISERROR(N92/F92),"",(N92/F92))</f>
        <v>5697.0653714285718</v>
      </c>
      <c r="N92" s="16">
        <v>39879.457600000002</v>
      </c>
      <c r="O92" s="15"/>
      <c r="P92" s="14">
        <f>+IF(ISERROR(N92/(1-O92)),"",(N92/(1-O92)))</f>
        <v>39879.457600000002</v>
      </c>
      <c r="Q92" s="104">
        <v>7.4999999999999997E-2</v>
      </c>
      <c r="R92" s="103">
        <f>IF(ISERROR(P92-(P92*Q92)),0,+P92-(P92*Q92))</f>
        <v>36888.49828</v>
      </c>
      <c r="S92" s="14">
        <f>+IF(ISERROR(R92/G92),"",(R92/G92))</f>
        <v>1844.4249139999999</v>
      </c>
      <c r="T92" s="13">
        <f>VLOOKUP(C92,'[1]Análisis Acciones Comerciales'!A$14:G$113,7,0)*1.03</f>
        <v>36888.498463052012</v>
      </c>
      <c r="U92" s="12">
        <f t="shared" si="40"/>
        <v>7.4999995409867126E-2</v>
      </c>
      <c r="V92" s="14">
        <v>38717.919999999998</v>
      </c>
      <c r="W92" s="40">
        <f>+IF(ISERROR(N92/V92-1),"",(N92/V92-1))</f>
        <v>3.0000000000000027E-2</v>
      </c>
      <c r="X92" s="14">
        <f>+IF(ISERROR(V92*(1-O92)),"",(V92*(1-O92)))</f>
        <v>38717.919999999998</v>
      </c>
    </row>
    <row r="93" spans="1:24" x14ac:dyDescent="0.2">
      <c r="A93" s="35"/>
      <c r="B93" s="34"/>
      <c r="C93" s="33"/>
      <c r="D93" s="26"/>
      <c r="E93" s="33"/>
      <c r="F93" s="26"/>
      <c r="G93" s="32"/>
      <c r="I93" s="30"/>
      <c r="J93" s="31"/>
      <c r="K93"/>
      <c r="L93" s="30"/>
      <c r="M93" s="26"/>
      <c r="N93" s="26" t="s">
        <v>7</v>
      </c>
      <c r="O93" s="28"/>
      <c r="P93" s="26"/>
      <c r="Q93" s="28"/>
      <c r="R93" s="26"/>
      <c r="S93" s="24"/>
      <c r="T93" s="13" t="e">
        <f>VLOOKUP(C93,'[1]Análisis Acciones Comerciales'!A$14:G$113,7,0)</f>
        <v>#N/A</v>
      </c>
      <c r="U93" t="e">
        <f t="shared" si="40"/>
        <v>#N/A</v>
      </c>
      <c r="V93" s="26"/>
      <c r="W93" s="39"/>
      <c r="X93" s="24"/>
    </row>
    <row r="94" spans="1:24" x14ac:dyDescent="0.2">
      <c r="A94" s="23" t="s">
        <v>36</v>
      </c>
      <c r="B94" s="21" t="s">
        <v>48</v>
      </c>
      <c r="C94" s="38">
        <v>100021704</v>
      </c>
      <c r="D94" s="23" t="s">
        <v>47</v>
      </c>
      <c r="E94" s="43">
        <v>7790360023902</v>
      </c>
      <c r="F94" s="14">
        <f>12*0.38</f>
        <v>4.5600000000000005</v>
      </c>
      <c r="G94" s="18">
        <v>12</v>
      </c>
      <c r="I94" s="14">
        <f>+S94*1.55*1.21</f>
        <v>6694.77105874479</v>
      </c>
      <c r="J94" s="14">
        <f t="shared" ref="J94:J105" si="44">+I94*0.8</f>
        <v>5355.8168469958327</v>
      </c>
      <c r="K94"/>
      <c r="L94" s="14">
        <f t="shared" ref="L94:L105" si="45">+IF(ISERROR(N94/G94),"",(N94/G94))</f>
        <v>3569.5926732843454</v>
      </c>
      <c r="M94" s="14">
        <f t="shared" ref="M94:M105" si="46">+IF(ISERROR(N94/F94),"",(N94/F94))</f>
        <v>9393.6649296956457</v>
      </c>
      <c r="N94" s="16">
        <v>42835.112079412145</v>
      </c>
      <c r="O94" s="15"/>
      <c r="P94" s="14">
        <f t="shared" ref="P94:P105" si="47">+IF(ISERROR(N94/(1-O94)),"",(N94/(1-O94)))</f>
        <v>42835.112079412145</v>
      </c>
      <c r="Q94" s="15"/>
      <c r="R94" s="14">
        <f t="shared" ref="R94:R104" si="48">+IF(ISERROR(P94/(1-Q94)),"",(P94/(1-Q94)))</f>
        <v>42835.112079412145</v>
      </c>
      <c r="S94" s="14">
        <f t="shared" ref="S94:S105" si="49">+IF(ISERROR(R94/G94),"",(R94/G94))</f>
        <v>3569.5926732843454</v>
      </c>
      <c r="T94" s="13">
        <f>VLOOKUP(C94,'[1]Análisis Acciones Comerciales'!A$14:G$113,7,0)</f>
        <v>30908.065047763459</v>
      </c>
      <c r="U94">
        <f t="shared" si="40"/>
        <v>0.27844089702711872</v>
      </c>
      <c r="V94" s="11">
        <v>42835.11</v>
      </c>
      <c r="W94" s="40">
        <f t="shared" ref="W94:W105" si="50">+IF(ISERROR(N94/V94-1),"",(N94/V94-1))</f>
        <v>4.8544573472142361E-8</v>
      </c>
      <c r="X94" s="14">
        <f t="shared" ref="X94:X105" si="51">+IF(ISERROR(V94*(1-O94)),"",(V94*(1-O94)))</f>
        <v>42835.11</v>
      </c>
    </row>
    <row r="95" spans="1:24" x14ac:dyDescent="0.2">
      <c r="A95" s="23" t="s">
        <v>36</v>
      </c>
      <c r="B95" s="21" t="s">
        <v>35</v>
      </c>
      <c r="C95" s="38">
        <v>100021705</v>
      </c>
      <c r="D95" s="23" t="s">
        <v>46</v>
      </c>
      <c r="E95" s="43">
        <v>7790360024336</v>
      </c>
      <c r="F95" s="14">
        <f>12*0.38</f>
        <v>4.5600000000000005</v>
      </c>
      <c r="G95" s="18">
        <v>12</v>
      </c>
      <c r="I95" s="14">
        <f t="shared" ref="I95:I105" si="52">+S95*1.55*1.21</f>
        <v>6085.7021837290204</v>
      </c>
      <c r="J95" s="14">
        <f t="shared" si="44"/>
        <v>4868.5617469832168</v>
      </c>
      <c r="K95"/>
      <c r="L95" s="14">
        <f t="shared" si="45"/>
        <v>3244.8425399781504</v>
      </c>
      <c r="M95" s="14">
        <f t="shared" si="46"/>
        <v>8539.0593157319745</v>
      </c>
      <c r="N95" s="16">
        <v>38938.110479737807</v>
      </c>
      <c r="O95" s="15"/>
      <c r="P95" s="14">
        <f t="shared" si="47"/>
        <v>38938.110479737807</v>
      </c>
      <c r="Q95" s="15"/>
      <c r="R95" s="14">
        <f t="shared" si="48"/>
        <v>38938.110479737807</v>
      </c>
      <c r="S95" s="14">
        <f t="shared" si="49"/>
        <v>3244.8425399781504</v>
      </c>
      <c r="T95" s="13">
        <f>VLOOKUP(C95,'[1]Análisis Acciones Comerciales'!A$14:G$113,7,0)</f>
        <v>28096.134124013824</v>
      </c>
      <c r="U95">
        <f t="shared" si="40"/>
        <v>0.27844125516480345</v>
      </c>
      <c r="V95" s="11">
        <v>38938.11</v>
      </c>
      <c r="W95" s="40">
        <f t="shared" si="50"/>
        <v>1.2320521047826105E-8</v>
      </c>
      <c r="X95" s="14">
        <f t="shared" si="51"/>
        <v>38938.11</v>
      </c>
    </row>
    <row r="96" spans="1:24" x14ac:dyDescent="0.2">
      <c r="A96" s="23" t="s">
        <v>36</v>
      </c>
      <c r="B96" s="21" t="s">
        <v>35</v>
      </c>
      <c r="C96" s="38">
        <v>100021709</v>
      </c>
      <c r="D96" s="23" t="s">
        <v>45</v>
      </c>
      <c r="E96" s="43">
        <v>7790360024701</v>
      </c>
      <c r="F96" s="14">
        <v>7.6</v>
      </c>
      <c r="G96" s="18">
        <v>10</v>
      </c>
      <c r="I96" s="14">
        <f t="shared" si="52"/>
        <v>9766.2911500000009</v>
      </c>
      <c r="J96" s="14">
        <f t="shared" si="44"/>
        <v>7813.0329200000015</v>
      </c>
      <c r="K96"/>
      <c r="L96" s="14">
        <f t="shared" si="45"/>
        <v>6248.2083460346566</v>
      </c>
      <c r="M96" s="14">
        <f t="shared" si="46"/>
        <v>8221.3267710982327</v>
      </c>
      <c r="N96" s="16">
        <v>62482.083460346563</v>
      </c>
      <c r="O96" s="15"/>
      <c r="P96" s="14">
        <f t="shared" si="47"/>
        <v>62482.083460346563</v>
      </c>
      <c r="Q96" s="104">
        <v>0.16659309171328374</v>
      </c>
      <c r="R96" s="103">
        <f t="shared" ref="R96:R97" si="53">IF(ISERROR(P96-(P96*Q96)),0,+P96-(P96*Q96))</f>
        <v>52073</v>
      </c>
      <c r="S96" s="14">
        <f t="shared" si="49"/>
        <v>5207.3</v>
      </c>
      <c r="T96" s="13">
        <f>VLOOKUP(C96,'[1]Análisis Acciones Comerciales'!A$14:G$113,7,0)</f>
        <v>49592.915831008679</v>
      </c>
      <c r="U96">
        <f t="shared" si="40"/>
        <v>0.20628581691770609</v>
      </c>
      <c r="V96" s="11">
        <v>62482.080000000002</v>
      </c>
      <c r="W96" s="40">
        <f t="shared" si="50"/>
        <v>5.5381423891276427E-8</v>
      </c>
      <c r="X96" s="14">
        <f t="shared" si="51"/>
        <v>62482.080000000002</v>
      </c>
    </row>
    <row r="97" spans="1:24" x14ac:dyDescent="0.2">
      <c r="A97" s="23" t="s">
        <v>36</v>
      </c>
      <c r="B97" s="21" t="s">
        <v>35</v>
      </c>
      <c r="C97" s="38">
        <v>100521357</v>
      </c>
      <c r="D97" s="23" t="s">
        <v>44</v>
      </c>
      <c r="E97" s="43">
        <v>7790360982018</v>
      </c>
      <c r="F97" s="14">
        <v>4.5599999999999996</v>
      </c>
      <c r="G97" s="18">
        <v>12</v>
      </c>
      <c r="I97" s="14">
        <f t="shared" si="52"/>
        <v>5529.2350320899986</v>
      </c>
      <c r="J97" s="14">
        <f t="shared" si="44"/>
        <v>4423.3880256719995</v>
      </c>
      <c r="K97"/>
      <c r="L97" s="14">
        <f t="shared" si="45"/>
        <v>3930.8522399999997</v>
      </c>
      <c r="M97" s="14">
        <f t="shared" si="46"/>
        <v>10344.348</v>
      </c>
      <c r="N97" s="16">
        <v>47170.226879999995</v>
      </c>
      <c r="O97" s="15"/>
      <c r="P97" s="14">
        <f t="shared" si="47"/>
        <v>47170.226879999995</v>
      </c>
      <c r="Q97" s="104">
        <v>0.25</v>
      </c>
      <c r="R97" s="103">
        <f t="shared" si="53"/>
        <v>35377.670159999994</v>
      </c>
      <c r="S97" s="14">
        <f t="shared" si="49"/>
        <v>2948.1391799999997</v>
      </c>
      <c r="T97" s="13">
        <f>VLOOKUP(C97,'[1]Análisis Acciones Comerciales'!A$14:G$113,7,0)</f>
        <v>42366.94</v>
      </c>
      <c r="U97">
        <f t="shared" si="40"/>
        <v>0.10182878475906942</v>
      </c>
      <c r="V97" s="11">
        <v>47170.23</v>
      </c>
      <c r="W97" s="40">
        <f t="shared" si="50"/>
        <v>-6.614341307997762E-8</v>
      </c>
      <c r="X97" s="14">
        <f t="shared" si="51"/>
        <v>47170.23</v>
      </c>
    </row>
    <row r="98" spans="1:24" x14ac:dyDescent="0.2">
      <c r="A98" s="23" t="s">
        <v>36</v>
      </c>
      <c r="B98" s="21" t="s">
        <v>35</v>
      </c>
      <c r="C98" s="38">
        <v>100521358</v>
      </c>
      <c r="D98" s="23" t="s">
        <v>43</v>
      </c>
      <c r="E98" s="43">
        <v>7790360982025</v>
      </c>
      <c r="F98" s="14">
        <v>7.6</v>
      </c>
      <c r="G98" s="18">
        <v>10</v>
      </c>
      <c r="I98" s="14">
        <f t="shared" si="52"/>
        <v>13270.164077016001</v>
      </c>
      <c r="J98" s="14">
        <f t="shared" si="44"/>
        <v>10616.131261612802</v>
      </c>
      <c r="K98"/>
      <c r="L98" s="14">
        <f t="shared" si="45"/>
        <v>7075.5340320000005</v>
      </c>
      <c r="M98" s="14">
        <f t="shared" si="46"/>
        <v>9309.9132000000009</v>
      </c>
      <c r="N98" s="16">
        <v>70755.340320000003</v>
      </c>
      <c r="O98" s="15"/>
      <c r="P98" s="14">
        <f t="shared" si="47"/>
        <v>70755.340320000003</v>
      </c>
      <c r="Q98" s="15"/>
      <c r="R98" s="14">
        <f t="shared" si="48"/>
        <v>70755.340320000003</v>
      </c>
      <c r="S98" s="14">
        <f t="shared" si="49"/>
        <v>7075.5340320000005</v>
      </c>
      <c r="T98" s="13">
        <f>VLOOKUP(C98,'[1]Análisis Acciones Comerciales'!A$14:G$113,7,0)</f>
        <v>0</v>
      </c>
      <c r="U98">
        <f t="shared" si="40"/>
        <v>1</v>
      </c>
      <c r="V98" s="11">
        <v>70755.34</v>
      </c>
      <c r="W98" s="40">
        <f t="shared" si="50"/>
        <v>4.5226269396181351E-9</v>
      </c>
      <c r="X98" s="14">
        <f t="shared" si="51"/>
        <v>70755.34</v>
      </c>
    </row>
    <row r="99" spans="1:24" x14ac:dyDescent="0.2">
      <c r="A99" s="23" t="s">
        <v>36</v>
      </c>
      <c r="B99" s="21" t="s">
        <v>35</v>
      </c>
      <c r="C99" s="38">
        <v>100522130</v>
      </c>
      <c r="D99" s="23" t="s">
        <v>42</v>
      </c>
      <c r="E99" s="43">
        <v>7790360982445</v>
      </c>
      <c r="F99" s="14">
        <v>4.8</v>
      </c>
      <c r="G99" s="18">
        <v>12</v>
      </c>
      <c r="I99" s="14">
        <f t="shared" si="52"/>
        <v>4298.8829131600978</v>
      </c>
      <c r="J99" s="14">
        <f t="shared" si="44"/>
        <v>3439.1063305280786</v>
      </c>
      <c r="K99"/>
      <c r="L99" s="14">
        <f t="shared" si="45"/>
        <v>2939.3153640000014</v>
      </c>
      <c r="M99" s="14">
        <f t="shared" si="46"/>
        <v>7348.2884100000038</v>
      </c>
      <c r="N99" s="16">
        <v>35271.784368000015</v>
      </c>
      <c r="O99" s="15"/>
      <c r="P99" s="14">
        <f t="shared" si="47"/>
        <v>35271.784368000015</v>
      </c>
      <c r="Q99" s="104">
        <v>0.22018360191170994</v>
      </c>
      <c r="R99" s="103">
        <f t="shared" ref="R99:R100" si="54">IF(ISERROR(P99-(P99*Q99)),0,+P99-(P99*Q99))</f>
        <v>27505.515840000626</v>
      </c>
      <c r="S99" s="14">
        <f t="shared" si="49"/>
        <v>2292.1263200000521</v>
      </c>
      <c r="T99" s="13">
        <f>VLOOKUP(C99,'[1]Análisis Acciones Comerciales'!A$14:G$113,7,0)</f>
        <v>27505.515840000626</v>
      </c>
      <c r="U99">
        <f t="shared" si="40"/>
        <v>0.22018360191170994</v>
      </c>
      <c r="V99" s="11">
        <v>35271.79</v>
      </c>
      <c r="W99" s="40">
        <f t="shared" si="50"/>
        <v>-1.5967434563446403E-7</v>
      </c>
      <c r="X99" s="14">
        <f t="shared" si="51"/>
        <v>35271.79</v>
      </c>
    </row>
    <row r="100" spans="1:24" s="17" customFormat="1" x14ac:dyDescent="0.2">
      <c r="A100" s="23" t="s">
        <v>36</v>
      </c>
      <c r="B100" s="21" t="s">
        <v>35</v>
      </c>
      <c r="C100" s="22">
        <v>100021725</v>
      </c>
      <c r="D100" s="21" t="s">
        <v>41</v>
      </c>
      <c r="E100" s="20">
        <v>7790360027009</v>
      </c>
      <c r="F100" s="9">
        <v>6</v>
      </c>
      <c r="G100" s="42">
        <v>4</v>
      </c>
      <c r="I100" s="14">
        <f t="shared" si="52"/>
        <v>13110.58601434507</v>
      </c>
      <c r="J100" s="14">
        <f t="shared" si="44"/>
        <v>10488.468811476057</v>
      </c>
      <c r="K100"/>
      <c r="L100" s="9">
        <f t="shared" si="45"/>
        <v>8073.9741110725854</v>
      </c>
      <c r="M100" s="9">
        <f t="shared" si="46"/>
        <v>5382.6494073817239</v>
      </c>
      <c r="N100" s="16">
        <v>32295.896444290342</v>
      </c>
      <c r="O100" s="15"/>
      <c r="P100" s="14">
        <f t="shared" si="47"/>
        <v>32295.896444290342</v>
      </c>
      <c r="Q100" s="104">
        <v>0.1341997973688881</v>
      </c>
      <c r="R100" s="103">
        <f t="shared" si="54"/>
        <v>27961.793685619985</v>
      </c>
      <c r="S100" s="9">
        <f t="shared" si="49"/>
        <v>6990.4484214049962</v>
      </c>
      <c r="T100" s="13">
        <f>VLOOKUP(C100,'[1]Análisis Acciones Comerciales'!A$14:G$113,7,0)</f>
        <v>27961.793685619985</v>
      </c>
      <c r="U100">
        <f t="shared" si="40"/>
        <v>0.1341997973688881</v>
      </c>
      <c r="V100" s="11">
        <v>32295.9</v>
      </c>
      <c r="W100" s="41">
        <f t="shared" si="50"/>
        <v>-1.1009786571314351E-7</v>
      </c>
      <c r="X100" s="9">
        <f t="shared" si="51"/>
        <v>32295.9</v>
      </c>
    </row>
    <row r="101" spans="1:24" x14ac:dyDescent="0.2">
      <c r="A101" s="23" t="s">
        <v>36</v>
      </c>
      <c r="B101" s="21" t="s">
        <v>35</v>
      </c>
      <c r="C101" s="38">
        <v>100517055</v>
      </c>
      <c r="D101" s="23" t="s">
        <v>40</v>
      </c>
      <c r="E101" s="43">
        <v>7790360971135</v>
      </c>
      <c r="F101" s="14">
        <v>3.12</v>
      </c>
      <c r="G101" s="18">
        <v>12</v>
      </c>
      <c r="I101" s="14">
        <f t="shared" si="52"/>
        <v>3684.7323333333334</v>
      </c>
      <c r="J101" s="14">
        <f t="shared" si="44"/>
        <v>2947.7858666666671</v>
      </c>
      <c r="K101"/>
      <c r="L101" s="9">
        <f t="shared" si="45"/>
        <v>2687.7110322307326</v>
      </c>
      <c r="M101" s="9">
        <f t="shared" si="46"/>
        <v>10337.350123964356</v>
      </c>
      <c r="N101" s="16">
        <v>32252.532386768791</v>
      </c>
      <c r="O101" s="15"/>
      <c r="P101" s="14">
        <f t="shared" si="47"/>
        <v>32252.532386768791</v>
      </c>
      <c r="Q101" s="104">
        <v>0.26901863961318684</v>
      </c>
      <c r="R101" s="103">
        <f t="shared" ref="R101:R103" si="55">IF(ISERROR(P101-(P101*Q101)),0,+P101-(P101*Q101))</f>
        <v>23576</v>
      </c>
      <c r="S101" s="9">
        <f t="shared" si="49"/>
        <v>1964.6666666666667</v>
      </c>
      <c r="T101" s="13">
        <f>VLOOKUP(C101,'[1]Análisis Acciones Comerciales'!A$14:G$113,7,0)</f>
        <v>22453.7304751591</v>
      </c>
      <c r="U101">
        <f t="shared" si="40"/>
        <v>0.30381496231376637</v>
      </c>
      <c r="V101" s="11">
        <v>32252.53</v>
      </c>
      <c r="W101" s="41">
        <f t="shared" si="50"/>
        <v>7.4002529215633217E-8</v>
      </c>
      <c r="X101" s="9">
        <f t="shared" si="51"/>
        <v>32252.53</v>
      </c>
    </row>
    <row r="102" spans="1:24" x14ac:dyDescent="0.2">
      <c r="A102" s="23" t="s">
        <v>36</v>
      </c>
      <c r="B102" s="21" t="s">
        <v>35</v>
      </c>
      <c r="C102" s="38">
        <v>100517186</v>
      </c>
      <c r="D102" s="23" t="s">
        <v>39</v>
      </c>
      <c r="E102" s="43">
        <v>7790360971395</v>
      </c>
      <c r="F102" s="14">
        <v>8</v>
      </c>
      <c r="G102" s="18">
        <v>8</v>
      </c>
      <c r="I102" s="14">
        <f t="shared" si="52"/>
        <v>16541.875502975596</v>
      </c>
      <c r="J102" s="14">
        <f t="shared" si="44"/>
        <v>13233.500402380478</v>
      </c>
      <c r="K102"/>
      <c r="L102" s="9">
        <f t="shared" si="45"/>
        <v>10187.08207724046</v>
      </c>
      <c r="M102" s="9">
        <f t="shared" si="46"/>
        <v>10187.08207724046</v>
      </c>
      <c r="N102" s="16">
        <v>81496.656617923683</v>
      </c>
      <c r="O102" s="15"/>
      <c r="P102" s="14">
        <f t="shared" si="47"/>
        <v>81496.656617923683</v>
      </c>
      <c r="Q102" s="104">
        <v>0.1341994165142596</v>
      </c>
      <c r="R102" s="103">
        <f t="shared" si="55"/>
        <v>70559.852851935357</v>
      </c>
      <c r="S102" s="9">
        <f t="shared" si="49"/>
        <v>8819.9816064919196</v>
      </c>
      <c r="T102" s="13">
        <f>VLOOKUP(C102,'[1]Análisis Acciones Comerciales'!A$14:G$113,7,0)</f>
        <v>70559.852851935357</v>
      </c>
      <c r="U102">
        <f t="shared" si="40"/>
        <v>0.1341994165142596</v>
      </c>
      <c r="V102" s="11">
        <v>81496.66</v>
      </c>
      <c r="W102" s="41">
        <f t="shared" si="50"/>
        <v>-4.1499569669589675E-8</v>
      </c>
      <c r="X102" s="9">
        <f t="shared" si="51"/>
        <v>81496.66</v>
      </c>
    </row>
    <row r="103" spans="1:24" x14ac:dyDescent="0.2">
      <c r="A103" s="23" t="s">
        <v>36</v>
      </c>
      <c r="B103" s="21" t="s">
        <v>35</v>
      </c>
      <c r="C103" s="38">
        <v>100521663</v>
      </c>
      <c r="D103" s="23" t="s">
        <v>38</v>
      </c>
      <c r="E103" s="43">
        <v>7790360982537</v>
      </c>
      <c r="F103" s="14">
        <v>4.8</v>
      </c>
      <c r="G103" s="18">
        <v>12</v>
      </c>
      <c r="I103" s="14">
        <f t="shared" si="52"/>
        <v>5617.5384800390639</v>
      </c>
      <c r="J103" s="14">
        <f t="shared" si="44"/>
        <v>4494.0307840312516</v>
      </c>
      <c r="K103"/>
      <c r="L103" s="14">
        <f t="shared" si="45"/>
        <v>3993.6290625000006</v>
      </c>
      <c r="M103" s="14">
        <f t="shared" si="46"/>
        <v>9984.0726562500022</v>
      </c>
      <c r="N103" s="16">
        <v>47923.548750000009</v>
      </c>
      <c r="O103" s="15"/>
      <c r="P103" s="14">
        <f t="shared" si="47"/>
        <v>47923.548750000009</v>
      </c>
      <c r="Q103" s="104">
        <v>0.25</v>
      </c>
      <c r="R103" s="103">
        <f t="shared" si="55"/>
        <v>35942.661562500005</v>
      </c>
      <c r="S103" s="14">
        <f t="shared" si="49"/>
        <v>2995.2217968750006</v>
      </c>
      <c r="T103" s="13">
        <f>VLOOKUP(C103,'[1]Análisis Acciones Comerciales'!A$14:G$113,7,0)</f>
        <v>45641.460000003302</v>
      </c>
      <c r="U103">
        <f t="shared" si="40"/>
        <v>4.7619360617502382E-2</v>
      </c>
      <c r="V103" s="11">
        <v>47923.55</v>
      </c>
      <c r="W103" s="40">
        <f t="shared" si="50"/>
        <v>-2.6083209481164715E-8</v>
      </c>
      <c r="X103" s="14">
        <f t="shared" si="51"/>
        <v>47923.55</v>
      </c>
    </row>
    <row r="104" spans="1:24" s="17" customFormat="1" x14ac:dyDescent="0.2">
      <c r="A104" s="23" t="s">
        <v>36</v>
      </c>
      <c r="B104" s="21" t="s">
        <v>35</v>
      </c>
      <c r="C104" s="22">
        <v>100021728</v>
      </c>
      <c r="D104" s="21" t="s">
        <v>37</v>
      </c>
      <c r="E104" s="20">
        <v>7790360967558</v>
      </c>
      <c r="F104" s="9">
        <v>3.84</v>
      </c>
      <c r="G104" s="42">
        <v>12</v>
      </c>
      <c r="I104" s="14">
        <f t="shared" si="52"/>
        <v>6336.5050274932182</v>
      </c>
      <c r="J104" s="14">
        <f t="shared" si="44"/>
        <v>5069.2040219945748</v>
      </c>
      <c r="K104"/>
      <c r="L104" s="9">
        <f t="shared" si="45"/>
        <v>3378.5683964240034</v>
      </c>
      <c r="M104" s="9">
        <f t="shared" si="46"/>
        <v>10558.02623882501</v>
      </c>
      <c r="N104" s="16">
        <v>40542.82075708804</v>
      </c>
      <c r="O104" s="15"/>
      <c r="P104" s="14">
        <f t="shared" si="47"/>
        <v>40542.82075708804</v>
      </c>
      <c r="Q104" s="10"/>
      <c r="R104" s="14">
        <f t="shared" si="48"/>
        <v>40542.82075708804</v>
      </c>
      <c r="S104" s="9">
        <f t="shared" si="49"/>
        <v>3378.5683964240034</v>
      </c>
      <c r="T104" s="13">
        <f>VLOOKUP(C104,'[1]Análisis Acciones Comerciales'!A$14:G$113,7,0)</f>
        <v>38612.208146372919</v>
      </c>
      <c r="U104">
        <f t="shared" si="40"/>
        <v>4.7619099378466312E-2</v>
      </c>
      <c r="V104" s="11">
        <v>40542.82</v>
      </c>
      <c r="W104" s="41">
        <f t="shared" si="50"/>
        <v>1.8673788293455118E-8</v>
      </c>
      <c r="X104" s="9">
        <f t="shared" si="51"/>
        <v>40542.82</v>
      </c>
    </row>
    <row r="105" spans="1:24" s="17" customFormat="1" x14ac:dyDescent="0.2">
      <c r="A105" s="23" t="s">
        <v>36</v>
      </c>
      <c r="B105" s="21" t="s">
        <v>35</v>
      </c>
      <c r="C105" s="22">
        <v>100517679</v>
      </c>
      <c r="D105" s="21" t="s">
        <v>34</v>
      </c>
      <c r="E105" s="20">
        <v>7790360973498</v>
      </c>
      <c r="F105" s="9">
        <v>7.68</v>
      </c>
      <c r="G105" s="42">
        <v>8</v>
      </c>
      <c r="I105" s="14">
        <f t="shared" si="52"/>
        <v>8266.2932391647428</v>
      </c>
      <c r="J105" s="14">
        <f t="shared" si="44"/>
        <v>6613.0345913317942</v>
      </c>
      <c r="K105"/>
      <c r="L105" s="9">
        <f t="shared" si="45"/>
        <v>5090.6817639611627</v>
      </c>
      <c r="M105" s="9">
        <f t="shared" si="46"/>
        <v>5302.7935041262117</v>
      </c>
      <c r="N105" s="16">
        <v>40725.454111689301</v>
      </c>
      <c r="O105" s="15"/>
      <c r="P105" s="14">
        <f t="shared" si="47"/>
        <v>40725.454111689301</v>
      </c>
      <c r="Q105" s="104">
        <v>0.13419958372055374</v>
      </c>
      <c r="R105" s="103">
        <f t="shared" ref="R105" si="56">IF(ISERROR(P105-(P105*Q105)),0,+P105-(P105*Q105))</f>
        <v>35260.115123070085</v>
      </c>
      <c r="S105" s="9">
        <f t="shared" si="49"/>
        <v>4407.5143903837607</v>
      </c>
      <c r="T105" s="13">
        <f>VLOOKUP(C105,'[1]Análisis Acciones Comerciales'!A$14:G$113,7,0)</f>
        <v>35260.115123070085</v>
      </c>
      <c r="U105">
        <f t="shared" si="40"/>
        <v>0.13419958372055374</v>
      </c>
      <c r="V105" s="11">
        <v>40725.449999999997</v>
      </c>
      <c r="W105" s="41">
        <f t="shared" si="50"/>
        <v>1.0096117541991134E-7</v>
      </c>
      <c r="X105" s="9">
        <f t="shared" si="51"/>
        <v>40725.449999999997</v>
      </c>
    </row>
    <row r="106" spans="1:24" hidden="1" x14ac:dyDescent="0.2">
      <c r="A106" s="35"/>
      <c r="B106" s="34"/>
      <c r="C106" s="33"/>
      <c r="D106" s="26"/>
      <c r="E106" s="33"/>
      <c r="F106" s="26"/>
      <c r="G106" s="32"/>
      <c r="I106" s="30"/>
      <c r="J106" s="31"/>
      <c r="K106"/>
      <c r="L106" s="30"/>
      <c r="M106" s="26"/>
      <c r="N106" s="16" t="s">
        <v>7</v>
      </c>
      <c r="O106" s="28"/>
      <c r="P106" s="26"/>
      <c r="Q106" s="28"/>
      <c r="R106" s="26"/>
      <c r="S106" s="24"/>
      <c r="T106" s="13" t="e">
        <f>VLOOKUP(C106,'[1]Análisis Acciones Comerciales'!A$14:G$113,7,0)</f>
        <v>#N/A</v>
      </c>
      <c r="U106" t="e">
        <f t="shared" si="40"/>
        <v>#N/A</v>
      </c>
      <c r="V106" s="26"/>
      <c r="W106" s="39"/>
      <c r="X106" s="24"/>
    </row>
    <row r="107" spans="1:24" hidden="1" x14ac:dyDescent="0.2">
      <c r="A107" s="23" t="s">
        <v>33</v>
      </c>
      <c r="B107" s="23" t="s">
        <v>32</v>
      </c>
      <c r="C107" s="38">
        <v>100022200</v>
      </c>
      <c r="D107" s="23" t="s">
        <v>31</v>
      </c>
      <c r="E107" s="37">
        <v>7790360027085</v>
      </c>
      <c r="F107" s="14">
        <v>3</v>
      </c>
      <c r="G107" s="18">
        <v>10</v>
      </c>
      <c r="I107" s="14">
        <f>+L107*1.55*1.21</f>
        <v>0</v>
      </c>
      <c r="J107" s="14">
        <f>+I107*0.8</f>
        <v>0</v>
      </c>
      <c r="K107"/>
      <c r="L107" s="14">
        <f>+IF(ISERROR(N107/G107),"",(N107/G107))</f>
        <v>0</v>
      </c>
      <c r="M107" s="14">
        <f>+IF(ISERROR(N107/F107),"",(N107/F107))</f>
        <v>0</v>
      </c>
      <c r="N107" s="16">
        <v>0</v>
      </c>
      <c r="O107" s="15"/>
      <c r="P107" s="14">
        <f>+IF(ISERROR(N107/(1-O107)),"",(N107/(1-O107)))</f>
        <v>0</v>
      </c>
      <c r="Q107" s="15"/>
      <c r="R107" s="14">
        <f>+IF(ISERROR(P107/(1-Q107)),"",(P107/(1-Q107)))</f>
        <v>0</v>
      </c>
      <c r="S107" s="14">
        <f>+IF(ISERROR(R107/G107),"",(R107/G107))</f>
        <v>0</v>
      </c>
      <c r="T107" s="13" t="e">
        <f>VLOOKUP(C107,'[1]Análisis Acciones Comerciales'!A$14:G$113,7,0)</f>
        <v>#N/A</v>
      </c>
      <c r="U107" t="e">
        <f t="shared" si="40"/>
        <v>#N/A</v>
      </c>
      <c r="V107" s="11" t="s">
        <v>7</v>
      </c>
      <c r="W107" s="40" t="str">
        <f>+IF(ISERROR(N107/V107-1),"",(N107/V107-1))</f>
        <v/>
      </c>
      <c r="X107" s="14" t="str">
        <f>+IF(ISERROR(V107*(1-O107)),"",(V107*(1-O107)))</f>
        <v/>
      </c>
    </row>
    <row r="108" spans="1:24" x14ac:dyDescent="0.2">
      <c r="A108" s="35"/>
      <c r="B108" s="34"/>
      <c r="C108" s="33"/>
      <c r="D108" s="26"/>
      <c r="E108" s="33"/>
      <c r="F108" s="26"/>
      <c r="G108" s="32"/>
      <c r="I108" s="30"/>
      <c r="J108" s="31"/>
      <c r="K108"/>
      <c r="L108" s="30"/>
      <c r="M108" s="26"/>
      <c r="N108" s="26" t="s">
        <v>7</v>
      </c>
      <c r="O108" s="28"/>
      <c r="P108" s="26"/>
      <c r="Q108" s="28"/>
      <c r="R108" s="26"/>
      <c r="S108" s="24"/>
      <c r="T108" s="13" t="e">
        <f>VLOOKUP(C108,'[1]Análisis Acciones Comerciales'!A$14:G$113,7,0)</f>
        <v>#N/A</v>
      </c>
      <c r="U108" t="e">
        <f t="shared" si="40"/>
        <v>#N/A</v>
      </c>
      <c r="V108" s="26" t="s">
        <v>7</v>
      </c>
      <c r="W108" s="39"/>
      <c r="X108" s="24" t="str">
        <f>+IF(ISERROR(V108*(1-O108)),"",(V108*(1-O108)))</f>
        <v/>
      </c>
    </row>
    <row r="109" spans="1:24" hidden="1" x14ac:dyDescent="0.2">
      <c r="A109" s="23" t="s">
        <v>29</v>
      </c>
      <c r="B109" s="23" t="s">
        <v>28</v>
      </c>
      <c r="C109" s="38">
        <v>100516219</v>
      </c>
      <c r="D109" s="23" t="s">
        <v>30</v>
      </c>
      <c r="E109" s="37">
        <v>7790360967770</v>
      </c>
      <c r="F109" s="14">
        <v>10</v>
      </c>
      <c r="G109" s="18">
        <v>25</v>
      </c>
      <c r="I109" s="14">
        <f>+L109*1.55*1.21</f>
        <v>0</v>
      </c>
      <c r="J109" s="14">
        <f>+I109*0.8</f>
        <v>0</v>
      </c>
      <c r="K109"/>
      <c r="L109" s="14">
        <f>+IF(ISERROR(N109/G109),"",(N109/G109))</f>
        <v>0</v>
      </c>
      <c r="M109" s="14">
        <f>+IF(ISERROR(N109/F109),"",(N109/F109))</f>
        <v>0</v>
      </c>
      <c r="N109" s="16">
        <v>0</v>
      </c>
      <c r="O109" s="15"/>
      <c r="P109" s="14">
        <f>+IF(ISERROR(N109/(1-O109)),"",(N109/(1-O109)))</f>
        <v>0</v>
      </c>
      <c r="Q109" s="15"/>
      <c r="R109" s="14">
        <f>+IF(ISERROR(P109/(1-Q109)),"",(P109/(1-Q109)))</f>
        <v>0</v>
      </c>
      <c r="S109" s="14">
        <f>+IF(ISERROR(R109/G109),"",(R109/G109))</f>
        <v>0</v>
      </c>
      <c r="T109" s="13" t="e">
        <f>VLOOKUP(C109,'[1]Análisis Acciones Comerciales'!A$14:G$113,7,0)</f>
        <v>#N/A</v>
      </c>
      <c r="U109" t="e">
        <f t="shared" si="40"/>
        <v>#N/A</v>
      </c>
      <c r="V109" s="11" t="s">
        <v>7</v>
      </c>
      <c r="W109" s="40" t="str">
        <f>+IF(ISERROR(N109/V109-1),"",(N109/V109-1))</f>
        <v/>
      </c>
      <c r="X109" s="14" t="str">
        <f>+IF(ISERROR(V109*(1-O109)),"",(V109*(1-O109)))</f>
        <v/>
      </c>
    </row>
    <row r="110" spans="1:24" hidden="1" x14ac:dyDescent="0.2">
      <c r="A110" s="23" t="s">
        <v>29</v>
      </c>
      <c r="B110" s="23" t="s">
        <v>28</v>
      </c>
      <c r="C110" s="38">
        <v>100516220</v>
      </c>
      <c r="D110" s="23" t="s">
        <v>27</v>
      </c>
      <c r="E110" s="37">
        <v>7790360967787</v>
      </c>
      <c r="F110" s="14">
        <v>12</v>
      </c>
      <c r="G110" s="18">
        <v>6</v>
      </c>
      <c r="I110" s="14">
        <f>+L110*1.55*1.21</f>
        <v>0</v>
      </c>
      <c r="J110" s="14">
        <f>+I110*0.8</f>
        <v>0</v>
      </c>
      <c r="K110"/>
      <c r="L110" s="14">
        <f>+IF(ISERROR(N110/G110),"",(N110/G110))</f>
        <v>0</v>
      </c>
      <c r="M110" s="14">
        <f>+IF(ISERROR(N110/F110),"",(N110/F110))</f>
        <v>0</v>
      </c>
      <c r="N110" s="16">
        <v>0</v>
      </c>
      <c r="O110" s="15"/>
      <c r="P110" s="14">
        <f>+IF(ISERROR(N110/(1-O110)),"",(N110/(1-O110)))</f>
        <v>0</v>
      </c>
      <c r="Q110" s="15"/>
      <c r="R110" s="14">
        <f>+IF(ISERROR(P110/(1-Q110)),"",(P110/(1-Q110)))</f>
        <v>0</v>
      </c>
      <c r="S110" s="14">
        <f>+IF(ISERROR(R110/G110),"",(R110/G110))</f>
        <v>0</v>
      </c>
      <c r="T110" s="13" t="e">
        <f>VLOOKUP(C110,'[1]Análisis Acciones Comerciales'!A$14:G$113,7,0)</f>
        <v>#N/A</v>
      </c>
      <c r="U110" t="e">
        <f t="shared" si="40"/>
        <v>#N/A</v>
      </c>
      <c r="V110" s="11" t="s">
        <v>7</v>
      </c>
      <c r="W110" s="40" t="str">
        <f>+IF(ISERROR(N110/V110-1),"",(N110/V110-1))</f>
        <v/>
      </c>
      <c r="X110" s="14" t="str">
        <f>+IF(ISERROR(V110*(1-O110)),"",(V110*(1-O110)))</f>
        <v/>
      </c>
    </row>
    <row r="111" spans="1:24" hidden="1" x14ac:dyDescent="0.2">
      <c r="A111" s="35"/>
      <c r="B111" s="34"/>
      <c r="C111" s="33"/>
      <c r="D111" s="26"/>
      <c r="E111" s="33"/>
      <c r="F111" s="26"/>
      <c r="G111" s="32"/>
      <c r="I111" s="30"/>
      <c r="J111" s="31"/>
      <c r="K111"/>
      <c r="L111" s="30"/>
      <c r="M111" s="26"/>
      <c r="N111" s="16" t="s">
        <v>7</v>
      </c>
      <c r="O111" s="28"/>
      <c r="P111" s="26"/>
      <c r="Q111" s="28"/>
      <c r="R111" s="26"/>
      <c r="S111" s="24"/>
      <c r="T111" s="13" t="e">
        <f>VLOOKUP(C111,'[1]Análisis Acciones Comerciales'!A$14:G$113,7,0)</f>
        <v>#N/A</v>
      </c>
      <c r="U111" t="e">
        <f t="shared" si="40"/>
        <v>#N/A</v>
      </c>
      <c r="V111" s="26"/>
      <c r="W111" s="39"/>
      <c r="X111" s="24"/>
    </row>
    <row r="112" spans="1:24" x14ac:dyDescent="0.2">
      <c r="A112" s="23" t="s">
        <v>24</v>
      </c>
      <c r="B112" s="23" t="s">
        <v>24</v>
      </c>
      <c r="C112" s="38">
        <v>100518158</v>
      </c>
      <c r="D112" s="23" t="s">
        <v>26</v>
      </c>
      <c r="E112" s="37">
        <v>7790360974280</v>
      </c>
      <c r="F112" s="14">
        <v>12</v>
      </c>
      <c r="G112" s="18">
        <v>24</v>
      </c>
      <c r="I112" s="14">
        <f>+S112*1.55*1.21</f>
        <v>6083.4375000000018</v>
      </c>
      <c r="J112" s="14">
        <f>+I112*0.8</f>
        <v>4866.7500000000018</v>
      </c>
      <c r="K112"/>
      <c r="L112" s="14">
        <f>+IF(ISERROR(N112/G112),"",(N112/G112))</f>
        <v>3243.6350306584918</v>
      </c>
      <c r="M112" s="14">
        <f>+IF(ISERROR(N112/F112),"",(N112/F112))</f>
        <v>6487.2700613169836</v>
      </c>
      <c r="N112" s="16">
        <v>77847.240735803804</v>
      </c>
      <c r="O112" s="15"/>
      <c r="P112" s="14">
        <f>+IF(ISERROR(N112/(1-O112)),"",(N112/(1-O112)))</f>
        <v>77847.240735803804</v>
      </c>
      <c r="Q112" s="15"/>
      <c r="R112" s="14">
        <f>+IF(ISERROR(P112/(1-Q112)),"",(P112/(1-Q112)))</f>
        <v>77847.240735803804</v>
      </c>
      <c r="S112" s="14">
        <f>+IF(ISERROR(R112/G112),"",(R112/G112))</f>
        <v>3243.6350306584918</v>
      </c>
      <c r="T112" s="13">
        <f>VLOOKUP(C112,'[1]Análisis Acciones Comerciales'!A$14:G$113,7,0)</f>
        <v>77847.242207411429</v>
      </c>
      <c r="U112">
        <f t="shared" si="40"/>
        <v>-1.8903786536128564E-8</v>
      </c>
      <c r="V112" s="11">
        <v>77847.240000000005</v>
      </c>
      <c r="W112" s="40">
        <f>+IF(ISERROR(N112/V112-1),"",(N112/V112-1))</f>
        <v>9.451893268064282E-9</v>
      </c>
      <c r="X112" s="14">
        <f>+IF(ISERROR(V112*(1-O112)),"",(V112*(1-O112)))</f>
        <v>77847.240000000005</v>
      </c>
    </row>
    <row r="113" spans="1:24" x14ac:dyDescent="0.2">
      <c r="A113" s="23" t="s">
        <v>24</v>
      </c>
      <c r="B113" s="23" t="s">
        <v>24</v>
      </c>
      <c r="C113" s="38">
        <v>100518160</v>
      </c>
      <c r="D113" s="23" t="s">
        <v>25</v>
      </c>
      <c r="E113" s="37">
        <v>7790360974686</v>
      </c>
      <c r="F113" s="14">
        <v>12</v>
      </c>
      <c r="G113" s="18">
        <v>12</v>
      </c>
      <c r="I113" s="14">
        <f t="shared" ref="I113:I114" si="57">+S113*1.55*1.21</f>
        <v>12166.875000000004</v>
      </c>
      <c r="J113" s="14">
        <f>+I113*0.8</f>
        <v>9733.5000000000036</v>
      </c>
      <c r="K113"/>
      <c r="L113" s="14">
        <f>+IF(ISERROR(N113/G113),"",(N113/G113))</f>
        <v>6487.2700613169836</v>
      </c>
      <c r="M113" s="14">
        <f>+IF(ISERROR(N113/F113),"",(N113/F113))</f>
        <v>6487.2700613169836</v>
      </c>
      <c r="N113" s="16">
        <v>77847.240735803804</v>
      </c>
      <c r="O113" s="15"/>
      <c r="P113" s="14">
        <f>+IF(ISERROR(N113/(1-O113)),"",(N113/(1-O113)))</f>
        <v>77847.240735803804</v>
      </c>
      <c r="Q113" s="15"/>
      <c r="R113" s="14">
        <f>+IF(ISERROR(P113/(1-Q113)),"",(P113/(1-Q113)))</f>
        <v>77847.240735803804</v>
      </c>
      <c r="S113" s="14">
        <f>+IF(ISERROR(R113/G113),"",(R113/G113))</f>
        <v>6487.2700613169836</v>
      </c>
      <c r="T113" s="13">
        <f>VLOOKUP(C113,'[1]Análisis Acciones Comerciales'!A$14:G$113,7,0)</f>
        <v>77847.242207411429</v>
      </c>
      <c r="U113">
        <f t="shared" si="40"/>
        <v>-1.8903786536128564E-8</v>
      </c>
      <c r="V113" s="11">
        <v>77847.240000000005</v>
      </c>
      <c r="W113" s="40">
        <f>+IF(ISERROR(N113/V113-1),"",(N113/V113-1))</f>
        <v>9.451893268064282E-9</v>
      </c>
      <c r="X113" s="14">
        <f>+IF(ISERROR(V113*(1-O113)),"",(V113*(1-O113)))</f>
        <v>77847.240000000005</v>
      </c>
    </row>
    <row r="114" spans="1:24" x14ac:dyDescent="0.2">
      <c r="A114" s="23" t="s">
        <v>24</v>
      </c>
      <c r="B114" s="23" t="s">
        <v>24</v>
      </c>
      <c r="C114" s="38">
        <v>100518463</v>
      </c>
      <c r="D114" s="23" t="s">
        <v>23</v>
      </c>
      <c r="E114" s="37">
        <v>7790360975188</v>
      </c>
      <c r="F114" s="14">
        <v>5</v>
      </c>
      <c r="G114" s="18">
        <v>1</v>
      </c>
      <c r="I114" s="14">
        <f t="shared" si="57"/>
        <v>71108.799814335958</v>
      </c>
      <c r="J114" s="14">
        <f>+I114*0.8</f>
        <v>56887.039851468769</v>
      </c>
      <c r="K114"/>
      <c r="L114" s="14">
        <f>+IF(ISERROR(N114/G114),"",(N114/G114))</f>
        <v>37914.58267893146</v>
      </c>
      <c r="M114" s="14">
        <f>+IF(ISERROR(N114/F114),"",(N114/F114))</f>
        <v>7582.9165357862921</v>
      </c>
      <c r="N114" s="16">
        <v>37914.58267893146</v>
      </c>
      <c r="O114" s="15"/>
      <c r="P114" s="14">
        <f>+IF(ISERROR(N114/(1-O114)),"",(N114/(1-O114)))</f>
        <v>37914.58267893146</v>
      </c>
      <c r="Q114" s="15"/>
      <c r="R114" s="14">
        <f>+IF(ISERROR(P114/(1-Q114)),"",(P114/(1-Q114)))</f>
        <v>37914.58267893146</v>
      </c>
      <c r="S114" s="14">
        <f>+IF(ISERROR(R114/G114),"",(R114/G114))</f>
        <v>37914.58267893146</v>
      </c>
      <c r="T114" s="13">
        <f>VLOOKUP(C114,'[1]Análisis Acciones Comerciales'!A$14:G$113,7,0)</f>
        <v>37914.588036794943</v>
      </c>
      <c r="U114">
        <f t="shared" si="40"/>
        <v>-1.4131405667860975E-7</v>
      </c>
      <c r="V114" s="11">
        <v>37914.58</v>
      </c>
      <c r="W114" s="40">
        <f>+IF(ISERROR(N114/V114-1),"",(N114/V114-1))</f>
        <v>7.0657025785791916E-8</v>
      </c>
      <c r="X114" s="14">
        <f>+IF(ISERROR(V114*(1-O114)),"",(V114*(1-O114)))</f>
        <v>37914.58</v>
      </c>
    </row>
    <row r="115" spans="1:24" x14ac:dyDescent="0.2">
      <c r="A115" s="35"/>
      <c r="B115" s="34"/>
      <c r="C115" s="33"/>
      <c r="D115" s="26"/>
      <c r="E115" s="33"/>
      <c r="F115" s="26"/>
      <c r="G115" s="32"/>
      <c r="I115" s="30"/>
      <c r="J115" s="31"/>
      <c r="K115"/>
      <c r="L115" s="30"/>
      <c r="M115" s="26"/>
      <c r="N115" s="26" t="s">
        <v>7</v>
      </c>
      <c r="O115" s="28"/>
      <c r="P115" s="26"/>
      <c r="Q115" s="28"/>
      <c r="R115" s="26"/>
      <c r="S115" s="24"/>
      <c r="T115" s="13" t="e">
        <f>VLOOKUP(C115,'[1]Análisis Acciones Comerciales'!A$14:G$113,7,0)</f>
        <v>#N/A</v>
      </c>
      <c r="U115" t="e">
        <f t="shared" si="40"/>
        <v>#N/A</v>
      </c>
      <c r="V115" s="26"/>
      <c r="W115" s="39"/>
      <c r="X115" s="24"/>
    </row>
    <row r="116" spans="1:24" x14ac:dyDescent="0.2">
      <c r="A116" s="23"/>
      <c r="B116" s="23"/>
      <c r="C116" s="38">
        <v>100518291</v>
      </c>
      <c r="D116" s="23" t="s">
        <v>22</v>
      </c>
      <c r="E116" s="37">
        <v>7790360975195</v>
      </c>
      <c r="F116" s="14">
        <v>5</v>
      </c>
      <c r="G116" s="18">
        <v>10</v>
      </c>
      <c r="I116" s="14">
        <f>+S116*1.55*1.21</f>
        <v>2490.2643515586201</v>
      </c>
      <c r="J116" s="14">
        <f>+I116*0.8</f>
        <v>1992.2114812468963</v>
      </c>
      <c r="K116"/>
      <c r="L116" s="14">
        <f>+IF(ISERROR(N116/G116),"",(N116/G116))</f>
        <v>1562.102248221569</v>
      </c>
      <c r="M116" s="14">
        <f>+IF(ISERROR(N116/F116),"",(N116/F116))</f>
        <v>3124.2044964431379</v>
      </c>
      <c r="N116" s="16">
        <v>15621.022482215691</v>
      </c>
      <c r="O116" s="15"/>
      <c r="P116" s="14">
        <f>+IF(ISERROR(N116/(1-O116)),"",(N116/(1-O116)))</f>
        <v>15621.022482215691</v>
      </c>
      <c r="Q116" s="104">
        <v>0.15</v>
      </c>
      <c r="R116" s="103">
        <f>IF(ISERROR(P116-(P116*Q116)),0,+P116-(P116*Q116))</f>
        <v>13277.869109883337</v>
      </c>
      <c r="S116" s="14">
        <f>+IF(ISERROR(R116/G116),"",(R116/G116))</f>
        <v>1327.7869109883336</v>
      </c>
      <c r="T116" s="13">
        <f>VLOOKUP(C116,'[1]Análisis Acciones Comerciales'!A$14:G$113,7,0)</f>
        <v>13277.873329651016</v>
      </c>
      <c r="U116">
        <f t="shared" si="40"/>
        <v>0.14999972986610288</v>
      </c>
      <c r="V116" s="11">
        <v>15621.02</v>
      </c>
      <c r="W116" s="40">
        <f>+IF(ISERROR(N116/V116-1),"",(N116/V116-1))</f>
        <v>1.5890227977877203E-7</v>
      </c>
      <c r="X116" s="14">
        <f>+IF(ISERROR(V116*(1-O116)),"",(V116*(1-O116)))</f>
        <v>15621.02</v>
      </c>
    </row>
    <row r="117" spans="1:24" x14ac:dyDescent="0.2">
      <c r="A117" s="23"/>
      <c r="B117" s="23"/>
      <c r="C117" s="38">
        <v>100518292</v>
      </c>
      <c r="D117" s="23" t="s">
        <v>21</v>
      </c>
      <c r="E117" s="37">
        <v>7790360975201</v>
      </c>
      <c r="F117" s="14">
        <v>12</v>
      </c>
      <c r="G117" s="18">
        <v>12</v>
      </c>
      <c r="I117" s="14">
        <f>+S117*1.55*1.21</f>
        <v>4896.7794000940812</v>
      </c>
      <c r="J117" s="14">
        <f>+I117*0.8</f>
        <v>3917.4235200752651</v>
      </c>
      <c r="K117"/>
      <c r="L117" s="14">
        <f>+IF(ISERROR(N117/G117),"",(N117/G117))</f>
        <v>3071.6699233735822</v>
      </c>
      <c r="M117" s="14">
        <f>+IF(ISERROR(N117/F117),"",(N117/F117))</f>
        <v>3071.6699233735822</v>
      </c>
      <c r="N117" s="16">
        <v>36860.039080482988</v>
      </c>
      <c r="O117" s="15"/>
      <c r="P117" s="14">
        <f>+IF(ISERROR(N117/(1-O117)),"",(N117/(1-O117)))</f>
        <v>36860.039080482988</v>
      </c>
      <c r="Q117" s="104">
        <v>0.15</v>
      </c>
      <c r="R117" s="103">
        <f>IF(ISERROR(P117-(P117*Q117)),0,+P117-(P117*Q117))</f>
        <v>31331.033218410539</v>
      </c>
      <c r="S117" s="14">
        <f>+IF(ISERROR(R117/G117),"",(R117/G117))</f>
        <v>2610.9194348675451</v>
      </c>
      <c r="T117" s="13">
        <f>VLOOKUP(C117,'[1]Análisis Acciones Comerciales'!A$14:G$113,7,0)</f>
        <v>31331.031655231676</v>
      </c>
      <c r="U117">
        <f t="shared" si="40"/>
        <v>0.15000004240849718</v>
      </c>
      <c r="V117" s="11">
        <v>36860.04</v>
      </c>
      <c r="W117" s="40">
        <f>+IF(ISERROR(N117/V117-1),"",(N117/V117-1))</f>
        <v>-2.4946175125606374E-8</v>
      </c>
      <c r="X117" s="14">
        <f>+IF(ISERROR(V117*(1-O117)),"",(V117*(1-O117)))</f>
        <v>36860.04</v>
      </c>
    </row>
    <row r="118" spans="1:24" x14ac:dyDescent="0.2">
      <c r="A118" s="35"/>
      <c r="B118" s="34"/>
      <c r="C118" s="33"/>
      <c r="D118" s="26"/>
      <c r="E118" s="33"/>
      <c r="F118" s="26"/>
      <c r="G118" s="32"/>
      <c r="I118" s="30"/>
      <c r="J118" s="31"/>
      <c r="K118"/>
      <c r="L118" s="30"/>
      <c r="M118" s="26"/>
      <c r="N118" s="26" t="s">
        <v>7</v>
      </c>
      <c r="O118" s="28"/>
      <c r="P118" s="26"/>
      <c r="Q118" s="28"/>
      <c r="R118" s="26"/>
      <c r="S118" s="24"/>
      <c r="T118" s="13" t="e">
        <f>VLOOKUP(C118,'[1]Análisis Acciones Comerciales'!A$14:G$113,7,0)</f>
        <v>#N/A</v>
      </c>
      <c r="U118" t="e">
        <f t="shared" si="40"/>
        <v>#N/A</v>
      </c>
      <c r="V118" s="26"/>
      <c r="W118" s="39"/>
      <c r="X118" s="24"/>
    </row>
    <row r="119" spans="1:24" x14ac:dyDescent="0.2">
      <c r="A119" s="23" t="s">
        <v>19</v>
      </c>
      <c r="B119" s="23" t="s">
        <v>19</v>
      </c>
      <c r="C119" s="38">
        <v>100517915</v>
      </c>
      <c r="D119" s="23" t="s">
        <v>20</v>
      </c>
      <c r="E119" s="37">
        <v>7790360974020</v>
      </c>
      <c r="F119" s="14">
        <v>18</v>
      </c>
      <c r="G119" s="18">
        <v>36</v>
      </c>
      <c r="I119" s="14">
        <f>IFERROR(S119*(1+$I$121)*1.105,)</f>
        <v>6524.0117231851855</v>
      </c>
      <c r="J119" s="14">
        <f>+I119*0.9</f>
        <v>5871.6105508666669</v>
      </c>
      <c r="K119"/>
      <c r="L119" s="14">
        <f>+IF(ISERROR(N119/G119),"",(N119/G119))</f>
        <v>4428.0622555555556</v>
      </c>
      <c r="M119" s="14">
        <f>+IF(ISERROR(N119/F119),"",(N119/F119))</f>
        <v>8856.1245111111111</v>
      </c>
      <c r="N119" s="16">
        <v>159410.24119999999</v>
      </c>
      <c r="O119" s="15"/>
      <c r="P119" s="14">
        <f>+IF(ISERROR(N119/(1-O119)),"",(N119/(1-O119)))</f>
        <v>159410.24119999999</v>
      </c>
      <c r="Q119" s="15"/>
      <c r="R119" s="14">
        <f>+IF(ISERROR(P119/(1-Q119)),"",(P119/(1-Q119)))</f>
        <v>159410.24119999999</v>
      </c>
      <c r="S119" s="14">
        <f>+IF(ISERROR(R119/G119),"",(R119/G119))</f>
        <v>4428.0622555555556</v>
      </c>
      <c r="T119" s="13">
        <f>VLOOKUP(C119,'[1]Análisis Acciones Comerciales'!A$14:G$113,7,0)*1.06</f>
        <v>159410.24474861511</v>
      </c>
      <c r="U119" s="12">
        <f t="shared" si="40"/>
        <v>-2.2260898013826136E-8</v>
      </c>
      <c r="V119" s="11">
        <v>150387.01999999999</v>
      </c>
      <c r="W119" s="15">
        <f>+IF(ISERROR(N119/V119-1),"",(N119/V119-1))</f>
        <v>6.0000000000000053E-2</v>
      </c>
      <c r="X119" s="14">
        <f>+IF(ISERROR(V119*(1-O119)),"",(V119*(1-O119)))</f>
        <v>150387.01999999999</v>
      </c>
    </row>
    <row r="120" spans="1:24" x14ac:dyDescent="0.2">
      <c r="A120" s="23" t="s">
        <v>19</v>
      </c>
      <c r="B120" s="23" t="s">
        <v>19</v>
      </c>
      <c r="C120" s="38">
        <v>100517914</v>
      </c>
      <c r="D120" s="23" t="s">
        <v>18</v>
      </c>
      <c r="E120" s="37">
        <v>7790360974037</v>
      </c>
      <c r="F120" s="14">
        <v>20</v>
      </c>
      <c r="G120" s="18">
        <v>20</v>
      </c>
      <c r="I120" s="14">
        <f>IFERROR(S120*(1+$I$121)*1.105,)</f>
        <v>12814.463970533334</v>
      </c>
      <c r="J120" s="14">
        <f>+I120*0.9</f>
        <v>11533.017573480001</v>
      </c>
      <c r="K120"/>
      <c r="L120" s="14">
        <f>+IF(ISERROR(N120/G120),"",(N120/G120))</f>
        <v>8697.5999800000009</v>
      </c>
      <c r="M120" s="14">
        <f>+IF(ISERROR(N120/F120),"",(N120/F120))</f>
        <v>8697.5999800000009</v>
      </c>
      <c r="N120" s="16">
        <v>173951.99960000001</v>
      </c>
      <c r="O120" s="15"/>
      <c r="P120" s="14">
        <f>+IF(ISERROR(N120/(1-O120)),"",(N120/(1-O120)))</f>
        <v>173951.99960000001</v>
      </c>
      <c r="Q120" s="15"/>
      <c r="R120" s="14">
        <f>+IF(ISERROR(P120/(1-Q120)),"",(P120/(1-Q120)))</f>
        <v>173951.99960000001</v>
      </c>
      <c r="S120" s="14">
        <f>+IF(ISERROR(R120/G120),"",(R120/G120))</f>
        <v>8697.5999800000009</v>
      </c>
      <c r="T120" s="13">
        <f>VLOOKUP(C120,'[1]Análisis Acciones Comerciales'!A$14:G$113,7,0)*1.06</f>
        <v>173951.98727485043</v>
      </c>
      <c r="U120" s="12">
        <f t="shared" si="40"/>
        <v>7.0853738987075587E-8</v>
      </c>
      <c r="V120" s="11">
        <v>164105.66</v>
      </c>
      <c r="W120" s="15">
        <f>+IF(ISERROR(N120/V120-1),"",(N120/V120-1))</f>
        <v>6.0000000000000053E-2</v>
      </c>
      <c r="X120" s="14">
        <f>+IF(ISERROR(V120*(1-O120)),"",(V120*(1-O120)))</f>
        <v>164105.66</v>
      </c>
    </row>
    <row r="121" spans="1:24" x14ac:dyDescent="0.2">
      <c r="A121" s="35"/>
      <c r="B121" s="34"/>
      <c r="C121" s="33"/>
      <c r="D121" s="26"/>
      <c r="E121" s="33"/>
      <c r="F121" s="26"/>
      <c r="G121" s="32"/>
      <c r="I121" s="36">
        <v>0.33333333333333331</v>
      </c>
      <c r="J121" s="31"/>
      <c r="K121"/>
      <c r="L121" s="30"/>
      <c r="M121" s="26"/>
      <c r="N121" s="29" t="s">
        <v>7</v>
      </c>
      <c r="O121" s="28"/>
      <c r="P121" s="26"/>
      <c r="Q121" s="28"/>
      <c r="R121" s="26"/>
      <c r="S121" s="24"/>
      <c r="T121" s="13" t="e">
        <f>VLOOKUP(C121,'[1]Análisis Acciones Comerciales'!A$14:G$113,7,0)</f>
        <v>#N/A</v>
      </c>
      <c r="U121" t="e">
        <f t="shared" si="40"/>
        <v>#N/A</v>
      </c>
      <c r="V121" s="26"/>
      <c r="W121" s="25"/>
      <c r="X121" s="24"/>
    </row>
    <row r="122" spans="1:24" x14ac:dyDescent="0.2">
      <c r="A122" s="23"/>
      <c r="B122" s="21"/>
      <c r="C122" s="22">
        <v>100010689</v>
      </c>
      <c r="D122" s="21" t="s">
        <v>17</v>
      </c>
      <c r="E122" s="20"/>
      <c r="F122" s="19">
        <v>22</v>
      </c>
      <c r="G122" s="18">
        <v>1</v>
      </c>
      <c r="H122" s="17"/>
      <c r="I122" s="14">
        <f>IFERROR(S122*(1+$I$121)*1.105,)</f>
        <v>27091.671749999998</v>
      </c>
      <c r="J122" s="14">
        <f>+I122*0.9</f>
        <v>24382.504574999999</v>
      </c>
      <c r="K122"/>
      <c r="L122" s="14">
        <f>+IF(ISERROR(N122/G122),"",(N122/G122))</f>
        <v>18388.012500000001</v>
      </c>
      <c r="M122" s="14">
        <f>+IF(ISERROR(N122/G122),"",(N122/G122))</f>
        <v>18388.012500000001</v>
      </c>
      <c r="N122" s="16">
        <v>18388.012500000001</v>
      </c>
      <c r="O122" s="15"/>
      <c r="P122" s="14">
        <f>+IF(ISERROR(N122/(1-O122)),"",(N122/(1-O122)))</f>
        <v>18388.012500000001</v>
      </c>
      <c r="Q122" s="15"/>
      <c r="R122" s="14">
        <f>+IF(ISERROR(P122/(1-Q122)),"",(P122/(1-Q122)))</f>
        <v>18388.012500000001</v>
      </c>
      <c r="S122" s="14">
        <f>+IF(ISERROR(R122/G122),"",(R122/G122))</f>
        <v>18388.012500000001</v>
      </c>
      <c r="T122" s="13" t="e">
        <f>VLOOKUP(C122,'[1]Análisis Acciones Comerciales'!A$14:G$113,7,0)</f>
        <v>#N/A</v>
      </c>
      <c r="U122" t="e">
        <f t="shared" si="40"/>
        <v>#N/A</v>
      </c>
      <c r="V122" s="11">
        <v>18388.009999999998</v>
      </c>
      <c r="W122" s="15">
        <f>+IF(ISERROR(N122/V122-1),"",(N122/V122-1))</f>
        <v>1.3595815984146498E-7</v>
      </c>
      <c r="X122" s="14">
        <f>+IF(ISERROR(V122*(1-O122)),"",(V122*(1-O122)))</f>
        <v>18388.009999999998</v>
      </c>
    </row>
    <row r="123" spans="1:24" x14ac:dyDescent="0.2">
      <c r="A123" s="23"/>
      <c r="B123" s="21"/>
      <c r="C123" s="22">
        <v>100518335</v>
      </c>
      <c r="D123" s="21" t="s">
        <v>16</v>
      </c>
      <c r="E123" s="20"/>
      <c r="F123" s="19">
        <v>22.5</v>
      </c>
      <c r="G123" s="18">
        <v>1</v>
      </c>
      <c r="H123" s="17"/>
      <c r="I123" s="14">
        <f t="shared" ref="I123:I126" si="58">IFERROR(S123*(1+$I$121)*1.105,)</f>
        <v>17160.644474999997</v>
      </c>
      <c r="J123" s="14">
        <f>+I123*0.9</f>
        <v>15444.580027499998</v>
      </c>
      <c r="K123"/>
      <c r="L123" s="14">
        <f>+IF(ISERROR(N123/G123),"",(N123/G123))</f>
        <v>11647.496249999998</v>
      </c>
      <c r="M123" s="14">
        <f>+IF(ISERROR(N123/G123),"",(N123/G123))</f>
        <v>11647.496249999998</v>
      </c>
      <c r="N123" s="16">
        <v>11647.496249999998</v>
      </c>
      <c r="O123" s="15"/>
      <c r="P123" s="14">
        <f>+IF(ISERROR(N123/(1-O123)),"",(N123/(1-O123)))</f>
        <v>11647.496249999998</v>
      </c>
      <c r="Q123" s="15"/>
      <c r="R123" s="14">
        <f>+IF(ISERROR(P123/(1-Q123)),"",(P123/(1-Q123)))</f>
        <v>11647.496249999998</v>
      </c>
      <c r="S123" s="14">
        <f>+IF(ISERROR(R123/G123),"",(R123/G123))</f>
        <v>11647.496249999998</v>
      </c>
      <c r="T123" s="13" t="e">
        <f>VLOOKUP(C123,'[1]Análisis Acciones Comerciales'!A$14:G$113,7,0)</f>
        <v>#N/A</v>
      </c>
      <c r="U123" t="e">
        <f t="shared" si="40"/>
        <v>#N/A</v>
      </c>
      <c r="V123" s="11">
        <v>11647.5</v>
      </c>
      <c r="W123" s="15">
        <f>+IF(ISERROR(N123/V123-1),"",(N123/V123-1))</f>
        <v>-3.2195750176988724E-7</v>
      </c>
      <c r="X123" s="14">
        <f>+IF(ISERROR(V123*(1-O123)),"",(V123*(1-O123)))</f>
        <v>11647.5</v>
      </c>
    </row>
    <row r="124" spans="1:24" x14ac:dyDescent="0.2">
      <c r="A124" s="23"/>
      <c r="B124" s="21"/>
      <c r="C124" s="22">
        <v>100518332</v>
      </c>
      <c r="D124" s="21" t="s">
        <v>15</v>
      </c>
      <c r="E124" s="20"/>
      <c r="F124" s="19">
        <v>21.5</v>
      </c>
      <c r="G124" s="18">
        <v>1</v>
      </c>
      <c r="H124" s="17"/>
      <c r="I124" s="14">
        <f t="shared" si="58"/>
        <v>18467.715825000003</v>
      </c>
      <c r="J124" s="14">
        <f>+I124*0.9</f>
        <v>16620.944242500002</v>
      </c>
      <c r="K124"/>
      <c r="L124" s="14">
        <f>+IF(ISERROR(N124/G124),"",(N124/G124))</f>
        <v>12534.648750000002</v>
      </c>
      <c r="M124" s="14">
        <f>+IF(ISERROR(N124/G124),"",(N124/G124))</f>
        <v>12534.648750000002</v>
      </c>
      <c r="N124" s="16">
        <v>12534.648750000002</v>
      </c>
      <c r="O124" s="15"/>
      <c r="P124" s="14">
        <f>+IF(ISERROR(N124/(1-O124)),"",(N124/(1-O124)))</f>
        <v>12534.648750000002</v>
      </c>
      <c r="Q124" s="15"/>
      <c r="R124" s="14">
        <f>+IF(ISERROR(P124/(1-Q124)),"",(P124/(1-Q124)))</f>
        <v>12534.648750000002</v>
      </c>
      <c r="S124" s="14">
        <f>+IF(ISERROR(R124/G124),"",(R124/G124))</f>
        <v>12534.648750000002</v>
      </c>
      <c r="T124" s="13" t="e">
        <f>VLOOKUP(C124,'[1]Análisis Acciones Comerciales'!A$14:G$113,7,0)</f>
        <v>#N/A</v>
      </c>
      <c r="U124" t="e">
        <f t="shared" si="40"/>
        <v>#N/A</v>
      </c>
      <c r="V124" s="11">
        <v>12534.65</v>
      </c>
      <c r="W124" s="15">
        <f>+IF(ISERROR(N124/V124-1),"",(N124/V124-1))</f>
        <v>-9.972356607157451E-8</v>
      </c>
      <c r="X124" s="14">
        <f>+IF(ISERROR(V124*(1-O124)),"",(V124*(1-O124)))</f>
        <v>12534.65</v>
      </c>
    </row>
    <row r="125" spans="1:24" x14ac:dyDescent="0.2">
      <c r="A125" s="23"/>
      <c r="B125" s="21"/>
      <c r="C125" s="22">
        <v>100518334</v>
      </c>
      <c r="D125" s="21" t="s">
        <v>14</v>
      </c>
      <c r="E125" s="20"/>
      <c r="F125" s="19">
        <v>22.5</v>
      </c>
      <c r="G125" s="18">
        <v>1</v>
      </c>
      <c r="H125" s="17"/>
      <c r="I125" s="14">
        <f t="shared" si="58"/>
        <v>15200.037449999998</v>
      </c>
      <c r="J125" s="14">
        <f>+I125*0.9</f>
        <v>13680.033704999998</v>
      </c>
      <c r="K125"/>
      <c r="L125" s="14">
        <f>+IF(ISERROR(N125/G125),"",(N125/G125))</f>
        <v>10316.7675</v>
      </c>
      <c r="M125" s="14">
        <f>+IF(ISERROR(N125/G125),"",(N125/G125))</f>
        <v>10316.7675</v>
      </c>
      <c r="N125" s="16">
        <v>10316.7675</v>
      </c>
      <c r="O125" s="15"/>
      <c r="P125" s="14">
        <f>+IF(ISERROR(N125/(1-O125)),"",(N125/(1-O125)))</f>
        <v>10316.7675</v>
      </c>
      <c r="Q125" s="15"/>
      <c r="R125" s="14">
        <f>+IF(ISERROR(P125/(1-Q125)),"",(P125/(1-Q125)))</f>
        <v>10316.7675</v>
      </c>
      <c r="S125" s="14">
        <f>+IF(ISERROR(R125/G125),"",(R125/G125))</f>
        <v>10316.7675</v>
      </c>
      <c r="T125" s="13" t="e">
        <f>VLOOKUP(C125,'[1]Análisis Acciones Comerciales'!A$14:G$113,7,0)</f>
        <v>#N/A</v>
      </c>
      <c r="U125" t="e">
        <f t="shared" si="40"/>
        <v>#N/A</v>
      </c>
      <c r="V125" s="11">
        <v>10316.77</v>
      </c>
      <c r="W125" s="15">
        <f>+IF(ISERROR(N125/V125-1),"",(N125/V125-1))</f>
        <v>-2.4232390571921059E-7</v>
      </c>
      <c r="X125" s="14">
        <f>+IF(ISERROR(V125*(1-O125)),"",(V125*(1-O125)))</f>
        <v>10316.77</v>
      </c>
    </row>
    <row r="126" spans="1:24" x14ac:dyDescent="0.2">
      <c r="A126" s="23"/>
      <c r="B126" s="21"/>
      <c r="C126" s="22">
        <v>100518227</v>
      </c>
      <c r="D126" s="21" t="s">
        <v>13</v>
      </c>
      <c r="E126" s="20"/>
      <c r="F126" s="19">
        <v>22.5</v>
      </c>
      <c r="G126" s="18">
        <v>1</v>
      </c>
      <c r="H126" s="17"/>
      <c r="I126" s="14">
        <f t="shared" si="58"/>
        <v>15200.037449999998</v>
      </c>
      <c r="J126" s="14">
        <f>+I126*0.9</f>
        <v>13680.033704999998</v>
      </c>
      <c r="K126"/>
      <c r="L126" s="14">
        <f>+IF(ISERROR(N126/G126),"",(N126/G126))</f>
        <v>10316.7675</v>
      </c>
      <c r="M126" s="14">
        <f>+IF(ISERROR(N126/G126),"",(N126/G126))</f>
        <v>10316.7675</v>
      </c>
      <c r="N126" s="16">
        <v>10316.7675</v>
      </c>
      <c r="O126" s="15"/>
      <c r="P126" s="14">
        <f>+IF(ISERROR(N126/(1-O126)),"",(N126/(1-O126)))</f>
        <v>10316.7675</v>
      </c>
      <c r="Q126" s="15"/>
      <c r="R126" s="14">
        <f>+IF(ISERROR(P126/(1-Q126)),"",(P126/(1-Q126)))</f>
        <v>10316.7675</v>
      </c>
      <c r="S126" s="14">
        <f>+IF(ISERROR(R126/G126),"",(R126/G126))</f>
        <v>10316.7675</v>
      </c>
      <c r="T126" s="13" t="e">
        <f>VLOOKUP(C126,'[1]Análisis Acciones Comerciales'!A$14:G$113,7,0)</f>
        <v>#N/A</v>
      </c>
      <c r="U126" t="e">
        <f t="shared" si="40"/>
        <v>#N/A</v>
      </c>
      <c r="V126" s="11">
        <v>10316.77</v>
      </c>
      <c r="W126" s="15">
        <f>+IF(ISERROR(N126/V126-1),"",(N126/V126-1))</f>
        <v>-2.4232390571921059E-7</v>
      </c>
      <c r="X126" s="14">
        <f>+IF(ISERROR(V126*(1-O126)),"",(V126*(1-O126)))</f>
        <v>10316.77</v>
      </c>
    </row>
    <row r="127" spans="1:24" x14ac:dyDescent="0.2">
      <c r="A127" s="35"/>
      <c r="B127" s="34"/>
      <c r="C127" s="33"/>
      <c r="D127" s="26"/>
      <c r="E127" s="33"/>
      <c r="F127" s="26"/>
      <c r="G127" s="32"/>
      <c r="I127" s="36"/>
      <c r="J127" s="31"/>
      <c r="K127"/>
      <c r="L127" s="30"/>
      <c r="M127" s="26"/>
      <c r="N127" s="29" t="s">
        <v>7</v>
      </c>
      <c r="O127" s="28"/>
      <c r="P127" s="26"/>
      <c r="Q127" s="28"/>
      <c r="R127" s="26"/>
      <c r="S127" s="24"/>
      <c r="T127" s="13" t="e">
        <f>VLOOKUP(C127,'[1]Análisis Acciones Comerciales'!A$14:G$113,7,0)</f>
        <v>#N/A</v>
      </c>
      <c r="U127" t="e">
        <f t="shared" si="40"/>
        <v>#N/A</v>
      </c>
      <c r="V127" s="26"/>
      <c r="W127" s="25"/>
      <c r="X127" s="24"/>
    </row>
    <row r="128" spans="1:24" x14ac:dyDescent="0.2">
      <c r="A128" s="23" t="s">
        <v>11</v>
      </c>
      <c r="B128" s="21" t="s">
        <v>10</v>
      </c>
      <c r="C128" s="22">
        <v>100520837</v>
      </c>
      <c r="D128" s="21" t="s">
        <v>12</v>
      </c>
      <c r="E128" s="20">
        <v>7790360980625</v>
      </c>
      <c r="F128" s="19">
        <v>4.8</v>
      </c>
      <c r="G128" s="18">
        <v>12</v>
      </c>
      <c r="H128" s="17"/>
      <c r="I128" s="14">
        <f>+S128*1.55*1.21</f>
        <v>5130.5534633729167</v>
      </c>
      <c r="J128" s="14">
        <f>+I128*0.8</f>
        <v>4104.4427706983333</v>
      </c>
      <c r="K128"/>
      <c r="L128" s="14">
        <f>+IF(ISERROR(N128/G128),"",(N128/G128))</f>
        <v>3078.8583711010397</v>
      </c>
      <c r="M128" s="14">
        <f>+IF(ISERROR(N128/F128),"",(N128/F128))</f>
        <v>7697.1459277525992</v>
      </c>
      <c r="N128" s="16">
        <v>36946.300453212476</v>
      </c>
      <c r="O128" s="15"/>
      <c r="P128" s="14">
        <f>+IF(ISERROR(N128/(1-O128)),"",(N128/(1-O128)))</f>
        <v>36946.300453212476</v>
      </c>
      <c r="Q128" s="104">
        <v>0.11149998910095782</v>
      </c>
      <c r="R128" s="103">
        <f>IF(ISERROR(P128-(P128*Q128)),0,+P128-(P128*Q128))</f>
        <v>32826.788355358571</v>
      </c>
      <c r="S128" s="14">
        <f>+IF(ISERROR(R128/G128),"",(R128/G128))</f>
        <v>2735.5656962798807</v>
      </c>
      <c r="T128" s="13">
        <f>VLOOKUP(C128,'[1]Análisis Acciones Comerciales'!A$14:G$113,7,0)</f>
        <v>32826.788355358571</v>
      </c>
      <c r="U128">
        <f t="shared" si="40"/>
        <v>0.11149998910095782</v>
      </c>
      <c r="V128" s="11">
        <v>36946.300000000003</v>
      </c>
      <c r="W128" s="15">
        <f>+IF(ISERROR(N128/V128-1),"",(N128/V128-1))</f>
        <v>1.2266789140014112E-8</v>
      </c>
      <c r="X128" s="14">
        <f>+IF(ISERROR(V128*(1-O128)),"",(V128*(1-O128)))</f>
        <v>36946.300000000003</v>
      </c>
    </row>
    <row r="129" spans="1:24" x14ac:dyDescent="0.2">
      <c r="A129" s="23" t="s">
        <v>11</v>
      </c>
      <c r="B129" s="23" t="s">
        <v>10</v>
      </c>
      <c r="C129" s="22">
        <v>100522395</v>
      </c>
      <c r="D129" s="21" t="s">
        <v>9</v>
      </c>
      <c r="E129" s="20">
        <v>7790360985101</v>
      </c>
      <c r="F129" s="19">
        <v>4.8</v>
      </c>
      <c r="G129" s="18">
        <v>12</v>
      </c>
      <c r="H129" s="17"/>
      <c r="I129" s="14">
        <f>+S129*1.55*1.21</f>
        <v>2944.9434262499999</v>
      </c>
      <c r="J129" s="14">
        <f>+I129*0.8</f>
        <v>2355.954741</v>
      </c>
      <c r="K129"/>
      <c r="L129" s="9">
        <f>+IF(ISERROR(N129/G129),"",(N129/G129))</f>
        <v>3140.4355385230606</v>
      </c>
      <c r="M129" s="9">
        <f>+IF(ISERROR(N129/F129),"",(N129/F129))</f>
        <v>7851.0888463076517</v>
      </c>
      <c r="N129" s="16">
        <v>37685.226462276725</v>
      </c>
      <c r="O129" s="15"/>
      <c r="P129" s="14">
        <f>+IF(ISERROR(N129/(1-O129)),"",(N129/(1-O129)))</f>
        <v>37685.226462276725</v>
      </c>
      <c r="Q129" s="104">
        <v>0.5</v>
      </c>
      <c r="R129" s="103">
        <f>IF(ISERROR(P129-(P129*Q129)),0,+P129-(P129*Q129))</f>
        <v>18842.613231138363</v>
      </c>
      <c r="S129" s="14">
        <f>+IF(ISERROR(R129/G129),"",(R129/G129))</f>
        <v>1570.2177692615303</v>
      </c>
      <c r="T129" s="13" t="e">
        <f>VLOOKUP(C129,'[1]Análisis Acciones Comerciales'!A$14:G$113,7,0)</f>
        <v>#N/A</v>
      </c>
      <c r="U129" s="27" t="e">
        <f t="shared" si="40"/>
        <v>#N/A</v>
      </c>
      <c r="V129" s="11">
        <v>37685.230000000003</v>
      </c>
      <c r="W129" s="10">
        <f>+IF(ISERROR(P129/V129-1),"",(P129/V129-1))</f>
        <v>-9.3875592077630188E-8</v>
      </c>
      <c r="X129" s="9">
        <f>+IF(ISERROR(V129*(1-O129)),"",(V129*(1-O129)))</f>
        <v>37685.230000000003</v>
      </c>
    </row>
    <row r="130" spans="1:24" x14ac:dyDescent="0.2">
      <c r="A130" s="35"/>
      <c r="B130" s="34"/>
      <c r="C130" s="33"/>
      <c r="D130" s="26"/>
      <c r="E130" s="33"/>
      <c r="F130" s="26"/>
      <c r="G130" s="32"/>
      <c r="I130" s="36"/>
      <c r="J130" s="31"/>
      <c r="K130"/>
      <c r="L130" s="30"/>
      <c r="M130" s="26"/>
      <c r="N130" s="29" t="s">
        <v>7</v>
      </c>
      <c r="O130" s="28"/>
      <c r="P130" s="26"/>
      <c r="Q130" s="28"/>
      <c r="R130" s="26"/>
      <c r="S130" s="24"/>
      <c r="T130" s="13" t="e">
        <f>VLOOKUP(C130,'[1]Análisis Acciones Comerciales'!A$14:G$113,7,0)</f>
        <v>#N/A</v>
      </c>
      <c r="U130" t="e">
        <f t="shared" si="40"/>
        <v>#N/A</v>
      </c>
      <c r="V130" s="26"/>
      <c r="W130" s="25"/>
      <c r="X130" s="24"/>
    </row>
    <row r="131" spans="1:24" x14ac:dyDescent="0.2">
      <c r="A131" s="23"/>
      <c r="B131" s="21"/>
      <c r="C131" s="22">
        <v>100520902</v>
      </c>
      <c r="D131" s="21" t="s">
        <v>8</v>
      </c>
      <c r="E131" s="20">
        <v>7790360981042</v>
      </c>
      <c r="F131" s="19">
        <v>9.8000000000000007</v>
      </c>
      <c r="G131" s="18">
        <v>14</v>
      </c>
      <c r="H131" s="17"/>
      <c r="I131" s="14">
        <f>+S131*1.55*1.21</f>
        <v>3917.6892745210744</v>
      </c>
      <c r="J131" s="14">
        <f>+I131*0.8</f>
        <v>3134.1514196168596</v>
      </c>
      <c r="K131"/>
      <c r="L131" s="14">
        <f>+IF(ISERROR(N131/G131),"",(N131/G131))</f>
        <v>2387.2882809284069</v>
      </c>
      <c r="M131" s="14">
        <f>+IF(ISERROR(N131/F131),"",(N131/F131))</f>
        <v>3410.4118298977241</v>
      </c>
      <c r="N131" s="16">
        <v>33422.0359329977</v>
      </c>
      <c r="O131" s="15"/>
      <c r="P131" s="14">
        <f>+IF(ISERROR(N131/(1-O131)),"",(N131/(1-O131)))</f>
        <v>33422.0359329977</v>
      </c>
      <c r="Q131" s="104">
        <v>0.125</v>
      </c>
      <c r="R131" s="103">
        <f>IF(ISERROR(P131-(P131*Q131)),0,+P131-(P131*Q131))</f>
        <v>29244.281441372987</v>
      </c>
      <c r="S131" s="14">
        <f>+IF(ISERROR(R131/G131),"",(R131/G131))</f>
        <v>2088.8772458123563</v>
      </c>
      <c r="T131" s="13">
        <f>VLOOKUP(C131,'[1]Análisis Acciones Comerciales'!A$14:G$113,7,0)</f>
        <v>28375.305054230514</v>
      </c>
      <c r="U131">
        <f t="shared" si="40"/>
        <v>0.15100010331161573</v>
      </c>
      <c r="V131" s="11">
        <v>33422.04</v>
      </c>
      <c r="W131" s="15">
        <f>+IF(ISERROR(N131/V131-1),"",(N131/V131-1))</f>
        <v>-1.2168623764186037E-7</v>
      </c>
      <c r="X131" s="14">
        <f>+IF(ISERROR(V131*(1-O131)),"",(V131*(1-O131)))</f>
        <v>33422.04</v>
      </c>
    </row>
    <row r="132" spans="1:24" x14ac:dyDescent="0.2">
      <c r="A132" s="35"/>
      <c r="B132" s="34"/>
      <c r="C132" s="33"/>
      <c r="D132" s="26"/>
      <c r="E132" s="33"/>
      <c r="F132" s="26"/>
      <c r="G132" s="32"/>
      <c r="I132" s="30"/>
      <c r="J132" s="31"/>
      <c r="K132"/>
      <c r="L132" s="30"/>
      <c r="M132" s="26"/>
      <c r="N132" s="29" t="s">
        <v>7</v>
      </c>
      <c r="O132" s="28"/>
      <c r="P132" s="26"/>
      <c r="Q132" s="28"/>
      <c r="R132" s="26"/>
      <c r="S132" s="24"/>
      <c r="T132" s="13" t="e">
        <f>VLOOKUP(C132,'[1]Análisis Acciones Comerciales'!A$14:G$113,7,0)</f>
        <v>#N/A</v>
      </c>
      <c r="U132" s="27" t="e">
        <f t="shared" si="40"/>
        <v>#N/A</v>
      </c>
      <c r="V132" s="26"/>
      <c r="W132" s="25"/>
      <c r="X132" s="24"/>
    </row>
    <row r="133" spans="1:24" x14ac:dyDescent="0.2">
      <c r="A133" s="23" t="s">
        <v>2</v>
      </c>
      <c r="B133" s="23" t="s">
        <v>5</v>
      </c>
      <c r="C133" s="22">
        <v>100521457</v>
      </c>
      <c r="D133" s="21" t="s">
        <v>6</v>
      </c>
      <c r="E133" s="20">
        <v>7790360982254</v>
      </c>
      <c r="F133" s="19">
        <v>4.8</v>
      </c>
      <c r="G133" s="18">
        <v>16</v>
      </c>
      <c r="H133" s="17"/>
      <c r="I133" s="14">
        <f>+S133*1.55*1.21</f>
        <v>4374.7284121406256</v>
      </c>
      <c r="J133" s="14">
        <f>+I133*0.8</f>
        <v>3499.7827297125004</v>
      </c>
      <c r="K133"/>
      <c r="L133" s="14">
        <f>+IF(ISERROR(N133/G133),"",(N133/G133))</f>
        <v>2332.5664687500002</v>
      </c>
      <c r="M133" s="14">
        <f>+IF(ISERROR(N133/F133),"",(N133/F133))</f>
        <v>7775.2215625000008</v>
      </c>
      <c r="N133" s="16">
        <v>37321.063500000004</v>
      </c>
      <c r="O133" s="15"/>
      <c r="P133" s="14">
        <f>+IF(ISERROR(N133/(1-O133)),"",(N133/(1-O133)))</f>
        <v>37321.063500000004</v>
      </c>
      <c r="Q133" s="15"/>
      <c r="R133" s="14">
        <f>+IF(ISERROR(P133/(1-Q133)),"",(P133/(1-Q133)))</f>
        <v>37321.063500000004</v>
      </c>
      <c r="S133" s="14">
        <f>+IF(ISERROR(R133/G133),"",(R133/G133))</f>
        <v>2332.5664687500002</v>
      </c>
      <c r="T133" s="13">
        <f>VLOOKUP(C133,'[1]Análisis Acciones Comerciales'!A$14:G$113,7,0)*1.05</f>
        <v>32655.933523760439</v>
      </c>
      <c r="U133" s="12">
        <f t="shared" si="40"/>
        <v>0.12499992065444665</v>
      </c>
      <c r="V133" s="11">
        <v>35543.870000000003</v>
      </c>
      <c r="W133" s="10">
        <f>+IF(ISERROR(N133/V133-1),"",(N133/V133-1))</f>
        <v>5.0000000000000044E-2</v>
      </c>
      <c r="X133" s="9">
        <f>+IF(ISERROR(V133*(1-O133)),"",(V133*(1-O133)))</f>
        <v>35543.870000000003</v>
      </c>
    </row>
    <row r="134" spans="1:24" x14ac:dyDescent="0.2">
      <c r="A134" s="23" t="s">
        <v>2</v>
      </c>
      <c r="B134" s="23" t="s">
        <v>5</v>
      </c>
      <c r="C134" s="22">
        <v>100521455</v>
      </c>
      <c r="D134" s="21" t="s">
        <v>4</v>
      </c>
      <c r="E134" s="20">
        <v>7790360982247</v>
      </c>
      <c r="F134" s="19">
        <v>4.8</v>
      </c>
      <c r="G134" s="18">
        <v>16</v>
      </c>
      <c r="H134" s="17"/>
      <c r="I134" s="14">
        <f t="shared" ref="I134:I136" si="59">+S134*1.55*1.21</f>
        <v>4374.7284121406256</v>
      </c>
      <c r="J134" s="14">
        <f>+I134*0.8</f>
        <v>3499.7827297125004</v>
      </c>
      <c r="K134"/>
      <c r="L134" s="14">
        <f>+IF(ISERROR(N134/G134),"",(N134/G134))</f>
        <v>2332.5664687500002</v>
      </c>
      <c r="M134" s="14">
        <f>+IF(ISERROR(N134/F134),"",(N134/F134))</f>
        <v>7775.2215625000008</v>
      </c>
      <c r="N134" s="16">
        <v>37321.063500000004</v>
      </c>
      <c r="O134" s="15"/>
      <c r="P134" s="14">
        <f>+IF(ISERROR(N134/(1-O134)),"",(N134/(1-O134)))</f>
        <v>37321.063500000004</v>
      </c>
      <c r="Q134" s="15"/>
      <c r="R134" s="14">
        <f>+IF(ISERROR(P134/(1-Q134)),"",(P134/(1-Q134)))</f>
        <v>37321.063500000004</v>
      </c>
      <c r="S134" s="14">
        <f>+IF(ISERROR(R134/G134),"",(R134/G134))</f>
        <v>2332.5664687500002</v>
      </c>
      <c r="T134" s="13">
        <f>VLOOKUP(C134,'[1]Análisis Acciones Comerciales'!A$14:G$113,7,0)*1.05</f>
        <v>32655.933523760439</v>
      </c>
      <c r="U134" s="12">
        <f t="shared" si="40"/>
        <v>0.12499992065444665</v>
      </c>
      <c r="V134" s="11">
        <v>35543.870000000003</v>
      </c>
      <c r="W134" s="10">
        <f>+IF(ISERROR(N134/V134-1),"",(N134/V134-1))</f>
        <v>5.0000000000000044E-2</v>
      </c>
      <c r="X134" s="9">
        <f>+IF(ISERROR(V134*(1-O134)),"",(V134*(1-O134)))</f>
        <v>35543.870000000003</v>
      </c>
    </row>
    <row r="135" spans="1:24" x14ac:dyDescent="0.2">
      <c r="A135" s="23" t="s">
        <v>2</v>
      </c>
      <c r="B135" s="23" t="s">
        <v>1</v>
      </c>
      <c r="C135" s="22">
        <v>100521453</v>
      </c>
      <c r="D135" s="21" t="s">
        <v>3</v>
      </c>
      <c r="E135" s="20">
        <v>7790360982223</v>
      </c>
      <c r="F135" s="19">
        <v>5.4</v>
      </c>
      <c r="G135" s="18">
        <v>18</v>
      </c>
      <c r="H135" s="17"/>
      <c r="I135" s="14">
        <f t="shared" si="59"/>
        <v>3828.8449718750003</v>
      </c>
      <c r="J135" s="14">
        <f>+I135*0.8</f>
        <v>3063.0759775000006</v>
      </c>
      <c r="K135"/>
      <c r="L135" s="14">
        <f>+IF(ISERROR(N135/G135),"",(N135/G135))</f>
        <v>2041.5062500000001</v>
      </c>
      <c r="M135" s="14">
        <f>+IF(ISERROR(N135/F135),"",(N135/F135))</f>
        <v>6805.020833333333</v>
      </c>
      <c r="N135" s="16">
        <v>36747.112500000003</v>
      </c>
      <c r="O135" s="15"/>
      <c r="P135" s="14">
        <f>+IF(ISERROR(N135/(1-O135)),"",(N135/(1-O135)))</f>
        <v>36747.112500000003</v>
      </c>
      <c r="Q135" s="15"/>
      <c r="R135" s="14">
        <f>+IF(ISERROR(P135/(1-Q135)),"",(P135/(1-Q135)))</f>
        <v>36747.112500000003</v>
      </c>
      <c r="S135" s="14">
        <f>+IF(ISERROR(R135/G135),"",(R135/G135))</f>
        <v>2041.5062500000001</v>
      </c>
      <c r="T135" s="13">
        <f>VLOOKUP(C135,'[1]Análisis Acciones Comerciales'!A$14:G$113,7,0)*1.05</f>
        <v>33991.071488770256</v>
      </c>
      <c r="U135" s="12">
        <f t="shared" si="40"/>
        <v>7.5000206104078204E-2</v>
      </c>
      <c r="V135" s="11">
        <v>34997.25</v>
      </c>
      <c r="W135" s="10">
        <f>+IF(ISERROR(N135/V135-1),"",(N135/V135-1))</f>
        <v>5.0000000000000044E-2</v>
      </c>
      <c r="X135" s="9">
        <f>+IF(ISERROR(V135*(1-O135)),"",(V135*(1-O135)))</f>
        <v>34997.25</v>
      </c>
    </row>
    <row r="136" spans="1:24" x14ac:dyDescent="0.2">
      <c r="A136" s="23" t="s">
        <v>2</v>
      </c>
      <c r="B136" s="23" t="s">
        <v>1</v>
      </c>
      <c r="C136" s="22">
        <v>100521454</v>
      </c>
      <c r="D136" s="21" t="s">
        <v>0</v>
      </c>
      <c r="E136" s="20">
        <v>7790360982230</v>
      </c>
      <c r="F136" s="19">
        <v>5.3999999999999995</v>
      </c>
      <c r="G136" s="18">
        <v>18</v>
      </c>
      <c r="H136" s="17"/>
      <c r="I136" s="14">
        <f t="shared" si="59"/>
        <v>3828.8449718750003</v>
      </c>
      <c r="J136" s="14">
        <f>+I136*0.8</f>
        <v>3063.0759775000006</v>
      </c>
      <c r="K136"/>
      <c r="L136" s="14">
        <f>+IF(ISERROR(N136/G136),"",(N136/G136))</f>
        <v>2041.5062500000001</v>
      </c>
      <c r="M136" s="14">
        <f>+IF(ISERROR(N136/F136),"",(N136/F136))</f>
        <v>6805.0208333333348</v>
      </c>
      <c r="N136" s="16">
        <v>36747.112500000003</v>
      </c>
      <c r="O136" s="15"/>
      <c r="P136" s="14">
        <f>+IF(ISERROR(N136/(1-O136)),"",(N136/(1-O136)))</f>
        <v>36747.112500000003</v>
      </c>
      <c r="Q136" s="15"/>
      <c r="R136" s="14">
        <f>+IF(ISERROR(P136/(1-Q136)),"",(P136/(1-Q136)))</f>
        <v>36747.112500000003</v>
      </c>
      <c r="S136" s="14">
        <f>+IF(ISERROR(R136/G136),"",(R136/G136))</f>
        <v>2041.5062500000001</v>
      </c>
      <c r="T136" s="13">
        <f>VLOOKUP(C136,'[1]Análisis Acciones Comerciales'!A$14:G$113,7,0)*1.05</f>
        <v>33991.071488770256</v>
      </c>
      <c r="U136" s="12">
        <f t="shared" si="40"/>
        <v>7.5000206104078204E-2</v>
      </c>
      <c r="V136" s="11">
        <v>34997.25</v>
      </c>
      <c r="W136" s="10">
        <f>+IF(ISERROR(N136/V136-1),"",(N136/V136-1))</f>
        <v>5.0000000000000044E-2</v>
      </c>
      <c r="X136" s="9">
        <f>+IF(ISERROR(V136*(1-O136)),"",(V136*(1-O136)))</f>
        <v>34997.25</v>
      </c>
    </row>
    <row r="137" spans="1:24" x14ac:dyDescent="0.2">
      <c r="K137"/>
      <c r="N137" s="3"/>
    </row>
    <row r="138" spans="1:24" x14ac:dyDescent="0.2">
      <c r="K138"/>
      <c r="N138" s="3"/>
    </row>
    <row r="139" spans="1:24" x14ac:dyDescent="0.2">
      <c r="N139" s="3"/>
    </row>
    <row r="140" spans="1:24" x14ac:dyDescent="0.2">
      <c r="N140" s="3"/>
    </row>
    <row r="141" spans="1:24" x14ac:dyDescent="0.2">
      <c r="N141" s="3"/>
    </row>
    <row r="142" spans="1:24" x14ac:dyDescent="0.2">
      <c r="N142" s="3"/>
    </row>
    <row r="143" spans="1:24" x14ac:dyDescent="0.2">
      <c r="N143" s="3"/>
    </row>
    <row r="144" spans="1:24" x14ac:dyDescent="0.2">
      <c r="N144" s="3"/>
    </row>
    <row r="145" spans="1:47" s="3" customFormat="1" x14ac:dyDescent="0.2">
      <c r="A145" s="8"/>
      <c r="B145" s="8"/>
      <c r="C145" s="7"/>
      <c r="D145" s="1"/>
      <c r="E145" s="7"/>
      <c r="F145" s="1"/>
      <c r="G145" s="1"/>
      <c r="H145" s="1"/>
      <c r="I145" s="1"/>
      <c r="J145" s="6"/>
      <c r="K145" s="5"/>
      <c r="L145" s="1"/>
      <c r="M145" s="1"/>
      <c r="P145" s="1"/>
      <c r="R145" s="1"/>
      <c r="S145" s="1"/>
      <c r="T145" s="1"/>
      <c r="U145" s="1"/>
      <c r="V145" s="1"/>
      <c r="W145" s="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s="3" customFormat="1" x14ac:dyDescent="0.2">
      <c r="A146" s="8"/>
      <c r="B146" s="8"/>
      <c r="C146" s="7"/>
      <c r="D146" s="1"/>
      <c r="E146" s="7"/>
      <c r="F146" s="1"/>
      <c r="G146" s="1"/>
      <c r="H146" s="1"/>
      <c r="I146" s="1"/>
      <c r="J146" s="6"/>
      <c r="K146" s="5"/>
      <c r="L146" s="1"/>
      <c r="M146" s="1"/>
      <c r="P146" s="1"/>
      <c r="R146" s="1"/>
      <c r="S146" s="1"/>
      <c r="T146" s="1"/>
      <c r="U146" s="1"/>
      <c r="V146" s="1"/>
      <c r="W146" s="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s="3" customFormat="1" x14ac:dyDescent="0.2">
      <c r="A147" s="8"/>
      <c r="B147" s="8"/>
      <c r="C147" s="7"/>
      <c r="D147" s="1"/>
      <c r="E147" s="7"/>
      <c r="F147" s="1"/>
      <c r="G147" s="1"/>
      <c r="H147" s="1"/>
      <c r="I147" s="1"/>
      <c r="J147" s="6"/>
      <c r="K147" s="5"/>
      <c r="L147" s="1"/>
      <c r="M147" s="1"/>
      <c r="P147" s="1"/>
      <c r="R147" s="1"/>
      <c r="S147" s="1"/>
      <c r="T147" s="1"/>
      <c r="U147" s="1"/>
      <c r="V147" s="1"/>
      <c r="W147" s="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s="3" customFormat="1" x14ac:dyDescent="0.2">
      <c r="A148" s="8"/>
      <c r="B148" s="8"/>
      <c r="C148" s="7"/>
      <c r="D148" s="1"/>
      <c r="E148" s="7"/>
      <c r="F148" s="1"/>
      <c r="G148" s="1"/>
      <c r="H148" s="1"/>
      <c r="I148" s="1"/>
      <c r="J148" s="6"/>
      <c r="K148" s="5"/>
      <c r="L148" s="1"/>
      <c r="M148" s="1"/>
      <c r="P148" s="1"/>
      <c r="R148" s="1"/>
      <c r="S148" s="1"/>
      <c r="T148" s="1"/>
      <c r="U148" s="1"/>
      <c r="V148" s="1"/>
      <c r="W148" s="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s="3" customFormat="1" x14ac:dyDescent="0.2">
      <c r="A149" s="8"/>
      <c r="B149" s="8"/>
      <c r="C149" s="7"/>
      <c r="D149" s="1"/>
      <c r="E149" s="7"/>
      <c r="F149" s="1"/>
      <c r="G149" s="1"/>
      <c r="H149" s="1"/>
      <c r="I149" s="1"/>
      <c r="J149" s="6"/>
      <c r="K149" s="5"/>
      <c r="L149" s="1"/>
      <c r="M149" s="1"/>
      <c r="P149" s="1"/>
      <c r="R149" s="1"/>
      <c r="S149" s="1"/>
      <c r="T149" s="1"/>
      <c r="U149" s="1"/>
      <c r="V149" s="1"/>
      <c r="W149" s="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s="3" customFormat="1" x14ac:dyDescent="0.2">
      <c r="A150" s="8"/>
      <c r="B150" s="8"/>
      <c r="C150" s="7"/>
      <c r="D150" s="1"/>
      <c r="E150" s="7"/>
      <c r="F150" s="1"/>
      <c r="G150" s="1"/>
      <c r="H150" s="1"/>
      <c r="I150" s="1"/>
      <c r="J150" s="6"/>
      <c r="K150" s="5"/>
      <c r="L150" s="1"/>
      <c r="M150" s="1"/>
      <c r="P150" s="1"/>
      <c r="R150" s="1"/>
      <c r="S150" s="1"/>
      <c r="T150" s="1"/>
      <c r="U150" s="1"/>
      <c r="V150" s="1"/>
      <c r="W150" s="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s="3" customFormat="1" x14ac:dyDescent="0.2">
      <c r="A151" s="8"/>
      <c r="B151" s="8"/>
      <c r="C151" s="7"/>
      <c r="D151" s="1"/>
      <c r="E151" s="7"/>
      <c r="F151" s="1"/>
      <c r="G151" s="1"/>
      <c r="H151" s="1"/>
      <c r="I151" s="1"/>
      <c r="J151" s="6"/>
      <c r="K151" s="5"/>
      <c r="L151" s="1"/>
      <c r="M151" s="1"/>
      <c r="P151" s="1"/>
      <c r="R151" s="1"/>
      <c r="S151" s="1"/>
      <c r="T151" s="1"/>
      <c r="U151" s="1"/>
      <c r="V151" s="1"/>
      <c r="W151" s="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s="3" customFormat="1" x14ac:dyDescent="0.2">
      <c r="A152" s="8"/>
      <c r="B152" s="8"/>
      <c r="C152" s="7"/>
      <c r="D152" s="1"/>
      <c r="E152" s="7"/>
      <c r="F152" s="1"/>
      <c r="G152" s="1"/>
      <c r="H152" s="1"/>
      <c r="I152" s="1"/>
      <c r="J152" s="6"/>
      <c r="K152" s="5"/>
      <c r="L152" s="1"/>
      <c r="M152" s="1"/>
      <c r="P152" s="1"/>
      <c r="R152" s="1"/>
      <c r="S152" s="1"/>
      <c r="T152" s="1"/>
      <c r="U152" s="1"/>
      <c r="V152" s="1"/>
      <c r="W152" s="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s="3" customFormat="1" x14ac:dyDescent="0.2">
      <c r="A153" s="8"/>
      <c r="B153" s="8"/>
      <c r="C153" s="7"/>
      <c r="D153" s="1"/>
      <c r="E153" s="7"/>
      <c r="F153" s="1"/>
      <c r="G153" s="1"/>
      <c r="H153" s="1"/>
      <c r="I153" s="1"/>
      <c r="J153" s="6"/>
      <c r="K153" s="5"/>
      <c r="L153" s="1"/>
      <c r="M153" s="1"/>
      <c r="P153" s="1"/>
      <c r="R153" s="1"/>
      <c r="S153" s="1"/>
      <c r="T153" s="1"/>
      <c r="U153" s="1"/>
      <c r="V153" s="1"/>
      <c r="W153" s="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s="3" customFormat="1" x14ac:dyDescent="0.2">
      <c r="A154" s="8"/>
      <c r="B154" s="8"/>
      <c r="C154" s="7"/>
      <c r="D154" s="1"/>
      <c r="E154" s="7"/>
      <c r="F154" s="1"/>
      <c r="G154" s="1"/>
      <c r="H154" s="1"/>
      <c r="I154" s="1"/>
      <c r="J154" s="6"/>
      <c r="K154" s="5"/>
      <c r="L154" s="1"/>
      <c r="M154" s="1"/>
      <c r="P154" s="1"/>
      <c r="R154" s="1"/>
      <c r="S154" s="1"/>
      <c r="T154" s="1"/>
      <c r="U154" s="1"/>
      <c r="V154" s="1"/>
      <c r="W154" s="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s="3" customFormat="1" x14ac:dyDescent="0.2">
      <c r="A155" s="8"/>
      <c r="B155" s="8"/>
      <c r="C155" s="7"/>
      <c r="D155" s="1"/>
      <c r="E155" s="7"/>
      <c r="F155" s="1"/>
      <c r="G155" s="1"/>
      <c r="H155" s="1"/>
      <c r="I155" s="1"/>
      <c r="J155" s="6"/>
      <c r="K155" s="5"/>
      <c r="L155" s="1"/>
      <c r="M155" s="1"/>
      <c r="P155" s="1"/>
      <c r="R155" s="1"/>
      <c r="S155" s="1"/>
      <c r="T155" s="1"/>
      <c r="U155" s="1"/>
      <c r="V155" s="1"/>
      <c r="W155" s="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s="3" customFormat="1" x14ac:dyDescent="0.2">
      <c r="A156" s="8"/>
      <c r="B156" s="8"/>
      <c r="C156" s="7"/>
      <c r="D156" s="1"/>
      <c r="E156" s="7"/>
      <c r="F156" s="1"/>
      <c r="G156" s="1"/>
      <c r="H156" s="1"/>
      <c r="I156" s="1"/>
      <c r="J156" s="6"/>
      <c r="K156" s="5"/>
      <c r="L156" s="1"/>
      <c r="M156" s="1"/>
      <c r="P156" s="1"/>
      <c r="R156" s="1"/>
      <c r="S156" s="1"/>
      <c r="T156" s="1"/>
      <c r="U156" s="1"/>
      <c r="V156" s="1"/>
      <c r="W156" s="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s="3" customFormat="1" x14ac:dyDescent="0.2">
      <c r="A157" s="8"/>
      <c r="B157" s="8"/>
      <c r="C157" s="7"/>
      <c r="D157" s="1"/>
      <c r="E157" s="7"/>
      <c r="F157" s="1"/>
      <c r="G157" s="1"/>
      <c r="H157" s="1"/>
      <c r="I157" s="1"/>
      <c r="J157" s="6"/>
      <c r="K157" s="5"/>
      <c r="L157" s="1"/>
      <c r="M157" s="1"/>
      <c r="P157" s="1"/>
      <c r="R157" s="1"/>
      <c r="S157" s="1"/>
      <c r="T157" s="1"/>
      <c r="U157" s="1"/>
      <c r="V157" s="1"/>
      <c r="W157" s="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s="3" customFormat="1" x14ac:dyDescent="0.2">
      <c r="A158" s="8"/>
      <c r="B158" s="8"/>
      <c r="C158" s="7"/>
      <c r="D158" s="1"/>
      <c r="E158" s="7"/>
      <c r="F158" s="1"/>
      <c r="G158" s="1"/>
      <c r="H158" s="1"/>
      <c r="I158" s="1"/>
      <c r="J158" s="6"/>
      <c r="K158" s="5"/>
      <c r="L158" s="1"/>
      <c r="M158" s="1"/>
      <c r="P158" s="1"/>
      <c r="R158" s="1"/>
      <c r="S158" s="1"/>
      <c r="T158" s="1"/>
      <c r="U158" s="1"/>
      <c r="V158" s="1"/>
      <c r="W158" s="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s="3" customFormat="1" x14ac:dyDescent="0.2">
      <c r="A159" s="8"/>
      <c r="B159" s="8"/>
      <c r="C159" s="7"/>
      <c r="D159" s="1"/>
      <c r="E159" s="7"/>
      <c r="F159" s="1"/>
      <c r="G159" s="1"/>
      <c r="H159" s="1"/>
      <c r="I159" s="1"/>
      <c r="J159" s="6"/>
      <c r="K159" s="5"/>
      <c r="L159" s="1"/>
      <c r="M159" s="1"/>
      <c r="P159" s="1"/>
      <c r="R159" s="1"/>
      <c r="S159" s="1"/>
      <c r="T159" s="1"/>
      <c r="U159" s="1"/>
      <c r="V159" s="1"/>
      <c r="W159" s="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s="3" customFormat="1" x14ac:dyDescent="0.2">
      <c r="A160" s="8"/>
      <c r="B160" s="8"/>
      <c r="C160" s="7"/>
      <c r="D160" s="1"/>
      <c r="E160" s="7"/>
      <c r="F160" s="1"/>
      <c r="G160" s="1"/>
      <c r="H160" s="1"/>
      <c r="I160" s="1"/>
      <c r="J160" s="6"/>
      <c r="K160" s="5"/>
      <c r="L160" s="1"/>
      <c r="M160" s="1"/>
      <c r="P160" s="1"/>
      <c r="R160" s="1"/>
      <c r="S160" s="1"/>
      <c r="T160" s="1"/>
      <c r="U160" s="1"/>
      <c r="V160" s="1"/>
      <c r="W160" s="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s="3" customFormat="1" x14ac:dyDescent="0.2">
      <c r="A161" s="8"/>
      <c r="B161" s="8"/>
      <c r="C161" s="7"/>
      <c r="D161" s="1"/>
      <c r="E161" s="7"/>
      <c r="F161" s="1"/>
      <c r="G161" s="1"/>
      <c r="H161" s="1"/>
      <c r="I161" s="1"/>
      <c r="J161" s="6"/>
      <c r="K161" s="5"/>
      <c r="L161" s="1"/>
      <c r="M161" s="1"/>
      <c r="P161" s="1"/>
      <c r="R161" s="1"/>
      <c r="S161" s="1"/>
      <c r="T161" s="1"/>
      <c r="U161" s="1"/>
      <c r="V161" s="1"/>
      <c r="W161" s="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s="3" customFormat="1" x14ac:dyDescent="0.2">
      <c r="A162" s="8"/>
      <c r="B162" s="8"/>
      <c r="C162" s="7"/>
      <c r="D162" s="1"/>
      <c r="E162" s="7"/>
      <c r="F162" s="1"/>
      <c r="G162" s="1"/>
      <c r="H162" s="1"/>
      <c r="I162" s="1"/>
      <c r="J162" s="6"/>
      <c r="K162" s="5"/>
      <c r="L162" s="1"/>
      <c r="M162" s="1"/>
      <c r="P162" s="1"/>
      <c r="R162" s="1"/>
      <c r="S162" s="1"/>
      <c r="T162" s="1"/>
      <c r="U162" s="1"/>
      <c r="V162" s="1"/>
      <c r="W162" s="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s="3" customFormat="1" x14ac:dyDescent="0.2">
      <c r="A163" s="8"/>
      <c r="B163" s="8"/>
      <c r="C163" s="7"/>
      <c r="D163" s="1"/>
      <c r="E163" s="7"/>
      <c r="F163" s="1"/>
      <c r="G163" s="1"/>
      <c r="H163" s="1"/>
      <c r="I163" s="1"/>
      <c r="J163" s="6"/>
      <c r="K163" s="5"/>
      <c r="L163" s="1"/>
      <c r="M163" s="1"/>
      <c r="P163" s="1"/>
      <c r="R163" s="1"/>
      <c r="S163" s="1"/>
      <c r="T163" s="1"/>
      <c r="U163" s="1"/>
      <c r="V163" s="1"/>
      <c r="W163" s="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s="3" customFormat="1" x14ac:dyDescent="0.2">
      <c r="A164" s="8"/>
      <c r="B164" s="8"/>
      <c r="C164" s="7"/>
      <c r="D164" s="1"/>
      <c r="E164" s="7"/>
      <c r="F164" s="1"/>
      <c r="G164" s="1"/>
      <c r="H164" s="1"/>
      <c r="I164" s="1"/>
      <c r="J164" s="6"/>
      <c r="K164" s="5"/>
      <c r="L164" s="1"/>
      <c r="M164" s="1"/>
      <c r="P164" s="1"/>
      <c r="R164" s="1"/>
      <c r="S164" s="1"/>
      <c r="T164" s="1"/>
      <c r="U164" s="1"/>
      <c r="V164" s="1"/>
      <c r="W164" s="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s="3" customFormat="1" x14ac:dyDescent="0.2">
      <c r="A165" s="8"/>
      <c r="B165" s="8"/>
      <c r="C165" s="7"/>
      <c r="D165" s="1"/>
      <c r="E165" s="7"/>
      <c r="F165" s="1"/>
      <c r="G165" s="1"/>
      <c r="H165" s="1"/>
      <c r="I165" s="1"/>
      <c r="J165" s="6"/>
      <c r="K165" s="5"/>
      <c r="L165" s="1"/>
      <c r="M165" s="1"/>
      <c r="P165" s="1"/>
      <c r="R165" s="1"/>
      <c r="S165" s="1"/>
      <c r="T165" s="1"/>
      <c r="U165" s="1"/>
      <c r="V165" s="1"/>
      <c r="W165" s="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s="3" customFormat="1" x14ac:dyDescent="0.2">
      <c r="A166" s="8"/>
      <c r="B166" s="8"/>
      <c r="C166" s="7"/>
      <c r="D166" s="1"/>
      <c r="E166" s="7"/>
      <c r="F166" s="1"/>
      <c r="G166" s="1"/>
      <c r="H166" s="1"/>
      <c r="I166" s="1"/>
      <c r="J166" s="6"/>
      <c r="K166" s="5"/>
      <c r="L166" s="1"/>
      <c r="M166" s="1"/>
      <c r="P166" s="1"/>
      <c r="R166" s="1"/>
      <c r="S166" s="1"/>
      <c r="T166" s="1"/>
      <c r="U166" s="1"/>
      <c r="V166" s="1"/>
      <c r="W166" s="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s="3" customFormat="1" x14ac:dyDescent="0.2">
      <c r="A167" s="8"/>
      <c r="B167" s="8"/>
      <c r="C167" s="7"/>
      <c r="D167" s="1"/>
      <c r="E167" s="7"/>
      <c r="F167" s="1"/>
      <c r="G167" s="1"/>
      <c r="H167" s="1"/>
      <c r="I167" s="1"/>
      <c r="J167" s="6"/>
      <c r="K167" s="5"/>
      <c r="L167" s="1"/>
      <c r="M167" s="1"/>
      <c r="P167" s="1"/>
      <c r="R167" s="1"/>
      <c r="S167" s="1"/>
      <c r="T167" s="1"/>
      <c r="U167" s="1"/>
      <c r="V167" s="1"/>
      <c r="W167" s="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s="3" customFormat="1" x14ac:dyDescent="0.2">
      <c r="A168" s="8"/>
      <c r="B168" s="8"/>
      <c r="C168" s="7"/>
      <c r="D168" s="1"/>
      <c r="E168" s="7"/>
      <c r="F168" s="1"/>
      <c r="G168" s="1"/>
      <c r="H168" s="1"/>
      <c r="I168" s="1"/>
      <c r="J168" s="6"/>
      <c r="K168" s="5"/>
      <c r="L168" s="1"/>
      <c r="M168" s="1"/>
      <c r="P168" s="1"/>
      <c r="R168" s="1"/>
      <c r="S168" s="1"/>
      <c r="T168" s="1"/>
      <c r="U168" s="1"/>
      <c r="V168" s="1"/>
      <c r="W168" s="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s="3" customFormat="1" x14ac:dyDescent="0.2">
      <c r="A169" s="8"/>
      <c r="B169" s="8"/>
      <c r="C169" s="7"/>
      <c r="D169" s="1"/>
      <c r="E169" s="7"/>
      <c r="F169" s="1"/>
      <c r="G169" s="1"/>
      <c r="H169" s="1"/>
      <c r="I169" s="1"/>
      <c r="J169" s="6"/>
      <c r="K169" s="5"/>
      <c r="L169" s="1"/>
      <c r="M169" s="1"/>
      <c r="P169" s="1"/>
      <c r="R169" s="1"/>
      <c r="S169" s="1"/>
      <c r="T169" s="1"/>
      <c r="U169" s="1"/>
      <c r="V169" s="1"/>
      <c r="W169" s="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s="3" customFormat="1" x14ac:dyDescent="0.2">
      <c r="A170" s="8"/>
      <c r="B170" s="8"/>
      <c r="C170" s="7"/>
      <c r="D170" s="1"/>
      <c r="E170" s="7"/>
      <c r="F170" s="1"/>
      <c r="G170" s="1"/>
      <c r="H170" s="1"/>
      <c r="I170" s="1"/>
      <c r="J170" s="6"/>
      <c r="K170" s="5"/>
      <c r="L170" s="1"/>
      <c r="M170" s="1"/>
      <c r="P170" s="1"/>
      <c r="R170" s="1"/>
      <c r="S170" s="1"/>
      <c r="T170" s="1"/>
      <c r="U170" s="1"/>
      <c r="V170" s="1"/>
      <c r="W170" s="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s="3" customFormat="1" x14ac:dyDescent="0.2">
      <c r="A171" s="8"/>
      <c r="B171" s="8"/>
      <c r="C171" s="7"/>
      <c r="D171" s="1"/>
      <c r="E171" s="7"/>
      <c r="F171" s="1"/>
      <c r="G171" s="1"/>
      <c r="H171" s="1"/>
      <c r="I171" s="1"/>
      <c r="J171" s="6"/>
      <c r="K171" s="5"/>
      <c r="L171" s="1"/>
      <c r="M171" s="1"/>
      <c r="P171" s="1"/>
      <c r="R171" s="1"/>
      <c r="S171" s="1"/>
      <c r="T171" s="1"/>
      <c r="U171" s="1"/>
      <c r="V171" s="1"/>
      <c r="W171" s="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s="3" customFormat="1" x14ac:dyDescent="0.2">
      <c r="A172" s="8"/>
      <c r="B172" s="8"/>
      <c r="C172" s="7"/>
      <c r="D172" s="1"/>
      <c r="E172" s="7"/>
      <c r="F172" s="1"/>
      <c r="G172" s="1"/>
      <c r="H172" s="1"/>
      <c r="I172" s="1"/>
      <c r="J172" s="6"/>
      <c r="K172" s="5"/>
      <c r="L172" s="1"/>
      <c r="M172" s="1"/>
      <c r="P172" s="1"/>
      <c r="R172" s="1"/>
      <c r="S172" s="1"/>
      <c r="T172" s="1"/>
      <c r="U172" s="1"/>
      <c r="V172" s="1"/>
      <c r="W172" s="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s="3" customFormat="1" x14ac:dyDescent="0.2">
      <c r="A173" s="8"/>
      <c r="B173" s="8"/>
      <c r="C173" s="7"/>
      <c r="D173" s="1"/>
      <c r="E173" s="7"/>
      <c r="F173" s="1"/>
      <c r="G173" s="1"/>
      <c r="H173" s="1"/>
      <c r="I173" s="1"/>
      <c r="J173" s="6"/>
      <c r="K173" s="5"/>
      <c r="L173" s="1"/>
      <c r="M173" s="1"/>
      <c r="P173" s="1"/>
      <c r="R173" s="1"/>
      <c r="S173" s="1"/>
      <c r="T173" s="1"/>
      <c r="U173" s="1"/>
      <c r="V173" s="1"/>
      <c r="W173" s="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s="3" customFormat="1" x14ac:dyDescent="0.2">
      <c r="A174" s="8"/>
      <c r="B174" s="8"/>
      <c r="C174" s="7"/>
      <c r="D174" s="1"/>
      <c r="E174" s="7"/>
      <c r="F174" s="1"/>
      <c r="G174" s="1"/>
      <c r="H174" s="1"/>
      <c r="I174" s="1"/>
      <c r="J174" s="6"/>
      <c r="K174" s="5"/>
      <c r="L174" s="1"/>
      <c r="M174" s="1"/>
      <c r="P174" s="1"/>
      <c r="R174" s="1"/>
      <c r="S174" s="1"/>
      <c r="T174" s="1"/>
      <c r="U174" s="1"/>
      <c r="V174" s="1"/>
      <c r="W174" s="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s="3" customFormat="1" x14ac:dyDescent="0.2">
      <c r="A175" s="8"/>
      <c r="B175" s="8"/>
      <c r="C175" s="7"/>
      <c r="D175" s="1"/>
      <c r="E175" s="7"/>
      <c r="F175" s="1"/>
      <c r="G175" s="1"/>
      <c r="H175" s="1"/>
      <c r="I175" s="1"/>
      <c r="J175" s="6"/>
      <c r="K175" s="5"/>
      <c r="L175" s="1"/>
      <c r="M175" s="1"/>
      <c r="P175" s="1"/>
      <c r="R175" s="1"/>
      <c r="S175" s="1"/>
      <c r="T175" s="1"/>
      <c r="U175" s="1"/>
      <c r="V175" s="1"/>
      <c r="W175" s="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s="3" customFormat="1" x14ac:dyDescent="0.2">
      <c r="A176" s="8"/>
      <c r="B176" s="8"/>
      <c r="C176" s="7"/>
      <c r="D176" s="1"/>
      <c r="E176" s="7"/>
      <c r="F176" s="1"/>
      <c r="G176" s="1"/>
      <c r="H176" s="1"/>
      <c r="I176" s="1"/>
      <c r="J176" s="6"/>
      <c r="K176" s="5"/>
      <c r="L176" s="1"/>
      <c r="M176" s="1"/>
      <c r="P176" s="1"/>
      <c r="R176" s="1"/>
      <c r="S176" s="1"/>
      <c r="T176" s="1"/>
      <c r="U176" s="1"/>
      <c r="V176" s="1"/>
      <c r="W176" s="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s="3" customFormat="1" x14ac:dyDescent="0.2">
      <c r="A177" s="8"/>
      <c r="B177" s="8"/>
      <c r="C177" s="7"/>
      <c r="D177" s="1"/>
      <c r="E177" s="7"/>
      <c r="F177" s="1"/>
      <c r="G177" s="1"/>
      <c r="H177" s="1"/>
      <c r="I177" s="1"/>
      <c r="J177" s="6"/>
      <c r="K177" s="5"/>
      <c r="L177" s="1"/>
      <c r="M177" s="1"/>
      <c r="P177" s="1"/>
      <c r="R177" s="1"/>
      <c r="S177" s="1"/>
      <c r="T177" s="1"/>
      <c r="U177" s="1"/>
      <c r="V177" s="1"/>
      <c r="W177" s="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s="3" customFormat="1" x14ac:dyDescent="0.2">
      <c r="A178" s="8"/>
      <c r="B178" s="8"/>
      <c r="C178" s="7"/>
      <c r="D178" s="1"/>
      <c r="E178" s="7"/>
      <c r="F178" s="1"/>
      <c r="G178" s="1"/>
      <c r="H178" s="1"/>
      <c r="I178" s="1"/>
      <c r="J178" s="6"/>
      <c r="K178" s="5"/>
      <c r="L178" s="1"/>
      <c r="M178" s="1"/>
      <c r="P178" s="1"/>
      <c r="R178" s="1"/>
      <c r="S178" s="1"/>
      <c r="T178" s="1"/>
      <c r="U178" s="1"/>
      <c r="V178" s="1"/>
      <c r="W178" s="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s="3" customFormat="1" x14ac:dyDescent="0.2">
      <c r="A179" s="8"/>
      <c r="B179" s="8"/>
      <c r="C179" s="7"/>
      <c r="D179" s="1"/>
      <c r="E179" s="7"/>
      <c r="F179" s="1"/>
      <c r="G179" s="1"/>
      <c r="H179" s="1"/>
      <c r="I179" s="1"/>
      <c r="J179" s="6"/>
      <c r="K179" s="5"/>
      <c r="L179" s="1"/>
      <c r="M179" s="1"/>
      <c r="P179" s="1"/>
      <c r="R179" s="1"/>
      <c r="S179" s="1"/>
      <c r="T179" s="1"/>
      <c r="U179" s="1"/>
      <c r="V179" s="1"/>
      <c r="W179" s="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s="3" customFormat="1" x14ac:dyDescent="0.2">
      <c r="A180" s="8"/>
      <c r="B180" s="8"/>
      <c r="C180" s="7"/>
      <c r="D180" s="1"/>
      <c r="E180" s="7"/>
      <c r="F180" s="1"/>
      <c r="G180" s="1"/>
      <c r="H180" s="1"/>
      <c r="I180" s="1"/>
      <c r="J180" s="6"/>
      <c r="K180" s="5"/>
      <c r="L180" s="1"/>
      <c r="M180" s="1"/>
      <c r="P180" s="1"/>
      <c r="R180" s="1"/>
      <c r="S180" s="1"/>
      <c r="T180" s="1"/>
      <c r="U180" s="1"/>
      <c r="V180" s="1"/>
      <c r="W180" s="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s="3" customFormat="1" x14ac:dyDescent="0.2">
      <c r="A181" s="8"/>
      <c r="B181" s="8"/>
      <c r="C181" s="7"/>
      <c r="D181" s="1"/>
      <c r="E181" s="7"/>
      <c r="F181" s="1"/>
      <c r="G181" s="1"/>
      <c r="H181" s="1"/>
      <c r="I181" s="1"/>
      <c r="J181" s="6"/>
      <c r="K181" s="5"/>
      <c r="L181" s="1"/>
      <c r="M181" s="1"/>
      <c r="P181" s="1"/>
      <c r="R181" s="1"/>
      <c r="S181" s="1"/>
      <c r="T181" s="1"/>
      <c r="U181" s="1"/>
      <c r="V181" s="1"/>
      <c r="W181" s="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s="3" customFormat="1" x14ac:dyDescent="0.2">
      <c r="A182" s="8"/>
      <c r="B182" s="8"/>
      <c r="C182" s="7"/>
      <c r="D182" s="1"/>
      <c r="E182" s="7"/>
      <c r="F182" s="1"/>
      <c r="G182" s="1"/>
      <c r="H182" s="1"/>
      <c r="I182" s="1"/>
      <c r="J182" s="6"/>
      <c r="K182" s="5"/>
      <c r="L182" s="1"/>
      <c r="M182" s="1"/>
      <c r="P182" s="1"/>
      <c r="R182" s="1"/>
      <c r="S182" s="1"/>
      <c r="T182" s="1"/>
      <c r="U182" s="1"/>
      <c r="V182" s="1"/>
      <c r="W182" s="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s="3" customFormat="1" x14ac:dyDescent="0.2">
      <c r="A183" s="8"/>
      <c r="B183" s="8"/>
      <c r="C183" s="7"/>
      <c r="D183" s="1"/>
      <c r="E183" s="7"/>
      <c r="F183" s="1"/>
      <c r="G183" s="1"/>
      <c r="H183" s="1"/>
      <c r="I183" s="1"/>
      <c r="J183" s="6"/>
      <c r="K183" s="5"/>
      <c r="L183" s="1"/>
      <c r="M183" s="1"/>
      <c r="P183" s="1"/>
      <c r="R183" s="1"/>
      <c r="S183" s="1"/>
      <c r="T183" s="1"/>
      <c r="U183" s="1"/>
      <c r="V183" s="1"/>
      <c r="W183" s="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s="3" customFormat="1" x14ac:dyDescent="0.2">
      <c r="A184" s="8"/>
      <c r="B184" s="8"/>
      <c r="C184" s="7"/>
      <c r="D184" s="1"/>
      <c r="E184" s="7"/>
      <c r="F184" s="1"/>
      <c r="G184" s="1"/>
      <c r="H184" s="1"/>
      <c r="I184" s="1"/>
      <c r="J184" s="6"/>
      <c r="K184" s="5"/>
      <c r="L184" s="1"/>
      <c r="M184" s="1"/>
      <c r="P184" s="1"/>
      <c r="R184" s="1"/>
      <c r="S184" s="1"/>
      <c r="T184" s="1"/>
      <c r="U184" s="1"/>
      <c r="V184" s="1"/>
      <c r="W184" s="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s="3" customFormat="1" x14ac:dyDescent="0.2">
      <c r="A185" s="8"/>
      <c r="B185" s="8"/>
      <c r="C185" s="7"/>
      <c r="D185" s="1"/>
      <c r="E185" s="7"/>
      <c r="F185" s="1"/>
      <c r="G185" s="1"/>
      <c r="H185" s="1"/>
      <c r="I185" s="1"/>
      <c r="J185" s="6"/>
      <c r="K185" s="5"/>
      <c r="L185" s="1"/>
      <c r="M185" s="1"/>
      <c r="P185" s="1"/>
      <c r="R185" s="1"/>
      <c r="S185" s="1"/>
      <c r="T185" s="1"/>
      <c r="U185" s="1"/>
      <c r="V185" s="1"/>
      <c r="W185" s="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s="3" customFormat="1" x14ac:dyDescent="0.2">
      <c r="A186" s="8"/>
      <c r="B186" s="8"/>
      <c r="C186" s="7"/>
      <c r="D186" s="1"/>
      <c r="E186" s="7"/>
      <c r="F186" s="1"/>
      <c r="G186" s="1"/>
      <c r="H186" s="1"/>
      <c r="I186" s="1"/>
      <c r="J186" s="6"/>
      <c r="K186" s="5"/>
      <c r="L186" s="1"/>
      <c r="M186" s="1"/>
      <c r="P186" s="1"/>
      <c r="R186" s="1"/>
      <c r="S186" s="1"/>
      <c r="T186" s="1"/>
      <c r="U186" s="1"/>
      <c r="V186" s="1"/>
      <c r="W186" s="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s="3" customFormat="1" x14ac:dyDescent="0.2">
      <c r="A187" s="8"/>
      <c r="B187" s="8"/>
      <c r="C187" s="7"/>
      <c r="D187" s="1"/>
      <c r="E187" s="7"/>
      <c r="F187" s="1"/>
      <c r="G187" s="1"/>
      <c r="H187" s="1"/>
      <c r="I187" s="1"/>
      <c r="J187" s="6"/>
      <c r="K187" s="5"/>
      <c r="L187" s="1"/>
      <c r="M187" s="1"/>
      <c r="P187" s="1"/>
      <c r="R187" s="1"/>
      <c r="S187" s="1"/>
      <c r="T187" s="1"/>
      <c r="U187" s="1"/>
      <c r="V187" s="1"/>
      <c r="W187" s="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s="3" customFormat="1" x14ac:dyDescent="0.2">
      <c r="A188" s="8"/>
      <c r="B188" s="8"/>
      <c r="C188" s="7"/>
      <c r="D188" s="1"/>
      <c r="E188" s="7"/>
      <c r="F188" s="1"/>
      <c r="G188" s="1"/>
      <c r="H188" s="1"/>
      <c r="I188" s="1"/>
      <c r="J188" s="6"/>
      <c r="K188" s="5"/>
      <c r="L188" s="1"/>
      <c r="M188" s="1"/>
      <c r="P188" s="1"/>
      <c r="R188" s="1"/>
      <c r="S188" s="1"/>
      <c r="T188" s="1"/>
      <c r="U188" s="1"/>
      <c r="V188" s="1"/>
      <c r="W188" s="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s="3" customFormat="1" x14ac:dyDescent="0.2">
      <c r="A189" s="8"/>
      <c r="B189" s="8"/>
      <c r="C189" s="7"/>
      <c r="D189" s="1"/>
      <c r="E189" s="7"/>
      <c r="F189" s="1"/>
      <c r="G189" s="1"/>
      <c r="H189" s="1"/>
      <c r="I189" s="1"/>
      <c r="J189" s="6"/>
      <c r="K189" s="5"/>
      <c r="L189" s="1"/>
      <c r="M189" s="1"/>
      <c r="P189" s="1"/>
      <c r="R189" s="1"/>
      <c r="S189" s="1"/>
      <c r="T189" s="1"/>
      <c r="U189" s="1"/>
      <c r="V189" s="1"/>
      <c r="W189" s="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s="3" customFormat="1" x14ac:dyDescent="0.2">
      <c r="A190" s="8"/>
      <c r="B190" s="8"/>
      <c r="C190" s="7"/>
      <c r="D190" s="1"/>
      <c r="E190" s="7"/>
      <c r="F190" s="1"/>
      <c r="G190" s="1"/>
      <c r="H190" s="1"/>
      <c r="I190" s="1"/>
      <c r="J190" s="6"/>
      <c r="K190" s="5"/>
      <c r="L190" s="1"/>
      <c r="M190" s="1"/>
      <c r="P190" s="1"/>
      <c r="R190" s="1"/>
      <c r="S190" s="1"/>
      <c r="T190" s="1"/>
      <c r="U190" s="1"/>
      <c r="V190" s="1"/>
      <c r="W190" s="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s="3" customFormat="1" x14ac:dyDescent="0.2">
      <c r="A191" s="8"/>
      <c r="B191" s="8"/>
      <c r="C191" s="7"/>
      <c r="D191" s="1"/>
      <c r="E191" s="7"/>
      <c r="F191" s="1"/>
      <c r="G191" s="1"/>
      <c r="H191" s="1"/>
      <c r="I191" s="1"/>
      <c r="J191" s="6"/>
      <c r="K191" s="5"/>
      <c r="L191" s="1"/>
      <c r="M191" s="1"/>
      <c r="P191" s="1"/>
      <c r="R191" s="1"/>
      <c r="S191" s="1"/>
      <c r="T191" s="1"/>
      <c r="U191" s="1"/>
      <c r="V191" s="1"/>
      <c r="W191" s="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s="3" customFormat="1" x14ac:dyDescent="0.2">
      <c r="A192" s="8"/>
      <c r="B192" s="8"/>
      <c r="C192" s="7"/>
      <c r="D192" s="1"/>
      <c r="E192" s="7"/>
      <c r="F192" s="1"/>
      <c r="G192" s="1"/>
      <c r="H192" s="1"/>
      <c r="I192" s="1"/>
      <c r="J192" s="6"/>
      <c r="K192" s="5"/>
      <c r="L192" s="1"/>
      <c r="M192" s="1"/>
      <c r="P192" s="1"/>
      <c r="R192" s="1"/>
      <c r="S192" s="1"/>
      <c r="T192" s="1"/>
      <c r="U192" s="1"/>
      <c r="V192" s="1"/>
      <c r="W192" s="2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s="3" customFormat="1" x14ac:dyDescent="0.2">
      <c r="A193" s="8"/>
      <c r="B193" s="8"/>
      <c r="C193" s="7"/>
      <c r="D193" s="1"/>
      <c r="E193" s="7"/>
      <c r="F193" s="1"/>
      <c r="G193" s="1"/>
      <c r="H193" s="1"/>
      <c r="I193" s="1"/>
      <c r="J193" s="6"/>
      <c r="K193" s="5"/>
      <c r="L193" s="1"/>
      <c r="M193" s="1"/>
      <c r="P193" s="1"/>
      <c r="R193" s="1"/>
      <c r="S193" s="1"/>
      <c r="T193" s="1"/>
      <c r="U193" s="1"/>
      <c r="V193" s="1"/>
      <c r="W193" s="2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s="3" customFormat="1" x14ac:dyDescent="0.2">
      <c r="A194" s="8"/>
      <c r="B194" s="8"/>
      <c r="C194" s="7"/>
      <c r="D194" s="1"/>
      <c r="E194" s="7"/>
      <c r="F194" s="1"/>
      <c r="G194" s="1"/>
      <c r="H194" s="1"/>
      <c r="I194" s="1"/>
      <c r="J194" s="6"/>
      <c r="K194" s="5"/>
      <c r="L194" s="1"/>
      <c r="M194" s="1"/>
      <c r="P194" s="1"/>
      <c r="R194" s="1"/>
      <c r="S194" s="1"/>
      <c r="T194" s="1"/>
      <c r="U194" s="1"/>
      <c r="V194" s="1"/>
      <c r="W194" s="2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s="3" customFormat="1" x14ac:dyDescent="0.2">
      <c r="A195" s="8"/>
      <c r="B195" s="8"/>
      <c r="C195" s="7"/>
      <c r="D195" s="1"/>
      <c r="E195" s="7"/>
      <c r="F195" s="1"/>
      <c r="G195" s="1"/>
      <c r="H195" s="1"/>
      <c r="I195" s="1"/>
      <c r="J195" s="6"/>
      <c r="K195" s="5"/>
      <c r="L195" s="1"/>
      <c r="M195" s="1"/>
      <c r="P195" s="1"/>
      <c r="R195" s="1"/>
      <c r="S195" s="1"/>
      <c r="T195" s="1"/>
      <c r="U195" s="1"/>
      <c r="V195" s="1"/>
      <c r="W195" s="2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s="3" customFormat="1" x14ac:dyDescent="0.2">
      <c r="A196" s="8"/>
      <c r="B196" s="8"/>
      <c r="C196" s="7"/>
      <c r="D196" s="1"/>
      <c r="E196" s="7"/>
      <c r="F196" s="1"/>
      <c r="G196" s="1"/>
      <c r="H196" s="1"/>
      <c r="I196" s="1"/>
      <c r="J196" s="6"/>
      <c r="K196" s="5"/>
      <c r="L196" s="1"/>
      <c r="M196" s="1"/>
      <c r="P196" s="1"/>
      <c r="R196" s="1"/>
      <c r="S196" s="1"/>
      <c r="T196" s="1"/>
      <c r="U196" s="1"/>
      <c r="V196" s="1"/>
      <c r="W196" s="2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s="3" customFormat="1" x14ac:dyDescent="0.2">
      <c r="A197" s="8"/>
      <c r="B197" s="8"/>
      <c r="C197" s="7"/>
      <c r="D197" s="1"/>
      <c r="E197" s="7"/>
      <c r="F197" s="1"/>
      <c r="G197" s="1"/>
      <c r="H197" s="1"/>
      <c r="I197" s="1"/>
      <c r="J197" s="6"/>
      <c r="K197" s="5"/>
      <c r="L197" s="1"/>
      <c r="M197" s="1"/>
      <c r="P197" s="1"/>
      <c r="R197" s="1"/>
      <c r="S197" s="1"/>
      <c r="T197" s="1"/>
      <c r="U197" s="1"/>
      <c r="V197" s="1"/>
      <c r="W197" s="2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s="3" customFormat="1" x14ac:dyDescent="0.2">
      <c r="A198" s="8"/>
      <c r="B198" s="8"/>
      <c r="C198" s="7"/>
      <c r="D198" s="1"/>
      <c r="E198" s="7"/>
      <c r="F198" s="1"/>
      <c r="G198" s="1"/>
      <c r="H198" s="1"/>
      <c r="I198" s="1"/>
      <c r="J198" s="6"/>
      <c r="K198" s="5"/>
      <c r="L198" s="1"/>
      <c r="M198" s="1"/>
      <c r="P198" s="1"/>
      <c r="R198" s="1"/>
      <c r="S198" s="1"/>
      <c r="T198" s="1"/>
      <c r="U198" s="1"/>
      <c r="V198" s="1"/>
      <c r="W198" s="2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3">
    <mergeCell ref="A1:S1"/>
    <mergeCell ref="B3:C3"/>
    <mergeCell ref="B7:C7"/>
  </mergeCells>
  <conditionalFormatting sqref="A104:D105 F104:H105 L104:M105 J104:J105">
    <cfRule type="cellIs" dxfId="173" priority="122" stopIfTrue="1" operator="equal">
      <formula>0</formula>
    </cfRule>
  </conditionalFormatting>
  <conditionalFormatting sqref="A133:H136">
    <cfRule type="cellIs" dxfId="172" priority="30" stopIfTrue="1" operator="equal">
      <formula>0</formula>
    </cfRule>
  </conditionalFormatting>
  <conditionalFormatting sqref="A122:I126">
    <cfRule type="cellIs" dxfId="171" priority="81" stopIfTrue="1" operator="equal">
      <formula>0</formula>
    </cfRule>
  </conditionalFormatting>
  <conditionalFormatting sqref="A128:I129">
    <cfRule type="cellIs" dxfId="170" priority="11" stopIfTrue="1" operator="equal">
      <formula>0</formula>
    </cfRule>
  </conditionalFormatting>
  <conditionalFormatting sqref="A131:I131">
    <cfRule type="cellIs" dxfId="169" priority="50" stopIfTrue="1" operator="equal">
      <formula>0</formula>
    </cfRule>
  </conditionalFormatting>
  <conditionalFormatting sqref="B27">
    <cfRule type="cellIs" dxfId="168" priority="105" stopIfTrue="1" operator="equal">
      <formula>0</formula>
    </cfRule>
  </conditionalFormatting>
  <conditionalFormatting sqref="B21:G26">
    <cfRule type="cellIs" dxfId="167" priority="140" stopIfTrue="1" operator="equal">
      <formula>0</formula>
    </cfRule>
  </conditionalFormatting>
  <conditionalFormatting sqref="B28:G32">
    <cfRule type="cellIs" dxfId="166" priority="165" stopIfTrue="1" operator="equal">
      <formula>0</formula>
    </cfRule>
  </conditionalFormatting>
  <conditionalFormatting sqref="B43:H43">
    <cfRule type="cellIs" dxfId="165" priority="106" stopIfTrue="1" operator="equal">
      <formula>0</formula>
    </cfRule>
  </conditionalFormatting>
  <conditionalFormatting sqref="B19:H20 J19:J20">
    <cfRule type="cellIs" dxfId="164" priority="111" stopIfTrue="1" operator="equal">
      <formula>0</formula>
    </cfRule>
  </conditionalFormatting>
  <conditionalFormatting sqref="C94:D94">
    <cfRule type="cellIs" dxfId="163" priority="163" stopIfTrue="1" operator="equal">
      <formula>0</formula>
    </cfRule>
  </conditionalFormatting>
  <conditionalFormatting sqref="C25:G27">
    <cfRule type="cellIs" dxfId="162" priority="164" stopIfTrue="1" operator="equal">
      <formula>0</formula>
    </cfRule>
  </conditionalFormatting>
  <conditionalFormatting sqref="F30:G30">
    <cfRule type="cellIs" dxfId="161" priority="167" stopIfTrue="1" operator="equal">
      <formula>0</formula>
    </cfRule>
  </conditionalFormatting>
  <conditionalFormatting sqref="F89:G92">
    <cfRule type="cellIs" dxfId="160" priority="145" stopIfTrue="1" operator="equal">
      <formula>0</formula>
    </cfRule>
  </conditionalFormatting>
  <conditionalFormatting sqref="I119:I120">
    <cfRule type="cellIs" dxfId="158" priority="68" stopIfTrue="1" operator="equal">
      <formula>0</formula>
    </cfRule>
  </conditionalFormatting>
  <conditionalFormatting sqref="I107:J107">
    <cfRule type="cellIs" dxfId="157" priority="131" stopIfTrue="1" operator="equal">
      <formula>0</formula>
    </cfRule>
  </conditionalFormatting>
  <conditionalFormatting sqref="I109:J110">
    <cfRule type="cellIs" dxfId="156" priority="130" stopIfTrue="1" operator="equal">
      <formula>0</formula>
    </cfRule>
  </conditionalFormatting>
  <conditionalFormatting sqref="I112:J114">
    <cfRule type="cellIs" dxfId="155" priority="97" stopIfTrue="1" operator="equal">
      <formula>0</formula>
    </cfRule>
  </conditionalFormatting>
  <conditionalFormatting sqref="I116:J117">
    <cfRule type="cellIs" dxfId="154" priority="95" stopIfTrue="1" operator="equal">
      <formula>0</formula>
    </cfRule>
  </conditionalFormatting>
  <conditionalFormatting sqref="K10:K12 N11:N48 A30:D30 E94:E105 N94:N107">
    <cfRule type="cellIs" dxfId="153" priority="168" stopIfTrue="1" operator="equal">
      <formula>0</formula>
    </cfRule>
  </conditionalFormatting>
  <conditionalFormatting sqref="L19:M21">
    <cfRule type="cellIs" dxfId="152" priority="110" stopIfTrue="1" operator="equal">
      <formula>0</formula>
    </cfRule>
  </conditionalFormatting>
  <conditionalFormatting sqref="L22:M32">
    <cfRule type="cellIs" dxfId="151" priority="160" stopIfTrue="1" operator="equal">
      <formula>0</formula>
    </cfRule>
  </conditionalFormatting>
  <conditionalFormatting sqref="L100:M102">
    <cfRule type="cellIs" dxfId="150" priority="132" stopIfTrue="1" operator="equal">
      <formula>0</formula>
    </cfRule>
  </conditionalFormatting>
  <conditionalFormatting sqref="L129:O129">
    <cfRule type="cellIs" dxfId="149" priority="14" stopIfTrue="1" operator="equal">
      <formula>0</formula>
    </cfRule>
  </conditionalFormatting>
  <conditionalFormatting sqref="M29">
    <cfRule type="cellIs" dxfId="148" priority="159" stopIfTrue="1" operator="lessThan">
      <formula>30</formula>
    </cfRule>
  </conditionalFormatting>
  <conditionalFormatting sqref="M49 M68 M87 M93">
    <cfRule type="cellIs" dxfId="147" priority="162" stopIfTrue="1" operator="lessThan">
      <formula>30</formula>
    </cfRule>
  </conditionalFormatting>
  <conditionalFormatting sqref="N50:N67">
    <cfRule type="cellIs" dxfId="146" priority="3" stopIfTrue="1" operator="equal">
      <formula>0</formula>
    </cfRule>
  </conditionalFormatting>
  <conditionalFormatting sqref="N69:N86">
    <cfRule type="cellIs" dxfId="145" priority="72" stopIfTrue="1" operator="equal">
      <formula>0</formula>
    </cfRule>
  </conditionalFormatting>
  <conditionalFormatting sqref="N88:N92">
    <cfRule type="cellIs" dxfId="144" priority="49" stopIfTrue="1" operator="equal">
      <formula>0</formula>
    </cfRule>
  </conditionalFormatting>
  <conditionalFormatting sqref="N109:N114">
    <cfRule type="cellIs" dxfId="143" priority="71" stopIfTrue="1" operator="equal">
      <formula>0</formula>
    </cfRule>
  </conditionalFormatting>
  <conditionalFormatting sqref="N116:N117">
    <cfRule type="cellIs" dxfId="142" priority="70" stopIfTrue="1" operator="equal">
      <formula>0</formula>
    </cfRule>
  </conditionalFormatting>
  <conditionalFormatting sqref="N119:N120">
    <cfRule type="cellIs" dxfId="141" priority="87" stopIfTrue="1" operator="equal">
      <formula>0</formula>
    </cfRule>
  </conditionalFormatting>
  <conditionalFormatting sqref="N122:O126">
    <cfRule type="cellIs" dxfId="140" priority="21" stopIfTrue="1" operator="equal">
      <formula>0</formula>
    </cfRule>
  </conditionalFormatting>
  <conditionalFormatting sqref="N128:O128">
    <cfRule type="cellIs" dxfId="139" priority="62" stopIfTrue="1" operator="equal">
      <formula>0</formula>
    </cfRule>
  </conditionalFormatting>
  <conditionalFormatting sqref="N131:O131">
    <cfRule type="cellIs" dxfId="138" priority="55" stopIfTrue="1" operator="equal">
      <formula>0</formula>
    </cfRule>
  </conditionalFormatting>
  <conditionalFormatting sqref="N133:O136">
    <cfRule type="cellIs" dxfId="137" priority="31" stopIfTrue="1" operator="equal">
      <formula>0</formula>
    </cfRule>
  </conditionalFormatting>
  <conditionalFormatting sqref="O11:O17 O34:O48">
    <cfRule type="cellIs" dxfId="136" priority="74" stopIfTrue="1" operator="equal">
      <formula>0</formula>
    </cfRule>
  </conditionalFormatting>
  <conditionalFormatting sqref="O18:O19">
    <cfRule type="cellIs" dxfId="135" priority="109" stopIfTrue="1" operator="equal">
      <formula>0</formula>
    </cfRule>
  </conditionalFormatting>
  <conditionalFormatting sqref="O19 S19:S32 Q21 Q26:Q28 Q30:Q32">
    <cfRule type="cellIs" dxfId="134" priority="108" stopIfTrue="1" operator="equal">
      <formula>0</formula>
    </cfRule>
  </conditionalFormatting>
  <conditionalFormatting sqref="O19">
    <cfRule type="cellIs" dxfId="133" priority="107" stopIfTrue="1" operator="equal">
      <formula>0</formula>
    </cfRule>
  </conditionalFormatting>
  <conditionalFormatting sqref="O20 O22:O33">
    <cfRule type="cellIs" dxfId="132" priority="158" stopIfTrue="1" operator="equal">
      <formula>0</formula>
    </cfRule>
  </conditionalFormatting>
  <conditionalFormatting sqref="O20:O23">
    <cfRule type="cellIs" dxfId="131" priority="138" stopIfTrue="1" operator="equal">
      <formula>0</formula>
    </cfRule>
  </conditionalFormatting>
  <conditionalFormatting sqref="O21">
    <cfRule type="cellIs" dxfId="130" priority="133" stopIfTrue="1" operator="equal">
      <formula>0</formula>
    </cfRule>
    <cfRule type="cellIs" dxfId="129" priority="137" stopIfTrue="1" operator="equal">
      <formula>0</formula>
    </cfRule>
  </conditionalFormatting>
  <conditionalFormatting sqref="O22:O32 O20">
    <cfRule type="cellIs" dxfId="128" priority="157" stopIfTrue="1" operator="equal">
      <formula>0</formula>
    </cfRule>
  </conditionalFormatting>
  <conditionalFormatting sqref="O25:O27">
    <cfRule type="cellIs" dxfId="127" priority="156" stopIfTrue="1" operator="equal">
      <formula>0</formula>
    </cfRule>
    <cfRule type="cellIs" dxfId="126" priority="155" stopIfTrue="1" operator="equal">
      <formula>0</formula>
    </cfRule>
  </conditionalFormatting>
  <conditionalFormatting sqref="O29:O30">
    <cfRule type="cellIs" dxfId="125" priority="154" stopIfTrue="1" operator="equal">
      <formula>0</formula>
    </cfRule>
  </conditionalFormatting>
  <conditionalFormatting sqref="O50:O52 O54:O57">
    <cfRule type="cellIs" dxfId="124" priority="4" stopIfTrue="1" operator="equal">
      <formula>0</formula>
    </cfRule>
  </conditionalFormatting>
  <conditionalFormatting sqref="O100 A100:D100 F100:H100 J100">
    <cfRule type="cellIs" dxfId="123" priority="194" stopIfTrue="1" operator="equal">
      <formula>0</formula>
    </cfRule>
  </conditionalFormatting>
  <conditionalFormatting sqref="O104:O105">
    <cfRule type="cellIs" dxfId="122" priority="123" stopIfTrue="1" operator="equal">
      <formula>0</formula>
    </cfRule>
  </conditionalFormatting>
  <conditionalFormatting sqref="O129">
    <cfRule type="cellIs" dxfId="121" priority="18" stopIfTrue="1" operator="equal">
      <formula>0</formula>
    </cfRule>
  </conditionalFormatting>
  <conditionalFormatting sqref="O130:O136 O58:O128">
    <cfRule type="cellIs" dxfId="120" priority="35" stopIfTrue="1" operator="equal">
      <formula>0</formula>
    </cfRule>
  </conditionalFormatting>
  <conditionalFormatting sqref="S100:S102 Q104 S104:S105">
    <cfRule type="cellIs" dxfId="119" priority="104" stopIfTrue="1" operator="equal">
      <formula>0</formula>
    </cfRule>
  </conditionalFormatting>
  <conditionalFormatting sqref="V68:V99">
    <cfRule type="cellIs" dxfId="118" priority="26" stopIfTrue="1" operator="equal">
      <formula>0</formula>
    </cfRule>
  </conditionalFormatting>
  <conditionalFormatting sqref="V103">
    <cfRule type="cellIs" dxfId="117" priority="22" stopIfTrue="1" operator="equal">
      <formula>0</formula>
    </cfRule>
  </conditionalFormatting>
  <conditionalFormatting sqref="V105:V136">
    <cfRule type="cellIs" dxfId="116" priority="13" stopIfTrue="1" operator="equal">
      <formula>0</formula>
    </cfRule>
  </conditionalFormatting>
  <conditionalFormatting sqref="V19:X19">
    <cfRule type="cellIs" dxfId="115" priority="117" stopIfTrue="1" operator="equal">
      <formula>0</formula>
    </cfRule>
  </conditionalFormatting>
  <conditionalFormatting sqref="V20:X20 V22:X32">
    <cfRule type="cellIs" dxfId="114" priority="188" stopIfTrue="1" operator="equal">
      <formula>0</formula>
    </cfRule>
  </conditionalFormatting>
  <conditionalFormatting sqref="V21:X21 H21:H32 J21:J32">
    <cfRule type="cellIs" dxfId="113" priority="143" stopIfTrue="1" operator="equal">
      <formula>0</formula>
    </cfRule>
  </conditionalFormatting>
  <conditionalFormatting sqref="V25:X27">
    <cfRule type="cellIs" dxfId="112" priority="184" stopIfTrue="1" operator="equal">
      <formula>0</formula>
    </cfRule>
  </conditionalFormatting>
  <conditionalFormatting sqref="V30:X30">
    <cfRule type="cellIs" dxfId="111" priority="192" stopIfTrue="1" operator="equal">
      <formula>0</formula>
    </cfRule>
  </conditionalFormatting>
  <conditionalFormatting sqref="V100:X102 V104:X105">
    <cfRule type="cellIs" dxfId="110" priority="121" stopIfTrue="1" operator="equal">
      <formula>0</formula>
    </cfRule>
  </conditionalFormatting>
  <conditionalFormatting sqref="W1:W17 W35:W45">
    <cfRule type="cellIs" dxfId="109" priority="78" stopIfTrue="1" operator="between">
      <formula>-0.0001</formula>
      <formula>0.0001</formula>
    </cfRule>
    <cfRule type="cellIs" dxfId="108" priority="79" stopIfTrue="1" operator="between">
      <formula>-0.01</formula>
      <formula>0.01</formula>
    </cfRule>
  </conditionalFormatting>
  <conditionalFormatting sqref="W11:W17 W35:W45">
    <cfRule type="cellIs" dxfId="107" priority="80" stopIfTrue="1" operator="notBetween">
      <formula>-0.001</formula>
      <formula>0.001</formula>
    </cfRule>
  </conditionalFormatting>
  <conditionalFormatting sqref="W17">
    <cfRule type="cellIs" dxfId="106" priority="77" stopIfTrue="1" operator="notBetween">
      <formula>-0.001</formula>
      <formula>0.001</formula>
    </cfRule>
    <cfRule type="cellIs" dxfId="105" priority="76" stopIfTrue="1" operator="between">
      <formula>-0.01</formula>
      <formula>0.01</formula>
    </cfRule>
    <cfRule type="cellIs" dxfId="104" priority="75" stopIfTrue="1" operator="between">
      <formula>-0.0001</formula>
      <formula>0.0001</formula>
    </cfRule>
  </conditionalFormatting>
  <conditionalFormatting sqref="W18 W24 W30:W33 W59:W61 W63:W67 W69:W86 W94:W95 W107 W8">
    <cfRule type="cellIs" dxfId="103" priority="198" stopIfTrue="1" operator="notBetween">
      <formula>-0.001</formula>
      <formula>0.001</formula>
    </cfRule>
  </conditionalFormatting>
  <conditionalFormatting sqref="W18 W24 W30:W33 W59:W61 W63:W86">
    <cfRule type="cellIs" dxfId="102" priority="196" stopIfTrue="1" operator="between">
      <formula>-0.01</formula>
      <formula>0.01</formula>
    </cfRule>
  </conditionalFormatting>
  <conditionalFormatting sqref="W18:W19">
    <cfRule type="cellIs" dxfId="101" priority="116" stopIfTrue="1" operator="between">
      <formula>-0.01</formula>
      <formula>0.01</formula>
    </cfRule>
    <cfRule type="cellIs" dxfId="100" priority="115" stopIfTrue="1" operator="between">
      <formula>-0.0001</formula>
      <formula>0.0001</formula>
    </cfRule>
    <cfRule type="cellIs" dxfId="99" priority="118" stopIfTrue="1" operator="notBetween">
      <formula>-0.001</formula>
      <formula>0.001</formula>
    </cfRule>
  </conditionalFormatting>
  <conditionalFormatting sqref="W19">
    <cfRule type="cellIs" dxfId="98" priority="114" stopIfTrue="1" operator="notBetween">
      <formula>-0.001</formula>
      <formula>0.001</formula>
    </cfRule>
    <cfRule type="cellIs" dxfId="97" priority="112" stopIfTrue="1" operator="between">
      <formula>-0.0001</formula>
      <formula>0.0001</formula>
    </cfRule>
    <cfRule type="cellIs" dxfId="96" priority="113" stopIfTrue="1" operator="between">
      <formula>-0.01</formula>
      <formula>0.01</formula>
    </cfRule>
  </conditionalFormatting>
  <conditionalFormatting sqref="W20 W22:W32">
    <cfRule type="cellIs" dxfId="95" priority="187" stopIfTrue="1" operator="between">
      <formula>-0.01</formula>
      <formula>0.01</formula>
    </cfRule>
    <cfRule type="cellIs" dxfId="94" priority="189" stopIfTrue="1" operator="notBetween">
      <formula>-0.001</formula>
      <formula>0.001</formula>
    </cfRule>
  </conditionalFormatting>
  <conditionalFormatting sqref="W20:W23">
    <cfRule type="cellIs" dxfId="93" priority="144" stopIfTrue="1" operator="notBetween">
      <formula>-0.001</formula>
      <formula>0.001</formula>
    </cfRule>
    <cfRule type="cellIs" dxfId="92" priority="141" stopIfTrue="1" operator="between">
      <formula>-0.0001</formula>
      <formula>0.0001</formula>
    </cfRule>
    <cfRule type="cellIs" dxfId="91" priority="142" stopIfTrue="1" operator="between">
      <formula>-0.01</formula>
      <formula>0.01</formula>
    </cfRule>
  </conditionalFormatting>
  <conditionalFormatting sqref="W21">
    <cfRule type="cellIs" dxfId="90" priority="134" stopIfTrue="1" operator="between">
      <formula>-0.0001</formula>
      <formula>0.0001</formula>
    </cfRule>
    <cfRule type="cellIs" dxfId="89" priority="135" stopIfTrue="1" operator="between">
      <formula>-0.01</formula>
      <formula>0.01</formula>
    </cfRule>
    <cfRule type="cellIs" dxfId="88" priority="136" stopIfTrue="1" operator="notBetween">
      <formula>-0.001</formula>
      <formula>0.001</formula>
    </cfRule>
  </conditionalFormatting>
  <conditionalFormatting sqref="W22:W32 W20">
    <cfRule type="cellIs" dxfId="87" priority="186" stopIfTrue="1" operator="between">
      <formula>-0.0001</formula>
      <formula>0.0001</formula>
    </cfRule>
  </conditionalFormatting>
  <conditionalFormatting sqref="W25:W27">
    <cfRule type="cellIs" dxfId="86" priority="182" stopIfTrue="1" operator="between">
      <formula>-0.0001</formula>
      <formula>0.0001</formula>
    </cfRule>
    <cfRule type="cellIs" dxfId="85" priority="185" stopIfTrue="1" operator="notBetween">
      <formula>-0.001</formula>
      <formula>0.001</formula>
    </cfRule>
    <cfRule type="cellIs" dxfId="84" priority="183" stopIfTrue="1" operator="between">
      <formula>-0.01</formula>
      <formula>0.01</formula>
    </cfRule>
  </conditionalFormatting>
  <conditionalFormatting sqref="W29">
    <cfRule type="cellIs" dxfId="83" priority="169" stopIfTrue="1" operator="between">
      <formula>-0.0001</formula>
      <formula>0.0001</formula>
    </cfRule>
    <cfRule type="cellIs" dxfId="82" priority="170" stopIfTrue="1" operator="between">
      <formula>-0.01</formula>
      <formula>0.01</formula>
    </cfRule>
    <cfRule type="cellIs" dxfId="81" priority="171" stopIfTrue="1" operator="notBetween">
      <formula>-0.001</formula>
      <formula>0.001</formula>
    </cfRule>
  </conditionalFormatting>
  <conditionalFormatting sqref="W30">
    <cfRule type="cellIs" dxfId="80" priority="190" stopIfTrue="1" operator="between">
      <formula>-0.0001</formula>
      <formula>0.0001</formula>
    </cfRule>
    <cfRule type="cellIs" dxfId="79" priority="191" stopIfTrue="1" operator="between">
      <formula>-0.01</formula>
      <formula>0.01</formula>
    </cfRule>
    <cfRule type="cellIs" dxfId="78" priority="193" stopIfTrue="1" operator="notBetween">
      <formula>-0.001</formula>
      <formula>0.001</formula>
    </cfRule>
  </conditionalFormatting>
  <conditionalFormatting sqref="W30:W33 W24 W63:W86 W18 W59:W61">
    <cfRule type="cellIs" dxfId="77" priority="195" stopIfTrue="1" operator="between">
      <formula>-0.0001</formula>
      <formula>0.0001</formula>
    </cfRule>
  </conditionalFormatting>
  <conditionalFormatting sqref="W34">
    <cfRule type="cellIs" dxfId="76" priority="176" stopIfTrue="1" operator="between">
      <formula>-0.01</formula>
      <formula>0.01</formula>
    </cfRule>
    <cfRule type="cellIs" dxfId="75" priority="175" stopIfTrue="1" operator="between">
      <formula>-0.0001</formula>
      <formula>0.0001</formula>
    </cfRule>
    <cfRule type="cellIs" dxfId="74" priority="177" stopIfTrue="1" operator="notBetween">
      <formula>-0.001</formula>
      <formula>0.001</formula>
    </cfRule>
  </conditionalFormatting>
  <conditionalFormatting sqref="W34:W35">
    <cfRule type="cellIs" dxfId="73" priority="103" stopIfTrue="1" operator="notBetween">
      <formula>-0.001</formula>
      <formula>0.001</formula>
    </cfRule>
    <cfRule type="cellIs" dxfId="72" priority="101" stopIfTrue="1" operator="between">
      <formula>-0.0001</formula>
      <formula>0.0001</formula>
    </cfRule>
    <cfRule type="cellIs" dxfId="71" priority="102" stopIfTrue="1" operator="between">
      <formula>-0.01</formula>
      <formula>0.01</formula>
    </cfRule>
  </conditionalFormatting>
  <conditionalFormatting sqref="W44:W46">
    <cfRule type="cellIs" dxfId="70" priority="47" stopIfTrue="1" operator="notBetween">
      <formula>-0.001</formula>
      <formula>0.001</formula>
    </cfRule>
    <cfRule type="cellIs" dxfId="69" priority="46" stopIfTrue="1" operator="between">
      <formula>-0.01</formula>
      <formula>0.01</formula>
    </cfRule>
    <cfRule type="cellIs" dxfId="68" priority="45" stopIfTrue="1" operator="between">
      <formula>-0.0001</formula>
      <formula>0.0001</formula>
    </cfRule>
  </conditionalFormatting>
  <conditionalFormatting sqref="W46:W48">
    <cfRule type="cellIs" dxfId="67" priority="44" stopIfTrue="1" operator="notBetween">
      <formula>-0.001</formula>
      <formula>0.001</formula>
    </cfRule>
  </conditionalFormatting>
  <conditionalFormatting sqref="W46:W50">
    <cfRule type="cellIs" dxfId="66" priority="42" stopIfTrue="1" operator="between">
      <formula>-0.0001</formula>
      <formula>0.0001</formula>
    </cfRule>
    <cfRule type="cellIs" dxfId="65" priority="43" stopIfTrue="1" operator="between">
      <formula>-0.01</formula>
      <formula>0.01</formula>
    </cfRule>
  </conditionalFormatting>
  <conditionalFormatting sqref="W47:W48">
    <cfRule type="cellIs" dxfId="64" priority="39" stopIfTrue="1" operator="between">
      <formula>-0.0001</formula>
      <formula>0.0001</formula>
    </cfRule>
    <cfRule type="cellIs" dxfId="63" priority="41" stopIfTrue="1" operator="notBetween">
      <formula>-0.001</formula>
      <formula>0.001</formula>
    </cfRule>
    <cfRule type="cellIs" dxfId="62" priority="40" stopIfTrue="1" operator="between">
      <formula>-0.01</formula>
      <formula>0.01</formula>
    </cfRule>
  </conditionalFormatting>
  <conditionalFormatting sqref="W50">
    <cfRule type="cellIs" dxfId="61" priority="120" stopIfTrue="1" operator="notBetween">
      <formula>-0.001</formula>
      <formula>0.001</formula>
    </cfRule>
  </conditionalFormatting>
  <conditionalFormatting sqref="W51:W62">
    <cfRule type="cellIs" dxfId="60" priority="5" stopIfTrue="1" operator="notBetween">
      <formula>-0.001</formula>
      <formula>0.001</formula>
    </cfRule>
    <cfRule type="cellIs" dxfId="59" priority="2" stopIfTrue="1" operator="between">
      <formula>-0.01</formula>
      <formula>0.01</formula>
    </cfRule>
    <cfRule type="cellIs" dxfId="58" priority="1" stopIfTrue="1" operator="between">
      <formula>-0.0001</formula>
      <formula>0.0001</formula>
    </cfRule>
  </conditionalFormatting>
  <conditionalFormatting sqref="W68 W93 W87 W106 W10 W49">
    <cfRule type="cellIs" dxfId="57" priority="197" stopIfTrue="1" operator="notBetween">
      <formula>-0.001</formula>
      <formula>0.001</formula>
    </cfRule>
  </conditionalFormatting>
  <conditionalFormatting sqref="W83:W86">
    <cfRule type="cellIs" dxfId="56" priority="153" stopIfTrue="1" operator="notBetween">
      <formula>-0.001</formula>
      <formula>0.001</formula>
    </cfRule>
  </conditionalFormatting>
  <conditionalFormatting sqref="W83:W92">
    <cfRule type="cellIs" dxfId="55" priority="127" stopIfTrue="1" operator="between">
      <formula>-0.0001</formula>
      <formula>0.0001</formula>
    </cfRule>
    <cfRule type="cellIs" dxfId="54" priority="128" stopIfTrue="1" operator="between">
      <formula>-0.01</formula>
      <formula>0.01</formula>
    </cfRule>
  </conditionalFormatting>
  <conditionalFormatting sqref="W88:W92">
    <cfRule type="cellIs" dxfId="53" priority="48" stopIfTrue="1" operator="notBetween">
      <formula>-0.001</formula>
      <formula>0.001</formula>
    </cfRule>
  </conditionalFormatting>
  <conditionalFormatting sqref="W93:W95">
    <cfRule type="cellIs" dxfId="52" priority="181" stopIfTrue="1" operator="between">
      <formula>-0.01</formula>
      <formula>0.01</formula>
    </cfRule>
    <cfRule type="cellIs" dxfId="51" priority="180" stopIfTrue="1" operator="between">
      <formula>-0.0001</formula>
      <formula>0.0001</formula>
    </cfRule>
  </conditionalFormatting>
  <conditionalFormatting sqref="W94">
    <cfRule type="cellIs" dxfId="50" priority="174" stopIfTrue="1" operator="notBetween">
      <formula>-0.001</formula>
      <formula>0.001</formula>
    </cfRule>
    <cfRule type="cellIs" dxfId="49" priority="173" stopIfTrue="1" operator="between">
      <formula>-0.01</formula>
      <formula>0.01</formula>
    </cfRule>
    <cfRule type="cellIs" dxfId="48" priority="172" stopIfTrue="1" operator="between">
      <formula>-0.0001</formula>
      <formula>0.0001</formula>
    </cfRule>
  </conditionalFormatting>
  <conditionalFormatting sqref="W96:W99">
    <cfRule type="cellIs" dxfId="47" priority="27" stopIfTrue="1" operator="between">
      <formula>-0.0001</formula>
      <formula>0.0001</formula>
    </cfRule>
    <cfRule type="cellIs" dxfId="46" priority="28" stopIfTrue="1" operator="between">
      <formula>-0.01</formula>
      <formula>0.01</formula>
    </cfRule>
    <cfRule type="cellIs" dxfId="45" priority="29" stopIfTrue="1" operator="notBetween">
      <formula>-0.001</formula>
      <formula>0.001</formula>
    </cfRule>
  </conditionalFormatting>
  <conditionalFormatting sqref="W100:W102 W104:W105">
    <cfRule type="cellIs" dxfId="44" priority="126" stopIfTrue="1" operator="notBetween">
      <formula>-0.001</formula>
      <formula>0.001</formula>
    </cfRule>
  </conditionalFormatting>
  <conditionalFormatting sqref="W100:W102 W104:W110">
    <cfRule type="cellIs" dxfId="43" priority="124" stopIfTrue="1" operator="between">
      <formula>-0.0001</formula>
      <formula>0.0001</formula>
    </cfRule>
    <cfRule type="cellIs" dxfId="42" priority="125" stopIfTrue="1" operator="between">
      <formula>-0.01</formula>
      <formula>0.01</formula>
    </cfRule>
  </conditionalFormatting>
  <conditionalFormatting sqref="W103">
    <cfRule type="cellIs" dxfId="41" priority="23" stopIfTrue="1" operator="between">
      <formula>-0.0001</formula>
      <formula>0.0001</formula>
    </cfRule>
    <cfRule type="cellIs" dxfId="40" priority="24" stopIfTrue="1" operator="between">
      <formula>-0.01</formula>
      <formula>0.01</formula>
    </cfRule>
    <cfRule type="cellIs" dxfId="39" priority="25" stopIfTrue="1" operator="notBetween">
      <formula>-0.001</formula>
      <formula>0.001</formula>
    </cfRule>
  </conditionalFormatting>
  <conditionalFormatting sqref="W108">
    <cfRule type="cellIs" dxfId="38" priority="179" stopIfTrue="1" operator="notBetween">
      <formula>-0.001</formula>
      <formula>0.001</formula>
    </cfRule>
  </conditionalFormatting>
  <conditionalFormatting sqref="W109:W110">
    <cfRule type="cellIs" dxfId="37" priority="178" stopIfTrue="1" operator="notBetween">
      <formula>-0.001</formula>
      <formula>0.001</formula>
    </cfRule>
  </conditionalFormatting>
  <conditionalFormatting sqref="W111">
    <cfRule type="cellIs" dxfId="36" priority="149" operator="lessThanOrEqual">
      <formula>0.1</formula>
    </cfRule>
  </conditionalFormatting>
  <conditionalFormatting sqref="W112:W114">
    <cfRule type="cellIs" dxfId="35" priority="99" stopIfTrue="1" operator="between">
      <formula>-0.01</formula>
      <formula>0.01</formula>
    </cfRule>
    <cfRule type="cellIs" dxfId="34" priority="98" stopIfTrue="1" operator="between">
      <formula>-0.0001</formula>
      <formula>0.0001</formula>
    </cfRule>
    <cfRule type="cellIs" dxfId="33" priority="100" stopIfTrue="1" operator="notBetween">
      <formula>-0.001</formula>
      <formula>0.001</formula>
    </cfRule>
  </conditionalFormatting>
  <conditionalFormatting sqref="W115">
    <cfRule type="cellIs" dxfId="32" priority="96" operator="lessThanOrEqual">
      <formula>0.1</formula>
    </cfRule>
  </conditionalFormatting>
  <conditionalFormatting sqref="W116:W117">
    <cfRule type="cellIs" dxfId="31" priority="92" stopIfTrue="1" operator="between">
      <formula>-0.01</formula>
      <formula>0.01</formula>
    </cfRule>
    <cfRule type="cellIs" dxfId="30" priority="93" stopIfTrue="1" operator="notBetween">
      <formula>-0.001</formula>
      <formula>0.001</formula>
    </cfRule>
    <cfRule type="cellIs" dxfId="29" priority="91" stopIfTrue="1" operator="between">
      <formula>-0.0001</formula>
      <formula>0.0001</formula>
    </cfRule>
  </conditionalFormatting>
  <conditionalFormatting sqref="W118">
    <cfRule type="cellIs" dxfId="28" priority="94" operator="lessThanOrEqual">
      <formula>0.1</formula>
    </cfRule>
  </conditionalFormatting>
  <conditionalFormatting sqref="W119:W120">
    <cfRule type="cellIs" dxfId="27" priority="86" stopIfTrue="1" operator="notBetween">
      <formula>-0.001</formula>
      <formula>0.001</formula>
    </cfRule>
    <cfRule type="cellIs" dxfId="26" priority="85" stopIfTrue="1" operator="between">
      <formula>-0.01</formula>
      <formula>0.01</formula>
    </cfRule>
    <cfRule type="cellIs" dxfId="25" priority="84" stopIfTrue="1" operator="between">
      <formula>-0.0001</formula>
      <formula>0.0001</formula>
    </cfRule>
    <cfRule type="cellIs" dxfId="24" priority="83" operator="between">
      <formula>0.01%</formula>
      <formula>-0.0001</formula>
    </cfRule>
  </conditionalFormatting>
  <conditionalFormatting sqref="W121">
    <cfRule type="cellIs" dxfId="23" priority="82" operator="lessThanOrEqual">
      <formula>0.1</formula>
    </cfRule>
  </conditionalFormatting>
  <conditionalFormatting sqref="W122:W126">
    <cfRule type="cellIs" dxfId="22" priority="65" stopIfTrue="1" operator="between">
      <formula>-0.0001</formula>
      <formula>0.0001</formula>
    </cfRule>
    <cfRule type="cellIs" dxfId="21" priority="64" operator="between">
      <formula>0.01%</formula>
      <formula>-0.0001</formula>
    </cfRule>
    <cfRule type="cellIs" dxfId="20" priority="66" stopIfTrue="1" operator="between">
      <formula>-0.01</formula>
      <formula>0.01</formula>
    </cfRule>
    <cfRule type="cellIs" dxfId="19" priority="67" stopIfTrue="1" operator="notBetween">
      <formula>-0.001</formula>
      <formula>0.001</formula>
    </cfRule>
  </conditionalFormatting>
  <conditionalFormatting sqref="W127">
    <cfRule type="cellIs" dxfId="18" priority="63" operator="lessThanOrEqual">
      <formula>0.1</formula>
    </cfRule>
  </conditionalFormatting>
  <conditionalFormatting sqref="W128">
    <cfRule type="cellIs" dxfId="17" priority="61" stopIfTrue="1" operator="notBetween">
      <formula>-0.001</formula>
      <formula>0.001</formula>
    </cfRule>
    <cfRule type="cellIs" dxfId="16" priority="58" operator="between">
      <formula>0.01%</formula>
      <formula>-0.0001</formula>
    </cfRule>
    <cfRule type="cellIs" dxfId="15" priority="59" stopIfTrue="1" operator="between">
      <formula>-0.0001</formula>
      <formula>0.0001</formula>
    </cfRule>
    <cfRule type="cellIs" dxfId="14" priority="60" stopIfTrue="1" operator="between">
      <formula>-0.01</formula>
      <formula>0.01</formula>
    </cfRule>
  </conditionalFormatting>
  <conditionalFormatting sqref="W129">
    <cfRule type="cellIs" dxfId="13" priority="20" stopIfTrue="1" operator="between">
      <formula>-0.01</formula>
      <formula>0.01</formula>
    </cfRule>
    <cfRule type="cellIs" dxfId="12" priority="19" stopIfTrue="1" operator="between">
      <formula>-0.0001</formula>
      <formula>0.0001</formula>
    </cfRule>
    <cfRule type="cellIs" dxfId="11" priority="17" stopIfTrue="1" operator="notBetween">
      <formula>-0.001</formula>
      <formula>0.001</formula>
    </cfRule>
  </conditionalFormatting>
  <conditionalFormatting sqref="W130">
    <cfRule type="cellIs" dxfId="10" priority="56" operator="lessThanOrEqual">
      <formula>0.1</formula>
    </cfRule>
  </conditionalFormatting>
  <conditionalFormatting sqref="W131">
    <cfRule type="cellIs" dxfId="9" priority="51" operator="between">
      <formula>0.01%</formula>
      <formula>-0.0001</formula>
    </cfRule>
    <cfRule type="cellIs" dxfId="8" priority="52" stopIfTrue="1" operator="between">
      <formula>-0.0001</formula>
      <formula>0.0001</formula>
    </cfRule>
    <cfRule type="cellIs" dxfId="7" priority="53" stopIfTrue="1" operator="between">
      <formula>-0.01</formula>
      <formula>0.01</formula>
    </cfRule>
    <cfRule type="cellIs" dxfId="6" priority="54" stopIfTrue="1" operator="notBetween">
      <formula>-0.001</formula>
      <formula>0.001</formula>
    </cfRule>
  </conditionalFormatting>
  <conditionalFormatting sqref="W132">
    <cfRule type="cellIs" dxfId="5" priority="34" operator="lessThanOrEqual">
      <formula>0.1</formula>
    </cfRule>
  </conditionalFormatting>
  <conditionalFormatting sqref="W133:W136">
    <cfRule type="cellIs" dxfId="4" priority="33" stopIfTrue="1" operator="notBetween">
      <formula>-0.001</formula>
      <formula>0.001</formula>
    </cfRule>
  </conditionalFormatting>
  <conditionalFormatting sqref="W133:W65535">
    <cfRule type="cellIs" dxfId="3" priority="37" stopIfTrue="1" operator="between">
      <formula>-0.0001</formula>
      <formula>0.0001</formula>
    </cfRule>
    <cfRule type="cellIs" dxfId="2" priority="38" stopIfTrue="1" operator="between">
      <formula>-0.01</formula>
      <formula>0.01</formula>
    </cfRule>
  </conditionalFormatting>
  <conditionalFormatting sqref="W129:X129">
    <cfRule type="cellIs" dxfId="1" priority="16" stopIfTrue="1" operator="equal">
      <formula>0</formula>
    </cfRule>
  </conditionalFormatting>
  <conditionalFormatting sqref="W133:X136">
    <cfRule type="cellIs" dxfId="0" priority="32" stopIfTrue="1" operator="equal">
      <formula>0</formula>
    </cfRule>
  </conditionalFormatting>
  <pageMargins left="0" right="0" top="0.98425196850393704" bottom="0.98425196850393704" header="0" footer="0"/>
  <pageSetup paperSize="9" scale="49" orientation="portrait" r:id="rId1"/>
  <headerFooter alignWithMargins="0">
    <oddHeader xml:space="preserve">&amp;LPolítica de precios JBS Argentina
&amp;CLista de precios por cadena&amp;RDepartamento de Marketing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 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Somer</dc:creator>
  <cp:lastModifiedBy>Nicolas Gentile</cp:lastModifiedBy>
  <dcterms:created xsi:type="dcterms:W3CDTF">2025-12-05T12:11:51Z</dcterms:created>
  <dcterms:modified xsi:type="dcterms:W3CDTF">2025-12-15T12:52:55Z</dcterms:modified>
</cp:coreProperties>
</file>