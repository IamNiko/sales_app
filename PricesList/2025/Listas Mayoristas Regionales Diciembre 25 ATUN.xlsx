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rian.dallaverde\Downloads\"/>
    </mc:Choice>
  </mc:AlternateContent>
  <xr:revisionPtr revIDLastSave="0" documentId="8_{EE4329F9-AC27-41E6-A67B-5D0EA467A2B7}" xr6:coauthVersionLast="47" xr6:coauthVersionMax="47" xr10:uidLastSave="{00000000-0000-0000-0000-000000000000}"/>
  <bookViews>
    <workbookView xWindow="-110" yWindow="-110" windowWidth="19420" windowHeight="10300" xr2:uid="{94F118C5-786E-406D-8501-EF64D23B22C2}"/>
  </bookViews>
  <sheets>
    <sheet name="MAYORISTAS REG" sheetId="1" r:id="rId1"/>
  </sheets>
  <definedNames>
    <definedName name="_Order1" hidden="1">255</definedName>
    <definedName name="_Order2" hidden="1">255</definedName>
    <definedName name="a">"$"</definedName>
    <definedName name="D">"$"</definedName>
    <definedName name="DIV">1000000</definedName>
    <definedName name="E">"$"</definedName>
    <definedName name="escala">"$"</definedName>
    <definedName name="Payment_Needed">"Pagamento necessário"</definedName>
    <definedName name="pro">"$"</definedName>
    <definedName name="Reimbursement">"Reembolso"</definedName>
    <definedName name="U">"$"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8" i="1" l="1"/>
  <c r="R138" i="1" s="1"/>
  <c r="S138" i="1" s="1"/>
  <c r="M138" i="1"/>
  <c r="L138" i="1"/>
  <c r="I138" i="1" s="1"/>
  <c r="P137" i="1"/>
  <c r="R137" i="1" s="1"/>
  <c r="S137" i="1" s="1"/>
  <c r="M137" i="1"/>
  <c r="L137" i="1"/>
  <c r="I137" i="1" s="1"/>
  <c r="X135" i="1"/>
  <c r="W135" i="1"/>
  <c r="P135" i="1"/>
  <c r="R135" i="1" s="1"/>
  <c r="S135" i="1" s="1"/>
  <c r="M135" i="1"/>
  <c r="L135" i="1"/>
  <c r="I135" i="1" s="1"/>
  <c r="J135" i="1" s="1"/>
  <c r="X134" i="1"/>
  <c r="W134" i="1"/>
  <c r="P134" i="1"/>
  <c r="R134" i="1" s="1"/>
  <c r="S134" i="1" s="1"/>
  <c r="M134" i="1"/>
  <c r="L134" i="1"/>
  <c r="I134" i="1" s="1"/>
  <c r="J134" i="1" s="1"/>
  <c r="X133" i="1"/>
  <c r="W133" i="1"/>
  <c r="P133" i="1"/>
  <c r="R133" i="1" s="1"/>
  <c r="S133" i="1" s="1"/>
  <c r="M133" i="1"/>
  <c r="L133" i="1"/>
  <c r="I133" i="1"/>
  <c r="J133" i="1" s="1"/>
  <c r="X132" i="1"/>
  <c r="W132" i="1"/>
  <c r="P132" i="1"/>
  <c r="R132" i="1" s="1"/>
  <c r="S132" i="1" s="1"/>
  <c r="M132" i="1"/>
  <c r="L132" i="1"/>
  <c r="I132" i="1"/>
  <c r="J132" i="1" s="1"/>
  <c r="X130" i="1"/>
  <c r="W130" i="1"/>
  <c r="P130" i="1"/>
  <c r="R130" i="1" s="1"/>
  <c r="S130" i="1" s="1"/>
  <c r="M130" i="1"/>
  <c r="L130" i="1"/>
  <c r="I130" i="1"/>
  <c r="J130" i="1" s="1"/>
  <c r="X128" i="1"/>
  <c r="W128" i="1"/>
  <c r="P128" i="1"/>
  <c r="R128" i="1" s="1"/>
  <c r="S128" i="1" s="1"/>
  <c r="M128" i="1"/>
  <c r="L128" i="1"/>
  <c r="I128" i="1"/>
  <c r="J128" i="1" s="1"/>
  <c r="X127" i="1"/>
  <c r="W127" i="1"/>
  <c r="P127" i="1"/>
  <c r="R127" i="1" s="1"/>
  <c r="S127" i="1" s="1"/>
  <c r="M127" i="1"/>
  <c r="L127" i="1"/>
  <c r="I127" i="1" s="1"/>
  <c r="J127" i="1" s="1"/>
  <c r="X125" i="1"/>
  <c r="W125" i="1"/>
  <c r="P125" i="1"/>
  <c r="R125" i="1" s="1"/>
  <c r="S125" i="1" s="1"/>
  <c r="M125" i="1"/>
  <c r="L125" i="1"/>
  <c r="I125" i="1" s="1"/>
  <c r="J125" i="1" s="1"/>
  <c r="X124" i="1"/>
  <c r="W124" i="1"/>
  <c r="P124" i="1"/>
  <c r="R124" i="1" s="1"/>
  <c r="S124" i="1" s="1"/>
  <c r="M124" i="1"/>
  <c r="L124" i="1"/>
  <c r="I124" i="1" s="1"/>
  <c r="J124" i="1" s="1"/>
  <c r="X123" i="1"/>
  <c r="W123" i="1"/>
  <c r="P123" i="1"/>
  <c r="R123" i="1" s="1"/>
  <c r="S123" i="1" s="1"/>
  <c r="M123" i="1"/>
  <c r="L123" i="1"/>
  <c r="I123" i="1" s="1"/>
  <c r="J123" i="1" s="1"/>
  <c r="X122" i="1"/>
  <c r="W122" i="1"/>
  <c r="P122" i="1"/>
  <c r="R122" i="1" s="1"/>
  <c r="S122" i="1" s="1"/>
  <c r="M122" i="1"/>
  <c r="L122" i="1"/>
  <c r="I122" i="1" s="1"/>
  <c r="J122" i="1" s="1"/>
  <c r="X121" i="1"/>
  <c r="W121" i="1"/>
  <c r="P121" i="1"/>
  <c r="R121" i="1" s="1"/>
  <c r="S121" i="1" s="1"/>
  <c r="M121" i="1"/>
  <c r="L121" i="1"/>
  <c r="I121" i="1"/>
  <c r="J121" i="1" s="1"/>
  <c r="X119" i="1"/>
  <c r="W119" i="1"/>
  <c r="P119" i="1"/>
  <c r="R119" i="1" s="1"/>
  <c r="S119" i="1" s="1"/>
  <c r="M119" i="1"/>
  <c r="L119" i="1"/>
  <c r="I119" i="1"/>
  <c r="J119" i="1" s="1"/>
  <c r="X118" i="1"/>
  <c r="W118" i="1"/>
  <c r="P118" i="1"/>
  <c r="R118" i="1" s="1"/>
  <c r="S118" i="1" s="1"/>
  <c r="M118" i="1"/>
  <c r="L118" i="1"/>
  <c r="I118" i="1"/>
  <c r="J118" i="1" s="1"/>
  <c r="X116" i="1"/>
  <c r="W116" i="1"/>
  <c r="P116" i="1"/>
  <c r="R116" i="1" s="1"/>
  <c r="S116" i="1" s="1"/>
  <c r="M116" i="1"/>
  <c r="L116" i="1"/>
  <c r="I116" i="1" s="1"/>
  <c r="J116" i="1" s="1"/>
  <c r="X115" i="1"/>
  <c r="W115" i="1"/>
  <c r="P115" i="1"/>
  <c r="R115" i="1" s="1"/>
  <c r="S115" i="1" s="1"/>
  <c r="M115" i="1"/>
  <c r="L115" i="1"/>
  <c r="I115" i="1" s="1"/>
  <c r="J115" i="1" s="1"/>
  <c r="X113" i="1"/>
  <c r="W113" i="1"/>
  <c r="P113" i="1"/>
  <c r="R113" i="1" s="1"/>
  <c r="S113" i="1" s="1"/>
  <c r="M113" i="1"/>
  <c r="L113" i="1"/>
  <c r="I113" i="1" s="1"/>
  <c r="J113" i="1" s="1"/>
  <c r="X112" i="1"/>
  <c r="W112" i="1"/>
  <c r="P112" i="1"/>
  <c r="R112" i="1" s="1"/>
  <c r="S112" i="1" s="1"/>
  <c r="M112" i="1"/>
  <c r="L112" i="1"/>
  <c r="I112" i="1" s="1"/>
  <c r="J112" i="1" s="1"/>
  <c r="X111" i="1"/>
  <c r="W111" i="1"/>
  <c r="P111" i="1"/>
  <c r="R111" i="1" s="1"/>
  <c r="S111" i="1" s="1"/>
  <c r="M111" i="1"/>
  <c r="L111" i="1"/>
  <c r="I111" i="1" s="1"/>
  <c r="J111" i="1" s="1"/>
  <c r="X109" i="1"/>
  <c r="W109" i="1"/>
  <c r="P109" i="1"/>
  <c r="R109" i="1" s="1"/>
  <c r="S109" i="1" s="1"/>
  <c r="M109" i="1"/>
  <c r="L109" i="1"/>
  <c r="I109" i="1"/>
  <c r="J109" i="1" s="1"/>
  <c r="X108" i="1"/>
  <c r="W108" i="1"/>
  <c r="P108" i="1"/>
  <c r="R108" i="1" s="1"/>
  <c r="S108" i="1" s="1"/>
  <c r="M108" i="1"/>
  <c r="L108" i="1"/>
  <c r="I108" i="1"/>
  <c r="J108" i="1" s="1"/>
  <c r="X107" i="1"/>
  <c r="X106" i="1"/>
  <c r="W106" i="1"/>
  <c r="P106" i="1"/>
  <c r="R106" i="1" s="1"/>
  <c r="S106" i="1" s="1"/>
  <c r="M106" i="1"/>
  <c r="L106" i="1"/>
  <c r="I106" i="1"/>
  <c r="J106" i="1" s="1"/>
  <c r="X104" i="1"/>
  <c r="W104" i="1"/>
  <c r="P104" i="1"/>
  <c r="R104" i="1" s="1"/>
  <c r="S104" i="1" s="1"/>
  <c r="M104" i="1"/>
  <c r="L104" i="1"/>
  <c r="I104" i="1" s="1"/>
  <c r="J104" i="1" s="1"/>
  <c r="X103" i="1"/>
  <c r="W103" i="1"/>
  <c r="P103" i="1"/>
  <c r="R103" i="1" s="1"/>
  <c r="S103" i="1" s="1"/>
  <c r="M103" i="1"/>
  <c r="L103" i="1"/>
  <c r="I103" i="1" s="1"/>
  <c r="J103" i="1" s="1"/>
  <c r="X102" i="1"/>
  <c r="W102" i="1"/>
  <c r="P102" i="1"/>
  <c r="R102" i="1" s="1"/>
  <c r="S102" i="1" s="1"/>
  <c r="M102" i="1"/>
  <c r="L102" i="1"/>
  <c r="I102" i="1" s="1"/>
  <c r="J102" i="1" s="1"/>
  <c r="X101" i="1"/>
  <c r="W101" i="1"/>
  <c r="P101" i="1"/>
  <c r="R101" i="1" s="1"/>
  <c r="S101" i="1" s="1"/>
  <c r="M101" i="1"/>
  <c r="L101" i="1"/>
  <c r="I101" i="1" s="1"/>
  <c r="J101" i="1" s="1"/>
  <c r="X100" i="1"/>
  <c r="W100" i="1"/>
  <c r="P100" i="1"/>
  <c r="R100" i="1" s="1"/>
  <c r="S100" i="1" s="1"/>
  <c r="M100" i="1"/>
  <c r="L100" i="1"/>
  <c r="I100" i="1" s="1"/>
  <c r="J100" i="1" s="1"/>
  <c r="X99" i="1"/>
  <c r="W99" i="1"/>
  <c r="P99" i="1"/>
  <c r="R99" i="1" s="1"/>
  <c r="S99" i="1" s="1"/>
  <c r="M99" i="1"/>
  <c r="L99" i="1"/>
  <c r="I99" i="1" s="1"/>
  <c r="J99" i="1" s="1"/>
  <c r="X98" i="1"/>
  <c r="W98" i="1"/>
  <c r="P98" i="1"/>
  <c r="R98" i="1" s="1"/>
  <c r="S98" i="1" s="1"/>
  <c r="M98" i="1"/>
  <c r="L98" i="1"/>
  <c r="I98" i="1" s="1"/>
  <c r="J98" i="1" s="1"/>
  <c r="X97" i="1"/>
  <c r="W97" i="1"/>
  <c r="P97" i="1"/>
  <c r="R97" i="1" s="1"/>
  <c r="S97" i="1" s="1"/>
  <c r="M97" i="1"/>
  <c r="L97" i="1"/>
  <c r="I97" i="1"/>
  <c r="J97" i="1" s="1"/>
  <c r="X96" i="1"/>
  <c r="W96" i="1"/>
  <c r="P96" i="1"/>
  <c r="R96" i="1" s="1"/>
  <c r="S96" i="1" s="1"/>
  <c r="M96" i="1"/>
  <c r="L96" i="1"/>
  <c r="I96" i="1" s="1"/>
  <c r="J96" i="1" s="1"/>
  <c r="X95" i="1"/>
  <c r="W95" i="1"/>
  <c r="P95" i="1"/>
  <c r="R95" i="1" s="1"/>
  <c r="S95" i="1" s="1"/>
  <c r="M95" i="1"/>
  <c r="L95" i="1"/>
  <c r="I95" i="1" s="1"/>
  <c r="J95" i="1" s="1"/>
  <c r="X94" i="1"/>
  <c r="W94" i="1"/>
  <c r="P94" i="1"/>
  <c r="R94" i="1" s="1"/>
  <c r="S94" i="1" s="1"/>
  <c r="L94" i="1"/>
  <c r="I94" i="1" s="1"/>
  <c r="J94" i="1" s="1"/>
  <c r="F94" i="1"/>
  <c r="M94" i="1" s="1"/>
  <c r="X93" i="1"/>
  <c r="W93" i="1"/>
  <c r="R93" i="1"/>
  <c r="S93" i="1" s="1"/>
  <c r="P93" i="1"/>
  <c r="L93" i="1"/>
  <c r="I93" i="1" s="1"/>
  <c r="J93" i="1" s="1"/>
  <c r="F93" i="1"/>
  <c r="M93" i="1" s="1"/>
  <c r="X91" i="1"/>
  <c r="W91" i="1"/>
  <c r="P91" i="1"/>
  <c r="R91" i="1" s="1"/>
  <c r="S91" i="1" s="1"/>
  <c r="M91" i="1"/>
  <c r="L91" i="1"/>
  <c r="I91" i="1" s="1"/>
  <c r="J91" i="1" s="1"/>
  <c r="X90" i="1"/>
  <c r="W90" i="1"/>
  <c r="P90" i="1"/>
  <c r="R90" i="1" s="1"/>
  <c r="S90" i="1" s="1"/>
  <c r="M90" i="1"/>
  <c r="L90" i="1"/>
  <c r="I90" i="1" s="1"/>
  <c r="J90" i="1" s="1"/>
  <c r="X89" i="1"/>
  <c r="W89" i="1"/>
  <c r="P89" i="1"/>
  <c r="R89" i="1" s="1"/>
  <c r="S89" i="1" s="1"/>
  <c r="M89" i="1"/>
  <c r="L89" i="1"/>
  <c r="I89" i="1" s="1"/>
  <c r="J89" i="1" s="1"/>
  <c r="X88" i="1"/>
  <c r="W88" i="1"/>
  <c r="P88" i="1"/>
  <c r="R88" i="1" s="1"/>
  <c r="S88" i="1" s="1"/>
  <c r="M88" i="1"/>
  <c r="L88" i="1"/>
  <c r="I88" i="1" s="1"/>
  <c r="J88" i="1" s="1"/>
  <c r="X87" i="1"/>
  <c r="W87" i="1"/>
  <c r="P87" i="1"/>
  <c r="R87" i="1" s="1"/>
  <c r="S87" i="1" s="1"/>
  <c r="M87" i="1"/>
  <c r="L87" i="1"/>
  <c r="I87" i="1" s="1"/>
  <c r="J87" i="1" s="1"/>
  <c r="X85" i="1"/>
  <c r="W85" i="1"/>
  <c r="P85" i="1"/>
  <c r="S85" i="1" s="1"/>
  <c r="M85" i="1"/>
  <c r="L85" i="1"/>
  <c r="I85" i="1"/>
  <c r="J85" i="1" s="1"/>
  <c r="X84" i="1"/>
  <c r="W84" i="1"/>
  <c r="S84" i="1"/>
  <c r="R84" i="1"/>
  <c r="P84" i="1"/>
  <c r="M84" i="1"/>
  <c r="L84" i="1"/>
  <c r="I84" i="1"/>
  <c r="J84" i="1" s="1"/>
  <c r="X83" i="1"/>
  <c r="W83" i="1"/>
  <c r="S83" i="1"/>
  <c r="R83" i="1"/>
  <c r="P83" i="1"/>
  <c r="M83" i="1"/>
  <c r="L83" i="1"/>
  <c r="I83" i="1"/>
  <c r="J83" i="1" s="1"/>
  <c r="X82" i="1"/>
  <c r="W82" i="1"/>
  <c r="S82" i="1"/>
  <c r="P82" i="1"/>
  <c r="R82" i="1" s="1"/>
  <c r="M82" i="1"/>
  <c r="L82" i="1"/>
  <c r="I82" i="1"/>
  <c r="J82" i="1" s="1"/>
  <c r="X81" i="1"/>
  <c r="W81" i="1"/>
  <c r="P81" i="1"/>
  <c r="S81" i="1" s="1"/>
  <c r="M81" i="1"/>
  <c r="L81" i="1"/>
  <c r="I81" i="1" s="1"/>
  <c r="J81" i="1" s="1"/>
  <c r="X80" i="1"/>
  <c r="W80" i="1"/>
  <c r="P80" i="1"/>
  <c r="S80" i="1" s="1"/>
  <c r="M80" i="1"/>
  <c r="L80" i="1"/>
  <c r="I80" i="1" s="1"/>
  <c r="J80" i="1" s="1"/>
  <c r="X79" i="1"/>
  <c r="W79" i="1"/>
  <c r="P79" i="1"/>
  <c r="S79" i="1" s="1"/>
  <c r="M79" i="1"/>
  <c r="L79" i="1"/>
  <c r="I79" i="1" s="1"/>
  <c r="J79" i="1" s="1"/>
  <c r="X78" i="1"/>
  <c r="W78" i="1"/>
  <c r="P78" i="1"/>
  <c r="S78" i="1" s="1"/>
  <c r="M78" i="1"/>
  <c r="L78" i="1"/>
  <c r="I78" i="1" s="1"/>
  <c r="J78" i="1" s="1"/>
  <c r="X77" i="1"/>
  <c r="W77" i="1"/>
  <c r="P77" i="1"/>
  <c r="S77" i="1" s="1"/>
  <c r="M77" i="1"/>
  <c r="L77" i="1"/>
  <c r="I77" i="1" s="1"/>
  <c r="J77" i="1" s="1"/>
  <c r="X76" i="1"/>
  <c r="W76" i="1"/>
  <c r="P76" i="1"/>
  <c r="S76" i="1" s="1"/>
  <c r="M76" i="1"/>
  <c r="L76" i="1"/>
  <c r="I76" i="1" s="1"/>
  <c r="J76" i="1" s="1"/>
  <c r="X75" i="1"/>
  <c r="W75" i="1"/>
  <c r="P75" i="1"/>
  <c r="S75" i="1" s="1"/>
  <c r="M75" i="1"/>
  <c r="L75" i="1"/>
  <c r="I75" i="1" s="1"/>
  <c r="J75" i="1" s="1"/>
  <c r="X74" i="1"/>
  <c r="W74" i="1"/>
  <c r="P74" i="1"/>
  <c r="R74" i="1" s="1"/>
  <c r="M74" i="1"/>
  <c r="L74" i="1"/>
  <c r="I74" i="1"/>
  <c r="J74" i="1" s="1"/>
  <c r="X73" i="1"/>
  <c r="W73" i="1"/>
  <c r="P73" i="1"/>
  <c r="S73" i="1" s="1"/>
  <c r="M73" i="1"/>
  <c r="L73" i="1"/>
  <c r="I73" i="1"/>
  <c r="J73" i="1" s="1"/>
  <c r="X72" i="1"/>
  <c r="W72" i="1"/>
  <c r="P72" i="1"/>
  <c r="S72" i="1" s="1"/>
  <c r="M72" i="1"/>
  <c r="L72" i="1"/>
  <c r="I72" i="1" s="1"/>
  <c r="J72" i="1" s="1"/>
  <c r="X71" i="1"/>
  <c r="W71" i="1"/>
  <c r="P71" i="1"/>
  <c r="S71" i="1" s="1"/>
  <c r="M71" i="1"/>
  <c r="L71" i="1"/>
  <c r="I71" i="1" s="1"/>
  <c r="J71" i="1" s="1"/>
  <c r="X70" i="1"/>
  <c r="W70" i="1"/>
  <c r="P70" i="1"/>
  <c r="S70" i="1" s="1"/>
  <c r="M70" i="1"/>
  <c r="L70" i="1"/>
  <c r="I70" i="1" s="1"/>
  <c r="J70" i="1" s="1"/>
  <c r="X69" i="1"/>
  <c r="W69" i="1"/>
  <c r="P69" i="1"/>
  <c r="R69" i="1" s="1"/>
  <c r="M69" i="1"/>
  <c r="L69" i="1"/>
  <c r="I69" i="1" s="1"/>
  <c r="J69" i="1" s="1"/>
  <c r="X68" i="1"/>
  <c r="W68" i="1"/>
  <c r="P68" i="1"/>
  <c r="R68" i="1" s="1"/>
  <c r="M68" i="1"/>
  <c r="L68" i="1"/>
  <c r="I68" i="1" s="1"/>
  <c r="J68" i="1" s="1"/>
  <c r="X66" i="1"/>
  <c r="W66" i="1"/>
  <c r="P66" i="1"/>
  <c r="R66" i="1" s="1"/>
  <c r="S66" i="1" s="1"/>
  <c r="M66" i="1"/>
  <c r="L66" i="1"/>
  <c r="I66" i="1" s="1"/>
  <c r="J66" i="1" s="1"/>
  <c r="X65" i="1"/>
  <c r="W65" i="1"/>
  <c r="P65" i="1"/>
  <c r="R65" i="1" s="1"/>
  <c r="S65" i="1" s="1"/>
  <c r="M65" i="1"/>
  <c r="L65" i="1"/>
  <c r="I65" i="1" s="1"/>
  <c r="J65" i="1" s="1"/>
  <c r="X64" i="1"/>
  <c r="W64" i="1"/>
  <c r="P64" i="1"/>
  <c r="R64" i="1" s="1"/>
  <c r="S64" i="1" s="1"/>
  <c r="M64" i="1"/>
  <c r="L64" i="1"/>
  <c r="I64" i="1"/>
  <c r="J64" i="1" s="1"/>
  <c r="X63" i="1"/>
  <c r="W63" i="1"/>
  <c r="P63" i="1"/>
  <c r="R63" i="1" s="1"/>
  <c r="S63" i="1" s="1"/>
  <c r="M63" i="1"/>
  <c r="L63" i="1"/>
  <c r="I63" i="1" s="1"/>
  <c r="J63" i="1" s="1"/>
  <c r="X62" i="1"/>
  <c r="W62" i="1"/>
  <c r="P62" i="1"/>
  <c r="R62" i="1" s="1"/>
  <c r="S62" i="1" s="1"/>
  <c r="M62" i="1"/>
  <c r="X61" i="1"/>
  <c r="W61" i="1"/>
  <c r="P61" i="1"/>
  <c r="R61" i="1" s="1"/>
  <c r="S61" i="1" s="1"/>
  <c r="M61" i="1"/>
  <c r="X60" i="1"/>
  <c r="W60" i="1"/>
  <c r="P60" i="1"/>
  <c r="R60" i="1" s="1"/>
  <c r="S60" i="1" s="1"/>
  <c r="M60" i="1"/>
  <c r="L60" i="1"/>
  <c r="I60" i="1"/>
  <c r="J60" i="1" s="1"/>
  <c r="X59" i="1"/>
  <c r="W59" i="1"/>
  <c r="P59" i="1"/>
  <c r="R59" i="1" s="1"/>
  <c r="S59" i="1" s="1"/>
  <c r="M59" i="1"/>
  <c r="L59" i="1"/>
  <c r="I59" i="1" s="1"/>
  <c r="J59" i="1" s="1"/>
  <c r="X58" i="1"/>
  <c r="W58" i="1"/>
  <c r="P58" i="1"/>
  <c r="R58" i="1" s="1"/>
  <c r="S58" i="1" s="1"/>
  <c r="M58" i="1"/>
  <c r="L58" i="1"/>
  <c r="I58" i="1"/>
  <c r="J58" i="1" s="1"/>
  <c r="X57" i="1"/>
  <c r="W57" i="1"/>
  <c r="P57" i="1"/>
  <c r="R57" i="1" s="1"/>
  <c r="S57" i="1" s="1"/>
  <c r="M57" i="1"/>
  <c r="L57" i="1"/>
  <c r="J57" i="1"/>
  <c r="X56" i="1"/>
  <c r="W56" i="1"/>
  <c r="P56" i="1"/>
  <c r="R56" i="1" s="1"/>
  <c r="S56" i="1" s="1"/>
  <c r="M56" i="1"/>
  <c r="L56" i="1"/>
  <c r="I56" i="1"/>
  <c r="J56" i="1" s="1"/>
  <c r="X55" i="1"/>
  <c r="W55" i="1"/>
  <c r="P55" i="1"/>
  <c r="R55" i="1" s="1"/>
  <c r="S55" i="1" s="1"/>
  <c r="M55" i="1"/>
  <c r="L55" i="1"/>
  <c r="I55" i="1" s="1"/>
  <c r="J55" i="1" s="1"/>
  <c r="X54" i="1"/>
  <c r="W54" i="1"/>
  <c r="P54" i="1"/>
  <c r="R54" i="1" s="1"/>
  <c r="S54" i="1" s="1"/>
  <c r="M54" i="1"/>
  <c r="L54" i="1"/>
  <c r="I54" i="1" s="1"/>
  <c r="J54" i="1" s="1"/>
  <c r="X53" i="1"/>
  <c r="W53" i="1"/>
  <c r="P53" i="1"/>
  <c r="R53" i="1" s="1"/>
  <c r="S53" i="1" s="1"/>
  <c r="M53" i="1"/>
  <c r="L53" i="1"/>
  <c r="I53" i="1" s="1"/>
  <c r="J53" i="1" s="1"/>
  <c r="X51" i="1"/>
  <c r="W51" i="1"/>
  <c r="P51" i="1"/>
  <c r="R51" i="1" s="1"/>
  <c r="S51" i="1" s="1"/>
  <c r="M51" i="1"/>
  <c r="L51" i="1"/>
  <c r="I51" i="1" s="1"/>
  <c r="J51" i="1" s="1"/>
  <c r="X50" i="1"/>
  <c r="W50" i="1"/>
  <c r="P50" i="1"/>
  <c r="R50" i="1" s="1"/>
  <c r="S50" i="1" s="1"/>
  <c r="M50" i="1"/>
  <c r="L50" i="1"/>
  <c r="I50" i="1" s="1"/>
  <c r="J50" i="1" s="1"/>
  <c r="X49" i="1"/>
  <c r="W49" i="1"/>
  <c r="P49" i="1"/>
  <c r="R49" i="1" s="1"/>
  <c r="S49" i="1" s="1"/>
  <c r="M49" i="1"/>
  <c r="L49" i="1"/>
  <c r="I49" i="1" s="1"/>
  <c r="J49" i="1" s="1"/>
  <c r="X46" i="1"/>
  <c r="W46" i="1"/>
  <c r="P46" i="1"/>
  <c r="R46" i="1" s="1"/>
  <c r="S46" i="1" s="1"/>
  <c r="L46" i="1"/>
  <c r="I46" i="1" s="1"/>
  <c r="J46" i="1" s="1"/>
  <c r="F46" i="1"/>
  <c r="M46" i="1" s="1"/>
  <c r="X45" i="1"/>
  <c r="W45" i="1"/>
  <c r="P45" i="1"/>
  <c r="R45" i="1" s="1"/>
  <c r="S45" i="1" s="1"/>
  <c r="L45" i="1"/>
  <c r="I45" i="1" s="1"/>
  <c r="J45" i="1" s="1"/>
  <c r="F45" i="1"/>
  <c r="M45" i="1" s="1"/>
  <c r="X43" i="1"/>
  <c r="W43" i="1"/>
  <c r="P43" i="1"/>
  <c r="R43" i="1" s="1"/>
  <c r="S43" i="1" s="1"/>
  <c r="M43" i="1"/>
  <c r="L43" i="1"/>
  <c r="I43" i="1" s="1"/>
  <c r="J43" i="1" s="1"/>
  <c r="X42" i="1"/>
  <c r="W42" i="1"/>
  <c r="P42" i="1"/>
  <c r="R42" i="1" s="1"/>
  <c r="S42" i="1" s="1"/>
  <c r="M42" i="1"/>
  <c r="L42" i="1"/>
  <c r="I42" i="1"/>
  <c r="J42" i="1" s="1"/>
  <c r="X41" i="1"/>
  <c r="W41" i="1"/>
  <c r="P41" i="1"/>
  <c r="R41" i="1" s="1"/>
  <c r="S41" i="1" s="1"/>
  <c r="M41" i="1"/>
  <c r="L41" i="1"/>
  <c r="I41" i="1" s="1"/>
  <c r="J41" i="1" s="1"/>
  <c r="X40" i="1"/>
  <c r="W40" i="1"/>
  <c r="P40" i="1"/>
  <c r="R40" i="1" s="1"/>
  <c r="S40" i="1" s="1"/>
  <c r="M40" i="1"/>
  <c r="L40" i="1"/>
  <c r="I40" i="1" s="1"/>
  <c r="J40" i="1" s="1"/>
  <c r="X39" i="1"/>
  <c r="W39" i="1"/>
  <c r="P39" i="1"/>
  <c r="R39" i="1" s="1"/>
  <c r="S39" i="1" s="1"/>
  <c r="M39" i="1"/>
  <c r="L39" i="1"/>
  <c r="I39" i="1"/>
  <c r="J39" i="1" s="1"/>
  <c r="X38" i="1"/>
  <c r="W38" i="1"/>
  <c r="P38" i="1"/>
  <c r="R38" i="1" s="1"/>
  <c r="S38" i="1" s="1"/>
  <c r="M38" i="1"/>
  <c r="L38" i="1"/>
  <c r="I38" i="1"/>
  <c r="J38" i="1" s="1"/>
  <c r="X37" i="1"/>
  <c r="W37" i="1"/>
  <c r="P37" i="1"/>
  <c r="R37" i="1" s="1"/>
  <c r="S37" i="1" s="1"/>
  <c r="M37" i="1"/>
  <c r="L37" i="1"/>
  <c r="I37" i="1" s="1"/>
  <c r="J37" i="1" s="1"/>
  <c r="X36" i="1"/>
  <c r="W36" i="1"/>
  <c r="P36" i="1"/>
  <c r="R36" i="1" s="1"/>
  <c r="S36" i="1" s="1"/>
  <c r="M36" i="1"/>
  <c r="L36" i="1"/>
  <c r="I36" i="1" s="1"/>
  <c r="J36" i="1" s="1"/>
  <c r="X35" i="1"/>
  <c r="W35" i="1"/>
  <c r="P35" i="1"/>
  <c r="R35" i="1" s="1"/>
  <c r="S35" i="1" s="1"/>
  <c r="M35" i="1"/>
  <c r="L35" i="1"/>
  <c r="I35" i="1" s="1"/>
  <c r="J35" i="1" s="1"/>
  <c r="X34" i="1"/>
  <c r="W34" i="1"/>
  <c r="P34" i="1"/>
  <c r="R34" i="1" s="1"/>
  <c r="S34" i="1" s="1"/>
  <c r="M34" i="1"/>
  <c r="L34" i="1"/>
  <c r="I34" i="1" s="1"/>
  <c r="J34" i="1" s="1"/>
  <c r="X33" i="1"/>
  <c r="W33" i="1"/>
  <c r="P33" i="1"/>
  <c r="R33" i="1" s="1"/>
  <c r="S33" i="1" s="1"/>
  <c r="L33" i="1"/>
  <c r="I33" i="1" s="1"/>
  <c r="J33" i="1" s="1"/>
  <c r="F33" i="1"/>
  <c r="M33" i="1" s="1"/>
  <c r="X32" i="1"/>
  <c r="W32" i="1"/>
  <c r="P32" i="1"/>
  <c r="R32" i="1" s="1"/>
  <c r="S32" i="1" s="1"/>
  <c r="M32" i="1"/>
  <c r="L32" i="1"/>
  <c r="I32" i="1"/>
  <c r="J32" i="1" s="1"/>
  <c r="X31" i="1"/>
  <c r="W31" i="1"/>
  <c r="P31" i="1"/>
  <c r="R31" i="1" s="1"/>
  <c r="S31" i="1" s="1"/>
  <c r="M31" i="1"/>
  <c r="L31" i="1"/>
  <c r="I31" i="1"/>
  <c r="J31" i="1" s="1"/>
  <c r="X30" i="1"/>
  <c r="W30" i="1"/>
  <c r="P30" i="1"/>
  <c r="R30" i="1" s="1"/>
  <c r="S30" i="1" s="1"/>
  <c r="M30" i="1"/>
  <c r="L30" i="1"/>
  <c r="I30" i="1" s="1"/>
  <c r="J30" i="1" s="1"/>
  <c r="X29" i="1"/>
  <c r="W29" i="1"/>
  <c r="P29" i="1"/>
  <c r="R29" i="1" s="1"/>
  <c r="S29" i="1" s="1"/>
  <c r="M29" i="1"/>
  <c r="L29" i="1"/>
  <c r="I29" i="1" s="1"/>
  <c r="J29" i="1" s="1"/>
  <c r="X28" i="1"/>
  <c r="W28" i="1"/>
  <c r="P28" i="1"/>
  <c r="R28" i="1" s="1"/>
  <c r="S28" i="1" s="1"/>
  <c r="M28" i="1"/>
  <c r="L28" i="1"/>
  <c r="I28" i="1" s="1"/>
  <c r="J28" i="1" s="1"/>
  <c r="X27" i="1"/>
  <c r="W27" i="1"/>
  <c r="P27" i="1"/>
  <c r="R27" i="1" s="1"/>
  <c r="S27" i="1" s="1"/>
  <c r="M27" i="1"/>
  <c r="L27" i="1"/>
  <c r="I27" i="1"/>
  <c r="J27" i="1" s="1"/>
  <c r="W26" i="1"/>
  <c r="P26" i="1"/>
  <c r="R26" i="1" s="1"/>
  <c r="S26" i="1" s="1"/>
  <c r="L26" i="1"/>
  <c r="I26" i="1" s="1"/>
  <c r="J26" i="1" s="1"/>
  <c r="X25" i="1"/>
  <c r="W25" i="1"/>
  <c r="P25" i="1"/>
  <c r="R25" i="1" s="1"/>
  <c r="S25" i="1" s="1"/>
  <c r="M25" i="1"/>
  <c r="L25" i="1"/>
  <c r="I25" i="1"/>
  <c r="J25" i="1" s="1"/>
  <c r="X24" i="1"/>
  <c r="W24" i="1"/>
  <c r="P24" i="1"/>
  <c r="R24" i="1" s="1"/>
  <c r="S24" i="1" s="1"/>
  <c r="M24" i="1"/>
  <c r="L24" i="1"/>
  <c r="I24" i="1" s="1"/>
  <c r="J24" i="1" s="1"/>
  <c r="X23" i="1"/>
  <c r="W23" i="1"/>
  <c r="P23" i="1"/>
  <c r="R23" i="1" s="1"/>
  <c r="S23" i="1" s="1"/>
  <c r="M23" i="1"/>
  <c r="L23" i="1"/>
  <c r="I23" i="1" s="1"/>
  <c r="J23" i="1" s="1"/>
  <c r="X22" i="1"/>
  <c r="W22" i="1"/>
  <c r="P22" i="1"/>
  <c r="R22" i="1" s="1"/>
  <c r="S22" i="1" s="1"/>
  <c r="M22" i="1"/>
  <c r="L22" i="1"/>
  <c r="I22" i="1"/>
  <c r="J22" i="1" s="1"/>
  <c r="X21" i="1"/>
  <c r="W21" i="1"/>
  <c r="P21" i="1"/>
  <c r="R21" i="1" s="1"/>
  <c r="S21" i="1" s="1"/>
  <c r="M21" i="1"/>
  <c r="L21" i="1"/>
  <c r="I21" i="1"/>
  <c r="J21" i="1" s="1"/>
  <c r="X20" i="1"/>
  <c r="W20" i="1"/>
  <c r="R20" i="1"/>
  <c r="S20" i="1" s="1"/>
  <c r="P20" i="1"/>
  <c r="M20" i="1"/>
  <c r="L20" i="1"/>
  <c r="I20" i="1" s="1"/>
  <c r="J20" i="1" s="1"/>
  <c r="X19" i="1"/>
  <c r="W19" i="1"/>
  <c r="P19" i="1"/>
  <c r="R19" i="1" s="1"/>
  <c r="S19" i="1" s="1"/>
  <c r="M19" i="1"/>
  <c r="L19" i="1"/>
  <c r="I19" i="1" s="1"/>
  <c r="J19" i="1" s="1"/>
  <c r="X18" i="1"/>
  <c r="W18" i="1"/>
  <c r="P18" i="1"/>
  <c r="R18" i="1" s="1"/>
  <c r="S18" i="1" s="1"/>
  <c r="M18" i="1"/>
  <c r="L18" i="1"/>
  <c r="I18" i="1"/>
  <c r="J18" i="1" s="1"/>
  <c r="X17" i="1"/>
  <c r="W17" i="1"/>
  <c r="P17" i="1"/>
  <c r="R17" i="1" s="1"/>
  <c r="S17" i="1" s="1"/>
  <c r="M17" i="1"/>
  <c r="L17" i="1"/>
  <c r="I17" i="1" s="1"/>
  <c r="J17" i="1" s="1"/>
  <c r="X16" i="1"/>
  <c r="W16" i="1"/>
  <c r="R16" i="1"/>
  <c r="S16" i="1" s="1"/>
  <c r="P16" i="1"/>
  <c r="M16" i="1"/>
  <c r="L16" i="1"/>
  <c r="I16" i="1" s="1"/>
  <c r="J16" i="1" s="1"/>
  <c r="X15" i="1"/>
  <c r="W15" i="1"/>
  <c r="P15" i="1"/>
  <c r="R15" i="1" s="1"/>
  <c r="S15" i="1" s="1"/>
  <c r="M15" i="1"/>
  <c r="L15" i="1"/>
  <c r="I15" i="1" s="1"/>
  <c r="J15" i="1" s="1"/>
  <c r="X14" i="1"/>
  <c r="W14" i="1"/>
  <c r="P14" i="1"/>
  <c r="R14" i="1" s="1"/>
  <c r="S14" i="1" s="1"/>
  <c r="M14" i="1"/>
  <c r="L14" i="1"/>
  <c r="I14" i="1" s="1"/>
  <c r="J14" i="1" s="1"/>
  <c r="X13" i="1"/>
  <c r="W13" i="1"/>
  <c r="P13" i="1"/>
  <c r="R13" i="1" s="1"/>
  <c r="S13" i="1" s="1"/>
  <c r="M13" i="1"/>
  <c r="L13" i="1"/>
  <c r="I13" i="1"/>
  <c r="J13" i="1" s="1"/>
  <c r="X12" i="1"/>
  <c r="W12" i="1"/>
  <c r="P12" i="1"/>
  <c r="R12" i="1" s="1"/>
  <c r="S12" i="1" s="1"/>
  <c r="M12" i="1"/>
  <c r="L12" i="1"/>
  <c r="I12" i="1" s="1"/>
  <c r="X11" i="1"/>
  <c r="W11" i="1"/>
  <c r="P11" i="1"/>
  <c r="R11" i="1" s="1"/>
  <c r="S11" i="1" s="1"/>
  <c r="M11" i="1"/>
  <c r="L11" i="1"/>
  <c r="I11" i="1" s="1"/>
  <c r="K11" i="1" s="1"/>
  <c r="B3" i="1"/>
  <c r="J137" i="1" l="1"/>
  <c r="J138" i="1"/>
  <c r="R75" i="1"/>
  <c r="R76" i="1"/>
  <c r="S74" i="1"/>
  <c r="S68" i="1"/>
  <c r="L62" i="1"/>
  <c r="I62" i="1" s="1"/>
  <c r="J62" i="1" s="1"/>
  <c r="K12" i="1"/>
  <c r="J12" i="1"/>
  <c r="R77" i="1"/>
  <c r="L61" i="1"/>
  <c r="I61" i="1" s="1"/>
  <c r="J61" i="1" s="1"/>
  <c r="R85" i="1"/>
  <c r="S69" i="1"/>
  <c r="R70" i="1"/>
  <c r="R78" i="1"/>
  <c r="R71" i="1"/>
  <c r="R79" i="1"/>
  <c r="R72" i="1"/>
  <c r="R80" i="1"/>
  <c r="J11" i="1"/>
  <c r="R73" i="1"/>
  <c r="R81" i="1"/>
</calcChain>
</file>

<file path=xl/sharedStrings.xml><?xml version="1.0" encoding="utf-8"?>
<sst xmlns="http://schemas.openxmlformats.org/spreadsheetml/2006/main" count="378" uniqueCount="173">
  <si>
    <t>Arquitectura de precios</t>
  </si>
  <si>
    <t>Fecha</t>
  </si>
  <si>
    <t>Código Cliente</t>
  </si>
  <si>
    <t>Cadena</t>
  </si>
  <si>
    <t>N° Lista</t>
  </si>
  <si>
    <t>Canal</t>
  </si>
  <si>
    <t>Mayoristas del Interior</t>
  </si>
  <si>
    <t>Clase</t>
  </si>
  <si>
    <t>Familia</t>
  </si>
  <si>
    <t>Código</t>
  </si>
  <si>
    <t>Descripción</t>
  </si>
  <si>
    <t>EAN</t>
  </si>
  <si>
    <t>Kg. x Caja</t>
  </si>
  <si>
    <t>Cant. X Caja</t>
  </si>
  <si>
    <t>Precio Público Mayorista</t>
  </si>
  <si>
    <t>Precio Publico Mínimo c/IVA</t>
  </si>
  <si>
    <t>x estuche</t>
  </si>
  <si>
    <t>x kg</t>
  </si>
  <si>
    <t>Precio de Lista</t>
  </si>
  <si>
    <t>Acuerdo  + Escala</t>
  </si>
  <si>
    <t>$ Factura</t>
  </si>
  <si>
    <t>Bonificación en factura</t>
  </si>
  <si>
    <t>Precio de estuche en factura</t>
  </si>
  <si>
    <t>Control precio DUX</t>
  </si>
  <si>
    <t>Variación Vs $fact</t>
  </si>
  <si>
    <t>NNNnet</t>
  </si>
  <si>
    <t xml:space="preserve">HAMBURGUESAS - ARG                                </t>
  </si>
  <si>
    <t xml:space="preserve">HG1 - SWIFT - ARG                                 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</si>
  <si>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</si>
  <si>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</si>
  <si>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</si>
  <si>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</si>
  <si>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</si>
  <si>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</si>
  <si>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</si>
  <si>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</si>
  <si>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</si>
  <si>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</si>
  <si>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 xml:space="preserve">MEDALLÓN DOBLE BURGER PACK PROMO 4X3 </t>
  </si>
  <si>
    <t/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</si>
  <si>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</si>
  <si>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</si>
  <si>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</si>
  <si>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>HAMBURGUESA X-TREMA 36 x 185 grs</t>
  </si>
  <si>
    <t>HAMBURGUESA 30X2X 106grs</t>
  </si>
  <si>
    <t xml:space="preserve">HG4 - EXPORTACION - ARG                           </t>
  </si>
  <si>
    <t xml:space="preserve">HAMBURGUESAS 18X2X120g CLL BRA/ARG </t>
  </si>
  <si>
    <t xml:space="preserve">HG5 - B-BRAND - ARG                               </t>
  </si>
  <si>
    <t>MEDALLON 42X112G LA BLANCA</t>
  </si>
  <si>
    <t>MEDALLON 12x4X69G LA BLANCA</t>
  </si>
  <si>
    <t xml:space="preserve">HG2 - MERCADO CALIENTE - ARG                      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</si>
  <si>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</si>
  <si>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</si>
  <si>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</si>
  <si>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</si>
  <si>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</si>
  <si>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</si>
  <si>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 xml:space="preserve">HG3 - MARCA PROPIA - ARG                          </t>
  </si>
  <si>
    <t>Hamburguesa Dia 18 X 4</t>
  </si>
  <si>
    <t>Hamburguesa Dia 12 X 12</t>
  </si>
  <si>
    <t>Hamburguesa Dia 6 X 20</t>
  </si>
  <si>
    <t>HAMBURGUESA 18X4X80g "LA ANONIMA"</t>
  </si>
  <si>
    <t>HAMBURGUESA 8X12X80g "LA ANONIMA"</t>
  </si>
  <si>
    <t>HAMBURGUESA 6X20X80g "LA ANONIMA"</t>
  </si>
  <si>
    <t>HAMBURGUESA 36 X 185 GRS</t>
  </si>
  <si>
    <t xml:space="preserve">Hamburguesa 30 x 80gramos. </t>
  </si>
  <si>
    <t>HAMBURGUESA 276 x 55 g GRANEL SWIFT</t>
  </si>
  <si>
    <t xml:space="preserve">MEDALLON 30x80g PROMOFIESTA  </t>
  </si>
  <si>
    <t>MEDALLON 30x80g REC</t>
  </si>
  <si>
    <t>HAMBURGUESA CLÁSICA 78 - 84 x 55gs</t>
  </si>
  <si>
    <t xml:space="preserve">SALCHICHAS - ARG                                  </t>
  </si>
  <si>
    <t xml:space="preserve">SA1 - SWIFT - ARG                                 </t>
  </si>
  <si>
    <t>SALCHICHAS 24X6 SWIFT</t>
  </si>
  <si>
    <t>SALCHICHAS 12X12 SWIFT</t>
  </si>
  <si>
    <t>SALCHICHAS 6X24 SWIFT</t>
  </si>
  <si>
    <t>SALCHICHAS SIN PIEL 24X6 "SWIFT KIDS" X 190 g</t>
  </si>
  <si>
    <t xml:space="preserve">SA2 - MERCADO CALIENTE - ARG                      </t>
  </si>
  <si>
    <t>SALCHICHAS  LARGAS  10 x 12  SWIFT  INSTITUCIONAL</t>
  </si>
  <si>
    <t>SALCHICHAS LARGAS 10 x 12 x 870g</t>
  </si>
  <si>
    <t>SALCHICHAS GASTRONÓMICAS  SWIFT  10X12X720 Grs</t>
  </si>
  <si>
    <t xml:space="preserve">SALCHICHAS CONGELADAS SWIFT 12x12x870g </t>
  </si>
  <si>
    <t xml:space="preserve">SA3 - LA BLANCA - ARG                             </t>
  </si>
  <si>
    <t>SALCHICHAS SIN PIEL "LA BLANCA"  24X6X190 Grs;</t>
  </si>
  <si>
    <t xml:space="preserve">SA4 - MARCA PROPIA - ARG                          </t>
  </si>
  <si>
    <t>SALCHICHAS 24X6 LA ANONIMA</t>
  </si>
  <si>
    <t>SALCHICHAS 12x12 LA ANONIMA</t>
  </si>
  <si>
    <t>SALCHICHAS 6x24 LA ANONIMA</t>
  </si>
  <si>
    <t>Salchichas Dia 20x6</t>
  </si>
  <si>
    <t>SALCHICHAS 12X12 DIA</t>
  </si>
  <si>
    <t>SALCHICHAS 6X24 DIA</t>
  </si>
  <si>
    <t xml:space="preserve">UNTABLES - ARG                                    </t>
  </si>
  <si>
    <t xml:space="preserve">CC1 - PATE Y PICADILLO SWIFT - ARG                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</si>
  <si>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</si>
  <si>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</si>
  <si>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</si>
  <si>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</si>
  <si>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</si>
  <si>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 xml:space="preserve">CC7 - VARIEDADES - ARG                            </t>
  </si>
  <si>
    <t>PATE DE FOIE A LA CREMA 24X88G SWIFT</t>
  </si>
  <si>
    <t>JAMON DEL DIABLO 24X88G SWIFT</t>
  </si>
  <si>
    <t>PATE DE FOIE DE POLLO 24X85G SWIFT</t>
  </si>
  <si>
    <t xml:space="preserve">CC8 - ESPECIALES - ARG                            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</si>
  <si>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</si>
  <si>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</si>
  <si>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</si>
  <si>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</si>
  <si>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</si>
  <si>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 xml:space="preserve">CC3 - LA BLANCA - ARG                             </t>
  </si>
  <si>
    <t>PICADILLO DE CARNE 24X90G LA BLANCA</t>
  </si>
  <si>
    <t>PATE DE FOIE 24X90G LA BLANCA</t>
  </si>
  <si>
    <t xml:space="preserve">CC4 - SAFRA - ARG                                 </t>
  </si>
  <si>
    <t>PICADILLO DE CARNE 24X90G SAFRA</t>
  </si>
  <si>
    <t>PATE DE FOIE 24X90G SAFRA</t>
  </si>
  <si>
    <t>PICADILLO DE CARNE 24X90G SAFRA LICITACION</t>
  </si>
  <si>
    <t xml:space="preserve">REBOZADOS DE VEGETALES - ARG                      </t>
  </si>
  <si>
    <t xml:space="preserve">MILANESAS DE SOJA - ARG                           </t>
  </si>
  <si>
    <t>MILANESAS DE  SOJA CON ORÉGANO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</si>
  <si>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</si>
  <si>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</si>
  <si>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</si>
  <si>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</si>
  <si>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 xml:space="preserve">REBOZADOS DE CARNE - ARG                          </t>
  </si>
  <si>
    <t xml:space="preserve">NUGGETS DE CARNE - ARG                            </t>
  </si>
  <si>
    <t>BOCADITOS DE CARNE "SWIFT" - 12x380g</t>
  </si>
  <si>
    <t xml:space="preserve">NUGGETS DE POLLO - ARG                            </t>
  </si>
  <si>
    <t>BOCADITOS DE POLLO "SWIFT" - 12x380g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</si>
  <si>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</si>
  <si>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</si>
  <si>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</si>
  <si>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</si>
  <si>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</si>
  <si>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</si>
  <si>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</si>
  <si>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</si>
  <si>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</si>
  <si>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</si>
  <si>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 xml:space="preserve">FIAMBRE - ARG                                     </t>
  </si>
  <si>
    <t xml:space="preserve">FI3 - TERCEROS NACIONALES - ARG                   </t>
  </si>
  <si>
    <t>MORTADELA SWIFT 10 x 300g</t>
  </si>
  <si>
    <t xml:space="preserve">PAPAS - ARG                                       </t>
  </si>
  <si>
    <t xml:space="preserve">OUTRAS BATATAS                                    </t>
  </si>
  <si>
    <t>PAPAS PREFRITAS SUPERCONGELADAS 25x400gr</t>
  </si>
  <si>
    <t>PAPAS PREFRITAS SUPERCONGELADAS 6x2000gr</t>
  </si>
  <si>
    <t>MILANESAS DE CARNE - ARG</t>
  </si>
  <si>
    <t>MILANESA DE CARNE VACUNA CONGELADA 24un x 500grs</t>
  </si>
  <si>
    <t>MILANESA DE CARNE VACUNA CONGELADA 12un x 1000grs</t>
  </si>
  <si>
    <t>MILANESAS DE CARNE VACUNA CONG GRANEL 5 kg (CAL GR)</t>
  </si>
  <si>
    <t>GRASA VACUNA REFINADA SWIFT 10 X 500</t>
  </si>
  <si>
    <t>GRASA VACUNA REFINADA SWIFT 12x1Kg</t>
  </si>
  <si>
    <t xml:space="preserve">CHARQUEO - ARG                          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</si>
  <si>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</si>
  <si>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</si>
  <si>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</si>
  <si>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</si>
  <si>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</si>
  <si>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</si>
  <si>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</si>
  <si>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CHORIZO FRESCO ARG</t>
  </si>
  <si>
    <t>CHORIZO FRESCO DE CERDO</t>
  </si>
  <si>
    <t>CHORIZOS FRESCOS DE CERDO LIBRE DE GLUTEN</t>
  </si>
  <si>
    <t>CHORIZOS FRESCOS DE CERDO CONGELADOS LIBRE DE GLUTEN 12u x 400g</t>
  </si>
  <si>
    <t>PAPAS PRE COCIDAS SUPERCONGELADAS LIBRES DE GLUTEN 700G</t>
  </si>
  <si>
    <t xml:space="preserve">NUGGETS DE VEGETALES - ARG                            </t>
  </si>
  <si>
    <t>NUGGETS DE ESPINACA 300GR</t>
  </si>
  <si>
    <t>NUGGETS DE BRÓCOLI 300GR</t>
  </si>
  <si>
    <t xml:space="preserve">MEDALLONES DE VEGETALES - ARG                            </t>
  </si>
  <si>
    <t>MEDALLÓN DE CALABAZA Y CHOCLO 300GR</t>
  </si>
  <si>
    <t>MEDALLÓN DE ESPINACA 300GR</t>
  </si>
  <si>
    <t>OUTROS</t>
  </si>
  <si>
    <t>LOMO DE ATUN AL NATURAL</t>
  </si>
  <si>
    <t>LOMO DE ATUN AL NATURAL SWIFT 170g</t>
  </si>
  <si>
    <t>LOMO DE ATUN EN ACEITE</t>
  </si>
  <si>
    <t>LOMO DE ATUN EN ACEITE SWIFT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</si>
</sst>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00_ ;[Red]\-#,##0.00\ "/>
    <numFmt numFmtId="166" formatCode="#,##0_ ;[Red]\-#,##0\ "/>
    <numFmt numFmtId="167" formatCode="_ * #,##0.00_ ;_ * \-#,##0.00_ ;_ * &quot;-&quot;??_ ;_ @_ "/>
    <numFmt numFmtId="168" formatCode="#,##0.000_ ;[Red]\-#,##0.000\ "/>
    <numFmt numFmtId="169" formatCode="#,##0.0_ ;[Red]\-#,##0.0\ "/>
    <numFmt numFmtId="170" formatCode="_ &quot;$&quot;\ * #,##0.00_ ;_ &quot;$&quot;\ * \-#,##0.00_ ;_ &quot;$&quot;\ * &quot;-&quot;??_ ;_ @_ "/>
  </numFmts>
  <fonts count="17" x14ac:knownFonts="1">
    <font>
      <sz val="10"/>
      <name val="Arial"/>
    </font>
    <font>
      <sz val="10"/>
      <name val="Arial"/>
      <family val="2"/>
    </font>
    <font>
      <b/>
      <sz val="12"/>
      <color indexed="9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8"/>
      <name val="Calibri"/>
      <family val="2"/>
    </font>
    <font>
      <sz val="10"/>
      <color theme="2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sz val="9"/>
      <name val="Calibri"/>
      <family val="2"/>
    </font>
    <font>
      <sz val="10"/>
      <color theme="4" tint="-0.249977111117893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8">
    <xf numFmtId="0" fontId="0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</cellStyleXfs>
  <cellXfs count="98">
    <xf numFmtId="0" fontId="0" fillId="0" borderId="0" xfId="0"/>
    <xf numFmtId="0" fontId="3" fillId="0" borderId="0" xfId="5" applyFont="1"/>
    <xf numFmtId="164" fontId="1" fillId="0" borderId="0" xfId="3" applyNumberFormat="1"/>
    <xf numFmtId="0" fontId="4" fillId="0" borderId="0" xfId="4" applyFont="1" applyAlignment="1">
      <alignment horizontal="left"/>
    </xf>
    <xf numFmtId="0" fontId="4" fillId="0" borderId="0" xfId="4" applyFont="1" applyAlignment="1">
      <alignment horizontal="center"/>
    </xf>
    <xf numFmtId="0" fontId="3" fillId="0" borderId="0" xfId="5" applyFont="1" applyAlignment="1">
      <alignment horizontal="center"/>
    </xf>
    <xf numFmtId="0" fontId="5" fillId="2" borderId="1" xfId="4" applyFont="1" applyFill="1" applyBorder="1" applyAlignment="1">
      <alignment horizontal="left" vertical="center"/>
    </xf>
    <xf numFmtId="0" fontId="4" fillId="0" borderId="2" xfId="5" applyFont="1" applyBorder="1" applyAlignment="1">
      <alignment horizontal="left"/>
    </xf>
    <xf numFmtId="0" fontId="4" fillId="0" borderId="3" xfId="4" applyFont="1" applyBorder="1" applyAlignment="1">
      <alignment horizontal="center"/>
    </xf>
    <xf numFmtId="1" fontId="6" fillId="0" borderId="2" xfId="3" applyNumberFormat="1" applyFont="1" applyBorder="1" applyAlignment="1">
      <alignment horizontal="left"/>
    </xf>
    <xf numFmtId="1" fontId="6" fillId="0" borderId="3" xfId="3" applyNumberFormat="1" applyFont="1" applyBorder="1" applyAlignment="1"/>
    <xf numFmtId="0" fontId="3" fillId="0" borderId="0" xfId="5" applyFont="1" applyAlignment="1">
      <alignment horizontal="left"/>
    </xf>
    <xf numFmtId="9" fontId="4" fillId="0" borderId="0" xfId="4" applyNumberFormat="1" applyFont="1" applyAlignment="1">
      <alignment horizontal="center"/>
    </xf>
    <xf numFmtId="9" fontId="8" fillId="0" borderId="0" xfId="3" applyFont="1"/>
    <xf numFmtId="164" fontId="9" fillId="0" borderId="0" xfId="3" applyNumberFormat="1" applyFont="1"/>
    <xf numFmtId="0" fontId="10" fillId="0" borderId="0" xfId="5" applyFont="1" applyAlignment="1">
      <alignment horizontal="center"/>
    </xf>
    <xf numFmtId="164" fontId="3" fillId="0" borderId="0" xfId="5" applyNumberFormat="1" applyFont="1"/>
    <xf numFmtId="0" fontId="5" fillId="2" borderId="1" xfId="4" applyFont="1" applyFill="1" applyBorder="1" applyAlignment="1">
      <alignment horizontal="center" vertical="distributed"/>
    </xf>
    <xf numFmtId="0" fontId="5" fillId="2" borderId="1" xfId="4" applyFont="1" applyFill="1" applyBorder="1" applyAlignment="1">
      <alignment horizontal="center" vertical="center"/>
    </xf>
    <xf numFmtId="164" fontId="9" fillId="0" borderId="0" xfId="3" applyNumberFormat="1" applyFont="1" applyAlignment="1">
      <alignment horizontal="center"/>
    </xf>
    <xf numFmtId="0" fontId="5" fillId="2" borderId="6" xfId="4" applyFont="1" applyFill="1" applyBorder="1" applyAlignment="1">
      <alignment horizontal="center" vertical="center" wrapText="1"/>
    </xf>
    <xf numFmtId="164" fontId="5" fillId="2" borderId="6" xfId="4" applyNumberFormat="1" applyFont="1" applyFill="1" applyBorder="1" applyAlignment="1">
      <alignment horizontal="center" vertical="center" wrapText="1"/>
    </xf>
    <xf numFmtId="0" fontId="5" fillId="2" borderId="6" xfId="4" applyFont="1" applyFill="1" applyBorder="1" applyAlignment="1">
      <alignment horizontal="center" vertical="distributed"/>
    </xf>
    <xf numFmtId="164" fontId="5" fillId="2" borderId="6" xfId="3" applyNumberFormat="1" applyFont="1" applyFill="1" applyBorder="1" applyAlignment="1">
      <alignment horizontal="center" vertical="distributed"/>
    </xf>
    <xf numFmtId="0" fontId="11" fillId="3" borderId="2" xfId="4" applyFont="1" applyFill="1" applyBorder="1" applyAlignment="1" applyProtection="1">
      <alignment horizontal="left" vertical="center"/>
      <protection hidden="1"/>
    </xf>
    <xf numFmtId="0" fontId="11" fillId="3" borderId="7" xfId="4" applyFont="1" applyFill="1" applyBorder="1" applyAlignment="1" applyProtection="1">
      <alignment horizontal="left" vertical="center"/>
      <protection hidden="1"/>
    </xf>
    <xf numFmtId="0" fontId="11" fillId="3" borderId="7" xfId="4" applyFont="1" applyFill="1" applyBorder="1" applyAlignment="1" applyProtection="1">
      <alignment horizontal="center" vertical="center"/>
      <protection hidden="1"/>
    </xf>
    <xf numFmtId="0" fontId="11" fillId="3" borderId="7" xfId="4" applyFont="1" applyFill="1" applyBorder="1" applyAlignment="1" applyProtection="1">
      <alignment vertical="center"/>
      <protection hidden="1"/>
    </xf>
    <xf numFmtId="0" fontId="11" fillId="3" borderId="3" xfId="4" applyFont="1" applyFill="1" applyBorder="1" applyAlignment="1" applyProtection="1">
      <alignment vertical="center"/>
      <protection hidden="1"/>
    </xf>
    <xf numFmtId="0" fontId="11" fillId="3" borderId="2" xfId="4" applyFont="1" applyFill="1" applyBorder="1" applyAlignment="1" applyProtection="1">
      <alignment vertical="center"/>
      <protection hidden="1"/>
    </xf>
    <xf numFmtId="0" fontId="12" fillId="3" borderId="3" xfId="4" applyFont="1" applyFill="1" applyBorder="1" applyAlignment="1" applyProtection="1">
      <alignment vertical="center"/>
      <protection hidden="1"/>
    </xf>
    <xf numFmtId="164" fontId="11" fillId="3" borderId="7" xfId="4" applyNumberFormat="1" applyFont="1" applyFill="1" applyBorder="1" applyAlignment="1" applyProtection="1">
      <alignment vertical="center"/>
      <protection hidden="1"/>
    </xf>
    <xf numFmtId="16" fontId="11" fillId="3" borderId="2" xfId="4" applyNumberFormat="1" applyFont="1" applyFill="1" applyBorder="1" applyAlignment="1" applyProtection="1">
      <alignment vertical="center"/>
      <protection hidden="1"/>
    </xf>
    <xf numFmtId="164" fontId="11" fillId="3" borderId="7" xfId="3" applyNumberFormat="1" applyFont="1" applyFill="1" applyBorder="1" applyAlignment="1" applyProtection="1">
      <alignment vertical="center"/>
      <protection hidden="1"/>
    </xf>
    <xf numFmtId="0" fontId="13" fillId="0" borderId="1" xfId="4" applyFont="1" applyBorder="1" applyAlignment="1">
      <alignment horizontal="left"/>
    </xf>
    <xf numFmtId="0" fontId="4" fillId="0" borderId="1" xfId="6" applyFont="1" applyBorder="1" applyAlignment="1">
      <alignment horizontal="center"/>
    </xf>
    <xf numFmtId="0" fontId="4" fillId="0" borderId="1" xfId="6" applyFont="1" applyBorder="1"/>
    <xf numFmtId="1" fontId="4" fillId="0" borderId="1" xfId="4" applyNumberFormat="1" applyFont="1" applyBorder="1" applyAlignment="1">
      <alignment horizontal="center"/>
    </xf>
    <xf numFmtId="165" fontId="11" fillId="0" borderId="1" xfId="4" applyNumberFormat="1" applyFont="1" applyBorder="1" applyAlignment="1">
      <alignment horizontal="center"/>
    </xf>
    <xf numFmtId="166" fontId="11" fillId="0" borderId="1" xfId="4" applyNumberFormat="1" applyFont="1" applyBorder="1" applyAlignment="1">
      <alignment horizontal="center"/>
    </xf>
    <xf numFmtId="0" fontId="14" fillId="0" borderId="0" xfId="5" applyFont="1"/>
    <xf numFmtId="165" fontId="11" fillId="0" borderId="8" xfId="4" applyNumberFormat="1" applyFont="1" applyBorder="1" applyAlignment="1">
      <alignment horizontal="center"/>
    </xf>
    <xf numFmtId="165" fontId="15" fillId="0" borderId="8" xfId="4" applyNumberFormat="1" applyFont="1" applyBorder="1" applyAlignment="1">
      <alignment horizontal="center"/>
    </xf>
    <xf numFmtId="164" fontId="11" fillId="0" borderId="8" xfId="3" applyNumberFormat="1" applyFont="1" applyFill="1" applyBorder="1" applyAlignment="1">
      <alignment horizontal="center"/>
    </xf>
    <xf numFmtId="167" fontId="11" fillId="0" borderId="8" xfId="1" applyFont="1" applyFill="1" applyBorder="1" applyAlignment="1">
      <alignment horizontal="center"/>
    </xf>
    <xf numFmtId="165" fontId="3" fillId="0" borderId="0" xfId="5" applyNumberFormat="1" applyFont="1"/>
    <xf numFmtId="165" fontId="0" fillId="0" borderId="0" xfId="0" applyNumberFormat="1"/>
    <xf numFmtId="164" fontId="11" fillId="0" borderId="1" xfId="3" applyNumberFormat="1" applyFont="1" applyFill="1" applyBorder="1" applyAlignment="1">
      <alignment horizontal="center"/>
    </xf>
    <xf numFmtId="0" fontId="4" fillId="0" borderId="1" xfId="6" applyFont="1" applyFill="1" applyBorder="1" applyAlignment="1">
      <alignment horizontal="center"/>
    </xf>
    <xf numFmtId="167" fontId="11" fillId="0" borderId="1" xfId="1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0" fontId="4" fillId="0" borderId="1" xfId="4" applyFont="1" applyBorder="1" applyAlignment="1">
      <alignment horizontal="left"/>
    </xf>
    <xf numFmtId="165" fontId="11" fillId="0" borderId="1" xfId="7" applyNumberFormat="1" applyFont="1" applyBorder="1" applyAlignment="1">
      <alignment horizontal="center"/>
    </xf>
    <xf numFmtId="166" fontId="11" fillId="0" borderId="1" xfId="7" applyNumberFormat="1" applyFont="1" applyBorder="1" applyAlignment="1">
      <alignment horizontal="center"/>
    </xf>
    <xf numFmtId="0" fontId="4" fillId="4" borderId="1" xfId="4" applyFont="1" applyFill="1" applyBorder="1" applyAlignment="1">
      <alignment horizontal="center"/>
    </xf>
    <xf numFmtId="0" fontId="4" fillId="4" borderId="1" xfId="6" applyFont="1" applyFill="1" applyBorder="1"/>
    <xf numFmtId="1" fontId="4" fillId="4" borderId="1" xfId="4" applyNumberFormat="1" applyFont="1" applyFill="1" applyBorder="1" applyAlignment="1">
      <alignment horizontal="center"/>
    </xf>
    <xf numFmtId="165" fontId="11" fillId="4" borderId="1" xfId="7" applyNumberFormat="1" applyFont="1" applyFill="1" applyBorder="1" applyAlignment="1">
      <alignment horizontal="center"/>
    </xf>
    <xf numFmtId="166" fontId="11" fillId="4" borderId="1" xfId="7" applyNumberFormat="1" applyFont="1" applyFill="1" applyBorder="1" applyAlignment="1">
      <alignment horizontal="center"/>
    </xf>
    <xf numFmtId="0" fontId="3" fillId="4" borderId="0" xfId="5" applyFont="1" applyFill="1"/>
    <xf numFmtId="165" fontId="11" fillId="4" borderId="1" xfId="4" applyNumberFormat="1" applyFont="1" applyFill="1" applyBorder="1" applyAlignment="1">
      <alignment horizontal="center"/>
    </xf>
    <xf numFmtId="164" fontId="11" fillId="4" borderId="8" xfId="3" applyNumberFormat="1" applyFont="1" applyFill="1" applyBorder="1" applyAlignment="1">
      <alignment horizontal="center"/>
    </xf>
    <xf numFmtId="164" fontId="11" fillId="4" borderId="1" xfId="3" applyNumberFormat="1" applyFont="1" applyFill="1" applyBorder="1" applyAlignment="1">
      <alignment horizontal="center"/>
    </xf>
    <xf numFmtId="165" fontId="11" fillId="5" borderId="1" xfId="4" applyNumberFormat="1" applyFont="1" applyFill="1" applyBorder="1" applyAlignment="1">
      <alignment horizontal="center"/>
    </xf>
    <xf numFmtId="164" fontId="11" fillId="5" borderId="1" xfId="3" applyNumberFormat="1" applyFont="1" applyFill="1" applyBorder="1" applyAlignment="1">
      <alignment horizontal="center"/>
    </xf>
    <xf numFmtId="0" fontId="13" fillId="0" borderId="2" xfId="4" applyFont="1" applyBorder="1" applyAlignment="1">
      <alignment horizontal="left"/>
    </xf>
    <xf numFmtId="0" fontId="13" fillId="0" borderId="7" xfId="4" applyFont="1" applyBorder="1" applyAlignment="1">
      <alignment horizontal="left"/>
    </xf>
    <xf numFmtId="0" fontId="4" fillId="0" borderId="7" xfId="4" applyFont="1" applyBorder="1" applyAlignment="1">
      <alignment horizontal="center"/>
    </xf>
    <xf numFmtId="0" fontId="4" fillId="0" borderId="7" xfId="4" applyFont="1" applyBorder="1" applyAlignment="1">
      <alignment horizontal="left"/>
    </xf>
    <xf numFmtId="1" fontId="4" fillId="0" borderId="7" xfId="4" applyNumberFormat="1" applyFont="1" applyBorder="1" applyAlignment="1">
      <alignment horizontal="center"/>
    </xf>
    <xf numFmtId="165" fontId="11" fillId="0" borderId="7" xfId="4" applyNumberFormat="1" applyFont="1" applyBorder="1" applyAlignment="1">
      <alignment horizontal="center"/>
    </xf>
    <xf numFmtId="166" fontId="11" fillId="0" borderId="3" xfId="4" applyNumberFormat="1" applyFont="1" applyBorder="1" applyAlignment="1">
      <alignment horizontal="center"/>
    </xf>
    <xf numFmtId="165" fontId="11" fillId="0" borderId="2" xfId="4" applyNumberFormat="1" applyFont="1" applyBorder="1" applyAlignment="1">
      <alignment horizontal="center"/>
    </xf>
    <xf numFmtId="165" fontId="11" fillId="0" borderId="3" xfId="4" applyNumberFormat="1" applyFont="1" applyBorder="1" applyAlignment="1">
      <alignment horizontal="center"/>
    </xf>
    <xf numFmtId="165" fontId="15" fillId="0" borderId="9" xfId="4" applyNumberFormat="1" applyFont="1" applyBorder="1" applyAlignment="1">
      <alignment horizontal="center"/>
    </xf>
    <xf numFmtId="164" fontId="11" fillId="0" borderId="7" xfId="3" applyNumberFormat="1" applyFont="1" applyFill="1" applyBorder="1" applyAlignment="1">
      <alignment horizontal="center"/>
    </xf>
    <xf numFmtId="166" fontId="11" fillId="3" borderId="3" xfId="4" applyNumberFormat="1" applyFont="1" applyFill="1" applyBorder="1" applyAlignment="1" applyProtection="1">
      <alignment vertical="center"/>
      <protection hidden="1"/>
    </xf>
    <xf numFmtId="10" fontId="3" fillId="0" borderId="0" xfId="3" applyNumberFormat="1" applyFont="1"/>
    <xf numFmtId="168" fontId="11" fillId="0" borderId="1" xfId="4" applyNumberFormat="1" applyFont="1" applyBorder="1" applyAlignment="1">
      <alignment horizontal="center"/>
    </xf>
    <xf numFmtId="0" fontId="13" fillId="0" borderId="1" xfId="4" applyFont="1" applyBorder="1" applyAlignment="1">
      <alignment horizontal="center"/>
    </xf>
    <xf numFmtId="1" fontId="13" fillId="0" borderId="1" xfId="4" applyNumberFormat="1" applyFont="1" applyBorder="1" applyAlignment="1">
      <alignment horizontal="center"/>
    </xf>
    <xf numFmtId="165" fontId="16" fillId="0" borderId="1" xfId="4" applyNumberFormat="1" applyFont="1" applyBorder="1" applyAlignment="1">
      <alignment horizontal="center"/>
    </xf>
    <xf numFmtId="166" fontId="16" fillId="0" borderId="1" xfId="4" applyNumberFormat="1" applyFont="1" applyBorder="1" applyAlignment="1">
      <alignment horizontal="center"/>
    </xf>
    <xf numFmtId="0" fontId="1" fillId="0" borderId="0" xfId="5"/>
    <xf numFmtId="164" fontId="16" fillId="0" borderId="1" xfId="3" applyNumberFormat="1" applyFont="1" applyFill="1" applyBorder="1" applyAlignment="1">
      <alignment horizontal="center"/>
    </xf>
    <xf numFmtId="1" fontId="13" fillId="0" borderId="10" xfId="4" applyNumberFormat="1" applyFont="1" applyBorder="1" applyAlignment="1">
      <alignment horizontal="left"/>
    </xf>
    <xf numFmtId="0" fontId="15" fillId="3" borderId="7" xfId="4" applyFont="1" applyFill="1" applyBorder="1" applyAlignment="1" applyProtection="1">
      <alignment vertical="center"/>
      <protection hidden="1"/>
    </xf>
    <xf numFmtId="10" fontId="11" fillId="3" borderId="7" xfId="3" applyNumberFormat="1" applyFont="1" applyFill="1" applyBorder="1" applyAlignment="1" applyProtection="1">
      <alignment vertical="center"/>
      <protection hidden="1"/>
    </xf>
    <xf numFmtId="169" fontId="11" fillId="0" borderId="1" xfId="4" applyNumberFormat="1" applyFont="1" applyBorder="1" applyAlignment="1">
      <alignment horizontal="center"/>
    </xf>
    <xf numFmtId="170" fontId="0" fillId="0" borderId="0" xfId="2" applyFont="1" applyFill="1"/>
    <xf numFmtId="0" fontId="8" fillId="0" borderId="0" xfId="5" applyFont="1"/>
    <xf numFmtId="0" fontId="10" fillId="0" borderId="0" xfId="5" applyFont="1"/>
    <xf numFmtId="9" fontId="9" fillId="0" borderId="0" xfId="3" applyFont="1" applyFill="1"/>
    <xf numFmtId="0" fontId="2" fillId="2" borderId="0" xfId="4" applyFont="1" applyFill="1" applyAlignment="1">
      <alignment horizontal="center" vertical="center"/>
    </xf>
    <xf numFmtId="14" fontId="4" fillId="0" borderId="2" xfId="4" applyNumberFormat="1" applyFont="1" applyBorder="1" applyAlignment="1">
      <alignment horizontal="center"/>
    </xf>
    <xf numFmtId="14" fontId="4" fillId="0" borderId="3" xfId="4" applyNumberFormat="1" applyFont="1" applyBorder="1" applyAlignment="1">
      <alignment horizontal="center"/>
    </xf>
    <xf numFmtId="9" fontId="7" fillId="0" borderId="4" xfId="3" applyFont="1" applyBorder="1" applyAlignment="1">
      <alignment horizontal="center"/>
    </xf>
    <xf numFmtId="9" fontId="7" fillId="0" borderId="5" xfId="3" applyFont="1" applyBorder="1" applyAlignment="1">
      <alignment horizontal="center"/>
    </xf>
  </cellXfs>
  <cellStyles count="8">
    <cellStyle name="Millares" xfId="1" builtinId="3"/>
    <cellStyle name="Moneda" xfId="2" builtinId="4"/>
    <cellStyle name="Normal" xfId="0" builtinId="0"/>
    <cellStyle name="Normal 3" xfId="6" xr:uid="{C8D34A48-A993-429A-8CA2-3BFE16564D0F}"/>
    <cellStyle name="Normal_ARQUITECTURA DE PRECIOS 1 0" xfId="4" xr:uid="{6B3B68AF-0B02-4071-BF7A-F4C24EB32B64}"/>
    <cellStyle name="Normal_ARQUITECTURA DE PRECIOS 1 0 2" xfId="7" xr:uid="{13710D54-B818-4640-B932-386484E7D7C4}"/>
    <cellStyle name="Normal_Precio públicos al 01-03" xfId="5" xr:uid="{CB69B841-96C8-4EE1-B7A3-2F2E2FF20E44}"/>
    <cellStyle name="Porcentaje" xfId="3" builtinId="5"/>
  </cellStyles>
  <dxfs count="16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FBAC-AFE1-41E8-955A-9177328D931C}">
  <sheetPr>
    <tabColor rgb="FF0070C0"/>
    <pageSetUpPr fitToPage="1"/>
  </sheetPr>
  <dimension ref="A1:AV199"/>
  <sheetViews>
    <sheetView showGridLines="0" tabSelected="1" topLeftCell="A117" zoomScale="80" zoomScaleNormal="80" zoomScalePageLayoutView="80" workbookViewId="0">
      <selection activeCell="U142" sqref="U142"/>
    </sheetView>
  </sheetViews>
  <sheetFormatPr baseColWidth="10" defaultColWidth="9.1796875" defaultRowHeight="13" x14ac:dyDescent="0.3"/>
  <cols>
    <col min="1" max="1" width="13.453125" style="11" customWidth="1"/>
    <col min="2" max="2" width="15.453125" style="11" customWidth="1"/>
    <col min="3" max="3" width="14.54296875" style="5" customWidth="1"/>
    <col min="4" max="4" width="31.7265625" style="1" customWidth="1"/>
    <col min="5" max="5" width="13.453125" style="5" customWidth="1"/>
    <col min="6" max="6" width="6.81640625" style="1" customWidth="1"/>
    <col min="7" max="7" width="6.1796875" style="1" customWidth="1"/>
    <col min="8" max="8" width="3" style="1" customWidth="1"/>
    <col min="9" max="9" width="11.7265625" style="1" bestFit="1" customWidth="1"/>
    <col min="10" max="10" width="11.7265625" style="90" bestFit="1" customWidth="1"/>
    <col min="11" max="11" width="7.26953125" style="14" customWidth="1"/>
    <col min="12" max="12" width="7.7265625" style="1" customWidth="1"/>
    <col min="13" max="13" width="9.26953125" style="1" customWidth="1"/>
    <col min="14" max="14" width="13.26953125" style="91" bestFit="1" customWidth="1"/>
    <col min="15" max="15" width="7" style="16" customWidth="1"/>
    <col min="16" max="16" width="8.26953125" style="1" customWidth="1"/>
    <col min="17" max="17" width="6.1796875" style="16" customWidth="1"/>
    <col min="18" max="18" width="8.1796875" style="1" customWidth="1"/>
    <col min="19" max="19" width="8.453125" style="1" customWidth="1"/>
    <col min="20" max="20" width="7.54296875" style="1" customWidth="1"/>
    <col min="21" max="21" width="7.81640625" style="1" customWidth="1"/>
    <col min="22" max="22" width="11.1796875" style="1" customWidth="1"/>
    <col min="23" max="23" width="8.1796875" style="2" bestFit="1" customWidth="1"/>
    <col min="24" max="24" width="8.1796875" style="1" bestFit="1" customWidth="1"/>
    <col min="25" max="16384" width="9.1796875" style="1"/>
  </cols>
  <sheetData>
    <row r="1" spans="1:24" ht="27" customHeight="1" x14ac:dyDescent="0.3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</row>
    <row r="2" spans="1:24" ht="11.25" customHeight="1" x14ac:dyDescent="0.3">
      <c r="A2" s="3"/>
      <c r="B2" s="3"/>
      <c r="C2" s="4"/>
      <c r="I2"/>
      <c r="J2"/>
      <c r="K2"/>
      <c r="L2"/>
      <c r="M2"/>
      <c r="N2"/>
      <c r="O2"/>
      <c r="P2"/>
      <c r="Q2"/>
      <c r="R2"/>
      <c r="S2"/>
      <c r="T2"/>
    </row>
    <row r="3" spans="1:24" x14ac:dyDescent="0.3">
      <c r="A3" s="6" t="s">
        <v>1</v>
      </c>
      <c r="B3" s="94">
        <f ca="1">++TODAY()</f>
        <v>46010</v>
      </c>
      <c r="C3" s="95"/>
      <c r="I3"/>
      <c r="J3"/>
      <c r="K3"/>
      <c r="L3"/>
      <c r="M3"/>
      <c r="N3"/>
      <c r="O3"/>
      <c r="P3"/>
      <c r="Q3"/>
      <c r="R3"/>
      <c r="S3"/>
      <c r="T3"/>
    </row>
    <row r="4" spans="1:24" x14ac:dyDescent="0.3">
      <c r="A4" s="3" t="s">
        <v>2</v>
      </c>
      <c r="B4" s="3"/>
      <c r="C4" s="4"/>
      <c r="I4"/>
      <c r="J4"/>
      <c r="K4"/>
      <c r="L4"/>
      <c r="M4"/>
      <c r="N4"/>
      <c r="O4"/>
      <c r="P4"/>
      <c r="Q4"/>
      <c r="R4"/>
      <c r="S4"/>
      <c r="T4"/>
    </row>
    <row r="5" spans="1:24" x14ac:dyDescent="0.3">
      <c r="A5" s="6" t="s">
        <v>3</v>
      </c>
      <c r="B5" s="7"/>
      <c r="C5" s="8"/>
      <c r="I5"/>
      <c r="J5"/>
      <c r="K5"/>
      <c r="L5"/>
      <c r="M5"/>
      <c r="N5"/>
      <c r="O5"/>
      <c r="P5"/>
      <c r="Q5"/>
      <c r="R5"/>
      <c r="S5"/>
      <c r="T5"/>
    </row>
    <row r="6" spans="1:24" x14ac:dyDescent="0.3">
      <c r="A6" s="6" t="s">
        <v>4</v>
      </c>
      <c r="B6" s="9">
        <v>325103862</v>
      </c>
      <c r="C6" s="10"/>
      <c r="D6" s="11"/>
      <c r="I6"/>
      <c r="J6"/>
      <c r="K6"/>
      <c r="L6"/>
      <c r="M6"/>
      <c r="N6"/>
      <c r="O6"/>
      <c r="P6"/>
      <c r="Q6"/>
      <c r="R6"/>
      <c r="S6"/>
      <c r="T6"/>
    </row>
    <row r="7" spans="1:24" x14ac:dyDescent="0.3">
      <c r="A7" s="6" t="s">
        <v>5</v>
      </c>
      <c r="B7" s="96" t="s">
        <v>6</v>
      </c>
      <c r="C7" s="97"/>
      <c r="D7" s="4"/>
      <c r="E7" s="4"/>
      <c r="I7"/>
      <c r="J7"/>
      <c r="K7"/>
      <c r="L7"/>
      <c r="M7"/>
      <c r="N7"/>
      <c r="O7"/>
      <c r="P7"/>
      <c r="Q7"/>
      <c r="R7"/>
      <c r="S7"/>
      <c r="T7"/>
    </row>
    <row r="8" spans="1:24" x14ac:dyDescent="0.3">
      <c r="B8" s="3"/>
      <c r="C8" s="12"/>
      <c r="D8" s="12"/>
      <c r="E8" s="12"/>
      <c r="J8" s="13"/>
      <c r="N8" s="15"/>
    </row>
    <row r="9" spans="1:24" s="5" customFormat="1" ht="34.5" customHeight="1" x14ac:dyDescent="0.3">
      <c r="A9" s="17" t="s">
        <v>7</v>
      </c>
      <c r="B9" s="17" t="s">
        <v>8</v>
      </c>
      <c r="C9" s="17" t="s">
        <v>9</v>
      </c>
      <c r="D9" s="18" t="s">
        <v>10</v>
      </c>
      <c r="E9" s="17" t="s">
        <v>11</v>
      </c>
      <c r="F9" s="17" t="s">
        <v>12</v>
      </c>
      <c r="G9" s="17" t="s">
        <v>13</v>
      </c>
      <c r="I9" s="17" t="s">
        <v>14</v>
      </c>
      <c r="J9" s="17" t="s">
        <v>15</v>
      </c>
      <c r="K9" s="19"/>
      <c r="L9" s="20" t="s">
        <v>16</v>
      </c>
      <c r="M9" s="20" t="s">
        <v>17</v>
      </c>
      <c r="N9" s="20" t="s">
        <v>18</v>
      </c>
      <c r="O9" s="21" t="s">
        <v>19</v>
      </c>
      <c r="P9" s="20" t="s">
        <v>20</v>
      </c>
      <c r="Q9" s="21" t="s">
        <v>21</v>
      </c>
      <c r="R9" s="20" t="s">
        <v>18</v>
      </c>
      <c r="S9" s="20" t="s">
        <v>22</v>
      </c>
      <c r="V9" s="22" t="s">
        <v>23</v>
      </c>
      <c r="W9" s="23" t="s">
        <v>24</v>
      </c>
      <c r="X9" s="22" t="s">
        <v>25</v>
      </c>
    </row>
    <row r="10" spans="1:24" x14ac:dyDescent="0.3">
      <c r="A10" s="24"/>
      <c r="B10" s="25"/>
      <c r="C10" s="26"/>
      <c r="D10" s="27"/>
      <c r="E10" s="26"/>
      <c r="F10" s="27"/>
      <c r="G10" s="28"/>
      <c r="I10" s="29"/>
      <c r="J10" s="30"/>
      <c r="L10" s="29"/>
      <c r="M10" s="27"/>
      <c r="N10" s="27"/>
      <c r="O10" s="31"/>
      <c r="P10" s="27"/>
      <c r="Q10" s="31"/>
      <c r="R10" s="27"/>
      <c r="S10" s="28"/>
      <c r="U10"/>
      <c r="V10" s="32">
        <v>45994</v>
      </c>
      <c r="W10" s="33"/>
      <c r="X10" s="28"/>
    </row>
    <row r="11" spans="1:24" s="40" customFormat="1" x14ac:dyDescent="0.3">
      <c r="A11" s="34" t="s">
        <v>26</v>
      </c>
      <c r="B11" s="34" t="s">
        <v>27</v>
      </c>
      <c r="C11" s="35">
        <v>100021632</v>
      </c>
      <c r="D11" s="36" t="s">
        <v>28</v>
      </c>
      <c r="E11" s="37">
        <v>7790360026606</v>
      </c>
      <c r="F11" s="38">
        <v>4.8</v>
      </c>
      <c r="G11" s="39">
        <v>30</v>
      </c>
      <c r="I11" s="38">
        <f t="shared" ref="I11:I43" si="0">IFERROR(L11*1.35*1.21,)</f>
        <v>2896.1968068000006</v>
      </c>
      <c r="J11" s="38">
        <f t="shared" ref="J11:J42" si="1">+I11*0.9</f>
        <v>2606.5771261200007</v>
      </c>
      <c r="K11" s="14">
        <f>IFERROR(((I11/1.21)-L11)/(I11/1.21),)</f>
        <v>0.25925925925925936</v>
      </c>
      <c r="L11" s="41">
        <f t="shared" ref="L11:L43" si="2">+IF(ISERROR(N11/G11),"",(N11/G11))</f>
        <v>1773.0008000000003</v>
      </c>
      <c r="M11" s="41">
        <f t="shared" ref="M11:M16" si="3">+N11/F11</f>
        <v>11081.255000000001</v>
      </c>
      <c r="N11" s="42">
        <v>53190.024000000005</v>
      </c>
      <c r="O11" s="43"/>
      <c r="P11" s="41">
        <f t="shared" ref="P11:P43" si="4">+IF(ISERROR(N11/(1-O11)),"",(N11/(1-O11)))</f>
        <v>53190.024000000005</v>
      </c>
      <c r="Q11" s="44"/>
      <c r="R11" s="41">
        <f t="shared" ref="R11:R43" si="5">+IF(ISERROR(P11/(1-Q11)),"",(P11/(1-Q11)))</f>
        <v>53190.024000000005</v>
      </c>
      <c r="S11" s="41">
        <f t="shared" ref="S11:S43" si="6">+IF(ISERROR(R11/G11),"",(R11/G11))</f>
        <v>1773.0008000000003</v>
      </c>
      <c r="T11" s="45"/>
      <c r="U11" s="46"/>
      <c r="V11" s="41">
        <v>51640.800000000003</v>
      </c>
      <c r="W11" s="47">
        <f t="shared" ref="W11:W43" si="7">+IF(ISERROR(N11/V11-1),"",(N11/V11-1))</f>
        <v>3.0000000000000027E-2</v>
      </c>
      <c r="X11" s="41">
        <f t="shared" ref="X11:X25" si="8">+IF(ISERROR(V11*(1-O11)),"",(V11*(1-O11)))</f>
        <v>51640.800000000003</v>
      </c>
    </row>
    <row r="12" spans="1:24" x14ac:dyDescent="0.3">
      <c r="A12" s="34" t="s">
        <v>26</v>
      </c>
      <c r="B12" s="34" t="s">
        <v>27</v>
      </c>
      <c r="C12" s="48">
        <v>100021652</v>
      </c>
      <c r="D12" s="36" t="s">
        <v>29</v>
      </c>
      <c r="E12" s="37">
        <v>7790360026576</v>
      </c>
      <c r="F12" s="38">
        <v>5.76</v>
      </c>
      <c r="G12" s="39">
        <v>18</v>
      </c>
      <c r="I12" s="38">
        <f t="shared" si="0"/>
        <v>6430.282668975</v>
      </c>
      <c r="J12" s="38">
        <f t="shared" si="1"/>
        <v>5787.2544020775003</v>
      </c>
      <c r="K12" s="14">
        <f>IFERROR(((I12/1.21)-L12)/(I12/1.21),)</f>
        <v>0.2592592592592593</v>
      </c>
      <c r="L12" s="38">
        <f t="shared" si="2"/>
        <v>3936.506072222222</v>
      </c>
      <c r="M12" s="38">
        <f t="shared" si="3"/>
        <v>12301.581475694444</v>
      </c>
      <c r="N12" s="42">
        <v>70857.109299999996</v>
      </c>
      <c r="O12" s="43"/>
      <c r="P12" s="38">
        <f t="shared" si="4"/>
        <v>70857.109299999996</v>
      </c>
      <c r="Q12" s="49"/>
      <c r="R12" s="38">
        <f t="shared" si="5"/>
        <v>70857.109299999996</v>
      </c>
      <c r="S12" s="38">
        <f t="shared" si="6"/>
        <v>3936.506072222222</v>
      </c>
      <c r="T12" s="45"/>
      <c r="U12" s="46"/>
      <c r="V12" s="41">
        <v>68793.31</v>
      </c>
      <c r="W12" s="47">
        <f t="shared" si="7"/>
        <v>3.0000000000000027E-2</v>
      </c>
      <c r="X12" s="38">
        <f t="shared" si="8"/>
        <v>68793.31</v>
      </c>
    </row>
    <row r="13" spans="1:24" x14ac:dyDescent="0.3">
      <c r="A13" s="34" t="s">
        <v>26</v>
      </c>
      <c r="B13" s="34" t="s">
        <v>27</v>
      </c>
      <c r="C13" s="48">
        <v>100021631</v>
      </c>
      <c r="D13" s="36" t="s">
        <v>30</v>
      </c>
      <c r="E13" s="37">
        <v>7790360026590</v>
      </c>
      <c r="F13" s="38">
        <v>7.68</v>
      </c>
      <c r="G13" s="39">
        <v>8</v>
      </c>
      <c r="I13" s="38">
        <f t="shared" si="0"/>
        <v>18646.3574562375</v>
      </c>
      <c r="J13" s="38">
        <f t="shared" si="1"/>
        <v>16781.72171061375</v>
      </c>
      <c r="K13"/>
      <c r="L13" s="38">
        <f t="shared" si="2"/>
        <v>11414.972425</v>
      </c>
      <c r="M13" s="38">
        <f t="shared" si="3"/>
        <v>11890.596276041668</v>
      </c>
      <c r="N13" s="42">
        <v>91319.779399999999</v>
      </c>
      <c r="O13" s="43"/>
      <c r="P13" s="38">
        <f t="shared" si="4"/>
        <v>91319.779399999999</v>
      </c>
      <c r="Q13" s="49"/>
      <c r="R13" s="38">
        <f t="shared" si="5"/>
        <v>91319.779399999999</v>
      </c>
      <c r="S13" s="38">
        <f t="shared" si="6"/>
        <v>11414.972425</v>
      </c>
      <c r="T13" s="45"/>
      <c r="U13" s="46"/>
      <c r="V13" s="41">
        <v>88659.98</v>
      </c>
      <c r="W13" s="47">
        <f t="shared" si="7"/>
        <v>3.0000000000000027E-2</v>
      </c>
      <c r="X13" s="38">
        <f t="shared" si="8"/>
        <v>88659.98</v>
      </c>
    </row>
    <row r="14" spans="1:24" x14ac:dyDescent="0.3">
      <c r="A14" s="34" t="s">
        <v>26</v>
      </c>
      <c r="B14" s="34" t="s">
        <v>27</v>
      </c>
      <c r="C14" s="48">
        <v>100021630</v>
      </c>
      <c r="D14" s="36" t="s">
        <v>31</v>
      </c>
      <c r="E14" s="37">
        <v>7790360026583</v>
      </c>
      <c r="F14" s="38">
        <v>9.6</v>
      </c>
      <c r="G14" s="39">
        <v>6</v>
      </c>
      <c r="I14" s="38">
        <f t="shared" si="0"/>
        <v>31077.255416625001</v>
      </c>
      <c r="J14" s="38">
        <f t="shared" si="1"/>
        <v>27969.5298749625</v>
      </c>
      <c r="K14"/>
      <c r="L14" s="38">
        <f t="shared" si="2"/>
        <v>19024.94975</v>
      </c>
      <c r="M14" s="38">
        <f t="shared" si="3"/>
        <v>11890.59359375</v>
      </c>
      <c r="N14" s="42">
        <v>114149.6985</v>
      </c>
      <c r="O14" s="43"/>
      <c r="P14" s="38">
        <f t="shared" si="4"/>
        <v>114149.6985</v>
      </c>
      <c r="Q14" s="49"/>
      <c r="R14" s="38">
        <f t="shared" si="5"/>
        <v>114149.6985</v>
      </c>
      <c r="S14" s="38">
        <f t="shared" si="6"/>
        <v>19024.94975</v>
      </c>
      <c r="T14" s="45"/>
      <c r="U14" s="46"/>
      <c r="V14" s="41">
        <v>110824.95</v>
      </c>
      <c r="W14" s="47">
        <f t="shared" si="7"/>
        <v>3.0000000000000027E-2</v>
      </c>
      <c r="X14" s="38">
        <f t="shared" si="8"/>
        <v>110824.95</v>
      </c>
    </row>
    <row r="15" spans="1:24" x14ac:dyDescent="0.3">
      <c r="A15" s="34" t="s">
        <v>26</v>
      </c>
      <c r="B15" s="34" t="s">
        <v>27</v>
      </c>
      <c r="C15" s="50">
        <v>100021653</v>
      </c>
      <c r="D15" s="51" t="s">
        <v>32</v>
      </c>
      <c r="E15" s="37">
        <v>7790360026682</v>
      </c>
      <c r="F15" s="38">
        <v>5.76</v>
      </c>
      <c r="G15" s="39">
        <v>18</v>
      </c>
      <c r="I15" s="38">
        <f t="shared" si="0"/>
        <v>6376.8435060000011</v>
      </c>
      <c r="J15" s="38">
        <f t="shared" si="1"/>
        <v>5739.1591554000015</v>
      </c>
      <c r="K15"/>
      <c r="L15" s="38">
        <f t="shared" si="2"/>
        <v>3903.791555555556</v>
      </c>
      <c r="M15" s="38">
        <f t="shared" si="3"/>
        <v>12199.348611111112</v>
      </c>
      <c r="N15" s="42">
        <v>70268.248000000007</v>
      </c>
      <c r="O15" s="43"/>
      <c r="P15" s="38">
        <f t="shared" si="4"/>
        <v>70268.248000000007</v>
      </c>
      <c r="Q15" s="49"/>
      <c r="R15" s="38">
        <f t="shared" si="5"/>
        <v>70268.248000000007</v>
      </c>
      <c r="S15" s="38">
        <f t="shared" si="6"/>
        <v>3903.791555555556</v>
      </c>
      <c r="T15" s="45"/>
      <c r="U15" s="46"/>
      <c r="V15" s="41">
        <v>68221.600000000006</v>
      </c>
      <c r="W15" s="47">
        <f t="shared" si="7"/>
        <v>3.0000000000000027E-2</v>
      </c>
      <c r="X15" s="38">
        <f t="shared" si="8"/>
        <v>68221.600000000006</v>
      </c>
    </row>
    <row r="16" spans="1:24" x14ac:dyDescent="0.3">
      <c r="A16" s="34" t="s">
        <v>26</v>
      </c>
      <c r="B16" s="34" t="s">
        <v>27</v>
      </c>
      <c r="C16" s="50">
        <v>100516169</v>
      </c>
      <c r="D16" s="36" t="s">
        <v>33</v>
      </c>
      <c r="E16" s="37">
        <v>7790360967961</v>
      </c>
      <c r="F16" s="52">
        <v>5.76</v>
      </c>
      <c r="G16" s="53">
        <v>18</v>
      </c>
      <c r="I16" s="38">
        <f t="shared" si="0"/>
        <v>5593.9056945749999</v>
      </c>
      <c r="J16" s="38">
        <f t="shared" si="1"/>
        <v>5034.5151251175002</v>
      </c>
      <c r="K16"/>
      <c r="L16" s="38">
        <f t="shared" si="2"/>
        <v>3424.4907833333332</v>
      </c>
      <c r="M16" s="38">
        <f t="shared" si="3"/>
        <v>10701.533697916668</v>
      </c>
      <c r="N16" s="42">
        <v>61640.8341</v>
      </c>
      <c r="O16" s="43"/>
      <c r="P16" s="38">
        <f t="shared" si="4"/>
        <v>61640.8341</v>
      </c>
      <c r="Q16" s="47"/>
      <c r="R16" s="38">
        <f t="shared" si="5"/>
        <v>61640.8341</v>
      </c>
      <c r="S16" s="38">
        <f t="shared" si="6"/>
        <v>3424.4907833333332</v>
      </c>
      <c r="T16" s="45"/>
      <c r="U16" s="46"/>
      <c r="V16" s="41">
        <v>59845.47</v>
      </c>
      <c r="W16" s="47">
        <f t="shared" si="7"/>
        <v>3.0000000000000027E-2</v>
      </c>
      <c r="X16" s="38">
        <f t="shared" si="8"/>
        <v>59845.47</v>
      </c>
    </row>
    <row r="17" spans="1:24" x14ac:dyDescent="0.3">
      <c r="A17" s="34" t="s">
        <v>26</v>
      </c>
      <c r="B17" s="34" t="s">
        <v>27</v>
      </c>
      <c r="C17" s="50">
        <v>100520337</v>
      </c>
      <c r="D17" s="36" t="s">
        <v>34</v>
      </c>
      <c r="E17" s="37">
        <v>7790360977960</v>
      </c>
      <c r="F17" s="52">
        <v>4.8</v>
      </c>
      <c r="G17" s="53">
        <v>30</v>
      </c>
      <c r="I17" s="38">
        <f t="shared" si="0"/>
        <v>1915.1488921950004</v>
      </c>
      <c r="J17" s="38">
        <f t="shared" si="1"/>
        <v>1723.6340029755004</v>
      </c>
      <c r="K17"/>
      <c r="L17" s="38">
        <f t="shared" si="2"/>
        <v>1172.4205033333335</v>
      </c>
      <c r="M17" s="38">
        <f t="shared" ref="M17:M25" si="9">+IF(ISERROR(N17/F17),"",(N17/F17))</f>
        <v>7327.6281458333342</v>
      </c>
      <c r="N17" s="42">
        <v>35172.615100000003</v>
      </c>
      <c r="O17" s="43"/>
      <c r="P17" s="38">
        <f t="shared" si="4"/>
        <v>35172.615100000003</v>
      </c>
      <c r="Q17" s="47"/>
      <c r="R17" s="38">
        <f t="shared" si="5"/>
        <v>35172.615100000003</v>
      </c>
      <c r="S17" s="38">
        <f t="shared" si="6"/>
        <v>1172.4205033333335</v>
      </c>
      <c r="T17" s="45"/>
      <c r="U17" s="46"/>
      <c r="V17" s="41">
        <v>34148.17</v>
      </c>
      <c r="W17" s="47">
        <f t="shared" si="7"/>
        <v>3.0000000000000027E-2</v>
      </c>
      <c r="X17" s="38">
        <f t="shared" si="8"/>
        <v>34148.17</v>
      </c>
    </row>
    <row r="18" spans="1:24" x14ac:dyDescent="0.3">
      <c r="A18" s="34" t="s">
        <v>26</v>
      </c>
      <c r="B18" s="34" t="s">
        <v>27</v>
      </c>
      <c r="C18" s="50">
        <v>100021503</v>
      </c>
      <c r="D18" s="36" t="s">
        <v>35</v>
      </c>
      <c r="E18" s="37">
        <v>7790360966841</v>
      </c>
      <c r="F18" s="52">
        <v>3.3119999999999998</v>
      </c>
      <c r="G18" s="53">
        <v>12</v>
      </c>
      <c r="I18" s="38">
        <f t="shared" si="0"/>
        <v>4274.2132685999995</v>
      </c>
      <c r="J18" s="38">
        <f t="shared" si="1"/>
        <v>3846.7919417399999</v>
      </c>
      <c r="K18"/>
      <c r="L18" s="38">
        <f t="shared" si="2"/>
        <v>2616.5982666666664</v>
      </c>
      <c r="M18" s="38">
        <f t="shared" si="9"/>
        <v>9480.4285024154597</v>
      </c>
      <c r="N18" s="42">
        <v>31399.179199999999</v>
      </c>
      <c r="O18" s="43"/>
      <c r="P18" s="38">
        <f t="shared" si="4"/>
        <v>31399.179199999999</v>
      </c>
      <c r="Q18" s="47"/>
      <c r="R18" s="38">
        <f t="shared" si="5"/>
        <v>31399.179199999999</v>
      </c>
      <c r="S18" s="38">
        <f t="shared" si="6"/>
        <v>2616.5982666666664</v>
      </c>
      <c r="T18" s="45"/>
      <c r="U18" s="46"/>
      <c r="V18" s="41">
        <v>30484.639999999999</v>
      </c>
      <c r="W18" s="47">
        <f t="shared" si="7"/>
        <v>3.0000000000000027E-2</v>
      </c>
      <c r="X18" s="38">
        <f t="shared" si="8"/>
        <v>30484.639999999999</v>
      </c>
    </row>
    <row r="19" spans="1:24" x14ac:dyDescent="0.3">
      <c r="A19" s="34" t="s">
        <v>26</v>
      </c>
      <c r="B19" s="34" t="s">
        <v>27</v>
      </c>
      <c r="C19" s="50">
        <v>100516201</v>
      </c>
      <c r="D19" s="36" t="s">
        <v>36</v>
      </c>
      <c r="E19" s="37">
        <v>7790360968548</v>
      </c>
      <c r="F19" s="52">
        <v>6.6239999999999997</v>
      </c>
      <c r="G19" s="53">
        <v>8</v>
      </c>
      <c r="I19" s="38">
        <f t="shared" si="0"/>
        <v>11157.834758400002</v>
      </c>
      <c r="J19" s="38">
        <f t="shared" si="1"/>
        <v>10042.051282560002</v>
      </c>
      <c r="K19"/>
      <c r="L19" s="38">
        <f t="shared" si="2"/>
        <v>6830.6304000000009</v>
      </c>
      <c r="M19" s="38">
        <f t="shared" si="9"/>
        <v>8249.5536231884071</v>
      </c>
      <c r="N19" s="42">
        <v>54645.043200000007</v>
      </c>
      <c r="O19" s="43"/>
      <c r="P19" s="38">
        <f t="shared" si="4"/>
        <v>54645.043200000007</v>
      </c>
      <c r="Q19" s="47"/>
      <c r="R19" s="38">
        <f t="shared" si="5"/>
        <v>54645.043200000007</v>
      </c>
      <c r="S19" s="38">
        <f t="shared" si="6"/>
        <v>6830.6304000000009</v>
      </c>
      <c r="T19" s="45"/>
      <c r="U19" s="46"/>
      <c r="V19" s="41">
        <v>53053.440000000002</v>
      </c>
      <c r="W19" s="47">
        <f t="shared" si="7"/>
        <v>3.0000000000000027E-2</v>
      </c>
      <c r="X19" s="38">
        <f t="shared" si="8"/>
        <v>53053.440000000002</v>
      </c>
    </row>
    <row r="20" spans="1:24" x14ac:dyDescent="0.3">
      <c r="A20" s="34" t="s">
        <v>26</v>
      </c>
      <c r="B20" s="34" t="s">
        <v>27</v>
      </c>
      <c r="C20" s="50">
        <v>100021643</v>
      </c>
      <c r="D20" s="36" t="s">
        <v>37</v>
      </c>
      <c r="E20" s="37">
        <v>7790360966797</v>
      </c>
      <c r="F20" s="52">
        <v>4.7039999999999997</v>
      </c>
      <c r="G20" s="53">
        <v>42</v>
      </c>
      <c r="I20" s="38">
        <f t="shared" si="0"/>
        <v>1831.9575125892859</v>
      </c>
      <c r="J20" s="38">
        <f t="shared" si="1"/>
        <v>1648.7617613303573</v>
      </c>
      <c r="K20"/>
      <c r="L20" s="38">
        <f t="shared" si="2"/>
        <v>1121.4922023809524</v>
      </c>
      <c r="M20" s="38">
        <f t="shared" si="9"/>
        <v>10013.323235544218</v>
      </c>
      <c r="N20" s="42">
        <v>47102.672500000001</v>
      </c>
      <c r="O20" s="43"/>
      <c r="P20" s="38">
        <f t="shared" si="4"/>
        <v>47102.672500000001</v>
      </c>
      <c r="Q20" s="47"/>
      <c r="R20" s="38">
        <f t="shared" si="5"/>
        <v>47102.672500000001</v>
      </c>
      <c r="S20" s="38">
        <f t="shared" si="6"/>
        <v>1121.4922023809524</v>
      </c>
      <c r="T20" s="45"/>
      <c r="U20" s="46"/>
      <c r="V20" s="41">
        <v>45730.75</v>
      </c>
      <c r="W20" s="47">
        <f t="shared" si="7"/>
        <v>3.0000000000000027E-2</v>
      </c>
      <c r="X20" s="38">
        <f t="shared" si="8"/>
        <v>45730.75</v>
      </c>
    </row>
    <row r="21" spans="1:24" hidden="1" x14ac:dyDescent="0.3">
      <c r="A21" s="34" t="s">
        <v>26</v>
      </c>
      <c r="B21" s="34" t="s">
        <v>27</v>
      </c>
      <c r="C21" s="54">
        <v>100516075</v>
      </c>
      <c r="D21" s="55" t="s">
        <v>38</v>
      </c>
      <c r="E21" s="56">
        <v>7790360968470</v>
      </c>
      <c r="F21" s="57">
        <v>4.7039999999999997</v>
      </c>
      <c r="G21" s="58">
        <v>21</v>
      </c>
      <c r="H21" s="59"/>
      <c r="I21" s="60">
        <f t="shared" si="0"/>
        <v>0</v>
      </c>
      <c r="J21" s="38">
        <f t="shared" si="1"/>
        <v>0</v>
      </c>
      <c r="K21"/>
      <c r="L21" s="60" t="str">
        <f t="shared" si="2"/>
        <v/>
      </c>
      <c r="M21" s="60" t="str">
        <f t="shared" si="9"/>
        <v/>
      </c>
      <c r="N21" s="42" t="e">
        <v>#VALUE!</v>
      </c>
      <c r="O21" s="61"/>
      <c r="P21" s="60" t="str">
        <f t="shared" si="4"/>
        <v/>
      </c>
      <c r="Q21" s="62"/>
      <c r="R21" s="60" t="str">
        <f t="shared" si="5"/>
        <v/>
      </c>
      <c r="S21" s="60" t="str">
        <f t="shared" si="6"/>
        <v/>
      </c>
      <c r="T21" s="45"/>
      <c r="U21" s="46"/>
      <c r="V21" s="41" t="s">
        <v>39</v>
      </c>
      <c r="W21" s="62" t="str">
        <f t="shared" si="7"/>
        <v/>
      </c>
      <c r="X21" s="60" t="str">
        <f t="shared" si="8"/>
        <v/>
      </c>
    </row>
    <row r="22" spans="1:24" x14ac:dyDescent="0.3">
      <c r="A22" s="34" t="s">
        <v>26</v>
      </c>
      <c r="B22" s="34" t="s">
        <v>27</v>
      </c>
      <c r="C22" s="50">
        <v>100516325</v>
      </c>
      <c r="D22" s="36" t="s">
        <v>40</v>
      </c>
      <c r="E22" s="37">
        <v>7790360967763</v>
      </c>
      <c r="F22" s="52">
        <v>4.7039999999999997</v>
      </c>
      <c r="G22" s="53">
        <v>21</v>
      </c>
      <c r="I22" s="38">
        <f t="shared" si="0"/>
        <v>2989.3931623285716</v>
      </c>
      <c r="J22" s="38">
        <f t="shared" si="1"/>
        <v>2690.4538460957147</v>
      </c>
      <c r="K22"/>
      <c r="L22" s="38">
        <f t="shared" si="2"/>
        <v>1830.0539714285715</v>
      </c>
      <c r="M22" s="38">
        <f t="shared" si="9"/>
        <v>8169.8838010204081</v>
      </c>
      <c r="N22" s="42">
        <v>38431.133399999999</v>
      </c>
      <c r="O22" s="43"/>
      <c r="P22" s="38">
        <f t="shared" si="4"/>
        <v>38431.133399999999</v>
      </c>
      <c r="Q22" s="47"/>
      <c r="R22" s="38">
        <f t="shared" si="5"/>
        <v>38431.133399999999</v>
      </c>
      <c r="S22" s="38">
        <f t="shared" si="6"/>
        <v>1830.0539714285715</v>
      </c>
      <c r="T22" s="45"/>
      <c r="U22" s="46"/>
      <c r="V22" s="41">
        <v>37311.78</v>
      </c>
      <c r="W22" s="47">
        <f t="shared" si="7"/>
        <v>3.0000000000000027E-2</v>
      </c>
      <c r="X22" s="38">
        <f t="shared" si="8"/>
        <v>37311.78</v>
      </c>
    </row>
    <row r="23" spans="1:24" x14ac:dyDescent="0.3">
      <c r="A23" s="34" t="s">
        <v>26</v>
      </c>
      <c r="B23" s="34" t="s">
        <v>27</v>
      </c>
      <c r="C23" s="50">
        <v>100021676</v>
      </c>
      <c r="D23" s="36" t="s">
        <v>41</v>
      </c>
      <c r="E23" s="37">
        <v>7790360967411</v>
      </c>
      <c r="F23" s="52">
        <v>7.5</v>
      </c>
      <c r="G23" s="53">
        <v>30</v>
      </c>
      <c r="I23" s="38">
        <f t="shared" si="0"/>
        <v>4720.6014743250007</v>
      </c>
      <c r="J23" s="38">
        <f t="shared" si="1"/>
        <v>4248.5413268925004</v>
      </c>
      <c r="K23"/>
      <c r="L23" s="38">
        <f t="shared" si="2"/>
        <v>2889.8692833333334</v>
      </c>
      <c r="M23" s="38">
        <f t="shared" si="9"/>
        <v>11559.477133333334</v>
      </c>
      <c r="N23" s="42">
        <v>86696.078500000003</v>
      </c>
      <c r="O23" s="43"/>
      <c r="P23" s="38">
        <f t="shared" si="4"/>
        <v>86696.078500000003</v>
      </c>
      <c r="Q23" s="47"/>
      <c r="R23" s="38">
        <f t="shared" si="5"/>
        <v>86696.078500000003</v>
      </c>
      <c r="S23" s="38">
        <f t="shared" si="6"/>
        <v>2889.8692833333334</v>
      </c>
      <c r="T23" s="45"/>
      <c r="U23" s="46"/>
      <c r="V23" s="41">
        <v>84170.95</v>
      </c>
      <c r="W23" s="47">
        <f t="shared" si="7"/>
        <v>3.0000000000000027E-2</v>
      </c>
      <c r="X23" s="38">
        <f t="shared" si="8"/>
        <v>84170.95</v>
      </c>
    </row>
    <row r="24" spans="1:24" x14ac:dyDescent="0.3">
      <c r="A24" s="34" t="s">
        <v>26</v>
      </c>
      <c r="B24" s="34" t="s">
        <v>27</v>
      </c>
      <c r="C24" s="50">
        <v>100516008</v>
      </c>
      <c r="D24" s="36" t="s">
        <v>42</v>
      </c>
      <c r="E24" s="37">
        <v>7790360967701</v>
      </c>
      <c r="F24" s="52">
        <v>5.76</v>
      </c>
      <c r="G24" s="53">
        <v>24</v>
      </c>
      <c r="I24" s="38">
        <f t="shared" si="0"/>
        <v>4917.7202549062504</v>
      </c>
      <c r="J24" s="38">
        <f t="shared" si="1"/>
        <v>4425.9482294156251</v>
      </c>
      <c r="K24"/>
      <c r="L24" s="38">
        <f t="shared" si="2"/>
        <v>3010.5419375000001</v>
      </c>
      <c r="M24" s="38">
        <f t="shared" si="9"/>
        <v>12543.924739583334</v>
      </c>
      <c r="N24" s="42">
        <v>72253.006500000003</v>
      </c>
      <c r="O24" s="43"/>
      <c r="P24" s="38">
        <f t="shared" si="4"/>
        <v>72253.006500000003</v>
      </c>
      <c r="Q24" s="47"/>
      <c r="R24" s="38">
        <f t="shared" si="5"/>
        <v>72253.006500000003</v>
      </c>
      <c r="S24" s="38">
        <f t="shared" si="6"/>
        <v>3010.5419375000001</v>
      </c>
      <c r="T24" s="45"/>
      <c r="U24" s="46"/>
      <c r="V24" s="41">
        <v>70148.55</v>
      </c>
      <c r="W24" s="47">
        <f t="shared" si="7"/>
        <v>3.0000000000000027E-2</v>
      </c>
      <c r="X24" s="38">
        <f t="shared" si="8"/>
        <v>70148.55</v>
      </c>
    </row>
    <row r="25" spans="1:24" x14ac:dyDescent="0.3">
      <c r="A25" s="34" t="s">
        <v>26</v>
      </c>
      <c r="B25" s="34" t="s">
        <v>27</v>
      </c>
      <c r="C25" s="50">
        <v>100520834</v>
      </c>
      <c r="D25" s="36" t="s">
        <v>43</v>
      </c>
      <c r="E25" s="37">
        <v>7790360980618</v>
      </c>
      <c r="F25" s="52">
        <v>6.66</v>
      </c>
      <c r="G25" s="53">
        <v>36</v>
      </c>
      <c r="I25" s="38">
        <f t="shared" si="0"/>
        <v>3161.5152265125002</v>
      </c>
      <c r="J25" s="38">
        <f t="shared" si="1"/>
        <v>2845.3637038612501</v>
      </c>
      <c r="K25"/>
      <c r="L25" s="38">
        <f t="shared" si="2"/>
        <v>1935.4240750000001</v>
      </c>
      <c r="M25" s="38">
        <f t="shared" si="9"/>
        <v>10461.751756756757</v>
      </c>
      <c r="N25" s="42">
        <v>69675.266700000007</v>
      </c>
      <c r="O25" s="43"/>
      <c r="P25" s="38">
        <f t="shared" si="4"/>
        <v>69675.266700000007</v>
      </c>
      <c r="Q25" s="47"/>
      <c r="R25" s="38">
        <f t="shared" si="5"/>
        <v>69675.266700000007</v>
      </c>
      <c r="S25" s="38">
        <f t="shared" si="6"/>
        <v>1935.4240750000001</v>
      </c>
      <c r="T25" s="45"/>
      <c r="U25" s="46"/>
      <c r="V25" s="41">
        <v>67645.89</v>
      </c>
      <c r="W25" s="47">
        <f t="shared" si="7"/>
        <v>3.0000000000000027E-2</v>
      </c>
      <c r="X25" s="38">
        <f t="shared" si="8"/>
        <v>67645.89</v>
      </c>
    </row>
    <row r="26" spans="1:24" x14ac:dyDescent="0.3">
      <c r="A26" s="34" t="s">
        <v>26</v>
      </c>
      <c r="B26" s="34" t="s">
        <v>27</v>
      </c>
      <c r="C26" s="50">
        <v>100518223</v>
      </c>
      <c r="D26" s="36" t="s">
        <v>44</v>
      </c>
      <c r="E26" s="37">
        <v>7790360975065</v>
      </c>
      <c r="F26" s="52">
        <v>6.36</v>
      </c>
      <c r="G26" s="53">
        <v>30</v>
      </c>
      <c r="I26" s="38">
        <f t="shared" si="0"/>
        <v>3539.341633905</v>
      </c>
      <c r="J26" s="38">
        <f t="shared" si="1"/>
        <v>3185.4074705144999</v>
      </c>
      <c r="K26"/>
      <c r="L26" s="38">
        <f t="shared" si="2"/>
        <v>2166.7227633333332</v>
      </c>
      <c r="M26" s="38">
        <v>1010.8489934025401</v>
      </c>
      <c r="N26" s="42">
        <v>65001.6829</v>
      </c>
      <c r="O26" s="43"/>
      <c r="P26" s="38">
        <f t="shared" si="4"/>
        <v>65001.6829</v>
      </c>
      <c r="Q26" s="47"/>
      <c r="R26" s="38">
        <f t="shared" si="5"/>
        <v>65001.6829</v>
      </c>
      <c r="S26" s="38">
        <f t="shared" si="6"/>
        <v>2166.7227633333332</v>
      </c>
      <c r="T26" s="45"/>
      <c r="U26" s="46"/>
      <c r="V26" s="41">
        <v>63108.43</v>
      </c>
      <c r="W26" s="47">
        <f t="shared" si="7"/>
        <v>3.0000000000000027E-2</v>
      </c>
      <c r="X26" s="38"/>
    </row>
    <row r="27" spans="1:24" x14ac:dyDescent="0.3">
      <c r="A27" s="34" t="s">
        <v>26</v>
      </c>
      <c r="B27" s="34" t="s">
        <v>45</v>
      </c>
      <c r="C27" s="50">
        <v>100021680</v>
      </c>
      <c r="D27" s="36" t="s">
        <v>46</v>
      </c>
      <c r="E27" s="37">
        <v>7790360967688</v>
      </c>
      <c r="F27" s="52">
        <v>4.32</v>
      </c>
      <c r="G27" s="53">
        <v>18</v>
      </c>
      <c r="I27" s="38">
        <f t="shared" si="0"/>
        <v>5932.4873924250005</v>
      </c>
      <c r="J27" s="38">
        <f t="shared" si="1"/>
        <v>5339.2386531825005</v>
      </c>
      <c r="K27"/>
      <c r="L27" s="38">
        <f t="shared" si="2"/>
        <v>3631.7645500000003</v>
      </c>
      <c r="M27" s="38">
        <f t="shared" ref="M27:M43" si="10">+IF(ISERROR(N27/F27),"",(N27/F27))</f>
        <v>15132.352291666666</v>
      </c>
      <c r="N27" s="42">
        <v>65371.761900000005</v>
      </c>
      <c r="O27" s="43"/>
      <c r="P27" s="38">
        <f t="shared" si="4"/>
        <v>65371.761900000005</v>
      </c>
      <c r="Q27" s="47"/>
      <c r="R27" s="38">
        <f t="shared" si="5"/>
        <v>65371.761900000005</v>
      </c>
      <c r="S27" s="38">
        <f t="shared" si="6"/>
        <v>3631.7645500000003</v>
      </c>
      <c r="T27" s="45"/>
      <c r="U27" s="46"/>
      <c r="V27" s="41">
        <v>63467.73</v>
      </c>
      <c r="W27" s="47">
        <f t="shared" si="7"/>
        <v>3.0000000000000027E-2</v>
      </c>
      <c r="X27" s="38">
        <f t="shared" ref="X27:X43" si="11">+IF(ISERROR(V27*(1-O27)),"",(V27*(1-O27)))</f>
        <v>63467.73</v>
      </c>
    </row>
    <row r="28" spans="1:24" x14ac:dyDescent="0.3">
      <c r="A28" s="34" t="s">
        <v>26</v>
      </c>
      <c r="B28" s="34" t="s">
        <v>47</v>
      </c>
      <c r="C28" s="50">
        <v>100021644</v>
      </c>
      <c r="D28" s="36" t="s">
        <v>48</v>
      </c>
      <c r="E28" s="37">
        <v>7790360008541</v>
      </c>
      <c r="F28" s="52">
        <v>4.7039999999999997</v>
      </c>
      <c r="G28" s="53">
        <v>42</v>
      </c>
      <c r="I28" s="38">
        <f t="shared" si="0"/>
        <v>1062.7987494535714</v>
      </c>
      <c r="J28" s="38">
        <f t="shared" si="1"/>
        <v>956.51887450821425</v>
      </c>
      <c r="K28"/>
      <c r="L28" s="38">
        <f t="shared" si="2"/>
        <v>650.62672142857139</v>
      </c>
      <c r="M28" s="38">
        <f t="shared" si="10"/>
        <v>5809.1671556122456</v>
      </c>
      <c r="N28" s="42">
        <v>27326.3223</v>
      </c>
      <c r="O28" s="43"/>
      <c r="P28" s="38">
        <f t="shared" si="4"/>
        <v>27326.3223</v>
      </c>
      <c r="Q28" s="47"/>
      <c r="R28" s="38">
        <f t="shared" si="5"/>
        <v>27326.3223</v>
      </c>
      <c r="S28" s="38">
        <f t="shared" si="6"/>
        <v>650.62672142857139</v>
      </c>
      <c r="T28" s="45"/>
      <c r="U28" s="46"/>
      <c r="V28" s="41">
        <v>26530.41</v>
      </c>
      <c r="W28" s="47">
        <f t="shared" si="7"/>
        <v>3.0000000000000027E-2</v>
      </c>
      <c r="X28" s="38">
        <f t="shared" si="11"/>
        <v>26530.41</v>
      </c>
    </row>
    <row r="29" spans="1:24" x14ac:dyDescent="0.3">
      <c r="A29" s="34" t="s">
        <v>26</v>
      </c>
      <c r="B29" s="34" t="s">
        <v>47</v>
      </c>
      <c r="C29" s="50">
        <v>100021677</v>
      </c>
      <c r="D29" s="36" t="s">
        <v>49</v>
      </c>
      <c r="E29" s="37">
        <v>7790360967404</v>
      </c>
      <c r="F29" s="52">
        <v>3.3119999999999998</v>
      </c>
      <c r="G29" s="53">
        <v>12</v>
      </c>
      <c r="I29" s="38">
        <f t="shared" si="0"/>
        <v>3172.3898171624996</v>
      </c>
      <c r="J29" s="38">
        <f t="shared" si="1"/>
        <v>2855.1508354462499</v>
      </c>
      <c r="K29"/>
      <c r="L29" s="38">
        <f t="shared" si="2"/>
        <v>1942.0813083333333</v>
      </c>
      <c r="M29" s="38">
        <f t="shared" si="10"/>
        <v>7036.5264794685991</v>
      </c>
      <c r="N29" s="42">
        <v>23304.975699999999</v>
      </c>
      <c r="O29" s="43"/>
      <c r="P29" s="38">
        <f t="shared" si="4"/>
        <v>23304.975699999999</v>
      </c>
      <c r="Q29" s="47"/>
      <c r="R29" s="38">
        <f t="shared" si="5"/>
        <v>23304.975699999999</v>
      </c>
      <c r="S29" s="38">
        <f t="shared" si="6"/>
        <v>1942.0813083333333</v>
      </c>
      <c r="T29" s="45"/>
      <c r="U29" s="46"/>
      <c r="V29" s="41">
        <v>22626.19</v>
      </c>
      <c r="W29" s="47">
        <f t="shared" si="7"/>
        <v>3.0000000000000027E-2</v>
      </c>
      <c r="X29" s="38">
        <f t="shared" si="11"/>
        <v>22626.19</v>
      </c>
    </row>
    <row r="30" spans="1:24" x14ac:dyDescent="0.3">
      <c r="A30" s="34" t="s">
        <v>26</v>
      </c>
      <c r="B30" s="34" t="s">
        <v>50</v>
      </c>
      <c r="C30" s="50">
        <v>100021638</v>
      </c>
      <c r="D30" s="36" t="s">
        <v>51</v>
      </c>
      <c r="E30" s="37">
        <v>7790360026699</v>
      </c>
      <c r="F30" s="52">
        <v>4.8</v>
      </c>
      <c r="G30" s="53">
        <v>60</v>
      </c>
      <c r="I30" s="38">
        <f t="shared" si="0"/>
        <v>1594.2461156325001</v>
      </c>
      <c r="J30" s="38">
        <f t="shared" si="1"/>
        <v>1434.8215040692501</v>
      </c>
      <c r="K30"/>
      <c r="L30" s="38">
        <f t="shared" si="2"/>
        <v>975.96946166666669</v>
      </c>
      <c r="M30" s="38">
        <f t="shared" si="10"/>
        <v>12199.618270833333</v>
      </c>
      <c r="N30" s="42">
        <v>58558.167699999998</v>
      </c>
      <c r="O30" s="43"/>
      <c r="P30" s="38">
        <f t="shared" si="4"/>
        <v>58558.167699999998</v>
      </c>
      <c r="Q30" s="47"/>
      <c r="R30" s="38">
        <f t="shared" si="5"/>
        <v>58558.167699999998</v>
      </c>
      <c r="S30" s="38">
        <f t="shared" si="6"/>
        <v>975.96946166666669</v>
      </c>
      <c r="T30" s="45"/>
      <c r="U30" s="46"/>
      <c r="V30" s="41">
        <v>56852.59</v>
      </c>
      <c r="W30" s="47">
        <f t="shared" si="7"/>
        <v>3.0000000000000027E-2</v>
      </c>
      <c r="X30" s="38">
        <f t="shared" si="11"/>
        <v>56852.59</v>
      </c>
    </row>
    <row r="31" spans="1:24" x14ac:dyDescent="0.3">
      <c r="A31" s="34" t="s">
        <v>26</v>
      </c>
      <c r="B31" s="34" t="s">
        <v>50</v>
      </c>
      <c r="C31" s="50">
        <v>100021575</v>
      </c>
      <c r="D31" s="36" t="s">
        <v>52</v>
      </c>
      <c r="E31" s="37">
        <v>7790360007032</v>
      </c>
      <c r="F31" s="52">
        <v>4.1399999999999997</v>
      </c>
      <c r="G31" s="53">
        <v>60</v>
      </c>
      <c r="I31" s="38">
        <f t="shared" si="0"/>
        <v>1307.5352056800002</v>
      </c>
      <c r="J31" s="38">
        <f t="shared" si="1"/>
        <v>1176.7816851120003</v>
      </c>
      <c r="K31"/>
      <c r="L31" s="38">
        <f t="shared" si="2"/>
        <v>800.45008000000007</v>
      </c>
      <c r="M31" s="38">
        <f t="shared" si="10"/>
        <v>11600.725797101451</v>
      </c>
      <c r="N31" s="42">
        <v>48027.004800000002</v>
      </c>
      <c r="O31" s="43"/>
      <c r="P31" s="38">
        <f t="shared" si="4"/>
        <v>48027.004800000002</v>
      </c>
      <c r="Q31" s="47"/>
      <c r="R31" s="38">
        <f t="shared" si="5"/>
        <v>48027.004800000002</v>
      </c>
      <c r="S31" s="38">
        <f t="shared" si="6"/>
        <v>800.45008000000007</v>
      </c>
      <c r="T31" s="45"/>
      <c r="U31" s="46"/>
      <c r="V31" s="41">
        <v>46628.160000000003</v>
      </c>
      <c r="W31" s="47">
        <f t="shared" si="7"/>
        <v>3.0000000000000027E-2</v>
      </c>
      <c r="X31" s="38">
        <f t="shared" si="11"/>
        <v>46628.160000000003</v>
      </c>
    </row>
    <row r="32" spans="1:24" x14ac:dyDescent="0.3">
      <c r="A32" s="34" t="s">
        <v>26</v>
      </c>
      <c r="B32" s="34" t="s">
        <v>50</v>
      </c>
      <c r="C32" s="50">
        <v>100021514</v>
      </c>
      <c r="D32" s="36" t="s">
        <v>53</v>
      </c>
      <c r="E32" s="37">
        <v>7790360006943</v>
      </c>
      <c r="F32" s="52">
        <v>4.1399999999999997</v>
      </c>
      <c r="G32" s="53">
        <v>60</v>
      </c>
      <c r="I32" s="38">
        <f t="shared" si="0"/>
        <v>1189.8495892800001</v>
      </c>
      <c r="J32" s="38">
        <f t="shared" si="1"/>
        <v>1070.8646303520002</v>
      </c>
      <c r="K32"/>
      <c r="L32" s="38">
        <f t="shared" si="2"/>
        <v>728.40501333333339</v>
      </c>
      <c r="M32" s="38">
        <f t="shared" si="10"/>
        <v>10556.594396135268</v>
      </c>
      <c r="N32" s="42">
        <v>43704.300800000005</v>
      </c>
      <c r="O32" s="43"/>
      <c r="P32" s="38">
        <f t="shared" si="4"/>
        <v>43704.300800000005</v>
      </c>
      <c r="Q32" s="47"/>
      <c r="R32" s="38">
        <f t="shared" si="5"/>
        <v>43704.300800000005</v>
      </c>
      <c r="S32" s="38">
        <f t="shared" si="6"/>
        <v>728.40501333333339</v>
      </c>
      <c r="T32" s="45"/>
      <c r="U32" s="46"/>
      <c r="V32" s="41">
        <v>42431.360000000001</v>
      </c>
      <c r="W32" s="47">
        <f t="shared" si="7"/>
        <v>3.0000000000000027E-2</v>
      </c>
      <c r="X32" s="38">
        <f t="shared" si="11"/>
        <v>42431.360000000001</v>
      </c>
    </row>
    <row r="33" spans="1:24" x14ac:dyDescent="0.3">
      <c r="A33" s="34" t="s">
        <v>26</v>
      </c>
      <c r="B33" s="34" t="s">
        <v>50</v>
      </c>
      <c r="C33" s="50">
        <v>100516208</v>
      </c>
      <c r="D33" s="36" t="s">
        <v>54</v>
      </c>
      <c r="E33" s="37">
        <v>7790360968203</v>
      </c>
      <c r="F33" s="52">
        <f>60*0.08</f>
        <v>4.8</v>
      </c>
      <c r="G33" s="53">
        <v>60</v>
      </c>
      <c r="I33" s="38">
        <f t="shared" si="0"/>
        <v>1379.5360442325</v>
      </c>
      <c r="J33" s="38">
        <f t="shared" si="1"/>
        <v>1241.58243980925</v>
      </c>
      <c r="K33"/>
      <c r="L33" s="38">
        <f t="shared" si="2"/>
        <v>844.52772833333336</v>
      </c>
      <c r="M33" s="38">
        <f t="shared" si="10"/>
        <v>10556.596604166669</v>
      </c>
      <c r="N33" s="42">
        <v>50671.663700000005</v>
      </c>
      <c r="O33" s="43"/>
      <c r="P33" s="38">
        <f t="shared" si="4"/>
        <v>50671.663700000005</v>
      </c>
      <c r="Q33" s="47"/>
      <c r="R33" s="38">
        <f t="shared" si="5"/>
        <v>50671.663700000005</v>
      </c>
      <c r="S33" s="38">
        <f t="shared" si="6"/>
        <v>844.52772833333336</v>
      </c>
      <c r="T33" s="45"/>
      <c r="U33" s="46"/>
      <c r="V33" s="41">
        <v>49195.79</v>
      </c>
      <c r="W33" s="47">
        <f t="shared" si="7"/>
        <v>3.0000000000000027E-2</v>
      </c>
      <c r="X33" s="38">
        <f t="shared" si="11"/>
        <v>49195.79</v>
      </c>
    </row>
    <row r="34" spans="1:24" x14ac:dyDescent="0.3">
      <c r="A34" s="34" t="s">
        <v>26</v>
      </c>
      <c r="B34" s="34" t="s">
        <v>50</v>
      </c>
      <c r="C34" s="50">
        <v>100518346</v>
      </c>
      <c r="D34" s="51" t="s">
        <v>55</v>
      </c>
      <c r="E34" s="37">
        <v>7790360975478</v>
      </c>
      <c r="F34" s="38">
        <v>6.54</v>
      </c>
      <c r="G34" s="39">
        <v>60</v>
      </c>
      <c r="I34" s="38">
        <f t="shared" si="0"/>
        <v>1971.7570533374999</v>
      </c>
      <c r="J34" s="38">
        <f t="shared" si="1"/>
        <v>1774.58134800375</v>
      </c>
      <c r="K34"/>
      <c r="L34" s="38">
        <f t="shared" si="2"/>
        <v>1207.0750249999999</v>
      </c>
      <c r="M34" s="38">
        <f t="shared" si="10"/>
        <v>11074.082798165138</v>
      </c>
      <c r="N34" s="42">
        <v>72424.501499999998</v>
      </c>
      <c r="O34" s="43"/>
      <c r="P34" s="38">
        <f t="shared" si="4"/>
        <v>72424.501499999998</v>
      </c>
      <c r="Q34" s="47"/>
      <c r="R34" s="38">
        <f t="shared" si="5"/>
        <v>72424.501499999998</v>
      </c>
      <c r="S34" s="38">
        <f t="shared" si="6"/>
        <v>1207.0750249999999</v>
      </c>
      <c r="T34" s="45"/>
      <c r="U34" s="46"/>
      <c r="V34" s="41">
        <v>70315.05</v>
      </c>
      <c r="W34" s="47">
        <f t="shared" si="7"/>
        <v>3.0000000000000027E-2</v>
      </c>
      <c r="X34" s="38">
        <f t="shared" si="11"/>
        <v>70315.05</v>
      </c>
    </row>
    <row r="35" spans="1:24" x14ac:dyDescent="0.3">
      <c r="A35" s="34" t="s">
        <v>26</v>
      </c>
      <c r="B35" s="34" t="s">
        <v>50</v>
      </c>
      <c r="C35" s="50">
        <v>100516259</v>
      </c>
      <c r="D35" s="36" t="s">
        <v>56</v>
      </c>
      <c r="E35" s="37">
        <v>7790360968340</v>
      </c>
      <c r="F35" s="52">
        <v>18.16</v>
      </c>
      <c r="G35" s="53">
        <v>48</v>
      </c>
      <c r="I35" s="38">
        <f t="shared" si="0"/>
        <v>5702.5429392937504</v>
      </c>
      <c r="J35" s="38">
        <f t="shared" si="1"/>
        <v>5132.288645364375</v>
      </c>
      <c r="K35"/>
      <c r="L35" s="38">
        <f t="shared" si="2"/>
        <v>3490.9965958333337</v>
      </c>
      <c r="M35" s="38">
        <f t="shared" si="10"/>
        <v>9227.3037775330395</v>
      </c>
      <c r="N35" s="42">
        <v>167567.83660000001</v>
      </c>
      <c r="O35" s="43"/>
      <c r="P35" s="38">
        <f t="shared" si="4"/>
        <v>167567.83660000001</v>
      </c>
      <c r="Q35" s="47"/>
      <c r="R35" s="38">
        <f t="shared" si="5"/>
        <v>167567.83660000001</v>
      </c>
      <c r="S35" s="38">
        <f t="shared" si="6"/>
        <v>3490.9965958333337</v>
      </c>
      <c r="T35" s="45"/>
      <c r="U35" s="46"/>
      <c r="V35" s="41">
        <v>162687.22</v>
      </c>
      <c r="W35" s="47">
        <f t="shared" si="7"/>
        <v>3.0000000000000027E-2</v>
      </c>
      <c r="X35" s="38">
        <f t="shared" si="11"/>
        <v>162687.22</v>
      </c>
    </row>
    <row r="36" spans="1:24" hidden="1" x14ac:dyDescent="0.3">
      <c r="A36" s="34" t="s">
        <v>26</v>
      </c>
      <c r="B36" s="34" t="s">
        <v>57</v>
      </c>
      <c r="C36" s="50">
        <v>100021669</v>
      </c>
      <c r="D36" s="51" t="s">
        <v>58</v>
      </c>
      <c r="E36" s="37">
        <v>8480017241375</v>
      </c>
      <c r="F36" s="38">
        <v>5.9749999999999996</v>
      </c>
      <c r="G36" s="39">
        <v>18</v>
      </c>
      <c r="I36" s="38">
        <f t="shared" si="0"/>
        <v>0</v>
      </c>
      <c r="J36" s="38">
        <f t="shared" si="1"/>
        <v>0</v>
      </c>
      <c r="K36"/>
      <c r="L36" s="38" t="str">
        <f t="shared" si="2"/>
        <v/>
      </c>
      <c r="M36" s="38" t="str">
        <f t="shared" si="10"/>
        <v/>
      </c>
      <c r="N36" s="42" t="e">
        <v>#VALUE!</v>
      </c>
      <c r="O36" s="47"/>
      <c r="P36" s="38" t="str">
        <f t="shared" si="4"/>
        <v/>
      </c>
      <c r="Q36" s="47"/>
      <c r="R36" s="38" t="str">
        <f t="shared" si="5"/>
        <v/>
      </c>
      <c r="S36" s="38" t="str">
        <f t="shared" si="6"/>
        <v/>
      </c>
      <c r="T36" s="45"/>
      <c r="U36" s="46"/>
      <c r="V36" s="38" t="s">
        <v>39</v>
      </c>
      <c r="W36" s="47" t="str">
        <f t="shared" si="7"/>
        <v/>
      </c>
      <c r="X36" s="38" t="str">
        <f t="shared" si="11"/>
        <v/>
      </c>
    </row>
    <row r="37" spans="1:24" hidden="1" x14ac:dyDescent="0.3">
      <c r="A37" s="34" t="s">
        <v>26</v>
      </c>
      <c r="B37" s="34" t="s">
        <v>57</v>
      </c>
      <c r="C37" s="50">
        <v>100021670</v>
      </c>
      <c r="D37" s="51" t="s">
        <v>59</v>
      </c>
      <c r="E37" s="37">
        <v>8480017241382</v>
      </c>
      <c r="F37" s="38">
        <v>11.95</v>
      </c>
      <c r="G37" s="39">
        <v>12</v>
      </c>
      <c r="I37" s="38">
        <f t="shared" si="0"/>
        <v>0</v>
      </c>
      <c r="J37" s="38">
        <f t="shared" si="1"/>
        <v>0</v>
      </c>
      <c r="K37"/>
      <c r="L37" s="38" t="str">
        <f t="shared" si="2"/>
        <v/>
      </c>
      <c r="M37" s="38" t="str">
        <f t="shared" si="10"/>
        <v/>
      </c>
      <c r="N37" s="42" t="e">
        <v>#VALUE!</v>
      </c>
      <c r="O37" s="47"/>
      <c r="P37" s="38" t="str">
        <f t="shared" si="4"/>
        <v/>
      </c>
      <c r="Q37" s="47"/>
      <c r="R37" s="38" t="str">
        <f t="shared" si="5"/>
        <v/>
      </c>
      <c r="S37" s="38" t="str">
        <f t="shared" si="6"/>
        <v/>
      </c>
      <c r="T37" s="45"/>
      <c r="U37" s="46"/>
      <c r="V37" s="38" t="s">
        <v>39</v>
      </c>
      <c r="W37" s="47" t="str">
        <f t="shared" si="7"/>
        <v/>
      </c>
      <c r="X37" s="38" t="str">
        <f t="shared" si="11"/>
        <v/>
      </c>
    </row>
    <row r="38" spans="1:24" hidden="1" x14ac:dyDescent="0.3">
      <c r="A38" s="34" t="s">
        <v>26</v>
      </c>
      <c r="B38" s="34" t="s">
        <v>57</v>
      </c>
      <c r="C38" s="50">
        <v>100021671</v>
      </c>
      <c r="D38" s="51" t="s">
        <v>60</v>
      </c>
      <c r="E38" s="37">
        <v>8480017241399</v>
      </c>
      <c r="F38" s="38">
        <v>9.9600000000000009</v>
      </c>
      <c r="G38" s="39">
        <v>6</v>
      </c>
      <c r="I38" s="38">
        <f t="shared" si="0"/>
        <v>0</v>
      </c>
      <c r="J38" s="38">
        <f t="shared" si="1"/>
        <v>0</v>
      </c>
      <c r="K38"/>
      <c r="L38" s="38" t="str">
        <f t="shared" si="2"/>
        <v/>
      </c>
      <c r="M38" s="38" t="str">
        <f t="shared" si="10"/>
        <v/>
      </c>
      <c r="N38" s="42" t="e">
        <v>#VALUE!</v>
      </c>
      <c r="O38" s="47"/>
      <c r="P38" s="38" t="str">
        <f t="shared" si="4"/>
        <v/>
      </c>
      <c r="Q38" s="47"/>
      <c r="R38" s="38" t="str">
        <f t="shared" si="5"/>
        <v/>
      </c>
      <c r="S38" s="38" t="str">
        <f t="shared" si="6"/>
        <v/>
      </c>
      <c r="T38" s="45"/>
      <c r="U38" s="46"/>
      <c r="V38" s="38" t="s">
        <v>39</v>
      </c>
      <c r="W38" s="47" t="str">
        <f t="shared" si="7"/>
        <v/>
      </c>
      <c r="X38" s="38" t="str">
        <f t="shared" si="11"/>
        <v/>
      </c>
    </row>
    <row r="39" spans="1:24" hidden="1" x14ac:dyDescent="0.3">
      <c r="A39" s="34" t="s">
        <v>26</v>
      </c>
      <c r="B39" s="34" t="s">
        <v>57</v>
      </c>
      <c r="C39" s="50">
        <v>100021647</v>
      </c>
      <c r="D39" s="51" t="s">
        <v>61</v>
      </c>
      <c r="E39" s="37">
        <v>7798158708925</v>
      </c>
      <c r="F39" s="38">
        <v>5.76</v>
      </c>
      <c r="G39" s="39">
        <v>18</v>
      </c>
      <c r="I39" s="38">
        <f t="shared" si="0"/>
        <v>0</v>
      </c>
      <c r="J39" s="38">
        <f t="shared" si="1"/>
        <v>0</v>
      </c>
      <c r="K39"/>
      <c r="L39" s="38" t="str">
        <f t="shared" si="2"/>
        <v/>
      </c>
      <c r="M39" s="38" t="str">
        <f t="shared" si="10"/>
        <v/>
      </c>
      <c r="N39" s="42" t="e">
        <v>#VALUE!</v>
      </c>
      <c r="O39" s="47"/>
      <c r="P39" s="38" t="str">
        <f t="shared" si="4"/>
        <v/>
      </c>
      <c r="Q39" s="47"/>
      <c r="R39" s="38" t="str">
        <f t="shared" si="5"/>
        <v/>
      </c>
      <c r="S39" s="38" t="str">
        <f t="shared" si="6"/>
        <v/>
      </c>
      <c r="T39" s="45"/>
      <c r="U39" s="46"/>
      <c r="V39" s="38" t="s">
        <v>39</v>
      </c>
      <c r="W39" s="47" t="str">
        <f t="shared" si="7"/>
        <v/>
      </c>
      <c r="X39" s="38" t="str">
        <f t="shared" si="11"/>
        <v/>
      </c>
    </row>
    <row r="40" spans="1:24" hidden="1" x14ac:dyDescent="0.3">
      <c r="A40" s="34" t="s">
        <v>26</v>
      </c>
      <c r="B40" s="34" t="s">
        <v>57</v>
      </c>
      <c r="C40" s="50">
        <v>100021648</v>
      </c>
      <c r="D40" s="51" t="s">
        <v>62</v>
      </c>
      <c r="E40" s="37">
        <v>7798158708932</v>
      </c>
      <c r="F40" s="38">
        <v>7.68</v>
      </c>
      <c r="G40" s="39">
        <v>8</v>
      </c>
      <c r="I40" s="38">
        <f t="shared" si="0"/>
        <v>0</v>
      </c>
      <c r="J40" s="38">
        <f t="shared" si="1"/>
        <v>0</v>
      </c>
      <c r="K40"/>
      <c r="L40" s="38" t="str">
        <f t="shared" si="2"/>
        <v/>
      </c>
      <c r="M40" s="38" t="str">
        <f t="shared" si="10"/>
        <v/>
      </c>
      <c r="N40" s="42" t="e">
        <v>#VALUE!</v>
      </c>
      <c r="O40" s="47"/>
      <c r="P40" s="38" t="str">
        <f t="shared" si="4"/>
        <v/>
      </c>
      <c r="Q40" s="47"/>
      <c r="R40" s="38" t="str">
        <f t="shared" si="5"/>
        <v/>
      </c>
      <c r="S40" s="38" t="str">
        <f t="shared" si="6"/>
        <v/>
      </c>
      <c r="T40" s="45"/>
      <c r="U40" s="46"/>
      <c r="V40" s="38" t="s">
        <v>39</v>
      </c>
      <c r="W40" s="47" t="str">
        <f t="shared" si="7"/>
        <v/>
      </c>
      <c r="X40" s="38" t="str">
        <f t="shared" si="11"/>
        <v/>
      </c>
    </row>
    <row r="41" spans="1:24" hidden="1" x14ac:dyDescent="0.3">
      <c r="A41" s="34" t="s">
        <v>26</v>
      </c>
      <c r="B41" s="34" t="s">
        <v>57</v>
      </c>
      <c r="C41" s="50">
        <v>100021649</v>
      </c>
      <c r="D41" s="51" t="s">
        <v>63</v>
      </c>
      <c r="E41" s="37">
        <v>7798158708949</v>
      </c>
      <c r="F41" s="38">
        <v>9.6</v>
      </c>
      <c r="G41" s="39">
        <v>6</v>
      </c>
      <c r="I41" s="38">
        <f t="shared" si="0"/>
        <v>0</v>
      </c>
      <c r="J41" s="38">
        <f t="shared" si="1"/>
        <v>0</v>
      </c>
      <c r="K41"/>
      <c r="L41" s="38" t="str">
        <f t="shared" si="2"/>
        <v/>
      </c>
      <c r="M41" s="38" t="str">
        <f t="shared" si="10"/>
        <v/>
      </c>
      <c r="N41" s="42" t="e">
        <v>#VALUE!</v>
      </c>
      <c r="O41" s="47"/>
      <c r="P41" s="38" t="str">
        <f t="shared" si="4"/>
        <v/>
      </c>
      <c r="Q41" s="47"/>
      <c r="R41" s="38" t="str">
        <f t="shared" si="5"/>
        <v/>
      </c>
      <c r="S41" s="38" t="str">
        <f t="shared" si="6"/>
        <v/>
      </c>
      <c r="T41" s="45"/>
      <c r="U41" s="46"/>
      <c r="V41" s="38" t="s">
        <v>39</v>
      </c>
      <c r="W41" s="47" t="str">
        <f t="shared" si="7"/>
        <v/>
      </c>
      <c r="X41" s="38" t="str">
        <f t="shared" si="11"/>
        <v/>
      </c>
    </row>
    <row r="42" spans="1:24" x14ac:dyDescent="0.3">
      <c r="A42" s="34" t="s">
        <v>26</v>
      </c>
      <c r="B42" s="34" t="s">
        <v>27</v>
      </c>
      <c r="C42" s="50">
        <v>100518095</v>
      </c>
      <c r="D42" s="36" t="s">
        <v>64</v>
      </c>
      <c r="E42" s="37">
        <v>7790360974785</v>
      </c>
      <c r="F42" s="52">
        <v>6.66</v>
      </c>
      <c r="G42" s="53">
        <v>36</v>
      </c>
      <c r="I42" s="38">
        <f t="shared" si="0"/>
        <v>3788.363777550001</v>
      </c>
      <c r="J42" s="38">
        <f t="shared" si="1"/>
        <v>3409.5273997950012</v>
      </c>
      <c r="K42"/>
      <c r="L42" s="63">
        <f t="shared" si="2"/>
        <v>2319.1697444444449</v>
      </c>
      <c r="M42" s="63">
        <f t="shared" si="10"/>
        <v>12536.052672672673</v>
      </c>
      <c r="N42" s="42">
        <v>83490.110800000009</v>
      </c>
      <c r="O42" s="64"/>
      <c r="P42" s="63">
        <f t="shared" si="4"/>
        <v>83490.110800000009</v>
      </c>
      <c r="Q42" s="64"/>
      <c r="R42" s="63">
        <f t="shared" si="5"/>
        <v>83490.110800000009</v>
      </c>
      <c r="S42" s="63">
        <f t="shared" si="6"/>
        <v>2319.1697444444449</v>
      </c>
      <c r="T42" s="45"/>
      <c r="U42" s="46"/>
      <c r="V42" s="38">
        <v>81058.36</v>
      </c>
      <c r="W42" s="47">
        <f t="shared" si="7"/>
        <v>3.0000000000000027E-2</v>
      </c>
      <c r="X42" s="38">
        <f t="shared" si="11"/>
        <v>81058.36</v>
      </c>
    </row>
    <row r="43" spans="1:24" ht="12.65" hidden="1" customHeight="1" x14ac:dyDescent="0.3">
      <c r="A43" s="34" t="s">
        <v>26</v>
      </c>
      <c r="B43" s="34" t="s">
        <v>27</v>
      </c>
      <c r="C43" s="50">
        <v>100518163</v>
      </c>
      <c r="D43" s="51" t="s">
        <v>65</v>
      </c>
      <c r="E43" s="37"/>
      <c r="F43" s="38">
        <v>4.8</v>
      </c>
      <c r="G43" s="39">
        <v>30</v>
      </c>
      <c r="I43" s="38">
        <f t="shared" si="0"/>
        <v>0</v>
      </c>
      <c r="J43" s="38">
        <f>+I43*0.8</f>
        <v>0</v>
      </c>
      <c r="K43"/>
      <c r="L43" s="38">
        <f t="shared" si="2"/>
        <v>0</v>
      </c>
      <c r="M43" s="38">
        <f t="shared" si="10"/>
        <v>0</v>
      </c>
      <c r="N43" s="42"/>
      <c r="O43" s="47"/>
      <c r="P43" s="38">
        <f t="shared" si="4"/>
        <v>0</v>
      </c>
      <c r="Q43" s="47"/>
      <c r="R43" s="38">
        <f t="shared" si="5"/>
        <v>0</v>
      </c>
      <c r="S43" s="38">
        <f t="shared" si="6"/>
        <v>0</v>
      </c>
      <c r="T43" s="45"/>
      <c r="U43"/>
      <c r="V43" s="38" t="s">
        <v>39</v>
      </c>
      <c r="W43" s="47" t="str">
        <f t="shared" si="7"/>
        <v/>
      </c>
      <c r="X43" s="38" t="str">
        <f t="shared" si="11"/>
        <v/>
      </c>
    </row>
    <row r="44" spans="1:24" ht="12.65" hidden="1" customHeight="1" x14ac:dyDescent="0.3">
      <c r="A44" s="65" t="s">
        <v>26</v>
      </c>
      <c r="B44" s="66" t="s">
        <v>27</v>
      </c>
      <c r="C44" s="67">
        <v>100520851</v>
      </c>
      <c r="D44" s="68" t="s">
        <v>66</v>
      </c>
      <c r="E44" s="69"/>
      <c r="F44" s="70">
        <v>15.18</v>
      </c>
      <c r="G44" s="71">
        <v>276</v>
      </c>
      <c r="I44" s="72"/>
      <c r="J44" s="73"/>
      <c r="K44"/>
      <c r="L44" s="72"/>
      <c r="M44" s="70"/>
      <c r="N44" s="74"/>
      <c r="O44" s="75"/>
      <c r="P44" s="70"/>
      <c r="Q44" s="75"/>
      <c r="R44" s="70"/>
      <c r="S44" s="73"/>
      <c r="T44" s="45"/>
      <c r="U44"/>
      <c r="V44" s="70"/>
      <c r="W44" s="75"/>
      <c r="X44" s="73"/>
    </row>
    <row r="45" spans="1:24" ht="12.65" hidden="1" customHeight="1" x14ac:dyDescent="0.3">
      <c r="A45" s="34" t="s">
        <v>26</v>
      </c>
      <c r="B45" s="34" t="s">
        <v>50</v>
      </c>
      <c r="C45" s="67">
        <v>100521169</v>
      </c>
      <c r="D45" s="68" t="s">
        <v>67</v>
      </c>
      <c r="E45" s="69"/>
      <c r="F45" s="70">
        <f>30*0.08</f>
        <v>2.4</v>
      </c>
      <c r="G45" s="71">
        <v>30</v>
      </c>
      <c r="I45" s="38">
        <f>IFERROR(L45*1.35*1.21,)</f>
        <v>0</v>
      </c>
      <c r="J45" s="38">
        <f>+I45*0.8</f>
        <v>0</v>
      </c>
      <c r="K45"/>
      <c r="L45" s="38">
        <f>+IF(ISERROR(N45/G45),"",(N45/G45))</f>
        <v>0</v>
      </c>
      <c r="M45" s="38">
        <f>+IF(ISERROR(N45/F45),"",(N45/F45))</f>
        <v>0</v>
      </c>
      <c r="N45" s="42"/>
      <c r="O45" s="47"/>
      <c r="P45" s="38">
        <f>+IF(ISERROR(N45/(1-O45)),"",(N45/(1-O45)))</f>
        <v>0</v>
      </c>
      <c r="Q45" s="47"/>
      <c r="R45" s="38">
        <f>+IF(ISERROR(P45/(1-Q45)),"",(P45/(1-Q45)))</f>
        <v>0</v>
      </c>
      <c r="S45" s="38">
        <f>+IF(ISERROR(R45/G45),"",(R45/G45))</f>
        <v>0</v>
      </c>
      <c r="T45" s="45"/>
      <c r="U45"/>
      <c r="V45" s="38" t="s">
        <v>39</v>
      </c>
      <c r="W45" s="47" t="str">
        <f>+IF(ISERROR(N45/V45-1),"",(N45/V45-1))</f>
        <v/>
      </c>
      <c r="X45" s="38" t="str">
        <f>+IF(ISERROR(V45*(1-O45)),"",(V45*(1-O45)))</f>
        <v/>
      </c>
    </row>
    <row r="46" spans="1:24" ht="12.65" hidden="1" customHeight="1" x14ac:dyDescent="0.3">
      <c r="A46" s="34" t="s">
        <v>26</v>
      </c>
      <c r="B46" s="34" t="s">
        <v>50</v>
      </c>
      <c r="C46" s="67">
        <v>100521173</v>
      </c>
      <c r="D46" s="68" t="s">
        <v>68</v>
      </c>
      <c r="E46" s="69"/>
      <c r="F46" s="70">
        <f>30*0.08</f>
        <v>2.4</v>
      </c>
      <c r="G46" s="71">
        <v>30</v>
      </c>
      <c r="I46" s="38">
        <f>IFERROR(L46*1.35*1.21,)</f>
        <v>0</v>
      </c>
      <c r="J46" s="38">
        <f>+I46*0.8</f>
        <v>0</v>
      </c>
      <c r="K46"/>
      <c r="L46" s="38">
        <f>+IF(ISERROR(N46/G46),"",(N46/G46))</f>
        <v>0</v>
      </c>
      <c r="M46" s="38">
        <f>+IF(ISERROR(N46/F46),"",(N46/F46))</f>
        <v>0</v>
      </c>
      <c r="N46" s="42"/>
      <c r="O46" s="47"/>
      <c r="P46" s="38">
        <f>+IF(ISERROR(N46/(1-O46)),"",(N46/(1-O46)))</f>
        <v>0</v>
      </c>
      <c r="Q46" s="47"/>
      <c r="R46" s="38">
        <f>+IF(ISERROR(P46/(1-Q46)),"",(P46/(1-Q46)))</f>
        <v>0</v>
      </c>
      <c r="S46" s="38">
        <f>+IF(ISERROR(R46/G46),"",(R46/G46))</f>
        <v>0</v>
      </c>
      <c r="T46" s="45"/>
      <c r="U46"/>
      <c r="V46" s="38" t="s">
        <v>39</v>
      </c>
      <c r="W46" s="47" t="str">
        <f>+IF(ISERROR(N46/V46-1),"",(N46/V46-1))</f>
        <v/>
      </c>
      <c r="X46" s="38" t="str">
        <f>+IF(ISERROR(V46*(1-O46)),"",(V46*(1-O46)))</f>
        <v/>
      </c>
    </row>
    <row r="47" spans="1:24" ht="12.65" hidden="1" customHeight="1" x14ac:dyDescent="0.3">
      <c r="A47" s="34" t="s">
        <v>26</v>
      </c>
      <c r="B47" s="34" t="s">
        <v>50</v>
      </c>
      <c r="C47" s="67">
        <v>100522168</v>
      </c>
      <c r="D47" s="68" t="s">
        <v>69</v>
      </c>
      <c r="E47" s="69"/>
      <c r="F47" s="70">
        <v>4.62</v>
      </c>
      <c r="G47" s="71">
        <v>48</v>
      </c>
      <c r="I47" s="72"/>
      <c r="J47" s="73"/>
      <c r="K47"/>
      <c r="L47" s="72"/>
      <c r="M47" s="70"/>
      <c r="N47" s="74"/>
      <c r="O47" s="75"/>
      <c r="P47" s="70"/>
      <c r="Q47" s="75"/>
      <c r="R47" s="70"/>
      <c r="S47" s="73"/>
      <c r="T47" s="45"/>
      <c r="U47"/>
      <c r="V47" s="70"/>
      <c r="W47" s="75"/>
      <c r="X47" s="73"/>
    </row>
    <row r="48" spans="1:24" x14ac:dyDescent="0.3">
      <c r="A48" s="24"/>
      <c r="B48" s="25"/>
      <c r="C48" s="26"/>
      <c r="D48" s="27"/>
      <c r="E48" s="26"/>
      <c r="F48" s="27"/>
      <c r="G48" s="76"/>
      <c r="I48" s="29"/>
      <c r="J48" s="30"/>
      <c r="K48"/>
      <c r="L48" s="29"/>
      <c r="M48" s="27"/>
      <c r="N48" s="27"/>
      <c r="O48" s="31"/>
      <c r="P48" s="27"/>
      <c r="Q48" s="31"/>
      <c r="R48" s="27"/>
      <c r="S48" s="28"/>
      <c r="T48" s="45"/>
      <c r="U48"/>
      <c r="V48" s="27"/>
      <c r="W48" s="33"/>
      <c r="X48" s="28"/>
    </row>
    <row r="49" spans="1:24" x14ac:dyDescent="0.3">
      <c r="A49" s="51" t="s">
        <v>70</v>
      </c>
      <c r="B49" s="34" t="s">
        <v>71</v>
      </c>
      <c r="C49" s="50">
        <v>100022085</v>
      </c>
      <c r="D49" s="51" t="s">
        <v>72</v>
      </c>
      <c r="E49" s="37">
        <v>7790360000132</v>
      </c>
      <c r="F49" s="38">
        <v>5.4</v>
      </c>
      <c r="G49" s="39">
        <v>24</v>
      </c>
      <c r="H49" s="77"/>
      <c r="I49" s="38">
        <f>IFERROR(L49*1.35*1.21,)</f>
        <v>2808.310341375</v>
      </c>
      <c r="J49" s="38">
        <f>+I49*0.9</f>
        <v>2527.4793072375001</v>
      </c>
      <c r="K49"/>
      <c r="L49" s="38">
        <f>+IF(ISERROR(N49/G49),"",(N49/G49))</f>
        <v>1719.1982500000001</v>
      </c>
      <c r="M49" s="38">
        <f>+IF(ISERROR(N49/F49),"",(N49/F49))</f>
        <v>7640.8811111111108</v>
      </c>
      <c r="N49" s="42">
        <v>41260.758000000002</v>
      </c>
      <c r="O49" s="47"/>
      <c r="P49" s="38">
        <f>+IF(ISERROR(N49/(1-O49)),"",(N49/(1-O49)))</f>
        <v>41260.758000000002</v>
      </c>
      <c r="Q49" s="47"/>
      <c r="R49" s="38">
        <f>+IF(ISERROR(P49/(1-Q49)),"",(P49/(1-Q49)))</f>
        <v>41260.758000000002</v>
      </c>
      <c r="S49" s="38">
        <f>+IF(ISERROR(R49/G49),"",(R49/G49))</f>
        <v>1719.1982500000001</v>
      </c>
      <c r="T49" s="45"/>
      <c r="U49" s="46"/>
      <c r="V49" s="41">
        <v>39295.96</v>
      </c>
      <c r="W49" s="47">
        <f>+IF(ISERROR(N49/V49-1),"",(N49/V49-1))</f>
        <v>5.0000000000000044E-2</v>
      </c>
      <c r="X49" s="38">
        <f>+IF(ISERROR(V49*(1-O49)),"",(V49*(1-O49)))</f>
        <v>39295.96</v>
      </c>
    </row>
    <row r="50" spans="1:24" x14ac:dyDescent="0.3">
      <c r="A50" s="51" t="s">
        <v>70</v>
      </c>
      <c r="B50" s="34" t="s">
        <v>71</v>
      </c>
      <c r="C50" s="50">
        <v>100522204</v>
      </c>
      <c r="D50" s="51" t="s">
        <v>72</v>
      </c>
      <c r="E50" s="37">
        <v>7790360983947</v>
      </c>
      <c r="F50" s="38">
        <v>5.4</v>
      </c>
      <c r="G50" s="39">
        <v>24</v>
      </c>
      <c r="H50" s="77"/>
      <c r="I50" s="38">
        <f>IFERROR(L50*1.35*1.21,)</f>
        <v>2808.310341375</v>
      </c>
      <c r="J50" s="38">
        <f>+I50*0.9</f>
        <v>2527.4793072375001</v>
      </c>
      <c r="K50"/>
      <c r="L50" s="38">
        <f>+IF(ISERROR(N50/G50),"",(N50/G50))</f>
        <v>1719.1982500000001</v>
      </c>
      <c r="M50" s="38">
        <f>+IF(ISERROR(N50/F50),"",(N50/F50))</f>
        <v>7640.8811111111108</v>
      </c>
      <c r="N50" s="42">
        <v>41260.758000000002</v>
      </c>
      <c r="O50" s="47"/>
      <c r="P50" s="38">
        <f>+IF(ISERROR(N50/(1-O50)),"",(N50/(1-O50)))</f>
        <v>41260.758000000002</v>
      </c>
      <c r="Q50" s="47"/>
      <c r="R50" s="38">
        <f>+IF(ISERROR(P50/(1-Q50)),"",(P50/(1-Q50)))</f>
        <v>41260.758000000002</v>
      </c>
      <c r="S50" s="38">
        <f>+IF(ISERROR(R50/G50),"",(R50/G50))</f>
        <v>1719.1982500000001</v>
      </c>
      <c r="T50" s="45"/>
      <c r="U50" s="46"/>
      <c r="V50" s="41">
        <v>39295.96</v>
      </c>
      <c r="W50" s="47">
        <f>+IF(ISERROR(N50/V50-1),"",(N50/V50-1))</f>
        <v>5.0000000000000044E-2</v>
      </c>
      <c r="X50" s="38">
        <f>+IF(ISERROR(V50*(1-O50)),"",(V50*(1-O50)))</f>
        <v>39295.96</v>
      </c>
    </row>
    <row r="51" spans="1:24" x14ac:dyDescent="0.3">
      <c r="A51" s="51" t="s">
        <v>70</v>
      </c>
      <c r="B51" s="34" t="s">
        <v>71</v>
      </c>
      <c r="C51" s="50">
        <v>100022072</v>
      </c>
      <c r="D51" s="51" t="s">
        <v>73</v>
      </c>
      <c r="E51" s="37">
        <v>7790360024541</v>
      </c>
      <c r="F51" s="38">
        <v>5.4</v>
      </c>
      <c r="G51" s="39">
        <v>12</v>
      </c>
      <c r="H51" s="77"/>
      <c r="I51" s="38">
        <f>IFERROR(L51*1.35*1.21,)</f>
        <v>4966.5150438749997</v>
      </c>
      <c r="J51" s="38">
        <f>+I51*0.9</f>
        <v>4469.8635394875</v>
      </c>
      <c r="K51"/>
      <c r="L51" s="38">
        <f>+IF(ISERROR(N51/G51),"",(N51/G51))</f>
        <v>3040.4132500000001</v>
      </c>
      <c r="M51" s="38">
        <f>+IF(ISERROR(N51/F51),"",(N51/F51))</f>
        <v>6756.4738888888887</v>
      </c>
      <c r="N51" s="42">
        <v>36484.959000000003</v>
      </c>
      <c r="O51" s="47"/>
      <c r="P51" s="38">
        <f>+IF(ISERROR(N51/(1-O51)),"",(N51/(1-O51)))</f>
        <v>36484.959000000003</v>
      </c>
      <c r="Q51" s="47"/>
      <c r="R51" s="38">
        <f>+IF(ISERROR(P51/(1-Q51)),"",(P51/(1-Q51)))</f>
        <v>36484.959000000003</v>
      </c>
      <c r="S51" s="38">
        <f>+IF(ISERROR(R51/G51),"",(R51/G51))</f>
        <v>3040.4132500000001</v>
      </c>
      <c r="T51" s="45"/>
      <c r="U51" s="46"/>
      <c r="V51" s="41">
        <v>34747.58</v>
      </c>
      <c r="W51" s="47">
        <f>+IF(ISERROR(N51/V51-1),"",(N51/V51-1))</f>
        <v>5.0000000000000044E-2</v>
      </c>
      <c r="X51" s="38">
        <f>+IF(ISERROR(V51*(1-O51)),"",(V51*(1-O51)))</f>
        <v>34747.58</v>
      </c>
    </row>
    <row r="52" spans="1:24" hidden="1" x14ac:dyDescent="0.3">
      <c r="A52" s="51" t="s">
        <v>70</v>
      </c>
      <c r="B52" s="34" t="s">
        <v>71</v>
      </c>
      <c r="C52" s="50">
        <v>100522205</v>
      </c>
      <c r="D52" s="51" t="s">
        <v>73</v>
      </c>
      <c r="E52" s="37">
        <v>7790360983954</v>
      </c>
      <c r="F52" s="38">
        <v>5.4</v>
      </c>
      <c r="G52" s="39">
        <v>12</v>
      </c>
      <c r="H52" s="77"/>
      <c r="I52" s="38"/>
      <c r="J52" s="38"/>
      <c r="K52"/>
      <c r="L52" s="38"/>
      <c r="M52" s="38"/>
      <c r="N52" s="42">
        <v>0</v>
      </c>
      <c r="O52" s="47"/>
      <c r="P52" s="38"/>
      <c r="Q52" s="47"/>
      <c r="R52" s="38"/>
      <c r="S52" s="38"/>
      <c r="T52" s="45"/>
      <c r="U52" s="46"/>
      <c r="V52" s="41"/>
      <c r="W52" s="47"/>
      <c r="X52" s="38"/>
    </row>
    <row r="53" spans="1:24" hidden="1" x14ac:dyDescent="0.3">
      <c r="A53" s="51" t="s">
        <v>70</v>
      </c>
      <c r="B53" s="34" t="s">
        <v>71</v>
      </c>
      <c r="C53" s="50">
        <v>100022073</v>
      </c>
      <c r="D53" s="51" t="s">
        <v>74</v>
      </c>
      <c r="E53" s="37">
        <v>7790360024558</v>
      </c>
      <c r="F53" s="38">
        <v>5.4</v>
      </c>
      <c r="G53" s="39">
        <v>6</v>
      </c>
      <c r="H53" s="77"/>
      <c r="I53" s="38">
        <f>IFERROR(L53*1.35*1.21,)</f>
        <v>0</v>
      </c>
      <c r="J53" s="38">
        <f t="shared" ref="J53:J60" si="12">+I53*0.9</f>
        <v>0</v>
      </c>
      <c r="K53"/>
      <c r="L53" s="38" t="str">
        <f t="shared" ref="L53:L60" si="13">+IF(ISERROR(N53/G53),"",(N53/G53))</f>
        <v/>
      </c>
      <c r="M53" s="38" t="str">
        <f t="shared" ref="M53:M66" si="14">+IF(ISERROR(N53/F53),"",(N53/F53))</f>
        <v/>
      </c>
      <c r="N53" s="42" t="e">
        <v>#VALUE!</v>
      </c>
      <c r="O53" s="47"/>
      <c r="P53" s="38" t="str">
        <f t="shared" ref="P53:P66" si="15">+IF(ISERROR(N53/(1-O53)),"",(N53/(1-O53)))</f>
        <v/>
      </c>
      <c r="Q53" s="47"/>
      <c r="R53" s="38" t="str">
        <f t="shared" ref="R53:R66" si="16">+IF(ISERROR(P53/(1-Q53)),"",(P53/(1-Q53)))</f>
        <v/>
      </c>
      <c r="S53" s="38" t="str">
        <f t="shared" ref="S53:S66" si="17">+IF(ISERROR(R53/G53),"",(R53/G53))</f>
        <v/>
      </c>
      <c r="T53" s="45"/>
      <c r="U53" s="46"/>
      <c r="V53" s="41" t="s">
        <v>39</v>
      </c>
      <c r="W53" s="47" t="str">
        <f t="shared" ref="W53:W66" si="18">+IF(ISERROR(N53/V53-1),"",(N53/V53-1))</f>
        <v/>
      </c>
      <c r="X53" s="38" t="str">
        <f t="shared" ref="X53:X66" si="19">+IF(ISERROR(V53*(1-O53)),"",(V53*(1-O53)))</f>
        <v/>
      </c>
    </row>
    <row r="54" spans="1:24" x14ac:dyDescent="0.3">
      <c r="A54" s="51" t="s">
        <v>70</v>
      </c>
      <c r="B54" s="34" t="s">
        <v>71</v>
      </c>
      <c r="C54" s="50">
        <v>100516849</v>
      </c>
      <c r="D54" s="51" t="s">
        <v>75</v>
      </c>
      <c r="E54" s="37">
        <v>7790360970053</v>
      </c>
      <c r="F54" s="38">
        <v>4.5599999990400004</v>
      </c>
      <c r="G54" s="39">
        <v>24</v>
      </c>
      <c r="H54" s="77"/>
      <c r="I54" s="38">
        <f>IFERROR(L54*1.35*1.21,)</f>
        <v>2346.2150394375003</v>
      </c>
      <c r="J54" s="38">
        <f t="shared" si="12"/>
        <v>2111.5935354937506</v>
      </c>
      <c r="K54"/>
      <c r="L54" s="38">
        <f t="shared" si="13"/>
        <v>1436.3116250000003</v>
      </c>
      <c r="M54" s="38">
        <f t="shared" si="14"/>
        <v>7559.5348700125342</v>
      </c>
      <c r="N54" s="42">
        <v>34471.479000000007</v>
      </c>
      <c r="O54" s="47"/>
      <c r="P54" s="38">
        <f t="shared" si="15"/>
        <v>34471.479000000007</v>
      </c>
      <c r="Q54" s="47"/>
      <c r="R54" s="38">
        <f t="shared" si="16"/>
        <v>34471.479000000007</v>
      </c>
      <c r="S54" s="38">
        <f t="shared" si="17"/>
        <v>1436.3116250000003</v>
      </c>
      <c r="T54" s="45"/>
      <c r="U54" s="46"/>
      <c r="V54" s="41">
        <v>32829.980000000003</v>
      </c>
      <c r="W54" s="47">
        <f t="shared" si="18"/>
        <v>5.0000000000000044E-2</v>
      </c>
      <c r="X54" s="38">
        <f t="shared" si="19"/>
        <v>32829.980000000003</v>
      </c>
    </row>
    <row r="55" spans="1:24" x14ac:dyDescent="0.3">
      <c r="A55" s="51" t="s">
        <v>70</v>
      </c>
      <c r="B55" s="34" t="s">
        <v>76</v>
      </c>
      <c r="C55" s="50">
        <v>100022039</v>
      </c>
      <c r="D55" s="51" t="s">
        <v>77</v>
      </c>
      <c r="E55" s="37">
        <v>7790360007063</v>
      </c>
      <c r="F55" s="38">
        <v>8.6999999999999993</v>
      </c>
      <c r="G55" s="39">
        <v>10</v>
      </c>
      <c r="H55" s="77"/>
      <c r="I55" s="38">
        <f>IFERROR(L55*1.35*1.21,)</f>
        <v>10962.546158024999</v>
      </c>
      <c r="J55" s="38">
        <f t="shared" si="12"/>
        <v>9866.2915422224996</v>
      </c>
      <c r="K55"/>
      <c r="L55" s="38">
        <f t="shared" si="13"/>
        <v>6711.0781499999994</v>
      </c>
      <c r="M55" s="38">
        <f t="shared" si="14"/>
        <v>7713.8829310344827</v>
      </c>
      <c r="N55" s="42">
        <v>67110.781499999997</v>
      </c>
      <c r="O55" s="47"/>
      <c r="P55" s="38">
        <f t="shared" si="15"/>
        <v>67110.781499999997</v>
      </c>
      <c r="Q55" s="47"/>
      <c r="R55" s="38">
        <f t="shared" si="16"/>
        <v>67110.781499999997</v>
      </c>
      <c r="S55" s="38">
        <f t="shared" si="17"/>
        <v>6711.0781499999994</v>
      </c>
      <c r="T55" s="45"/>
      <c r="U55" s="46"/>
      <c r="V55" s="41">
        <v>63915.03</v>
      </c>
      <c r="W55" s="47">
        <f t="shared" si="18"/>
        <v>5.0000000000000044E-2</v>
      </c>
      <c r="X55" s="38">
        <f t="shared" si="19"/>
        <v>63915.03</v>
      </c>
    </row>
    <row r="56" spans="1:24" x14ac:dyDescent="0.3">
      <c r="A56" s="51" t="s">
        <v>70</v>
      </c>
      <c r="B56" s="34" t="s">
        <v>76</v>
      </c>
      <c r="C56" s="50">
        <v>100522206</v>
      </c>
      <c r="D56" s="51" t="s">
        <v>77</v>
      </c>
      <c r="E56" s="37">
        <v>7790360983961</v>
      </c>
      <c r="F56" s="38">
        <v>8.6999999999999993</v>
      </c>
      <c r="G56" s="39">
        <v>10</v>
      </c>
      <c r="H56" s="77"/>
      <c r="I56" s="38">
        <f>IFERROR(L56*1.35*1.21,)</f>
        <v>10962.546158024999</v>
      </c>
      <c r="J56" s="38">
        <f t="shared" si="12"/>
        <v>9866.2915422224996</v>
      </c>
      <c r="K56"/>
      <c r="L56" s="38">
        <f t="shared" si="13"/>
        <v>6711.0781499999994</v>
      </c>
      <c r="M56" s="38">
        <f t="shared" si="14"/>
        <v>7713.8829310344827</v>
      </c>
      <c r="N56" s="42">
        <v>67110.781499999997</v>
      </c>
      <c r="O56" s="47"/>
      <c r="P56" s="38">
        <f t="shared" si="15"/>
        <v>67110.781499999997</v>
      </c>
      <c r="Q56" s="47"/>
      <c r="R56" s="38">
        <f t="shared" si="16"/>
        <v>67110.781499999997</v>
      </c>
      <c r="S56" s="38">
        <f t="shared" si="17"/>
        <v>6711.0781499999994</v>
      </c>
      <c r="T56" s="45"/>
      <c r="U56" s="46"/>
      <c r="V56" s="41">
        <v>63915.03</v>
      </c>
      <c r="W56" s="47">
        <f t="shared" si="18"/>
        <v>5.0000000000000044E-2</v>
      </c>
      <c r="X56" s="38">
        <f t="shared" si="19"/>
        <v>63915.03</v>
      </c>
    </row>
    <row r="57" spans="1:24" x14ac:dyDescent="0.3">
      <c r="A57" s="51" t="s">
        <v>70</v>
      </c>
      <c r="B57" s="34" t="s">
        <v>76</v>
      </c>
      <c r="C57" s="50">
        <v>100518151</v>
      </c>
      <c r="D57" s="51" t="s">
        <v>78</v>
      </c>
      <c r="E57" s="37">
        <v>7790360974990</v>
      </c>
      <c r="F57" s="38">
        <v>10.44</v>
      </c>
      <c r="G57" s="39">
        <v>12</v>
      </c>
      <c r="H57" s="77"/>
      <c r="I57" s="38">
        <v>637.24506161542024</v>
      </c>
      <c r="J57" s="38">
        <f t="shared" si="12"/>
        <v>573.52055545387827</v>
      </c>
      <c r="K57"/>
      <c r="L57" s="38">
        <f t="shared" si="13"/>
        <v>3466.5715</v>
      </c>
      <c r="M57" s="38">
        <f t="shared" si="14"/>
        <v>3984.5649425287356</v>
      </c>
      <c r="N57" s="42">
        <v>41598.858</v>
      </c>
      <c r="O57" s="47"/>
      <c r="P57" s="38">
        <f t="shared" si="15"/>
        <v>41598.858</v>
      </c>
      <c r="Q57" s="47"/>
      <c r="R57" s="38">
        <f t="shared" si="16"/>
        <v>41598.858</v>
      </c>
      <c r="S57" s="38">
        <f t="shared" si="17"/>
        <v>3466.5715</v>
      </c>
      <c r="T57" s="45"/>
      <c r="U57" s="46"/>
      <c r="V57" s="41">
        <v>39617.96</v>
      </c>
      <c r="W57" s="47">
        <f t="shared" si="18"/>
        <v>5.0000000000000044E-2</v>
      </c>
      <c r="X57" s="38">
        <f t="shared" si="19"/>
        <v>39617.96</v>
      </c>
    </row>
    <row r="58" spans="1:24" hidden="1" x14ac:dyDescent="0.3">
      <c r="A58" s="51" t="s">
        <v>70</v>
      </c>
      <c r="B58" s="34" t="s">
        <v>76</v>
      </c>
      <c r="C58" s="50">
        <v>100022057</v>
      </c>
      <c r="D58" s="51" t="s">
        <v>79</v>
      </c>
      <c r="E58" s="37">
        <v>7790360025944</v>
      </c>
      <c r="F58" s="38">
        <v>7.1999999999999993</v>
      </c>
      <c r="G58" s="39">
        <v>10</v>
      </c>
      <c r="H58" s="77"/>
      <c r="I58" s="38">
        <f t="shared" ref="I58:I66" si="20">IFERROR(L58*1.35*1.21,)</f>
        <v>0</v>
      </c>
      <c r="J58" s="38">
        <f t="shared" si="12"/>
        <v>0</v>
      </c>
      <c r="K58"/>
      <c r="L58" s="38" t="str">
        <f t="shared" si="13"/>
        <v/>
      </c>
      <c r="M58" s="38" t="str">
        <f t="shared" si="14"/>
        <v/>
      </c>
      <c r="N58" s="42" t="e">
        <v>#VALUE!</v>
      </c>
      <c r="O58" s="47"/>
      <c r="P58" s="38" t="str">
        <f t="shared" si="15"/>
        <v/>
      </c>
      <c r="Q58" s="47"/>
      <c r="R58" s="38" t="str">
        <f t="shared" si="16"/>
        <v/>
      </c>
      <c r="S58" s="38" t="str">
        <f t="shared" si="17"/>
        <v/>
      </c>
      <c r="T58" s="45"/>
      <c r="U58" s="46"/>
      <c r="V58" s="41" t="s">
        <v>39</v>
      </c>
      <c r="W58" s="47" t="str">
        <f t="shared" si="18"/>
        <v/>
      </c>
      <c r="X58" s="38" t="str">
        <f t="shared" si="19"/>
        <v/>
      </c>
    </row>
    <row r="59" spans="1:24" hidden="1" x14ac:dyDescent="0.3">
      <c r="A59" s="51" t="s">
        <v>70</v>
      </c>
      <c r="B59" s="34" t="s">
        <v>76</v>
      </c>
      <c r="C59" s="50">
        <v>100516731</v>
      </c>
      <c r="D59" s="51" t="s">
        <v>80</v>
      </c>
      <c r="E59" s="37"/>
      <c r="F59" s="38">
        <v>10.44</v>
      </c>
      <c r="G59" s="39">
        <v>12</v>
      </c>
      <c r="H59" s="77"/>
      <c r="I59" s="38">
        <f t="shared" si="20"/>
        <v>0</v>
      </c>
      <c r="J59" s="38">
        <f t="shared" si="12"/>
        <v>0</v>
      </c>
      <c r="K59"/>
      <c r="L59" s="38" t="str">
        <f t="shared" si="13"/>
        <v/>
      </c>
      <c r="M59" s="38" t="str">
        <f t="shared" si="14"/>
        <v/>
      </c>
      <c r="N59" s="42" t="e">
        <v>#VALUE!</v>
      </c>
      <c r="O59" s="47"/>
      <c r="P59" s="38" t="str">
        <f t="shared" si="15"/>
        <v/>
      </c>
      <c r="Q59" s="47"/>
      <c r="R59" s="38" t="str">
        <f t="shared" si="16"/>
        <v/>
      </c>
      <c r="S59" s="38" t="str">
        <f t="shared" si="17"/>
        <v/>
      </c>
      <c r="T59" s="45"/>
      <c r="U59" s="46"/>
      <c r="V59" s="41" t="s">
        <v>39</v>
      </c>
      <c r="W59" s="47" t="str">
        <f t="shared" si="18"/>
        <v/>
      </c>
      <c r="X59" s="38" t="str">
        <f t="shared" si="19"/>
        <v/>
      </c>
    </row>
    <row r="60" spans="1:24" x14ac:dyDescent="0.3">
      <c r="A60" s="51" t="s">
        <v>70</v>
      </c>
      <c r="B60" s="34" t="s">
        <v>81</v>
      </c>
      <c r="C60" s="50">
        <v>100022058</v>
      </c>
      <c r="D60" s="51" t="s">
        <v>82</v>
      </c>
      <c r="E60" s="37">
        <v>7790360026002</v>
      </c>
      <c r="F60" s="38">
        <v>4.5599999990400004</v>
      </c>
      <c r="G60" s="39">
        <v>24</v>
      </c>
      <c r="H60" s="77"/>
      <c r="I60" s="38">
        <f t="shared" si="20"/>
        <v>1485.5573761875003</v>
      </c>
      <c r="J60" s="38">
        <f t="shared" si="12"/>
        <v>1337.0016385687502</v>
      </c>
      <c r="K60"/>
      <c r="L60" s="38">
        <f t="shared" si="13"/>
        <v>909.43212500000016</v>
      </c>
      <c r="M60" s="38">
        <f t="shared" si="14"/>
        <v>4786.4848694287339</v>
      </c>
      <c r="N60" s="42">
        <v>21826.371000000003</v>
      </c>
      <c r="O60" s="47"/>
      <c r="P60" s="38">
        <f t="shared" si="15"/>
        <v>21826.371000000003</v>
      </c>
      <c r="Q60" s="47"/>
      <c r="R60" s="38">
        <f t="shared" si="16"/>
        <v>21826.371000000003</v>
      </c>
      <c r="S60" s="38">
        <f t="shared" si="17"/>
        <v>909.43212500000016</v>
      </c>
      <c r="T60" s="45"/>
      <c r="U60" s="46"/>
      <c r="V60" s="41">
        <v>20787.02</v>
      </c>
      <c r="W60" s="47">
        <f t="shared" si="18"/>
        <v>5.0000000000000044E-2</v>
      </c>
      <c r="X60" s="38">
        <f t="shared" si="19"/>
        <v>20787.02</v>
      </c>
    </row>
    <row r="61" spans="1:24" hidden="1" x14ac:dyDescent="0.3">
      <c r="A61" s="51" t="s">
        <v>70</v>
      </c>
      <c r="B61" s="34" t="s">
        <v>83</v>
      </c>
      <c r="C61" s="50">
        <v>100022089</v>
      </c>
      <c r="D61" s="51" t="s">
        <v>84</v>
      </c>
      <c r="E61" s="37">
        <v>7798024390315</v>
      </c>
      <c r="F61" s="38">
        <v>5.4</v>
      </c>
      <c r="G61" s="39">
        <v>24</v>
      </c>
      <c r="I61" s="38">
        <f t="shared" si="20"/>
        <v>0</v>
      </c>
      <c r="J61" s="38">
        <f t="shared" ref="J61:J66" si="21">+I61*0.8</f>
        <v>0</v>
      </c>
      <c r="K61"/>
      <c r="L61" s="38">
        <f>+IF(ISERROR(P61/G61),"",(P61/G61))</f>
        <v>0</v>
      </c>
      <c r="M61" s="38">
        <f t="shared" si="14"/>
        <v>0</v>
      </c>
      <c r="N61" s="42"/>
      <c r="O61" s="47"/>
      <c r="P61" s="38">
        <f t="shared" si="15"/>
        <v>0</v>
      </c>
      <c r="Q61" s="47"/>
      <c r="R61" s="38">
        <f t="shared" si="16"/>
        <v>0</v>
      </c>
      <c r="S61" s="38">
        <f t="shared" si="17"/>
        <v>0</v>
      </c>
      <c r="T61" s="45"/>
      <c r="U61"/>
      <c r="V61" s="38" t="s">
        <v>39</v>
      </c>
      <c r="W61" s="47" t="str">
        <f t="shared" si="18"/>
        <v/>
      </c>
      <c r="X61" s="38" t="str">
        <f t="shared" si="19"/>
        <v/>
      </c>
    </row>
    <row r="62" spans="1:24" hidden="1" x14ac:dyDescent="0.3">
      <c r="A62" s="51" t="s">
        <v>70</v>
      </c>
      <c r="B62" s="34" t="s">
        <v>83</v>
      </c>
      <c r="C62" s="50">
        <v>100022080</v>
      </c>
      <c r="D62" s="51" t="s">
        <v>85</v>
      </c>
      <c r="E62" s="37">
        <v>7798158706778</v>
      </c>
      <c r="F62" s="38">
        <v>5.4</v>
      </c>
      <c r="G62" s="39">
        <v>12</v>
      </c>
      <c r="I62" s="38">
        <f t="shared" si="20"/>
        <v>0</v>
      </c>
      <c r="J62" s="38">
        <f t="shared" si="21"/>
        <v>0</v>
      </c>
      <c r="K62"/>
      <c r="L62" s="38">
        <f>+IF(ISERROR(P62/G62),"",(P62/G62))</f>
        <v>0</v>
      </c>
      <c r="M62" s="38">
        <f t="shared" si="14"/>
        <v>0</v>
      </c>
      <c r="N62" s="42"/>
      <c r="O62" s="47"/>
      <c r="P62" s="38">
        <f t="shared" si="15"/>
        <v>0</v>
      </c>
      <c r="Q62" s="47"/>
      <c r="R62" s="38">
        <f t="shared" si="16"/>
        <v>0</v>
      </c>
      <c r="S62" s="38">
        <f t="shared" si="17"/>
        <v>0</v>
      </c>
      <c r="T62" s="45"/>
      <c r="U62"/>
      <c r="V62" s="38" t="s">
        <v>39</v>
      </c>
      <c r="W62" s="47" t="str">
        <f t="shared" si="18"/>
        <v/>
      </c>
      <c r="X62" s="38" t="str">
        <f t="shared" si="19"/>
        <v/>
      </c>
    </row>
    <row r="63" spans="1:24" hidden="1" x14ac:dyDescent="0.3">
      <c r="A63" s="51" t="s">
        <v>70</v>
      </c>
      <c r="B63" s="34" t="s">
        <v>83</v>
      </c>
      <c r="C63" s="50">
        <v>100022081</v>
      </c>
      <c r="D63" s="51" t="s">
        <v>86</v>
      </c>
      <c r="E63" s="37">
        <v>7798158706785</v>
      </c>
      <c r="F63" s="38">
        <v>5.4</v>
      </c>
      <c r="G63" s="39">
        <v>6</v>
      </c>
      <c r="I63" s="38">
        <f t="shared" si="20"/>
        <v>0</v>
      </c>
      <c r="J63" s="38">
        <f t="shared" si="21"/>
        <v>0</v>
      </c>
      <c r="K63"/>
      <c r="L63" s="38">
        <f>+IF(ISERROR(P63/G63),"",(P63/G63))</f>
        <v>0</v>
      </c>
      <c r="M63" s="38">
        <f t="shared" si="14"/>
        <v>0</v>
      </c>
      <c r="N63" s="42"/>
      <c r="O63" s="47"/>
      <c r="P63" s="38">
        <f t="shared" si="15"/>
        <v>0</v>
      </c>
      <c r="Q63" s="47"/>
      <c r="R63" s="38">
        <f t="shared" si="16"/>
        <v>0</v>
      </c>
      <c r="S63" s="38">
        <f t="shared" si="17"/>
        <v>0</v>
      </c>
      <c r="T63" s="45"/>
      <c r="U63"/>
      <c r="V63" s="38" t="s">
        <v>39</v>
      </c>
      <c r="W63" s="47" t="str">
        <f t="shared" si="18"/>
        <v/>
      </c>
      <c r="X63" s="38" t="str">
        <f t="shared" si="19"/>
        <v/>
      </c>
    </row>
    <row r="64" spans="1:24" hidden="1" x14ac:dyDescent="0.3">
      <c r="A64" s="51" t="s">
        <v>70</v>
      </c>
      <c r="B64" s="34" t="s">
        <v>83</v>
      </c>
      <c r="C64" s="50">
        <v>100022014</v>
      </c>
      <c r="D64" s="51" t="s">
        <v>87</v>
      </c>
      <c r="E64" s="37">
        <v>8480017244512</v>
      </c>
      <c r="F64" s="38">
        <v>4.5</v>
      </c>
      <c r="G64" s="39">
        <v>20</v>
      </c>
      <c r="I64" s="38">
        <f t="shared" si="20"/>
        <v>0</v>
      </c>
      <c r="J64" s="38">
        <f t="shared" si="21"/>
        <v>0</v>
      </c>
      <c r="K64"/>
      <c r="L64" s="38">
        <f>+IF(ISERROR(P64/G64),"",(P64/G64))</f>
        <v>0</v>
      </c>
      <c r="M64" s="38">
        <f t="shared" si="14"/>
        <v>0</v>
      </c>
      <c r="N64" s="42"/>
      <c r="O64" s="47"/>
      <c r="P64" s="38">
        <f t="shared" si="15"/>
        <v>0</v>
      </c>
      <c r="Q64" s="47"/>
      <c r="R64" s="38">
        <f t="shared" si="16"/>
        <v>0</v>
      </c>
      <c r="S64" s="38">
        <f t="shared" si="17"/>
        <v>0</v>
      </c>
      <c r="T64" s="45"/>
      <c r="U64"/>
      <c r="V64" s="38" t="s">
        <v>39</v>
      </c>
      <c r="W64" s="47" t="str">
        <f t="shared" si="18"/>
        <v/>
      </c>
      <c r="X64" s="38" t="str">
        <f t="shared" si="19"/>
        <v/>
      </c>
    </row>
    <row r="65" spans="1:24" hidden="1" x14ac:dyDescent="0.3">
      <c r="A65" s="51" t="s">
        <v>70</v>
      </c>
      <c r="B65" s="34" t="s">
        <v>83</v>
      </c>
      <c r="C65" s="50">
        <v>100022086</v>
      </c>
      <c r="D65" s="51" t="s">
        <v>88</v>
      </c>
      <c r="E65" s="37">
        <v>8480017090058</v>
      </c>
      <c r="F65" s="38">
        <v>5.4</v>
      </c>
      <c r="G65" s="39">
        <v>12</v>
      </c>
      <c r="I65" s="38">
        <f t="shared" si="20"/>
        <v>0</v>
      </c>
      <c r="J65" s="38">
        <f t="shared" si="21"/>
        <v>0</v>
      </c>
      <c r="K65"/>
      <c r="L65" s="38">
        <f>+IF(ISERROR(P65/G65),"",(P65/G65))</f>
        <v>0</v>
      </c>
      <c r="M65" s="38">
        <f t="shared" si="14"/>
        <v>0</v>
      </c>
      <c r="N65" s="42"/>
      <c r="O65" s="47"/>
      <c r="P65" s="38">
        <f t="shared" si="15"/>
        <v>0</v>
      </c>
      <c r="Q65" s="47"/>
      <c r="R65" s="38">
        <f t="shared" si="16"/>
        <v>0</v>
      </c>
      <c r="S65" s="78">
        <f t="shared" si="17"/>
        <v>0</v>
      </c>
      <c r="T65" s="45"/>
      <c r="U65"/>
      <c r="V65" s="38" t="s">
        <v>39</v>
      </c>
      <c r="W65" s="47" t="str">
        <f t="shared" si="18"/>
        <v/>
      </c>
      <c r="X65" s="38" t="str">
        <f t="shared" si="19"/>
        <v/>
      </c>
    </row>
    <row r="66" spans="1:24" hidden="1" x14ac:dyDescent="0.3">
      <c r="A66" s="51" t="s">
        <v>70</v>
      </c>
      <c r="B66" s="34" t="s">
        <v>83</v>
      </c>
      <c r="C66" s="50">
        <v>100022087</v>
      </c>
      <c r="D66" s="51" t="s">
        <v>89</v>
      </c>
      <c r="E66" s="37">
        <v>8480017048141</v>
      </c>
      <c r="F66" s="38">
        <v>5.4</v>
      </c>
      <c r="G66" s="39">
        <v>6</v>
      </c>
      <c r="I66" s="38">
        <f t="shared" si="20"/>
        <v>0</v>
      </c>
      <c r="J66" s="38">
        <f t="shared" si="21"/>
        <v>0</v>
      </c>
      <c r="K66"/>
      <c r="L66" s="38">
        <f>+IF(ISERROR(N66/G66),"",(N66/G66))</f>
        <v>0</v>
      </c>
      <c r="M66" s="38">
        <f t="shared" si="14"/>
        <v>0</v>
      </c>
      <c r="N66" s="42"/>
      <c r="O66" s="47"/>
      <c r="P66" s="38">
        <f t="shared" si="15"/>
        <v>0</v>
      </c>
      <c r="Q66" s="47"/>
      <c r="R66" s="38">
        <f t="shared" si="16"/>
        <v>0</v>
      </c>
      <c r="S66" s="78">
        <f t="shared" si="17"/>
        <v>0</v>
      </c>
      <c r="T66" s="45"/>
      <c r="U66"/>
      <c r="V66" s="38" t="s">
        <v>39</v>
      </c>
      <c r="W66" s="47" t="str">
        <f t="shared" si="18"/>
        <v/>
      </c>
      <c r="X66" s="38" t="str">
        <f t="shared" si="19"/>
        <v/>
      </c>
    </row>
    <row r="67" spans="1:24" x14ac:dyDescent="0.3">
      <c r="A67" s="24"/>
      <c r="B67" s="25"/>
      <c r="C67" s="26"/>
      <c r="D67" s="27"/>
      <c r="E67" s="26"/>
      <c r="F67" s="27"/>
      <c r="G67" s="76"/>
      <c r="I67" s="29"/>
      <c r="J67" s="30"/>
      <c r="K67"/>
      <c r="L67" s="29"/>
      <c r="M67" s="27"/>
      <c r="N67" s="27"/>
      <c r="O67" s="31"/>
      <c r="P67" s="27"/>
      <c r="Q67" s="31"/>
      <c r="R67" s="27"/>
      <c r="S67" s="28"/>
      <c r="T67" s="45"/>
      <c r="U67"/>
      <c r="V67" s="27"/>
      <c r="W67" s="33"/>
      <c r="X67" s="28"/>
    </row>
    <row r="68" spans="1:24" x14ac:dyDescent="0.3">
      <c r="A68" s="51" t="s">
        <v>90</v>
      </c>
      <c r="B68" s="34" t="s">
        <v>91</v>
      </c>
      <c r="C68" s="50">
        <v>100021000</v>
      </c>
      <c r="D68" s="51" t="s">
        <v>92</v>
      </c>
      <c r="E68" s="37">
        <v>7790360720382</v>
      </c>
      <c r="F68" s="38">
        <v>2.16</v>
      </c>
      <c r="G68" s="39">
        <v>24</v>
      </c>
      <c r="I68" s="38">
        <f t="shared" ref="I68:I85" si="22">IFERROR(L68*1.35*1.21,)</f>
        <v>1265.101509375</v>
      </c>
      <c r="J68" s="38">
        <f t="shared" ref="J68:J85" si="23">+I68*0.9</f>
        <v>1138.5913584375</v>
      </c>
      <c r="K68"/>
      <c r="L68" s="38">
        <f t="shared" ref="L68:L85" si="24">+IF(ISERROR(N68/G68),"",(N68/G68))</f>
        <v>774.47291666666661</v>
      </c>
      <c r="M68" s="38">
        <f t="shared" ref="M68:M85" si="25">+IF(ISERROR(N68/F68),"",(N68/F68))</f>
        <v>8605.2546296296277</v>
      </c>
      <c r="N68" s="42">
        <v>18587.349999999999</v>
      </c>
      <c r="O68" s="47"/>
      <c r="P68" s="38">
        <f t="shared" ref="P68:P85" si="26">+IF(ISERROR(N68/(1-O68)),"",(N68/(1-O68)))</f>
        <v>18587.349999999999</v>
      </c>
      <c r="Q68" s="47"/>
      <c r="R68" s="38">
        <f t="shared" ref="R68:R85" si="27">+IF(ISERROR(P68/(1-Q68)),"",(P68/(1-Q68)))</f>
        <v>18587.349999999999</v>
      </c>
      <c r="S68" s="38">
        <f t="shared" ref="S68:S85" si="28">+IF(ISERROR(P68/G68),"",(P68/G68))</f>
        <v>774.47291666666661</v>
      </c>
      <c r="T68" s="45"/>
      <c r="U68"/>
      <c r="V68" s="41">
        <v>18587.349999999999</v>
      </c>
      <c r="W68" s="47">
        <f t="shared" ref="W68:W85" si="29">+IF(ISERROR(N68/V68-1),"",(N68/V68-1))</f>
        <v>0</v>
      </c>
      <c r="X68" s="38">
        <f t="shared" ref="X68:X85" si="30">+IF(ISERROR(V68*(1-O68)),"",(V68*(1-O68)))</f>
        <v>18587.349999999999</v>
      </c>
    </row>
    <row r="69" spans="1:24" x14ac:dyDescent="0.3">
      <c r="A69" s="51" t="s">
        <v>90</v>
      </c>
      <c r="B69" s="34" t="s">
        <v>91</v>
      </c>
      <c r="C69" s="50">
        <v>100021001</v>
      </c>
      <c r="D69" s="51" t="s">
        <v>93</v>
      </c>
      <c r="E69" s="37">
        <v>7790360720115</v>
      </c>
      <c r="F69" s="38">
        <v>2.16</v>
      </c>
      <c r="G69" s="39">
        <v>24</v>
      </c>
      <c r="I69" s="38">
        <f t="shared" si="22"/>
        <v>1265.101509375</v>
      </c>
      <c r="J69" s="38">
        <f t="shared" si="23"/>
        <v>1138.5913584375</v>
      </c>
      <c r="K69"/>
      <c r="L69" s="38">
        <f t="shared" si="24"/>
        <v>774.47291666666661</v>
      </c>
      <c r="M69" s="38">
        <f t="shared" si="25"/>
        <v>8605.2546296296277</v>
      </c>
      <c r="N69" s="42">
        <v>18587.349999999999</v>
      </c>
      <c r="O69" s="47"/>
      <c r="P69" s="38">
        <f t="shared" si="26"/>
        <v>18587.349999999999</v>
      </c>
      <c r="Q69" s="47"/>
      <c r="R69" s="38">
        <f t="shared" si="27"/>
        <v>18587.349999999999</v>
      </c>
      <c r="S69" s="38">
        <f t="shared" si="28"/>
        <v>774.47291666666661</v>
      </c>
      <c r="T69" s="45"/>
      <c r="U69"/>
      <c r="V69" s="41">
        <v>18587.349999999999</v>
      </c>
      <c r="W69" s="47">
        <f t="shared" si="29"/>
        <v>0</v>
      </c>
      <c r="X69" s="38">
        <f t="shared" si="30"/>
        <v>18587.349999999999</v>
      </c>
    </row>
    <row r="70" spans="1:24" x14ac:dyDescent="0.3">
      <c r="A70" s="51" t="s">
        <v>90</v>
      </c>
      <c r="B70" s="34" t="s">
        <v>91</v>
      </c>
      <c r="C70" s="50">
        <v>100522277</v>
      </c>
      <c r="D70" s="51" t="s">
        <v>94</v>
      </c>
      <c r="E70" s="37"/>
      <c r="F70" s="38">
        <v>2.16</v>
      </c>
      <c r="G70" s="39">
        <v>24</v>
      </c>
      <c r="I70" s="38">
        <f t="shared" si="22"/>
        <v>1265.101509375</v>
      </c>
      <c r="J70" s="38">
        <f t="shared" si="23"/>
        <v>1138.5913584375</v>
      </c>
      <c r="K70"/>
      <c r="L70" s="38">
        <f t="shared" si="24"/>
        <v>774.47291666666661</v>
      </c>
      <c r="M70" s="38">
        <f t="shared" si="25"/>
        <v>8605.2546296296277</v>
      </c>
      <c r="N70" s="42">
        <v>18587.349999999999</v>
      </c>
      <c r="O70" s="47"/>
      <c r="P70" s="38">
        <f t="shared" si="26"/>
        <v>18587.349999999999</v>
      </c>
      <c r="Q70" s="47"/>
      <c r="R70" s="38">
        <f t="shared" si="27"/>
        <v>18587.349999999999</v>
      </c>
      <c r="S70" s="38">
        <f t="shared" si="28"/>
        <v>774.47291666666661</v>
      </c>
      <c r="T70" s="45"/>
      <c r="U70"/>
      <c r="V70" s="41">
        <v>18587.349999999999</v>
      </c>
      <c r="W70" s="47">
        <f t="shared" si="29"/>
        <v>0</v>
      </c>
      <c r="X70" s="38">
        <f t="shared" si="30"/>
        <v>18587.349999999999</v>
      </c>
    </row>
    <row r="71" spans="1:24" x14ac:dyDescent="0.3">
      <c r="A71" s="51" t="s">
        <v>90</v>
      </c>
      <c r="B71" s="34" t="s">
        <v>91</v>
      </c>
      <c r="C71" s="50">
        <v>100522333</v>
      </c>
      <c r="D71" s="51" t="s">
        <v>95</v>
      </c>
      <c r="E71" s="37"/>
      <c r="F71" s="38">
        <v>2.16</v>
      </c>
      <c r="G71" s="39">
        <v>24</v>
      </c>
      <c r="I71" s="38">
        <f t="shared" si="22"/>
        <v>1265.101509375</v>
      </c>
      <c r="J71" s="38">
        <f t="shared" si="23"/>
        <v>1138.5913584375</v>
      </c>
      <c r="K71"/>
      <c r="L71" s="38">
        <f t="shared" si="24"/>
        <v>774.47291666666661</v>
      </c>
      <c r="M71" s="38">
        <f t="shared" si="25"/>
        <v>8605.2546296296277</v>
      </c>
      <c r="N71" s="42">
        <v>18587.349999999999</v>
      </c>
      <c r="O71" s="47"/>
      <c r="P71" s="38">
        <f t="shared" si="26"/>
        <v>18587.349999999999</v>
      </c>
      <c r="Q71" s="47"/>
      <c r="R71" s="38">
        <f t="shared" si="27"/>
        <v>18587.349999999999</v>
      </c>
      <c r="S71" s="38">
        <f t="shared" si="28"/>
        <v>774.47291666666661</v>
      </c>
      <c r="T71" s="45"/>
      <c r="U71"/>
      <c r="V71" s="41">
        <v>18587.349999999999</v>
      </c>
      <c r="W71" s="47">
        <f t="shared" si="29"/>
        <v>0</v>
      </c>
      <c r="X71" s="38">
        <f t="shared" si="30"/>
        <v>18587.349999999999</v>
      </c>
    </row>
    <row r="72" spans="1:24" x14ac:dyDescent="0.3">
      <c r="A72" s="51" t="s">
        <v>90</v>
      </c>
      <c r="B72" s="34" t="s">
        <v>91</v>
      </c>
      <c r="C72" s="50">
        <v>100021045</v>
      </c>
      <c r="D72" s="51" t="s">
        <v>96</v>
      </c>
      <c r="E72" s="37">
        <v>7790360966582</v>
      </c>
      <c r="F72" s="38">
        <v>2.16</v>
      </c>
      <c r="G72" s="39">
        <v>24</v>
      </c>
      <c r="I72" s="38">
        <f t="shared" si="22"/>
        <v>1265.101509375</v>
      </c>
      <c r="J72" s="38">
        <f t="shared" si="23"/>
        <v>1138.5913584375</v>
      </c>
      <c r="K72"/>
      <c r="L72" s="38">
        <f t="shared" si="24"/>
        <v>774.47291666666661</v>
      </c>
      <c r="M72" s="38">
        <f t="shared" si="25"/>
        <v>8605.2546296296277</v>
      </c>
      <c r="N72" s="42">
        <v>18587.349999999999</v>
      </c>
      <c r="O72" s="47"/>
      <c r="P72" s="38">
        <f t="shared" si="26"/>
        <v>18587.349999999999</v>
      </c>
      <c r="Q72" s="47"/>
      <c r="R72" s="38">
        <f t="shared" si="27"/>
        <v>18587.349999999999</v>
      </c>
      <c r="S72" s="38">
        <f t="shared" si="28"/>
        <v>774.47291666666661</v>
      </c>
      <c r="T72" s="45"/>
      <c r="U72"/>
      <c r="V72" s="41">
        <v>18587.349999999999</v>
      </c>
      <c r="W72" s="47">
        <f t="shared" si="29"/>
        <v>0</v>
      </c>
      <c r="X72" s="38">
        <f t="shared" si="30"/>
        <v>18587.349999999999</v>
      </c>
    </row>
    <row r="73" spans="1:24" x14ac:dyDescent="0.3">
      <c r="A73" s="51" t="s">
        <v>90</v>
      </c>
      <c r="B73" s="34" t="s">
        <v>97</v>
      </c>
      <c r="C73" s="50">
        <v>100021004</v>
      </c>
      <c r="D73" s="51" t="s">
        <v>98</v>
      </c>
      <c r="E73" s="37">
        <v>7790360964526</v>
      </c>
      <c r="F73" s="38">
        <v>2.1120000000000001</v>
      </c>
      <c r="G73" s="39">
        <v>24</v>
      </c>
      <c r="I73" s="38">
        <f t="shared" si="22"/>
        <v>1265.101509375</v>
      </c>
      <c r="J73" s="38">
        <f t="shared" si="23"/>
        <v>1138.5913584375</v>
      </c>
      <c r="K73"/>
      <c r="L73" s="38">
        <f t="shared" si="24"/>
        <v>774.47291666666661</v>
      </c>
      <c r="M73" s="38">
        <f t="shared" si="25"/>
        <v>8800.828598484848</v>
      </c>
      <c r="N73" s="42">
        <v>18587.349999999999</v>
      </c>
      <c r="O73" s="47"/>
      <c r="P73" s="38">
        <f t="shared" si="26"/>
        <v>18587.349999999999</v>
      </c>
      <c r="Q73" s="47"/>
      <c r="R73" s="38">
        <f t="shared" si="27"/>
        <v>18587.349999999999</v>
      </c>
      <c r="S73" s="38">
        <f t="shared" si="28"/>
        <v>774.47291666666661</v>
      </c>
      <c r="T73" s="45"/>
      <c r="U73"/>
      <c r="V73" s="41">
        <v>18587.349999999999</v>
      </c>
      <c r="W73" s="47">
        <f t="shared" si="29"/>
        <v>0</v>
      </c>
      <c r="X73" s="38">
        <f t="shared" si="30"/>
        <v>18587.349999999999</v>
      </c>
    </row>
    <row r="74" spans="1:24" x14ac:dyDescent="0.3">
      <c r="A74" s="51" t="s">
        <v>90</v>
      </c>
      <c r="B74" s="34" t="s">
        <v>97</v>
      </c>
      <c r="C74" s="50">
        <v>100021006</v>
      </c>
      <c r="D74" s="51" t="s">
        <v>99</v>
      </c>
      <c r="E74" s="37">
        <v>7790360964557</v>
      </c>
      <c r="F74" s="38">
        <v>2.1120000000000001</v>
      </c>
      <c r="G74" s="39">
        <v>24</v>
      </c>
      <c r="I74" s="38">
        <f t="shared" si="22"/>
        <v>1265.101509375</v>
      </c>
      <c r="J74" s="38">
        <f t="shared" si="23"/>
        <v>1138.5913584375</v>
      </c>
      <c r="K74"/>
      <c r="L74" s="38">
        <f t="shared" si="24"/>
        <v>774.47291666666661</v>
      </c>
      <c r="M74" s="38">
        <f t="shared" si="25"/>
        <v>8800.828598484848</v>
      </c>
      <c r="N74" s="42">
        <v>18587.349999999999</v>
      </c>
      <c r="O74" s="47"/>
      <c r="P74" s="38">
        <f t="shared" si="26"/>
        <v>18587.349999999999</v>
      </c>
      <c r="Q74" s="47"/>
      <c r="R74" s="38">
        <f t="shared" si="27"/>
        <v>18587.349999999999</v>
      </c>
      <c r="S74" s="38">
        <f t="shared" si="28"/>
        <v>774.47291666666661</v>
      </c>
      <c r="T74" s="45"/>
      <c r="U74"/>
      <c r="V74" s="41">
        <v>18587.349999999999</v>
      </c>
      <c r="W74" s="47">
        <f t="shared" si="29"/>
        <v>0</v>
      </c>
      <c r="X74" s="38">
        <f t="shared" si="30"/>
        <v>18587.349999999999</v>
      </c>
    </row>
    <row r="75" spans="1:24" x14ac:dyDescent="0.3">
      <c r="A75" s="51" t="s">
        <v>90</v>
      </c>
      <c r="B75" s="34" t="s">
        <v>97</v>
      </c>
      <c r="C75" s="50">
        <v>100021007</v>
      </c>
      <c r="D75" s="51" t="s">
        <v>100</v>
      </c>
      <c r="E75" s="37">
        <v>7790360964540</v>
      </c>
      <c r="F75" s="38">
        <v>2.04</v>
      </c>
      <c r="G75" s="39">
        <v>24</v>
      </c>
      <c r="I75" s="38">
        <f t="shared" si="22"/>
        <v>1642.1255606249999</v>
      </c>
      <c r="J75" s="38">
        <f t="shared" si="23"/>
        <v>1477.9130045625</v>
      </c>
      <c r="K75"/>
      <c r="L75" s="38">
        <f t="shared" si="24"/>
        <v>1005.2804166666666</v>
      </c>
      <c r="M75" s="38">
        <f t="shared" si="25"/>
        <v>11826.828431372549</v>
      </c>
      <c r="N75" s="42">
        <v>24126.73</v>
      </c>
      <c r="O75" s="47"/>
      <c r="P75" s="38">
        <f t="shared" si="26"/>
        <v>24126.73</v>
      </c>
      <c r="Q75" s="47"/>
      <c r="R75" s="38">
        <f t="shared" si="27"/>
        <v>24126.73</v>
      </c>
      <c r="S75" s="38">
        <f t="shared" si="28"/>
        <v>1005.2804166666666</v>
      </c>
      <c r="T75" s="45"/>
      <c r="U75"/>
      <c r="V75" s="41">
        <v>24126.73</v>
      </c>
      <c r="W75" s="47">
        <f t="shared" si="29"/>
        <v>0</v>
      </c>
      <c r="X75" s="38">
        <f t="shared" si="30"/>
        <v>24126.73</v>
      </c>
    </row>
    <row r="76" spans="1:24" x14ac:dyDescent="0.3">
      <c r="A76" s="51" t="s">
        <v>90</v>
      </c>
      <c r="B76" s="34" t="s">
        <v>101</v>
      </c>
      <c r="C76" s="50">
        <v>100021013</v>
      </c>
      <c r="D76" s="51" t="s">
        <v>102</v>
      </c>
      <c r="E76" s="37">
        <v>7790360965714</v>
      </c>
      <c r="F76" s="38">
        <v>2.04</v>
      </c>
      <c r="G76" s="39">
        <v>24</v>
      </c>
      <c r="I76" s="38">
        <f t="shared" si="22"/>
        <v>1642.1255606249999</v>
      </c>
      <c r="J76" s="38">
        <f t="shared" si="23"/>
        <v>1477.9130045625</v>
      </c>
      <c r="K76"/>
      <c r="L76" s="38">
        <f t="shared" si="24"/>
        <v>1005.2804166666666</v>
      </c>
      <c r="M76" s="38">
        <f t="shared" si="25"/>
        <v>11826.828431372549</v>
      </c>
      <c r="N76" s="42">
        <v>24126.73</v>
      </c>
      <c r="O76" s="47"/>
      <c r="P76" s="38">
        <f t="shared" si="26"/>
        <v>24126.73</v>
      </c>
      <c r="Q76" s="47"/>
      <c r="R76" s="38">
        <f t="shared" si="27"/>
        <v>24126.73</v>
      </c>
      <c r="S76" s="38">
        <f t="shared" si="28"/>
        <v>1005.2804166666666</v>
      </c>
      <c r="T76" s="45"/>
      <c r="U76"/>
      <c r="V76" s="41">
        <v>24126.73</v>
      </c>
      <c r="W76" s="47">
        <f t="shared" si="29"/>
        <v>0</v>
      </c>
      <c r="X76" s="38">
        <f t="shared" si="30"/>
        <v>24126.73</v>
      </c>
    </row>
    <row r="77" spans="1:24" x14ac:dyDescent="0.3">
      <c r="A77" s="51" t="s">
        <v>90</v>
      </c>
      <c r="B77" s="34" t="s">
        <v>101</v>
      </c>
      <c r="C77" s="50">
        <v>100021014</v>
      </c>
      <c r="D77" s="51" t="s">
        <v>103</v>
      </c>
      <c r="E77" s="37">
        <v>7790360965721</v>
      </c>
      <c r="F77" s="38">
        <v>2.04</v>
      </c>
      <c r="G77" s="39">
        <v>24</v>
      </c>
      <c r="I77" s="38">
        <f t="shared" si="22"/>
        <v>1642.1255606249999</v>
      </c>
      <c r="J77" s="38">
        <f t="shared" si="23"/>
        <v>1477.9130045625</v>
      </c>
      <c r="K77"/>
      <c r="L77" s="38">
        <f t="shared" si="24"/>
        <v>1005.2804166666666</v>
      </c>
      <c r="M77" s="38">
        <f t="shared" si="25"/>
        <v>11826.828431372549</v>
      </c>
      <c r="N77" s="42">
        <v>24126.73</v>
      </c>
      <c r="O77" s="47"/>
      <c r="P77" s="38">
        <f t="shared" si="26"/>
        <v>24126.73</v>
      </c>
      <c r="Q77" s="47"/>
      <c r="R77" s="38">
        <f t="shared" si="27"/>
        <v>24126.73</v>
      </c>
      <c r="S77" s="38">
        <f t="shared" si="28"/>
        <v>1005.2804166666666</v>
      </c>
      <c r="T77" s="45"/>
      <c r="U77"/>
      <c r="V77" s="41">
        <v>24126.73</v>
      </c>
      <c r="W77" s="47">
        <f t="shared" si="29"/>
        <v>0</v>
      </c>
      <c r="X77" s="38">
        <f t="shared" si="30"/>
        <v>24126.73</v>
      </c>
    </row>
    <row r="78" spans="1:24" x14ac:dyDescent="0.3">
      <c r="A78" s="51" t="s">
        <v>90</v>
      </c>
      <c r="B78" s="34" t="s">
        <v>101</v>
      </c>
      <c r="C78" s="50">
        <v>100021054</v>
      </c>
      <c r="D78" s="51" t="s">
        <v>104</v>
      </c>
      <c r="E78" s="37">
        <v>7790360965707</v>
      </c>
      <c r="F78" s="38">
        <v>2.04</v>
      </c>
      <c r="G78" s="39">
        <v>24</v>
      </c>
      <c r="I78" s="38">
        <f t="shared" si="22"/>
        <v>1642.1255606249999</v>
      </c>
      <c r="J78" s="38">
        <f t="shared" si="23"/>
        <v>1477.9130045625</v>
      </c>
      <c r="K78"/>
      <c r="L78" s="38">
        <f t="shared" si="24"/>
        <v>1005.2804166666666</v>
      </c>
      <c r="M78" s="38">
        <f t="shared" si="25"/>
        <v>11826.828431372549</v>
      </c>
      <c r="N78" s="42">
        <v>24126.73</v>
      </c>
      <c r="O78" s="47"/>
      <c r="P78" s="38">
        <f t="shared" si="26"/>
        <v>24126.73</v>
      </c>
      <c r="Q78" s="47"/>
      <c r="R78" s="38">
        <f t="shared" si="27"/>
        <v>24126.73</v>
      </c>
      <c r="S78" s="38">
        <f t="shared" si="28"/>
        <v>1005.2804166666666</v>
      </c>
      <c r="T78" s="45"/>
      <c r="U78"/>
      <c r="V78" s="41">
        <v>24126.73</v>
      </c>
      <c r="W78" s="47">
        <f t="shared" si="29"/>
        <v>0</v>
      </c>
      <c r="X78" s="38">
        <f t="shared" si="30"/>
        <v>24126.73</v>
      </c>
    </row>
    <row r="79" spans="1:24" x14ac:dyDescent="0.3">
      <c r="A79" s="51" t="s">
        <v>90</v>
      </c>
      <c r="B79" s="34" t="s">
        <v>101</v>
      </c>
      <c r="C79" s="50">
        <v>100021055</v>
      </c>
      <c r="D79" s="51" t="s">
        <v>105</v>
      </c>
      <c r="E79" s="37">
        <v>7790360965189</v>
      </c>
      <c r="F79" s="38">
        <v>2.04</v>
      </c>
      <c r="G79" s="39">
        <v>24</v>
      </c>
      <c r="I79" s="38">
        <f t="shared" si="22"/>
        <v>1642.1255606249999</v>
      </c>
      <c r="J79" s="38">
        <f t="shared" si="23"/>
        <v>1477.9130045625</v>
      </c>
      <c r="K79"/>
      <c r="L79" s="38">
        <f t="shared" si="24"/>
        <v>1005.2804166666666</v>
      </c>
      <c r="M79" s="38">
        <f t="shared" si="25"/>
        <v>11826.828431372549</v>
      </c>
      <c r="N79" s="42">
        <v>24126.73</v>
      </c>
      <c r="O79" s="47"/>
      <c r="P79" s="38">
        <f t="shared" si="26"/>
        <v>24126.73</v>
      </c>
      <c r="Q79" s="47"/>
      <c r="R79" s="38">
        <f t="shared" si="27"/>
        <v>24126.73</v>
      </c>
      <c r="S79" s="38">
        <f t="shared" si="28"/>
        <v>1005.2804166666666</v>
      </c>
      <c r="T79" s="45"/>
      <c r="U79"/>
      <c r="V79" s="41">
        <v>24126.73</v>
      </c>
      <c r="W79" s="47">
        <f t="shared" si="29"/>
        <v>0</v>
      </c>
      <c r="X79" s="38">
        <f t="shared" si="30"/>
        <v>24126.73</v>
      </c>
    </row>
    <row r="80" spans="1:24" x14ac:dyDescent="0.3">
      <c r="A80" s="51" t="s">
        <v>90</v>
      </c>
      <c r="B80" s="34" t="s">
        <v>101</v>
      </c>
      <c r="C80" s="50">
        <v>100021015</v>
      </c>
      <c r="D80" s="51" t="s">
        <v>106</v>
      </c>
      <c r="E80" s="37">
        <v>7790360965202</v>
      </c>
      <c r="F80" s="38">
        <v>2.04</v>
      </c>
      <c r="G80" s="39">
        <v>24</v>
      </c>
      <c r="I80" s="38">
        <f t="shared" si="22"/>
        <v>1759.420389375</v>
      </c>
      <c r="J80" s="38">
        <f t="shared" si="23"/>
        <v>1583.4783504375</v>
      </c>
      <c r="K80"/>
      <c r="L80" s="38">
        <f t="shared" si="24"/>
        <v>1077.0862500000001</v>
      </c>
      <c r="M80" s="38">
        <f t="shared" si="25"/>
        <v>12671.60294117647</v>
      </c>
      <c r="N80" s="42">
        <v>25850.07</v>
      </c>
      <c r="O80" s="47"/>
      <c r="P80" s="38">
        <f t="shared" si="26"/>
        <v>25850.07</v>
      </c>
      <c r="Q80" s="47"/>
      <c r="R80" s="38">
        <f t="shared" si="27"/>
        <v>25850.07</v>
      </c>
      <c r="S80" s="38">
        <f t="shared" si="28"/>
        <v>1077.0862500000001</v>
      </c>
      <c r="T80" s="45"/>
      <c r="U80"/>
      <c r="V80" s="41">
        <v>25850.07</v>
      </c>
      <c r="W80" s="47">
        <f t="shared" si="29"/>
        <v>0</v>
      </c>
      <c r="X80" s="38">
        <f t="shared" si="30"/>
        <v>25850.07</v>
      </c>
    </row>
    <row r="81" spans="1:24" x14ac:dyDescent="0.3">
      <c r="A81" s="51" t="s">
        <v>90</v>
      </c>
      <c r="B81" s="34" t="s">
        <v>107</v>
      </c>
      <c r="C81" s="50">
        <v>100021008</v>
      </c>
      <c r="D81" s="51" t="s">
        <v>108</v>
      </c>
      <c r="E81" s="37">
        <v>7790360720122</v>
      </c>
      <c r="F81" s="38">
        <v>2.16</v>
      </c>
      <c r="G81" s="39">
        <v>24</v>
      </c>
      <c r="I81" s="38">
        <f t="shared" si="22"/>
        <v>996.53913562500009</v>
      </c>
      <c r="J81" s="38">
        <f t="shared" si="23"/>
        <v>896.88522206250013</v>
      </c>
      <c r="K81"/>
      <c r="L81" s="38">
        <f t="shared" si="24"/>
        <v>610.06375000000003</v>
      </c>
      <c r="M81" s="38">
        <f t="shared" si="25"/>
        <v>6778.4861111111113</v>
      </c>
      <c r="N81" s="42">
        <v>14641.53</v>
      </c>
      <c r="O81" s="47"/>
      <c r="P81" s="38">
        <f t="shared" si="26"/>
        <v>14641.53</v>
      </c>
      <c r="Q81" s="47"/>
      <c r="R81" s="38">
        <f t="shared" si="27"/>
        <v>14641.53</v>
      </c>
      <c r="S81" s="38">
        <f t="shared" si="28"/>
        <v>610.06375000000003</v>
      </c>
      <c r="T81" s="45"/>
      <c r="U81"/>
      <c r="V81" s="41">
        <v>14641.53</v>
      </c>
      <c r="W81" s="47">
        <f t="shared" si="29"/>
        <v>0</v>
      </c>
      <c r="X81" s="38">
        <f t="shared" si="30"/>
        <v>14641.53</v>
      </c>
    </row>
    <row r="82" spans="1:24" x14ac:dyDescent="0.3">
      <c r="A82" s="51" t="s">
        <v>90</v>
      </c>
      <c r="B82" s="34" t="s">
        <v>107</v>
      </c>
      <c r="C82" s="50">
        <v>100021009</v>
      </c>
      <c r="D82" s="51" t="s">
        <v>109</v>
      </c>
      <c r="E82" s="37">
        <v>7790360965127</v>
      </c>
      <c r="F82" s="38">
        <v>2.16</v>
      </c>
      <c r="G82" s="39">
        <v>24</v>
      </c>
      <c r="I82" s="38">
        <f t="shared" si="22"/>
        <v>996.53913562500009</v>
      </c>
      <c r="J82" s="38">
        <f t="shared" si="23"/>
        <v>896.88522206250013</v>
      </c>
      <c r="K82"/>
      <c r="L82" s="38">
        <f t="shared" si="24"/>
        <v>610.06375000000003</v>
      </c>
      <c r="M82" s="38">
        <f t="shared" si="25"/>
        <v>6778.4861111111113</v>
      </c>
      <c r="N82" s="42">
        <v>14641.53</v>
      </c>
      <c r="O82" s="47"/>
      <c r="P82" s="38">
        <f t="shared" si="26"/>
        <v>14641.53</v>
      </c>
      <c r="Q82" s="47"/>
      <c r="R82" s="38">
        <f t="shared" si="27"/>
        <v>14641.53</v>
      </c>
      <c r="S82" s="38">
        <f t="shared" si="28"/>
        <v>610.06375000000003</v>
      </c>
      <c r="T82" s="45"/>
      <c r="U82"/>
      <c r="V82" s="41">
        <v>14641.53</v>
      </c>
      <c r="W82" s="47">
        <f t="shared" si="29"/>
        <v>0</v>
      </c>
      <c r="X82" s="38">
        <f t="shared" si="30"/>
        <v>14641.53</v>
      </c>
    </row>
    <row r="83" spans="1:24" x14ac:dyDescent="0.3">
      <c r="A83" s="51" t="s">
        <v>90</v>
      </c>
      <c r="B83" s="34" t="s">
        <v>110</v>
      </c>
      <c r="C83" s="50">
        <v>100021010</v>
      </c>
      <c r="D83" s="51" t="s">
        <v>111</v>
      </c>
      <c r="E83" s="37">
        <v>7790920008707</v>
      </c>
      <c r="F83" s="38">
        <v>2.16</v>
      </c>
      <c r="G83" s="39">
        <v>24</v>
      </c>
      <c r="I83" s="38">
        <f t="shared" si="22"/>
        <v>996.53913562500009</v>
      </c>
      <c r="J83" s="38">
        <f t="shared" si="23"/>
        <v>896.88522206250013</v>
      </c>
      <c r="K83"/>
      <c r="L83" s="38">
        <f t="shared" si="24"/>
        <v>610.06375000000003</v>
      </c>
      <c r="M83" s="38">
        <f t="shared" si="25"/>
        <v>6778.4861111111113</v>
      </c>
      <c r="N83" s="42">
        <v>14641.53</v>
      </c>
      <c r="O83" s="47"/>
      <c r="P83" s="38">
        <f t="shared" si="26"/>
        <v>14641.53</v>
      </c>
      <c r="Q83" s="47"/>
      <c r="R83" s="38">
        <f t="shared" si="27"/>
        <v>14641.53</v>
      </c>
      <c r="S83" s="38">
        <f t="shared" si="28"/>
        <v>610.06375000000003</v>
      </c>
      <c r="T83" s="45"/>
      <c r="U83"/>
      <c r="V83" s="41">
        <v>14641.53</v>
      </c>
      <c r="W83" s="47">
        <f t="shared" si="29"/>
        <v>0</v>
      </c>
      <c r="X83" s="38">
        <f t="shared" si="30"/>
        <v>14641.53</v>
      </c>
    </row>
    <row r="84" spans="1:24" x14ac:dyDescent="0.3">
      <c r="A84" s="51" t="s">
        <v>90</v>
      </c>
      <c r="B84" s="34" t="s">
        <v>110</v>
      </c>
      <c r="C84" s="50">
        <v>100021011</v>
      </c>
      <c r="D84" s="51" t="s">
        <v>112</v>
      </c>
      <c r="E84" s="37">
        <v>7790920008714</v>
      </c>
      <c r="F84" s="38">
        <v>2.16</v>
      </c>
      <c r="G84" s="39">
        <v>24</v>
      </c>
      <c r="I84" s="38">
        <f t="shared" si="22"/>
        <v>996.53913562500009</v>
      </c>
      <c r="J84" s="38">
        <f t="shared" si="23"/>
        <v>896.88522206250013</v>
      </c>
      <c r="K84"/>
      <c r="L84" s="38">
        <f t="shared" si="24"/>
        <v>610.06375000000003</v>
      </c>
      <c r="M84" s="38">
        <f t="shared" si="25"/>
        <v>6778.4861111111113</v>
      </c>
      <c r="N84" s="42">
        <v>14641.53</v>
      </c>
      <c r="O84" s="47"/>
      <c r="P84" s="38">
        <f t="shared" si="26"/>
        <v>14641.53</v>
      </c>
      <c r="Q84" s="47"/>
      <c r="R84" s="38">
        <f t="shared" si="27"/>
        <v>14641.53</v>
      </c>
      <c r="S84" s="38">
        <f t="shared" si="28"/>
        <v>610.06375000000003</v>
      </c>
      <c r="T84" s="45"/>
      <c r="U84"/>
      <c r="V84" s="41">
        <v>14641.53</v>
      </c>
      <c r="W84" s="47">
        <f t="shared" si="29"/>
        <v>0</v>
      </c>
      <c r="X84" s="38">
        <f t="shared" si="30"/>
        <v>14641.53</v>
      </c>
    </row>
    <row r="85" spans="1:24" hidden="1" x14ac:dyDescent="0.3">
      <c r="A85" s="51" t="s">
        <v>90</v>
      </c>
      <c r="B85" s="34" t="s">
        <v>110</v>
      </c>
      <c r="C85" s="50">
        <v>100021044</v>
      </c>
      <c r="D85" s="51" t="s">
        <v>113</v>
      </c>
      <c r="E85" s="37"/>
      <c r="F85" s="38">
        <v>2.16</v>
      </c>
      <c r="G85" s="39">
        <v>24</v>
      </c>
      <c r="I85" s="38">
        <f t="shared" si="22"/>
        <v>0</v>
      </c>
      <c r="J85" s="38">
        <f t="shared" si="23"/>
        <v>0</v>
      </c>
      <c r="K85"/>
      <c r="L85" s="38">
        <f t="shared" si="24"/>
        <v>0</v>
      </c>
      <c r="M85" s="38">
        <f t="shared" si="25"/>
        <v>0</v>
      </c>
      <c r="N85" s="42"/>
      <c r="O85" s="47"/>
      <c r="P85" s="38">
        <f t="shared" si="26"/>
        <v>0</v>
      </c>
      <c r="Q85" s="47"/>
      <c r="R85" s="38">
        <f t="shared" si="27"/>
        <v>0</v>
      </c>
      <c r="S85" s="38">
        <f t="shared" si="28"/>
        <v>0</v>
      </c>
      <c r="T85" s="45"/>
      <c r="U85"/>
      <c r="V85" s="41" t="s">
        <v>39</v>
      </c>
      <c r="W85" s="47" t="str">
        <f t="shared" si="29"/>
        <v/>
      </c>
      <c r="X85" s="38" t="str">
        <f t="shared" si="30"/>
        <v/>
      </c>
    </row>
    <row r="86" spans="1:24" x14ac:dyDescent="0.3">
      <c r="A86" s="24"/>
      <c r="B86" s="25"/>
      <c r="C86" s="26"/>
      <c r="D86" s="27"/>
      <c r="E86" s="26"/>
      <c r="F86" s="27"/>
      <c r="G86" s="76"/>
      <c r="I86" s="29"/>
      <c r="J86" s="30"/>
      <c r="K86"/>
      <c r="L86" s="29"/>
      <c r="M86" s="27"/>
      <c r="N86" s="27"/>
      <c r="O86" s="31"/>
      <c r="P86" s="27"/>
      <c r="Q86" s="31"/>
      <c r="R86" s="27"/>
      <c r="S86" s="28"/>
      <c r="T86" s="45"/>
      <c r="U86"/>
      <c r="V86" s="27"/>
      <c r="W86" s="33"/>
      <c r="X86" s="28"/>
    </row>
    <row r="87" spans="1:24" hidden="1" x14ac:dyDescent="0.3">
      <c r="A87" s="51" t="s">
        <v>114</v>
      </c>
      <c r="B87" s="34" t="s">
        <v>115</v>
      </c>
      <c r="C87" s="50">
        <v>100021701</v>
      </c>
      <c r="D87" s="51" t="s">
        <v>116</v>
      </c>
      <c r="E87" s="37">
        <v>7790360023889</v>
      </c>
      <c r="F87" s="38">
        <v>6.6</v>
      </c>
      <c r="G87" s="39">
        <v>20</v>
      </c>
      <c r="I87" s="38">
        <f>IFERROR(L87*1.35*1.21,)</f>
        <v>0</v>
      </c>
      <c r="J87" s="38">
        <f>+I87*0.8</f>
        <v>0</v>
      </c>
      <c r="K87"/>
      <c r="L87" s="38">
        <f>+IF(ISERROR(N87/G87),"",(N87/G87))</f>
        <v>0</v>
      </c>
      <c r="M87" s="38">
        <f>+IF(ISERROR(N87/F87),"",(N87/F87))</f>
        <v>0</v>
      </c>
      <c r="N87" s="42"/>
      <c r="O87" s="47"/>
      <c r="P87" s="38">
        <f>+IF(ISERROR(N87/(1-O87)),"",(N87/(1-O87)))</f>
        <v>0</v>
      </c>
      <c r="Q87" s="47"/>
      <c r="R87" s="38">
        <f>+IF(ISERROR(P87/(1-Q87)),"",(P87/(1-Q87)))</f>
        <v>0</v>
      </c>
      <c r="S87" s="38">
        <f>+IF(ISERROR(R87/G87),"",(R87/G87))</f>
        <v>0</v>
      </c>
      <c r="T87" s="45"/>
      <c r="U87"/>
      <c r="V87" s="41" t="s">
        <v>39</v>
      </c>
      <c r="W87" s="47" t="str">
        <f>+IF(ISERROR(N87/V87-1),"",(N87/V87-1))</f>
        <v/>
      </c>
      <c r="X87" s="38" t="str">
        <f>+IF(ISERROR(V87*(1-O87)),"",(V87*(1-O87)))</f>
        <v/>
      </c>
    </row>
    <row r="88" spans="1:24" x14ac:dyDescent="0.3">
      <c r="A88" s="51" t="s">
        <v>114</v>
      </c>
      <c r="B88" s="34" t="s">
        <v>115</v>
      </c>
      <c r="C88" s="50">
        <v>100516217</v>
      </c>
      <c r="D88" s="51" t="s">
        <v>117</v>
      </c>
      <c r="E88" s="37">
        <v>7790360967824</v>
      </c>
      <c r="F88" s="38">
        <v>5.8</v>
      </c>
      <c r="G88" s="39">
        <v>20</v>
      </c>
      <c r="I88" s="38">
        <f>IFERROR(L88*1.35*1.21,)</f>
        <v>2449.6322184675</v>
      </c>
      <c r="J88" s="38">
        <f>+I88*0.9</f>
        <v>2204.66899662075</v>
      </c>
      <c r="K88"/>
      <c r="L88" s="38">
        <f>+IF(ISERROR(N88/G88),"",(N88/G88))</f>
        <v>1499.621805</v>
      </c>
      <c r="M88" s="38">
        <f>+IF(ISERROR(N88/F88),"",(N88/F88))</f>
        <v>5171.1096724137933</v>
      </c>
      <c r="N88" s="42">
        <v>29992.436099999999</v>
      </c>
      <c r="O88" s="47"/>
      <c r="P88" s="38">
        <f>+IF(ISERROR(N88/(1-O88)),"",(N88/(1-O88)))</f>
        <v>29992.436099999999</v>
      </c>
      <c r="Q88" s="47"/>
      <c r="R88" s="38">
        <f>+IF(ISERROR(P88/(1-Q88)),"",(P88/(1-Q88)))</f>
        <v>29992.436099999999</v>
      </c>
      <c r="S88" s="38">
        <f>+IF(ISERROR(R88/G88),"",(R88/G88))</f>
        <v>1499.621805</v>
      </c>
      <c r="T88" s="45"/>
      <c r="U88" s="46"/>
      <c r="V88" s="41">
        <v>29118.87</v>
      </c>
      <c r="W88" s="47">
        <f>+IF(ISERROR(N88/V88-1),"",(N88/V88-1))</f>
        <v>3.0000000000000027E-2</v>
      </c>
      <c r="X88" s="38">
        <f>+IF(ISERROR(V88*(1-O88)),"",(V88*(1-O88)))</f>
        <v>29118.87</v>
      </c>
    </row>
    <row r="89" spans="1:24" x14ac:dyDescent="0.3">
      <c r="A89" s="51" t="s">
        <v>114</v>
      </c>
      <c r="B89" s="34" t="s">
        <v>115</v>
      </c>
      <c r="C89" s="50">
        <v>100516214</v>
      </c>
      <c r="D89" s="51" t="s">
        <v>118</v>
      </c>
      <c r="E89" s="37">
        <v>7790360967794</v>
      </c>
      <c r="F89" s="38">
        <v>7</v>
      </c>
      <c r="G89" s="39">
        <v>20</v>
      </c>
      <c r="I89" s="38">
        <f>IFERROR(L89*1.35*1.21,)</f>
        <v>3531.9346860599999</v>
      </c>
      <c r="J89" s="38">
        <f>+I89*0.9</f>
        <v>3178.741217454</v>
      </c>
      <c r="K89"/>
      <c r="L89" s="38">
        <f>+IF(ISERROR(N89/G89),"",(N89/G89))</f>
        <v>2162.1883600000001</v>
      </c>
      <c r="M89" s="38">
        <f>+IF(ISERROR(N89/F89),"",(N89/F89))</f>
        <v>6177.6810285714291</v>
      </c>
      <c r="N89" s="42">
        <v>43243.767200000002</v>
      </c>
      <c r="O89" s="47"/>
      <c r="P89" s="38">
        <f>+IF(ISERROR(N89/(1-O89)),"",(N89/(1-O89)))</f>
        <v>43243.767200000002</v>
      </c>
      <c r="Q89" s="47"/>
      <c r="R89" s="38">
        <f>+IF(ISERROR(P89/(1-Q89)),"",(P89/(1-Q89)))</f>
        <v>43243.767200000002</v>
      </c>
      <c r="S89" s="38">
        <f>+IF(ISERROR(R89/G89),"",(R89/G89))</f>
        <v>2162.1883600000001</v>
      </c>
      <c r="T89" s="45"/>
      <c r="U89" s="46"/>
      <c r="V89" s="41">
        <v>41984.24</v>
      </c>
      <c r="W89" s="47">
        <f>+IF(ISERROR(N89/V89-1),"",(N89/V89-1))</f>
        <v>3.0000000000000027E-2</v>
      </c>
      <c r="X89" s="38">
        <f>+IF(ISERROR(V89*(1-O89)),"",(V89*(1-O89)))</f>
        <v>41984.24</v>
      </c>
    </row>
    <row r="90" spans="1:24" x14ac:dyDescent="0.3">
      <c r="A90" s="51" t="s">
        <v>114</v>
      </c>
      <c r="B90" s="34" t="s">
        <v>115</v>
      </c>
      <c r="C90" s="50">
        <v>100516215</v>
      </c>
      <c r="D90" s="51" t="s">
        <v>119</v>
      </c>
      <c r="E90" s="37">
        <v>7790360967800</v>
      </c>
      <c r="F90" s="38">
        <v>7</v>
      </c>
      <c r="G90" s="39">
        <v>20</v>
      </c>
      <c r="I90" s="38">
        <f>IFERROR(L90*1.35*1.21,)</f>
        <v>3531.9346860599999</v>
      </c>
      <c r="J90" s="38">
        <f>+I90*0.9</f>
        <v>3178.741217454</v>
      </c>
      <c r="K90"/>
      <c r="L90" s="38">
        <f>+IF(ISERROR(N90/G90),"",(N90/G90))</f>
        <v>2162.1883600000001</v>
      </c>
      <c r="M90" s="38">
        <f>+IF(ISERROR(N90/F90),"",(N90/F90))</f>
        <v>6177.6810285714291</v>
      </c>
      <c r="N90" s="42">
        <v>43243.767200000002</v>
      </c>
      <c r="O90" s="47"/>
      <c r="P90" s="38">
        <f>+IF(ISERROR(N90/(1-O90)),"",(N90/(1-O90)))</f>
        <v>43243.767200000002</v>
      </c>
      <c r="Q90" s="47"/>
      <c r="R90" s="38">
        <f>+IF(ISERROR(P90/(1-Q90)),"",(P90/(1-Q90)))</f>
        <v>43243.767200000002</v>
      </c>
      <c r="S90" s="38">
        <f>+IF(ISERROR(R90/G90),"",(R90/G90))</f>
        <v>2162.1883600000001</v>
      </c>
      <c r="T90" s="45"/>
      <c r="U90" s="46"/>
      <c r="V90" s="41">
        <v>41984.24</v>
      </c>
      <c r="W90" s="47">
        <f>+IF(ISERROR(N90/V90-1),"",(N90/V90-1))</f>
        <v>3.0000000000000027E-2</v>
      </c>
      <c r="X90" s="38">
        <f>+IF(ISERROR(V90*(1-O90)),"",(V90*(1-O90)))</f>
        <v>41984.24</v>
      </c>
    </row>
    <row r="91" spans="1:24" x14ac:dyDescent="0.3">
      <c r="A91" s="51" t="s">
        <v>114</v>
      </c>
      <c r="B91" s="34" t="s">
        <v>115</v>
      </c>
      <c r="C91" s="50">
        <v>100516216</v>
      </c>
      <c r="D91" s="51" t="s">
        <v>120</v>
      </c>
      <c r="E91" s="37">
        <v>7790360967817</v>
      </c>
      <c r="F91" s="38">
        <v>7</v>
      </c>
      <c r="G91" s="39">
        <v>20</v>
      </c>
      <c r="I91" s="38">
        <f>IFERROR(L91*1.35*1.21,)</f>
        <v>3531.9346860599999</v>
      </c>
      <c r="J91" s="38">
        <f>+I91*0.9</f>
        <v>3178.741217454</v>
      </c>
      <c r="K91"/>
      <c r="L91" s="38">
        <f>+IF(ISERROR(N91/G91),"",(N91/G91))</f>
        <v>2162.1883600000001</v>
      </c>
      <c r="M91" s="38">
        <f>+IF(ISERROR(N91/F91),"",(N91/F91))</f>
        <v>6177.6810285714291</v>
      </c>
      <c r="N91" s="42">
        <v>43243.767200000002</v>
      </c>
      <c r="O91" s="47"/>
      <c r="P91" s="38">
        <f>+IF(ISERROR(N91/(1-O91)),"",(N91/(1-O91)))</f>
        <v>43243.767200000002</v>
      </c>
      <c r="Q91" s="47"/>
      <c r="R91" s="38">
        <f>+IF(ISERROR(P91/(1-Q91)),"",(P91/(1-Q91)))</f>
        <v>43243.767200000002</v>
      </c>
      <c r="S91" s="38">
        <f>+IF(ISERROR(R91/G91),"",(R91/G91))</f>
        <v>2162.1883600000001</v>
      </c>
      <c r="T91" s="45"/>
      <c r="U91" s="46"/>
      <c r="V91" s="41">
        <v>41984.24</v>
      </c>
      <c r="W91" s="47">
        <f>+IF(ISERROR(N91/V91-1),"",(N91/V91-1))</f>
        <v>3.0000000000000027E-2</v>
      </c>
      <c r="X91" s="38">
        <f>+IF(ISERROR(V91*(1-O91)),"",(V91*(1-O91)))</f>
        <v>41984.24</v>
      </c>
    </row>
    <row r="92" spans="1:24" x14ac:dyDescent="0.3">
      <c r="A92" s="24"/>
      <c r="B92" s="25"/>
      <c r="C92" s="26"/>
      <c r="D92" s="27"/>
      <c r="E92" s="26"/>
      <c r="F92" s="27"/>
      <c r="G92" s="76"/>
      <c r="I92" s="29"/>
      <c r="J92" s="30"/>
      <c r="K92"/>
      <c r="L92" s="29"/>
      <c r="M92" s="27"/>
      <c r="N92" s="27"/>
      <c r="O92" s="31"/>
      <c r="P92" s="27"/>
      <c r="Q92" s="31"/>
      <c r="R92" s="27"/>
      <c r="S92" s="28"/>
      <c r="T92" s="45"/>
      <c r="U92"/>
      <c r="V92" s="27"/>
      <c r="W92" s="33"/>
      <c r="X92" s="28"/>
    </row>
    <row r="93" spans="1:24" x14ac:dyDescent="0.3">
      <c r="A93" s="51" t="s">
        <v>121</v>
      </c>
      <c r="B93" s="34" t="s">
        <v>122</v>
      </c>
      <c r="C93" s="50">
        <v>100021704</v>
      </c>
      <c r="D93" s="51" t="s">
        <v>123</v>
      </c>
      <c r="E93" s="37">
        <v>7790360023902</v>
      </c>
      <c r="F93" s="38">
        <f>12*0.38</f>
        <v>4.5600000000000005</v>
      </c>
      <c r="G93" s="39">
        <v>12</v>
      </c>
      <c r="I93" s="38">
        <f t="shared" ref="I93:I104" si="31">IFERROR(L93*1.35*1.21,)</f>
        <v>6322.8388162499996</v>
      </c>
      <c r="J93" s="38">
        <f t="shared" ref="J93:J104" si="32">+I93*0.9</f>
        <v>5690.554934625</v>
      </c>
      <c r="K93"/>
      <c r="L93" s="38">
        <f t="shared" ref="L93:L104" si="33">+IF(ISERROR(N93/G93),"",(N93/G93))</f>
        <v>3870.7308333333331</v>
      </c>
      <c r="M93" s="38">
        <f t="shared" ref="M93:M104" si="34">+IF(ISERROR(N93/F93),"",(N93/F93))</f>
        <v>10186.133771929823</v>
      </c>
      <c r="N93" s="42">
        <v>46448.77</v>
      </c>
      <c r="O93" s="47"/>
      <c r="P93" s="38">
        <f t="shared" ref="P93:P104" si="35">+IF(ISERROR(N93/(1-O93)),"",(N93/(1-O93)))</f>
        <v>46448.77</v>
      </c>
      <c r="Q93" s="47"/>
      <c r="R93" s="38">
        <f t="shared" ref="R93:R104" si="36">+IF(ISERROR(P93/(1-Q93)),"",(P93/(1-Q93)))</f>
        <v>46448.77</v>
      </c>
      <c r="S93" s="38">
        <f t="shared" ref="S93:S104" si="37">+IF(ISERROR(R93/G93),"",(R93/G93))</f>
        <v>3870.7308333333331</v>
      </c>
      <c r="T93" s="45"/>
      <c r="U93"/>
      <c r="V93" s="41">
        <v>46448.77</v>
      </c>
      <c r="W93" s="47">
        <f t="shared" ref="W93:W104" si="38">+IF(ISERROR(N93/V93-1),"",(N93/V93-1))</f>
        <v>0</v>
      </c>
      <c r="X93" s="38">
        <f t="shared" ref="X93:X104" si="39">+IF(ISERROR(V93*(1-O93)),"",(V93*(1-O93)))</f>
        <v>46448.77</v>
      </c>
    </row>
    <row r="94" spans="1:24" x14ac:dyDescent="0.3">
      <c r="A94" s="51" t="s">
        <v>121</v>
      </c>
      <c r="B94" s="34" t="s">
        <v>124</v>
      </c>
      <c r="C94" s="50">
        <v>100021705</v>
      </c>
      <c r="D94" s="51" t="s">
        <v>125</v>
      </c>
      <c r="E94" s="37">
        <v>7790360024336</v>
      </c>
      <c r="F94" s="38">
        <f>12*0.38</f>
        <v>4.5600000000000005</v>
      </c>
      <c r="G94" s="39">
        <v>12</v>
      </c>
      <c r="I94" s="38">
        <f t="shared" si="31"/>
        <v>5747.6085974999996</v>
      </c>
      <c r="J94" s="38">
        <f t="shared" si="32"/>
        <v>5172.8477377499994</v>
      </c>
      <c r="K94"/>
      <c r="L94" s="38">
        <f t="shared" si="33"/>
        <v>3518.5849999999996</v>
      </c>
      <c r="M94" s="38">
        <f t="shared" si="34"/>
        <v>9259.4342105263149</v>
      </c>
      <c r="N94" s="42">
        <v>42223.02</v>
      </c>
      <c r="O94" s="47"/>
      <c r="P94" s="38">
        <f t="shared" si="35"/>
        <v>42223.02</v>
      </c>
      <c r="Q94" s="47"/>
      <c r="R94" s="38">
        <f t="shared" si="36"/>
        <v>42223.02</v>
      </c>
      <c r="S94" s="38">
        <f t="shared" si="37"/>
        <v>3518.5849999999996</v>
      </c>
      <c r="T94" s="45"/>
      <c r="U94"/>
      <c r="V94" s="41">
        <v>42223.02</v>
      </c>
      <c r="W94" s="47">
        <f t="shared" si="38"/>
        <v>0</v>
      </c>
      <c r="X94" s="38">
        <f t="shared" si="39"/>
        <v>42223.02</v>
      </c>
    </row>
    <row r="95" spans="1:24" x14ac:dyDescent="0.3">
      <c r="A95" s="51" t="s">
        <v>121</v>
      </c>
      <c r="B95" s="34" t="s">
        <v>124</v>
      </c>
      <c r="C95" s="50">
        <v>100021709</v>
      </c>
      <c r="D95" s="51" t="s">
        <v>126</v>
      </c>
      <c r="E95" s="37">
        <v>7790360024701</v>
      </c>
      <c r="F95" s="38">
        <v>7.6</v>
      </c>
      <c r="G95" s="39">
        <v>10</v>
      </c>
      <c r="I95" s="38">
        <f t="shared" si="31"/>
        <v>11067.48522</v>
      </c>
      <c r="J95" s="38">
        <f t="shared" si="32"/>
        <v>9960.7366980000006</v>
      </c>
      <c r="K95"/>
      <c r="L95" s="38">
        <f t="shared" si="33"/>
        <v>6775.32</v>
      </c>
      <c r="M95" s="38">
        <f t="shared" si="34"/>
        <v>8914.894736842105</v>
      </c>
      <c r="N95" s="42">
        <v>67753.2</v>
      </c>
      <c r="O95" s="47"/>
      <c r="P95" s="38">
        <f t="shared" si="35"/>
        <v>67753.2</v>
      </c>
      <c r="Q95" s="47"/>
      <c r="R95" s="38">
        <f t="shared" si="36"/>
        <v>67753.2</v>
      </c>
      <c r="S95" s="38">
        <f t="shared" si="37"/>
        <v>6775.32</v>
      </c>
      <c r="T95" s="45"/>
      <c r="U95"/>
      <c r="V95" s="41">
        <v>67753.2</v>
      </c>
      <c r="W95" s="47">
        <f t="shared" si="38"/>
        <v>0</v>
      </c>
      <c r="X95" s="38">
        <f t="shared" si="39"/>
        <v>67753.2</v>
      </c>
    </row>
    <row r="96" spans="1:24" x14ac:dyDescent="0.3">
      <c r="A96" s="51" t="s">
        <v>121</v>
      </c>
      <c r="B96" s="34" t="s">
        <v>124</v>
      </c>
      <c r="C96" s="50">
        <v>100521357</v>
      </c>
      <c r="D96" s="51" t="s">
        <v>127</v>
      </c>
      <c r="E96" s="37">
        <v>7790360982018</v>
      </c>
      <c r="F96" s="38">
        <v>4.5599999999999996</v>
      </c>
      <c r="G96" s="39">
        <v>12</v>
      </c>
      <c r="I96" s="38">
        <f t="shared" si="31"/>
        <v>6458.5037137500003</v>
      </c>
      <c r="J96" s="38">
        <f t="shared" si="32"/>
        <v>5812.6533423750006</v>
      </c>
      <c r="K96"/>
      <c r="L96" s="38">
        <f t="shared" si="33"/>
        <v>3953.7824999999998</v>
      </c>
      <c r="M96" s="38">
        <f t="shared" si="34"/>
        <v>10404.690789473685</v>
      </c>
      <c r="N96" s="42">
        <v>47445.39</v>
      </c>
      <c r="O96" s="47"/>
      <c r="P96" s="38">
        <f t="shared" si="35"/>
        <v>47445.39</v>
      </c>
      <c r="Q96" s="47"/>
      <c r="R96" s="38">
        <f t="shared" si="36"/>
        <v>47445.39</v>
      </c>
      <c r="S96" s="38">
        <f t="shared" si="37"/>
        <v>3953.7824999999998</v>
      </c>
      <c r="T96" s="45"/>
      <c r="U96"/>
      <c r="V96" s="41">
        <v>47445.39</v>
      </c>
      <c r="W96" s="47">
        <f t="shared" si="38"/>
        <v>0</v>
      </c>
      <c r="X96" s="38">
        <f t="shared" si="39"/>
        <v>47445.39</v>
      </c>
    </row>
    <row r="97" spans="1:24" x14ac:dyDescent="0.3">
      <c r="A97" s="51" t="s">
        <v>121</v>
      </c>
      <c r="B97" s="34" t="s">
        <v>124</v>
      </c>
      <c r="C97" s="50">
        <v>100521358</v>
      </c>
      <c r="D97" s="51" t="s">
        <v>128</v>
      </c>
      <c r="E97" s="37">
        <v>7790360982025</v>
      </c>
      <c r="F97" s="38">
        <v>7.6</v>
      </c>
      <c r="G97" s="39">
        <v>10</v>
      </c>
      <c r="I97" s="38">
        <f t="shared" si="31"/>
        <v>11625.305867999999</v>
      </c>
      <c r="J97" s="38">
        <f t="shared" si="32"/>
        <v>10462.7752812</v>
      </c>
      <c r="K97"/>
      <c r="L97" s="38">
        <f t="shared" si="33"/>
        <v>7116.808</v>
      </c>
      <c r="M97" s="38">
        <f t="shared" si="34"/>
        <v>9364.2210526315794</v>
      </c>
      <c r="N97" s="42">
        <v>71168.08</v>
      </c>
      <c r="O97" s="47"/>
      <c r="P97" s="38">
        <f t="shared" si="35"/>
        <v>71168.08</v>
      </c>
      <c r="Q97" s="47"/>
      <c r="R97" s="38">
        <f t="shared" si="36"/>
        <v>71168.08</v>
      </c>
      <c r="S97" s="38">
        <f t="shared" si="37"/>
        <v>7116.808</v>
      </c>
      <c r="T97" s="45"/>
      <c r="U97"/>
      <c r="V97" s="41">
        <v>71168.08</v>
      </c>
      <c r="W97" s="47">
        <f t="shared" si="38"/>
        <v>0</v>
      </c>
      <c r="X97" s="38">
        <f t="shared" si="39"/>
        <v>71168.08</v>
      </c>
    </row>
    <row r="98" spans="1:24" x14ac:dyDescent="0.3">
      <c r="A98" s="51" t="s">
        <v>121</v>
      </c>
      <c r="B98" s="34" t="s">
        <v>124</v>
      </c>
      <c r="C98" s="50">
        <v>100522130</v>
      </c>
      <c r="D98" s="51" t="s">
        <v>129</v>
      </c>
      <c r="E98" s="37">
        <v>7790360982445</v>
      </c>
      <c r="F98" s="38">
        <v>4.8</v>
      </c>
      <c r="G98" s="39">
        <v>12</v>
      </c>
      <c r="I98" s="38">
        <f t="shared" si="31"/>
        <v>4829.3801324999995</v>
      </c>
      <c r="J98" s="38">
        <f t="shared" si="32"/>
        <v>4346.4421192499995</v>
      </c>
      <c r="K98"/>
      <c r="L98" s="38">
        <f t="shared" si="33"/>
        <v>2956.4616666666666</v>
      </c>
      <c r="M98" s="38">
        <f t="shared" si="34"/>
        <v>7391.1541666666672</v>
      </c>
      <c r="N98" s="42">
        <v>35477.54</v>
      </c>
      <c r="O98" s="47"/>
      <c r="P98" s="38">
        <f t="shared" si="35"/>
        <v>35477.54</v>
      </c>
      <c r="Q98" s="47"/>
      <c r="R98" s="38">
        <f t="shared" si="36"/>
        <v>35477.54</v>
      </c>
      <c r="S98" s="38">
        <f t="shared" si="37"/>
        <v>2956.4616666666666</v>
      </c>
      <c r="T98" s="45"/>
      <c r="U98"/>
      <c r="V98" s="41">
        <v>35477.54</v>
      </c>
      <c r="W98" s="47">
        <f t="shared" si="38"/>
        <v>0</v>
      </c>
      <c r="X98" s="38">
        <f t="shared" si="39"/>
        <v>35477.54</v>
      </c>
    </row>
    <row r="99" spans="1:24" s="83" customFormat="1" x14ac:dyDescent="0.3">
      <c r="A99" s="51" t="s">
        <v>121</v>
      </c>
      <c r="B99" s="34" t="s">
        <v>124</v>
      </c>
      <c r="C99" s="79">
        <v>100021725</v>
      </c>
      <c r="D99" s="34" t="s">
        <v>130</v>
      </c>
      <c r="E99" s="80">
        <v>7790360027009</v>
      </c>
      <c r="F99" s="81">
        <v>6</v>
      </c>
      <c r="G99" s="82">
        <v>4</v>
      </c>
      <c r="I99" s="38">
        <f t="shared" si="31"/>
        <v>14301.472185000001</v>
      </c>
      <c r="J99" s="38">
        <f t="shared" si="32"/>
        <v>12871.3249665</v>
      </c>
      <c r="K99"/>
      <c r="L99" s="81">
        <f t="shared" si="33"/>
        <v>8755.11</v>
      </c>
      <c r="M99" s="81">
        <f t="shared" si="34"/>
        <v>5836.7400000000007</v>
      </c>
      <c r="N99" s="42">
        <v>35020.44</v>
      </c>
      <c r="O99" s="47"/>
      <c r="P99" s="38">
        <f t="shared" si="35"/>
        <v>35020.44</v>
      </c>
      <c r="Q99" s="84"/>
      <c r="R99" s="38">
        <f t="shared" si="36"/>
        <v>35020.44</v>
      </c>
      <c r="S99" s="81">
        <f t="shared" si="37"/>
        <v>8755.11</v>
      </c>
      <c r="T99" s="45"/>
      <c r="U99"/>
      <c r="V99" s="41">
        <v>35020.44</v>
      </c>
      <c r="W99" s="84">
        <f t="shared" si="38"/>
        <v>0</v>
      </c>
      <c r="X99" s="81">
        <f t="shared" si="39"/>
        <v>35020.44</v>
      </c>
    </row>
    <row r="100" spans="1:24" x14ac:dyDescent="0.3">
      <c r="A100" s="51" t="s">
        <v>121</v>
      </c>
      <c r="B100" s="34" t="s">
        <v>124</v>
      </c>
      <c r="C100" s="50">
        <v>100517055</v>
      </c>
      <c r="D100" s="51" t="s">
        <v>131</v>
      </c>
      <c r="E100" s="37">
        <v>7790360971135</v>
      </c>
      <c r="F100" s="38">
        <v>3.12</v>
      </c>
      <c r="G100" s="39">
        <v>12</v>
      </c>
      <c r="I100" s="38">
        <f t="shared" si="31"/>
        <v>4760.7595200000005</v>
      </c>
      <c r="J100" s="38">
        <f t="shared" si="32"/>
        <v>4284.6835680000004</v>
      </c>
      <c r="K100"/>
      <c r="L100" s="81">
        <f t="shared" si="33"/>
        <v>2914.4533333333334</v>
      </c>
      <c r="M100" s="81">
        <f t="shared" si="34"/>
        <v>11209.435897435898</v>
      </c>
      <c r="N100" s="42">
        <v>34973.440000000002</v>
      </c>
      <c r="O100" s="47"/>
      <c r="P100" s="38">
        <f t="shared" si="35"/>
        <v>34973.440000000002</v>
      </c>
      <c r="Q100" s="84"/>
      <c r="R100" s="38">
        <f t="shared" si="36"/>
        <v>34973.440000000002</v>
      </c>
      <c r="S100" s="81">
        <f t="shared" si="37"/>
        <v>2914.4533333333334</v>
      </c>
      <c r="T100" s="45"/>
      <c r="U100"/>
      <c r="V100" s="41">
        <v>34973.440000000002</v>
      </c>
      <c r="W100" s="84">
        <f t="shared" si="38"/>
        <v>0</v>
      </c>
      <c r="X100" s="81">
        <f t="shared" si="39"/>
        <v>34973.440000000002</v>
      </c>
    </row>
    <row r="101" spans="1:24" x14ac:dyDescent="0.3">
      <c r="A101" s="51" t="s">
        <v>121</v>
      </c>
      <c r="B101" s="34" t="s">
        <v>124</v>
      </c>
      <c r="C101" s="50">
        <v>100517186</v>
      </c>
      <c r="D101" s="51" t="s">
        <v>132</v>
      </c>
      <c r="E101" s="37">
        <v>7790360971395</v>
      </c>
      <c r="F101" s="38">
        <v>8</v>
      </c>
      <c r="G101" s="39">
        <v>8</v>
      </c>
      <c r="I101" s="38">
        <f t="shared" si="31"/>
        <v>18044.433247500001</v>
      </c>
      <c r="J101" s="38">
        <f t="shared" si="32"/>
        <v>16239.989922750001</v>
      </c>
      <c r="K101"/>
      <c r="L101" s="81">
        <f t="shared" si="33"/>
        <v>11046.485000000001</v>
      </c>
      <c r="M101" s="81">
        <f t="shared" si="34"/>
        <v>11046.485000000001</v>
      </c>
      <c r="N101" s="42">
        <v>88371.88</v>
      </c>
      <c r="O101" s="47"/>
      <c r="P101" s="38">
        <f t="shared" si="35"/>
        <v>88371.88</v>
      </c>
      <c r="Q101" s="84"/>
      <c r="R101" s="38">
        <f t="shared" si="36"/>
        <v>88371.88</v>
      </c>
      <c r="S101" s="81">
        <f t="shared" si="37"/>
        <v>11046.485000000001</v>
      </c>
      <c r="T101" s="45"/>
      <c r="U101"/>
      <c r="V101" s="41">
        <v>88371.88</v>
      </c>
      <c r="W101" s="84">
        <f t="shared" si="38"/>
        <v>0</v>
      </c>
      <c r="X101" s="81">
        <f t="shared" si="39"/>
        <v>88371.88</v>
      </c>
    </row>
    <row r="102" spans="1:24" x14ac:dyDescent="0.3">
      <c r="A102" s="51" t="s">
        <v>121</v>
      </c>
      <c r="B102" s="34" t="s">
        <v>124</v>
      </c>
      <c r="C102" s="50">
        <v>100521663</v>
      </c>
      <c r="D102" s="51" t="s">
        <v>133</v>
      </c>
      <c r="E102" s="37">
        <v>7790360982537</v>
      </c>
      <c r="F102" s="38">
        <v>4.8</v>
      </c>
      <c r="G102" s="39">
        <v>12</v>
      </c>
      <c r="I102" s="38">
        <f t="shared" si="31"/>
        <v>6561.6469875000003</v>
      </c>
      <c r="J102" s="38">
        <f t="shared" si="32"/>
        <v>5905.4822887500004</v>
      </c>
      <c r="K102"/>
      <c r="L102" s="38">
        <f t="shared" si="33"/>
        <v>4016.9249999999997</v>
      </c>
      <c r="M102" s="38">
        <f t="shared" si="34"/>
        <v>10042.3125</v>
      </c>
      <c r="N102" s="42">
        <v>48203.1</v>
      </c>
      <c r="O102" s="47"/>
      <c r="P102" s="38">
        <f t="shared" si="35"/>
        <v>48203.1</v>
      </c>
      <c r="Q102" s="47"/>
      <c r="R102" s="38">
        <f t="shared" si="36"/>
        <v>48203.1</v>
      </c>
      <c r="S102" s="38">
        <f t="shared" si="37"/>
        <v>4016.9249999999997</v>
      </c>
      <c r="T102" s="45"/>
      <c r="U102"/>
      <c r="V102" s="41">
        <v>48203.1</v>
      </c>
      <c r="W102" s="47">
        <f t="shared" si="38"/>
        <v>0</v>
      </c>
      <c r="X102" s="38">
        <f t="shared" si="39"/>
        <v>48203.1</v>
      </c>
    </row>
    <row r="103" spans="1:24" s="83" customFormat="1" x14ac:dyDescent="0.3">
      <c r="A103" s="51" t="s">
        <v>121</v>
      </c>
      <c r="B103" s="34" t="s">
        <v>124</v>
      </c>
      <c r="C103" s="79">
        <v>100021728</v>
      </c>
      <c r="D103" s="34" t="s">
        <v>134</v>
      </c>
      <c r="E103" s="80">
        <v>7790360967558</v>
      </c>
      <c r="F103" s="81">
        <v>3.84</v>
      </c>
      <c r="G103" s="82">
        <v>12</v>
      </c>
      <c r="I103" s="38">
        <f t="shared" si="31"/>
        <v>5984.4783487500008</v>
      </c>
      <c r="J103" s="38">
        <f t="shared" si="32"/>
        <v>5386.0305138750009</v>
      </c>
      <c r="K103"/>
      <c r="L103" s="81">
        <f t="shared" si="33"/>
        <v>3663.5925000000002</v>
      </c>
      <c r="M103" s="81">
        <f t="shared" si="34"/>
        <v>11448.7265625</v>
      </c>
      <c r="N103" s="42">
        <v>43963.11</v>
      </c>
      <c r="O103" s="47"/>
      <c r="P103" s="38">
        <f t="shared" si="35"/>
        <v>43963.11</v>
      </c>
      <c r="Q103" s="84"/>
      <c r="R103" s="38">
        <f t="shared" si="36"/>
        <v>43963.11</v>
      </c>
      <c r="S103" s="81">
        <f t="shared" si="37"/>
        <v>3663.5925000000002</v>
      </c>
      <c r="T103" s="45"/>
      <c r="U103"/>
      <c r="V103" s="41">
        <v>43963.11</v>
      </c>
      <c r="W103" s="84">
        <f t="shared" si="38"/>
        <v>0</v>
      </c>
      <c r="X103" s="81">
        <f t="shared" si="39"/>
        <v>43963.11</v>
      </c>
    </row>
    <row r="104" spans="1:24" s="83" customFormat="1" x14ac:dyDescent="0.3">
      <c r="A104" s="51" t="s">
        <v>121</v>
      </c>
      <c r="B104" s="34" t="s">
        <v>124</v>
      </c>
      <c r="C104" s="79">
        <v>100517679</v>
      </c>
      <c r="D104" s="34" t="s">
        <v>135</v>
      </c>
      <c r="E104" s="80">
        <v>7790360973498</v>
      </c>
      <c r="F104" s="81">
        <v>7.68</v>
      </c>
      <c r="G104" s="82">
        <v>8</v>
      </c>
      <c r="I104" s="38">
        <f t="shared" si="31"/>
        <v>9017.154815625001</v>
      </c>
      <c r="J104" s="38">
        <f t="shared" si="32"/>
        <v>8115.4393340625011</v>
      </c>
      <c r="K104"/>
      <c r="L104" s="81">
        <f t="shared" si="33"/>
        <v>5520.1437500000002</v>
      </c>
      <c r="M104" s="81">
        <f t="shared" si="34"/>
        <v>5750.1497395833339</v>
      </c>
      <c r="N104" s="42">
        <v>44161.15</v>
      </c>
      <c r="O104" s="47"/>
      <c r="P104" s="38">
        <f t="shared" si="35"/>
        <v>44161.15</v>
      </c>
      <c r="Q104" s="84"/>
      <c r="R104" s="38">
        <f t="shared" si="36"/>
        <v>44161.15</v>
      </c>
      <c r="S104" s="81">
        <f t="shared" si="37"/>
        <v>5520.1437500000002</v>
      </c>
      <c r="T104" s="45"/>
      <c r="U104"/>
      <c r="V104" s="41">
        <v>44161.15</v>
      </c>
      <c r="W104" s="84">
        <f t="shared" si="38"/>
        <v>0</v>
      </c>
      <c r="X104" s="81">
        <f t="shared" si="39"/>
        <v>44161.15</v>
      </c>
    </row>
    <row r="105" spans="1:24" hidden="1" x14ac:dyDescent="0.3">
      <c r="A105" s="24"/>
      <c r="B105" s="25"/>
      <c r="C105" s="26"/>
      <c r="D105" s="27"/>
      <c r="E105" s="26"/>
      <c r="F105" s="27"/>
      <c r="G105" s="76"/>
      <c r="I105" s="29"/>
      <c r="J105" s="30"/>
      <c r="K105"/>
      <c r="L105" s="29"/>
      <c r="M105" s="27"/>
      <c r="N105" s="42"/>
      <c r="O105" s="31"/>
      <c r="P105" s="27"/>
      <c r="Q105" s="31"/>
      <c r="R105" s="27"/>
      <c r="S105" s="28"/>
      <c r="T105" s="45"/>
      <c r="U105"/>
      <c r="V105" s="27"/>
      <c r="W105" s="33"/>
      <c r="X105" s="28"/>
    </row>
    <row r="106" spans="1:24" hidden="1" x14ac:dyDescent="0.3">
      <c r="A106" s="51" t="s">
        <v>136</v>
      </c>
      <c r="B106" s="51" t="s">
        <v>137</v>
      </c>
      <c r="C106" s="50">
        <v>100022200</v>
      </c>
      <c r="D106" s="51" t="s">
        <v>138</v>
      </c>
      <c r="E106" s="85">
        <v>7790360027085</v>
      </c>
      <c r="F106" s="38">
        <v>3</v>
      </c>
      <c r="G106" s="39">
        <v>10</v>
      </c>
      <c r="I106" s="38">
        <f>IFERROR(L106*1.35*1.21,)</f>
        <v>0</v>
      </c>
      <c r="J106" s="38">
        <f>+I106*0.8</f>
        <v>0</v>
      </c>
      <c r="K106"/>
      <c r="L106" s="38">
        <f>+IF(ISERROR(N106/G106),"",(N106/G106))</f>
        <v>0</v>
      </c>
      <c r="M106" s="38">
        <f>+IF(ISERROR(N106/F106),"",(N106/F106))</f>
        <v>0</v>
      </c>
      <c r="N106" s="42"/>
      <c r="O106" s="47"/>
      <c r="P106" s="38">
        <f>+IF(ISERROR(N106/(1-O106)),"",(N106/(1-O106)))</f>
        <v>0</v>
      </c>
      <c r="Q106" s="47"/>
      <c r="R106" s="38">
        <f>+IF(ISERROR(P106/(1-Q106)),"",(P106/(1-Q106)))</f>
        <v>0</v>
      </c>
      <c r="S106" s="38">
        <f>+IF(ISERROR(R106/G106),"",(R106/G106))</f>
        <v>0</v>
      </c>
      <c r="T106" s="45"/>
      <c r="U106"/>
      <c r="V106" s="41" t="s">
        <v>39</v>
      </c>
      <c r="W106" s="47" t="str">
        <f>+IF(ISERROR(N106/V106-1),"",(N106/V106-1))</f>
        <v/>
      </c>
      <c r="X106" s="38" t="str">
        <f>+IF(ISERROR(V106*(1-O106)),"",(V106*(1-O106)))</f>
        <v/>
      </c>
    </row>
    <row r="107" spans="1:24" hidden="1" x14ac:dyDescent="0.3">
      <c r="A107" s="24"/>
      <c r="B107" s="25"/>
      <c r="C107" s="26"/>
      <c r="D107" s="27"/>
      <c r="E107" s="26"/>
      <c r="F107" s="27"/>
      <c r="G107" s="76"/>
      <c r="I107" s="29"/>
      <c r="J107" s="30"/>
      <c r="K107"/>
      <c r="L107" s="29"/>
      <c r="M107" s="27"/>
      <c r="N107" s="42"/>
      <c r="O107" s="31"/>
      <c r="P107" s="27"/>
      <c r="Q107" s="31"/>
      <c r="R107" s="27"/>
      <c r="S107" s="28"/>
      <c r="T107" s="45"/>
      <c r="U107"/>
      <c r="V107" s="27" t="s">
        <v>39</v>
      </c>
      <c r="W107" s="33"/>
      <c r="X107" s="28" t="str">
        <f>+IF(ISERROR(V107*(1-O107)),"",(V107*(1-O107)))</f>
        <v/>
      </c>
    </row>
    <row r="108" spans="1:24" hidden="1" x14ac:dyDescent="0.3">
      <c r="A108" s="51" t="s">
        <v>139</v>
      </c>
      <c r="B108" s="51" t="s">
        <v>140</v>
      </c>
      <c r="C108" s="50">
        <v>100516219</v>
      </c>
      <c r="D108" s="51" t="s">
        <v>141</v>
      </c>
      <c r="E108" s="85">
        <v>7790360967770</v>
      </c>
      <c r="F108" s="38">
        <v>10</v>
      </c>
      <c r="G108" s="39">
        <v>25</v>
      </c>
      <c r="I108" s="38">
        <f>IFERROR(L108*1.35*1.21,)</f>
        <v>0</v>
      </c>
      <c r="J108" s="38">
        <f>+I108*0.8</f>
        <v>0</v>
      </c>
      <c r="K108"/>
      <c r="L108" s="38">
        <f>+IF(ISERROR(N108/G108),"",(N108/G108))</f>
        <v>0</v>
      </c>
      <c r="M108" s="38">
        <f>+IF(ISERROR(N108/F108),"",(N108/F108))</f>
        <v>0</v>
      </c>
      <c r="N108" s="42"/>
      <c r="O108" s="47"/>
      <c r="P108" s="38">
        <f>+IF(ISERROR(N108/(1-O108)),"",(N108/(1-O108)))</f>
        <v>0</v>
      </c>
      <c r="Q108" s="47"/>
      <c r="R108" s="38">
        <f>+IF(ISERROR(P108/(1-Q108)),"",(P108/(1-Q108)))</f>
        <v>0</v>
      </c>
      <c r="S108" s="38">
        <f>+IF(ISERROR(R108/G108),"",(R108/G108))</f>
        <v>0</v>
      </c>
      <c r="T108" s="45"/>
      <c r="U108"/>
      <c r="V108" s="41" t="s">
        <v>39</v>
      </c>
      <c r="W108" s="47" t="str">
        <f>+IF(ISERROR(N108/V108-1),"",(N108/V108-1))</f>
        <v/>
      </c>
      <c r="X108" s="38" t="str">
        <f>+IF(ISERROR(V108*(1-O108)),"",(V108*(1-O108)))</f>
        <v/>
      </c>
    </row>
    <row r="109" spans="1:24" hidden="1" x14ac:dyDescent="0.3">
      <c r="A109" s="51" t="s">
        <v>139</v>
      </c>
      <c r="B109" s="51" t="s">
        <v>140</v>
      </c>
      <c r="C109" s="50">
        <v>100516220</v>
      </c>
      <c r="D109" s="51" t="s">
        <v>142</v>
      </c>
      <c r="E109" s="85">
        <v>7790360967787</v>
      </c>
      <c r="F109" s="38">
        <v>12</v>
      </c>
      <c r="G109" s="39">
        <v>6</v>
      </c>
      <c r="I109" s="38">
        <f>IFERROR(L109*1.35*1.21,)</f>
        <v>0</v>
      </c>
      <c r="J109" s="38">
        <f>+I109*0.8</f>
        <v>0</v>
      </c>
      <c r="K109"/>
      <c r="L109" s="38">
        <f>+IF(ISERROR(N109/G109),"",(N109/G109))</f>
        <v>0</v>
      </c>
      <c r="M109" s="38">
        <f>+IF(ISERROR(N109/F109),"",(N109/F109))</f>
        <v>0</v>
      </c>
      <c r="N109" s="42"/>
      <c r="O109" s="47"/>
      <c r="P109" s="38">
        <f>+IF(ISERROR(N109/(1-O109)),"",(N109/(1-O109)))</f>
        <v>0</v>
      </c>
      <c r="Q109" s="47"/>
      <c r="R109" s="38">
        <f>+IF(ISERROR(P109/(1-Q109)),"",(P109/(1-Q109)))</f>
        <v>0</v>
      </c>
      <c r="S109" s="38">
        <f>+IF(ISERROR(R109/G109),"",(R109/G109))</f>
        <v>0</v>
      </c>
      <c r="T109" s="45"/>
      <c r="U109"/>
      <c r="V109" s="41" t="s">
        <v>39</v>
      </c>
      <c r="W109" s="47" t="str">
        <f>+IF(ISERROR(N109/V109-1),"",(N109/V109-1))</f>
        <v/>
      </c>
      <c r="X109" s="38" t="str">
        <f>+IF(ISERROR(V109*(1-O109)),"",(V109*(1-O109)))</f>
        <v/>
      </c>
    </row>
    <row r="110" spans="1:24" x14ac:dyDescent="0.3">
      <c r="A110" s="24"/>
      <c r="B110" s="25"/>
      <c r="C110" s="26"/>
      <c r="D110" s="27"/>
      <c r="E110" s="26"/>
      <c r="F110" s="27"/>
      <c r="G110" s="76"/>
      <c r="I110" s="29"/>
      <c r="J110" s="30"/>
      <c r="K110"/>
      <c r="L110" s="29"/>
      <c r="M110" s="27"/>
      <c r="N110" s="27"/>
      <c r="O110" s="31"/>
      <c r="P110" s="27"/>
      <c r="Q110" s="31"/>
      <c r="R110" s="27"/>
      <c r="S110" s="28"/>
      <c r="T110" s="45"/>
      <c r="U110"/>
      <c r="V110" s="27"/>
      <c r="W110" s="33"/>
      <c r="X110" s="28"/>
    </row>
    <row r="111" spans="1:24" x14ac:dyDescent="0.3">
      <c r="A111" s="51" t="s">
        <v>143</v>
      </c>
      <c r="B111" s="51" t="s">
        <v>143</v>
      </c>
      <c r="C111" s="50">
        <v>100518158</v>
      </c>
      <c r="D111" s="51" t="s">
        <v>144</v>
      </c>
      <c r="E111" s="85">
        <v>7790360974280</v>
      </c>
      <c r="F111" s="38">
        <v>12</v>
      </c>
      <c r="G111" s="39">
        <v>24</v>
      </c>
      <c r="I111" s="38">
        <f>IFERROR(L111*1.35*1.21,)</f>
        <v>5745.4687125000009</v>
      </c>
      <c r="J111" s="38">
        <f>+I111*0.9</f>
        <v>5170.9218412500013</v>
      </c>
      <c r="K111"/>
      <c r="L111" s="38">
        <f>+IF(ISERROR(N111/G111),"",(N111/G111))</f>
        <v>3517.2750000000001</v>
      </c>
      <c r="M111" s="38">
        <f>+IF(ISERROR(N111/F111),"",(N111/F111))</f>
        <v>7034.55</v>
      </c>
      <c r="N111" s="42">
        <v>84414.6</v>
      </c>
      <c r="O111" s="47"/>
      <c r="P111" s="38">
        <f>+IF(ISERROR(N111/(1-O111)),"",(N111/(1-O111)))</f>
        <v>84414.6</v>
      </c>
      <c r="Q111" s="47"/>
      <c r="R111" s="38">
        <f>+IF(ISERROR(P111/(1-Q111)),"",(P111/(1-Q111)))</f>
        <v>84414.6</v>
      </c>
      <c r="S111" s="38">
        <f>+IF(ISERROR(R111/G111),"",(R111/G111))</f>
        <v>3517.2750000000001</v>
      </c>
      <c r="T111" s="45"/>
      <c r="U111"/>
      <c r="V111" s="41">
        <v>84414.6</v>
      </c>
      <c r="W111" s="47">
        <f>+IF(ISERROR(N111/V111-1),"",(N111/V111-1))</f>
        <v>0</v>
      </c>
      <c r="X111" s="38">
        <f>+IF(ISERROR(V111*(1-O111)),"",(V111*(1-O111)))</f>
        <v>84414.6</v>
      </c>
    </row>
    <row r="112" spans="1:24" x14ac:dyDescent="0.3">
      <c r="A112" s="51" t="s">
        <v>143</v>
      </c>
      <c r="B112" s="51" t="s">
        <v>143</v>
      </c>
      <c r="C112" s="50">
        <v>100518160</v>
      </c>
      <c r="D112" s="51" t="s">
        <v>145</v>
      </c>
      <c r="E112" s="85">
        <v>7790360974686</v>
      </c>
      <c r="F112" s="38">
        <v>12</v>
      </c>
      <c r="G112" s="39">
        <v>12</v>
      </c>
      <c r="I112" s="38">
        <f>IFERROR(L112*1.35*1.21,)</f>
        <v>11490.937425000002</v>
      </c>
      <c r="J112" s="38">
        <f>+I112*0.9</f>
        <v>10341.843682500003</v>
      </c>
      <c r="K112"/>
      <c r="L112" s="38">
        <f>+IF(ISERROR(N112/G112),"",(N112/G112))</f>
        <v>7034.55</v>
      </c>
      <c r="M112" s="38">
        <f>+IF(ISERROR(N112/F112),"",(N112/F112))</f>
        <v>7034.55</v>
      </c>
      <c r="N112" s="42">
        <v>84414.6</v>
      </c>
      <c r="O112" s="47"/>
      <c r="P112" s="38">
        <f>+IF(ISERROR(N112/(1-O112)),"",(N112/(1-O112)))</f>
        <v>84414.6</v>
      </c>
      <c r="Q112" s="47"/>
      <c r="R112" s="38">
        <f>+IF(ISERROR(P112/(1-Q112)),"",(P112/(1-Q112)))</f>
        <v>84414.6</v>
      </c>
      <c r="S112" s="38">
        <f>+IF(ISERROR(R112/G112),"",(R112/G112))</f>
        <v>7034.55</v>
      </c>
      <c r="T112" s="45"/>
      <c r="U112"/>
      <c r="V112" s="41">
        <v>84414.6</v>
      </c>
      <c r="W112" s="47">
        <f>+IF(ISERROR(N112/V112-1),"",(N112/V112-1))</f>
        <v>0</v>
      </c>
      <c r="X112" s="38">
        <f>+IF(ISERROR(V112*(1-O112)),"",(V112*(1-O112)))</f>
        <v>84414.6</v>
      </c>
    </row>
    <row r="113" spans="1:24" x14ac:dyDescent="0.3">
      <c r="A113" s="51" t="s">
        <v>143</v>
      </c>
      <c r="B113" s="51" t="s">
        <v>143</v>
      </c>
      <c r="C113" s="50">
        <v>100518463</v>
      </c>
      <c r="D113" s="51" t="s">
        <v>146</v>
      </c>
      <c r="E113" s="85">
        <v>7790360975188</v>
      </c>
      <c r="F113" s="38">
        <v>5</v>
      </c>
      <c r="G113" s="39">
        <v>1</v>
      </c>
      <c r="I113" s="38">
        <f>IFERROR(L113*1.35*1.21,)</f>
        <v>67158.314190000005</v>
      </c>
      <c r="J113" s="38">
        <f>+I113*0.9</f>
        <v>60442.482771000003</v>
      </c>
      <c r="K113"/>
      <c r="L113" s="38">
        <f>+IF(ISERROR(N113/G113),"",(N113/G113))</f>
        <v>41113.14</v>
      </c>
      <c r="M113" s="38">
        <f>+IF(ISERROR(N113/F113),"",(N113/F113))</f>
        <v>8222.6280000000006</v>
      </c>
      <c r="N113" s="42">
        <v>41113.14</v>
      </c>
      <c r="O113" s="47"/>
      <c r="P113" s="38">
        <f>+IF(ISERROR(N113/(1-O113)),"",(N113/(1-O113)))</f>
        <v>41113.14</v>
      </c>
      <c r="Q113" s="47"/>
      <c r="R113" s="38">
        <f>+IF(ISERROR(P113/(1-Q113)),"",(P113/(1-Q113)))</f>
        <v>41113.14</v>
      </c>
      <c r="S113" s="38">
        <f>+IF(ISERROR(R113/G113),"",(R113/G113))</f>
        <v>41113.14</v>
      </c>
      <c r="T113" s="45"/>
      <c r="U113"/>
      <c r="V113" s="41">
        <v>41113.14</v>
      </c>
      <c r="W113" s="47">
        <f>+IF(ISERROR(N113/V113-1),"",(N113/V113-1))</f>
        <v>0</v>
      </c>
      <c r="X113" s="38">
        <f>+IF(ISERROR(V113*(1-O113)),"",(V113*(1-O113)))</f>
        <v>41113.14</v>
      </c>
    </row>
    <row r="114" spans="1:24" x14ac:dyDescent="0.3">
      <c r="A114" s="24"/>
      <c r="B114" s="25"/>
      <c r="C114" s="26"/>
      <c r="D114" s="27"/>
      <c r="E114" s="26"/>
      <c r="F114" s="27"/>
      <c r="G114" s="76"/>
      <c r="I114" s="29"/>
      <c r="J114" s="30"/>
      <c r="K114"/>
      <c r="L114" s="29"/>
      <c r="M114" s="27"/>
      <c r="N114" s="27"/>
      <c r="O114" s="31"/>
      <c r="P114" s="27"/>
      <c r="Q114" s="31"/>
      <c r="R114" s="27"/>
      <c r="S114" s="28"/>
      <c r="T114" s="45"/>
      <c r="U114"/>
      <c r="V114" s="27"/>
      <c r="W114" s="33"/>
      <c r="X114" s="28"/>
    </row>
    <row r="115" spans="1:24" x14ac:dyDescent="0.3">
      <c r="A115" s="51"/>
      <c r="B115" s="51"/>
      <c r="C115" s="50">
        <v>100518291</v>
      </c>
      <c r="D115" s="51" t="s">
        <v>147</v>
      </c>
      <c r="E115" s="85">
        <v>7790360975195</v>
      </c>
      <c r="F115" s="38">
        <v>5</v>
      </c>
      <c r="G115" s="39">
        <v>10</v>
      </c>
      <c r="I115" s="38">
        <f>IFERROR(L115*1.35*1.21,)</f>
        <v>2766.9611474999997</v>
      </c>
      <c r="J115" s="38">
        <f>+I115*0.9</f>
        <v>2490.2650327499996</v>
      </c>
      <c r="K115"/>
      <c r="L115" s="38">
        <f>+IF(ISERROR(N115/G115),"",(N115/G115))</f>
        <v>1693.8849999999998</v>
      </c>
      <c r="M115" s="38">
        <f>+IF(ISERROR(N115/F115),"",(N115/F115))</f>
        <v>3387.7699999999995</v>
      </c>
      <c r="N115" s="42">
        <v>16938.849999999999</v>
      </c>
      <c r="O115" s="47"/>
      <c r="P115" s="38">
        <f>+IF(ISERROR(N115/(1-O115)),"",(N115/(1-O115)))</f>
        <v>16938.849999999999</v>
      </c>
      <c r="Q115" s="47"/>
      <c r="R115" s="38">
        <f>+IF(ISERROR(P115/(1-Q115)),"",(P115/(1-Q115)))</f>
        <v>16938.849999999999</v>
      </c>
      <c r="S115" s="38">
        <f>+IF(ISERROR(R115/G115),"",(R115/G115))</f>
        <v>1693.8849999999998</v>
      </c>
      <c r="T115" s="45"/>
      <c r="U115"/>
      <c r="V115" s="41">
        <v>16938.849999999999</v>
      </c>
      <c r="W115" s="47">
        <f>+IF(ISERROR(N115/V115-1),"",(N115/V115-1))</f>
        <v>0</v>
      </c>
      <c r="X115" s="38">
        <f>+IF(ISERROR(V115*(1-O115)),"",(V115*(1-O115)))</f>
        <v>16938.849999999999</v>
      </c>
    </row>
    <row r="116" spans="1:24" x14ac:dyDescent="0.3">
      <c r="A116" s="51"/>
      <c r="B116" s="51"/>
      <c r="C116" s="50">
        <v>100518292</v>
      </c>
      <c r="D116" s="51" t="s">
        <v>148</v>
      </c>
      <c r="E116" s="85">
        <v>7790360975201</v>
      </c>
      <c r="F116" s="38">
        <v>12</v>
      </c>
      <c r="G116" s="39">
        <v>12</v>
      </c>
      <c r="I116" s="38">
        <f>IFERROR(L116*1.35*1.21,)</f>
        <v>5440.8672449999995</v>
      </c>
      <c r="J116" s="38">
        <f>+I116*0.9</f>
        <v>4896.7805204999995</v>
      </c>
      <c r="K116"/>
      <c r="L116" s="38">
        <f>+IF(ISERROR(N116/G116),"",(N116/G116))</f>
        <v>3330.8033333333333</v>
      </c>
      <c r="M116" s="38">
        <f>+IF(ISERROR(N116/F116),"",(N116/F116))</f>
        <v>3330.8033333333333</v>
      </c>
      <c r="N116" s="42">
        <v>39969.64</v>
      </c>
      <c r="O116" s="47"/>
      <c r="P116" s="38">
        <f>+IF(ISERROR(N116/(1-O116)),"",(N116/(1-O116)))</f>
        <v>39969.64</v>
      </c>
      <c r="Q116" s="47"/>
      <c r="R116" s="38">
        <f>+IF(ISERROR(P116/(1-Q116)),"",(P116/(1-Q116)))</f>
        <v>39969.64</v>
      </c>
      <c r="S116" s="38">
        <f>+IF(ISERROR(R116/G116),"",(R116/G116))</f>
        <v>3330.8033333333333</v>
      </c>
      <c r="T116" s="45"/>
      <c r="U116"/>
      <c r="V116" s="41">
        <v>39969.64</v>
      </c>
      <c r="W116" s="47">
        <f>+IF(ISERROR(N116/V116-1),"",(N116/V116-1))</f>
        <v>0</v>
      </c>
      <c r="X116" s="38">
        <f>+IF(ISERROR(V116*(1-O116)),"",(V116*(1-O116)))</f>
        <v>39969.64</v>
      </c>
    </row>
    <row r="117" spans="1:24" x14ac:dyDescent="0.3">
      <c r="A117" s="24"/>
      <c r="B117" s="25"/>
      <c r="C117" s="26"/>
      <c r="D117" s="27"/>
      <c r="E117" s="26"/>
      <c r="F117" s="27"/>
      <c r="G117" s="76"/>
      <c r="I117" s="29"/>
      <c r="J117" s="30"/>
      <c r="K117"/>
      <c r="L117" s="29"/>
      <c r="M117" s="27"/>
      <c r="N117" s="27"/>
      <c r="O117" s="31"/>
      <c r="P117" s="27"/>
      <c r="Q117" s="31"/>
      <c r="R117" s="27"/>
      <c r="S117" s="28"/>
      <c r="T117" s="45"/>
      <c r="U117"/>
      <c r="V117" s="27"/>
      <c r="W117" s="33"/>
      <c r="X117" s="28"/>
    </row>
    <row r="118" spans="1:24" x14ac:dyDescent="0.3">
      <c r="A118" s="51" t="s">
        <v>149</v>
      </c>
      <c r="B118" s="51" t="s">
        <v>149</v>
      </c>
      <c r="C118" s="50">
        <v>100517915</v>
      </c>
      <c r="D118" s="51" t="s">
        <v>150</v>
      </c>
      <c r="E118" s="85">
        <v>7790360974020</v>
      </c>
      <c r="F118" s="38">
        <v>18</v>
      </c>
      <c r="G118" s="39">
        <v>36</v>
      </c>
      <c r="I118" s="38">
        <f>IFERROR(L118*(1+0.25)*1.105,)</f>
        <v>5871.6109901041664</v>
      </c>
      <c r="J118" s="38">
        <f>+I118*0.9</f>
        <v>5284.44989109375</v>
      </c>
      <c r="K118"/>
      <c r="L118" s="38">
        <f>+IF(ISERROR(N118/G118),"",(N118/G118))</f>
        <v>4250.940083333333</v>
      </c>
      <c r="M118" s="38">
        <f>+IF(ISERROR(N118/F118),"",(N118/F118))</f>
        <v>8501.8801666666659</v>
      </c>
      <c r="N118" s="42">
        <v>153033.84299999999</v>
      </c>
      <c r="O118" s="47"/>
      <c r="P118" s="38">
        <f>+IF(ISERROR(N118/(1-O118)),"",(N118/(1-O118)))</f>
        <v>153033.84299999999</v>
      </c>
      <c r="Q118" s="47"/>
      <c r="R118" s="38">
        <f>+IF(ISERROR(P118/(1-Q118)),"",(P118/(1-Q118)))</f>
        <v>153033.84299999999</v>
      </c>
      <c r="S118" s="38">
        <f>+IF(ISERROR(R118/G118),"",(R118/G118))</f>
        <v>4250.940083333333</v>
      </c>
      <c r="T118" s="45"/>
      <c r="U118" s="46"/>
      <c r="V118" s="41">
        <v>144371.54999999999</v>
      </c>
      <c r="W118" s="47">
        <f>+IF(ISERROR(N118/V118-1),"",(N118/V118-1))</f>
        <v>6.0000000000000053E-2</v>
      </c>
      <c r="X118" s="38">
        <f>+IF(ISERROR(V118*(1-O118)),"",(V118*(1-O118)))</f>
        <v>144371.54999999999</v>
      </c>
    </row>
    <row r="119" spans="1:24" x14ac:dyDescent="0.3">
      <c r="A119" s="51" t="s">
        <v>149</v>
      </c>
      <c r="B119" s="51" t="s">
        <v>149</v>
      </c>
      <c r="C119" s="50">
        <v>100517914</v>
      </c>
      <c r="D119" s="51" t="s">
        <v>151</v>
      </c>
      <c r="E119" s="85">
        <v>7790360974037</v>
      </c>
      <c r="F119" s="38">
        <v>20</v>
      </c>
      <c r="G119" s="39">
        <v>20</v>
      </c>
      <c r="I119" s="38">
        <f>IFERROR(L119*(1+0.25)*1.105,)</f>
        <v>11533.016577875</v>
      </c>
      <c r="J119" s="38">
        <f>+I119*0.9</f>
        <v>10379.714920087499</v>
      </c>
      <c r="K119"/>
      <c r="L119" s="38">
        <f>+IF(ISERROR(N119/G119),"",(N119/G119))</f>
        <v>8349.6952600000004</v>
      </c>
      <c r="M119" s="38">
        <f>+IF(ISERROR(N119/F119),"",(N119/F119))</f>
        <v>8349.6952600000004</v>
      </c>
      <c r="N119" s="42">
        <v>166993.90520000001</v>
      </c>
      <c r="O119" s="47"/>
      <c r="P119" s="38">
        <f>+IF(ISERROR(N119/(1-O119)),"",(N119/(1-O119)))</f>
        <v>166993.90520000001</v>
      </c>
      <c r="Q119" s="47"/>
      <c r="R119" s="38">
        <f>+IF(ISERROR(P119/(1-Q119)),"",(P119/(1-Q119)))</f>
        <v>166993.90520000001</v>
      </c>
      <c r="S119" s="38">
        <f>+IF(ISERROR(R119/G119),"",(R119/G119))</f>
        <v>8349.6952600000004</v>
      </c>
      <c r="T119" s="45"/>
      <c r="U119" s="46"/>
      <c r="V119" s="41">
        <v>157541.42000000001</v>
      </c>
      <c r="W119" s="47">
        <f>+IF(ISERROR(N119/V119-1),"",(N119/V119-1))</f>
        <v>6.0000000000000053E-2</v>
      </c>
      <c r="X119" s="38">
        <f>+IF(ISERROR(V119*(1-O119)),"",(V119*(1-O119)))</f>
        <v>157541.42000000001</v>
      </c>
    </row>
    <row r="120" spans="1:24" x14ac:dyDescent="0.3">
      <c r="A120" s="24"/>
      <c r="B120" s="25"/>
      <c r="C120" s="26"/>
      <c r="D120" s="27"/>
      <c r="E120" s="26"/>
      <c r="F120" s="27"/>
      <c r="G120" s="76"/>
      <c r="I120" s="29">
        <v>0.33333333333333331</v>
      </c>
      <c r="J120" s="30"/>
      <c r="K120"/>
      <c r="L120" s="29"/>
      <c r="M120" s="27"/>
      <c r="N120" s="86"/>
      <c r="O120" s="31"/>
      <c r="P120" s="27"/>
      <c r="Q120" s="31"/>
      <c r="R120" s="27"/>
      <c r="S120" s="28"/>
      <c r="T120" s="45"/>
      <c r="U120"/>
      <c r="V120" s="27"/>
      <c r="W120" s="87"/>
      <c r="X120" s="28"/>
    </row>
    <row r="121" spans="1:24" x14ac:dyDescent="0.3">
      <c r="A121" s="51"/>
      <c r="B121" s="34"/>
      <c r="C121" s="79">
        <v>100010689</v>
      </c>
      <c r="D121" s="34" t="s">
        <v>152</v>
      </c>
      <c r="E121" s="80"/>
      <c r="F121" s="88">
        <v>22</v>
      </c>
      <c r="G121" s="39">
        <v>1</v>
      </c>
      <c r="H121" s="83"/>
      <c r="I121" s="38">
        <f>IFERROR(L121*(1+$I$120)*1.105,)</f>
        <v>25586.5844</v>
      </c>
      <c r="J121" s="38">
        <f>+I121*0.9</f>
        <v>23027.92596</v>
      </c>
      <c r="K121"/>
      <c r="L121" s="38">
        <f>+IF(ISERROR(N121/G121),"",(N121/G121))</f>
        <v>17366.46</v>
      </c>
      <c r="M121" s="38">
        <f>+IF(ISERROR(N121/G121),"",(N121/G121))</f>
        <v>17366.46</v>
      </c>
      <c r="N121" s="42">
        <v>17366.46</v>
      </c>
      <c r="O121" s="47"/>
      <c r="P121" s="38">
        <f>+IF(ISERROR(N121/(1-O121)),"",(N121/(1-O121)))</f>
        <v>17366.46</v>
      </c>
      <c r="Q121" s="47"/>
      <c r="R121" s="38">
        <f>+IF(ISERROR(P121/(1-Q121)),"",(P121/(1-Q121)))</f>
        <v>17366.46</v>
      </c>
      <c r="S121" s="38">
        <f>+IF(ISERROR(R121/G121),"",(R121/G121))</f>
        <v>17366.46</v>
      </c>
      <c r="T121" s="45"/>
      <c r="U121"/>
      <c r="V121" s="41">
        <v>17366.46</v>
      </c>
      <c r="W121" s="47">
        <f>+IF(ISERROR(N121/V121-1),"",(N121/V121-1))</f>
        <v>0</v>
      </c>
      <c r="X121" s="38">
        <f>+IF(ISERROR(V121*(1-O121)),"",(V121*(1-O121)))</f>
        <v>17366.46</v>
      </c>
    </row>
    <row r="122" spans="1:24" x14ac:dyDescent="0.3">
      <c r="A122" s="51"/>
      <c r="B122" s="34"/>
      <c r="C122" s="79">
        <v>100518335</v>
      </c>
      <c r="D122" s="34" t="s">
        <v>153</v>
      </c>
      <c r="E122" s="80"/>
      <c r="F122" s="88">
        <v>22.5</v>
      </c>
      <c r="G122" s="39">
        <v>1</v>
      </c>
      <c r="H122" s="83"/>
      <c r="I122" s="38">
        <f>IFERROR(L122*(1+$I$120)*1.105,)</f>
        <v>16207.270733333333</v>
      </c>
      <c r="J122" s="38">
        <f>+I122*0.9</f>
        <v>14586.543659999999</v>
      </c>
      <c r="K122"/>
      <c r="L122" s="38">
        <f>+IF(ISERROR(N122/G122),"",(N122/G122))</f>
        <v>11000.41</v>
      </c>
      <c r="M122" s="38">
        <f>+IF(ISERROR(N122/G122),"",(N122/G122))</f>
        <v>11000.41</v>
      </c>
      <c r="N122" s="42">
        <v>11000.41</v>
      </c>
      <c r="O122" s="47"/>
      <c r="P122" s="38">
        <f>+IF(ISERROR(N122/(1-O122)),"",(N122/(1-O122)))</f>
        <v>11000.41</v>
      </c>
      <c r="Q122" s="47"/>
      <c r="R122" s="38">
        <f>+IF(ISERROR(P122/(1-Q122)),"",(P122/(1-Q122)))</f>
        <v>11000.41</v>
      </c>
      <c r="S122" s="38">
        <f>+IF(ISERROR(R122/G122),"",(R122/G122))</f>
        <v>11000.41</v>
      </c>
      <c r="T122" s="45"/>
      <c r="U122"/>
      <c r="V122" s="41">
        <v>11000.41</v>
      </c>
      <c r="W122" s="47">
        <f>+IF(ISERROR(N122/V122-1),"",(N122/V122-1))</f>
        <v>0</v>
      </c>
      <c r="X122" s="38">
        <f>+IF(ISERROR(V122*(1-O122)),"",(V122*(1-O122)))</f>
        <v>11000.41</v>
      </c>
    </row>
    <row r="123" spans="1:24" x14ac:dyDescent="0.3">
      <c r="A123" s="51"/>
      <c r="B123" s="34"/>
      <c r="C123" s="79">
        <v>100518332</v>
      </c>
      <c r="D123" s="34" t="s">
        <v>154</v>
      </c>
      <c r="E123" s="80"/>
      <c r="F123" s="88">
        <v>21.5</v>
      </c>
      <c r="G123" s="39">
        <v>1</v>
      </c>
      <c r="H123" s="83"/>
      <c r="I123" s="38">
        <f>IFERROR(L123*(1+$I$120)*1.105,)</f>
        <v>17441.732533333332</v>
      </c>
      <c r="J123" s="38">
        <f>+I123*0.9</f>
        <v>15697.559279999999</v>
      </c>
      <c r="K123"/>
      <c r="L123" s="38">
        <f>+IF(ISERROR(N123/G123),"",(N123/G123))</f>
        <v>11838.28</v>
      </c>
      <c r="M123" s="38">
        <f>+IF(ISERROR(N123/G123),"",(N123/G123))</f>
        <v>11838.28</v>
      </c>
      <c r="N123" s="42">
        <v>11838.28</v>
      </c>
      <c r="O123" s="47"/>
      <c r="P123" s="38">
        <f>+IF(ISERROR(N123/(1-O123)),"",(N123/(1-O123)))</f>
        <v>11838.28</v>
      </c>
      <c r="Q123" s="47"/>
      <c r="R123" s="38">
        <f>+IF(ISERROR(P123/(1-Q123)),"",(P123/(1-Q123)))</f>
        <v>11838.28</v>
      </c>
      <c r="S123" s="38">
        <f>+IF(ISERROR(R123/G123),"",(R123/G123))</f>
        <v>11838.28</v>
      </c>
      <c r="T123" s="45"/>
      <c r="U123"/>
      <c r="V123" s="41">
        <v>11838.28</v>
      </c>
      <c r="W123" s="47">
        <f>+IF(ISERROR(N123/V123-1),"",(N123/V123-1))</f>
        <v>0</v>
      </c>
      <c r="X123" s="38">
        <f>+IF(ISERROR(V123*(1-O123)),"",(V123*(1-O123)))</f>
        <v>11838.28</v>
      </c>
    </row>
    <row r="124" spans="1:24" x14ac:dyDescent="0.3">
      <c r="A124" s="51"/>
      <c r="B124" s="34"/>
      <c r="C124" s="79">
        <v>100518334</v>
      </c>
      <c r="D124" s="34" t="s">
        <v>155</v>
      </c>
      <c r="E124" s="80"/>
      <c r="F124" s="88">
        <v>22.5</v>
      </c>
      <c r="G124" s="39">
        <v>1</v>
      </c>
      <c r="H124" s="83"/>
      <c r="I124" s="38">
        <f>IFERROR(L124*(1+$I$120)*1.105,)</f>
        <v>14355.5854</v>
      </c>
      <c r="J124" s="38">
        <f>+I124*0.9</f>
        <v>12920.02686</v>
      </c>
      <c r="K124"/>
      <c r="L124" s="38">
        <f>+IF(ISERROR(N124/G124),"",(N124/G124))</f>
        <v>9743.61</v>
      </c>
      <c r="M124" s="38">
        <f>+IF(ISERROR(N124/G124),"",(N124/G124))</f>
        <v>9743.61</v>
      </c>
      <c r="N124" s="42">
        <v>9743.61</v>
      </c>
      <c r="O124" s="47"/>
      <c r="P124" s="38">
        <f>+IF(ISERROR(N124/(1-O124)),"",(N124/(1-O124)))</f>
        <v>9743.61</v>
      </c>
      <c r="Q124" s="47"/>
      <c r="R124" s="38">
        <f>+IF(ISERROR(P124/(1-Q124)),"",(P124/(1-Q124)))</f>
        <v>9743.61</v>
      </c>
      <c r="S124" s="38">
        <f>+IF(ISERROR(R124/G124),"",(R124/G124))</f>
        <v>9743.61</v>
      </c>
      <c r="T124" s="45"/>
      <c r="U124"/>
      <c r="V124" s="41">
        <v>9743.61</v>
      </c>
      <c r="W124" s="47">
        <f>+IF(ISERROR(N124/V124-1),"",(N124/V124-1))</f>
        <v>0</v>
      </c>
      <c r="X124" s="38">
        <f>+IF(ISERROR(V124*(1-O124)),"",(V124*(1-O124)))</f>
        <v>9743.61</v>
      </c>
    </row>
    <row r="125" spans="1:24" x14ac:dyDescent="0.3">
      <c r="A125" s="51"/>
      <c r="B125" s="34"/>
      <c r="C125" s="79">
        <v>100518227</v>
      </c>
      <c r="D125" s="34" t="s">
        <v>156</v>
      </c>
      <c r="E125" s="80"/>
      <c r="F125" s="88">
        <v>22.5</v>
      </c>
      <c r="G125" s="39">
        <v>1</v>
      </c>
      <c r="H125" s="83"/>
      <c r="I125" s="38">
        <f>IFERROR(L125*(1+$I$120)*1.105,)</f>
        <v>14355.5854</v>
      </c>
      <c r="J125" s="38">
        <f>+I125*0.9</f>
        <v>12920.02686</v>
      </c>
      <c r="K125"/>
      <c r="L125" s="38">
        <f>+IF(ISERROR(N125/G125),"",(N125/G125))</f>
        <v>9743.61</v>
      </c>
      <c r="M125" s="38">
        <f>+IF(ISERROR(N125/G125),"",(N125/G125))</f>
        <v>9743.61</v>
      </c>
      <c r="N125" s="42">
        <v>9743.61</v>
      </c>
      <c r="O125" s="47"/>
      <c r="P125" s="38">
        <f>+IF(ISERROR(N125/(1-O125)),"",(N125/(1-O125)))</f>
        <v>9743.61</v>
      </c>
      <c r="Q125" s="47"/>
      <c r="R125" s="38">
        <f>+IF(ISERROR(P125/(1-Q125)),"",(P125/(1-Q125)))</f>
        <v>9743.61</v>
      </c>
      <c r="S125" s="38">
        <f>+IF(ISERROR(R125/G125),"",(R125/G125))</f>
        <v>9743.61</v>
      </c>
      <c r="T125" s="45"/>
      <c r="U125"/>
      <c r="V125" s="41">
        <v>9743.61</v>
      </c>
      <c r="W125" s="47">
        <f>+IF(ISERROR(N125/V125-1),"",(N125/V125-1))</f>
        <v>0</v>
      </c>
      <c r="X125" s="38">
        <f>+IF(ISERROR(V125*(1-O125)),"",(V125*(1-O125)))</f>
        <v>9743.61</v>
      </c>
    </row>
    <row r="126" spans="1:24" x14ac:dyDescent="0.3">
      <c r="A126" s="24"/>
      <c r="B126" s="25"/>
      <c r="C126" s="26"/>
      <c r="D126" s="27"/>
      <c r="E126" s="26"/>
      <c r="F126" s="27"/>
      <c r="G126" s="76"/>
      <c r="I126" s="29"/>
      <c r="J126" s="30"/>
      <c r="K126"/>
      <c r="L126" s="29"/>
      <c r="M126" s="27"/>
      <c r="N126" s="86"/>
      <c r="O126" s="31"/>
      <c r="P126" s="27"/>
      <c r="Q126" s="31"/>
      <c r="R126" s="27"/>
      <c r="S126" s="28"/>
      <c r="T126" s="45"/>
      <c r="U126"/>
      <c r="V126" s="27"/>
      <c r="W126" s="87"/>
      <c r="X126" s="28"/>
    </row>
    <row r="127" spans="1:24" x14ac:dyDescent="0.3">
      <c r="A127" s="51" t="s">
        <v>157</v>
      </c>
      <c r="B127" s="34" t="s">
        <v>158</v>
      </c>
      <c r="C127" s="79">
        <v>100520837</v>
      </c>
      <c r="D127" s="34" t="s">
        <v>159</v>
      </c>
      <c r="E127" s="80">
        <v>7790360980625</v>
      </c>
      <c r="F127" s="88">
        <v>4.8</v>
      </c>
      <c r="G127" s="39">
        <v>12</v>
      </c>
      <c r="H127" s="83"/>
      <c r="I127" s="38">
        <f>IFERROR(L127*1.35*1.21,)</f>
        <v>5581.9186087500002</v>
      </c>
      <c r="J127" s="38">
        <f>+I127*0.9</f>
        <v>5023.726747875</v>
      </c>
      <c r="K127"/>
      <c r="L127" s="38">
        <f>+IF(ISERROR(N127/G127),"",(N127/G127))</f>
        <v>3417.1525000000001</v>
      </c>
      <c r="M127" s="38">
        <f>+IF(ISERROR(N127/F127),"",(N127/F127))</f>
        <v>8542.8812500000004</v>
      </c>
      <c r="N127" s="42">
        <v>41005.83</v>
      </c>
      <c r="O127" s="47"/>
      <c r="P127" s="38">
        <f>+IF(ISERROR(N127/(1-O127)),"",(N127/(1-O127)))</f>
        <v>41005.83</v>
      </c>
      <c r="Q127" s="47"/>
      <c r="R127" s="38">
        <f>+IF(ISERROR(P127/(1-Q127)),"",(P127/(1-Q127)))</f>
        <v>41005.83</v>
      </c>
      <c r="S127" s="38">
        <f>+IF(ISERROR(R127/G127),"",(R127/G127))</f>
        <v>3417.1525000000001</v>
      </c>
      <c r="T127" s="45"/>
      <c r="U127"/>
      <c r="V127" s="41">
        <v>41005.83</v>
      </c>
      <c r="W127" s="47">
        <f>+IF(ISERROR(N127/V127-1),"",(N127/V127-1))</f>
        <v>0</v>
      </c>
      <c r="X127" s="38">
        <f>+IF(ISERROR(V127*(1-O127)),"",(V127*(1-O127)))</f>
        <v>41005.83</v>
      </c>
    </row>
    <row r="128" spans="1:24" x14ac:dyDescent="0.3">
      <c r="A128" s="51" t="s">
        <v>157</v>
      </c>
      <c r="B128" s="34" t="s">
        <v>158</v>
      </c>
      <c r="C128" s="79">
        <v>100522395</v>
      </c>
      <c r="D128" s="34" t="s">
        <v>160</v>
      </c>
      <c r="E128" s="80">
        <v>7790360985101</v>
      </c>
      <c r="F128" s="88">
        <v>4.8</v>
      </c>
      <c r="G128" s="39">
        <v>12</v>
      </c>
      <c r="H128" s="83"/>
      <c r="I128" s="38">
        <f>IFERROR(L128*1.35*1.21,)</f>
        <v>5693.557443749999</v>
      </c>
      <c r="J128" s="38">
        <f>+I128*0.9</f>
        <v>5124.2016993749994</v>
      </c>
      <c r="K128"/>
      <c r="L128" s="38">
        <f>+IF(ISERROR(N128/G128),"",(N128/G128))</f>
        <v>3485.4958333333329</v>
      </c>
      <c r="M128" s="38">
        <f>+IF(ISERROR(N128/F128),"",(N128/F128))</f>
        <v>8713.7395833333339</v>
      </c>
      <c r="N128" s="42">
        <v>41825.949999999997</v>
      </c>
      <c r="O128" s="47"/>
      <c r="P128" s="38">
        <f>+IF(ISERROR(N128/(1-O128)),"",(N128/(1-O128)))</f>
        <v>41825.949999999997</v>
      </c>
      <c r="Q128" s="47"/>
      <c r="R128" s="38">
        <f>+IF(ISERROR(P128/(1-Q128)),"",(P128/(1-Q128)))</f>
        <v>41825.949999999997</v>
      </c>
      <c r="S128" s="38">
        <f>+IF(ISERROR(R128/G128),"",(R128/G128))</f>
        <v>3485.4958333333329</v>
      </c>
      <c r="T128" s="45"/>
      <c r="U128" s="89"/>
      <c r="V128" s="41">
        <v>41825.949999999997</v>
      </c>
      <c r="W128" s="47">
        <f>+IF(ISERROR(N128/V128-1),"",(N128/V128-1))</f>
        <v>0</v>
      </c>
      <c r="X128" s="38">
        <f>+IF(ISERROR(V128*(1-O128)),"",(V128*(1-O128)))</f>
        <v>41825.949999999997</v>
      </c>
    </row>
    <row r="129" spans="1:48" x14ac:dyDescent="0.3">
      <c r="A129" s="24"/>
      <c r="B129" s="25"/>
      <c r="C129" s="26"/>
      <c r="D129" s="27"/>
      <c r="E129" s="26"/>
      <c r="F129" s="27"/>
      <c r="G129" s="76"/>
      <c r="I129" s="29"/>
      <c r="J129" s="30"/>
      <c r="K129"/>
      <c r="L129" s="29"/>
      <c r="M129" s="27"/>
      <c r="N129" s="86"/>
      <c r="O129" s="31"/>
      <c r="P129" s="27"/>
      <c r="Q129" s="31"/>
      <c r="R129" s="27"/>
      <c r="S129" s="28"/>
      <c r="T129" s="45"/>
      <c r="U129"/>
      <c r="V129" s="27"/>
      <c r="W129" s="87"/>
      <c r="X129" s="28"/>
    </row>
    <row r="130" spans="1:48" x14ac:dyDescent="0.3">
      <c r="A130" s="51"/>
      <c r="B130" s="34"/>
      <c r="C130" s="79">
        <v>100520902</v>
      </c>
      <c r="D130" s="34" t="s">
        <v>161</v>
      </c>
      <c r="E130" s="80">
        <v>7790360981042</v>
      </c>
      <c r="F130" s="88">
        <v>9.8000000000000007</v>
      </c>
      <c r="G130" s="39">
        <v>14</v>
      </c>
      <c r="H130" s="83"/>
      <c r="I130" s="38">
        <f>IFERROR(L130*1.35*1.21,)</f>
        <v>4109.9385053571432</v>
      </c>
      <c r="J130" s="38">
        <f>+I130*0.9</f>
        <v>3698.9446548214291</v>
      </c>
      <c r="K130"/>
      <c r="L130" s="38">
        <f>+IF(ISERROR(N130/G130),"",(N130/G130))</f>
        <v>2516.0321428571428</v>
      </c>
      <c r="M130" s="38">
        <f>+IF(ISERROR(N130/F130),"",(N130/F130))</f>
        <v>3594.3316326530608</v>
      </c>
      <c r="N130" s="42">
        <v>35224.449999999997</v>
      </c>
      <c r="O130" s="47"/>
      <c r="P130" s="38">
        <f>+IF(ISERROR(N130/(1-O130)),"",(N130/(1-O130)))</f>
        <v>35224.449999999997</v>
      </c>
      <c r="Q130" s="47"/>
      <c r="R130" s="38">
        <f>+IF(ISERROR(P130/(1-Q130)),"",(P130/(1-Q130)))</f>
        <v>35224.449999999997</v>
      </c>
      <c r="S130" s="38">
        <f>+IF(ISERROR(R130/G130),"",(R130/G130))</f>
        <v>2516.0321428571428</v>
      </c>
      <c r="T130" s="45"/>
      <c r="U130"/>
      <c r="V130" s="41">
        <v>35224.449999999997</v>
      </c>
      <c r="W130" s="47">
        <f>+IF(ISERROR(N130/V130-1),"",(N130/V130-1))</f>
        <v>0</v>
      </c>
      <c r="X130" s="38">
        <f>+IF(ISERROR(V130*(1-O130)),"",(V130*(1-O130)))</f>
        <v>35224.449999999997</v>
      </c>
    </row>
    <row r="131" spans="1:48" x14ac:dyDescent="0.3">
      <c r="A131" s="24"/>
      <c r="B131" s="25"/>
      <c r="C131" s="26"/>
      <c r="D131" s="27"/>
      <c r="E131" s="26"/>
      <c r="F131" s="27"/>
      <c r="G131" s="76"/>
      <c r="I131" s="29"/>
      <c r="J131" s="30"/>
      <c r="K131"/>
      <c r="L131" s="29"/>
      <c r="M131" s="27"/>
      <c r="N131" s="86"/>
      <c r="O131" s="31"/>
      <c r="P131" s="27"/>
      <c r="Q131" s="31"/>
      <c r="R131" s="27"/>
      <c r="S131" s="28"/>
      <c r="T131" s="45"/>
      <c r="U131" s="89"/>
      <c r="V131" s="27"/>
      <c r="W131" s="87"/>
      <c r="X131" s="28"/>
    </row>
    <row r="132" spans="1:48" x14ac:dyDescent="0.3">
      <c r="A132" s="51" t="s">
        <v>114</v>
      </c>
      <c r="B132" s="51" t="s">
        <v>162</v>
      </c>
      <c r="C132" s="79">
        <v>100521457</v>
      </c>
      <c r="D132" s="34" t="s">
        <v>163</v>
      </c>
      <c r="E132" s="80">
        <v>7790360982254</v>
      </c>
      <c r="F132" s="88">
        <v>4.8</v>
      </c>
      <c r="G132" s="39">
        <v>16</v>
      </c>
      <c r="H132" s="83"/>
      <c r="I132" s="38">
        <f>IFERROR(L132*1.35*1.21,)</f>
        <v>4134.1677733124998</v>
      </c>
      <c r="J132" s="38">
        <f>+I132*0.9</f>
        <v>3720.7509959812501</v>
      </c>
      <c r="K132"/>
      <c r="L132" s="38">
        <f>+IF(ISERROR(N132/G132),"",(N132/G132))</f>
        <v>2530.8648749999998</v>
      </c>
      <c r="M132" s="38">
        <f>+IF(ISERROR(N132/F132),"",(N132/F132))</f>
        <v>8436.2162499999995</v>
      </c>
      <c r="N132" s="42">
        <v>40493.837999999996</v>
      </c>
      <c r="O132" s="47"/>
      <c r="P132" s="38">
        <f>+IF(ISERROR(N132/(1-O132)),"",(N132/(1-O132)))</f>
        <v>40493.837999999996</v>
      </c>
      <c r="Q132" s="47"/>
      <c r="R132" s="38">
        <f>+IF(ISERROR(P132/(1-Q132)),"",(P132/(1-Q132)))</f>
        <v>40493.837999999996</v>
      </c>
      <c r="S132" s="38">
        <f>+IF(ISERROR(R132/G132),"",(R132/G132))</f>
        <v>2530.8648749999998</v>
      </c>
      <c r="T132" s="45"/>
      <c r="U132" s="46"/>
      <c r="V132" s="41">
        <v>38565.56</v>
      </c>
      <c r="W132" s="84">
        <f>+IF(ISERROR(N132/V132-1),"",(N132/V132-1))</f>
        <v>5.0000000000000044E-2</v>
      </c>
      <c r="X132" s="81">
        <f>+IF(ISERROR(V132*(1-O132)),"",(V132*(1-O132)))</f>
        <v>38565.56</v>
      </c>
    </row>
    <row r="133" spans="1:48" x14ac:dyDescent="0.3">
      <c r="A133" s="51" t="s">
        <v>114</v>
      </c>
      <c r="B133" s="51" t="s">
        <v>162</v>
      </c>
      <c r="C133" s="79">
        <v>100521455</v>
      </c>
      <c r="D133" s="34" t="s">
        <v>164</v>
      </c>
      <c r="E133" s="80">
        <v>7790360982247</v>
      </c>
      <c r="F133" s="88">
        <v>4.8</v>
      </c>
      <c r="G133" s="39">
        <v>16</v>
      </c>
      <c r="H133" s="83"/>
      <c r="I133" s="38">
        <f>IFERROR(L133*1.35*1.21,)</f>
        <v>4134.1677733124998</v>
      </c>
      <c r="J133" s="38">
        <f>+I133*0.9</f>
        <v>3720.7509959812501</v>
      </c>
      <c r="K133"/>
      <c r="L133" s="38">
        <f>+IF(ISERROR(N133/G133),"",(N133/G133))</f>
        <v>2530.8648749999998</v>
      </c>
      <c r="M133" s="38">
        <f>+IF(ISERROR(N133/F133),"",(N133/F133))</f>
        <v>8436.2162499999995</v>
      </c>
      <c r="N133" s="42">
        <v>40493.837999999996</v>
      </c>
      <c r="O133" s="47"/>
      <c r="P133" s="38">
        <f>+IF(ISERROR(N133/(1-O133)),"",(N133/(1-O133)))</f>
        <v>40493.837999999996</v>
      </c>
      <c r="Q133" s="47"/>
      <c r="R133" s="38">
        <f>+IF(ISERROR(P133/(1-Q133)),"",(P133/(1-Q133)))</f>
        <v>40493.837999999996</v>
      </c>
      <c r="S133" s="38">
        <f>+IF(ISERROR(R133/G133),"",(R133/G133))</f>
        <v>2530.8648749999998</v>
      </c>
      <c r="T133" s="45"/>
      <c r="U133" s="46"/>
      <c r="V133" s="41">
        <v>38565.56</v>
      </c>
      <c r="W133" s="84">
        <f>+IF(ISERROR(N133/V133-1),"",(N133/V133-1))</f>
        <v>5.0000000000000044E-2</v>
      </c>
      <c r="X133" s="81">
        <f>+IF(ISERROR(V133*(1-O133)),"",(V133*(1-O133)))</f>
        <v>38565.56</v>
      </c>
    </row>
    <row r="134" spans="1:48" x14ac:dyDescent="0.3">
      <c r="A134" s="51" t="s">
        <v>114</v>
      </c>
      <c r="B134" s="51" t="s">
        <v>165</v>
      </c>
      <c r="C134" s="79">
        <v>100521453</v>
      </c>
      <c r="D134" s="34" t="s">
        <v>166</v>
      </c>
      <c r="E134" s="80">
        <v>7790360982223</v>
      </c>
      <c r="F134" s="88">
        <v>5.4</v>
      </c>
      <c r="G134" s="39">
        <v>18</v>
      </c>
      <c r="H134" s="83"/>
      <c r="I134" s="38">
        <f>IFERROR(L134*1.35*1.21,)</f>
        <v>3617.3965038750011</v>
      </c>
      <c r="J134" s="38">
        <f>+I134*0.9</f>
        <v>3255.6568534875009</v>
      </c>
      <c r="K134"/>
      <c r="L134" s="38">
        <f>+IF(ISERROR(N134/G134),"",(N134/G134))</f>
        <v>2214.5065833333338</v>
      </c>
      <c r="M134" s="38">
        <f>+IF(ISERROR(N134/F134),"",(N134/F134))</f>
        <v>7381.6886111111116</v>
      </c>
      <c r="N134" s="42">
        <v>39861.118500000004</v>
      </c>
      <c r="O134" s="47"/>
      <c r="P134" s="38">
        <f>+IF(ISERROR(N134/(1-O134)),"",(N134/(1-O134)))</f>
        <v>39861.118500000004</v>
      </c>
      <c r="Q134" s="47"/>
      <c r="R134" s="38">
        <f>+IF(ISERROR(P134/(1-Q134)),"",(P134/(1-Q134)))</f>
        <v>39861.118500000004</v>
      </c>
      <c r="S134" s="38">
        <f>+IF(ISERROR(R134/G134),"",(R134/G134))</f>
        <v>2214.5065833333338</v>
      </c>
      <c r="T134" s="45"/>
      <c r="U134" s="46"/>
      <c r="V134" s="41">
        <v>37962.97</v>
      </c>
      <c r="W134" s="84">
        <f>+IF(ISERROR(N134/V134-1),"",(N134/V134-1))</f>
        <v>5.0000000000000044E-2</v>
      </c>
      <c r="X134" s="81">
        <f>+IF(ISERROR(V134*(1-O134)),"",(V134*(1-O134)))</f>
        <v>37962.97</v>
      </c>
    </row>
    <row r="135" spans="1:48" x14ac:dyDescent="0.3">
      <c r="A135" s="51" t="s">
        <v>114</v>
      </c>
      <c r="B135" s="51" t="s">
        <v>165</v>
      </c>
      <c r="C135" s="79">
        <v>100521454</v>
      </c>
      <c r="D135" s="34" t="s">
        <v>167</v>
      </c>
      <c r="E135" s="80">
        <v>7790360982230</v>
      </c>
      <c r="F135" s="88">
        <v>5.3999999999999995</v>
      </c>
      <c r="G135" s="39">
        <v>18</v>
      </c>
      <c r="H135" s="83"/>
      <c r="I135" s="38">
        <f>IFERROR(L135*1.35*1.21,)</f>
        <v>3617.3965038750011</v>
      </c>
      <c r="J135" s="38">
        <f>+I135*0.9</f>
        <v>3255.6568534875009</v>
      </c>
      <c r="K135"/>
      <c r="L135" s="38">
        <f>+IF(ISERROR(N135/G135),"",(N135/G135))</f>
        <v>2214.5065833333338</v>
      </c>
      <c r="M135" s="38">
        <f>+IF(ISERROR(N135/F135),"",(N135/F135))</f>
        <v>7381.6886111111126</v>
      </c>
      <c r="N135" s="42">
        <v>39861.118500000004</v>
      </c>
      <c r="O135" s="47"/>
      <c r="P135" s="38">
        <f>+IF(ISERROR(N135/(1-O135)),"",(N135/(1-O135)))</f>
        <v>39861.118500000004</v>
      </c>
      <c r="Q135" s="47"/>
      <c r="R135" s="38">
        <f>+IF(ISERROR(P135/(1-Q135)),"",(P135/(1-Q135)))</f>
        <v>39861.118500000004</v>
      </c>
      <c r="S135" s="38">
        <f>+IF(ISERROR(R135/G135),"",(R135/G135))</f>
        <v>2214.5065833333338</v>
      </c>
      <c r="T135" s="45"/>
      <c r="U135" s="46"/>
      <c r="V135" s="41">
        <v>37962.97</v>
      </c>
      <c r="W135" s="84">
        <f>+IF(ISERROR(N135/V135-1),"",(N135/V135-1))</f>
        <v>5.0000000000000044E-2</v>
      </c>
      <c r="X135" s="81">
        <f>+IF(ISERROR(V135*(1-O135)),"",(V135*(1-O135)))</f>
        <v>37962.97</v>
      </c>
    </row>
    <row r="136" spans="1:48" x14ac:dyDescent="0.3">
      <c r="A136" s="24"/>
      <c r="B136" s="25"/>
      <c r="C136" s="26"/>
      <c r="D136" s="27"/>
      <c r="E136" s="26"/>
      <c r="F136" s="27"/>
      <c r="G136" s="76"/>
      <c r="I136" s="29"/>
      <c r="J136" s="30"/>
      <c r="K136" s="92"/>
      <c r="L136" s="29"/>
      <c r="M136" s="27"/>
      <c r="N136" s="86"/>
      <c r="O136" s="31"/>
      <c r="P136" s="27"/>
      <c r="Q136" s="31"/>
      <c r="R136" s="27"/>
      <c r="S136" s="28"/>
    </row>
    <row r="137" spans="1:48" x14ac:dyDescent="0.3">
      <c r="A137" s="51" t="s">
        <v>168</v>
      </c>
      <c r="B137" s="34" t="s">
        <v>169</v>
      </c>
      <c r="C137" s="79">
        <v>100522246</v>
      </c>
      <c r="D137" s="34" t="s">
        <v>170</v>
      </c>
      <c r="E137" s="80">
        <v>7790360984234</v>
      </c>
      <c r="F137" s="88">
        <v>8.16</v>
      </c>
      <c r="G137" s="39">
        <v>48</v>
      </c>
      <c r="I137" s="38">
        <f>IFERROR(L137*1.25*1.21,)</f>
        <v>2676.8625000000002</v>
      </c>
      <c r="J137" s="38">
        <f t="shared" ref="J137:J138" si="40">+I137*0.9</f>
        <v>2409.1762500000004</v>
      </c>
      <c r="K137"/>
      <c r="L137" s="38">
        <f>+IF(ISERROR(N137/G137),"",(N137/G137))</f>
        <v>1769.8264462809918</v>
      </c>
      <c r="M137" s="38">
        <f>+IF(ISERROR(N137/F137),"",(N137/F137))</f>
        <v>10410.743801652892</v>
      </c>
      <c r="N137" s="42">
        <v>84951.669421487604</v>
      </c>
      <c r="O137" s="47"/>
      <c r="P137" s="38">
        <f>+IF(ISERROR(N137/(1-O137)),"",(N137/(1-O137)))</f>
        <v>84951.669421487604</v>
      </c>
      <c r="Q137" s="47"/>
      <c r="R137" s="38">
        <f>+IF(ISERROR(P137/(1-Q137)),"",(P137/(1-Q137)))</f>
        <v>84951.669421487604</v>
      </c>
      <c r="S137" s="38">
        <f>+IF(ISERROR(R137/G137),"",(R137/G137))</f>
        <v>1769.8264462809918</v>
      </c>
    </row>
    <row r="138" spans="1:48" x14ac:dyDescent="0.3">
      <c r="A138" s="51" t="s">
        <v>168</v>
      </c>
      <c r="B138" s="34" t="s">
        <v>171</v>
      </c>
      <c r="C138" s="79">
        <v>100522247</v>
      </c>
      <c r="D138" s="34" t="s">
        <v>172</v>
      </c>
      <c r="E138" s="80">
        <v>7790360984241</v>
      </c>
      <c r="F138" s="88">
        <v>8.16</v>
      </c>
      <c r="G138" s="39">
        <v>48</v>
      </c>
      <c r="I138" s="38">
        <f>IFERROR(L138*1.25*1.21,)</f>
        <v>2676.8625000000002</v>
      </c>
      <c r="J138" s="38">
        <f t="shared" si="40"/>
        <v>2409.1762500000004</v>
      </c>
      <c r="K138"/>
      <c r="L138" s="38">
        <f>+IF(ISERROR(N138/G138),"",(N138/G138))</f>
        <v>1769.8264462809918</v>
      </c>
      <c r="M138" s="38">
        <f>+IF(ISERROR(N138/F138),"",(N138/F138))</f>
        <v>10410.743801652892</v>
      </c>
      <c r="N138" s="42">
        <v>84951.669421487604</v>
      </c>
      <c r="O138" s="47"/>
      <c r="P138" s="38">
        <f>+IF(ISERROR(N138/(1-O138)),"",(N138/(1-O138)))</f>
        <v>84951.669421487604</v>
      </c>
      <c r="Q138" s="47"/>
      <c r="R138" s="38">
        <f>+IF(ISERROR(P138/(1-Q138)),"",(P138/(1-Q138)))</f>
        <v>84951.669421487604</v>
      </c>
      <c r="S138" s="38">
        <f>+IF(ISERROR(R138/G138),"",(R138/G138))</f>
        <v>1769.8264462809918</v>
      </c>
    </row>
    <row r="139" spans="1:48" x14ac:dyDescent="0.3">
      <c r="D139" s="90"/>
      <c r="E139" s="90"/>
      <c r="F139" s="90"/>
      <c r="K139"/>
      <c r="N139" s="16"/>
    </row>
    <row r="140" spans="1:48" x14ac:dyDescent="0.3">
      <c r="D140" s="90"/>
      <c r="E140" s="90"/>
      <c r="F140" s="90"/>
      <c r="N140" s="16"/>
    </row>
    <row r="141" spans="1:48" x14ac:dyDescent="0.3">
      <c r="D141" s="90"/>
      <c r="E141" s="90"/>
      <c r="F141" s="90"/>
      <c r="N141" s="16"/>
    </row>
    <row r="142" spans="1:48" x14ac:dyDescent="0.3">
      <c r="N142" s="16"/>
    </row>
    <row r="143" spans="1:48" x14ac:dyDescent="0.3">
      <c r="N143" s="16"/>
    </row>
    <row r="144" spans="1:48" s="16" customFormat="1" x14ac:dyDescent="0.3">
      <c r="A144" s="11"/>
      <c r="B144" s="11"/>
      <c r="C144" s="5"/>
      <c r="D144" s="1"/>
      <c r="E144" s="5"/>
      <c r="F144" s="1"/>
      <c r="G144" s="1"/>
      <c r="H144" s="1"/>
      <c r="I144" s="1"/>
      <c r="J144" s="90"/>
      <c r="K144" s="14"/>
      <c r="L144" s="1"/>
      <c r="M144" s="1"/>
      <c r="P144" s="1"/>
      <c r="R144" s="1"/>
      <c r="S144" s="1"/>
      <c r="T144" s="1"/>
      <c r="U144" s="1"/>
      <c r="V144" s="1"/>
      <c r="W144" s="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s="16" customFormat="1" x14ac:dyDescent="0.3">
      <c r="A145" s="11"/>
      <c r="B145" s="11"/>
      <c r="C145" s="5"/>
      <c r="D145" s="1"/>
      <c r="E145" s="5"/>
      <c r="F145" s="1"/>
      <c r="G145" s="1"/>
      <c r="H145" s="1"/>
      <c r="I145" s="1"/>
      <c r="J145" s="90"/>
      <c r="K145" s="14"/>
      <c r="L145" s="1"/>
      <c r="M145" s="1"/>
      <c r="P145" s="1"/>
      <c r="R145" s="1"/>
      <c r="S145" s="1"/>
      <c r="T145" s="1"/>
      <c r="U145" s="1"/>
      <c r="V145" s="1"/>
      <c r="W145" s="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s="16" customFormat="1" x14ac:dyDescent="0.3">
      <c r="A146" s="11"/>
      <c r="B146" s="11"/>
      <c r="C146" s="5"/>
      <c r="D146" s="1"/>
      <c r="E146" s="5"/>
      <c r="F146" s="1"/>
      <c r="G146" s="1"/>
      <c r="H146" s="1"/>
      <c r="I146" s="1"/>
      <c r="J146" s="90"/>
      <c r="K146" s="14"/>
      <c r="L146" s="1"/>
      <c r="M146" s="1"/>
      <c r="P146" s="1"/>
      <c r="R146" s="1"/>
      <c r="S146" s="1"/>
      <c r="T146" s="1"/>
      <c r="U146" s="1"/>
      <c r="V146" s="1"/>
      <c r="W146" s="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s="16" customFormat="1" x14ac:dyDescent="0.3">
      <c r="A147" s="11"/>
      <c r="B147" s="11"/>
      <c r="C147" s="5"/>
      <c r="D147" s="1"/>
      <c r="E147" s="5"/>
      <c r="F147" s="1"/>
      <c r="G147" s="1"/>
      <c r="H147" s="1"/>
      <c r="I147" s="1"/>
      <c r="J147" s="90"/>
      <c r="K147" s="14"/>
      <c r="L147" s="1"/>
      <c r="M147" s="1"/>
      <c r="P147" s="1"/>
      <c r="R147" s="1"/>
      <c r="S147" s="1"/>
      <c r="T147" s="1"/>
      <c r="U147" s="1"/>
      <c r="V147" s="1"/>
      <c r="W147" s="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s="16" customFormat="1" x14ac:dyDescent="0.3">
      <c r="A148" s="11"/>
      <c r="B148" s="11"/>
      <c r="C148" s="5"/>
      <c r="D148" s="1"/>
      <c r="E148" s="5"/>
      <c r="F148" s="1"/>
      <c r="G148" s="1"/>
      <c r="H148" s="1"/>
      <c r="I148" s="1"/>
      <c r="J148" s="90"/>
      <c r="K148" s="14"/>
      <c r="L148" s="1"/>
      <c r="M148" s="1"/>
      <c r="P148" s="1"/>
      <c r="R148" s="1"/>
      <c r="S148" s="1"/>
      <c r="T148" s="1"/>
      <c r="U148" s="1"/>
      <c r="V148" s="1"/>
      <c r="W148" s="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s="16" customFormat="1" x14ac:dyDescent="0.3">
      <c r="A149" s="11"/>
      <c r="B149" s="11"/>
      <c r="C149" s="5"/>
      <c r="D149" s="1"/>
      <c r="E149" s="5"/>
      <c r="F149" s="1"/>
      <c r="G149" s="1"/>
      <c r="H149" s="1"/>
      <c r="I149" s="1"/>
      <c r="J149" s="90"/>
      <c r="K149" s="14"/>
      <c r="L149" s="1"/>
      <c r="M149" s="1"/>
      <c r="P149" s="1"/>
      <c r="R149" s="1"/>
      <c r="S149" s="1"/>
      <c r="T149" s="1"/>
      <c r="U149" s="1"/>
      <c r="V149" s="1"/>
      <c r="W149" s="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s="16" customFormat="1" x14ac:dyDescent="0.3">
      <c r="A150" s="11"/>
      <c r="B150" s="11"/>
      <c r="C150" s="5"/>
      <c r="D150" s="1"/>
      <c r="E150" s="5"/>
      <c r="F150" s="1"/>
      <c r="G150" s="1"/>
      <c r="H150" s="1"/>
      <c r="I150" s="1"/>
      <c r="J150" s="90"/>
      <c r="K150" s="14"/>
      <c r="L150" s="1"/>
      <c r="M150" s="1"/>
      <c r="P150" s="1"/>
      <c r="R150" s="1"/>
      <c r="S150" s="1"/>
      <c r="T150" s="1"/>
      <c r="U150" s="1"/>
      <c r="V150" s="1"/>
      <c r="W150" s="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s="16" customFormat="1" x14ac:dyDescent="0.3">
      <c r="A151" s="11"/>
      <c r="B151" s="11"/>
      <c r="C151" s="5"/>
      <c r="D151" s="1"/>
      <c r="E151" s="5"/>
      <c r="F151" s="1"/>
      <c r="G151" s="1"/>
      <c r="H151" s="1"/>
      <c r="I151" s="1"/>
      <c r="J151" s="90"/>
      <c r="K151" s="14"/>
      <c r="L151" s="1"/>
      <c r="M151" s="1"/>
      <c r="P151" s="1"/>
      <c r="R151" s="1"/>
      <c r="S151" s="1"/>
      <c r="T151" s="1"/>
      <c r="U151" s="1"/>
      <c r="V151" s="1"/>
      <c r="W151" s="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s="16" customFormat="1" x14ac:dyDescent="0.3">
      <c r="A152" s="11"/>
      <c r="B152" s="11"/>
      <c r="C152" s="5"/>
      <c r="D152" s="1"/>
      <c r="E152" s="5"/>
      <c r="F152" s="1"/>
      <c r="G152" s="1"/>
      <c r="H152" s="1"/>
      <c r="I152" s="1"/>
      <c r="J152" s="90"/>
      <c r="K152" s="14"/>
      <c r="L152" s="1"/>
      <c r="M152" s="1"/>
      <c r="P152" s="1"/>
      <c r="R152" s="1"/>
      <c r="S152" s="1"/>
      <c r="T152" s="1"/>
      <c r="U152" s="1"/>
      <c r="V152" s="1"/>
      <c r="W152" s="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s="16" customFormat="1" x14ac:dyDescent="0.3">
      <c r="A153" s="11"/>
      <c r="B153" s="11"/>
      <c r="C153" s="5"/>
      <c r="D153" s="1"/>
      <c r="E153" s="5"/>
      <c r="F153" s="1"/>
      <c r="G153" s="1"/>
      <c r="H153" s="1"/>
      <c r="I153" s="1"/>
      <c r="J153" s="90"/>
      <c r="K153" s="14"/>
      <c r="L153" s="1"/>
      <c r="M153" s="1"/>
      <c r="P153" s="1"/>
      <c r="R153" s="1"/>
      <c r="S153" s="1"/>
      <c r="T153" s="1"/>
      <c r="U153" s="1"/>
      <c r="V153" s="1"/>
      <c r="W153" s="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s="16" customFormat="1" x14ac:dyDescent="0.3">
      <c r="A154" s="11"/>
      <c r="B154" s="11"/>
      <c r="C154" s="5"/>
      <c r="D154" s="1"/>
      <c r="E154" s="5"/>
      <c r="F154" s="1"/>
      <c r="G154" s="1"/>
      <c r="H154" s="1"/>
      <c r="I154" s="1"/>
      <c r="J154" s="90"/>
      <c r="K154" s="14"/>
      <c r="L154" s="1"/>
      <c r="M154" s="1"/>
      <c r="P154" s="1"/>
      <c r="R154" s="1"/>
      <c r="S154" s="1"/>
      <c r="T154" s="1"/>
      <c r="U154" s="1"/>
      <c r="V154" s="1"/>
      <c r="W154" s="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s="16" customFormat="1" x14ac:dyDescent="0.3">
      <c r="A155" s="11"/>
      <c r="B155" s="11"/>
      <c r="C155" s="5"/>
      <c r="D155" s="1"/>
      <c r="E155" s="5"/>
      <c r="F155" s="1"/>
      <c r="G155" s="1"/>
      <c r="H155" s="1"/>
      <c r="I155" s="1"/>
      <c r="J155" s="90"/>
      <c r="K155" s="14"/>
      <c r="L155" s="1"/>
      <c r="M155" s="1"/>
      <c r="P155" s="1"/>
      <c r="R155" s="1"/>
      <c r="S155" s="1"/>
      <c r="T155" s="1"/>
      <c r="U155" s="1"/>
      <c r="V155" s="1"/>
      <c r="W155" s="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s="16" customFormat="1" x14ac:dyDescent="0.3">
      <c r="A156" s="11"/>
      <c r="B156" s="11"/>
      <c r="C156" s="5"/>
      <c r="D156" s="1"/>
      <c r="E156" s="5"/>
      <c r="F156" s="1"/>
      <c r="G156" s="1"/>
      <c r="H156" s="1"/>
      <c r="I156" s="1"/>
      <c r="J156" s="90"/>
      <c r="K156" s="14"/>
      <c r="L156" s="1"/>
      <c r="M156" s="1"/>
      <c r="P156" s="1"/>
      <c r="R156" s="1"/>
      <c r="S156" s="1"/>
      <c r="T156" s="1"/>
      <c r="U156" s="1"/>
      <c r="V156" s="1"/>
      <c r="W156" s="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s="16" customFormat="1" x14ac:dyDescent="0.3">
      <c r="A157" s="11"/>
      <c r="B157" s="11"/>
      <c r="C157" s="5"/>
      <c r="D157" s="1"/>
      <c r="E157" s="5"/>
      <c r="F157" s="1"/>
      <c r="G157" s="1"/>
      <c r="H157" s="1"/>
      <c r="I157" s="1"/>
      <c r="J157" s="90"/>
      <c r="K157" s="14"/>
      <c r="L157" s="1"/>
      <c r="M157" s="1"/>
      <c r="P157" s="1"/>
      <c r="R157" s="1"/>
      <c r="S157" s="1"/>
      <c r="T157" s="1"/>
      <c r="U157" s="1"/>
      <c r="V157" s="1"/>
      <c r="W157" s="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s="16" customFormat="1" x14ac:dyDescent="0.3">
      <c r="A158" s="11"/>
      <c r="B158" s="11"/>
      <c r="C158" s="5"/>
      <c r="D158" s="1"/>
      <c r="E158" s="5"/>
      <c r="F158" s="1"/>
      <c r="G158" s="1"/>
      <c r="H158" s="1"/>
      <c r="I158" s="1"/>
      <c r="J158" s="90"/>
      <c r="K158" s="14"/>
      <c r="L158" s="1"/>
      <c r="M158" s="1"/>
      <c r="P158" s="1"/>
      <c r="R158" s="1"/>
      <c r="S158" s="1"/>
      <c r="T158" s="1"/>
      <c r="U158" s="1"/>
      <c r="V158" s="1"/>
      <c r="W158" s="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s="16" customFormat="1" x14ac:dyDescent="0.3">
      <c r="A159" s="11"/>
      <c r="B159" s="11"/>
      <c r="C159" s="5"/>
      <c r="D159" s="1"/>
      <c r="E159" s="5"/>
      <c r="F159" s="1"/>
      <c r="G159" s="1"/>
      <c r="H159" s="1"/>
      <c r="I159" s="1"/>
      <c r="J159" s="90"/>
      <c r="K159" s="14"/>
      <c r="L159" s="1"/>
      <c r="M159" s="1"/>
      <c r="P159" s="1"/>
      <c r="R159" s="1"/>
      <c r="S159" s="1"/>
      <c r="T159" s="1"/>
      <c r="U159" s="1"/>
      <c r="V159" s="1"/>
      <c r="W159" s="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s="16" customFormat="1" x14ac:dyDescent="0.3">
      <c r="A160" s="11"/>
      <c r="B160" s="11"/>
      <c r="C160" s="5"/>
      <c r="D160" s="1"/>
      <c r="E160" s="5"/>
      <c r="F160" s="1"/>
      <c r="G160" s="1"/>
      <c r="H160" s="1"/>
      <c r="I160" s="1"/>
      <c r="J160" s="90"/>
      <c r="K160" s="14"/>
      <c r="L160" s="1"/>
      <c r="M160" s="1"/>
      <c r="P160" s="1"/>
      <c r="R160" s="1"/>
      <c r="S160" s="1"/>
      <c r="T160" s="1"/>
      <c r="U160" s="1"/>
      <c r="V160" s="1"/>
      <c r="W160" s="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s="16" customFormat="1" x14ac:dyDescent="0.3">
      <c r="A161" s="11"/>
      <c r="B161" s="11"/>
      <c r="C161" s="5"/>
      <c r="D161" s="1"/>
      <c r="E161" s="5"/>
      <c r="F161" s="1"/>
      <c r="G161" s="1"/>
      <c r="H161" s="1"/>
      <c r="I161" s="1"/>
      <c r="J161" s="90"/>
      <c r="K161" s="14"/>
      <c r="L161" s="1"/>
      <c r="M161" s="1"/>
      <c r="P161" s="1"/>
      <c r="R161" s="1"/>
      <c r="S161" s="1"/>
      <c r="T161" s="1"/>
      <c r="U161" s="1"/>
      <c r="V161" s="1"/>
      <c r="W161" s="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s="16" customFormat="1" x14ac:dyDescent="0.3">
      <c r="A162" s="11"/>
      <c r="B162" s="11"/>
      <c r="C162" s="5"/>
      <c r="D162" s="1"/>
      <c r="E162" s="5"/>
      <c r="F162" s="1"/>
      <c r="G162" s="1"/>
      <c r="H162" s="1"/>
      <c r="I162" s="1"/>
      <c r="J162" s="90"/>
      <c r="K162" s="14"/>
      <c r="L162" s="1"/>
      <c r="M162" s="1"/>
      <c r="P162" s="1"/>
      <c r="R162" s="1"/>
      <c r="S162" s="1"/>
      <c r="T162" s="1"/>
      <c r="U162" s="1"/>
      <c r="V162" s="1"/>
      <c r="W162" s="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s="16" customFormat="1" x14ac:dyDescent="0.3">
      <c r="A163" s="11"/>
      <c r="B163" s="11"/>
      <c r="C163" s="5"/>
      <c r="D163" s="1"/>
      <c r="E163" s="5"/>
      <c r="F163" s="1"/>
      <c r="G163" s="1"/>
      <c r="H163" s="1"/>
      <c r="I163" s="1"/>
      <c r="J163" s="90"/>
      <c r="K163" s="14"/>
      <c r="L163" s="1"/>
      <c r="M163" s="1"/>
      <c r="P163" s="1"/>
      <c r="R163" s="1"/>
      <c r="S163" s="1"/>
      <c r="T163" s="1"/>
      <c r="U163" s="1"/>
      <c r="V163" s="1"/>
      <c r="W163" s="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s="16" customFormat="1" x14ac:dyDescent="0.3">
      <c r="A164" s="11"/>
      <c r="B164" s="11"/>
      <c r="C164" s="5"/>
      <c r="D164" s="1"/>
      <c r="E164" s="5"/>
      <c r="F164" s="1"/>
      <c r="G164" s="1"/>
      <c r="H164" s="1"/>
      <c r="I164" s="1"/>
      <c r="J164" s="90"/>
      <c r="K164" s="14"/>
      <c r="L164" s="1"/>
      <c r="M164" s="1"/>
      <c r="P164" s="1"/>
      <c r="R164" s="1"/>
      <c r="S164" s="1"/>
      <c r="T164" s="1"/>
      <c r="U164" s="1"/>
      <c r="V164" s="1"/>
      <c r="W164" s="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s="16" customFormat="1" x14ac:dyDescent="0.3">
      <c r="A165" s="11"/>
      <c r="B165" s="11"/>
      <c r="C165" s="5"/>
      <c r="D165" s="1"/>
      <c r="E165" s="5"/>
      <c r="F165" s="1"/>
      <c r="G165" s="1"/>
      <c r="H165" s="1"/>
      <c r="I165" s="1"/>
      <c r="J165" s="90"/>
      <c r="K165" s="14"/>
      <c r="L165" s="1"/>
      <c r="M165" s="1"/>
      <c r="P165" s="1"/>
      <c r="R165" s="1"/>
      <c r="S165" s="1"/>
      <c r="T165" s="1"/>
      <c r="U165" s="1"/>
      <c r="V165" s="1"/>
      <c r="W165" s="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s="16" customFormat="1" x14ac:dyDescent="0.3">
      <c r="A166" s="11"/>
      <c r="B166" s="11"/>
      <c r="C166" s="5"/>
      <c r="D166" s="1"/>
      <c r="E166" s="5"/>
      <c r="F166" s="1"/>
      <c r="G166" s="1"/>
      <c r="H166" s="1"/>
      <c r="I166" s="1"/>
      <c r="J166" s="90"/>
      <c r="K166" s="14"/>
      <c r="L166" s="1"/>
      <c r="M166" s="1"/>
      <c r="P166" s="1"/>
      <c r="R166" s="1"/>
      <c r="S166" s="1"/>
      <c r="T166" s="1"/>
      <c r="U166" s="1"/>
      <c r="V166" s="1"/>
      <c r="W166" s="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s="16" customFormat="1" x14ac:dyDescent="0.3">
      <c r="A167" s="11"/>
      <c r="B167" s="11"/>
      <c r="C167" s="5"/>
      <c r="D167" s="1"/>
      <c r="E167" s="5"/>
      <c r="F167" s="1"/>
      <c r="G167" s="1"/>
      <c r="H167" s="1"/>
      <c r="I167" s="1"/>
      <c r="J167" s="90"/>
      <c r="K167" s="14"/>
      <c r="L167" s="1"/>
      <c r="M167" s="1"/>
      <c r="P167" s="1"/>
      <c r="R167" s="1"/>
      <c r="S167" s="1"/>
      <c r="T167" s="1"/>
      <c r="U167" s="1"/>
      <c r="V167" s="1"/>
      <c r="W167" s="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s="16" customFormat="1" x14ac:dyDescent="0.3">
      <c r="A168" s="11"/>
      <c r="B168" s="11"/>
      <c r="C168" s="5"/>
      <c r="D168" s="1"/>
      <c r="E168" s="5"/>
      <c r="F168" s="1"/>
      <c r="G168" s="1"/>
      <c r="H168" s="1"/>
      <c r="I168" s="1"/>
      <c r="J168" s="90"/>
      <c r="K168" s="14"/>
      <c r="L168" s="1"/>
      <c r="M168" s="1"/>
      <c r="P168" s="1"/>
      <c r="R168" s="1"/>
      <c r="S168" s="1"/>
      <c r="T168" s="1"/>
      <c r="U168" s="1"/>
      <c r="V168" s="1"/>
      <c r="W168" s="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s="16" customFormat="1" x14ac:dyDescent="0.3">
      <c r="A169" s="11"/>
      <c r="B169" s="11"/>
      <c r="C169" s="5"/>
      <c r="D169" s="1"/>
      <c r="E169" s="5"/>
      <c r="F169" s="1"/>
      <c r="G169" s="1"/>
      <c r="H169" s="1"/>
      <c r="I169" s="1"/>
      <c r="J169" s="90"/>
      <c r="K169" s="14"/>
      <c r="L169" s="1"/>
      <c r="M169" s="1"/>
      <c r="P169" s="1"/>
      <c r="R169" s="1"/>
      <c r="S169" s="1"/>
      <c r="T169" s="1"/>
      <c r="U169" s="1"/>
      <c r="V169" s="1"/>
      <c r="W169" s="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s="16" customFormat="1" x14ac:dyDescent="0.3">
      <c r="A170" s="11"/>
      <c r="B170" s="11"/>
      <c r="C170" s="5"/>
      <c r="D170" s="1"/>
      <c r="E170" s="5"/>
      <c r="F170" s="1"/>
      <c r="G170" s="1"/>
      <c r="H170" s="1"/>
      <c r="I170" s="1"/>
      <c r="J170" s="90"/>
      <c r="K170" s="14"/>
      <c r="L170" s="1"/>
      <c r="M170" s="1"/>
      <c r="P170" s="1"/>
      <c r="R170" s="1"/>
      <c r="S170" s="1"/>
      <c r="T170" s="1"/>
      <c r="U170" s="1"/>
      <c r="V170" s="1"/>
      <c r="W170" s="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s="16" customFormat="1" x14ac:dyDescent="0.3">
      <c r="A171" s="11"/>
      <c r="B171" s="11"/>
      <c r="C171" s="5"/>
      <c r="D171" s="1"/>
      <c r="E171" s="5"/>
      <c r="F171" s="1"/>
      <c r="G171" s="1"/>
      <c r="H171" s="1"/>
      <c r="I171" s="1"/>
      <c r="J171" s="90"/>
      <c r="K171" s="14"/>
      <c r="L171" s="1"/>
      <c r="M171" s="1"/>
      <c r="P171" s="1"/>
      <c r="R171" s="1"/>
      <c r="S171" s="1"/>
      <c r="T171" s="1"/>
      <c r="U171" s="1"/>
      <c r="V171" s="1"/>
      <c r="W171" s="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s="16" customFormat="1" x14ac:dyDescent="0.3">
      <c r="A172" s="11"/>
      <c r="B172" s="11"/>
      <c r="C172" s="5"/>
      <c r="D172" s="1"/>
      <c r="E172" s="5"/>
      <c r="F172" s="1"/>
      <c r="G172" s="1"/>
      <c r="H172" s="1"/>
      <c r="I172" s="1"/>
      <c r="J172" s="90"/>
      <c r="K172" s="14"/>
      <c r="L172" s="1"/>
      <c r="M172" s="1"/>
      <c r="P172" s="1"/>
      <c r="R172" s="1"/>
      <c r="S172" s="1"/>
      <c r="T172" s="1"/>
      <c r="U172" s="1"/>
      <c r="V172" s="1"/>
      <c r="W172" s="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s="16" customFormat="1" x14ac:dyDescent="0.3">
      <c r="A173" s="11"/>
      <c r="B173" s="11"/>
      <c r="C173" s="5"/>
      <c r="D173" s="1"/>
      <c r="E173" s="5"/>
      <c r="F173" s="1"/>
      <c r="G173" s="1"/>
      <c r="H173" s="1"/>
      <c r="I173" s="1"/>
      <c r="J173" s="90"/>
      <c r="K173" s="14"/>
      <c r="L173" s="1"/>
      <c r="M173" s="1"/>
      <c r="P173" s="1"/>
      <c r="R173" s="1"/>
      <c r="S173" s="1"/>
      <c r="T173" s="1"/>
      <c r="U173" s="1"/>
      <c r="V173" s="1"/>
      <c r="W173" s="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s="16" customFormat="1" x14ac:dyDescent="0.3">
      <c r="A174" s="11"/>
      <c r="B174" s="11"/>
      <c r="C174" s="5"/>
      <c r="D174" s="1"/>
      <c r="E174" s="5"/>
      <c r="F174" s="1"/>
      <c r="G174" s="1"/>
      <c r="H174" s="1"/>
      <c r="I174" s="1"/>
      <c r="J174" s="90"/>
      <c r="K174" s="14"/>
      <c r="L174" s="1"/>
      <c r="M174" s="1"/>
      <c r="P174" s="1"/>
      <c r="R174" s="1"/>
      <c r="S174" s="1"/>
      <c r="T174" s="1"/>
      <c r="U174" s="1"/>
      <c r="V174" s="1"/>
      <c r="W174" s="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s="16" customFormat="1" x14ac:dyDescent="0.3">
      <c r="A175" s="11"/>
      <c r="B175" s="11"/>
      <c r="C175" s="5"/>
      <c r="D175" s="1"/>
      <c r="E175" s="5"/>
      <c r="F175" s="1"/>
      <c r="G175" s="1"/>
      <c r="H175" s="1"/>
      <c r="I175" s="1"/>
      <c r="J175" s="90"/>
      <c r="K175" s="14"/>
      <c r="L175" s="1"/>
      <c r="M175" s="1"/>
      <c r="P175" s="1"/>
      <c r="R175" s="1"/>
      <c r="S175" s="1"/>
      <c r="T175" s="1"/>
      <c r="U175" s="1"/>
      <c r="V175" s="1"/>
      <c r="W175" s="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s="16" customFormat="1" x14ac:dyDescent="0.3">
      <c r="A176" s="11"/>
      <c r="B176" s="11"/>
      <c r="C176" s="5"/>
      <c r="D176" s="1"/>
      <c r="E176" s="5"/>
      <c r="F176" s="1"/>
      <c r="G176" s="1"/>
      <c r="H176" s="1"/>
      <c r="I176" s="1"/>
      <c r="J176" s="90"/>
      <c r="K176" s="14"/>
      <c r="L176" s="1"/>
      <c r="M176" s="1"/>
      <c r="P176" s="1"/>
      <c r="R176" s="1"/>
      <c r="S176" s="1"/>
      <c r="T176" s="1"/>
      <c r="U176" s="1"/>
      <c r="V176" s="1"/>
      <c r="W176" s="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s="16" customFormat="1" x14ac:dyDescent="0.3">
      <c r="A177" s="11"/>
      <c r="B177" s="11"/>
      <c r="C177" s="5"/>
      <c r="D177" s="1"/>
      <c r="E177" s="5"/>
      <c r="F177" s="1"/>
      <c r="G177" s="1"/>
      <c r="H177" s="1"/>
      <c r="I177" s="1"/>
      <c r="J177" s="90"/>
      <c r="K177" s="14"/>
      <c r="L177" s="1"/>
      <c r="M177" s="1"/>
      <c r="P177" s="1"/>
      <c r="R177" s="1"/>
      <c r="S177" s="1"/>
      <c r="T177" s="1"/>
      <c r="U177" s="1"/>
      <c r="V177" s="1"/>
      <c r="W177" s="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s="16" customFormat="1" x14ac:dyDescent="0.3">
      <c r="A178" s="11"/>
      <c r="B178" s="11"/>
      <c r="C178" s="5"/>
      <c r="D178" s="1"/>
      <c r="E178" s="5"/>
      <c r="F178" s="1"/>
      <c r="G178" s="1"/>
      <c r="H178" s="1"/>
      <c r="I178" s="1"/>
      <c r="J178" s="90"/>
      <c r="K178" s="14"/>
      <c r="L178" s="1"/>
      <c r="M178" s="1"/>
      <c r="P178" s="1"/>
      <c r="R178" s="1"/>
      <c r="S178" s="1"/>
      <c r="T178" s="1"/>
      <c r="U178" s="1"/>
      <c r="V178" s="1"/>
      <c r="W178" s="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s="16" customFormat="1" x14ac:dyDescent="0.3">
      <c r="A179" s="11"/>
      <c r="B179" s="11"/>
      <c r="C179" s="5"/>
      <c r="D179" s="1"/>
      <c r="E179" s="5"/>
      <c r="F179" s="1"/>
      <c r="G179" s="1"/>
      <c r="H179" s="1"/>
      <c r="I179" s="1"/>
      <c r="J179" s="90"/>
      <c r="K179" s="14"/>
      <c r="L179" s="1"/>
      <c r="M179" s="1"/>
      <c r="P179" s="1"/>
      <c r="R179" s="1"/>
      <c r="S179" s="1"/>
      <c r="T179" s="1"/>
      <c r="U179" s="1"/>
      <c r="V179" s="1"/>
      <c r="W179" s="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s="16" customFormat="1" x14ac:dyDescent="0.3">
      <c r="A180" s="11"/>
      <c r="B180" s="11"/>
      <c r="C180" s="5"/>
      <c r="D180" s="1"/>
      <c r="E180" s="5"/>
      <c r="F180" s="1"/>
      <c r="G180" s="1"/>
      <c r="H180" s="1"/>
      <c r="I180" s="1"/>
      <c r="J180" s="90"/>
      <c r="K180" s="14"/>
      <c r="L180" s="1"/>
      <c r="M180" s="1"/>
      <c r="P180" s="1"/>
      <c r="R180" s="1"/>
      <c r="S180" s="1"/>
      <c r="T180" s="1"/>
      <c r="U180" s="1"/>
      <c r="V180" s="1"/>
      <c r="W180" s="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s="16" customFormat="1" x14ac:dyDescent="0.3">
      <c r="A181" s="11"/>
      <c r="B181" s="11"/>
      <c r="C181" s="5"/>
      <c r="D181" s="1"/>
      <c r="E181" s="5"/>
      <c r="F181" s="1"/>
      <c r="G181" s="1"/>
      <c r="H181" s="1"/>
      <c r="I181" s="1"/>
      <c r="J181" s="90"/>
      <c r="K181" s="14"/>
      <c r="L181" s="1"/>
      <c r="M181" s="1"/>
      <c r="P181" s="1"/>
      <c r="R181" s="1"/>
      <c r="S181" s="1"/>
      <c r="T181" s="1"/>
      <c r="U181" s="1"/>
      <c r="V181" s="1"/>
      <c r="W181" s="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s="16" customFormat="1" x14ac:dyDescent="0.3">
      <c r="A182" s="11"/>
      <c r="B182" s="11"/>
      <c r="C182" s="5"/>
      <c r="D182" s="1"/>
      <c r="E182" s="5"/>
      <c r="F182" s="1"/>
      <c r="G182" s="1"/>
      <c r="H182" s="1"/>
      <c r="I182" s="1"/>
      <c r="J182" s="90"/>
      <c r="K182" s="14"/>
      <c r="L182" s="1"/>
      <c r="M182" s="1"/>
      <c r="P182" s="1"/>
      <c r="R182" s="1"/>
      <c r="S182" s="1"/>
      <c r="T182" s="1"/>
      <c r="U182" s="1"/>
      <c r="V182" s="1"/>
      <c r="W182" s="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s="16" customFormat="1" x14ac:dyDescent="0.3">
      <c r="A183" s="11"/>
      <c r="B183" s="11"/>
      <c r="C183" s="5"/>
      <c r="D183" s="1"/>
      <c r="E183" s="5"/>
      <c r="F183" s="1"/>
      <c r="G183" s="1"/>
      <c r="H183" s="1"/>
      <c r="I183" s="1"/>
      <c r="J183" s="90"/>
      <c r="K183" s="14"/>
      <c r="L183" s="1"/>
      <c r="M183" s="1"/>
      <c r="P183" s="1"/>
      <c r="R183" s="1"/>
      <c r="S183" s="1"/>
      <c r="T183" s="1"/>
      <c r="U183" s="1"/>
      <c r="V183" s="1"/>
      <c r="W183" s="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s="16" customFormat="1" x14ac:dyDescent="0.3">
      <c r="A184" s="11"/>
      <c r="B184" s="11"/>
      <c r="C184" s="5"/>
      <c r="D184" s="1"/>
      <c r="E184" s="5"/>
      <c r="F184" s="1"/>
      <c r="G184" s="1"/>
      <c r="H184" s="1"/>
      <c r="I184" s="1"/>
      <c r="J184" s="90"/>
      <c r="K184" s="14"/>
      <c r="L184" s="1"/>
      <c r="M184" s="1"/>
      <c r="P184" s="1"/>
      <c r="R184" s="1"/>
      <c r="S184" s="1"/>
      <c r="T184" s="1"/>
      <c r="U184" s="1"/>
      <c r="V184" s="1"/>
      <c r="W184" s="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s="16" customFormat="1" x14ac:dyDescent="0.3">
      <c r="A185" s="11"/>
      <c r="B185" s="11"/>
      <c r="C185" s="5"/>
      <c r="D185" s="1"/>
      <c r="E185" s="5"/>
      <c r="F185" s="1"/>
      <c r="G185" s="1"/>
      <c r="H185" s="1"/>
      <c r="I185" s="1"/>
      <c r="J185" s="90"/>
      <c r="K185" s="14"/>
      <c r="L185" s="1"/>
      <c r="M185" s="1"/>
      <c r="P185" s="1"/>
      <c r="R185" s="1"/>
      <c r="S185" s="1"/>
      <c r="T185" s="1"/>
      <c r="U185" s="1"/>
      <c r="V185" s="1"/>
      <c r="W185" s="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s="16" customFormat="1" x14ac:dyDescent="0.3">
      <c r="A186" s="11"/>
      <c r="B186" s="11"/>
      <c r="C186" s="5"/>
      <c r="D186" s="1"/>
      <c r="E186" s="5"/>
      <c r="F186" s="1"/>
      <c r="G186" s="1"/>
      <c r="H186" s="1"/>
      <c r="I186" s="1"/>
      <c r="J186" s="90"/>
      <c r="K186" s="14"/>
      <c r="L186" s="1"/>
      <c r="M186" s="1"/>
      <c r="P186" s="1"/>
      <c r="R186" s="1"/>
      <c r="S186" s="1"/>
      <c r="T186" s="1"/>
      <c r="U186" s="1"/>
      <c r="V186" s="1"/>
      <c r="W186" s="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s="16" customFormat="1" x14ac:dyDescent="0.3">
      <c r="A187" s="11"/>
      <c r="B187" s="11"/>
      <c r="C187" s="5"/>
      <c r="D187" s="1"/>
      <c r="E187" s="5"/>
      <c r="F187" s="1"/>
      <c r="G187" s="1"/>
      <c r="H187" s="1"/>
      <c r="I187" s="1"/>
      <c r="J187" s="90"/>
      <c r="K187" s="14"/>
      <c r="L187" s="1"/>
      <c r="M187" s="1"/>
      <c r="P187" s="1"/>
      <c r="R187" s="1"/>
      <c r="S187" s="1"/>
      <c r="T187" s="1"/>
      <c r="U187" s="1"/>
      <c r="V187" s="1"/>
      <c r="W187" s="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s="16" customFormat="1" x14ac:dyDescent="0.3">
      <c r="A188" s="11"/>
      <c r="B188" s="11"/>
      <c r="C188" s="5"/>
      <c r="D188" s="1"/>
      <c r="E188" s="5"/>
      <c r="F188" s="1"/>
      <c r="G188" s="1"/>
      <c r="H188" s="1"/>
      <c r="I188" s="1"/>
      <c r="J188" s="90"/>
      <c r="K188" s="14"/>
      <c r="L188" s="1"/>
      <c r="M188" s="1"/>
      <c r="P188" s="1"/>
      <c r="R188" s="1"/>
      <c r="S188" s="1"/>
      <c r="T188" s="1"/>
      <c r="U188" s="1"/>
      <c r="V188" s="1"/>
      <c r="W188" s="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s="16" customFormat="1" x14ac:dyDescent="0.3">
      <c r="A189" s="11"/>
      <c r="B189" s="11"/>
      <c r="C189" s="5"/>
      <c r="D189" s="1"/>
      <c r="E189" s="5"/>
      <c r="F189" s="1"/>
      <c r="G189" s="1"/>
      <c r="H189" s="1"/>
      <c r="I189" s="1"/>
      <c r="J189" s="90"/>
      <c r="K189" s="14"/>
      <c r="L189" s="1"/>
      <c r="M189" s="1"/>
      <c r="P189" s="1"/>
      <c r="R189" s="1"/>
      <c r="S189" s="1"/>
      <c r="T189" s="1"/>
      <c r="U189" s="1"/>
      <c r="V189" s="1"/>
      <c r="W189" s="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s="16" customFormat="1" x14ac:dyDescent="0.3">
      <c r="A190" s="11"/>
      <c r="B190" s="11"/>
      <c r="C190" s="5"/>
      <c r="D190" s="1"/>
      <c r="E190" s="5"/>
      <c r="F190" s="1"/>
      <c r="G190" s="1"/>
      <c r="H190" s="1"/>
      <c r="I190" s="1"/>
      <c r="J190" s="90"/>
      <c r="K190" s="14"/>
      <c r="L190" s="1"/>
      <c r="M190" s="1"/>
      <c r="P190" s="1"/>
      <c r="R190" s="1"/>
      <c r="S190" s="1"/>
      <c r="T190" s="1"/>
      <c r="U190" s="1"/>
      <c r="V190" s="1"/>
      <c r="W190" s="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s="16" customFormat="1" x14ac:dyDescent="0.3">
      <c r="A191" s="11"/>
      <c r="B191" s="11"/>
      <c r="C191" s="5"/>
      <c r="D191" s="1"/>
      <c r="E191" s="5"/>
      <c r="F191" s="1"/>
      <c r="G191" s="1"/>
      <c r="H191" s="1"/>
      <c r="I191" s="1"/>
      <c r="J191" s="90"/>
      <c r="K191" s="14"/>
      <c r="L191" s="1"/>
      <c r="M191" s="1"/>
      <c r="P191" s="1"/>
      <c r="R191" s="1"/>
      <c r="S191" s="1"/>
      <c r="T191" s="1"/>
      <c r="U191" s="1"/>
      <c r="V191" s="1"/>
      <c r="W191" s="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s="16" customFormat="1" x14ac:dyDescent="0.3">
      <c r="A192" s="11"/>
      <c r="B192" s="11"/>
      <c r="C192" s="5"/>
      <c r="D192" s="1"/>
      <c r="E192" s="5"/>
      <c r="F192" s="1"/>
      <c r="G192" s="1"/>
      <c r="H192" s="1"/>
      <c r="I192" s="1"/>
      <c r="J192" s="90"/>
      <c r="K192" s="14"/>
      <c r="L192" s="1"/>
      <c r="M192" s="1"/>
      <c r="P192" s="1"/>
      <c r="R192" s="1"/>
      <c r="S192" s="1"/>
      <c r="T192" s="1"/>
      <c r="U192" s="1"/>
      <c r="V192" s="1"/>
      <c r="W192" s="2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s="16" customFormat="1" x14ac:dyDescent="0.3">
      <c r="A193" s="11"/>
      <c r="B193" s="11"/>
      <c r="C193" s="5"/>
      <c r="D193" s="1"/>
      <c r="E193" s="5"/>
      <c r="F193" s="1"/>
      <c r="G193" s="1"/>
      <c r="H193" s="1"/>
      <c r="I193" s="1"/>
      <c r="J193" s="90"/>
      <c r="K193" s="14"/>
      <c r="L193" s="1"/>
      <c r="M193" s="1"/>
      <c r="P193" s="1"/>
      <c r="R193" s="1"/>
      <c r="S193" s="1"/>
      <c r="T193" s="1"/>
      <c r="U193" s="1"/>
      <c r="V193" s="1"/>
      <c r="W193" s="2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s="16" customFormat="1" x14ac:dyDescent="0.3">
      <c r="A194" s="11"/>
      <c r="B194" s="11"/>
      <c r="C194" s="5"/>
      <c r="D194" s="1"/>
      <c r="E194" s="5"/>
      <c r="F194" s="1"/>
      <c r="G194" s="1"/>
      <c r="H194" s="1"/>
      <c r="I194" s="1"/>
      <c r="J194" s="90"/>
      <c r="K194" s="14"/>
      <c r="L194" s="1"/>
      <c r="M194" s="1"/>
      <c r="P194" s="1"/>
      <c r="R194" s="1"/>
      <c r="S194" s="1"/>
      <c r="T194" s="1"/>
      <c r="U194" s="1"/>
      <c r="V194" s="1"/>
      <c r="W194" s="2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s="16" customFormat="1" x14ac:dyDescent="0.3">
      <c r="A195" s="11"/>
      <c r="B195" s="11"/>
      <c r="C195" s="5"/>
      <c r="D195" s="1"/>
      <c r="E195" s="5"/>
      <c r="F195" s="1"/>
      <c r="G195" s="1"/>
      <c r="H195" s="1"/>
      <c r="I195" s="1"/>
      <c r="J195" s="90"/>
      <c r="K195" s="14"/>
      <c r="L195" s="1"/>
      <c r="M195" s="1"/>
      <c r="P195" s="1"/>
      <c r="R195" s="1"/>
      <c r="S195" s="1"/>
      <c r="T195" s="1"/>
      <c r="U195" s="1"/>
      <c r="V195" s="1"/>
      <c r="W195" s="2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s="16" customFormat="1" x14ac:dyDescent="0.3">
      <c r="A196" s="11"/>
      <c r="B196" s="11"/>
      <c r="C196" s="5"/>
      <c r="D196" s="1"/>
      <c r="E196" s="5"/>
      <c r="F196" s="1"/>
      <c r="G196" s="1"/>
      <c r="H196" s="1"/>
      <c r="I196" s="1"/>
      <c r="J196" s="90"/>
      <c r="K196" s="14"/>
      <c r="L196" s="1"/>
      <c r="M196" s="1"/>
      <c r="P196" s="1"/>
      <c r="R196" s="1"/>
      <c r="S196" s="1"/>
      <c r="T196" s="1"/>
      <c r="U196" s="1"/>
      <c r="V196" s="1"/>
      <c r="W196" s="2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s="16" customFormat="1" x14ac:dyDescent="0.3">
      <c r="A197" s="11"/>
      <c r="B197" s="11"/>
      <c r="C197" s="5"/>
      <c r="D197" s="1"/>
      <c r="E197" s="5"/>
      <c r="F197" s="1"/>
      <c r="G197" s="1"/>
      <c r="H197" s="1"/>
      <c r="I197" s="1"/>
      <c r="J197" s="90"/>
      <c r="K197" s="14"/>
      <c r="L197" s="1"/>
      <c r="M197" s="1"/>
      <c r="P197" s="1"/>
      <c r="R197" s="1"/>
      <c r="S197" s="1"/>
      <c r="T197" s="1"/>
      <c r="U197" s="1"/>
      <c r="V197" s="1"/>
      <c r="W197" s="2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s="16" customFormat="1" x14ac:dyDescent="0.3">
      <c r="A198" s="11"/>
      <c r="B198" s="11"/>
      <c r="C198" s="5"/>
      <c r="D198" s="1"/>
      <c r="E198" s="5"/>
      <c r="F198" s="1"/>
      <c r="G198" s="1"/>
      <c r="H198" s="1"/>
      <c r="I198" s="1"/>
      <c r="J198" s="90"/>
      <c r="K198" s="14"/>
      <c r="L198" s="1"/>
      <c r="M198" s="1"/>
      <c r="P198" s="1"/>
      <c r="R198" s="1"/>
      <c r="S198" s="1"/>
      <c r="T198" s="1"/>
      <c r="U198" s="1"/>
      <c r="V198" s="1"/>
      <c r="W198" s="2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s="16" customFormat="1" x14ac:dyDescent="0.3">
      <c r="A199" s="11"/>
      <c r="B199" s="11"/>
      <c r="C199" s="5"/>
      <c r="D199" s="1"/>
      <c r="E199" s="5"/>
      <c r="F199" s="1"/>
      <c r="G199" s="1"/>
      <c r="H199" s="1"/>
      <c r="I199" s="1"/>
      <c r="J199" s="90"/>
      <c r="K199" s="14"/>
      <c r="L199" s="1"/>
      <c r="M199" s="1"/>
      <c r="P199" s="1"/>
      <c r="R199" s="1"/>
      <c r="S199" s="1"/>
      <c r="T199" s="1"/>
      <c r="U199" s="1"/>
      <c r="V199" s="1"/>
      <c r="W199" s="2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</sheetData>
  <mergeCells count="3">
    <mergeCell ref="A1:S1"/>
    <mergeCell ref="B3:C3"/>
    <mergeCell ref="B7:C7"/>
  </mergeCells>
  <conditionalFormatting sqref="A29:D29">
    <cfRule type="cellIs" dxfId="166" priority="269" stopIfTrue="1" operator="equal">
      <formula>0</formula>
    </cfRule>
  </conditionalFormatting>
  <conditionalFormatting sqref="A137:G138">
    <cfRule type="cellIs" dxfId="165" priority="5" stopIfTrue="1" operator="equal">
      <formula>0</formula>
    </cfRule>
  </conditionalFormatting>
  <conditionalFormatting sqref="A132:H135">
    <cfRule type="cellIs" dxfId="164" priority="34" stopIfTrue="1" operator="equal">
      <formula>0</formula>
    </cfRule>
  </conditionalFormatting>
  <conditionalFormatting sqref="A121:I125">
    <cfRule type="cellIs" dxfId="163" priority="93" stopIfTrue="1" operator="equal">
      <formula>0</formula>
    </cfRule>
  </conditionalFormatting>
  <conditionalFormatting sqref="A127:I128">
    <cfRule type="cellIs" dxfId="162" priority="20" stopIfTrue="1" operator="equal">
      <formula>0</formula>
    </cfRule>
  </conditionalFormatting>
  <conditionalFormatting sqref="A130:I130">
    <cfRule type="cellIs" dxfId="161" priority="60" stopIfTrue="1" operator="equal">
      <formula>0</formula>
    </cfRule>
  </conditionalFormatting>
  <conditionalFormatting sqref="B26">
    <cfRule type="cellIs" dxfId="160" priority="148" stopIfTrue="1" operator="equal">
      <formula>0</formula>
    </cfRule>
  </conditionalFormatting>
  <conditionalFormatting sqref="B47">
    <cfRule type="cellIs" dxfId="159" priority="33" stopIfTrue="1" operator="equal">
      <formula>0</formula>
    </cfRule>
  </conditionalFormatting>
  <conditionalFormatting sqref="B21:G25">
    <cfRule type="cellIs" dxfId="158" priority="205" stopIfTrue="1" operator="equal">
      <formula>0</formula>
    </cfRule>
  </conditionalFormatting>
  <conditionalFormatting sqref="B27:G33">
    <cfRule type="cellIs" dxfId="157" priority="266" stopIfTrue="1" operator="equal">
      <formula>0</formula>
    </cfRule>
  </conditionalFormatting>
  <conditionalFormatting sqref="B42:H42">
    <cfRule type="cellIs" dxfId="156" priority="150" stopIfTrue="1" operator="equal">
      <formula>0</formula>
    </cfRule>
  </conditionalFormatting>
  <conditionalFormatting sqref="B16:I20">
    <cfRule type="cellIs" dxfId="155" priority="76" stopIfTrue="1" operator="equal">
      <formula>0</formula>
    </cfRule>
  </conditionalFormatting>
  <conditionalFormatting sqref="C93:D93">
    <cfRule type="cellIs" dxfId="154" priority="263" stopIfTrue="1" operator="equal">
      <formula>0</formula>
    </cfRule>
  </conditionalFormatting>
  <conditionalFormatting sqref="C104:D104">
    <cfRule type="cellIs" dxfId="153" priority="174" stopIfTrue="1" operator="equal">
      <formula>0</formula>
    </cfRule>
  </conditionalFormatting>
  <conditionalFormatting sqref="C24:H26">
    <cfRule type="cellIs" dxfId="152" priority="265" stopIfTrue="1" operator="equal">
      <formula>0</formula>
    </cfRule>
  </conditionalFormatting>
  <conditionalFormatting sqref="F29:G29">
    <cfRule type="cellIs" dxfId="151" priority="268" stopIfTrue="1" operator="equal">
      <formula>0</formula>
    </cfRule>
  </conditionalFormatting>
  <conditionalFormatting sqref="F88:G91">
    <cfRule type="cellIs" dxfId="150" priority="264" stopIfTrue="1" operator="equal">
      <formula>0</formula>
    </cfRule>
  </conditionalFormatting>
  <conditionalFormatting sqref="I28:I29">
    <cfRule type="cellIs" dxfId="149" priority="222" stopIfTrue="1" operator="equal">
      <formula>0</formula>
    </cfRule>
  </conditionalFormatting>
  <conditionalFormatting sqref="I118:I119">
    <cfRule type="cellIs" dxfId="148" priority="73" stopIfTrue="1" operator="equal">
      <formula>0</formula>
    </cfRule>
  </conditionalFormatting>
  <conditionalFormatting sqref="I106:J106">
    <cfRule type="cellIs" dxfId="147" priority="243" stopIfTrue="1" operator="equal">
      <formula>0</formula>
    </cfRule>
  </conditionalFormatting>
  <conditionalFormatting sqref="K10:K12">
    <cfRule type="cellIs" dxfId="146" priority="306" stopIfTrue="1" operator="equal">
      <formula>0</formula>
    </cfRule>
  </conditionalFormatting>
  <conditionalFormatting sqref="K136">
    <cfRule type="cellIs" dxfId="145" priority="8" stopIfTrue="1" operator="equal">
      <formula>0</formula>
    </cfRule>
  </conditionalFormatting>
  <conditionalFormatting sqref="L16:M21">
    <cfRule type="cellIs" dxfId="144" priority="85" stopIfTrue="1" operator="equal">
      <formula>0</formula>
    </cfRule>
  </conditionalFormatting>
  <conditionalFormatting sqref="L22:M33">
    <cfRule type="cellIs" dxfId="143" priority="259" stopIfTrue="1" operator="equal">
      <formula>0</formula>
    </cfRule>
  </conditionalFormatting>
  <conditionalFormatting sqref="L34:M35">
    <cfRule type="cellIs" dxfId="142" priority="142" stopIfTrue="1" operator="equal">
      <formula>0</formula>
    </cfRule>
  </conditionalFormatting>
  <conditionalFormatting sqref="L99:M101">
    <cfRule type="cellIs" dxfId="141" priority="190" stopIfTrue="1" operator="equal">
      <formula>0</formula>
    </cfRule>
  </conditionalFormatting>
  <conditionalFormatting sqref="M28">
    <cfRule type="cellIs" dxfId="140" priority="258" stopIfTrue="1" operator="lessThan">
      <formula>30</formula>
    </cfRule>
  </conditionalFormatting>
  <conditionalFormatting sqref="M48 M54 M67 M86 M92">
    <cfRule type="cellIs" dxfId="139" priority="262" stopIfTrue="1" operator="lessThan">
      <formula>30</formula>
    </cfRule>
  </conditionalFormatting>
  <conditionalFormatting sqref="M59:M60">
    <cfRule type="cellIs" dxfId="138" priority="230" stopIfTrue="1" operator="lessThan">
      <formula>30</formula>
    </cfRule>
  </conditionalFormatting>
  <conditionalFormatting sqref="N11:N47">
    <cfRule type="cellIs" dxfId="137" priority="49" stopIfTrue="1" operator="equal">
      <formula>0</formula>
    </cfRule>
  </conditionalFormatting>
  <conditionalFormatting sqref="N49:N66">
    <cfRule type="cellIs" dxfId="136" priority="10" stopIfTrue="1" operator="equal">
      <formula>0</formula>
    </cfRule>
  </conditionalFormatting>
  <conditionalFormatting sqref="N68:N85 N87:N91 N111:N113">
    <cfRule type="cellIs" dxfId="135" priority="118" stopIfTrue="1" operator="equal">
      <formula>0</formula>
    </cfRule>
  </conditionalFormatting>
  <conditionalFormatting sqref="N115:N116">
    <cfRule type="cellIs" dxfId="134" priority="117" stopIfTrue="1" operator="equal">
      <formula>0</formula>
    </cfRule>
  </conditionalFormatting>
  <conditionalFormatting sqref="N118:N119">
    <cfRule type="cellIs" dxfId="133" priority="23" stopIfTrue="1" operator="equal">
      <formula>0</formula>
    </cfRule>
  </conditionalFormatting>
  <conditionalFormatting sqref="N121:O125">
    <cfRule type="cellIs" dxfId="132" priority="75" stopIfTrue="1" operator="equal">
      <formula>0</formula>
    </cfRule>
  </conditionalFormatting>
  <conditionalFormatting sqref="N127:O128 N130:O130">
    <cfRule type="cellIs" dxfId="131" priority="61" stopIfTrue="1" operator="equal">
      <formula>0</formula>
    </cfRule>
  </conditionalFormatting>
  <conditionalFormatting sqref="N132:O135">
    <cfRule type="cellIs" dxfId="130" priority="38" stopIfTrue="1" operator="equal">
      <formula>0</formula>
    </cfRule>
  </conditionalFormatting>
  <conditionalFormatting sqref="N137:O138">
    <cfRule type="cellIs" dxfId="129" priority="1" stopIfTrue="1" operator="equal">
      <formula>0</formula>
    </cfRule>
  </conditionalFormatting>
  <conditionalFormatting sqref="O11:O22">
    <cfRule type="cellIs" dxfId="128" priority="78" stopIfTrue="1" operator="equal">
      <formula>0</formula>
    </cfRule>
  </conditionalFormatting>
  <conditionalFormatting sqref="O22:O33">
    <cfRule type="cellIs" dxfId="127" priority="255" stopIfTrue="1" operator="equal">
      <formula>0</formula>
    </cfRule>
  </conditionalFormatting>
  <conditionalFormatting sqref="O28">
    <cfRule type="cellIs" dxfId="126" priority="254" stopIfTrue="1" operator="equal">
      <formula>0</formula>
    </cfRule>
  </conditionalFormatting>
  <conditionalFormatting sqref="O28:O29">
    <cfRule type="cellIs" dxfId="125" priority="244" stopIfTrue="1" operator="equal">
      <formula>0</formula>
    </cfRule>
  </conditionalFormatting>
  <conditionalFormatting sqref="O33:O47">
    <cfRule type="cellIs" dxfId="124" priority="50" stopIfTrue="1" operator="equal">
      <formula>0</formula>
    </cfRule>
  </conditionalFormatting>
  <conditionalFormatting sqref="O49:O56">
    <cfRule type="cellIs" dxfId="123" priority="11" stopIfTrue="1" operator="equal">
      <formula>0</formula>
    </cfRule>
  </conditionalFormatting>
  <conditionalFormatting sqref="O57:O135">
    <cfRule type="cellIs" dxfId="122" priority="45" stopIfTrue="1" operator="equal">
      <formula>0</formula>
    </cfRule>
  </conditionalFormatting>
  <conditionalFormatting sqref="O103:O104 A103:D104 F103:I104 L103:M104 Q103:Q104 S103:S104 V103:X104">
    <cfRule type="cellIs" dxfId="121" priority="176" stopIfTrue="1" operator="equal">
      <formula>0</formula>
    </cfRule>
  </conditionalFormatting>
  <conditionalFormatting sqref="O136:O138">
    <cfRule type="cellIs" dxfId="120" priority="4" stopIfTrue="1" operator="equal">
      <formula>0</formula>
    </cfRule>
  </conditionalFormatting>
  <conditionalFormatting sqref="P42">
    <cfRule type="cellIs" dxfId="119" priority="149" stopIfTrue="1" operator="equal">
      <formula>0</formula>
    </cfRule>
  </conditionalFormatting>
  <conditionalFormatting sqref="P16:S35">
    <cfRule type="cellIs" dxfId="118" priority="82" stopIfTrue="1" operator="equal">
      <formula>0</formula>
    </cfRule>
  </conditionalFormatting>
  <conditionalFormatting sqref="Q24:Q26 R24:S27">
    <cfRule type="cellIs" dxfId="117" priority="253" stopIfTrue="1" operator="equal">
      <formula>0</formula>
    </cfRule>
  </conditionalFormatting>
  <conditionalFormatting sqref="Q29:S29">
    <cfRule type="cellIs" dxfId="116" priority="256" stopIfTrue="1" operator="equal">
      <formula>0</formula>
    </cfRule>
  </conditionalFormatting>
  <conditionalFormatting sqref="V67:V98">
    <cfRule type="cellIs" dxfId="115" priority="29" stopIfTrue="1" operator="equal">
      <formula>0</formula>
    </cfRule>
  </conditionalFormatting>
  <conditionalFormatting sqref="V102">
    <cfRule type="cellIs" dxfId="114" priority="25" stopIfTrue="1" operator="equal">
      <formula>0</formula>
    </cfRule>
  </conditionalFormatting>
  <conditionalFormatting sqref="V104:V135">
    <cfRule type="cellIs" dxfId="113" priority="46" stopIfTrue="1" operator="equal">
      <formula>0</formula>
    </cfRule>
  </conditionalFormatting>
  <conditionalFormatting sqref="V17:X17">
    <cfRule type="cellIs" dxfId="112" priority="88" stopIfTrue="1" operator="equal">
      <formula>0</formula>
    </cfRule>
  </conditionalFormatting>
  <conditionalFormatting sqref="V18:X18 W20:X20 V28:X33 V16:X16">
    <cfRule type="cellIs" dxfId="111" priority="309" stopIfTrue="1" operator="equal">
      <formula>0</formula>
    </cfRule>
  </conditionalFormatting>
  <conditionalFormatting sqref="V29:X29">
    <cfRule type="cellIs" dxfId="110" priority="313" stopIfTrue="1" operator="equal">
      <formula>0</formula>
    </cfRule>
  </conditionalFormatting>
  <conditionalFormatting sqref="V34:X35 B34:I35">
    <cfRule type="cellIs" dxfId="109" priority="145" stopIfTrue="1" operator="equal">
      <formula>0</formula>
    </cfRule>
  </conditionalFormatting>
  <conditionalFormatting sqref="V99:X101">
    <cfRule type="cellIs" dxfId="108" priority="171" stopIfTrue="1" operator="equal">
      <formula>0</formula>
    </cfRule>
  </conditionalFormatting>
  <conditionalFormatting sqref="W1:W16 W18 W22:W33 W35:W42 W58:W84">
    <cfRule type="cellIs" dxfId="107" priority="318" stopIfTrue="1" operator="between">
      <formula>-0.01</formula>
      <formula>0.01</formula>
    </cfRule>
  </conditionalFormatting>
  <conditionalFormatting sqref="W8 W11:W16 W18 W22:W33 W35:W42 W58:W66 W68:W84 W93:W94 W106 W49">
    <cfRule type="cellIs" dxfId="106" priority="320" stopIfTrue="1" operator="notBetween">
      <formula>-0.001</formula>
      <formula>0.001</formula>
    </cfRule>
  </conditionalFormatting>
  <conditionalFormatting sqref="W10 W67 W86 W92 W105 W48">
    <cfRule type="cellIs" dxfId="105" priority="319" stopIfTrue="1" operator="notBetween">
      <formula>-0.001</formula>
      <formula>0.001</formula>
    </cfRule>
  </conditionalFormatting>
  <conditionalFormatting sqref="W16 W18 W20">
    <cfRule type="cellIs" dxfId="104" priority="310" stopIfTrue="1" operator="notBetween">
      <formula>-0.001</formula>
      <formula>0.001</formula>
    </cfRule>
  </conditionalFormatting>
  <conditionalFormatting sqref="W16:W17">
    <cfRule type="cellIs" dxfId="103" priority="91" stopIfTrue="1" operator="between">
      <formula>-0.01</formula>
      <formula>0.01</formula>
    </cfRule>
    <cfRule type="cellIs" dxfId="102" priority="90" stopIfTrue="1" operator="between">
      <formula>-0.0001</formula>
      <formula>0.0001</formula>
    </cfRule>
  </conditionalFormatting>
  <conditionalFormatting sqref="W17">
    <cfRule type="cellIs" dxfId="101" priority="92" stopIfTrue="1" operator="notBetween">
      <formula>-0.001</formula>
      <formula>0.001</formula>
    </cfRule>
    <cfRule type="cellIs" dxfId="100" priority="79" stopIfTrue="1" operator="between">
      <formula>-0.0001</formula>
      <formula>0.0001</formula>
    </cfRule>
    <cfRule type="cellIs" dxfId="99" priority="80" stopIfTrue="1" operator="between">
      <formula>-0.01</formula>
      <formula>0.01</formula>
    </cfRule>
    <cfRule type="cellIs" dxfId="98" priority="81" stopIfTrue="1" operator="notBetween">
      <formula>-0.001</formula>
      <formula>0.001</formula>
    </cfRule>
    <cfRule type="cellIs" dxfId="97" priority="86" stopIfTrue="1" operator="between">
      <formula>-0.0001</formula>
      <formula>0.0001</formula>
    </cfRule>
    <cfRule type="cellIs" dxfId="96" priority="87" stopIfTrue="1" operator="between">
      <formula>-0.01</formula>
      <formula>0.01</formula>
    </cfRule>
    <cfRule type="cellIs" dxfId="95" priority="89" stopIfTrue="1" operator="notBetween">
      <formula>-0.001</formula>
      <formula>0.001</formula>
    </cfRule>
  </conditionalFormatting>
  <conditionalFormatting sqref="W18 W20">
    <cfRule type="cellIs" dxfId="94" priority="308" stopIfTrue="1" operator="between">
      <formula>-0.01</formula>
      <formula>0.01</formula>
    </cfRule>
  </conditionalFormatting>
  <conditionalFormatting sqref="W18:W19">
    <cfRule type="cellIs" dxfId="93" priority="162" stopIfTrue="1" operator="notBetween">
      <formula>-0.001</formula>
      <formula>0.001</formula>
    </cfRule>
    <cfRule type="cellIs" dxfId="92" priority="160" stopIfTrue="1" operator="between">
      <formula>-0.01</formula>
      <formula>0.01</formula>
    </cfRule>
    <cfRule type="cellIs" dxfId="91" priority="159" stopIfTrue="1" operator="between">
      <formula>-0.0001</formula>
      <formula>0.0001</formula>
    </cfRule>
  </conditionalFormatting>
  <conditionalFormatting sqref="W19">
    <cfRule type="cellIs" dxfId="90" priority="158" stopIfTrue="1" operator="notBetween">
      <formula>-0.001</formula>
      <formula>0.001</formula>
    </cfRule>
    <cfRule type="cellIs" dxfId="89" priority="157" stopIfTrue="1" operator="between">
      <formula>-0.01</formula>
      <formula>0.01</formula>
    </cfRule>
    <cfRule type="cellIs" dxfId="88" priority="156" stopIfTrue="1" operator="between">
      <formula>-0.0001</formula>
      <formula>0.0001</formula>
    </cfRule>
  </conditionalFormatting>
  <conditionalFormatting sqref="W20 W18">
    <cfRule type="cellIs" dxfId="87" priority="307" stopIfTrue="1" operator="between">
      <formula>-0.0001</formula>
      <formula>0.0001</formula>
    </cfRule>
  </conditionalFormatting>
  <conditionalFormatting sqref="W20:W23">
    <cfRule type="cellIs" dxfId="86" priority="209" stopIfTrue="1" operator="notBetween">
      <formula>-0.001</formula>
      <formula>0.001</formula>
    </cfRule>
  </conditionalFormatting>
  <conditionalFormatting sqref="W20:W26">
    <cfRule type="cellIs" dxfId="85" priority="206" stopIfTrue="1" operator="between">
      <formula>-0.0001</formula>
      <formula>0.0001</formula>
    </cfRule>
    <cfRule type="cellIs" dxfId="84" priority="207" stopIfTrue="1" operator="between">
      <formula>-0.01</formula>
      <formula>0.01</formula>
    </cfRule>
  </conditionalFormatting>
  <conditionalFormatting sqref="W21">
    <cfRule type="cellIs" dxfId="83" priority="198" stopIfTrue="1" operator="between">
      <formula>-0.0001</formula>
      <formula>0.0001</formula>
    </cfRule>
    <cfRule type="cellIs" dxfId="82" priority="199" stopIfTrue="1" operator="between">
      <formula>-0.01</formula>
      <formula>0.01</formula>
    </cfRule>
    <cfRule type="cellIs" dxfId="81" priority="200" stopIfTrue="1" operator="notBetween">
      <formula>-0.001</formula>
      <formula>0.001</formula>
    </cfRule>
  </conditionalFormatting>
  <conditionalFormatting sqref="W22:W33 W1:W16 W18 W58:W84 W35:W42">
    <cfRule type="cellIs" dxfId="80" priority="317" stopIfTrue="1" operator="between">
      <formula>-0.0001</formula>
      <formula>0.0001</formula>
    </cfRule>
  </conditionalFormatting>
  <conditionalFormatting sqref="W24:W26">
    <cfRule type="cellIs" dxfId="79" priority="305" stopIfTrue="1" operator="notBetween">
      <formula>-0.001</formula>
      <formula>0.001</formula>
    </cfRule>
  </conditionalFormatting>
  <conditionalFormatting sqref="W28">
    <cfRule type="cellIs" dxfId="78" priority="275" stopIfTrue="1" operator="notBetween">
      <formula>-0.001</formula>
      <formula>0.001</formula>
    </cfRule>
    <cfRule type="cellIs" dxfId="77" priority="274" stopIfTrue="1" operator="between">
      <formula>-0.01</formula>
      <formula>0.01</formula>
    </cfRule>
    <cfRule type="cellIs" dxfId="76" priority="273" stopIfTrue="1" operator="between">
      <formula>-0.0001</formula>
      <formula>0.0001</formula>
    </cfRule>
  </conditionalFormatting>
  <conditionalFormatting sqref="W29">
    <cfRule type="cellIs" dxfId="75" priority="312" stopIfTrue="1" operator="between">
      <formula>-0.01</formula>
      <formula>0.01</formula>
    </cfRule>
    <cfRule type="cellIs" dxfId="74" priority="311" stopIfTrue="1" operator="between">
      <formula>-0.0001</formula>
      <formula>0.0001</formula>
    </cfRule>
    <cfRule type="cellIs" dxfId="73" priority="314" stopIfTrue="1" operator="notBetween">
      <formula>-0.001</formula>
      <formula>0.001</formula>
    </cfRule>
  </conditionalFormatting>
  <conditionalFormatting sqref="W33">
    <cfRule type="cellIs" dxfId="72" priority="284" stopIfTrue="1" operator="between">
      <formula>-0.01</formula>
      <formula>0.01</formula>
    </cfRule>
    <cfRule type="cellIs" dxfId="71" priority="283" stopIfTrue="1" operator="between">
      <formula>-0.0001</formula>
      <formula>0.0001</formula>
    </cfRule>
    <cfRule type="cellIs" dxfId="70" priority="285" stopIfTrue="1" operator="notBetween">
      <formula>-0.001</formula>
      <formula>0.001</formula>
    </cfRule>
  </conditionalFormatting>
  <conditionalFormatting sqref="W33:W35">
    <cfRule type="cellIs" dxfId="69" priority="146" stopIfTrue="1" operator="notBetween">
      <formula>-0.001</formula>
      <formula>0.001</formula>
    </cfRule>
    <cfRule type="cellIs" dxfId="68" priority="144" stopIfTrue="1" operator="between">
      <formula>-0.01</formula>
      <formula>0.01</formula>
    </cfRule>
    <cfRule type="cellIs" dxfId="67" priority="143" stopIfTrue="1" operator="between">
      <formula>-0.0001</formula>
      <formula>0.0001</formula>
    </cfRule>
  </conditionalFormatting>
  <conditionalFormatting sqref="W34">
    <cfRule type="cellIs" dxfId="66" priority="137" stopIfTrue="1" operator="between">
      <formula>-0.01</formula>
      <formula>0.01</formula>
    </cfRule>
    <cfRule type="cellIs" dxfId="65" priority="138" stopIfTrue="1" operator="notBetween">
      <formula>-0.001</formula>
      <formula>0.001</formula>
    </cfRule>
    <cfRule type="cellIs" dxfId="64" priority="136" stopIfTrue="1" operator="between">
      <formula>-0.0001</formula>
      <formula>0.0001</formula>
    </cfRule>
  </conditionalFormatting>
  <conditionalFormatting sqref="W43:W45">
    <cfRule type="cellIs" dxfId="63" priority="56" stopIfTrue="1" operator="notBetween">
      <formula>-0.001</formula>
      <formula>0.001</formula>
    </cfRule>
  </conditionalFormatting>
  <conditionalFormatting sqref="W43:W49">
    <cfRule type="cellIs" dxfId="62" priority="55" stopIfTrue="1" operator="between">
      <formula>-0.01</formula>
      <formula>0.01</formula>
    </cfRule>
    <cfRule type="cellIs" dxfId="61" priority="54" stopIfTrue="1" operator="between">
      <formula>-0.0001</formula>
      <formula>0.0001</formula>
    </cfRule>
  </conditionalFormatting>
  <conditionalFormatting sqref="W46:W47">
    <cfRule type="cellIs" dxfId="60" priority="51" stopIfTrue="1" operator="notBetween">
      <formula>-0.001</formula>
      <formula>0.001</formula>
    </cfRule>
  </conditionalFormatting>
  <conditionalFormatting sqref="W50:W60">
    <cfRule type="cellIs" dxfId="59" priority="13" stopIfTrue="1" operator="between">
      <formula>-0.01</formula>
      <formula>0.01</formula>
    </cfRule>
    <cfRule type="cellIs" dxfId="58" priority="14" stopIfTrue="1" operator="notBetween">
      <formula>-0.001</formula>
      <formula>0.001</formula>
    </cfRule>
    <cfRule type="cellIs" dxfId="57" priority="12" stopIfTrue="1" operator="between">
      <formula>-0.0001</formula>
      <formula>0.0001</formula>
    </cfRule>
  </conditionalFormatting>
  <conditionalFormatting sqref="W82:W85">
    <cfRule type="cellIs" dxfId="56" priority="226" stopIfTrue="1" operator="between">
      <formula>-0.0001</formula>
      <formula>0.0001</formula>
    </cfRule>
    <cfRule type="cellIs" dxfId="55" priority="227" stopIfTrue="1" operator="between">
      <formula>-0.01</formula>
      <formula>0.01</formula>
    </cfRule>
    <cfRule type="cellIs" dxfId="54" priority="228" stopIfTrue="1" operator="notBetween">
      <formula>-0.001</formula>
      <formula>0.001</formula>
    </cfRule>
  </conditionalFormatting>
  <conditionalFormatting sqref="W86:W94">
    <cfRule type="cellIs" dxfId="53" priority="297" stopIfTrue="1" operator="between">
      <formula>-0.01</formula>
      <formula>0.01</formula>
    </cfRule>
    <cfRule type="cellIs" dxfId="52" priority="296" stopIfTrue="1" operator="between">
      <formula>-0.0001</formula>
      <formula>0.0001</formula>
    </cfRule>
  </conditionalFormatting>
  <conditionalFormatting sqref="W87:W88">
    <cfRule type="cellIs" dxfId="51" priority="210" stopIfTrue="1" operator="notBetween">
      <formula>-0.001</formula>
      <formula>0.001</formula>
    </cfRule>
  </conditionalFormatting>
  <conditionalFormatting sqref="W87:W91">
    <cfRule type="cellIs" dxfId="50" priority="298" stopIfTrue="1" operator="notBetween">
      <formula>-0.001</formula>
      <formula>0.001</formula>
    </cfRule>
  </conditionalFormatting>
  <conditionalFormatting sqref="W93">
    <cfRule type="cellIs" dxfId="49" priority="279" stopIfTrue="1" operator="notBetween">
      <formula>-0.001</formula>
      <formula>0.001</formula>
    </cfRule>
    <cfRule type="cellIs" dxfId="48" priority="278" stopIfTrue="1" operator="between">
      <formula>-0.01</formula>
      <formula>0.01</formula>
    </cfRule>
    <cfRule type="cellIs" dxfId="47" priority="277" stopIfTrue="1" operator="between">
      <formula>-0.0001</formula>
      <formula>0.0001</formula>
    </cfRule>
  </conditionalFormatting>
  <conditionalFormatting sqref="W95:W98">
    <cfRule type="cellIs" dxfId="46" priority="30" stopIfTrue="1" operator="between">
      <formula>-0.0001</formula>
      <formula>0.0001</formula>
    </cfRule>
    <cfRule type="cellIs" dxfId="45" priority="31" stopIfTrue="1" operator="between">
      <formula>-0.01</formula>
      <formula>0.01</formula>
    </cfRule>
    <cfRule type="cellIs" dxfId="44" priority="32" stopIfTrue="1" operator="notBetween">
      <formula>-0.001</formula>
      <formula>0.001</formula>
    </cfRule>
  </conditionalFormatting>
  <conditionalFormatting sqref="W99:W101">
    <cfRule type="cellIs" dxfId="43" priority="183" stopIfTrue="1" operator="between">
      <formula>-0.0001</formula>
      <formula>0.0001</formula>
    </cfRule>
    <cfRule type="cellIs" dxfId="42" priority="185" stopIfTrue="1" operator="notBetween">
      <formula>-0.001</formula>
      <formula>0.001</formula>
    </cfRule>
    <cfRule type="cellIs" dxfId="41" priority="184" stopIfTrue="1" operator="between">
      <formula>-0.01</formula>
      <formula>0.01</formula>
    </cfRule>
  </conditionalFormatting>
  <conditionalFormatting sqref="W102">
    <cfRule type="cellIs" dxfId="40" priority="26" stopIfTrue="1" operator="between">
      <formula>-0.0001</formula>
      <formula>0.0001</formula>
    </cfRule>
    <cfRule type="cellIs" dxfId="39" priority="27" stopIfTrue="1" operator="between">
      <formula>-0.01</formula>
      <formula>0.01</formula>
    </cfRule>
    <cfRule type="cellIs" dxfId="38" priority="28" stopIfTrue="1" operator="notBetween">
      <formula>-0.001</formula>
      <formula>0.001</formula>
    </cfRule>
  </conditionalFormatting>
  <conditionalFormatting sqref="W103:W104">
    <cfRule type="cellIs" dxfId="37" priority="179" stopIfTrue="1" operator="notBetween">
      <formula>-0.001</formula>
      <formula>0.001</formula>
    </cfRule>
  </conditionalFormatting>
  <conditionalFormatting sqref="W103:W109">
    <cfRule type="cellIs" dxfId="36" priority="178" stopIfTrue="1" operator="between">
      <formula>-0.01</formula>
      <formula>0.01</formula>
    </cfRule>
    <cfRule type="cellIs" dxfId="35" priority="177" stopIfTrue="1" operator="between">
      <formula>-0.0001</formula>
      <formula>0.0001</formula>
    </cfRule>
  </conditionalFormatting>
  <conditionalFormatting sqref="W107">
    <cfRule type="cellIs" dxfId="34" priority="293" stopIfTrue="1" operator="notBetween">
      <formula>-0.001</formula>
      <formula>0.001</formula>
    </cfRule>
  </conditionalFormatting>
  <conditionalFormatting sqref="W108:W109">
    <cfRule type="cellIs" dxfId="33" priority="289" stopIfTrue="1" operator="notBetween">
      <formula>-0.001</formula>
      <formula>0.001</formula>
    </cfRule>
  </conditionalFormatting>
  <conditionalFormatting sqref="W110">
    <cfRule type="cellIs" dxfId="32" priority="215" operator="lessThanOrEqual">
      <formula>0.1</formula>
    </cfRule>
  </conditionalFormatting>
  <conditionalFormatting sqref="W111:W113">
    <cfRule type="cellIs" dxfId="31" priority="134" stopIfTrue="1" operator="notBetween">
      <formula>-0.001</formula>
      <formula>0.001</formula>
    </cfRule>
    <cfRule type="cellIs" dxfId="30" priority="133" stopIfTrue="1" operator="between">
      <formula>-0.01</formula>
      <formula>0.01</formula>
    </cfRule>
    <cfRule type="cellIs" dxfId="29" priority="132" stopIfTrue="1" operator="between">
      <formula>-0.0001</formula>
      <formula>0.0001</formula>
    </cfRule>
  </conditionalFormatting>
  <conditionalFormatting sqref="W114">
    <cfRule type="cellIs" dxfId="28" priority="127" operator="lessThanOrEqual">
      <formula>0.1</formula>
    </cfRule>
  </conditionalFormatting>
  <conditionalFormatting sqref="W115:W116">
    <cfRule type="cellIs" dxfId="27" priority="120" stopIfTrue="1" operator="between">
      <formula>-0.0001</formula>
      <formula>0.0001</formula>
    </cfRule>
    <cfRule type="cellIs" dxfId="26" priority="122" stopIfTrue="1" operator="notBetween">
      <formula>-0.001</formula>
      <formula>0.001</formula>
    </cfRule>
    <cfRule type="cellIs" dxfId="25" priority="121" stopIfTrue="1" operator="between">
      <formula>-0.01</formula>
      <formula>0.01</formula>
    </cfRule>
  </conditionalFormatting>
  <conditionalFormatting sqref="W117">
    <cfRule type="cellIs" dxfId="24" priority="123" operator="lessThanOrEqual">
      <formula>0.1</formula>
    </cfRule>
  </conditionalFormatting>
  <conditionalFormatting sqref="W118:W119">
    <cfRule type="cellIs" dxfId="23" priority="106" operator="between">
      <formula>0.01%</formula>
      <formula>-0.0001</formula>
    </cfRule>
    <cfRule type="cellIs" dxfId="22" priority="107" stopIfTrue="1" operator="between">
      <formula>-0.0001</formula>
      <formula>0.0001</formula>
    </cfRule>
    <cfRule type="cellIs" dxfId="21" priority="108" stopIfTrue="1" operator="between">
      <formula>-0.01</formula>
      <formula>0.01</formula>
    </cfRule>
    <cfRule type="cellIs" dxfId="20" priority="109" stopIfTrue="1" operator="notBetween">
      <formula>-0.001</formula>
      <formula>0.001</formula>
    </cfRule>
  </conditionalFormatting>
  <conditionalFormatting sqref="W120">
    <cfRule type="cellIs" dxfId="19" priority="103" operator="lessThanOrEqual">
      <formula>0.1</formula>
    </cfRule>
  </conditionalFormatting>
  <conditionalFormatting sqref="W121:W125">
    <cfRule type="cellIs" dxfId="18" priority="95" stopIfTrue="1" operator="between">
      <formula>-0.0001</formula>
      <formula>0.0001</formula>
    </cfRule>
    <cfRule type="cellIs" dxfId="17" priority="96" stopIfTrue="1" operator="between">
      <formula>-0.01</formula>
      <formula>0.01</formula>
    </cfRule>
    <cfRule type="cellIs" dxfId="16" priority="97" stopIfTrue="1" operator="notBetween">
      <formula>-0.001</formula>
      <formula>0.001</formula>
    </cfRule>
    <cfRule type="cellIs" dxfId="15" priority="94" operator="between">
      <formula>0.01%</formula>
      <formula>-0.0001</formula>
    </cfRule>
  </conditionalFormatting>
  <conditionalFormatting sqref="W126">
    <cfRule type="cellIs" dxfId="14" priority="71" operator="lessThanOrEqual">
      <formula>0.1</formula>
    </cfRule>
  </conditionalFormatting>
  <conditionalFormatting sqref="W127:W128 W130">
    <cfRule type="cellIs" dxfId="13" priority="65" stopIfTrue="1" operator="notBetween">
      <formula>-0.001</formula>
      <formula>0.001</formula>
    </cfRule>
    <cfRule type="cellIs" dxfId="12" priority="64" stopIfTrue="1" operator="between">
      <formula>-0.01</formula>
      <formula>0.01</formula>
    </cfRule>
    <cfRule type="cellIs" dxfId="11" priority="63" stopIfTrue="1" operator="between">
      <formula>-0.0001</formula>
      <formula>0.0001</formula>
    </cfRule>
    <cfRule type="cellIs" dxfId="10" priority="62" operator="between">
      <formula>0.01%</formula>
      <formula>-0.0001</formula>
    </cfRule>
  </conditionalFormatting>
  <conditionalFormatting sqref="W129">
    <cfRule type="cellIs" dxfId="9" priority="58" operator="lessThanOrEqual">
      <formula>0.1</formula>
    </cfRule>
  </conditionalFormatting>
  <conditionalFormatting sqref="W131">
    <cfRule type="cellIs" dxfId="8" priority="44" operator="lessThanOrEqual">
      <formula>0.1</formula>
    </cfRule>
  </conditionalFormatting>
  <conditionalFormatting sqref="W132:W135">
    <cfRule type="cellIs" dxfId="7" priority="43" stopIfTrue="1" operator="notBetween">
      <formula>-0.001</formula>
      <formula>0.001</formula>
    </cfRule>
  </conditionalFormatting>
  <conditionalFormatting sqref="W132:W65536">
    <cfRule type="cellIs" dxfId="6" priority="48" stopIfTrue="1" operator="between">
      <formula>-0.01</formula>
      <formula>0.01</formula>
    </cfRule>
    <cfRule type="cellIs" dxfId="5" priority="47" stopIfTrue="1" operator="between">
      <formula>-0.0001</formula>
      <formula>0.0001</formula>
    </cfRule>
  </conditionalFormatting>
  <conditionalFormatting sqref="W19:X19">
    <cfRule type="cellIs" dxfId="4" priority="161" stopIfTrue="1" operator="equal">
      <formula>0</formula>
    </cfRule>
  </conditionalFormatting>
  <conditionalFormatting sqref="W21:X21 H21:I33">
    <cfRule type="cellIs" dxfId="3" priority="208" stopIfTrue="1" operator="equal">
      <formula>0</formula>
    </cfRule>
  </conditionalFormatting>
  <conditionalFormatting sqref="W22:X27 O99 E93:E104 N93:N109 A99:D99 F99:I99 Q99:Q101 S99:S101 I100:I101">
    <cfRule type="cellIs" dxfId="2" priority="316" stopIfTrue="1" operator="equal">
      <formula>0</formula>
    </cfRule>
  </conditionalFormatting>
  <conditionalFormatting sqref="W24:X26">
    <cfRule type="cellIs" dxfId="1" priority="304" stopIfTrue="1" operator="equal">
      <formula>0</formula>
    </cfRule>
  </conditionalFormatting>
  <conditionalFormatting sqref="W132:X135">
    <cfRule type="cellIs" dxfId="0" priority="39" stopIfTrue="1" operator="equal">
      <formula>0</formula>
    </cfRule>
  </conditionalFormatting>
  <pageMargins left="0" right="0" top="0.52864583333333337" bottom="0.98425196850393704" header="0" footer="0"/>
  <pageSetup paperSize="9" scale="29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MAYORISTAS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Somer</dc:creator>
  <cp:lastModifiedBy>Adrian Dalla Verde</cp:lastModifiedBy>
  <dcterms:created xsi:type="dcterms:W3CDTF">2025-12-05T12:14:23Z</dcterms:created>
  <dcterms:modified xsi:type="dcterms:W3CDTF">2025-12-19T13:07:49Z</dcterms:modified>
</cp:coreProperties>
</file>