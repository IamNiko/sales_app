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86" documentId="8_{74457758-35DD-4D1C-8252-78AB3E0E061A}" xr6:coauthVersionLast="47" xr6:coauthVersionMax="47" xr10:uidLastSave="{22DC3B8E-FD2B-4258-AFA6-7C28045ED0AD}"/>
  <bookViews>
    <workbookView xWindow="-120" yWindow="-120" windowWidth="20730" windowHeight="11040" xr2:uid="{E6BA0177-D9D7-4D12-BBFA-C2E5F0E4E786}"/>
  </bookViews>
  <sheets>
    <sheet name="DICIEMBRE 2025" sheetId="1" r:id="rId1"/>
  </sheets>
  <definedNames>
    <definedName name="_xlnm._FilterDatabase" localSheetId="0" hidden="1">'DICIEMBRE 2025'!$A$1:$H$62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64" i="1"/>
  <c r="F55" i="1" l="1"/>
  <c r="F54" i="1"/>
</calcChain>
</file>

<file path=xl/sharedStrings.xml><?xml version="1.0" encoding="utf-8"?>
<sst xmlns="http://schemas.openxmlformats.org/spreadsheetml/2006/main" count="78" uniqueCount="76">
  <si>
    <t>Código</t>
  </si>
  <si>
    <t>Descripción</t>
  </si>
  <si>
    <t>EAN</t>
  </si>
  <si>
    <t>Kg. x Caja</t>
  </si>
  <si>
    <t>Cant. X Caja</t>
  </si>
  <si>
    <t>$ FACTURA</t>
  </si>
  <si>
    <t>$ PÚBLICO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</si>
  <si>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</si>
  <si>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</si>
  <si>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</si>
  <si>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</si>
  <si>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</si>
  <si>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</si>
  <si>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</si>
  <si>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</si>
  <si>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MEDALLON 42X112G DOBLE BURGER SWIFT</t>
  </si>
  <si>
    <t>MEDALLON DOBLE BURGER 2X2</t>
  </si>
  <si>
    <t>HAMBURGUESA 8X12X69G BURGER SWIFT</t>
  </si>
  <si>
    <t xml:space="preserve">HAMBURGUESA 30X250g CLASICA "XL" SWIFT </t>
  </si>
  <si>
    <t>HAMBURGUESA 24X2X120g CASERA SWIFT</t>
  </si>
  <si>
    <t>HAMBURGUESA X-TREMA 36 x 185 grs</t>
  </si>
  <si>
    <t>MEDALLON 42X112G LA BLANCA</t>
  </si>
  <si>
    <t>MEDALLON 12x4X69G LA BLANCA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</si>
  <si>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</si>
  <si>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</si>
  <si>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</si>
  <si>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</si>
  <si>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</si>
  <si>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</si>
  <si>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</si>
  <si>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</si>
  <si>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</si>
  <si>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</si>
  <si>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CARNE "SWIFT" - 10x760g</t>
  </si>
  <si>
    <t>BOCADITOS DE POLLO "SWIFT" - 10x760g</t>
  </si>
  <si>
    <t>PALITO DE POLLO "SWIFT"  12 X 260 Grs.</t>
  </si>
  <si>
    <t>PALITO DE POLLO "SWIFT"  8 X 1 Kg..</t>
  </si>
  <si>
    <t>MEDALLONES DE POLLO "SWIFT" - 12x4x80g</t>
  </si>
  <si>
    <t>MILANESA DE CARNE VACUNA CONGELADA 24un x 500grs</t>
  </si>
  <si>
    <t>MILANESA DE CARNE VACUNA CONGELADA 12un x 1000grs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</si>
  <si>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</si>
  <si>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</si>
  <si>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</si>
  <si>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</si>
  <si>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CHORIZOS FRESCOS DE CERDO LIBRE DE GLUTEN</t>
  </si>
  <si>
    <t>PAPAS PRE COCIDAS SUPERCONGELADAS LIBRES DE GLUTEN 700G</t>
  </si>
  <si>
    <t>PRECIO</t>
  </si>
  <si>
    <t>PRECIO x uni sin Iva</t>
  </si>
  <si>
    <t>PRECIO caja- sin Iva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</si>
  <si>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</si>
  <si>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</si>
  <si>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</si>
  <si>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</si>
  <si>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</si>
  <si>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</si>
  <si>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</si>
  <si>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MILANESAS DE  SOJA CLASICAS PREFRITA</t>
  </si>
  <si>
    <t xml:space="preserve">SALCHICHAS SWIFT 12X12 x 450 g </t>
  </si>
  <si>
    <t>CHORIZOS FRESCOS DE CERDO COGELADOS LIBRE DE GLUTEN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</si>
  <si>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</si>
  <si>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</si>
  <si>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</si>
  <si>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</si>
  <si>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</si>
  <si>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</si>
  <si>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</si>
  <si>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</si>
  <si>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</si>
  <si>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</si>
  <si>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</si>
  <si>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</si>
  <si>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</si>
  <si>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>PICADILLO DE CARNE 24X90G LA BLANCA</t>
  </si>
  <si>
    <t>PATE DE FOIE 24X90G LA BLANCA</t>
  </si>
  <si>
    <t>PICADILLO DE CARNE 24X90G SAFRA</t>
  </si>
  <si>
    <t>PATE DE FOIE 24X90G SAFRA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</si>
</sst>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#,##0.0_ ;[Red]\-#,##0.0\ "/>
    <numFmt numFmtId="168" formatCode="_-&quot;$&quot;\ * #,##0.0000000_-;\-&quot;$&quot;\ * #,##0.00000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9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44" fontId="1" fillId="0" borderId="1" xfId="1" applyFont="1" applyFill="1" applyBorder="1"/>
    <xf numFmtId="166" fontId="1" fillId="0" borderId="1" xfId="1" applyNumberFormat="1" applyFont="1" applyFill="1" applyBorder="1"/>
    <xf numFmtId="0" fontId="1" fillId="0" borderId="0" xfId="0" applyFont="1"/>
    <xf numFmtId="44" fontId="1" fillId="0" borderId="0" xfId="0" applyNumberFormat="1" applyFont="1"/>
    <xf numFmtId="0" fontId="3" fillId="2" borderId="1" xfId="2" applyFont="1" applyFill="1" applyBorder="1" applyAlignment="1">
      <alignment horizontal="center" vertical="distributed"/>
    </xf>
    <xf numFmtId="0" fontId="3" fillId="2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 applyProtection="1">
      <alignment horizontal="center" vertical="center"/>
      <protection hidden="1"/>
    </xf>
    <xf numFmtId="0" fontId="4" fillId="3" borderId="1" xfId="2" applyFont="1" applyFill="1" applyBorder="1" applyAlignment="1" applyProtection="1">
      <alignment vertical="center"/>
      <protection hidden="1"/>
    </xf>
    <xf numFmtId="0" fontId="4" fillId="0" borderId="1" xfId="4" applyFont="1" applyFill="1" applyBorder="1" applyAlignment="1">
      <alignment horizontal="center"/>
    </xf>
    <xf numFmtId="0" fontId="4" fillId="0" borderId="1" xfId="4" applyFont="1" applyFill="1" applyBorder="1"/>
    <xf numFmtId="1" fontId="4" fillId="0" borderId="1" xfId="2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1" fontId="4" fillId="0" borderId="1" xfId="4" applyNumberFormat="1" applyFont="1" applyFill="1" applyBorder="1" applyAlignment="1">
      <alignment horizontal="center"/>
    </xf>
    <xf numFmtId="165" fontId="4" fillId="3" borderId="1" xfId="2" applyNumberFormat="1" applyFont="1" applyFill="1" applyBorder="1" applyAlignment="1" applyProtection="1">
      <alignment vertical="center"/>
      <protection hidden="1"/>
    </xf>
    <xf numFmtId="44" fontId="4" fillId="3" borderId="1" xfId="1" applyFont="1" applyFill="1" applyBorder="1" applyAlignment="1" applyProtection="1">
      <alignment vertical="center"/>
      <protection hidden="1"/>
    </xf>
    <xf numFmtId="44" fontId="4" fillId="0" borderId="1" xfId="1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0" fontId="4" fillId="0" borderId="1" xfId="3" applyFont="1" applyBorder="1"/>
    <xf numFmtId="1" fontId="4" fillId="0" borderId="1" xfId="2" applyNumberFormat="1" applyFont="1" applyBorder="1" applyAlignment="1">
      <alignment horizontal="left"/>
    </xf>
    <xf numFmtId="1" fontId="4" fillId="0" borderId="1" xfId="5" applyNumberFormat="1" applyFont="1" applyBorder="1" applyAlignment="1">
      <alignment horizontal="center"/>
    </xf>
    <xf numFmtId="164" fontId="4" fillId="0" borderId="1" xfId="5" applyNumberFormat="1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168" fontId="1" fillId="0" borderId="0" xfId="0" applyNumberFormat="1" applyFont="1"/>
    <xf numFmtId="1" fontId="1" fillId="0" borderId="1" xfId="6" applyNumberFormat="1" applyFill="1" applyBorder="1" applyAlignment="1" applyProtection="1">
      <protection locked="0"/>
    </xf>
    <xf numFmtId="0" fontId="5" fillId="0" borderId="1" xfId="7" applyNumberFormat="1" applyFont="1" applyFill="1" applyBorder="1" applyAlignment="1" applyProtection="1">
      <protection locked="0"/>
    </xf>
    <xf numFmtId="1" fontId="1" fillId="4" borderId="1" xfId="6" applyNumberFormat="1" applyFill="1" applyBorder="1" applyAlignment="1" applyProtection="1">
      <protection locked="0"/>
    </xf>
    <xf numFmtId="0" fontId="5" fillId="4" borderId="1" xfId="7" applyNumberFormat="1" applyFont="1" applyFill="1" applyBorder="1" applyAlignment="1" applyProtection="1">
      <protection locked="0"/>
    </xf>
    <xf numFmtId="0" fontId="1" fillId="0" borderId="1" xfId="0" applyFont="1" applyBorder="1"/>
    <xf numFmtId="44" fontId="1" fillId="0" borderId="1" xfId="1" applyFont="1" applyBorder="1"/>
    <xf numFmtId="2" fontId="1" fillId="0" borderId="1" xfId="0" applyNumberFormat="1" applyFont="1" applyBorder="1"/>
  </cellXfs>
  <cellStyles count="8">
    <cellStyle name="Millares" xfId="6" builtinId="3"/>
    <cellStyle name="Moneda" xfId="1" builtinId="4"/>
    <cellStyle name="Normal" xfId="0" builtinId="0"/>
    <cellStyle name="Normal 3" xfId="4" xr:uid="{BD90324E-1E2B-4EC4-BE1A-8D47F7B4E414}"/>
    <cellStyle name="Normal_ARQUITECTURA DE PRECIOS 1 0" xfId="2" xr:uid="{347F4A5F-8949-4768-A095-420874E43912}"/>
    <cellStyle name="Normal_ARQUITECTURA DE PRECIOS 1 0 2" xfId="5" xr:uid="{B4151E73-1BF7-45E5-A19A-2B6A59612D4C}"/>
    <cellStyle name="Normal_Grilla ofertas confirmadas SETIEMBRE" xfId="7" xr:uid="{A77B4508-5BCC-46E1-B076-2386AB8006B8}"/>
    <cellStyle name="Normal_Precio públicos al 01-03" xfId="3" xr:uid="{0365BEB9-08F8-4354-9DB3-DC5CF7F6EC63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72B-F2B1-4CAB-95AA-8A7A2E176492}">
  <dimension ref="A1:K80"/>
  <sheetViews>
    <sheetView tabSelected="1" zoomScale="70" zoomScaleNormal="70" workbookViewId="0">
      <selection activeCell="G73" sqref="G73"/>
    </sheetView>
  </sheetViews>
  <sheetFormatPr baseColWidth="10" defaultColWidth="10.85546875" defaultRowHeight="15" x14ac:dyDescent="0.25"/>
  <cols>
    <col min="1" max="1" width="13" style="3" bestFit="1" customWidth="1"/>
    <col min="2" max="2" width="56.140625" style="3" bestFit="1" customWidth="1"/>
    <col min="3" max="3" width="17" style="3" bestFit="1" customWidth="1"/>
    <col min="4" max="4" width="13.140625" style="3" bestFit="1" customWidth="1"/>
    <col min="5" max="5" width="15.28515625" style="3" bestFit="1" customWidth="1"/>
    <col min="6" max="6" width="24" style="3" bestFit="1" customWidth="1"/>
    <col min="7" max="7" width="18.42578125" style="3" bestFit="1" customWidth="1"/>
    <col min="8" max="8" width="13.5703125" style="3" bestFit="1" customWidth="1"/>
    <col min="9" max="10" width="10.85546875" style="3"/>
    <col min="11" max="11" width="32.5703125" style="3" customWidth="1"/>
    <col min="12" max="12" width="15.5703125" style="3" bestFit="1" customWidth="1"/>
    <col min="13" max="16384" width="10.85546875" style="3"/>
  </cols>
  <sheetData>
    <row r="1" spans="1:1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48</v>
      </c>
      <c r="G1" s="5" t="s">
        <v>47</v>
      </c>
      <c r="H1" s="5" t="s">
        <v>46</v>
      </c>
    </row>
    <row r="2" spans="1:11" x14ac:dyDescent="0.25">
      <c r="A2" s="7"/>
      <c r="B2" s="8"/>
      <c r="C2" s="7"/>
      <c r="D2" s="8"/>
      <c r="E2" s="8"/>
      <c r="F2" s="8"/>
      <c r="G2" s="7" t="s">
        <v>5</v>
      </c>
      <c r="H2" s="7" t="s">
        <v>6</v>
      </c>
    </row>
    <row r="3" spans="1:11" x14ac:dyDescent="0.25">
      <c r="A3" s="9">
        <v>100021632</v>
      </c>
      <c r="B3" s="10" t="s">
        <v>7</v>
      </c>
      <c r="C3" s="11">
        <v>7790360026606</v>
      </c>
      <c r="D3" s="12">
        <v>4.8</v>
      </c>
      <c r="E3" s="13">
        <v>30</v>
      </c>
      <c r="F3" s="19">
        <v>46280.991735537202</v>
      </c>
      <c r="G3" s="1">
        <v>1542.6997245179068</v>
      </c>
      <c r="H3" s="2">
        <v>2706.6666666666674</v>
      </c>
      <c r="I3" s="4"/>
      <c r="J3" s="4"/>
      <c r="K3" s="27"/>
    </row>
    <row r="4" spans="1:11" x14ac:dyDescent="0.25">
      <c r="A4" s="9">
        <v>100021652</v>
      </c>
      <c r="B4" s="10" t="s">
        <v>8</v>
      </c>
      <c r="C4" s="11">
        <v>7790360026576</v>
      </c>
      <c r="D4" s="12">
        <v>5.76</v>
      </c>
      <c r="E4" s="13">
        <v>18</v>
      </c>
      <c r="F4" s="19">
        <v>58058.925619834699</v>
      </c>
      <c r="G4" s="1">
        <v>3225.4958677685945</v>
      </c>
      <c r="H4" s="2">
        <v>5659.1324999999988</v>
      </c>
      <c r="J4" s="4"/>
      <c r="K4" s="27"/>
    </row>
    <row r="5" spans="1:11" x14ac:dyDescent="0.25">
      <c r="A5" s="9">
        <v>100021631</v>
      </c>
      <c r="B5" s="10" t="s">
        <v>9</v>
      </c>
      <c r="C5" s="11">
        <v>7790360026590</v>
      </c>
      <c r="D5" s="12">
        <v>7.68</v>
      </c>
      <c r="E5" s="13">
        <v>8</v>
      </c>
      <c r="F5" s="19">
        <v>77415.94795860567</v>
      </c>
      <c r="G5" s="1">
        <v>9676.9934948257087</v>
      </c>
      <c r="H5" s="2">
        <v>16978.285086671705</v>
      </c>
      <c r="J5" s="4"/>
      <c r="K5" s="27"/>
    </row>
    <row r="6" spans="1:11" x14ac:dyDescent="0.25">
      <c r="A6" s="9">
        <v>100021630</v>
      </c>
      <c r="B6" s="10" t="s">
        <v>10</v>
      </c>
      <c r="C6" s="11">
        <v>7790360026583</v>
      </c>
      <c r="D6" s="12">
        <v>9.6</v>
      </c>
      <c r="E6" s="13">
        <v>6</v>
      </c>
      <c r="F6" s="19">
        <v>96597.439520541884</v>
      </c>
      <c r="G6" s="1">
        <v>16099.573253423647</v>
      </c>
      <c r="H6" s="2">
        <v>28246.701273131788</v>
      </c>
      <c r="J6" s="4"/>
      <c r="K6" s="27"/>
    </row>
    <row r="7" spans="1:11" x14ac:dyDescent="0.25">
      <c r="A7" s="14">
        <v>100021653</v>
      </c>
      <c r="B7" s="15" t="s">
        <v>11</v>
      </c>
      <c r="C7" s="11">
        <v>7790360026682</v>
      </c>
      <c r="D7" s="12">
        <v>5.76</v>
      </c>
      <c r="E7" s="13">
        <v>18</v>
      </c>
      <c r="F7" s="19">
        <v>65943.494773939907</v>
      </c>
      <c r="G7" s="1">
        <v>3663.5274874411061</v>
      </c>
      <c r="H7" s="2">
        <v>6427.658976715421</v>
      </c>
      <c r="J7" s="4"/>
      <c r="K7" s="27"/>
    </row>
    <row r="8" spans="1:11" x14ac:dyDescent="0.25">
      <c r="A8" s="9">
        <v>100516169</v>
      </c>
      <c r="B8" s="10" t="s">
        <v>12</v>
      </c>
      <c r="C8" s="16">
        <v>7790360967961</v>
      </c>
      <c r="D8" s="12">
        <v>5.76</v>
      </c>
      <c r="E8" s="13">
        <v>18</v>
      </c>
      <c r="F8" s="19">
        <v>70995.066837368009</v>
      </c>
      <c r="G8" s="1">
        <v>3944.1703798537783</v>
      </c>
      <c r="H8" s="2">
        <v>6920.046931453453</v>
      </c>
      <c r="J8" s="4"/>
      <c r="K8" s="27"/>
    </row>
    <row r="9" spans="1:11" x14ac:dyDescent="0.25">
      <c r="A9" s="14">
        <v>100520337</v>
      </c>
      <c r="B9" s="15" t="s">
        <v>13</v>
      </c>
      <c r="C9" s="11">
        <v>7790360977960</v>
      </c>
      <c r="D9" s="12">
        <v>4.8</v>
      </c>
      <c r="E9" s="13">
        <v>30</v>
      </c>
      <c r="F9" s="19">
        <v>33057.85123966942</v>
      </c>
      <c r="G9" s="1">
        <v>1101.9283746556473</v>
      </c>
      <c r="H9" s="2">
        <v>1933.3333333333333</v>
      </c>
      <c r="J9" s="4"/>
      <c r="K9" s="27"/>
    </row>
    <row r="10" spans="1:11" x14ac:dyDescent="0.25">
      <c r="A10" s="14">
        <v>100021503</v>
      </c>
      <c r="B10" s="15" t="s">
        <v>14</v>
      </c>
      <c r="C10" s="11">
        <v>7790360966841</v>
      </c>
      <c r="D10" s="12">
        <v>3.3119999999999998</v>
      </c>
      <c r="E10" s="13">
        <v>12</v>
      </c>
      <c r="F10" s="19">
        <v>23810.122647818192</v>
      </c>
      <c r="G10" s="1">
        <v>1984.1768873181827</v>
      </c>
      <c r="H10" s="2">
        <v>3481.2383487997513</v>
      </c>
      <c r="J10" s="4"/>
      <c r="K10" s="27"/>
    </row>
    <row r="11" spans="1:11" x14ac:dyDescent="0.25">
      <c r="A11" s="14">
        <v>100021643</v>
      </c>
      <c r="B11" s="15" t="s">
        <v>15</v>
      </c>
      <c r="C11" s="24">
        <v>7790360966797</v>
      </c>
      <c r="D11" s="25">
        <v>4.7039999999999997</v>
      </c>
      <c r="E11" s="26">
        <v>42</v>
      </c>
      <c r="F11" s="19">
        <v>35085.079603636368</v>
      </c>
      <c r="G11" s="1">
        <v>835.35903818181828</v>
      </c>
      <c r="H11" s="2">
        <v>1465.63743249</v>
      </c>
      <c r="J11" s="4"/>
      <c r="K11" s="27"/>
    </row>
    <row r="12" spans="1:11" x14ac:dyDescent="0.25">
      <c r="A12" s="14">
        <v>100516325</v>
      </c>
      <c r="B12" s="15" t="s">
        <v>16</v>
      </c>
      <c r="C12" s="24">
        <v>7790360967763</v>
      </c>
      <c r="D12" s="25">
        <v>4.7039999999999997</v>
      </c>
      <c r="E12" s="26">
        <v>21</v>
      </c>
      <c r="F12" s="19">
        <v>33167.863037432267</v>
      </c>
      <c r="G12" s="1">
        <v>1579.4220494015365</v>
      </c>
      <c r="H12" s="2">
        <v>2771.0959856749955</v>
      </c>
      <c r="J12" s="4"/>
      <c r="K12" s="27"/>
    </row>
    <row r="13" spans="1:11" x14ac:dyDescent="0.25">
      <c r="A13" s="14">
        <v>100516201</v>
      </c>
      <c r="B13" s="15" t="s">
        <v>17</v>
      </c>
      <c r="C13" s="11">
        <v>7790360968548</v>
      </c>
      <c r="D13" s="12">
        <v>6.6239999999999997</v>
      </c>
      <c r="E13" s="13">
        <v>8</v>
      </c>
      <c r="F13" s="19">
        <v>54312.969771826174</v>
      </c>
      <c r="G13" s="1">
        <v>6789.1212214782718</v>
      </c>
      <c r="H13" s="2">
        <v>11911.513183083627</v>
      </c>
      <c r="J13" s="4"/>
      <c r="K13" s="27"/>
    </row>
    <row r="14" spans="1:11" x14ac:dyDescent="0.25">
      <c r="A14" s="14">
        <v>100021676</v>
      </c>
      <c r="B14" s="15" t="s">
        <v>18</v>
      </c>
      <c r="C14" s="24">
        <v>7790360967411</v>
      </c>
      <c r="D14" s="25">
        <v>7.5</v>
      </c>
      <c r="E14" s="26">
        <v>30</v>
      </c>
      <c r="F14" s="19">
        <v>81073.54933884299</v>
      </c>
      <c r="G14" s="1">
        <v>2702.4516446280995</v>
      </c>
      <c r="H14" s="2">
        <v>4741.4514104999998</v>
      </c>
      <c r="J14" s="4"/>
      <c r="K14" s="27"/>
    </row>
    <row r="15" spans="1:11" x14ac:dyDescent="0.25">
      <c r="A15" s="14">
        <v>100516008</v>
      </c>
      <c r="B15" s="10" t="s">
        <v>19</v>
      </c>
      <c r="C15" s="11">
        <v>7790360967701</v>
      </c>
      <c r="D15" s="25">
        <v>5.76</v>
      </c>
      <c r="E15" s="26">
        <v>24</v>
      </c>
      <c r="F15" s="19">
        <v>63101.183106644639</v>
      </c>
      <c r="G15" s="1">
        <v>2629.2159627768601</v>
      </c>
      <c r="H15" s="2">
        <v>4612.9594066920008</v>
      </c>
      <c r="J15" s="4"/>
      <c r="K15" s="27"/>
    </row>
    <row r="16" spans="1:11" x14ac:dyDescent="0.25">
      <c r="A16" s="14">
        <v>100520834</v>
      </c>
      <c r="B16" s="10" t="s">
        <v>20</v>
      </c>
      <c r="C16" s="11">
        <v>7790360980618</v>
      </c>
      <c r="D16" s="25">
        <v>6.66</v>
      </c>
      <c r="E16" s="26">
        <v>36</v>
      </c>
      <c r="F16" s="19">
        <v>71536.94826796875</v>
      </c>
      <c r="G16" s="1">
        <v>1987.1374518880209</v>
      </c>
      <c r="H16" s="2">
        <v>3486.4326593375326</v>
      </c>
      <c r="J16" s="4"/>
      <c r="K16" s="27"/>
    </row>
    <row r="17" spans="1:11" x14ac:dyDescent="0.25">
      <c r="A17" s="14">
        <v>100021644</v>
      </c>
      <c r="B17" s="10" t="s">
        <v>21</v>
      </c>
      <c r="C17" s="11">
        <v>7790360008541</v>
      </c>
      <c r="D17" s="25">
        <v>4.7039999999999997</v>
      </c>
      <c r="E17" s="26">
        <v>42</v>
      </c>
      <c r="F17" s="19">
        <v>25791.356587239672</v>
      </c>
      <c r="G17" s="1">
        <v>614.07991874380173</v>
      </c>
      <c r="H17" s="2">
        <v>1077.403217436</v>
      </c>
      <c r="J17" s="4"/>
      <c r="K17" s="27"/>
    </row>
    <row r="18" spans="1:11" x14ac:dyDescent="0.25">
      <c r="A18" s="14">
        <v>100021677</v>
      </c>
      <c r="B18" s="15" t="s">
        <v>22</v>
      </c>
      <c r="C18" s="11">
        <v>7790360967404</v>
      </c>
      <c r="D18" s="12">
        <v>3.3119999999999998</v>
      </c>
      <c r="E18" s="13">
        <v>12</v>
      </c>
      <c r="F18" s="19">
        <v>19343.517440429758</v>
      </c>
      <c r="G18" s="1">
        <v>1611.9597867024797</v>
      </c>
      <c r="H18" s="2">
        <v>2828.1834457695004</v>
      </c>
      <c r="J18" s="4"/>
      <c r="K18" s="27"/>
    </row>
    <row r="19" spans="1:11" x14ac:dyDescent="0.25">
      <c r="A19" s="7"/>
      <c r="B19" s="8"/>
      <c r="C19" s="7"/>
      <c r="D19" s="8"/>
      <c r="E19" s="17"/>
      <c r="F19" s="18"/>
      <c r="G19" s="17"/>
      <c r="H19" s="17"/>
      <c r="K19" s="27"/>
    </row>
    <row r="20" spans="1:11" x14ac:dyDescent="0.25">
      <c r="A20" s="14">
        <v>100022085</v>
      </c>
      <c r="B20" s="15" t="s">
        <v>23</v>
      </c>
      <c r="C20" s="11">
        <v>7790360000132</v>
      </c>
      <c r="D20" s="12">
        <v>5.4</v>
      </c>
      <c r="E20" s="13">
        <v>24</v>
      </c>
      <c r="F20" s="1">
        <v>24466.81013033519</v>
      </c>
      <c r="G20" s="2">
        <v>1019.4504220972996</v>
      </c>
      <c r="H20" s="2">
        <v>1788.6257655697118</v>
      </c>
      <c r="K20" s="27"/>
    </row>
    <row r="21" spans="1:11" x14ac:dyDescent="0.25">
      <c r="A21" s="14">
        <v>100522204</v>
      </c>
      <c r="B21" s="15" t="s">
        <v>23</v>
      </c>
      <c r="C21" s="11">
        <v>7790360983947</v>
      </c>
      <c r="D21" s="12">
        <v>5.4</v>
      </c>
      <c r="E21" s="13">
        <v>24</v>
      </c>
      <c r="F21" s="1">
        <v>24466.81013033519</v>
      </c>
      <c r="G21" s="2">
        <v>1019.4504220972996</v>
      </c>
      <c r="H21" s="2">
        <v>1788.6257655697118</v>
      </c>
      <c r="K21" s="27"/>
    </row>
    <row r="22" spans="1:11" x14ac:dyDescent="0.25">
      <c r="A22" s="14">
        <v>100022072</v>
      </c>
      <c r="B22" s="15" t="s">
        <v>24</v>
      </c>
      <c r="C22" s="11">
        <v>7790360024541</v>
      </c>
      <c r="D22" s="12">
        <v>5.4</v>
      </c>
      <c r="E22" s="13">
        <v>12</v>
      </c>
      <c r="F22" s="1">
        <v>23240.760000000002</v>
      </c>
      <c r="G22" s="2">
        <v>1936.73</v>
      </c>
      <c r="H22" s="2">
        <v>3397.832862324999</v>
      </c>
      <c r="K22" s="27"/>
    </row>
    <row r="23" spans="1:11" x14ac:dyDescent="0.25">
      <c r="A23" s="14">
        <v>100522205</v>
      </c>
      <c r="B23" s="15" t="s">
        <v>57</v>
      </c>
      <c r="C23" s="11">
        <v>7790360983954</v>
      </c>
      <c r="D23" s="12">
        <v>5.4</v>
      </c>
      <c r="E23" s="13">
        <v>12</v>
      </c>
      <c r="F23" s="1">
        <v>23240.760000000002</v>
      </c>
      <c r="G23" s="2">
        <v>1936.73</v>
      </c>
      <c r="H23" s="2">
        <v>3397.832862324999</v>
      </c>
      <c r="K23" s="27"/>
    </row>
    <row r="24" spans="1:11" x14ac:dyDescent="0.25">
      <c r="A24" s="14">
        <v>100516849</v>
      </c>
      <c r="B24" s="15" t="s">
        <v>25</v>
      </c>
      <c r="C24" s="11">
        <v>7790360970053</v>
      </c>
      <c r="D24" s="12">
        <v>4.5599999990400004</v>
      </c>
      <c r="E24" s="13">
        <v>24</v>
      </c>
      <c r="F24" s="1">
        <v>19574.64</v>
      </c>
      <c r="G24" s="2">
        <v>815.61</v>
      </c>
      <c r="H24" s="2">
        <v>1430.6664156354168</v>
      </c>
      <c r="K24" s="27"/>
    </row>
    <row r="25" spans="1:11" x14ac:dyDescent="0.25">
      <c r="A25" s="14">
        <v>100022039</v>
      </c>
      <c r="B25" s="15" t="s">
        <v>26</v>
      </c>
      <c r="C25" s="11">
        <v>7790360007063</v>
      </c>
      <c r="D25" s="12">
        <v>8.6999999999999993</v>
      </c>
      <c r="E25" s="13">
        <v>10</v>
      </c>
      <c r="F25" s="1">
        <v>45197.972505650927</v>
      </c>
      <c r="G25" s="2">
        <v>4519.7972505650923</v>
      </c>
      <c r="H25" s="2">
        <v>7929.9842761164546</v>
      </c>
      <c r="K25" s="27"/>
    </row>
    <row r="26" spans="1:11" x14ac:dyDescent="0.25">
      <c r="A26" s="14">
        <v>100522206</v>
      </c>
      <c r="B26" s="15" t="s">
        <v>26</v>
      </c>
      <c r="C26" s="11">
        <v>7790360983961</v>
      </c>
      <c r="D26" s="12">
        <v>8.6999999999999993</v>
      </c>
      <c r="E26" s="13">
        <v>10</v>
      </c>
      <c r="F26" s="1">
        <v>45197.972505650927</v>
      </c>
      <c r="G26" s="2">
        <v>4519.7972505650923</v>
      </c>
      <c r="H26" s="2">
        <v>7929.9842761164546</v>
      </c>
      <c r="K26" s="27"/>
    </row>
    <row r="27" spans="1:11" x14ac:dyDescent="0.25">
      <c r="A27" s="14">
        <v>100022058</v>
      </c>
      <c r="B27" s="15" t="s">
        <v>27</v>
      </c>
      <c r="C27" s="11">
        <v>7790360026002</v>
      </c>
      <c r="D27" s="12">
        <v>4.5599999990400004</v>
      </c>
      <c r="E27" s="13">
        <v>24</v>
      </c>
      <c r="F27" s="1">
        <v>19841.621650154084</v>
      </c>
      <c r="G27" s="2">
        <v>826.73423542308683</v>
      </c>
      <c r="H27" s="2">
        <v>1450.5052160498058</v>
      </c>
      <c r="K27" s="27"/>
    </row>
    <row r="28" spans="1:11" x14ac:dyDescent="0.25">
      <c r="A28" s="7"/>
      <c r="B28" s="8"/>
      <c r="C28" s="7"/>
      <c r="D28" s="8"/>
      <c r="E28" s="17"/>
      <c r="F28" s="18"/>
      <c r="G28" s="17"/>
      <c r="H28" s="17"/>
      <c r="K28" s="27"/>
    </row>
    <row r="29" spans="1:11" x14ac:dyDescent="0.25">
      <c r="A29" s="14">
        <v>100516217</v>
      </c>
      <c r="B29" s="15" t="s">
        <v>56</v>
      </c>
      <c r="C29" s="11">
        <v>7790360967824</v>
      </c>
      <c r="D29" s="12">
        <v>5.8</v>
      </c>
      <c r="E29" s="13">
        <v>20</v>
      </c>
      <c r="F29" s="1">
        <v>30188.551769622427</v>
      </c>
      <c r="G29" s="2">
        <v>1509.4275884811213</v>
      </c>
      <c r="H29" s="2">
        <v>2648.2907039901274</v>
      </c>
      <c r="K29" s="27"/>
    </row>
    <row r="30" spans="1:11" x14ac:dyDescent="0.25">
      <c r="A30" s="14">
        <v>100516214</v>
      </c>
      <c r="B30" s="15" t="s">
        <v>28</v>
      </c>
      <c r="C30" s="11">
        <v>7790360967794</v>
      </c>
      <c r="D30" s="12">
        <v>7</v>
      </c>
      <c r="E30" s="13">
        <v>20</v>
      </c>
      <c r="F30" s="1">
        <v>43371.838178333768</v>
      </c>
      <c r="G30" s="2">
        <v>2168.5919089166882</v>
      </c>
      <c r="H30" s="2">
        <v>3804.794504194329</v>
      </c>
      <c r="K30" s="27"/>
    </row>
    <row r="31" spans="1:11" x14ac:dyDescent="0.25">
      <c r="A31" s="14">
        <v>100516215</v>
      </c>
      <c r="B31" s="15" t="s">
        <v>29</v>
      </c>
      <c r="C31" s="11">
        <v>7790360967800</v>
      </c>
      <c r="D31" s="12">
        <v>7</v>
      </c>
      <c r="E31" s="13">
        <v>20</v>
      </c>
      <c r="F31" s="1">
        <v>43371.838178333768</v>
      </c>
      <c r="G31" s="2">
        <v>2168.5919089166882</v>
      </c>
      <c r="H31" s="2">
        <v>3804.794504194329</v>
      </c>
      <c r="K31" s="27"/>
    </row>
    <row r="32" spans="1:11" x14ac:dyDescent="0.25">
      <c r="A32" s="14">
        <v>100516216</v>
      </c>
      <c r="B32" s="15" t="s">
        <v>30</v>
      </c>
      <c r="C32" s="11">
        <v>7790360967817</v>
      </c>
      <c r="D32" s="12">
        <v>7</v>
      </c>
      <c r="E32" s="13">
        <v>20</v>
      </c>
      <c r="F32" s="1">
        <v>43371.838178333768</v>
      </c>
      <c r="G32" s="2">
        <v>2168.5919089166882</v>
      </c>
      <c r="H32" s="2">
        <v>3804.794504194329</v>
      </c>
      <c r="K32" s="27"/>
    </row>
    <row r="33" spans="1:11" x14ac:dyDescent="0.25">
      <c r="A33" s="7"/>
      <c r="B33" s="8"/>
      <c r="C33" s="7"/>
      <c r="D33" s="8"/>
      <c r="E33" s="17"/>
      <c r="F33" s="18"/>
      <c r="G33" s="17"/>
      <c r="H33" s="17"/>
      <c r="K33" s="27"/>
    </row>
    <row r="34" spans="1:11" x14ac:dyDescent="0.25">
      <c r="A34" s="14">
        <v>100021704</v>
      </c>
      <c r="B34" s="15" t="s">
        <v>31</v>
      </c>
      <c r="C34" s="11">
        <v>7790360023902</v>
      </c>
      <c r="D34" s="12">
        <v>4.5600000000000005</v>
      </c>
      <c r="E34" s="13">
        <v>12</v>
      </c>
      <c r="F34" s="1">
        <v>45069.464629628063</v>
      </c>
      <c r="G34" s="2">
        <v>3755.7887191356717</v>
      </c>
      <c r="H34" s="2">
        <v>6589.5313077235351</v>
      </c>
      <c r="K34" s="27"/>
    </row>
    <row r="35" spans="1:11" x14ac:dyDescent="0.25">
      <c r="A35" s="14">
        <v>100021705</v>
      </c>
      <c r="B35" s="15" t="s">
        <v>32</v>
      </c>
      <c r="C35" s="11">
        <v>7790360024336</v>
      </c>
      <c r="D35" s="12">
        <v>4.5600000000000005</v>
      </c>
      <c r="E35" s="13">
        <v>12</v>
      </c>
      <c r="F35" s="1">
        <v>40972.240572389142</v>
      </c>
      <c r="G35" s="2">
        <v>3414.3533810324284</v>
      </c>
      <c r="H35" s="2">
        <v>5990.4830070213957</v>
      </c>
      <c r="K35" s="27"/>
    </row>
    <row r="36" spans="1:11" hidden="1" x14ac:dyDescent="0.25">
      <c r="A36" s="14">
        <v>100021707</v>
      </c>
      <c r="B36" s="15" t="s">
        <v>33</v>
      </c>
      <c r="C36" s="11">
        <v>7790360024695</v>
      </c>
      <c r="D36" s="12">
        <v>7.6</v>
      </c>
      <c r="E36" s="13">
        <v>10</v>
      </c>
      <c r="F36" s="1">
        <v>0.111929</v>
      </c>
      <c r="G36" s="2">
        <v>1.11929E-2</v>
      </c>
      <c r="H36" s="2">
        <v>1.9637943049999999E-2</v>
      </c>
      <c r="K36" s="27"/>
    </row>
    <row r="37" spans="1:11" x14ac:dyDescent="0.25">
      <c r="A37" s="14">
        <v>100021709</v>
      </c>
      <c r="B37" s="15" t="s">
        <v>34</v>
      </c>
      <c r="C37" s="11">
        <v>7790360024701</v>
      </c>
      <c r="D37" s="12">
        <v>7.6</v>
      </c>
      <c r="E37" s="13">
        <v>10</v>
      </c>
      <c r="F37" s="1">
        <v>66069.398959757396</v>
      </c>
      <c r="G37" s="2">
        <v>6606.93989597574</v>
      </c>
      <c r="H37" s="2">
        <v>11591.876047489435</v>
      </c>
      <c r="K37" s="27"/>
    </row>
    <row r="38" spans="1:11" x14ac:dyDescent="0.25">
      <c r="A38" s="14">
        <v>100521357</v>
      </c>
      <c r="B38" s="15" t="s">
        <v>53</v>
      </c>
      <c r="C38" s="11">
        <v>7790360982018</v>
      </c>
      <c r="D38" s="12">
        <v>4.5599999999999996</v>
      </c>
      <c r="E38" s="13">
        <v>12</v>
      </c>
      <c r="F38" s="1">
        <v>38626.609767900009</v>
      </c>
      <c r="G38" s="2">
        <v>3218.8841473250009</v>
      </c>
      <c r="H38" s="2">
        <v>5647.5322364817139</v>
      </c>
      <c r="K38" s="27"/>
    </row>
    <row r="39" spans="1:11" x14ac:dyDescent="0.25">
      <c r="A39" s="14">
        <v>100522130</v>
      </c>
      <c r="B39" s="15" t="s">
        <v>54</v>
      </c>
      <c r="C39" s="11">
        <v>7790360982445</v>
      </c>
      <c r="D39" s="12">
        <v>4.8</v>
      </c>
      <c r="E39" s="13">
        <v>12</v>
      </c>
      <c r="F39" s="1">
        <v>43109.033883300013</v>
      </c>
      <c r="G39" s="2">
        <v>3592.419490275001</v>
      </c>
      <c r="H39" s="2">
        <v>6302.8999956874886</v>
      </c>
      <c r="K39" s="27"/>
    </row>
    <row r="40" spans="1:11" x14ac:dyDescent="0.25">
      <c r="A40" s="14">
        <v>100517055</v>
      </c>
      <c r="B40" s="15" t="s">
        <v>35</v>
      </c>
      <c r="C40" s="11">
        <v>7790360971135</v>
      </c>
      <c r="D40" s="12">
        <v>3.12</v>
      </c>
      <c r="E40" s="13">
        <v>12</v>
      </c>
      <c r="F40" s="1">
        <v>26822.494620718073</v>
      </c>
      <c r="G40" s="2">
        <v>2235.2078850598396</v>
      </c>
      <c r="H40" s="2">
        <v>3921.6722343374886</v>
      </c>
      <c r="K40" s="27"/>
    </row>
    <row r="41" spans="1:11" x14ac:dyDescent="0.25">
      <c r="A41" s="14">
        <v>100517186</v>
      </c>
      <c r="B41" s="15" t="s">
        <v>36</v>
      </c>
      <c r="C41" s="11">
        <v>7790360971395</v>
      </c>
      <c r="D41" s="12">
        <v>8</v>
      </c>
      <c r="E41" s="13">
        <v>8</v>
      </c>
      <c r="F41" s="1">
        <v>73243.564460125825</v>
      </c>
      <c r="G41" s="2">
        <v>9155.4455575157281</v>
      </c>
      <c r="H41" s="2">
        <v>16063.229230661345</v>
      </c>
      <c r="K41" s="27"/>
    </row>
    <row r="42" spans="1:11" x14ac:dyDescent="0.25">
      <c r="A42" s="14">
        <v>100521663</v>
      </c>
      <c r="B42" s="15" t="s">
        <v>55</v>
      </c>
      <c r="C42" s="11">
        <v>7790360982537</v>
      </c>
      <c r="D42" s="12">
        <v>4.8</v>
      </c>
      <c r="E42" s="13">
        <v>12</v>
      </c>
      <c r="F42" s="1">
        <v>33223.142667</v>
      </c>
      <c r="G42" s="2">
        <v>2768.59522225</v>
      </c>
      <c r="H42" s="2">
        <v>4857.5003174376243</v>
      </c>
      <c r="K42" s="27"/>
    </row>
    <row r="43" spans="1:11" x14ac:dyDescent="0.25">
      <c r="A43" s="14">
        <v>100021728</v>
      </c>
      <c r="B43" s="15" t="s">
        <v>37</v>
      </c>
      <c r="C43" s="11">
        <v>7790360967558</v>
      </c>
      <c r="D43" s="12">
        <v>3.84</v>
      </c>
      <c r="E43" s="13">
        <v>12</v>
      </c>
      <c r="F43" s="1">
        <v>38361.930818867593</v>
      </c>
      <c r="G43" s="2">
        <v>3196.8275682389663</v>
      </c>
      <c r="H43" s="2">
        <v>5608.8339684752655</v>
      </c>
      <c r="K43" s="27"/>
    </row>
    <row r="44" spans="1:11" x14ac:dyDescent="0.25">
      <c r="A44" s="7"/>
      <c r="B44" s="8"/>
      <c r="C44" s="7"/>
      <c r="D44" s="8"/>
      <c r="E44" s="17"/>
      <c r="F44" s="18"/>
      <c r="G44" s="17"/>
      <c r="H44" s="17"/>
      <c r="K44" s="27"/>
    </row>
    <row r="45" spans="1:11" x14ac:dyDescent="0.25">
      <c r="A45" s="14">
        <v>100518158</v>
      </c>
      <c r="B45" s="15" t="s">
        <v>38</v>
      </c>
      <c r="C45" s="11">
        <v>7790360974280</v>
      </c>
      <c r="D45" s="12">
        <v>12</v>
      </c>
      <c r="E45" s="13">
        <v>24</v>
      </c>
      <c r="F45" s="1">
        <v>89380.165289256212</v>
      </c>
      <c r="G45" s="2">
        <v>3724.1735537190089</v>
      </c>
      <c r="H45" s="2">
        <v>6534.0625000000009</v>
      </c>
      <c r="K45" s="27"/>
    </row>
    <row r="46" spans="1:11" x14ac:dyDescent="0.25">
      <c r="A46" s="14">
        <v>100518160</v>
      </c>
      <c r="B46" s="15" t="s">
        <v>39</v>
      </c>
      <c r="C46" s="11">
        <v>7790360974686</v>
      </c>
      <c r="D46" s="12">
        <v>12</v>
      </c>
      <c r="E46" s="13">
        <v>12</v>
      </c>
      <c r="F46" s="1">
        <v>89380.165289256212</v>
      </c>
      <c r="G46" s="2">
        <v>7448.3471074380177</v>
      </c>
      <c r="H46" s="2">
        <v>13068.125000000002</v>
      </c>
      <c r="K46" s="27"/>
    </row>
    <row r="47" spans="1:11" x14ac:dyDescent="0.25">
      <c r="A47" s="7"/>
      <c r="B47" s="8"/>
      <c r="C47" s="7"/>
      <c r="D47" s="8"/>
      <c r="E47" s="17"/>
      <c r="F47" s="18"/>
      <c r="G47" s="17"/>
      <c r="H47" s="17"/>
      <c r="K47" s="27"/>
    </row>
    <row r="48" spans="1:11" x14ac:dyDescent="0.25">
      <c r="A48" s="14">
        <v>100518291</v>
      </c>
      <c r="B48" s="15" t="s">
        <v>40</v>
      </c>
      <c r="C48" s="11">
        <v>7790360975195</v>
      </c>
      <c r="D48" s="12">
        <v>5</v>
      </c>
      <c r="E48" s="13">
        <v>10</v>
      </c>
      <c r="F48" s="1">
        <v>16378.623673592576</v>
      </c>
      <c r="G48" s="2">
        <v>1637.8623673592576</v>
      </c>
      <c r="H48" s="2">
        <v>2675.4481770813472</v>
      </c>
      <c r="K48" s="27"/>
    </row>
    <row r="49" spans="1:11" x14ac:dyDescent="0.25">
      <c r="A49" s="14">
        <v>100518292</v>
      </c>
      <c r="B49" s="15" t="s">
        <v>41</v>
      </c>
      <c r="C49" s="11">
        <v>7790360975201</v>
      </c>
      <c r="D49" s="12">
        <v>12</v>
      </c>
      <c r="E49" s="13">
        <v>12</v>
      </c>
      <c r="F49" s="1">
        <v>38250.040681801147</v>
      </c>
      <c r="G49" s="2">
        <v>3187.5033901500956</v>
      </c>
      <c r="H49" s="2">
        <v>5206.7867878101815</v>
      </c>
      <c r="K49" s="27"/>
    </row>
    <row r="50" spans="1:11" x14ac:dyDescent="0.25">
      <c r="A50" s="7"/>
      <c r="B50" s="8"/>
      <c r="C50" s="7"/>
      <c r="D50" s="8"/>
      <c r="E50" s="17"/>
      <c r="F50" s="18"/>
      <c r="G50" s="17"/>
      <c r="H50" s="17"/>
      <c r="K50" s="27"/>
    </row>
    <row r="51" spans="1:11" x14ac:dyDescent="0.25">
      <c r="A51" s="20">
        <v>100517915</v>
      </c>
      <c r="B51" s="22" t="s">
        <v>42</v>
      </c>
      <c r="C51" s="23">
        <v>7790360974020</v>
      </c>
      <c r="D51" s="20">
        <v>18</v>
      </c>
      <c r="E51" s="20">
        <v>36</v>
      </c>
      <c r="F51" s="1">
        <v>182400.01399754014</v>
      </c>
      <c r="G51" s="2">
        <v>5066.6670554872262</v>
      </c>
      <c r="H51" s="2">
        <v>7838.1339348387382</v>
      </c>
      <c r="J51" s="4"/>
      <c r="K51" s="27"/>
    </row>
    <row r="52" spans="1:11" x14ac:dyDescent="0.25">
      <c r="A52" s="20">
        <v>100517914</v>
      </c>
      <c r="B52" s="22" t="s">
        <v>43</v>
      </c>
      <c r="C52" s="23">
        <v>7790360974037</v>
      </c>
      <c r="D52" s="20">
        <v>20</v>
      </c>
      <c r="E52" s="20">
        <v>20</v>
      </c>
      <c r="F52" s="1">
        <v>199038.94860776013</v>
      </c>
      <c r="G52" s="2">
        <v>9951.947430388007</v>
      </c>
      <c r="H52" s="2">
        <v>15395.662674810246</v>
      </c>
      <c r="K52" s="27"/>
    </row>
    <row r="53" spans="1:11" x14ac:dyDescent="0.25">
      <c r="A53" s="7"/>
      <c r="B53" s="8"/>
      <c r="C53" s="7"/>
      <c r="D53" s="8"/>
      <c r="E53" s="17"/>
      <c r="F53" s="18"/>
      <c r="G53" s="17"/>
      <c r="H53" s="17"/>
      <c r="K53" s="27"/>
    </row>
    <row r="54" spans="1:11" x14ac:dyDescent="0.25">
      <c r="A54" s="14">
        <v>100520837</v>
      </c>
      <c r="B54" s="15" t="s">
        <v>44</v>
      </c>
      <c r="C54" s="11">
        <v>7790360980625</v>
      </c>
      <c r="D54" s="20">
        <v>4.8</v>
      </c>
      <c r="E54" s="20">
        <v>12</v>
      </c>
      <c r="F54" s="1">
        <f>G54*E54</f>
        <v>40252.390058514815</v>
      </c>
      <c r="G54" s="2">
        <v>3354.3658382095678</v>
      </c>
      <c r="H54" s="2">
        <v>5682.2957299270074</v>
      </c>
      <c r="K54" s="27"/>
    </row>
    <row r="55" spans="1:11" x14ac:dyDescent="0.25">
      <c r="A55" s="14">
        <v>100522395</v>
      </c>
      <c r="B55" s="15" t="s">
        <v>58</v>
      </c>
      <c r="C55" s="11">
        <v>7790360985101</v>
      </c>
      <c r="D55" s="20">
        <v>4.8</v>
      </c>
      <c r="E55" s="20">
        <v>12</v>
      </c>
      <c r="F55" s="1">
        <f>G55*E55</f>
        <v>41057.454545454544</v>
      </c>
      <c r="G55" s="2">
        <v>3421.4545454545455</v>
      </c>
      <c r="H55" s="2">
        <v>5795.9439999999995</v>
      </c>
      <c r="K55" s="27"/>
    </row>
    <row r="56" spans="1:11" x14ac:dyDescent="0.25">
      <c r="A56" s="7"/>
      <c r="B56" s="8"/>
      <c r="C56" s="7"/>
      <c r="D56" s="8"/>
      <c r="E56" s="17"/>
      <c r="F56" s="18"/>
      <c r="G56" s="17"/>
      <c r="H56" s="17"/>
      <c r="K56" s="27"/>
    </row>
    <row r="57" spans="1:11" x14ac:dyDescent="0.25">
      <c r="A57" s="14">
        <v>100520902</v>
      </c>
      <c r="B57" s="15" t="s">
        <v>45</v>
      </c>
      <c r="C57" s="11">
        <v>7790360981042</v>
      </c>
      <c r="D57" s="21">
        <v>9.8000000000000007</v>
      </c>
      <c r="E57" s="13">
        <v>14</v>
      </c>
      <c r="F57" s="1">
        <v>31910.545756168187</v>
      </c>
      <c r="G57" s="2">
        <v>2279.324696869156</v>
      </c>
      <c r="H57" s="2">
        <v>3999.0751806569338</v>
      </c>
      <c r="K57" s="27"/>
    </row>
    <row r="58" spans="1:11" x14ac:dyDescent="0.25">
      <c r="A58" s="7"/>
      <c r="B58" s="8"/>
      <c r="C58" s="7"/>
      <c r="D58" s="8"/>
      <c r="E58" s="17"/>
      <c r="F58" s="18"/>
      <c r="G58" s="17"/>
      <c r="H58" s="17"/>
      <c r="K58" s="27"/>
    </row>
    <row r="59" spans="1:11" x14ac:dyDescent="0.25">
      <c r="A59" s="14">
        <v>100521457</v>
      </c>
      <c r="B59" s="15" t="s">
        <v>49</v>
      </c>
      <c r="C59" s="11">
        <v>7790360982254</v>
      </c>
      <c r="D59" s="21">
        <v>4.8</v>
      </c>
      <c r="E59" s="13">
        <v>16</v>
      </c>
      <c r="F59" s="1">
        <v>38250.269235246204</v>
      </c>
      <c r="G59" s="2">
        <v>2390.6418272028877</v>
      </c>
      <c r="H59" s="2">
        <v>4194.3810858274664</v>
      </c>
      <c r="K59" s="27"/>
    </row>
    <row r="60" spans="1:11" x14ac:dyDescent="0.25">
      <c r="A60" s="14">
        <v>100521455</v>
      </c>
      <c r="B60" s="15" t="s">
        <v>50</v>
      </c>
      <c r="C60" s="11">
        <v>7790360982247</v>
      </c>
      <c r="D60" s="21">
        <v>4.8</v>
      </c>
      <c r="E60" s="13">
        <v>16</v>
      </c>
      <c r="F60" s="1">
        <v>38250.269235246204</v>
      </c>
      <c r="G60" s="2">
        <v>2390.6418272028877</v>
      </c>
      <c r="H60" s="2">
        <v>4194.3810858274664</v>
      </c>
      <c r="K60" s="27"/>
    </row>
    <row r="61" spans="1:11" x14ac:dyDescent="0.25">
      <c r="A61" s="14">
        <v>100521453</v>
      </c>
      <c r="B61" s="15" t="s">
        <v>51</v>
      </c>
      <c r="C61" s="11">
        <v>7790360982223</v>
      </c>
      <c r="D61" s="21">
        <v>5.4</v>
      </c>
      <c r="E61" s="13">
        <v>18</v>
      </c>
      <c r="F61" s="1">
        <v>37652.608778445472</v>
      </c>
      <c r="G61" s="2">
        <v>2091.8115988025261</v>
      </c>
      <c r="H61" s="2">
        <v>3670.0834500990313</v>
      </c>
      <c r="K61" s="27"/>
    </row>
    <row r="62" spans="1:11" x14ac:dyDescent="0.25">
      <c r="A62" s="14">
        <v>100521454</v>
      </c>
      <c r="B62" s="15" t="s">
        <v>52</v>
      </c>
      <c r="C62" s="11">
        <v>7790360982230</v>
      </c>
      <c r="D62" s="21">
        <v>5.3999999999999995</v>
      </c>
      <c r="E62" s="13">
        <v>18</v>
      </c>
      <c r="F62" s="1">
        <v>37652.608778445472</v>
      </c>
      <c r="G62" s="2">
        <v>2091.8115988025261</v>
      </c>
      <c r="H62" s="2">
        <v>3670.0834500990313</v>
      </c>
      <c r="K62" s="27"/>
    </row>
    <row r="63" spans="1:11" x14ac:dyDescent="0.25">
      <c r="A63" s="7"/>
      <c r="B63" s="8"/>
      <c r="C63" s="7"/>
      <c r="D63" s="8"/>
      <c r="E63" s="17"/>
      <c r="F63" s="18"/>
      <c r="G63" s="17"/>
      <c r="H63" s="17"/>
      <c r="K63" s="27"/>
    </row>
    <row r="64" spans="1:11" x14ac:dyDescent="0.25">
      <c r="A64" s="28">
        <v>100021000</v>
      </c>
      <c r="B64" s="29" t="s">
        <v>59</v>
      </c>
      <c r="C64" s="32"/>
      <c r="D64" s="32"/>
      <c r="E64" s="32">
        <v>24</v>
      </c>
      <c r="F64" s="33">
        <v>18093.689999999999</v>
      </c>
      <c r="G64" s="34">
        <f>+F64/24</f>
        <v>753.90374999999995</v>
      </c>
      <c r="H64" s="32">
        <v>912.22</v>
      </c>
    </row>
    <row r="65" spans="1:8" x14ac:dyDescent="0.25">
      <c r="A65" s="28">
        <v>100021001</v>
      </c>
      <c r="B65" s="29" t="s">
        <v>60</v>
      </c>
      <c r="C65" s="32"/>
      <c r="D65" s="32"/>
      <c r="E65" s="32">
        <v>24</v>
      </c>
      <c r="F65" s="33">
        <v>18093.689999999999</v>
      </c>
      <c r="G65" s="34">
        <f t="shared" ref="G65:G80" si="0">+F65/24</f>
        <v>753.90374999999995</v>
      </c>
      <c r="H65" s="32">
        <v>912.22</v>
      </c>
    </row>
    <row r="66" spans="1:8" x14ac:dyDescent="0.25">
      <c r="A66" s="30">
        <v>100522277</v>
      </c>
      <c r="B66" s="31" t="s">
        <v>61</v>
      </c>
      <c r="C66" s="32"/>
      <c r="D66" s="32"/>
      <c r="E66" s="32">
        <v>24</v>
      </c>
      <c r="F66" s="33">
        <v>18093.689999999999</v>
      </c>
      <c r="G66" s="34">
        <f t="shared" si="0"/>
        <v>753.90374999999995</v>
      </c>
      <c r="H66" s="32">
        <v>912.22</v>
      </c>
    </row>
    <row r="67" spans="1:8" x14ac:dyDescent="0.25">
      <c r="A67" s="30">
        <v>100522333</v>
      </c>
      <c r="B67" s="31" t="s">
        <v>62</v>
      </c>
      <c r="C67" s="32"/>
      <c r="D67" s="32"/>
      <c r="E67" s="32">
        <v>24</v>
      </c>
      <c r="F67" s="33">
        <v>18093.689999999999</v>
      </c>
      <c r="G67" s="34">
        <f t="shared" si="0"/>
        <v>753.90374999999995</v>
      </c>
      <c r="H67" s="32">
        <v>912.22</v>
      </c>
    </row>
    <row r="68" spans="1:8" x14ac:dyDescent="0.25">
      <c r="A68" s="28">
        <v>100021045</v>
      </c>
      <c r="B68" s="29" t="s">
        <v>63</v>
      </c>
      <c r="C68" s="32"/>
      <c r="D68" s="32"/>
      <c r="E68" s="32">
        <v>24</v>
      </c>
      <c r="F68" s="33">
        <v>18093.689999999999</v>
      </c>
      <c r="G68" s="34">
        <f t="shared" si="0"/>
        <v>753.90374999999995</v>
      </c>
      <c r="H68" s="32">
        <v>912.22</v>
      </c>
    </row>
    <row r="69" spans="1:8" x14ac:dyDescent="0.25">
      <c r="A69" s="28">
        <v>100021004</v>
      </c>
      <c r="B69" s="29" t="s">
        <v>64</v>
      </c>
      <c r="C69" s="32"/>
      <c r="D69" s="32"/>
      <c r="E69" s="32">
        <v>24</v>
      </c>
      <c r="F69" s="33">
        <v>18093.689999999999</v>
      </c>
      <c r="G69" s="34">
        <f t="shared" si="0"/>
        <v>753.90374999999995</v>
      </c>
      <c r="H69" s="32">
        <v>912.22</v>
      </c>
    </row>
    <row r="70" spans="1:8" x14ac:dyDescent="0.25">
      <c r="A70" s="28">
        <v>100021006</v>
      </c>
      <c r="B70" s="29" t="s">
        <v>65</v>
      </c>
      <c r="C70" s="32"/>
      <c r="D70" s="32"/>
      <c r="E70" s="32">
        <v>24</v>
      </c>
      <c r="F70" s="33">
        <v>18093.689999999999</v>
      </c>
      <c r="G70" s="34">
        <f t="shared" si="0"/>
        <v>753.90374999999995</v>
      </c>
      <c r="H70" s="32">
        <v>912.22</v>
      </c>
    </row>
    <row r="71" spans="1:8" x14ac:dyDescent="0.25">
      <c r="A71" s="28">
        <v>100021007</v>
      </c>
      <c r="B71" s="29" t="s">
        <v>66</v>
      </c>
      <c r="C71" s="32"/>
      <c r="D71" s="32"/>
      <c r="E71" s="32">
        <v>24</v>
      </c>
      <c r="F71" s="33">
        <v>23485.79</v>
      </c>
      <c r="G71" s="34">
        <f t="shared" si="0"/>
        <v>978.57458333333341</v>
      </c>
      <c r="H71" s="32">
        <v>1184.08</v>
      </c>
    </row>
    <row r="72" spans="1:8" x14ac:dyDescent="0.25">
      <c r="A72" s="28">
        <v>100021013</v>
      </c>
      <c r="B72" s="29" t="s">
        <v>67</v>
      </c>
      <c r="C72" s="32"/>
      <c r="D72" s="32"/>
      <c r="E72" s="32">
        <v>24</v>
      </c>
      <c r="F72" s="33">
        <v>23485.79</v>
      </c>
      <c r="G72" s="34">
        <f t="shared" si="0"/>
        <v>978.57458333333341</v>
      </c>
      <c r="H72" s="32">
        <v>1184.08</v>
      </c>
    </row>
    <row r="73" spans="1:8" x14ac:dyDescent="0.25">
      <c r="A73" s="28">
        <v>100021014</v>
      </c>
      <c r="B73" s="29" t="s">
        <v>68</v>
      </c>
      <c r="C73" s="32"/>
      <c r="D73" s="32"/>
      <c r="E73" s="32">
        <v>24</v>
      </c>
      <c r="F73" s="33">
        <v>23485.79</v>
      </c>
      <c r="G73" s="34">
        <f t="shared" si="0"/>
        <v>978.57458333333341</v>
      </c>
      <c r="H73" s="32">
        <v>1184.08</v>
      </c>
    </row>
    <row r="74" spans="1:8" x14ac:dyDescent="0.25">
      <c r="A74" s="28">
        <v>100021015</v>
      </c>
      <c r="B74" s="29" t="s">
        <v>69</v>
      </c>
      <c r="C74" s="32"/>
      <c r="D74" s="32"/>
      <c r="E74" s="32">
        <v>24</v>
      </c>
      <c r="F74" s="33">
        <v>25163.35</v>
      </c>
      <c r="G74" s="34">
        <f t="shared" si="0"/>
        <v>1048.4729166666666</v>
      </c>
      <c r="H74" s="32">
        <v>1268.6500000000001</v>
      </c>
    </row>
    <row r="75" spans="1:8" x14ac:dyDescent="0.25">
      <c r="A75" s="28">
        <v>100021054</v>
      </c>
      <c r="B75" s="29" t="s">
        <v>70</v>
      </c>
      <c r="C75" s="32"/>
      <c r="D75" s="32"/>
      <c r="E75" s="32">
        <v>24</v>
      </c>
      <c r="F75" s="33">
        <v>23485.79</v>
      </c>
      <c r="G75" s="34">
        <f t="shared" si="0"/>
        <v>978.57458333333341</v>
      </c>
      <c r="H75" s="32">
        <v>1184.08</v>
      </c>
    </row>
    <row r="76" spans="1:8" x14ac:dyDescent="0.25">
      <c r="A76" s="28">
        <v>100021055</v>
      </c>
      <c r="B76" s="29" t="s">
        <v>71</v>
      </c>
      <c r="C76" s="32"/>
      <c r="D76" s="32"/>
      <c r="E76" s="32">
        <v>24</v>
      </c>
      <c r="F76" s="33">
        <v>23485.79</v>
      </c>
      <c r="G76" s="34">
        <f t="shared" si="0"/>
        <v>978.57458333333341</v>
      </c>
      <c r="H76" s="32">
        <v>1184.08</v>
      </c>
    </row>
    <row r="77" spans="1:8" x14ac:dyDescent="0.25">
      <c r="A77" s="28">
        <v>100021008</v>
      </c>
      <c r="B77" s="29" t="s">
        <v>72</v>
      </c>
      <c r="C77" s="32"/>
      <c r="D77" s="32"/>
      <c r="E77" s="32">
        <v>24</v>
      </c>
      <c r="F77" s="33">
        <v>14252.57</v>
      </c>
      <c r="G77" s="34">
        <f t="shared" si="0"/>
        <v>593.85708333333332</v>
      </c>
      <c r="H77" s="32">
        <v>718.57</v>
      </c>
    </row>
    <row r="78" spans="1:8" x14ac:dyDescent="0.25">
      <c r="A78" s="28">
        <v>100021009</v>
      </c>
      <c r="B78" s="29" t="s">
        <v>73</v>
      </c>
      <c r="C78" s="32"/>
      <c r="D78" s="32"/>
      <c r="E78" s="32">
        <v>24</v>
      </c>
      <c r="F78" s="33">
        <v>14252.57</v>
      </c>
      <c r="G78" s="34">
        <f t="shared" si="0"/>
        <v>593.85708333333332</v>
      </c>
      <c r="H78" s="32">
        <v>718.57</v>
      </c>
    </row>
    <row r="79" spans="1:8" x14ac:dyDescent="0.25">
      <c r="A79" s="28">
        <v>100021010</v>
      </c>
      <c r="B79" s="29" t="s">
        <v>74</v>
      </c>
      <c r="C79" s="32"/>
      <c r="D79" s="32"/>
      <c r="E79" s="32">
        <v>24</v>
      </c>
      <c r="F79" s="33">
        <v>14252.57</v>
      </c>
      <c r="G79" s="34">
        <f t="shared" si="0"/>
        <v>593.85708333333332</v>
      </c>
      <c r="H79" s="32">
        <v>718.57</v>
      </c>
    </row>
    <row r="80" spans="1:8" x14ac:dyDescent="0.25">
      <c r="A80" s="28">
        <v>100021011</v>
      </c>
      <c r="B80" s="29" t="s">
        <v>75</v>
      </c>
      <c r="C80" s="32"/>
      <c r="D80" s="32"/>
      <c r="E80" s="32">
        <v>24</v>
      </c>
      <c r="F80" s="33">
        <v>14252.57</v>
      </c>
      <c r="G80" s="34">
        <f t="shared" si="0"/>
        <v>593.85708333333332</v>
      </c>
      <c r="H80" s="32">
        <v>718.57</v>
      </c>
    </row>
  </sheetData>
  <autoFilter ref="A1:H62" xr:uid="{8632172B-F2B1-4CAB-95AA-8A7A2E176492}"/>
  <conditionalFormatting sqref="A18:B18">
    <cfRule type="cellIs" dxfId="6" priority="9" stopIfTrue="1" operator="equal">
      <formula>0</formula>
    </cfRule>
  </conditionalFormatting>
  <conditionalFormatting sqref="A34:C34">
    <cfRule type="cellIs" dxfId="5" priority="7" stopIfTrue="1" operator="equal">
      <formula>0</formula>
    </cfRule>
  </conditionalFormatting>
  <conditionalFormatting sqref="A16:E17">
    <cfRule type="cellIs" dxfId="4" priority="4" stopIfTrue="1" operator="equal">
      <formula>0</formula>
    </cfRule>
  </conditionalFormatting>
  <conditionalFormatting sqref="A43:E43">
    <cfRule type="cellIs" dxfId="3" priority="6" stopIfTrue="1" operator="equal">
      <formula>0</formula>
    </cfRule>
  </conditionalFormatting>
  <conditionalFormatting sqref="D18:E18">
    <cfRule type="cellIs" dxfId="2" priority="10" stopIfTrue="1" operator="equal">
      <formula>0</formula>
    </cfRule>
  </conditionalFormatting>
  <conditionalFormatting sqref="D22:E27">
    <cfRule type="cellIs" dxfId="1" priority="1" stopIfTrue="1" operator="equal">
      <formula>0</formula>
    </cfRule>
  </conditionalFormatting>
  <conditionalFormatting sqref="D29:E32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2025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2025-03-10T16:05:41Z</dcterms:created>
  <dcterms:modified xsi:type="dcterms:W3CDTF">2025-12-17T12:58:13Z</dcterms:modified>
</cp:coreProperties>
</file>