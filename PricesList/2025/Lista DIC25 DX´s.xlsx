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nervafoods-my.sharepoint.com/personal/nicolas_gentile_minervafoods_com/Documents/NG/PricesList/"/>
    </mc:Choice>
  </mc:AlternateContent>
  <xr:revisionPtr revIDLastSave="7" documentId="8_{CBFE7C4F-FDA1-438F-ADB1-6A3CE1F77367}" xr6:coauthVersionLast="47" xr6:coauthVersionMax="47" xr10:uidLastSave="{3BF9C40F-A869-4085-8BB8-D806FC2FD2E8}"/>
  <bookViews>
    <workbookView xWindow="-120" yWindow="-120" windowWidth="20730" windowHeight="11040" xr2:uid="{F4E50041-7C71-4EB4-A4E9-7D1EE89FA7F9}"/>
  </bookViews>
  <sheets>
    <sheet name="DX´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3" i="1" l="1"/>
  <c r="P102" i="1"/>
  <c r="P101" i="1"/>
  <c r="P100" i="1"/>
  <c r="P99" i="1"/>
  <c r="P98" i="1"/>
  <c r="P97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D63" i="1"/>
  <c r="P62" i="1"/>
  <c r="D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4" i="1"/>
  <c r="P33" i="1"/>
  <c r="P31" i="1"/>
  <c r="V29" i="1"/>
  <c r="U29" i="1"/>
  <c r="T29" i="1"/>
  <c r="P29" i="1"/>
  <c r="P28" i="1"/>
  <c r="P27" i="1"/>
  <c r="D27" i="1"/>
  <c r="P26" i="1"/>
  <c r="P25" i="1"/>
  <c r="P24" i="1"/>
  <c r="D24" i="1"/>
  <c r="P23" i="1"/>
  <c r="D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T3" i="1"/>
  <c r="U3" i="1" s="1"/>
  <c r="V3" i="1" s="1"/>
  <c r="P3" i="1"/>
</calcChain>
</file>

<file path=xl/sharedStrings.xml><?xml version="1.0" encoding="utf-8"?>
<sst xmlns="http://schemas.openxmlformats.org/spreadsheetml/2006/main" count="140" uniqueCount="128">
  <si>
    <t>Código</t>
  </si>
  <si>
    <t>Descripción</t>
  </si>
  <si>
    <t>EAN</t>
  </si>
  <si>
    <t>Kg. x Caja</t>
  </si>
  <si>
    <t>Cant. X Caja</t>
  </si>
  <si>
    <t>Precio de Lista</t>
  </si>
  <si>
    <t>Dcto</t>
  </si>
  <si>
    <t>Precio de Factura</t>
  </si>
  <si>
    <t>Precio Neto estuche en factura</t>
  </si>
  <si>
    <t>IVA</t>
  </si>
  <si>
    <t>Px Unitario IVA Inc</t>
  </si>
  <si>
    <t>M-up Dx</t>
  </si>
  <si>
    <t>Px Unitario Minorista</t>
  </si>
  <si>
    <t>M-up Minorista</t>
  </si>
  <si>
    <t xml:space="preserve">Px Unitario Público </t>
  </si>
  <si>
    <t>NOV</t>
  </si>
  <si>
    <t>DCTO (%)</t>
  </si>
  <si>
    <t>Px ACCIÓN CAJA ($)</t>
  </si>
  <si>
    <t>Px Acción estuche ($)</t>
  </si>
  <si>
    <t>Px oferta (%)</t>
  </si>
  <si>
    <t>CUPO (Cajas)</t>
  </si>
  <si>
    <t>CONDICIÓN</t>
  </si>
  <si>
    <t>HAMBURGUESAS 30x160g CLASICA x2 SWIFT</t>
  </si>
  <si>
    <t>VER CUPOS</t>
  </si>
  <si>
    <t>Con la compra de 2 cajas de 21632 + 1 cajas de Salchichas --&gt; 7% de dcto en ambos SKU. A pagar con mercadería sin cargo</t>
  </si>
  <si>
    <t>HAMBURGUESA 18X4X80G CLASICA SWIFT</t>
  </si>
  <si>
    <t>HAMBURGUESA 8X12X80G CLASICA SWIFT</t>
  </si>
  <si>
    <t>Conveniencia vs 21632</t>
  </si>
  <si>
    <t xml:space="preserve">HAMBURGUESA 6X20X80G CLASICA SWIFT </t>
  </si>
  <si>
    <t>MEDALLON 18X4X80G PARRILLERO SWIFT</t>
  </si>
  <si>
    <t>MEDALLONES 18X4X80G SWIFT RECETA ESPECIAL</t>
  </si>
  <si>
    <t>MEDALLON BURGER SWIFT MEGA 30 x 160 g</t>
  </si>
  <si>
    <t>Medallón CAJITA 12x4 69 grs</t>
  </si>
  <si>
    <t>Contra 11 estuches + 1 de regalo</t>
  </si>
  <si>
    <t>HAMBURGUESA 8X12X69G BURGER SWIFT</t>
  </si>
  <si>
    <t>MEDALLON 42X112G DOBLE BURGER SWIFT</t>
  </si>
  <si>
    <t>MEDALLON DOBLE BURGER 2X2</t>
  </si>
  <si>
    <t xml:space="preserve">HAMBURGUESA 30X250g CLASICA "XL" SWIFT </t>
  </si>
  <si>
    <t>Contra 14 flow + 1 de regalo</t>
  </si>
  <si>
    <r>
      <t xml:space="preserve">HAMBURGUESA 24X2X120g </t>
    </r>
    <r>
      <rPr>
        <b/>
        <sz val="9"/>
        <rFont val="Aptos Narrow"/>
        <family val="2"/>
        <scheme val="minor"/>
      </rPr>
      <t>CASERA</t>
    </r>
    <r>
      <rPr>
        <sz val="9"/>
        <rFont val="Aptos Narrow"/>
        <family val="2"/>
        <scheme val="minor"/>
      </rPr>
      <t xml:space="preserve"> SWIFT</t>
    </r>
  </si>
  <si>
    <t>OFERTA Compra 10 FLOW + 1 de regalo</t>
  </si>
  <si>
    <t>HAMBURGUESA X-TREMA 36 x 185 grs</t>
  </si>
  <si>
    <t xml:space="preserve">HAMBURGUESAS 18X2X120g CLL BRA/ARG </t>
  </si>
  <si>
    <t>MEDALLON 42X112G LA BLANCA</t>
  </si>
  <si>
    <t>MEDALLON 12x4X69G LA BLANCA</t>
  </si>
  <si>
    <t>MEDALLONES 60X80g "SWIFT BURGER" PARRILLERAS FAMILY</t>
  </si>
  <si>
    <t>MEDALLONES 60X69g "SWIFT BURGER"PARRILLERAS  FAMILY</t>
  </si>
  <si>
    <t>MEDALLON 60X69G CARNE VACUNA</t>
  </si>
  <si>
    <t>MEDALLON 60x80g PARRILLERO MC SWIFT</t>
  </si>
  <si>
    <t>MEDALLON 60X109G CARNE VACUNA PARRILLERO SWIFT</t>
  </si>
  <si>
    <t xml:space="preserve">MEDALLON GIGANTE 48x113.5g </t>
  </si>
  <si>
    <t>HAMBURGUESA 36 X 185 GRS</t>
  </si>
  <si>
    <t>HAMBURGUESA 30x2x106 GRS</t>
  </si>
  <si>
    <t>SALCHICHAS 24X6 SWIFT</t>
  </si>
  <si>
    <t>Px LISTA: $2.200 + Px acción con 21632: $2.000 - además compra 9 estuches + 3 de regalo ----&gt; OFERTA $1.800 público</t>
  </si>
  <si>
    <t>SALCHICHAS 12X12 SWIFT</t>
  </si>
  <si>
    <t>Conveniencia vs 22085: Oferta $3.800</t>
  </si>
  <si>
    <t>SALCHICHAS SIN PIEL 24X6 "SWIFT KIDS" X 190 g</t>
  </si>
  <si>
    <t>Oferta incluida en lista: $1.600</t>
  </si>
  <si>
    <t>SALCHICHAS  LARGAS  10 x 12  SWIFT  INSTITUCIONAL</t>
  </si>
  <si>
    <t>SALCHICHAS SIN PIEL "LA BLANCA"  24X6X190 Grs;</t>
  </si>
  <si>
    <t>Ver posicionamiento por verba según necesidad de la zona</t>
  </si>
  <si>
    <t xml:space="preserve">SALCHICHAS LARGAS 10 x 12 x 870g  </t>
  </si>
  <si>
    <t>PATE DE FOIE 24X90G SWIFT</t>
  </si>
  <si>
    <t>½ caja sin cargo: por cada foto con exhibición adicional lograda, en lineal de galletas. CUPO: 20 exhibiciones.</t>
  </si>
  <si>
    <t xml:space="preserve">PICADILLO DE CARNE 24X90G SWIFT </t>
  </si>
  <si>
    <t>Debe tener un mínimo de 3 frentes en 3 estantes, o 5 frentes en 2 estantes</t>
  </si>
  <si>
    <t>Picadillo de Carne Picante Chile Chipotle 24x90 g</t>
  </si>
  <si>
    <t>La ½ caja sin cargo por caja foto, puede ser utilizada por el Dx para negociar la exh adicional con el Chino. O para incentivar al preventista</t>
  </si>
  <si>
    <t>Pate de Foie Jalapeño 24x90 Swift</t>
  </si>
  <si>
    <t>PICADILLO DE CARNE PICANTE 24X90G SWIFT</t>
  </si>
  <si>
    <t>PATE DE FOIE A LA CREMA 24X88G SWIFT</t>
  </si>
  <si>
    <t>JAMON DEL DIABLO 24X88G SWIFT</t>
  </si>
  <si>
    <t>PATE DE FOIE DE POLLO 24X85G SWIFT</t>
  </si>
  <si>
    <t>PATE DE FOIE TIPO PROVENZAL 24X85G SWIFT GOURMET</t>
  </si>
  <si>
    <t>PATE DE FOIE C/PIMIENTA VERDE 24X85G SWIFT GOURMET</t>
  </si>
  <si>
    <t xml:space="preserve">PATE JAMON AHUMADO 24X85G </t>
  </si>
  <si>
    <t>PATE HONGOS 24X85G</t>
  </si>
  <si>
    <t>PATE DE SALMON 24X85G SWIFT GOURMET</t>
  </si>
  <si>
    <t>PICADILLO DE CARNE 24X90G LA BLANCA</t>
  </si>
  <si>
    <t>PATE DE FOIE 24X90G LA BLANCA</t>
  </si>
  <si>
    <t>PICADILLO DE CARNE 24X90G SAFRA</t>
  </si>
  <si>
    <t>PATE DE FOIE 24X90G SAFRA</t>
  </si>
  <si>
    <t>MILANESAS DE  SOJA CLASICAS PREFRITA</t>
  </si>
  <si>
    <t>MILANESAS DE  SOJA RELLENAS CON JAMON Y QUESO</t>
  </si>
  <si>
    <t>5% DCTO PARA OFERTA A PX EN FACTURA</t>
  </si>
  <si>
    <t>MILANESAS DE  SOJA RELLENAS CON ESPINACA Y QUESO</t>
  </si>
  <si>
    <t>MILANESAS DE  SOJA RELLENAS CON TOMATE Y QUESO</t>
  </si>
  <si>
    <t>BOCADITOS DE CARNE "SWIFT" - 12x380g</t>
  </si>
  <si>
    <t>BOCADITOS DE POLLO "SWIFT" - 12x380g</t>
  </si>
  <si>
    <t>BOCADITOS DE POLLO "SWIFT" - 10x760g</t>
  </si>
  <si>
    <t>CRUNCHIES DE POLLO "SWIFT" - 12x380g</t>
  </si>
  <si>
    <t>OFERTA INCORPORACION Compra 4 bolsa + 2 de regalo</t>
  </si>
  <si>
    <t>CRUNCHIES DE POLLO "SWIFT" - 10x760g</t>
  </si>
  <si>
    <t>BOCADITOS DE POLLO "SWIFT KIDS" - 12x400g</t>
  </si>
  <si>
    <t>BOCADITOS DE POLLO GASTRONOMICOS "LA BLANCA" - x6kg</t>
  </si>
  <si>
    <t>PALITO DE POLLO "SWIFT"  12 X 260 Grs.</t>
  </si>
  <si>
    <t>PALITO DE POLLO "SWIFT"  8 X 1 Kg..</t>
  </si>
  <si>
    <t>MILANESITAS DE CARNE "SWIFT" - 12x400g</t>
  </si>
  <si>
    <t>MEDALLONES DE POLLO "SWIFT" - 12x4x80g</t>
  </si>
  <si>
    <t>MEDALLONES DE POLLO GASTRONÓMICO  8x12x80 Grs.</t>
  </si>
  <si>
    <t>PAPAS PREFRITAS SUPERCONGELADAS 25x400gr</t>
  </si>
  <si>
    <t>PAPAS PREFRITAS SUPERCONGELADAS 6x2000gr</t>
  </si>
  <si>
    <t>MILANESA DE CARNE VACUNA CONGELADA 24un x 500grs</t>
  </si>
  <si>
    <t>MILANESA DE CARNE VACUNA CONGELADA 12un x 1000grs</t>
  </si>
  <si>
    <t xml:space="preserve">MILANESAS DE CARNE VACUNA CONG GRANEL 5 kg </t>
  </si>
  <si>
    <t>GRASA VACUNA REFINADA SWIFT 10 X 500</t>
  </si>
  <si>
    <t>Oferta a px en factura para $2.700 público</t>
  </si>
  <si>
    <t>GRASA VACUNA REFINADA SWIFT 12x1Kg</t>
  </si>
  <si>
    <t>Oferta a px en factura para $5.300 público</t>
  </si>
  <si>
    <t>CARNE PICADA CONGELADA 36 UN X 500 g SWIFT</t>
  </si>
  <si>
    <t>CARNE PICADA CONGELADA 20 UN X 1 kg SWIFT</t>
  </si>
  <si>
    <t>ENTRAÑA FINA ENF SWIFT</t>
  </si>
  <si>
    <t>ROAST BEEF EN PORCIONES ENF SWIFT (L)</t>
  </si>
  <si>
    <t>CARNAZA CUADRADA EN PORCIONES ENF SWIFT (L)</t>
  </si>
  <si>
    <t>TAPA DE ASADO EN PORCIONES ENF SWIFT (L)</t>
  </si>
  <si>
    <t>VACIO EN PORCIONES NOV ENFRIADO PARA VENTA LOCAL (L)</t>
  </si>
  <si>
    <t>BONDIOLA DE CERDO CONGELADA</t>
  </si>
  <si>
    <t>CHORIZOS FRESCOS DE CERDO LIBRE DE GLUTEN</t>
  </si>
  <si>
    <t>CHORIZOS FRESCOS DE CERDO CONGELADOS LIBRE DE GLUTEN 12u x 400g</t>
  </si>
  <si>
    <t>PAPAS PRE COCIDAS SUPERCONGELADAS LIBRES DE GLUTEN 700G</t>
  </si>
  <si>
    <t>14,29% de dcto a precio en factura para dinámica: compra 6 bolsas + 1 de regalo</t>
  </si>
  <si>
    <t>NUGGETS DE ESPINACA 300GR</t>
  </si>
  <si>
    <t>Oferta a Px en factura: $4.500</t>
  </si>
  <si>
    <t>NUGGETS DE BRÓCOLI 300GR</t>
  </si>
  <si>
    <t>MEDALLÓN DE CALABAZA Y CHOCLO 300GR</t>
  </si>
  <si>
    <t>Oferta a Px en factura: $3.900</t>
  </si>
  <si>
    <t>MEDALLÓN DE ESPINACA 300GR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</si>
</sst>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164" formatCode="#,##0.00_ ;[Red]\-#,##0.00\ "/>
    <numFmt numFmtId="165" formatCode="#,##0_ ;[Red]\-#,##0\ "/>
    <numFmt numFmtId="166" formatCode="_-&quot;$&quot;\ * #,##0_-;\-&quot;$&quot;\ * #,##0_-;_-&quot;$&quot;\ * &quot;-&quot;??_-;_-@_-"/>
    <numFmt numFmtId="167" formatCode="0.0%"/>
    <numFmt numFmtId="168" formatCode="#,##0.0_ ;[Red]\-#,##0.0\ "/>
    <numFmt numFmtId="169" formatCode="0.000%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color indexed="9"/>
      <name val="Aptos Narrow"/>
      <family val="2"/>
      <scheme val="minor"/>
    </font>
    <font>
      <b/>
      <sz val="9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9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theme="1"/>
      <name val="Aptos"/>
      <family val="2"/>
    </font>
    <font>
      <sz val="9"/>
      <name val="Calibri"/>
      <family val="2"/>
    </font>
    <font>
      <b/>
      <sz val="9"/>
      <name val="Calibri"/>
      <family val="2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0"/>
      </left>
      <right style="thin">
        <color indexed="20"/>
      </right>
      <top style="medium">
        <color indexed="64"/>
      </top>
      <bottom style="thin">
        <color indexed="2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/>
  </cellStyleXfs>
  <cellXfs count="152">
    <xf numFmtId="0" fontId="0" fillId="0" borderId="0" xfId="0"/>
    <xf numFmtId="0" fontId="4" fillId="2" borderId="1" xfId="3" applyFont="1" applyFill="1" applyBorder="1" applyAlignment="1">
      <alignment horizontal="center" vertical="distributed"/>
    </xf>
    <xf numFmtId="0" fontId="4" fillId="2" borderId="2" xfId="3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distributed"/>
    </xf>
    <xf numFmtId="2" fontId="4" fillId="2" borderId="2" xfId="3" applyNumberFormat="1" applyFont="1" applyFill="1" applyBorder="1" applyAlignment="1">
      <alignment horizontal="center" vertical="distributed"/>
    </xf>
    <xf numFmtId="0" fontId="4" fillId="2" borderId="2" xfId="3" applyFont="1" applyFill="1" applyBorder="1" applyAlignment="1">
      <alignment horizontal="center" vertical="center" wrapText="1"/>
    </xf>
    <xf numFmtId="1" fontId="4" fillId="2" borderId="3" xfId="3" applyNumberFormat="1" applyFont="1" applyFill="1" applyBorder="1" applyAlignment="1">
      <alignment horizontal="center" vertical="center" wrapText="1"/>
    </xf>
    <xf numFmtId="1" fontId="4" fillId="0" borderId="0" xfId="3" applyNumberFormat="1" applyFont="1" applyAlignment="1">
      <alignment horizontal="center" vertical="center" wrapText="1"/>
    </xf>
    <xf numFmtId="14" fontId="4" fillId="3" borderId="3" xfId="3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5" fillId="4" borderId="7" xfId="3" applyFont="1" applyFill="1" applyBorder="1" applyAlignment="1" applyProtection="1">
      <alignment horizontal="center" vertical="center"/>
      <protection hidden="1"/>
    </xf>
    <xf numFmtId="0" fontId="5" fillId="4" borderId="8" xfId="3" applyFont="1" applyFill="1" applyBorder="1" applyAlignment="1" applyProtection="1">
      <alignment vertical="center"/>
      <protection hidden="1"/>
    </xf>
    <xf numFmtId="0" fontId="5" fillId="4" borderId="8" xfId="3" applyFont="1" applyFill="1" applyBorder="1" applyAlignment="1" applyProtection="1">
      <alignment horizontal="center" vertical="center"/>
      <protection hidden="1"/>
    </xf>
    <xf numFmtId="2" fontId="5" fillId="4" borderId="8" xfId="3" applyNumberFormat="1" applyFont="1" applyFill="1" applyBorder="1" applyAlignment="1" applyProtection="1">
      <alignment vertical="center"/>
      <protection hidden="1"/>
    </xf>
    <xf numFmtId="0" fontId="6" fillId="5" borderId="8" xfId="0" applyFont="1" applyFill="1" applyBorder="1"/>
    <xf numFmtId="9" fontId="6" fillId="5" borderId="8" xfId="0" applyNumberFormat="1" applyFont="1" applyFill="1" applyBorder="1"/>
    <xf numFmtId="1" fontId="6" fillId="5" borderId="9" xfId="0" applyNumberFormat="1" applyFont="1" applyFill="1" applyBorder="1"/>
    <xf numFmtId="1" fontId="6" fillId="0" borderId="0" xfId="0" applyNumberFormat="1" applyFont="1"/>
    <xf numFmtId="0" fontId="0" fillId="0" borderId="10" xfId="0" applyBorder="1"/>
    <xf numFmtId="0" fontId="0" fillId="0" borderId="11" xfId="0" applyBorder="1"/>
    <xf numFmtId="0" fontId="7" fillId="0" borderId="12" xfId="4" applyFont="1" applyBorder="1" applyAlignment="1">
      <alignment horizontal="center"/>
    </xf>
    <xf numFmtId="0" fontId="7" fillId="0" borderId="13" xfId="4" applyFont="1" applyBorder="1"/>
    <xf numFmtId="1" fontId="7" fillId="0" borderId="13" xfId="3" applyNumberFormat="1" applyFont="1" applyBorder="1" applyAlignment="1">
      <alignment horizontal="center"/>
    </xf>
    <xf numFmtId="164" fontId="5" fillId="0" borderId="13" xfId="3" applyNumberFormat="1" applyFont="1" applyBorder="1" applyAlignment="1">
      <alignment horizontal="center"/>
    </xf>
    <xf numFmtId="165" fontId="5" fillId="0" borderId="13" xfId="3" applyNumberFormat="1" applyFont="1" applyBorder="1" applyAlignment="1">
      <alignment horizontal="center"/>
    </xf>
    <xf numFmtId="2" fontId="7" fillId="0" borderId="13" xfId="3" applyNumberFormat="1" applyFont="1" applyBorder="1" applyAlignment="1">
      <alignment horizontal="center"/>
    </xf>
    <xf numFmtId="1" fontId="7" fillId="0" borderId="14" xfId="3" applyNumberFormat="1" applyFont="1" applyBorder="1" applyAlignment="1">
      <alignment horizontal="center"/>
    </xf>
    <xf numFmtId="9" fontId="8" fillId="0" borderId="0" xfId="2" applyFont="1" applyAlignment="1">
      <alignment horizontal="center"/>
    </xf>
    <xf numFmtId="9" fontId="0" fillId="0" borderId="15" xfId="2" applyFont="1" applyBorder="1" applyAlignment="1">
      <alignment horizontal="center"/>
    </xf>
    <xf numFmtId="44" fontId="0" fillId="0" borderId="16" xfId="1" applyFont="1" applyBorder="1"/>
    <xf numFmtId="166" fontId="0" fillId="0" borderId="16" xfId="1" applyNumberFormat="1" applyFont="1" applyBorder="1"/>
    <xf numFmtId="0" fontId="0" fillId="6" borderId="16" xfId="0" applyFill="1" applyBorder="1"/>
    <xf numFmtId="0" fontId="0" fillId="0" borderId="17" xfId="0" applyBorder="1"/>
    <xf numFmtId="0" fontId="7" fillId="0" borderId="12" xfId="4" applyFont="1" applyFill="1" applyBorder="1" applyAlignment="1">
      <alignment horizontal="center"/>
    </xf>
    <xf numFmtId="0" fontId="7" fillId="0" borderId="12" xfId="3" applyFont="1" applyBorder="1" applyAlignment="1">
      <alignment horizontal="center"/>
    </xf>
    <xf numFmtId="0" fontId="7" fillId="0" borderId="13" xfId="3" applyFont="1" applyBorder="1" applyAlignment="1">
      <alignment horizontal="left"/>
    </xf>
    <xf numFmtId="0" fontId="7" fillId="6" borderId="12" xfId="3" applyFont="1" applyFill="1" applyBorder="1" applyAlignment="1">
      <alignment horizontal="center"/>
    </xf>
    <xf numFmtId="0" fontId="7" fillId="6" borderId="13" xfId="3" applyFont="1" applyFill="1" applyBorder="1" applyAlignment="1">
      <alignment horizontal="left"/>
    </xf>
    <xf numFmtId="1" fontId="7" fillId="6" borderId="13" xfId="3" applyNumberFormat="1" applyFont="1" applyFill="1" applyBorder="1" applyAlignment="1">
      <alignment horizontal="center"/>
    </xf>
    <xf numFmtId="164" fontId="5" fillId="6" borderId="13" xfId="3" applyNumberFormat="1" applyFont="1" applyFill="1" applyBorder="1" applyAlignment="1">
      <alignment horizontal="center"/>
    </xf>
    <xf numFmtId="165" fontId="5" fillId="6" borderId="13" xfId="3" applyNumberFormat="1" applyFont="1" applyFill="1" applyBorder="1" applyAlignment="1">
      <alignment horizontal="center"/>
    </xf>
    <xf numFmtId="2" fontId="7" fillId="6" borderId="13" xfId="3" applyNumberFormat="1" applyFont="1" applyFill="1" applyBorder="1" applyAlignment="1">
      <alignment horizontal="center"/>
    </xf>
    <xf numFmtId="9" fontId="9" fillId="6" borderId="0" xfId="2" applyFont="1" applyFill="1" applyAlignment="1">
      <alignment horizontal="center"/>
    </xf>
    <xf numFmtId="1" fontId="7" fillId="6" borderId="14" xfId="3" applyNumberFormat="1" applyFont="1" applyFill="1" applyBorder="1" applyAlignment="1">
      <alignment horizontal="center"/>
    </xf>
    <xf numFmtId="2" fontId="8" fillId="6" borderId="0" xfId="3" applyNumberFormat="1" applyFont="1" applyFill="1" applyAlignment="1">
      <alignment horizontal="left"/>
    </xf>
    <xf numFmtId="9" fontId="9" fillId="0" borderId="0" xfId="2" applyFont="1" applyAlignment="1">
      <alignment horizontal="center"/>
    </xf>
    <xf numFmtId="2" fontId="8" fillId="0" borderId="0" xfId="3" applyNumberFormat="1" applyFont="1" applyAlignment="1">
      <alignment horizontal="left"/>
    </xf>
    <xf numFmtId="2" fontId="7" fillId="7" borderId="13" xfId="3" applyNumberFormat="1" applyFont="1" applyFill="1" applyBorder="1" applyAlignment="1">
      <alignment horizontal="center"/>
    </xf>
    <xf numFmtId="0" fontId="7" fillId="0" borderId="13" xfId="4" applyFont="1" applyFill="1" applyBorder="1"/>
    <xf numFmtId="1" fontId="7" fillId="0" borderId="13" xfId="4" applyNumberFormat="1" applyFont="1" applyFill="1" applyBorder="1" applyAlignment="1">
      <alignment horizontal="center"/>
    </xf>
    <xf numFmtId="0" fontId="5" fillId="4" borderId="12" xfId="3" applyFont="1" applyFill="1" applyBorder="1" applyAlignment="1" applyProtection="1">
      <alignment horizontal="center" vertical="center"/>
      <protection hidden="1"/>
    </xf>
    <xf numFmtId="0" fontId="5" fillId="4" borderId="13" xfId="3" applyFont="1" applyFill="1" applyBorder="1" applyAlignment="1" applyProtection="1">
      <alignment vertical="center"/>
      <protection hidden="1"/>
    </xf>
    <xf numFmtId="0" fontId="5" fillId="4" borderId="13" xfId="3" applyFont="1" applyFill="1" applyBorder="1" applyAlignment="1" applyProtection="1">
      <alignment horizontal="center" vertical="center"/>
      <protection hidden="1"/>
    </xf>
    <xf numFmtId="165" fontId="5" fillId="4" borderId="13" xfId="3" applyNumberFormat="1" applyFont="1" applyFill="1" applyBorder="1" applyAlignment="1" applyProtection="1">
      <alignment vertical="center"/>
      <protection hidden="1"/>
    </xf>
    <xf numFmtId="2" fontId="7" fillId="4" borderId="13" xfId="3" applyNumberFormat="1" applyFont="1" applyFill="1" applyBorder="1" applyAlignment="1" applyProtection="1">
      <alignment vertical="center"/>
      <protection hidden="1"/>
    </xf>
    <xf numFmtId="0" fontId="6" fillId="5" borderId="13" xfId="0" applyFont="1" applyFill="1" applyBorder="1"/>
    <xf numFmtId="9" fontId="6" fillId="5" borderId="13" xfId="0" applyNumberFormat="1" applyFont="1" applyFill="1" applyBorder="1"/>
    <xf numFmtId="1" fontId="6" fillId="5" borderId="14" xfId="0" applyNumberFormat="1" applyFont="1" applyFill="1" applyBorder="1"/>
    <xf numFmtId="9" fontId="5" fillId="6" borderId="13" xfId="2" applyFont="1" applyFill="1" applyBorder="1" applyAlignment="1">
      <alignment horizontal="center"/>
    </xf>
    <xf numFmtId="2" fontId="7" fillId="6" borderId="14" xfId="3" applyNumberFormat="1" applyFont="1" applyFill="1" applyBorder="1" applyAlignment="1">
      <alignment horizontal="center"/>
    </xf>
    <xf numFmtId="9" fontId="0" fillId="0" borderId="18" xfId="2" applyFont="1" applyBorder="1" applyAlignment="1">
      <alignment horizontal="center"/>
    </xf>
    <xf numFmtId="44" fontId="0" fillId="0" borderId="19" xfId="1" applyFont="1" applyBorder="1"/>
    <xf numFmtId="166" fontId="0" fillId="0" borderId="19" xfId="1" applyNumberFormat="1" applyFont="1" applyBorder="1"/>
    <xf numFmtId="0" fontId="0" fillId="6" borderId="19" xfId="0" applyFill="1" applyBorder="1"/>
    <xf numFmtId="0" fontId="0" fillId="0" borderId="20" xfId="0" applyBorder="1"/>
    <xf numFmtId="0" fontId="6" fillId="0" borderId="0" xfId="0" applyFont="1"/>
    <xf numFmtId="44" fontId="0" fillId="0" borderId="0" xfId="1" applyFont="1" applyBorder="1"/>
    <xf numFmtId="166" fontId="0" fillId="0" borderId="0" xfId="1" applyNumberFormat="1" applyFont="1" applyBorder="1"/>
    <xf numFmtId="0" fontId="0" fillId="6" borderId="0" xfId="0" applyFill="1"/>
    <xf numFmtId="2" fontId="6" fillId="0" borderId="13" xfId="3" applyNumberFormat="1" applyFont="1" applyBorder="1" applyAlignment="1">
      <alignment horizontal="center"/>
    </xf>
    <xf numFmtId="9" fontId="5" fillId="0" borderId="13" xfId="2" applyFont="1" applyFill="1" applyBorder="1" applyAlignment="1">
      <alignment horizontal="center"/>
    </xf>
    <xf numFmtId="2" fontId="0" fillId="0" borderId="0" xfId="0" applyNumberFormat="1"/>
    <xf numFmtId="0" fontId="10" fillId="0" borderId="0" xfId="0" applyFont="1"/>
    <xf numFmtId="0" fontId="7" fillId="0" borderId="13" xfId="3" applyFont="1" applyBorder="1" applyAlignment="1">
      <alignment horizontal="center"/>
    </xf>
    <xf numFmtId="0" fontId="0" fillId="0" borderId="0" xfId="0" applyAlignment="1">
      <alignment horizontal="center"/>
    </xf>
    <xf numFmtId="10" fontId="5" fillId="6" borderId="13" xfId="2" applyNumberFormat="1" applyFont="1" applyFill="1" applyBorder="1" applyAlignment="1">
      <alignment horizontal="center"/>
    </xf>
    <xf numFmtId="167" fontId="5" fillId="0" borderId="13" xfId="2" applyNumberFormat="1" applyFont="1" applyFill="1" applyBorder="1" applyAlignment="1">
      <alignment horizontal="center"/>
    </xf>
    <xf numFmtId="167" fontId="5" fillId="6" borderId="13" xfId="2" applyNumberFormat="1" applyFont="1" applyFill="1" applyBorder="1" applyAlignment="1">
      <alignment horizontal="center"/>
    </xf>
    <xf numFmtId="10" fontId="5" fillId="4" borderId="13" xfId="3" applyNumberFormat="1" applyFont="1" applyFill="1" applyBorder="1" applyAlignment="1" applyProtection="1">
      <alignment vertical="center"/>
      <protection hidden="1"/>
    </xf>
    <xf numFmtId="10" fontId="5" fillId="0" borderId="13" xfId="3" applyNumberFormat="1" applyFont="1" applyBorder="1" applyAlignment="1">
      <alignment horizontal="center"/>
    </xf>
    <xf numFmtId="10" fontId="5" fillId="0" borderId="13" xfId="2" applyNumberFormat="1" applyFont="1" applyFill="1" applyBorder="1" applyAlignment="1">
      <alignment horizontal="center"/>
    </xf>
    <xf numFmtId="2" fontId="7" fillId="0" borderId="14" xfId="3" applyNumberFormat="1" applyFont="1" applyBorder="1" applyAlignment="1">
      <alignment horizontal="center"/>
    </xf>
    <xf numFmtId="0" fontId="11" fillId="0" borderId="12" xfId="3" applyFont="1" applyBorder="1" applyAlignment="1">
      <alignment horizontal="center"/>
    </xf>
    <xf numFmtId="0" fontId="11" fillId="0" borderId="13" xfId="3" applyFont="1" applyBorder="1" applyAlignment="1">
      <alignment horizontal="left"/>
    </xf>
    <xf numFmtId="1" fontId="11" fillId="0" borderId="13" xfId="3" applyNumberFormat="1" applyFont="1" applyBorder="1" applyAlignment="1">
      <alignment horizontal="center"/>
    </xf>
    <xf numFmtId="164" fontId="12" fillId="0" borderId="13" xfId="3" applyNumberFormat="1" applyFont="1" applyBorder="1" applyAlignment="1">
      <alignment horizontal="center"/>
    </xf>
    <xf numFmtId="165" fontId="12" fillId="0" borderId="13" xfId="3" applyNumberFormat="1" applyFont="1" applyBorder="1" applyAlignment="1">
      <alignment horizontal="center"/>
    </xf>
    <xf numFmtId="2" fontId="11" fillId="0" borderId="13" xfId="3" applyNumberFormat="1" applyFont="1" applyBorder="1" applyAlignment="1">
      <alignment horizontal="center"/>
    </xf>
    <xf numFmtId="10" fontId="12" fillId="0" borderId="13" xfId="3" applyNumberFormat="1" applyFont="1" applyBorder="1" applyAlignment="1">
      <alignment horizontal="center"/>
    </xf>
    <xf numFmtId="1" fontId="11" fillId="0" borderId="14" xfId="3" applyNumberFormat="1" applyFont="1" applyBorder="1" applyAlignment="1">
      <alignment horizontal="center"/>
    </xf>
    <xf numFmtId="0" fontId="11" fillId="6" borderId="13" xfId="3" applyFont="1" applyFill="1" applyBorder="1" applyAlignment="1">
      <alignment horizontal="center"/>
    </xf>
    <xf numFmtId="0" fontId="11" fillId="6" borderId="13" xfId="3" applyFont="1" applyFill="1" applyBorder="1" applyAlignment="1">
      <alignment horizontal="left"/>
    </xf>
    <xf numFmtId="1" fontId="11" fillId="0" borderId="13" xfId="3" applyNumberFormat="1" applyFont="1" applyBorder="1" applyAlignment="1">
      <alignment horizontal="left"/>
    </xf>
    <xf numFmtId="0" fontId="5" fillId="4" borderId="21" xfId="3" applyFont="1" applyFill="1" applyBorder="1" applyAlignment="1" applyProtection="1">
      <alignment horizontal="center" vertical="center"/>
      <protection hidden="1"/>
    </xf>
    <xf numFmtId="0" fontId="5" fillId="4" borderId="22" xfId="3" applyFont="1" applyFill="1" applyBorder="1" applyAlignment="1" applyProtection="1">
      <alignment vertical="center"/>
      <protection hidden="1"/>
    </xf>
    <xf numFmtId="0" fontId="5" fillId="4" borderId="22" xfId="3" applyFont="1" applyFill="1" applyBorder="1" applyAlignment="1" applyProtection="1">
      <alignment horizontal="center" vertical="center"/>
      <protection hidden="1"/>
    </xf>
    <xf numFmtId="165" fontId="5" fillId="4" borderId="22" xfId="3" applyNumberFormat="1" applyFont="1" applyFill="1" applyBorder="1" applyAlignment="1" applyProtection="1">
      <alignment vertical="center"/>
      <protection hidden="1"/>
    </xf>
    <xf numFmtId="2" fontId="7" fillId="4" borderId="22" xfId="3" applyNumberFormat="1" applyFont="1" applyFill="1" applyBorder="1" applyAlignment="1" applyProtection="1">
      <alignment vertical="center"/>
      <protection hidden="1"/>
    </xf>
    <xf numFmtId="10" fontId="5" fillId="4" borderId="22" xfId="3" applyNumberFormat="1" applyFont="1" applyFill="1" applyBorder="1" applyAlignment="1" applyProtection="1">
      <alignment vertical="center"/>
      <protection hidden="1"/>
    </xf>
    <xf numFmtId="1" fontId="7" fillId="4" borderId="23" xfId="3" applyNumberFormat="1" applyFont="1" applyFill="1" applyBorder="1" applyAlignment="1" applyProtection="1">
      <alignment vertical="center"/>
      <protection hidden="1"/>
    </xf>
    <xf numFmtId="0" fontId="7" fillId="0" borderId="24" xfId="3" applyFont="1" applyBorder="1" applyAlignment="1">
      <alignment horizontal="center"/>
    </xf>
    <xf numFmtId="0" fontId="7" fillId="0" borderId="25" xfId="3" applyFont="1" applyBorder="1" applyAlignment="1">
      <alignment horizontal="left"/>
    </xf>
    <xf numFmtId="1" fontId="11" fillId="0" borderId="26" xfId="3" applyNumberFormat="1" applyFont="1" applyBorder="1" applyAlignment="1">
      <alignment horizontal="left"/>
    </xf>
    <xf numFmtId="164" fontId="5" fillId="0" borderId="25" xfId="3" applyNumberFormat="1" applyFont="1" applyBorder="1" applyAlignment="1">
      <alignment horizontal="center"/>
    </xf>
    <xf numFmtId="165" fontId="5" fillId="0" borderId="25" xfId="3" applyNumberFormat="1" applyFont="1" applyBorder="1" applyAlignment="1">
      <alignment horizontal="center"/>
    </xf>
    <xf numFmtId="2" fontId="7" fillId="0" borderId="25" xfId="3" applyNumberFormat="1" applyFont="1" applyBorder="1" applyAlignment="1">
      <alignment horizontal="center"/>
    </xf>
    <xf numFmtId="10" fontId="5" fillId="0" borderId="25" xfId="3" applyNumberFormat="1" applyFont="1" applyBorder="1" applyAlignment="1">
      <alignment horizontal="center"/>
    </xf>
    <xf numFmtId="1" fontId="7" fillId="0" borderId="27" xfId="3" applyNumberFormat="1" applyFont="1" applyBorder="1" applyAlignment="1">
      <alignment horizontal="center"/>
    </xf>
    <xf numFmtId="1" fontId="11" fillId="0" borderId="28" xfId="3" applyNumberFormat="1" applyFont="1" applyBorder="1" applyAlignment="1">
      <alignment horizontal="left"/>
    </xf>
    <xf numFmtId="0" fontId="7" fillId="0" borderId="29" xfId="3" applyFont="1" applyBorder="1" applyAlignment="1">
      <alignment horizontal="center"/>
    </xf>
    <xf numFmtId="0" fontId="7" fillId="0" borderId="30" xfId="3" applyFont="1" applyBorder="1" applyAlignment="1">
      <alignment horizontal="left"/>
    </xf>
    <xf numFmtId="1" fontId="11" fillId="0" borderId="31" xfId="3" applyNumberFormat="1" applyFont="1" applyBorder="1" applyAlignment="1">
      <alignment horizontal="left"/>
    </xf>
    <xf numFmtId="164" fontId="5" fillId="0" borderId="30" xfId="3" applyNumberFormat="1" applyFont="1" applyBorder="1" applyAlignment="1">
      <alignment horizontal="center"/>
    </xf>
    <xf numFmtId="165" fontId="5" fillId="0" borderId="30" xfId="3" applyNumberFormat="1" applyFont="1" applyBorder="1" applyAlignment="1">
      <alignment horizontal="center"/>
    </xf>
    <xf numFmtId="2" fontId="7" fillId="0" borderId="30" xfId="3" applyNumberFormat="1" applyFont="1" applyBorder="1" applyAlignment="1">
      <alignment horizontal="center"/>
    </xf>
    <xf numFmtId="10" fontId="5" fillId="0" borderId="30" xfId="3" applyNumberFormat="1" applyFont="1" applyBorder="1" applyAlignment="1">
      <alignment horizontal="center"/>
    </xf>
    <xf numFmtId="1" fontId="7" fillId="0" borderId="32" xfId="3" applyNumberFormat="1" applyFont="1" applyBorder="1" applyAlignment="1">
      <alignment horizontal="center"/>
    </xf>
    <xf numFmtId="0" fontId="5" fillId="4" borderId="33" xfId="3" applyFont="1" applyFill="1" applyBorder="1" applyAlignment="1" applyProtection="1">
      <alignment horizontal="center" vertical="center"/>
      <protection hidden="1"/>
    </xf>
    <xf numFmtId="0" fontId="5" fillId="4" borderId="34" xfId="3" applyFont="1" applyFill="1" applyBorder="1" applyAlignment="1" applyProtection="1">
      <alignment vertical="center"/>
      <protection hidden="1"/>
    </xf>
    <xf numFmtId="0" fontId="5" fillId="4" borderId="34" xfId="3" applyFont="1" applyFill="1" applyBorder="1" applyAlignment="1" applyProtection="1">
      <alignment horizontal="center" vertical="center"/>
      <protection hidden="1"/>
    </xf>
    <xf numFmtId="165" fontId="5" fillId="4" borderId="34" xfId="3" applyNumberFormat="1" applyFont="1" applyFill="1" applyBorder="1" applyAlignment="1" applyProtection="1">
      <alignment vertical="center"/>
      <protection hidden="1"/>
    </xf>
    <xf numFmtId="2" fontId="7" fillId="4" borderId="34" xfId="3" applyNumberFormat="1" applyFont="1" applyFill="1" applyBorder="1" applyAlignment="1" applyProtection="1">
      <alignment vertical="center"/>
      <protection hidden="1"/>
    </xf>
    <xf numFmtId="10" fontId="5" fillId="4" borderId="34" xfId="3" applyNumberFormat="1" applyFont="1" applyFill="1" applyBorder="1" applyAlignment="1" applyProtection="1">
      <alignment vertical="center"/>
      <protection hidden="1"/>
    </xf>
    <xf numFmtId="1" fontId="7" fillId="4" borderId="35" xfId="3" applyNumberFormat="1" applyFont="1" applyFill="1" applyBorder="1" applyAlignment="1" applyProtection="1">
      <alignment vertical="center"/>
      <protection hidden="1"/>
    </xf>
    <xf numFmtId="0" fontId="13" fillId="6" borderId="24" xfId="5" applyFont="1" applyFill="1" applyBorder="1" applyAlignment="1">
      <alignment horizontal="center"/>
    </xf>
    <xf numFmtId="0" fontId="13" fillId="6" borderId="25" xfId="5" applyFont="1" applyFill="1" applyBorder="1"/>
    <xf numFmtId="1" fontId="11" fillId="6" borderId="26" xfId="3" applyNumberFormat="1" applyFont="1" applyFill="1" applyBorder="1" applyAlignment="1">
      <alignment horizontal="left"/>
    </xf>
    <xf numFmtId="0" fontId="14" fillId="6" borderId="25" xfId="5" applyFont="1" applyFill="1" applyBorder="1"/>
    <xf numFmtId="2" fontId="7" fillId="6" borderId="25" xfId="3" applyNumberFormat="1" applyFont="1" applyFill="1" applyBorder="1" applyAlignment="1">
      <alignment horizontal="center"/>
    </xf>
    <xf numFmtId="1" fontId="7" fillId="6" borderId="27" xfId="3" applyNumberFormat="1" applyFont="1" applyFill="1" applyBorder="1" applyAlignment="1">
      <alignment horizontal="center"/>
    </xf>
    <xf numFmtId="0" fontId="13" fillId="6" borderId="29" xfId="5" applyFont="1" applyFill="1" applyBorder="1" applyAlignment="1">
      <alignment horizontal="center"/>
    </xf>
    <xf numFmtId="0" fontId="13" fillId="6" borderId="30" xfId="5" applyFont="1" applyFill="1" applyBorder="1"/>
    <xf numFmtId="1" fontId="11" fillId="6" borderId="31" xfId="3" applyNumberFormat="1" applyFont="1" applyFill="1" applyBorder="1" applyAlignment="1">
      <alignment horizontal="left"/>
    </xf>
    <xf numFmtId="0" fontId="14" fillId="6" borderId="30" xfId="5" applyFont="1" applyFill="1" applyBorder="1"/>
    <xf numFmtId="2" fontId="7" fillId="6" borderId="30" xfId="3" applyNumberFormat="1" applyFont="1" applyFill="1" applyBorder="1" applyAlignment="1">
      <alignment horizontal="center"/>
    </xf>
    <xf numFmtId="1" fontId="7" fillId="6" borderId="32" xfId="3" applyNumberFormat="1" applyFont="1" applyFill="1" applyBorder="1" applyAlignment="1">
      <alignment horizontal="center"/>
    </xf>
    <xf numFmtId="10" fontId="7" fillId="4" borderId="34" xfId="2" applyNumberFormat="1" applyFont="1" applyFill="1" applyBorder="1" applyAlignment="1" applyProtection="1">
      <alignment vertical="center"/>
      <protection hidden="1"/>
    </xf>
    <xf numFmtId="10" fontId="7" fillId="4" borderId="35" xfId="2" applyNumberFormat="1" applyFont="1" applyFill="1" applyBorder="1" applyAlignment="1" applyProtection="1">
      <alignment vertical="center"/>
      <protection hidden="1"/>
    </xf>
    <xf numFmtId="0" fontId="7" fillId="0" borderId="33" xfId="3" applyFont="1" applyBorder="1" applyAlignment="1">
      <alignment horizontal="center"/>
    </xf>
    <xf numFmtId="0" fontId="7" fillId="0" borderId="34" xfId="3" applyFont="1" applyBorder="1" applyAlignment="1">
      <alignment horizontal="left"/>
    </xf>
    <xf numFmtId="1" fontId="7" fillId="0" borderId="34" xfId="3" applyNumberFormat="1" applyFont="1" applyBorder="1" applyAlignment="1">
      <alignment horizontal="center"/>
    </xf>
    <xf numFmtId="168" fontId="5" fillId="0" borderId="13" xfId="3" applyNumberFormat="1" applyFont="1" applyBorder="1" applyAlignment="1">
      <alignment horizontal="center"/>
    </xf>
    <xf numFmtId="1" fontId="11" fillId="6" borderId="13" xfId="3" applyNumberFormat="1" applyFont="1" applyFill="1" applyBorder="1" applyAlignment="1">
      <alignment horizontal="center"/>
    </xf>
    <xf numFmtId="168" fontId="5" fillId="6" borderId="13" xfId="3" applyNumberFormat="1" applyFont="1" applyFill="1" applyBorder="1" applyAlignment="1">
      <alignment horizontal="center"/>
    </xf>
    <xf numFmtId="10" fontId="5" fillId="6" borderId="13" xfId="3" applyNumberFormat="1" applyFont="1" applyFill="1" applyBorder="1" applyAlignment="1">
      <alignment horizontal="center"/>
    </xf>
    <xf numFmtId="9" fontId="0" fillId="0" borderId="0" xfId="2" applyFont="1" applyBorder="1" applyAlignment="1">
      <alignment horizontal="center"/>
    </xf>
    <xf numFmtId="0" fontId="11" fillId="0" borderId="13" xfId="3" applyFont="1" applyBorder="1" applyAlignment="1">
      <alignment horizontal="center"/>
    </xf>
    <xf numFmtId="10" fontId="5" fillId="6" borderId="34" xfId="3" applyNumberFormat="1" applyFont="1" applyFill="1" applyBorder="1" applyAlignment="1">
      <alignment horizontal="center"/>
    </xf>
    <xf numFmtId="169" fontId="5" fillId="6" borderId="13" xfId="2" applyNumberFormat="1" applyFont="1" applyFill="1" applyBorder="1" applyAlignment="1">
      <alignment horizontal="center"/>
    </xf>
    <xf numFmtId="167" fontId="2" fillId="6" borderId="13" xfId="2" applyNumberFormat="1" applyFont="1" applyFill="1" applyBorder="1"/>
  </cellXfs>
  <cellStyles count="6">
    <cellStyle name="Moneda" xfId="1" builtinId="4"/>
    <cellStyle name="Normal" xfId="0" builtinId="0"/>
    <cellStyle name="Normal 3" xfId="4" xr:uid="{A07C9A69-ED0F-4EB3-A2EE-9727CFE3F5D4}"/>
    <cellStyle name="Normal_ARQUITECTURA DE PRECIOS 1 0" xfId="3" xr:uid="{D6E0F1DF-0504-46D7-960F-837FA32283C1}"/>
    <cellStyle name="Normal_Precio públicos al 01-03" xfId="5" xr:uid="{827B6CD1-4316-42D5-8A2F-75655B3B08B8}"/>
    <cellStyle name="Porcentaje" xfId="2" builtinId="5"/>
  </cellStyles>
  <dxfs count="16">
    <dxf>
      <font>
        <b/>
        <i val="0"/>
        <color rgb="FFFF0066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333B3-750C-4BB9-BC83-85D1C6528C81}">
  <dimension ref="A1:X103"/>
  <sheetViews>
    <sheetView tabSelected="1" topLeftCell="A38" workbookViewId="0">
      <selection activeCell="A39" sqref="A39:F53"/>
    </sheetView>
  </sheetViews>
  <sheetFormatPr baseColWidth="10" defaultRowHeight="15" x14ac:dyDescent="0.25"/>
  <cols>
    <col min="2" max="2" width="44.7109375" customWidth="1"/>
    <col min="3" max="3" width="12.140625" bestFit="1" customWidth="1"/>
    <col min="4" max="5" width="0" hidden="1" customWidth="1"/>
  </cols>
  <sheetData>
    <row r="1" spans="1:24" ht="36.75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7"/>
      <c r="Q1" s="8" t="s">
        <v>15</v>
      </c>
      <c r="S1" s="9" t="s">
        <v>16</v>
      </c>
      <c r="T1" s="10" t="s">
        <v>17</v>
      </c>
      <c r="U1" s="10" t="s">
        <v>18</v>
      </c>
      <c r="V1" s="10" t="s">
        <v>19</v>
      </c>
      <c r="W1" s="10" t="s">
        <v>20</v>
      </c>
      <c r="X1" s="11" t="s">
        <v>21</v>
      </c>
    </row>
    <row r="2" spans="1:24" x14ac:dyDescent="0.25">
      <c r="A2" s="12"/>
      <c r="B2" s="13"/>
      <c r="C2" s="14"/>
      <c r="D2" s="13"/>
      <c r="E2" s="13"/>
      <c r="F2" s="15"/>
      <c r="G2" s="13"/>
      <c r="H2" s="15"/>
      <c r="I2" s="16"/>
      <c r="J2" s="17">
        <v>0.21</v>
      </c>
      <c r="K2" s="16"/>
      <c r="L2" s="17">
        <v>0.35</v>
      </c>
      <c r="M2" s="16"/>
      <c r="N2" s="17">
        <v>0.45</v>
      </c>
      <c r="O2" s="18"/>
      <c r="P2" s="19"/>
      <c r="Q2" s="18"/>
      <c r="S2" s="20"/>
      <c r="X2" s="21"/>
    </row>
    <row r="3" spans="1:24" ht="15.75" thickBot="1" x14ac:dyDescent="0.3">
      <c r="A3" s="22">
        <v>100021632</v>
      </c>
      <c r="B3" s="23" t="s">
        <v>22</v>
      </c>
      <c r="C3" s="24">
        <v>7790360026606</v>
      </c>
      <c r="D3" s="25">
        <v>4.8</v>
      </c>
      <c r="E3" s="26">
        <v>30</v>
      </c>
      <c r="F3" s="27">
        <v>35504.216892277022</v>
      </c>
      <c r="G3" s="26"/>
      <c r="H3" s="27">
        <v>35504.216892277022</v>
      </c>
      <c r="I3" s="27">
        <v>1183.4738964092342</v>
      </c>
      <c r="J3" s="27">
        <v>248.52951824593916</v>
      </c>
      <c r="K3" s="27">
        <v>1432.0034146551734</v>
      </c>
      <c r="L3" s="27">
        <v>501.20119512931063</v>
      </c>
      <c r="M3" s="27">
        <v>1933.2046097844841</v>
      </c>
      <c r="N3" s="27">
        <v>869.94207440301784</v>
      </c>
      <c r="O3" s="28">
        <v>2803.1466841875017</v>
      </c>
      <c r="P3" s="29">
        <f t="shared" ref="P3:P38" si="0">H3/Q3-1</f>
        <v>0</v>
      </c>
      <c r="Q3" s="28">
        <v>35504.216892277022</v>
      </c>
      <c r="S3" s="30">
        <v>7.0000000000000007E-2</v>
      </c>
      <c r="T3" s="31">
        <f>+H3*(1-S3)</f>
        <v>33018.92170981763</v>
      </c>
      <c r="U3" s="31">
        <f>+T3/E3</f>
        <v>1100.6307236605876</v>
      </c>
      <c r="V3" s="32">
        <f>+U3*1.21*1.33*1.422</f>
        <v>2518.710423540691</v>
      </c>
      <c r="W3" s="33" t="s">
        <v>23</v>
      </c>
      <c r="X3" s="34" t="s">
        <v>24</v>
      </c>
    </row>
    <row r="4" spans="1:24" x14ac:dyDescent="0.25">
      <c r="A4" s="35">
        <v>100021652</v>
      </c>
      <c r="B4" s="23" t="s">
        <v>25</v>
      </c>
      <c r="C4" s="24">
        <v>7790360026576</v>
      </c>
      <c r="D4" s="25">
        <v>5.76</v>
      </c>
      <c r="E4" s="26">
        <v>18</v>
      </c>
      <c r="F4" s="27">
        <v>42740.610273582228</v>
      </c>
      <c r="G4" s="26"/>
      <c r="H4" s="27">
        <v>42740.610273582228</v>
      </c>
      <c r="I4" s="27">
        <v>2374.478348532346</v>
      </c>
      <c r="J4" s="27">
        <v>498.64045319179263</v>
      </c>
      <c r="K4" s="27">
        <v>2873.1188017241384</v>
      </c>
      <c r="L4" s="27">
        <v>1005.5915806034484</v>
      </c>
      <c r="M4" s="27">
        <v>3878.7103823275866</v>
      </c>
      <c r="N4" s="27">
        <v>1745.419672047414</v>
      </c>
      <c r="O4" s="28">
        <v>5624.1300543750003</v>
      </c>
      <c r="P4" s="29">
        <f t="shared" si="0"/>
        <v>0</v>
      </c>
      <c r="Q4" s="28">
        <v>42740.610273582228</v>
      </c>
    </row>
    <row r="5" spans="1:24" x14ac:dyDescent="0.25">
      <c r="A5" s="35">
        <v>100021631</v>
      </c>
      <c r="B5" s="23" t="s">
        <v>26</v>
      </c>
      <c r="C5" s="24">
        <v>7790360026590</v>
      </c>
      <c r="D5" s="25">
        <v>7.68</v>
      </c>
      <c r="E5" s="26">
        <v>8</v>
      </c>
      <c r="F5" s="27">
        <v>56806.747027643236</v>
      </c>
      <c r="G5" s="26"/>
      <c r="H5" s="27">
        <v>56806.747027643236</v>
      </c>
      <c r="I5" s="27">
        <v>7100.8433784554045</v>
      </c>
      <c r="J5" s="27">
        <v>1491.1771094756348</v>
      </c>
      <c r="K5" s="27">
        <v>8592.0204879310386</v>
      </c>
      <c r="L5" s="27">
        <v>3007.2071707758632</v>
      </c>
      <c r="M5" s="27">
        <v>11599.227658706903</v>
      </c>
      <c r="N5" s="27">
        <v>5219.6524464181066</v>
      </c>
      <c r="O5" s="28">
        <v>16818.880105125008</v>
      </c>
      <c r="P5" s="29">
        <f t="shared" si="0"/>
        <v>-0.15313322016208908</v>
      </c>
      <c r="Q5" s="28">
        <v>67078.728768314613</v>
      </c>
      <c r="S5" t="s">
        <v>27</v>
      </c>
    </row>
    <row r="6" spans="1:24" x14ac:dyDescent="0.25">
      <c r="A6" s="35">
        <v>100021630</v>
      </c>
      <c r="B6" s="23" t="s">
        <v>28</v>
      </c>
      <c r="C6" s="24">
        <v>7790360026583</v>
      </c>
      <c r="D6" s="25">
        <v>9.6</v>
      </c>
      <c r="E6" s="26">
        <v>6</v>
      </c>
      <c r="F6" s="27">
        <v>71008.433784554043</v>
      </c>
      <c r="G6" s="26"/>
      <c r="H6" s="27">
        <v>71008.433784554043</v>
      </c>
      <c r="I6" s="27">
        <v>11834.738964092341</v>
      </c>
      <c r="J6" s="27">
        <v>2485.2951824593915</v>
      </c>
      <c r="K6" s="27">
        <v>14320.034146551732</v>
      </c>
      <c r="L6" s="27">
        <v>5012.011951293106</v>
      </c>
      <c r="M6" s="27">
        <v>19332.046097844839</v>
      </c>
      <c r="N6" s="27">
        <v>8699.420744030178</v>
      </c>
      <c r="O6" s="28">
        <v>28031.466841875015</v>
      </c>
      <c r="P6" s="29">
        <f t="shared" si="0"/>
        <v>-0.15345237101184872</v>
      </c>
      <c r="Q6" s="28">
        <v>83880.022048408471</v>
      </c>
      <c r="S6" t="s">
        <v>27</v>
      </c>
    </row>
    <row r="7" spans="1:24" x14ac:dyDescent="0.25">
      <c r="A7" s="36">
        <v>100021653</v>
      </c>
      <c r="B7" s="37" t="s">
        <v>29</v>
      </c>
      <c r="C7" s="24">
        <v>7790360026682</v>
      </c>
      <c r="D7" s="25">
        <v>5.76</v>
      </c>
      <c r="E7" s="26">
        <v>18</v>
      </c>
      <c r="F7" s="27">
        <v>46865.566297805672</v>
      </c>
      <c r="G7" s="26"/>
      <c r="H7" s="27">
        <v>46865.566297805672</v>
      </c>
      <c r="I7" s="27">
        <v>2603.6425721003152</v>
      </c>
      <c r="J7" s="27">
        <v>546.76494014106618</v>
      </c>
      <c r="K7" s="27">
        <v>3150.4075122413815</v>
      </c>
      <c r="L7" s="27">
        <v>1102.6426292844835</v>
      </c>
      <c r="M7" s="27">
        <v>4253.050141525865</v>
      </c>
      <c r="N7" s="27">
        <v>1913.8725636866393</v>
      </c>
      <c r="O7" s="28">
        <v>6166.9227052125043</v>
      </c>
      <c r="P7" s="29">
        <f t="shared" si="0"/>
        <v>-0.11261495008599964</v>
      </c>
      <c r="Q7" s="28">
        <v>52813.112303782422</v>
      </c>
    </row>
    <row r="8" spans="1:24" x14ac:dyDescent="0.25">
      <c r="A8" s="36">
        <v>100516169</v>
      </c>
      <c r="B8" s="37" t="s">
        <v>30</v>
      </c>
      <c r="C8" s="24">
        <v>7790360967961</v>
      </c>
      <c r="D8" s="25">
        <v>5.76</v>
      </c>
      <c r="E8" s="26">
        <v>18</v>
      </c>
      <c r="F8" s="27">
        <v>43213.191997500013</v>
      </c>
      <c r="G8" s="26"/>
      <c r="H8" s="27">
        <v>43213.191997500013</v>
      </c>
      <c r="I8" s="27">
        <v>2400.7328887500007</v>
      </c>
      <c r="J8" s="27">
        <v>504.15390663750014</v>
      </c>
      <c r="K8" s="27">
        <v>2904.886795387501</v>
      </c>
      <c r="L8" s="27">
        <v>1016.7103783856253</v>
      </c>
      <c r="M8" s="27">
        <v>3921.5971737731261</v>
      </c>
      <c r="N8" s="27">
        <v>1764.7187281979068</v>
      </c>
      <c r="O8" s="28">
        <v>5686.3159019710329</v>
      </c>
      <c r="P8" s="29">
        <f t="shared" si="0"/>
        <v>0</v>
      </c>
      <c r="Q8" s="28">
        <v>43213.191997500013</v>
      </c>
    </row>
    <row r="9" spans="1:24" x14ac:dyDescent="0.25">
      <c r="A9" s="36">
        <v>100520337</v>
      </c>
      <c r="B9" s="37" t="s">
        <v>31</v>
      </c>
      <c r="C9" s="24">
        <v>7790360977960</v>
      </c>
      <c r="D9" s="25">
        <v>4.8</v>
      </c>
      <c r="E9" s="26">
        <v>30</v>
      </c>
      <c r="F9" s="27">
        <v>25103.946993445428</v>
      </c>
      <c r="G9" s="26"/>
      <c r="H9" s="27">
        <v>25103.946993445428</v>
      </c>
      <c r="I9" s="27">
        <v>836.79823311484756</v>
      </c>
      <c r="J9" s="27">
        <v>175.72762895411799</v>
      </c>
      <c r="K9" s="27">
        <v>1012.5258620689656</v>
      </c>
      <c r="L9" s="27">
        <v>354.38405172413792</v>
      </c>
      <c r="M9" s="27">
        <v>1366.9099137931034</v>
      </c>
      <c r="N9" s="27">
        <v>615.10946120689653</v>
      </c>
      <c r="O9" s="28">
        <v>1982.0193749999999</v>
      </c>
      <c r="P9" s="29">
        <f t="shared" si="0"/>
        <v>0</v>
      </c>
      <c r="Q9" s="28">
        <v>25103.946993445428</v>
      </c>
    </row>
    <row r="10" spans="1:24" x14ac:dyDescent="0.25">
      <c r="A10" s="38">
        <v>100021503</v>
      </c>
      <c r="B10" s="39" t="s">
        <v>32</v>
      </c>
      <c r="C10" s="40">
        <v>7790360966841</v>
      </c>
      <c r="D10" s="41">
        <v>3.3119999999999998</v>
      </c>
      <c r="E10" s="42">
        <v>12</v>
      </c>
      <c r="F10" s="43">
        <v>19167.512111712738</v>
      </c>
      <c r="G10" s="44">
        <v>8.3299999999999999E-2</v>
      </c>
      <c r="H10" s="43">
        <v>17570.858352807067</v>
      </c>
      <c r="I10" s="43">
        <v>1464.2381960672556</v>
      </c>
      <c r="J10" s="43">
        <v>307.49002117412368</v>
      </c>
      <c r="K10" s="43">
        <v>1771.7282172413793</v>
      </c>
      <c r="L10" s="43">
        <v>620.10487603448269</v>
      </c>
      <c r="M10" s="43">
        <v>2391.8330932758618</v>
      </c>
      <c r="N10" s="43">
        <v>1076.3248919741379</v>
      </c>
      <c r="O10" s="45">
        <v>3468.1579852499999</v>
      </c>
      <c r="P10" s="29">
        <f t="shared" si="0"/>
        <v>-8.3300000000000041E-2</v>
      </c>
      <c r="Q10" s="28">
        <v>19167.512111712738</v>
      </c>
      <c r="S10" s="46" t="s">
        <v>33</v>
      </c>
      <c r="T10" s="70"/>
    </row>
    <row r="11" spans="1:24" x14ac:dyDescent="0.25">
      <c r="A11" s="36">
        <v>100516201</v>
      </c>
      <c r="B11" s="37" t="s">
        <v>34</v>
      </c>
      <c r="C11" s="24">
        <v>7790360968548</v>
      </c>
      <c r="D11" s="25">
        <v>6.6239999999999997</v>
      </c>
      <c r="E11" s="26">
        <v>8</v>
      </c>
      <c r="F11" s="27">
        <v>41879.198042745833</v>
      </c>
      <c r="G11" s="47"/>
      <c r="H11" s="27">
        <v>41879.198042745833</v>
      </c>
      <c r="I11" s="27">
        <v>5234.8997553432291</v>
      </c>
      <c r="J11" s="27">
        <v>1099.3289486220781</v>
      </c>
      <c r="K11" s="27">
        <v>6334.2287039653074</v>
      </c>
      <c r="L11" s="27">
        <v>2216.9800463878573</v>
      </c>
      <c r="M11" s="27">
        <v>8551.2087503531657</v>
      </c>
      <c r="N11" s="27">
        <v>3848.0439376589247</v>
      </c>
      <c r="O11" s="28">
        <v>12399.252688012089</v>
      </c>
      <c r="P11" s="29">
        <f t="shared" si="0"/>
        <v>0</v>
      </c>
      <c r="Q11" s="28">
        <v>41879.198042745833</v>
      </c>
      <c r="S11" s="48"/>
    </row>
    <row r="12" spans="1:24" x14ac:dyDescent="0.25">
      <c r="A12" s="36">
        <v>100021643</v>
      </c>
      <c r="B12" s="37" t="s">
        <v>35</v>
      </c>
      <c r="C12" s="24">
        <v>7790360966797</v>
      </c>
      <c r="D12" s="25">
        <v>4.7039999999999997</v>
      </c>
      <c r="E12" s="26">
        <v>42</v>
      </c>
      <c r="F12" s="27">
        <v>25683.24177828442</v>
      </c>
      <c r="G12" s="47"/>
      <c r="H12" s="27">
        <v>25683.24177828442</v>
      </c>
      <c r="I12" s="27">
        <v>611.50575662581957</v>
      </c>
      <c r="J12" s="27">
        <v>128.41620889142212</v>
      </c>
      <c r="K12" s="27">
        <v>739.92196551724169</v>
      </c>
      <c r="L12" s="27">
        <v>258.97268793103456</v>
      </c>
      <c r="M12" s="27">
        <v>998.89465344827624</v>
      </c>
      <c r="N12" s="27">
        <v>449.50259405172432</v>
      </c>
      <c r="O12" s="28">
        <v>1448.3972475000005</v>
      </c>
      <c r="P12" s="29">
        <f t="shared" si="0"/>
        <v>0</v>
      </c>
      <c r="Q12" s="28">
        <v>25683.24177828442</v>
      </c>
      <c r="S12" s="48"/>
    </row>
    <row r="13" spans="1:24" x14ac:dyDescent="0.25">
      <c r="A13" s="36">
        <v>100516325</v>
      </c>
      <c r="B13" s="37" t="s">
        <v>36</v>
      </c>
      <c r="C13" s="24">
        <v>7790360967763</v>
      </c>
      <c r="D13" s="25">
        <v>4.7039999999999997</v>
      </c>
      <c r="E13" s="26">
        <v>21</v>
      </c>
      <c r="F13" s="27">
        <v>28884.564961246662</v>
      </c>
      <c r="G13" s="47"/>
      <c r="H13" s="27">
        <v>28884.564961246662</v>
      </c>
      <c r="I13" s="27">
        <v>1375.4554743450792</v>
      </c>
      <c r="J13" s="27">
        <v>288.84564961246662</v>
      </c>
      <c r="K13" s="27">
        <v>1664.3011239575458</v>
      </c>
      <c r="L13" s="27">
        <v>582.50539338514102</v>
      </c>
      <c r="M13" s="27">
        <v>2246.8065173426867</v>
      </c>
      <c r="N13" s="27">
        <v>1011.062932804209</v>
      </c>
      <c r="O13" s="28">
        <v>3257.8694501468958</v>
      </c>
      <c r="P13" s="29">
        <f t="shared" si="0"/>
        <v>0</v>
      </c>
      <c r="Q13" s="28">
        <v>28884.564961246662</v>
      </c>
      <c r="S13" s="48"/>
    </row>
    <row r="14" spans="1:24" x14ac:dyDescent="0.25">
      <c r="A14" s="38">
        <v>100021676</v>
      </c>
      <c r="B14" s="39" t="s">
        <v>37</v>
      </c>
      <c r="C14" s="40">
        <v>7790360967411</v>
      </c>
      <c r="D14" s="41">
        <v>7.5</v>
      </c>
      <c r="E14" s="42">
        <v>30</v>
      </c>
      <c r="F14" s="43">
        <v>56275.508549444297</v>
      </c>
      <c r="G14" s="44">
        <v>6.6699999999999995E-2</v>
      </c>
      <c r="H14" s="43">
        <v>52521.932129196364</v>
      </c>
      <c r="I14" s="43">
        <v>1750.7310709732121</v>
      </c>
      <c r="J14" s="43">
        <v>367.65352490437454</v>
      </c>
      <c r="K14" s="43">
        <v>2118.3845958775864</v>
      </c>
      <c r="L14" s="43">
        <v>741.43460855715523</v>
      </c>
      <c r="M14" s="43">
        <v>2859.8192044347416</v>
      </c>
      <c r="N14" s="43">
        <v>1286.9186419956338</v>
      </c>
      <c r="O14" s="45">
        <v>4146.7378464303756</v>
      </c>
      <c r="P14" s="29">
        <f t="shared" si="0"/>
        <v>-6.6699999999999982E-2</v>
      </c>
      <c r="Q14" s="28">
        <v>56275.508549444297</v>
      </c>
      <c r="S14" s="46" t="s">
        <v>38</v>
      </c>
      <c r="T14" s="70"/>
      <c r="U14" s="70"/>
    </row>
    <row r="15" spans="1:24" x14ac:dyDescent="0.25">
      <c r="A15" s="38">
        <v>100516008</v>
      </c>
      <c r="B15" s="39" t="s">
        <v>39</v>
      </c>
      <c r="C15" s="40">
        <v>7790360967701</v>
      </c>
      <c r="D15" s="41">
        <v>5.76</v>
      </c>
      <c r="E15" s="42">
        <v>24</v>
      </c>
      <c r="F15" s="43">
        <v>49957.92821424397</v>
      </c>
      <c r="G15" s="44">
        <v>9.0899999999999995E-2</v>
      </c>
      <c r="H15" s="43">
        <v>45416.752539569192</v>
      </c>
      <c r="I15" s="43">
        <v>1892.3646891487163</v>
      </c>
      <c r="J15" s="43">
        <v>397.3965847212304</v>
      </c>
      <c r="K15" s="43">
        <v>2289.7612738699468</v>
      </c>
      <c r="L15" s="43">
        <v>801.41644585448137</v>
      </c>
      <c r="M15" s="43">
        <v>3091.1777197244282</v>
      </c>
      <c r="N15" s="43">
        <v>1391.0299738759927</v>
      </c>
      <c r="O15" s="45">
        <v>4482.2076936004214</v>
      </c>
      <c r="P15" s="29">
        <f t="shared" si="0"/>
        <v>-9.0899999999999981E-2</v>
      </c>
      <c r="Q15" s="28">
        <v>49957.92821424397</v>
      </c>
      <c r="S15" s="46" t="s">
        <v>40</v>
      </c>
      <c r="T15" s="70"/>
      <c r="U15" s="70"/>
    </row>
    <row r="16" spans="1:24" x14ac:dyDescent="0.25">
      <c r="A16" s="36">
        <v>100520834</v>
      </c>
      <c r="B16" s="37" t="s">
        <v>41</v>
      </c>
      <c r="C16" s="24">
        <v>7790360980618</v>
      </c>
      <c r="D16" s="25">
        <v>6.66</v>
      </c>
      <c r="E16" s="26">
        <v>36</v>
      </c>
      <c r="F16" s="27">
        <v>58421.841085507833</v>
      </c>
      <c r="G16" s="26"/>
      <c r="H16" s="27">
        <v>58421.841085507833</v>
      </c>
      <c r="I16" s="27">
        <v>1622.8289190418843</v>
      </c>
      <c r="J16" s="27">
        <v>340.79407299879568</v>
      </c>
      <c r="K16" s="27">
        <v>1963.6229920406799</v>
      </c>
      <c r="L16" s="27">
        <v>687.26804721423798</v>
      </c>
      <c r="M16" s="27">
        <v>2650.8910392549178</v>
      </c>
      <c r="N16" s="27">
        <v>1192.9009676647131</v>
      </c>
      <c r="O16" s="28">
        <v>3843.7920069196307</v>
      </c>
      <c r="P16" s="29">
        <f t="shared" si="0"/>
        <v>0</v>
      </c>
      <c r="Q16" s="28">
        <v>58421.841085507833</v>
      </c>
    </row>
    <row r="17" spans="1:24" x14ac:dyDescent="0.25">
      <c r="A17" s="36">
        <v>100021680</v>
      </c>
      <c r="B17" s="37" t="s">
        <v>42</v>
      </c>
      <c r="C17" s="24">
        <v>7790360967688</v>
      </c>
      <c r="D17" s="25">
        <v>4.32</v>
      </c>
      <c r="E17" s="26">
        <v>18</v>
      </c>
      <c r="F17" s="27">
        <v>46793.302488038011</v>
      </c>
      <c r="G17" s="26"/>
      <c r="H17" s="27">
        <v>46793.302488038011</v>
      </c>
      <c r="I17" s="27">
        <v>2599.6279160021118</v>
      </c>
      <c r="J17" s="27">
        <v>545.92186236044347</v>
      </c>
      <c r="K17" s="27">
        <v>3145.5497783625551</v>
      </c>
      <c r="L17" s="27">
        <v>1100.9424224268942</v>
      </c>
      <c r="M17" s="27">
        <v>4246.4922007894493</v>
      </c>
      <c r="N17" s="27">
        <v>1910.9214903552522</v>
      </c>
      <c r="O17" s="28">
        <v>6157.4136911447013</v>
      </c>
      <c r="P17" s="29">
        <f t="shared" si="0"/>
        <v>0</v>
      </c>
      <c r="Q17" s="28">
        <v>46793.302488038011</v>
      </c>
    </row>
    <row r="18" spans="1:24" x14ac:dyDescent="0.25">
      <c r="A18" s="36">
        <v>100021644</v>
      </c>
      <c r="B18" s="37" t="s">
        <v>43</v>
      </c>
      <c r="C18" s="24">
        <v>7790360008541</v>
      </c>
      <c r="D18" s="25">
        <v>4.7039999999999997</v>
      </c>
      <c r="E18" s="26">
        <v>42</v>
      </c>
      <c r="F18" s="27">
        <v>17429.619401758118</v>
      </c>
      <c r="G18" s="26"/>
      <c r="H18" s="27">
        <v>17429.619401758118</v>
      </c>
      <c r="I18" s="27">
        <v>414.99093813709806</v>
      </c>
      <c r="J18" s="27">
        <v>87.148097008790586</v>
      </c>
      <c r="K18" s="27">
        <v>502.13903514588867</v>
      </c>
      <c r="L18" s="49">
        <v>150.64171054376661</v>
      </c>
      <c r="M18" s="27">
        <v>652.7807456896553</v>
      </c>
      <c r="N18" s="27">
        <v>293.7513355603449</v>
      </c>
      <c r="O18" s="28">
        <v>946.53208125000015</v>
      </c>
      <c r="P18" s="29">
        <f t="shared" si="0"/>
        <v>0</v>
      </c>
      <c r="Q18" s="28">
        <v>17429.619401758118</v>
      </c>
    </row>
    <row r="19" spans="1:24" x14ac:dyDescent="0.25">
      <c r="A19" s="36">
        <v>100021677</v>
      </c>
      <c r="B19" s="37" t="s">
        <v>44</v>
      </c>
      <c r="C19" s="24">
        <v>7790360967404</v>
      </c>
      <c r="D19" s="25">
        <v>3.3119999999999998</v>
      </c>
      <c r="E19" s="26">
        <v>12</v>
      </c>
      <c r="F19" s="27">
        <v>13832.42222197865</v>
      </c>
      <c r="G19" s="26"/>
      <c r="H19" s="27">
        <v>13832.42222197865</v>
      </c>
      <c r="I19" s="27">
        <v>1152.7018518315542</v>
      </c>
      <c r="J19" s="27">
        <v>242.06738888462638</v>
      </c>
      <c r="K19" s="27">
        <v>1394.7692407161805</v>
      </c>
      <c r="L19" s="49">
        <v>418.43077221485413</v>
      </c>
      <c r="M19" s="27">
        <v>1813.2000129310347</v>
      </c>
      <c r="N19" s="27">
        <v>815.94000581896569</v>
      </c>
      <c r="O19" s="28">
        <v>2629.1400187500003</v>
      </c>
      <c r="P19" s="29">
        <f t="shared" si="0"/>
        <v>0</v>
      </c>
      <c r="Q19" s="28">
        <v>13832.42222197865</v>
      </c>
    </row>
    <row r="20" spans="1:24" x14ac:dyDescent="0.25">
      <c r="A20" s="36">
        <v>100021638</v>
      </c>
      <c r="B20" s="37" t="s">
        <v>45</v>
      </c>
      <c r="C20" s="24">
        <v>7790360026699</v>
      </c>
      <c r="D20" s="25">
        <v>4.8</v>
      </c>
      <c r="E20" s="26">
        <v>60</v>
      </c>
      <c r="F20" s="27">
        <v>44011.89698368901</v>
      </c>
      <c r="G20" s="26"/>
      <c r="H20" s="27">
        <v>44011.89698368901</v>
      </c>
      <c r="I20" s="27">
        <v>733.53161639481687</v>
      </c>
      <c r="J20" s="27">
        <v>154.04163944291153</v>
      </c>
      <c r="K20" s="27">
        <v>887.57325583772842</v>
      </c>
      <c r="L20" s="27">
        <v>310.65063954320493</v>
      </c>
      <c r="M20" s="27">
        <v>1198.2238953809333</v>
      </c>
      <c r="N20" s="27">
        <v>539.20075292141996</v>
      </c>
      <c r="O20" s="28">
        <v>1737.4246483023533</v>
      </c>
      <c r="P20" s="29">
        <f t="shared" si="0"/>
        <v>0</v>
      </c>
      <c r="Q20" s="28">
        <v>44011.89698368901</v>
      </c>
    </row>
    <row r="21" spans="1:24" x14ac:dyDescent="0.25">
      <c r="A21" s="36">
        <v>100021575</v>
      </c>
      <c r="B21" s="37" t="s">
        <v>46</v>
      </c>
      <c r="C21" s="24">
        <v>7790360007032</v>
      </c>
      <c r="D21" s="25">
        <v>4.1399999999999997</v>
      </c>
      <c r="E21" s="26">
        <v>60</v>
      </c>
      <c r="F21" s="27">
        <v>36096.751560585057</v>
      </c>
      <c r="G21" s="26"/>
      <c r="H21" s="27">
        <v>36096.751560585057</v>
      </c>
      <c r="I21" s="27">
        <v>601.61252600975092</v>
      </c>
      <c r="J21" s="27">
        <v>126.33863046204769</v>
      </c>
      <c r="K21" s="27">
        <v>727.95115647179864</v>
      </c>
      <c r="L21" s="27">
        <v>254.7829047651295</v>
      </c>
      <c r="M21" s="27">
        <v>982.73406123692814</v>
      </c>
      <c r="N21" s="27">
        <v>442.23032755661768</v>
      </c>
      <c r="O21" s="28">
        <v>1424.9643887935458</v>
      </c>
      <c r="P21" s="29">
        <f t="shared" si="0"/>
        <v>0</v>
      </c>
      <c r="Q21" s="28">
        <v>36096.751560585057</v>
      </c>
    </row>
    <row r="22" spans="1:24" x14ac:dyDescent="0.25">
      <c r="A22" s="36">
        <v>100021514</v>
      </c>
      <c r="B22" s="37" t="s">
        <v>47</v>
      </c>
      <c r="C22" s="24">
        <v>7790360006943</v>
      </c>
      <c r="D22" s="25">
        <v>4.1399999999999997</v>
      </c>
      <c r="E22" s="26">
        <v>60</v>
      </c>
      <c r="F22" s="27">
        <v>32847.83926605757</v>
      </c>
      <c r="G22" s="26"/>
      <c r="H22" s="27">
        <v>32847.83926605757</v>
      </c>
      <c r="I22" s="27">
        <v>547.46398776762612</v>
      </c>
      <c r="J22" s="27">
        <v>114.96743743120147</v>
      </c>
      <c r="K22" s="27">
        <v>662.43142519882758</v>
      </c>
      <c r="L22" s="27">
        <v>231.85099881958965</v>
      </c>
      <c r="M22" s="27">
        <v>894.28242401841726</v>
      </c>
      <c r="N22" s="27">
        <v>402.4270908082878</v>
      </c>
      <c r="O22" s="28">
        <v>1296.7095148267051</v>
      </c>
      <c r="P22" s="29">
        <f t="shared" si="0"/>
        <v>0</v>
      </c>
      <c r="Q22" s="28">
        <v>32847.83926605757</v>
      </c>
    </row>
    <row r="23" spans="1:24" x14ac:dyDescent="0.25">
      <c r="A23" s="35">
        <v>100516208</v>
      </c>
      <c r="B23" s="50" t="s">
        <v>48</v>
      </c>
      <c r="C23" s="51">
        <v>7790360968203</v>
      </c>
      <c r="D23" s="25">
        <f>60*0.08</f>
        <v>4.8</v>
      </c>
      <c r="E23" s="26">
        <v>60</v>
      </c>
      <c r="F23" s="27">
        <v>38084.471412990752</v>
      </c>
      <c r="G23" s="26"/>
      <c r="H23" s="27">
        <v>38084.471412990752</v>
      </c>
      <c r="I23" s="27">
        <v>634.74119021651256</v>
      </c>
      <c r="J23" s="27">
        <v>133.29564994546763</v>
      </c>
      <c r="K23" s="27">
        <v>768.03684016198019</v>
      </c>
      <c r="L23" s="27">
        <v>268.81289405669304</v>
      </c>
      <c r="M23" s="27">
        <v>1036.8497342186733</v>
      </c>
      <c r="N23" s="27">
        <v>466.58238039840302</v>
      </c>
      <c r="O23" s="28">
        <v>1503.4321146170764</v>
      </c>
      <c r="P23" s="29">
        <f t="shared" si="0"/>
        <v>0</v>
      </c>
      <c r="Q23" s="28">
        <v>38084.471412990752</v>
      </c>
    </row>
    <row r="24" spans="1:24" x14ac:dyDescent="0.25">
      <c r="A24" s="36">
        <v>100518346</v>
      </c>
      <c r="B24" s="37" t="s">
        <v>49</v>
      </c>
      <c r="C24" s="24">
        <v>7790360975478</v>
      </c>
      <c r="D24" s="25">
        <f>60*0.109</f>
        <v>6.54</v>
      </c>
      <c r="E24" s="26">
        <v>60</v>
      </c>
      <c r="F24" s="27">
        <v>54433.742508522395</v>
      </c>
      <c r="G24" s="26"/>
      <c r="H24" s="27">
        <v>54433.742508522395</v>
      </c>
      <c r="I24" s="27">
        <v>907.2290418087066</v>
      </c>
      <c r="J24" s="27">
        <v>190.51809877982839</v>
      </c>
      <c r="K24" s="27">
        <v>1097.7471405885349</v>
      </c>
      <c r="L24" s="27">
        <v>384.2114992059872</v>
      </c>
      <c r="M24" s="27">
        <v>1481.958639794522</v>
      </c>
      <c r="N24" s="27">
        <v>666.88138790753487</v>
      </c>
      <c r="O24" s="28">
        <v>2148.8400277020569</v>
      </c>
      <c r="P24" s="29">
        <f t="shared" si="0"/>
        <v>0</v>
      </c>
      <c r="Q24" s="28">
        <v>54433.742508522395</v>
      </c>
    </row>
    <row r="25" spans="1:24" x14ac:dyDescent="0.25">
      <c r="A25" s="36">
        <v>100516259</v>
      </c>
      <c r="B25" s="37" t="s">
        <v>50</v>
      </c>
      <c r="C25" s="24">
        <v>7790360968340</v>
      </c>
      <c r="D25" s="25">
        <v>18.16</v>
      </c>
      <c r="E25" s="26">
        <v>48</v>
      </c>
      <c r="F25" s="27">
        <v>125942.78756335929</v>
      </c>
      <c r="G25" s="26"/>
      <c r="H25" s="27">
        <v>125942.78756335929</v>
      </c>
      <c r="I25" s="27">
        <v>2623.8080742366519</v>
      </c>
      <c r="J25" s="27">
        <v>550.9996955896969</v>
      </c>
      <c r="K25" s="27">
        <v>3174.8077698263487</v>
      </c>
      <c r="L25" s="27">
        <v>1111.182719439222</v>
      </c>
      <c r="M25" s="27">
        <v>4285.9904892655704</v>
      </c>
      <c r="N25" s="27">
        <v>1928.6957201695068</v>
      </c>
      <c r="O25" s="28">
        <v>6214.6862094350772</v>
      </c>
      <c r="P25" s="29">
        <f t="shared" si="0"/>
        <v>0</v>
      </c>
      <c r="Q25" s="28">
        <v>125942.78756335929</v>
      </c>
    </row>
    <row r="26" spans="1:24" x14ac:dyDescent="0.25">
      <c r="A26" s="36">
        <v>100518095</v>
      </c>
      <c r="B26" s="37" t="s">
        <v>51</v>
      </c>
      <c r="C26" s="24">
        <v>7790360974785</v>
      </c>
      <c r="D26" s="25">
        <v>6.66</v>
      </c>
      <c r="E26" s="26">
        <v>36</v>
      </c>
      <c r="F26" s="27">
        <v>62750.570233632723</v>
      </c>
      <c r="G26" s="26"/>
      <c r="H26" s="27">
        <v>62750.570233632723</v>
      </c>
      <c r="I26" s="27">
        <v>1743.0713953786867</v>
      </c>
      <c r="J26" s="27">
        <v>366.04499302952422</v>
      </c>
      <c r="K26" s="27">
        <v>2109.1163884082107</v>
      </c>
      <c r="L26" s="27">
        <v>738.19073594287374</v>
      </c>
      <c r="M26" s="27">
        <v>2847.3071243510844</v>
      </c>
      <c r="N26" s="27">
        <v>1281.2882059579881</v>
      </c>
      <c r="O26" s="28">
        <v>4128.5953303090728</v>
      </c>
      <c r="P26" s="29">
        <f t="shared" si="0"/>
        <v>0</v>
      </c>
      <c r="Q26" s="28">
        <v>62750.570233632723</v>
      </c>
    </row>
    <row r="27" spans="1:24" x14ac:dyDescent="0.25">
      <c r="A27" s="36">
        <v>100518223</v>
      </c>
      <c r="B27" s="37" t="s">
        <v>52</v>
      </c>
      <c r="C27" s="24">
        <v>7790360975065</v>
      </c>
      <c r="D27" s="25">
        <f>60*0.106</f>
        <v>6.3599999999999994</v>
      </c>
      <c r="E27" s="26">
        <v>30</v>
      </c>
      <c r="F27" s="27">
        <v>48854.806260093093</v>
      </c>
      <c r="G27" s="26"/>
      <c r="H27" s="27">
        <v>48854.806260093093</v>
      </c>
      <c r="I27" s="27">
        <v>1628.4935420031031</v>
      </c>
      <c r="J27" s="27">
        <v>341.98364382065165</v>
      </c>
      <c r="K27" s="27">
        <v>1970.4771858237548</v>
      </c>
      <c r="L27" s="27">
        <v>689.66701503831416</v>
      </c>
      <c r="M27" s="27">
        <v>2660.1442008620688</v>
      </c>
      <c r="N27" s="27">
        <v>1197.064890387931</v>
      </c>
      <c r="O27" s="28">
        <v>3857.2090912499998</v>
      </c>
      <c r="P27" s="29">
        <f t="shared" si="0"/>
        <v>0</v>
      </c>
      <c r="Q27" s="28">
        <v>48854.806260093093</v>
      </c>
    </row>
    <row r="28" spans="1:24" ht="15.75" thickBot="1" x14ac:dyDescent="0.3">
      <c r="A28" s="52"/>
      <c r="B28" s="53"/>
      <c r="C28" s="54"/>
      <c r="D28" s="53"/>
      <c r="E28" s="55"/>
      <c r="F28" s="56" t="e">
        <v>#N/A</v>
      </c>
      <c r="G28" s="55"/>
      <c r="H28" s="56" t="e">
        <v>#N/A</v>
      </c>
      <c r="I28" s="57" t="e">
        <v>#N/A</v>
      </c>
      <c r="J28" s="58"/>
      <c r="K28" s="57"/>
      <c r="L28" s="58"/>
      <c r="M28" s="57"/>
      <c r="N28" s="58"/>
      <c r="O28" s="59"/>
      <c r="P28" s="29" t="e">
        <f t="shared" si="0"/>
        <v>#N/A</v>
      </c>
      <c r="Q28" s="28" t="e">
        <v>#N/A</v>
      </c>
    </row>
    <row r="29" spans="1:24" ht="15.75" thickBot="1" x14ac:dyDescent="0.3">
      <c r="A29" s="38">
        <v>100022085</v>
      </c>
      <c r="B29" s="39" t="s">
        <v>53</v>
      </c>
      <c r="C29" s="40">
        <v>7790360000132</v>
      </c>
      <c r="D29" s="41">
        <v>5.4</v>
      </c>
      <c r="E29" s="42">
        <v>24</v>
      </c>
      <c r="F29" s="43">
        <v>22291.896153256701</v>
      </c>
      <c r="G29" s="60">
        <v>8.3333333333333301E-2</v>
      </c>
      <c r="H29" s="43">
        <v>20434.238140485311</v>
      </c>
      <c r="I29" s="43">
        <v>851.42658918688801</v>
      </c>
      <c r="J29" s="43">
        <v>178.79958372924648</v>
      </c>
      <c r="K29" s="43">
        <v>1030.2261729161346</v>
      </c>
      <c r="L29" s="43">
        <v>360.57916052064706</v>
      </c>
      <c r="M29" s="43">
        <v>1390.8053334367817</v>
      </c>
      <c r="N29" s="43">
        <v>625.86240004655178</v>
      </c>
      <c r="O29" s="61">
        <v>2016.6677334833334</v>
      </c>
      <c r="P29" s="29">
        <f t="shared" si="0"/>
        <v>0.46211119851600135</v>
      </c>
      <c r="Q29" s="28">
        <v>13975.844081644025</v>
      </c>
      <c r="S29" s="62">
        <v>7.0000000000000007E-2</v>
      </c>
      <c r="T29" s="63">
        <f>+H29*(1-S29)</f>
        <v>19003.841470651339</v>
      </c>
      <c r="U29" s="63">
        <f>+T29/E29</f>
        <v>791.82672794380585</v>
      </c>
      <c r="V29" s="64">
        <f>+U29*1.21*1.3*1.446</f>
        <v>1801.0558186584069</v>
      </c>
      <c r="W29" s="65" t="s">
        <v>23</v>
      </c>
      <c r="X29" s="66" t="s">
        <v>24</v>
      </c>
    </row>
    <row r="30" spans="1:24" x14ac:dyDescent="0.25">
      <c r="A30" s="36">
        <v>100522204</v>
      </c>
      <c r="B30" s="37" t="s">
        <v>53</v>
      </c>
      <c r="C30" s="24">
        <v>7790360983947</v>
      </c>
      <c r="D30" s="25">
        <v>5.4</v>
      </c>
      <c r="E30" s="26">
        <v>24</v>
      </c>
      <c r="F30" s="27">
        <v>22291.896153256701</v>
      </c>
      <c r="G30" s="60">
        <v>8.3333333333333301E-2</v>
      </c>
      <c r="H30" s="43">
        <v>20434.238140485311</v>
      </c>
      <c r="I30" s="43">
        <v>851.42658918688801</v>
      </c>
      <c r="J30" s="43">
        <v>178.79958372924648</v>
      </c>
      <c r="K30" s="43">
        <v>1030.2261729161346</v>
      </c>
      <c r="L30" s="43">
        <v>360.57916052064706</v>
      </c>
      <c r="M30" s="43">
        <v>1390.8053334367817</v>
      </c>
      <c r="N30" s="43">
        <v>625.86240004655178</v>
      </c>
      <c r="O30" s="45">
        <v>2016.6677334833334</v>
      </c>
      <c r="P30" s="29"/>
      <c r="Q30" s="28"/>
      <c r="S30" s="67" t="s">
        <v>54</v>
      </c>
      <c r="T30" s="68"/>
      <c r="U30" s="68"/>
      <c r="V30" s="69"/>
      <c r="W30" s="70"/>
    </row>
    <row r="31" spans="1:24" x14ac:dyDescent="0.25">
      <c r="A31" s="38">
        <v>100022072</v>
      </c>
      <c r="B31" s="39" t="s">
        <v>55</v>
      </c>
      <c r="C31" s="40">
        <v>7790360024541</v>
      </c>
      <c r="D31" s="41">
        <v>5.4</v>
      </c>
      <c r="E31" s="42">
        <v>12</v>
      </c>
      <c r="F31" s="43">
        <v>19413.221873911527</v>
      </c>
      <c r="G31" s="60"/>
      <c r="H31" s="43">
        <v>19413.221873911527</v>
      </c>
      <c r="I31" s="43">
        <v>1617.7684894926272</v>
      </c>
      <c r="J31" s="43">
        <v>339.7313827934517</v>
      </c>
      <c r="K31" s="43">
        <v>1957.4998722860789</v>
      </c>
      <c r="L31" s="43">
        <v>663.20095673052356</v>
      </c>
      <c r="M31" s="43">
        <v>2620.7008290166023</v>
      </c>
      <c r="N31" s="43">
        <v>1179.3153730574711</v>
      </c>
      <c r="O31" s="45">
        <v>3800.0162020740736</v>
      </c>
      <c r="P31" s="29">
        <f t="shared" si="0"/>
        <v>0.53535539639037943</v>
      </c>
      <c r="Q31" s="28">
        <v>12644.122604806686</v>
      </c>
      <c r="S31" s="67" t="s">
        <v>56</v>
      </c>
    </row>
    <row r="32" spans="1:24" x14ac:dyDescent="0.25">
      <c r="A32" s="36">
        <v>100522205</v>
      </c>
      <c r="B32" s="37" t="s">
        <v>55</v>
      </c>
      <c r="C32" s="24">
        <v>7790360983954</v>
      </c>
      <c r="D32" s="25">
        <v>5.4</v>
      </c>
      <c r="E32" s="26">
        <v>12</v>
      </c>
      <c r="F32" s="27">
        <v>19413.221873911527</v>
      </c>
      <c r="G32" s="60"/>
      <c r="H32" s="43">
        <v>19413.221873911527</v>
      </c>
      <c r="I32" s="43">
        <v>1617.7684894926272</v>
      </c>
      <c r="J32" s="43">
        <v>339.7313827934517</v>
      </c>
      <c r="K32" s="43">
        <v>1957.4998722860789</v>
      </c>
      <c r="L32" s="43">
        <v>663.20095673052356</v>
      </c>
      <c r="M32" s="43">
        <v>2620.7008290166023</v>
      </c>
      <c r="N32" s="43">
        <v>1179.3153730574711</v>
      </c>
      <c r="O32" s="45">
        <v>3800.0162020740736</v>
      </c>
      <c r="P32" s="29"/>
      <c r="Q32" s="28"/>
      <c r="S32" s="67" t="s">
        <v>56</v>
      </c>
    </row>
    <row r="33" spans="1:24" x14ac:dyDescent="0.25">
      <c r="A33" s="38">
        <v>100516849</v>
      </c>
      <c r="B33" s="39" t="s">
        <v>57</v>
      </c>
      <c r="C33" s="40">
        <v>7790360970053</v>
      </c>
      <c r="D33" s="41">
        <v>4.5599999990400004</v>
      </c>
      <c r="E33" s="42">
        <v>24</v>
      </c>
      <c r="F33" s="43">
        <v>16347.976314872867</v>
      </c>
      <c r="G33" s="60"/>
      <c r="H33" s="43">
        <v>16347.976314872867</v>
      </c>
      <c r="I33" s="43">
        <v>681.16567978636942</v>
      </c>
      <c r="J33" s="43">
        <v>143.04479275513756</v>
      </c>
      <c r="K33" s="43">
        <v>824.21047254150699</v>
      </c>
      <c r="L33" s="43">
        <v>279.40735019157091</v>
      </c>
      <c r="M33" s="43">
        <v>1103.6178227330779</v>
      </c>
      <c r="N33" s="43">
        <v>496.62802022988507</v>
      </c>
      <c r="O33" s="45">
        <v>1600.245842962963</v>
      </c>
      <c r="P33" s="29">
        <f t="shared" si="0"/>
        <v>0.62221789630783197</v>
      </c>
      <c r="Q33" s="28">
        <v>10077.54651954023</v>
      </c>
      <c r="S33" s="67" t="s">
        <v>58</v>
      </c>
    </row>
    <row r="34" spans="1:24" x14ac:dyDescent="0.25">
      <c r="A34" s="38">
        <v>100022039</v>
      </c>
      <c r="B34" s="39" t="s">
        <v>59</v>
      </c>
      <c r="C34" s="40">
        <v>7790360007063</v>
      </c>
      <c r="D34" s="41">
        <v>8.6999999999999993</v>
      </c>
      <c r="E34" s="42">
        <v>10</v>
      </c>
      <c r="F34" s="43">
        <v>56041.789445698298</v>
      </c>
      <c r="G34" s="60"/>
      <c r="H34" s="43">
        <v>56041.789445698298</v>
      </c>
      <c r="I34" s="43">
        <v>5604.1789445698296</v>
      </c>
      <c r="J34" s="43">
        <v>1176.8775783596641</v>
      </c>
      <c r="K34" s="43">
        <v>6781.0565229294934</v>
      </c>
      <c r="L34" s="43">
        <v>2373.3697830253227</v>
      </c>
      <c r="M34" s="43">
        <v>9154.4263059548157</v>
      </c>
      <c r="N34" s="43">
        <v>4119.4918376796668</v>
      </c>
      <c r="O34" s="45">
        <v>13273.918143634482</v>
      </c>
      <c r="P34" s="29">
        <f t="shared" si="0"/>
        <v>0</v>
      </c>
      <c r="Q34" s="28">
        <v>56041.789445698298</v>
      </c>
    </row>
    <row r="35" spans="1:24" x14ac:dyDescent="0.25">
      <c r="A35" s="36">
        <v>100522206</v>
      </c>
      <c r="B35" s="37" t="s">
        <v>59</v>
      </c>
      <c r="C35" s="24">
        <v>7790360983961</v>
      </c>
      <c r="D35" s="25">
        <v>8.6999999999999993</v>
      </c>
      <c r="E35" s="26">
        <v>10</v>
      </c>
      <c r="F35" s="27">
        <v>56041.789445698298</v>
      </c>
      <c r="G35" s="60"/>
      <c r="H35" s="43">
        <v>56041.789445698298</v>
      </c>
      <c r="I35" s="43">
        <v>5604.1789445698296</v>
      </c>
      <c r="J35" s="43">
        <v>1176.8775783596641</v>
      </c>
      <c r="K35" s="43">
        <v>6781.0565229294934</v>
      </c>
      <c r="L35" s="43">
        <v>2373.3697830253227</v>
      </c>
      <c r="M35" s="43">
        <v>9154.4263059548157</v>
      </c>
      <c r="N35" s="43">
        <v>4119.4918376796668</v>
      </c>
      <c r="O35" s="45">
        <v>13273.918143634482</v>
      </c>
      <c r="P35" s="29"/>
      <c r="Q35" s="28"/>
    </row>
    <row r="36" spans="1:24" x14ac:dyDescent="0.25">
      <c r="A36" s="36">
        <v>100022058</v>
      </c>
      <c r="B36" s="37" t="s">
        <v>60</v>
      </c>
      <c r="C36" s="24">
        <v>7790360026002</v>
      </c>
      <c r="D36" s="25">
        <v>4.5599999990400004</v>
      </c>
      <c r="E36" s="26">
        <v>24</v>
      </c>
      <c r="F36" s="71">
        <v>17854.505105924574</v>
      </c>
      <c r="G36" s="72"/>
      <c r="H36" s="71">
        <v>17854.505105924574</v>
      </c>
      <c r="I36" s="27">
        <v>743.9377127468573</v>
      </c>
      <c r="J36" s="27">
        <v>156.22691967684003</v>
      </c>
      <c r="K36" s="27">
        <v>900.1646324236973</v>
      </c>
      <c r="L36" s="27">
        <v>270.0493897271092</v>
      </c>
      <c r="M36" s="27">
        <v>1170.2140221508066</v>
      </c>
      <c r="N36" s="27">
        <v>526.59630996786302</v>
      </c>
      <c r="O36" s="28">
        <v>1696.8103321186695</v>
      </c>
      <c r="P36" s="29">
        <f t="shared" si="0"/>
        <v>0.55935598935344033</v>
      </c>
      <c r="Q36" s="28">
        <v>11449.922421709254</v>
      </c>
      <c r="S36" s="67" t="s">
        <v>61</v>
      </c>
      <c r="T36" s="73"/>
    </row>
    <row r="37" spans="1:24" x14ac:dyDescent="0.25">
      <c r="A37" s="36">
        <v>100518151</v>
      </c>
      <c r="B37" s="37" t="s">
        <v>62</v>
      </c>
      <c r="C37" s="24">
        <v>7790360974990</v>
      </c>
      <c r="D37" s="25">
        <v>8.6999999999999993</v>
      </c>
      <c r="E37" s="26">
        <v>10</v>
      </c>
      <c r="F37" s="71">
        <v>63845.739564772135</v>
      </c>
      <c r="G37" s="26"/>
      <c r="H37" s="71">
        <v>63845.739564772135</v>
      </c>
      <c r="I37" s="27">
        <v>6384.5739564772139</v>
      </c>
      <c r="J37" s="27">
        <v>1340.7605308602149</v>
      </c>
      <c r="K37" s="27">
        <v>7725.334487337429</v>
      </c>
      <c r="L37" s="49">
        <v>2317.6003462012286</v>
      </c>
      <c r="M37" s="27">
        <v>10042.934833538657</v>
      </c>
      <c r="N37" s="27">
        <v>4519.3206750923955</v>
      </c>
      <c r="O37" s="28">
        <v>14562.255508631053</v>
      </c>
      <c r="P37" s="29">
        <f t="shared" si="0"/>
        <v>0</v>
      </c>
      <c r="Q37" s="28">
        <v>63845.739564772135</v>
      </c>
    </row>
    <row r="38" spans="1:24" x14ac:dyDescent="0.25">
      <c r="A38" s="52"/>
      <c r="B38" s="53"/>
      <c r="C38" s="54"/>
      <c r="D38" s="53"/>
      <c r="E38" s="55"/>
      <c r="F38" s="56" t="e">
        <v>#N/A</v>
      </c>
      <c r="G38" s="55"/>
      <c r="H38" s="56" t="e">
        <v>#N/A</v>
      </c>
      <c r="I38" s="57" t="e">
        <v>#N/A</v>
      </c>
      <c r="J38" s="58">
        <v>0.21</v>
      </c>
      <c r="K38" s="57"/>
      <c r="L38" s="17">
        <v>0.22</v>
      </c>
      <c r="M38" s="16"/>
      <c r="N38" s="17">
        <v>0.35</v>
      </c>
      <c r="O38" s="59"/>
      <c r="P38" s="29" t="e">
        <f t="shared" si="0"/>
        <v>#N/A</v>
      </c>
      <c r="Q38" s="28" t="e">
        <v>#N/A</v>
      </c>
    </row>
    <row r="39" spans="1:24" ht="15.75" x14ac:dyDescent="0.25">
      <c r="A39" s="38">
        <v>100021000</v>
      </c>
      <c r="B39" s="39" t="s">
        <v>63</v>
      </c>
      <c r="C39" s="40">
        <v>7790360720382</v>
      </c>
      <c r="D39" s="41">
        <v>2.16</v>
      </c>
      <c r="E39" s="42">
        <v>24</v>
      </c>
      <c r="F39" s="43">
        <v>12345.022579393355</v>
      </c>
      <c r="G39" s="60"/>
      <c r="H39" s="43">
        <v>12345.022579393355</v>
      </c>
      <c r="I39" s="43">
        <v>514.3759408080565</v>
      </c>
      <c r="J39" s="43">
        <v>108.01894756969186</v>
      </c>
      <c r="K39" s="43">
        <v>622.39488837774832</v>
      </c>
      <c r="L39" s="43">
        <v>136.92687544310462</v>
      </c>
      <c r="M39" s="43">
        <v>759.32176382085299</v>
      </c>
      <c r="N39" s="43">
        <v>265.76261733729854</v>
      </c>
      <c r="O39" s="45">
        <v>1025.0843811581515</v>
      </c>
      <c r="P39" s="29">
        <f>H39/Q39-1</f>
        <v>0</v>
      </c>
      <c r="Q39" s="28">
        <v>12345.022579393355</v>
      </c>
      <c r="S39" s="74" t="s">
        <v>64</v>
      </c>
      <c r="T39" s="67"/>
      <c r="U39" s="67"/>
      <c r="V39" s="67"/>
      <c r="W39" s="67"/>
      <c r="X39" s="67"/>
    </row>
    <row r="40" spans="1:24" ht="15.75" x14ac:dyDescent="0.25">
      <c r="A40" s="38">
        <v>100021001</v>
      </c>
      <c r="B40" s="39" t="s">
        <v>65</v>
      </c>
      <c r="C40" s="40">
        <v>7790360720115</v>
      </c>
      <c r="D40" s="41">
        <v>2.16</v>
      </c>
      <c r="E40" s="42">
        <v>24</v>
      </c>
      <c r="F40" s="43">
        <v>12345.022579393355</v>
      </c>
      <c r="G40" s="60"/>
      <c r="H40" s="43">
        <v>12345.022579393355</v>
      </c>
      <c r="I40" s="43">
        <v>514.3759408080565</v>
      </c>
      <c r="J40" s="43">
        <v>108.01894756969186</v>
      </c>
      <c r="K40" s="43">
        <v>622.39488837774832</v>
      </c>
      <c r="L40" s="43">
        <v>136.92687544310462</v>
      </c>
      <c r="M40" s="43">
        <v>759.32176382085299</v>
      </c>
      <c r="N40" s="43">
        <v>265.76261733729854</v>
      </c>
      <c r="O40" s="45">
        <v>1025.0843811581515</v>
      </c>
      <c r="P40" s="29">
        <f t="shared" ref="P40:P103" si="1">H40/Q40-1</f>
        <v>0</v>
      </c>
      <c r="Q40" s="28">
        <v>12345.022579393355</v>
      </c>
      <c r="S40" s="74" t="s">
        <v>66</v>
      </c>
      <c r="T40" s="67"/>
      <c r="U40" s="67"/>
      <c r="V40" s="67"/>
      <c r="W40" s="67"/>
      <c r="X40" s="67"/>
    </row>
    <row r="41" spans="1:24" ht="15.75" x14ac:dyDescent="0.25">
      <c r="A41" s="75">
        <v>100522277</v>
      </c>
      <c r="B41" s="37" t="s">
        <v>67</v>
      </c>
      <c r="C41" s="24"/>
      <c r="D41" s="25">
        <v>2.16</v>
      </c>
      <c r="E41" s="26">
        <v>24</v>
      </c>
      <c r="F41" s="43">
        <v>12345.022579393355</v>
      </c>
      <c r="G41" s="60"/>
      <c r="H41" s="43">
        <v>12345.022579393355</v>
      </c>
      <c r="I41" s="43">
        <v>514.3759408080565</v>
      </c>
      <c r="J41" s="43">
        <v>108.01894756969186</v>
      </c>
      <c r="K41" s="43">
        <v>622.39488837774832</v>
      </c>
      <c r="L41" s="43">
        <v>136.92687544310462</v>
      </c>
      <c r="M41" s="43">
        <v>759.32176382085299</v>
      </c>
      <c r="N41" s="43">
        <v>265.76261733729854</v>
      </c>
      <c r="O41" s="45">
        <v>1025.0843811581515</v>
      </c>
      <c r="P41" s="29">
        <f t="shared" si="1"/>
        <v>0</v>
      </c>
      <c r="Q41" s="28">
        <v>12345.022579393355</v>
      </c>
      <c r="S41" s="74" t="s">
        <v>68</v>
      </c>
      <c r="T41" s="67"/>
      <c r="U41" s="67"/>
      <c r="V41" s="67"/>
      <c r="W41" s="67"/>
      <c r="X41" s="67"/>
    </row>
    <row r="42" spans="1:24" x14ac:dyDescent="0.25">
      <c r="A42" s="75">
        <v>100522333</v>
      </c>
      <c r="B42" s="37" t="s">
        <v>69</v>
      </c>
      <c r="C42" s="24"/>
      <c r="D42" s="25">
        <v>2.16</v>
      </c>
      <c r="E42" s="26">
        <v>24</v>
      </c>
      <c r="F42" s="43">
        <v>12345.022579393355</v>
      </c>
      <c r="G42" s="60"/>
      <c r="H42" s="43">
        <v>12345.022579393355</v>
      </c>
      <c r="I42" s="43">
        <v>514.3759408080565</v>
      </c>
      <c r="J42" s="43">
        <v>108.01894756969186</v>
      </c>
      <c r="K42" s="43">
        <v>622.39488837774832</v>
      </c>
      <c r="L42" s="43">
        <v>136.92687544310462</v>
      </c>
      <c r="M42" s="43">
        <v>759.32176382085299</v>
      </c>
      <c r="N42" s="43">
        <v>265.76261733729854</v>
      </c>
      <c r="O42" s="45">
        <v>1025.0843811581515</v>
      </c>
      <c r="P42" s="29">
        <f t="shared" si="1"/>
        <v>0</v>
      </c>
      <c r="Q42" s="28">
        <v>12345.022579393355</v>
      </c>
      <c r="S42" s="67"/>
      <c r="T42" s="67"/>
      <c r="U42" s="67"/>
      <c r="V42" s="67"/>
      <c r="W42" s="67"/>
      <c r="X42" s="67"/>
    </row>
    <row r="43" spans="1:24" x14ac:dyDescent="0.25">
      <c r="A43" s="38">
        <v>100021045</v>
      </c>
      <c r="B43" s="39" t="s">
        <v>70</v>
      </c>
      <c r="C43" s="40">
        <v>7790360966582</v>
      </c>
      <c r="D43" s="41">
        <v>2.16</v>
      </c>
      <c r="E43" s="42">
        <v>24</v>
      </c>
      <c r="F43" s="43">
        <v>12345.022579393353</v>
      </c>
      <c r="G43" s="60"/>
      <c r="H43" s="43">
        <v>12345.022579393353</v>
      </c>
      <c r="I43" s="43">
        <v>514.37594080805638</v>
      </c>
      <c r="J43" s="43">
        <v>108.01894756969183</v>
      </c>
      <c r="K43" s="43">
        <v>622.3948883777482</v>
      </c>
      <c r="L43" s="43">
        <v>136.92687544310459</v>
      </c>
      <c r="M43" s="43">
        <v>759.32176382085277</v>
      </c>
      <c r="N43" s="43">
        <v>265.76261733729848</v>
      </c>
      <c r="O43" s="45">
        <v>1025.0843811581512</v>
      </c>
      <c r="P43" s="29">
        <f t="shared" si="1"/>
        <v>0</v>
      </c>
      <c r="Q43" s="28">
        <v>12345.022579393353</v>
      </c>
      <c r="S43" s="67"/>
      <c r="T43" s="67"/>
      <c r="U43" s="67"/>
      <c r="V43" s="67"/>
      <c r="W43" s="67"/>
      <c r="X43" s="67"/>
    </row>
    <row r="44" spans="1:24" x14ac:dyDescent="0.25">
      <c r="A44" s="38">
        <v>100021004</v>
      </c>
      <c r="B44" s="39" t="s">
        <v>71</v>
      </c>
      <c r="C44" s="40">
        <v>7790360964526</v>
      </c>
      <c r="D44" s="41">
        <v>2.1120000000000001</v>
      </c>
      <c r="E44" s="42">
        <v>24</v>
      </c>
      <c r="F44" s="43">
        <v>12345.022579393353</v>
      </c>
      <c r="G44" s="60"/>
      <c r="H44" s="43">
        <v>12345.022579393353</v>
      </c>
      <c r="I44" s="43">
        <v>514.37594080805638</v>
      </c>
      <c r="J44" s="43">
        <v>108.01894756969183</v>
      </c>
      <c r="K44" s="43">
        <v>622.3948883777482</v>
      </c>
      <c r="L44" s="43">
        <v>136.92687544310459</v>
      </c>
      <c r="M44" s="43">
        <v>759.32176382085277</v>
      </c>
      <c r="N44" s="43">
        <v>265.76261733729848</v>
      </c>
      <c r="O44" s="45">
        <v>1025.0843811581512</v>
      </c>
      <c r="P44" s="29">
        <f t="shared" si="1"/>
        <v>0</v>
      </c>
      <c r="Q44" s="28">
        <v>12345.022579393353</v>
      </c>
      <c r="S44" s="67"/>
      <c r="T44" s="67"/>
      <c r="U44" s="67"/>
      <c r="V44" s="67"/>
      <c r="W44" s="67"/>
      <c r="X44" s="67"/>
    </row>
    <row r="45" spans="1:24" x14ac:dyDescent="0.25">
      <c r="A45" s="38">
        <v>100021006</v>
      </c>
      <c r="B45" s="39" t="s">
        <v>72</v>
      </c>
      <c r="C45" s="40">
        <v>7790360964557</v>
      </c>
      <c r="D45" s="41">
        <v>2.1120000000000001</v>
      </c>
      <c r="E45" s="42">
        <v>24</v>
      </c>
      <c r="F45" s="43">
        <v>12345.022579393353</v>
      </c>
      <c r="G45" s="60"/>
      <c r="H45" s="43">
        <v>12345.022579393353</v>
      </c>
      <c r="I45" s="43">
        <v>514.37594080805638</v>
      </c>
      <c r="J45" s="43">
        <v>108.01894756969183</v>
      </c>
      <c r="K45" s="43">
        <v>622.3948883777482</v>
      </c>
      <c r="L45" s="43">
        <v>136.92687544310459</v>
      </c>
      <c r="M45" s="43">
        <v>759.32176382085277</v>
      </c>
      <c r="N45" s="43">
        <v>265.76261733729848</v>
      </c>
      <c r="O45" s="45">
        <v>1025.0843811581512</v>
      </c>
      <c r="P45" s="29">
        <f t="shared" si="1"/>
        <v>0</v>
      </c>
      <c r="Q45" s="28">
        <v>12345.022579393353</v>
      </c>
      <c r="S45" s="67"/>
      <c r="T45" s="67"/>
      <c r="U45" s="67"/>
      <c r="V45" s="67"/>
      <c r="W45" s="67"/>
      <c r="X45" s="67"/>
    </row>
    <row r="46" spans="1:24" x14ac:dyDescent="0.25">
      <c r="A46" s="38">
        <v>100021007</v>
      </c>
      <c r="B46" s="39" t="s">
        <v>73</v>
      </c>
      <c r="C46" s="40">
        <v>7790360964540</v>
      </c>
      <c r="D46" s="41">
        <v>2.04</v>
      </c>
      <c r="E46" s="42">
        <v>24</v>
      </c>
      <c r="F46" s="43">
        <v>14092.44375</v>
      </c>
      <c r="G46" s="60"/>
      <c r="H46" s="43">
        <v>14092.44375</v>
      </c>
      <c r="I46" s="43">
        <v>587.18515624999998</v>
      </c>
      <c r="J46" s="43">
        <v>123.30888281249999</v>
      </c>
      <c r="K46" s="43">
        <v>710.49403906249995</v>
      </c>
      <c r="L46" s="43">
        <v>156.30868859374999</v>
      </c>
      <c r="M46" s="43">
        <v>866.80272765625</v>
      </c>
      <c r="N46" s="43">
        <v>303.38095467968748</v>
      </c>
      <c r="O46" s="45">
        <v>1170.1836823359374</v>
      </c>
      <c r="P46" s="29">
        <f t="shared" si="1"/>
        <v>0</v>
      </c>
      <c r="Q46" s="28">
        <v>14092.44375</v>
      </c>
      <c r="S46" s="67"/>
      <c r="T46" s="67"/>
      <c r="U46" s="67"/>
      <c r="V46" s="67"/>
      <c r="W46" s="67"/>
      <c r="X46" s="67"/>
    </row>
    <row r="47" spans="1:24" x14ac:dyDescent="0.25">
      <c r="A47" s="38">
        <v>100021013</v>
      </c>
      <c r="B47" s="39" t="s">
        <v>74</v>
      </c>
      <c r="C47" s="40">
        <v>7790360965714</v>
      </c>
      <c r="D47" s="41">
        <v>2.04</v>
      </c>
      <c r="E47" s="42">
        <v>24</v>
      </c>
      <c r="F47" s="43">
        <v>14092.44375</v>
      </c>
      <c r="G47" s="60"/>
      <c r="H47" s="43">
        <v>14092.44375</v>
      </c>
      <c r="I47" s="43">
        <v>587.18515624999998</v>
      </c>
      <c r="J47" s="43">
        <v>123.30888281249999</v>
      </c>
      <c r="K47" s="43">
        <v>710.49403906249995</v>
      </c>
      <c r="L47" s="43">
        <v>156.30868859374999</v>
      </c>
      <c r="M47" s="43">
        <v>866.80272765625</v>
      </c>
      <c r="N47" s="43">
        <v>303.38095467968748</v>
      </c>
      <c r="O47" s="45">
        <v>1170.1836823359374</v>
      </c>
      <c r="P47" s="29">
        <f t="shared" si="1"/>
        <v>0</v>
      </c>
      <c r="Q47" s="28">
        <v>14092.44375</v>
      </c>
      <c r="S47" s="67"/>
      <c r="T47" s="67"/>
      <c r="U47" s="67"/>
      <c r="V47" s="67"/>
      <c r="W47" s="67"/>
      <c r="X47" s="67"/>
    </row>
    <row r="48" spans="1:24" x14ac:dyDescent="0.25">
      <c r="A48" s="38">
        <v>100021014</v>
      </c>
      <c r="B48" s="39" t="s">
        <v>75</v>
      </c>
      <c r="C48" s="40">
        <v>7790360965721</v>
      </c>
      <c r="D48" s="41">
        <v>2.04</v>
      </c>
      <c r="E48" s="42">
        <v>24</v>
      </c>
      <c r="F48" s="43">
        <v>14092.44375</v>
      </c>
      <c r="G48" s="60"/>
      <c r="H48" s="43">
        <v>14092.44375</v>
      </c>
      <c r="I48" s="43">
        <v>587.18515624999998</v>
      </c>
      <c r="J48" s="43">
        <v>123.30888281249999</v>
      </c>
      <c r="K48" s="43">
        <v>710.49403906249995</v>
      </c>
      <c r="L48" s="43">
        <v>156.30868859374999</v>
      </c>
      <c r="M48" s="43">
        <v>866.80272765625</v>
      </c>
      <c r="N48" s="43">
        <v>303.38095467968748</v>
      </c>
      <c r="O48" s="45">
        <v>1170.1836823359374</v>
      </c>
      <c r="P48" s="29">
        <f t="shared" si="1"/>
        <v>0</v>
      </c>
      <c r="Q48" s="28">
        <v>14092.44375</v>
      </c>
      <c r="S48" s="67"/>
      <c r="T48" s="67"/>
      <c r="U48" s="67"/>
      <c r="V48" s="67"/>
      <c r="W48" s="67"/>
      <c r="X48" s="67"/>
    </row>
    <row r="49" spans="1:24" x14ac:dyDescent="0.25">
      <c r="A49" s="38">
        <v>100021054</v>
      </c>
      <c r="B49" s="39" t="s">
        <v>76</v>
      </c>
      <c r="C49" s="40">
        <v>7790360965707</v>
      </c>
      <c r="D49" s="41">
        <v>2.04</v>
      </c>
      <c r="E49" s="42">
        <v>24</v>
      </c>
      <c r="F49" s="43">
        <v>14092.44375</v>
      </c>
      <c r="G49" s="60"/>
      <c r="H49" s="43">
        <v>14092.44375</v>
      </c>
      <c r="I49" s="43">
        <v>587.18515624999998</v>
      </c>
      <c r="J49" s="43">
        <v>123.30888281249999</v>
      </c>
      <c r="K49" s="43">
        <v>710.49403906249995</v>
      </c>
      <c r="L49" s="43">
        <v>156.30868859374999</v>
      </c>
      <c r="M49" s="43">
        <v>866.80272765625</v>
      </c>
      <c r="N49" s="43">
        <v>303.38095467968748</v>
      </c>
      <c r="O49" s="45">
        <v>1170.1836823359374</v>
      </c>
      <c r="P49" s="29">
        <f t="shared" si="1"/>
        <v>0</v>
      </c>
      <c r="Q49" s="28">
        <v>14092.44375</v>
      </c>
      <c r="R49" s="76"/>
      <c r="S49" s="67"/>
      <c r="T49" s="67"/>
      <c r="U49" s="67"/>
      <c r="V49" s="67"/>
      <c r="W49" s="67"/>
      <c r="X49" s="67"/>
    </row>
    <row r="50" spans="1:24" x14ac:dyDescent="0.25">
      <c r="A50" s="38">
        <v>100021055</v>
      </c>
      <c r="B50" s="39" t="s">
        <v>77</v>
      </c>
      <c r="C50" s="40">
        <v>7790360965189</v>
      </c>
      <c r="D50" s="41">
        <v>2.04</v>
      </c>
      <c r="E50" s="42">
        <v>24</v>
      </c>
      <c r="F50" s="43">
        <v>14092.44375</v>
      </c>
      <c r="G50" s="60"/>
      <c r="H50" s="43">
        <v>14092.44375</v>
      </c>
      <c r="I50" s="43">
        <v>587.18515624999998</v>
      </c>
      <c r="J50" s="43">
        <v>123.30888281249999</v>
      </c>
      <c r="K50" s="43">
        <v>710.49403906249995</v>
      </c>
      <c r="L50" s="43">
        <v>156.30868859374999</v>
      </c>
      <c r="M50" s="43">
        <v>866.80272765625</v>
      </c>
      <c r="N50" s="43">
        <v>303.38095467968748</v>
      </c>
      <c r="O50" s="45">
        <v>1170.1836823359374</v>
      </c>
      <c r="P50" s="29">
        <f t="shared" si="1"/>
        <v>0</v>
      </c>
      <c r="Q50" s="28">
        <v>14092.44375</v>
      </c>
      <c r="S50" s="67"/>
      <c r="T50" s="67"/>
      <c r="U50" s="67"/>
      <c r="V50" s="67"/>
      <c r="W50" s="67"/>
      <c r="X50" s="67"/>
    </row>
    <row r="51" spans="1:24" x14ac:dyDescent="0.25">
      <c r="A51" s="38">
        <v>100021015</v>
      </c>
      <c r="B51" s="39" t="s">
        <v>78</v>
      </c>
      <c r="C51" s="40">
        <v>7790360965202</v>
      </c>
      <c r="D51" s="41">
        <v>2.04</v>
      </c>
      <c r="E51" s="42">
        <v>24</v>
      </c>
      <c r="F51" s="43">
        <v>14092.44375</v>
      </c>
      <c r="G51" s="60"/>
      <c r="H51" s="43">
        <v>14092.44375</v>
      </c>
      <c r="I51" s="43">
        <v>587.18515624999998</v>
      </c>
      <c r="J51" s="43">
        <v>123.30888281249999</v>
      </c>
      <c r="K51" s="43">
        <v>710.49403906249995</v>
      </c>
      <c r="L51" s="43">
        <v>156.30868859374999</v>
      </c>
      <c r="M51" s="43">
        <v>866.80272765625</v>
      </c>
      <c r="N51" s="43">
        <v>303.38095467968748</v>
      </c>
      <c r="O51" s="45">
        <v>1170.1836823359374</v>
      </c>
      <c r="P51" s="29">
        <f t="shared" si="1"/>
        <v>0</v>
      </c>
      <c r="Q51" s="28">
        <v>14092.44375</v>
      </c>
      <c r="S51" s="67"/>
      <c r="T51" s="67"/>
      <c r="U51" s="67"/>
      <c r="V51" s="67"/>
      <c r="W51" s="67"/>
      <c r="X51" s="67"/>
    </row>
    <row r="52" spans="1:24" x14ac:dyDescent="0.25">
      <c r="A52" s="38">
        <v>100021008</v>
      </c>
      <c r="B52" s="39" t="s">
        <v>79</v>
      </c>
      <c r="C52" s="40">
        <v>7790360720122</v>
      </c>
      <c r="D52" s="41">
        <v>2.16</v>
      </c>
      <c r="E52" s="42">
        <v>24</v>
      </c>
      <c r="F52" s="43">
        <v>10448.578025943754</v>
      </c>
      <c r="G52" s="77"/>
      <c r="H52" s="43">
        <v>10448.578025943754</v>
      </c>
      <c r="I52" s="43">
        <v>435.35741774765643</v>
      </c>
      <c r="J52" s="43">
        <v>91.42505772700784</v>
      </c>
      <c r="K52" s="43">
        <v>526.78247547466424</v>
      </c>
      <c r="L52" s="43">
        <v>115.89214460442614</v>
      </c>
      <c r="M52" s="43">
        <v>642.67462007909035</v>
      </c>
      <c r="N52" s="43">
        <v>224.9361170276816</v>
      </c>
      <c r="O52" s="45">
        <v>867.61073710677192</v>
      </c>
      <c r="P52" s="29">
        <f t="shared" si="1"/>
        <v>0</v>
      </c>
      <c r="Q52" s="28">
        <v>10448.578025943754</v>
      </c>
      <c r="S52" s="67"/>
      <c r="T52" s="67"/>
      <c r="U52" s="67"/>
      <c r="V52" s="67"/>
      <c r="W52" s="67"/>
      <c r="X52" s="67"/>
    </row>
    <row r="53" spans="1:24" x14ac:dyDescent="0.25">
      <c r="A53" s="38">
        <v>100021009</v>
      </c>
      <c r="B53" s="39" t="s">
        <v>80</v>
      </c>
      <c r="C53" s="40">
        <v>7790360965127</v>
      </c>
      <c r="D53" s="41">
        <v>2.16</v>
      </c>
      <c r="E53" s="42">
        <v>24</v>
      </c>
      <c r="F53" s="43">
        <v>10448.578025943754</v>
      </c>
      <c r="G53" s="60"/>
      <c r="H53" s="43">
        <v>10448.578025943754</v>
      </c>
      <c r="I53" s="43">
        <v>435.35741774765643</v>
      </c>
      <c r="J53" s="43">
        <v>91.42505772700784</v>
      </c>
      <c r="K53" s="43">
        <v>526.78247547466424</v>
      </c>
      <c r="L53" s="43">
        <v>115.89214460442614</v>
      </c>
      <c r="M53" s="43">
        <v>642.67462007909035</v>
      </c>
      <c r="N53" s="43">
        <v>224.9361170276816</v>
      </c>
      <c r="O53" s="45">
        <v>867.61073710677192</v>
      </c>
      <c r="P53" s="29">
        <f t="shared" si="1"/>
        <v>0</v>
      </c>
      <c r="Q53" s="28">
        <v>10448.578025943754</v>
      </c>
      <c r="S53" s="67"/>
      <c r="T53" s="67"/>
      <c r="U53" s="67"/>
      <c r="V53" s="67"/>
      <c r="W53" s="67"/>
      <c r="X53" s="67"/>
    </row>
    <row r="54" spans="1:24" x14ac:dyDescent="0.25">
      <c r="A54" s="36">
        <v>100021010</v>
      </c>
      <c r="B54" s="37" t="s">
        <v>81</v>
      </c>
      <c r="C54" s="24">
        <v>7790920008707</v>
      </c>
      <c r="D54" s="25">
        <v>2.16</v>
      </c>
      <c r="E54" s="26">
        <v>24</v>
      </c>
      <c r="F54" s="27">
        <v>10448.578025943754</v>
      </c>
      <c r="G54" s="26"/>
      <c r="H54" s="27">
        <v>10448.578025943754</v>
      </c>
      <c r="I54" s="27">
        <v>435.35741774765643</v>
      </c>
      <c r="J54" s="27">
        <v>91.42505772700784</v>
      </c>
      <c r="K54" s="27">
        <v>526.78247547466424</v>
      </c>
      <c r="L54" s="27">
        <v>115.89214460442614</v>
      </c>
      <c r="M54" s="27">
        <v>642.67462007909035</v>
      </c>
      <c r="N54" s="27">
        <v>224.9361170276816</v>
      </c>
      <c r="O54" s="28">
        <v>867.61073710677192</v>
      </c>
      <c r="P54" s="29">
        <f t="shared" si="1"/>
        <v>0</v>
      </c>
      <c r="Q54" s="28">
        <v>10448.578025943754</v>
      </c>
      <c r="S54" s="67"/>
      <c r="T54" s="67"/>
      <c r="U54" s="67"/>
      <c r="V54" s="67"/>
      <c r="W54" s="67"/>
      <c r="X54" s="67"/>
    </row>
    <row r="55" spans="1:24" x14ac:dyDescent="0.25">
      <c r="A55" s="36">
        <v>100021011</v>
      </c>
      <c r="B55" s="37" t="s">
        <v>82</v>
      </c>
      <c r="C55" s="24">
        <v>7790920008714</v>
      </c>
      <c r="D55" s="25">
        <v>2.16</v>
      </c>
      <c r="E55" s="26">
        <v>24</v>
      </c>
      <c r="F55" s="27">
        <v>10448.578025943754</v>
      </c>
      <c r="G55" s="26"/>
      <c r="H55" s="27">
        <v>10448.578025943754</v>
      </c>
      <c r="I55" s="27">
        <v>435.35741774765643</v>
      </c>
      <c r="J55" s="27">
        <v>91.42505772700784</v>
      </c>
      <c r="K55" s="27">
        <v>526.78247547466424</v>
      </c>
      <c r="L55" s="27">
        <v>115.89214460442614</v>
      </c>
      <c r="M55" s="27">
        <v>642.67462007909035</v>
      </c>
      <c r="N55" s="27">
        <v>224.9361170276816</v>
      </c>
      <c r="O55" s="28">
        <v>867.61073710677192</v>
      </c>
      <c r="P55" s="29">
        <f t="shared" si="1"/>
        <v>0</v>
      </c>
      <c r="Q55" s="28">
        <v>10448.578025943754</v>
      </c>
      <c r="S55" s="67"/>
      <c r="T55" s="67"/>
      <c r="U55" s="67"/>
      <c r="V55" s="67"/>
      <c r="W55" s="67"/>
      <c r="X55" s="67"/>
    </row>
    <row r="56" spans="1:24" x14ac:dyDescent="0.25">
      <c r="A56" s="52"/>
      <c r="B56" s="53"/>
      <c r="C56" s="54"/>
      <c r="D56" s="53"/>
      <c r="E56" s="55"/>
      <c r="F56" s="56" t="e">
        <v>#N/A</v>
      </c>
      <c r="G56" s="55"/>
      <c r="H56" s="56" t="e">
        <v>#N/A</v>
      </c>
      <c r="I56" s="57" t="e">
        <v>#N/A</v>
      </c>
      <c r="J56" s="58"/>
      <c r="K56" s="57"/>
      <c r="L56" s="58"/>
      <c r="M56" s="57"/>
      <c r="N56" s="58"/>
      <c r="O56" s="59"/>
      <c r="P56" s="29" t="e">
        <f t="shared" si="1"/>
        <v>#N/A</v>
      </c>
      <c r="Q56" s="28" t="e">
        <v>#N/A</v>
      </c>
      <c r="S56" s="67"/>
      <c r="T56" s="67"/>
      <c r="U56" s="67"/>
      <c r="V56" s="67"/>
      <c r="W56" s="67"/>
      <c r="X56" s="67"/>
    </row>
    <row r="57" spans="1:24" x14ac:dyDescent="0.25">
      <c r="A57" s="36">
        <v>100516217</v>
      </c>
      <c r="B57" s="37" t="s">
        <v>83</v>
      </c>
      <c r="C57" s="24">
        <v>7790360967824</v>
      </c>
      <c r="D57" s="25">
        <v>5.8</v>
      </c>
      <c r="E57" s="26">
        <v>20</v>
      </c>
      <c r="F57" s="27">
        <v>24334.635591419239</v>
      </c>
      <c r="G57" s="78"/>
      <c r="H57" s="27">
        <v>24334.635591419239</v>
      </c>
      <c r="I57" s="27">
        <v>1216.7317795709619</v>
      </c>
      <c r="J57" s="27">
        <v>255.51367370990198</v>
      </c>
      <c r="K57" s="27">
        <v>1472.2454532808638</v>
      </c>
      <c r="L57" s="27">
        <v>515.28590864830232</v>
      </c>
      <c r="M57" s="27">
        <v>1987.531361929166</v>
      </c>
      <c r="N57" s="27">
        <v>894.3891128681247</v>
      </c>
      <c r="O57" s="28">
        <v>2881.9204747972908</v>
      </c>
      <c r="P57" s="29">
        <f t="shared" si="1"/>
        <v>0</v>
      </c>
      <c r="Q57" s="28">
        <v>24334.635591419239</v>
      </c>
      <c r="S57" s="67"/>
      <c r="T57" s="67"/>
      <c r="U57" s="67"/>
      <c r="V57" s="67"/>
      <c r="W57" s="67"/>
      <c r="X57" s="67"/>
    </row>
    <row r="58" spans="1:24" x14ac:dyDescent="0.25">
      <c r="A58" s="38">
        <v>100516214</v>
      </c>
      <c r="B58" s="39" t="s">
        <v>84</v>
      </c>
      <c r="C58" s="40">
        <v>7790360967794</v>
      </c>
      <c r="D58" s="41">
        <v>7</v>
      </c>
      <c r="E58" s="42">
        <v>20</v>
      </c>
      <c r="F58" s="43">
        <v>35086.224009740821</v>
      </c>
      <c r="G58" s="79">
        <v>0.05</v>
      </c>
      <c r="H58" s="43">
        <v>33331.912809253779</v>
      </c>
      <c r="I58" s="43">
        <v>1666.5956404626891</v>
      </c>
      <c r="J58" s="43">
        <v>349.98508449716468</v>
      </c>
      <c r="K58" s="43">
        <v>2016.5807249598538</v>
      </c>
      <c r="L58" s="43">
        <v>705.80325373594883</v>
      </c>
      <c r="M58" s="43">
        <v>2722.3839786958024</v>
      </c>
      <c r="N58" s="43">
        <v>1225.0727904131111</v>
      </c>
      <c r="O58" s="45">
        <v>3947.4567691089132</v>
      </c>
      <c r="P58" s="29">
        <f t="shared" si="1"/>
        <v>0</v>
      </c>
      <c r="Q58" s="28">
        <v>33331.912809253779</v>
      </c>
      <c r="S58" s="67" t="s">
        <v>85</v>
      </c>
      <c r="T58" s="67"/>
      <c r="U58" s="67"/>
      <c r="V58" s="67"/>
      <c r="W58" s="67"/>
      <c r="X58" s="67"/>
    </row>
    <row r="59" spans="1:24" x14ac:dyDescent="0.25">
      <c r="A59" s="38">
        <v>100516215</v>
      </c>
      <c r="B59" s="39" t="s">
        <v>86</v>
      </c>
      <c r="C59" s="40">
        <v>7790360967800</v>
      </c>
      <c r="D59" s="41">
        <v>7</v>
      </c>
      <c r="E59" s="42">
        <v>20</v>
      </c>
      <c r="F59" s="43">
        <v>35086.224009740821</v>
      </c>
      <c r="G59" s="79">
        <v>0.05</v>
      </c>
      <c r="H59" s="43">
        <v>33331.912809253779</v>
      </c>
      <c r="I59" s="43">
        <v>1666.5956404626891</v>
      </c>
      <c r="J59" s="43">
        <v>349.98508449716468</v>
      </c>
      <c r="K59" s="43">
        <v>2016.5807249598538</v>
      </c>
      <c r="L59" s="43">
        <v>705.80325373594883</v>
      </c>
      <c r="M59" s="43">
        <v>2722.3839786958024</v>
      </c>
      <c r="N59" s="43">
        <v>1225.0727904131111</v>
      </c>
      <c r="O59" s="45">
        <v>3947.4567691089132</v>
      </c>
      <c r="P59" s="29">
        <f t="shared" si="1"/>
        <v>0</v>
      </c>
      <c r="Q59" s="28">
        <v>33331.912809253779</v>
      </c>
      <c r="S59" s="67" t="s">
        <v>85</v>
      </c>
      <c r="T59" s="67"/>
      <c r="U59" s="67"/>
      <c r="V59" s="67"/>
      <c r="W59" s="67"/>
      <c r="X59" s="67"/>
    </row>
    <row r="60" spans="1:24" x14ac:dyDescent="0.25">
      <c r="A60" s="38">
        <v>100516216</v>
      </c>
      <c r="B60" s="39" t="s">
        <v>87</v>
      </c>
      <c r="C60" s="40">
        <v>7790360967817</v>
      </c>
      <c r="D60" s="41">
        <v>7</v>
      </c>
      <c r="E60" s="42">
        <v>20</v>
      </c>
      <c r="F60" s="43">
        <v>35086.224009740821</v>
      </c>
      <c r="G60" s="79">
        <v>0.05</v>
      </c>
      <c r="H60" s="43">
        <v>33331.912809253779</v>
      </c>
      <c r="I60" s="43">
        <v>1666.5956404626891</v>
      </c>
      <c r="J60" s="43">
        <v>349.98508449716468</v>
      </c>
      <c r="K60" s="43">
        <v>2016.5807249598538</v>
      </c>
      <c r="L60" s="43">
        <v>705.80325373594883</v>
      </c>
      <c r="M60" s="43">
        <v>2722.3839786958024</v>
      </c>
      <c r="N60" s="43">
        <v>1225.0727904131111</v>
      </c>
      <c r="O60" s="45">
        <v>3947.4567691089132</v>
      </c>
      <c r="P60" s="29">
        <f t="shared" si="1"/>
        <v>0</v>
      </c>
      <c r="Q60" s="28">
        <v>33331.912809253779</v>
      </c>
      <c r="S60" s="67" t="s">
        <v>85</v>
      </c>
      <c r="T60" s="67"/>
      <c r="U60" s="67"/>
      <c r="V60" s="67"/>
      <c r="W60" s="67"/>
      <c r="X60" s="67"/>
    </row>
    <row r="61" spans="1:24" x14ac:dyDescent="0.25">
      <c r="A61" s="52"/>
      <c r="B61" s="53"/>
      <c r="C61" s="54"/>
      <c r="D61" s="53"/>
      <c r="E61" s="55"/>
      <c r="F61" s="56" t="e">
        <v>#N/A</v>
      </c>
      <c r="G61" s="80"/>
      <c r="H61" s="56" t="e">
        <v>#N/A</v>
      </c>
      <c r="I61" s="57" t="e">
        <v>#N/A</v>
      </c>
      <c r="J61" s="58"/>
      <c r="K61" s="57"/>
      <c r="L61" s="58"/>
      <c r="M61" s="57"/>
      <c r="N61" s="58"/>
      <c r="O61" s="59"/>
      <c r="P61" s="29" t="e">
        <f t="shared" si="1"/>
        <v>#N/A</v>
      </c>
      <c r="Q61" s="28" t="e">
        <v>#N/A</v>
      </c>
      <c r="S61" s="67"/>
      <c r="T61" s="67"/>
      <c r="U61" s="67"/>
      <c r="V61" s="67"/>
      <c r="W61" s="67"/>
      <c r="X61" s="67"/>
    </row>
    <row r="62" spans="1:24" x14ac:dyDescent="0.25">
      <c r="A62" s="36">
        <v>100021704</v>
      </c>
      <c r="B62" s="37" t="s">
        <v>88</v>
      </c>
      <c r="C62" s="24">
        <v>7790360023902</v>
      </c>
      <c r="D62" s="25">
        <f>12*0.38</f>
        <v>4.5600000000000005</v>
      </c>
      <c r="E62" s="26">
        <v>12</v>
      </c>
      <c r="F62" s="27">
        <v>37686.635793333073</v>
      </c>
      <c r="G62" s="81"/>
      <c r="H62" s="27">
        <v>37686.635793333073</v>
      </c>
      <c r="I62" s="27">
        <v>3140.5529827777559</v>
      </c>
      <c r="J62" s="27">
        <v>659.5161263833287</v>
      </c>
      <c r="K62" s="27">
        <v>3800.0691091610847</v>
      </c>
      <c r="L62" s="27">
        <v>1330.0241882063797</v>
      </c>
      <c r="M62" s="27">
        <v>5130.0932973674644</v>
      </c>
      <c r="N62" s="27">
        <v>2308.5419838153589</v>
      </c>
      <c r="O62" s="28">
        <v>7438.6352811828237</v>
      </c>
      <c r="P62" s="29">
        <f t="shared" si="1"/>
        <v>0</v>
      </c>
      <c r="Q62" s="28">
        <v>37686.635793333073</v>
      </c>
      <c r="S62" s="67"/>
      <c r="T62" s="67"/>
      <c r="U62" s="67"/>
      <c r="V62" s="67"/>
      <c r="W62" s="67"/>
      <c r="X62" s="67"/>
    </row>
    <row r="63" spans="1:24" x14ac:dyDescent="0.25">
      <c r="A63" s="36">
        <v>100021705</v>
      </c>
      <c r="B63" s="37" t="s">
        <v>89</v>
      </c>
      <c r="C63" s="24">
        <v>7790360024336</v>
      </c>
      <c r="D63" s="25">
        <f>12*0.38</f>
        <v>4.5600000000000005</v>
      </c>
      <c r="E63" s="26">
        <v>12</v>
      </c>
      <c r="F63" s="27">
        <v>34258.028957143353</v>
      </c>
      <c r="G63" s="81"/>
      <c r="H63" s="27">
        <v>34258.028957143353</v>
      </c>
      <c r="I63" s="27">
        <v>2854.8357464286128</v>
      </c>
      <c r="J63" s="27">
        <v>599.51550675000863</v>
      </c>
      <c r="K63" s="27">
        <v>3454.3512531786214</v>
      </c>
      <c r="L63" s="27">
        <v>1209.0229386125175</v>
      </c>
      <c r="M63" s="27">
        <v>4663.3741917911393</v>
      </c>
      <c r="N63" s="27">
        <v>2098.5183863060129</v>
      </c>
      <c r="O63" s="28">
        <v>6761.8925780971522</v>
      </c>
      <c r="P63" s="29">
        <f t="shared" si="1"/>
        <v>0</v>
      </c>
      <c r="Q63" s="28">
        <v>34258.028957143353</v>
      </c>
      <c r="S63" s="67"/>
      <c r="T63" s="67"/>
      <c r="U63" s="67"/>
      <c r="V63" s="67"/>
      <c r="W63" s="67"/>
      <c r="X63" s="67"/>
    </row>
    <row r="64" spans="1:24" x14ac:dyDescent="0.25">
      <c r="A64" s="36">
        <v>100021709</v>
      </c>
      <c r="B64" s="37" t="s">
        <v>90</v>
      </c>
      <c r="C64" s="24">
        <v>7790360024701</v>
      </c>
      <c r="D64" s="25">
        <v>7.6</v>
      </c>
      <c r="E64" s="26">
        <v>10</v>
      </c>
      <c r="F64" s="27">
        <v>54972.169577320434</v>
      </c>
      <c r="G64" s="82"/>
      <c r="H64" s="27">
        <v>54972.169577320434</v>
      </c>
      <c r="I64" s="27">
        <v>5497.2169577320437</v>
      </c>
      <c r="J64" s="27">
        <v>1154.415561123729</v>
      </c>
      <c r="K64" s="27">
        <v>6651.632518855773</v>
      </c>
      <c r="L64" s="27">
        <v>2328.0713815995205</v>
      </c>
      <c r="M64" s="27">
        <v>8979.7039004552935</v>
      </c>
      <c r="N64" s="27">
        <v>4040.8667552048823</v>
      </c>
      <c r="O64" s="28">
        <v>13020.570655660176</v>
      </c>
      <c r="P64" s="29">
        <f t="shared" si="1"/>
        <v>0</v>
      </c>
      <c r="Q64" s="28">
        <v>54972.169577320434</v>
      </c>
      <c r="S64" s="67"/>
      <c r="T64" s="67"/>
      <c r="U64" s="67"/>
      <c r="V64" s="67"/>
      <c r="W64" s="67"/>
      <c r="X64" s="67"/>
    </row>
    <row r="65" spans="1:24" x14ac:dyDescent="0.25">
      <c r="A65" s="38">
        <v>100521357</v>
      </c>
      <c r="B65" s="39" t="s">
        <v>91</v>
      </c>
      <c r="C65" s="40">
        <v>7790360982018</v>
      </c>
      <c r="D65" s="41">
        <v>4.5599999999999996</v>
      </c>
      <c r="E65" s="42">
        <v>12</v>
      </c>
      <c r="F65" s="43">
        <v>44177.826000000015</v>
      </c>
      <c r="G65" s="77">
        <v>0.33</v>
      </c>
      <c r="H65" s="43">
        <v>29599.143420000008</v>
      </c>
      <c r="I65" s="43">
        <v>2466.5952850000008</v>
      </c>
      <c r="J65" s="43">
        <v>517.9850098500001</v>
      </c>
      <c r="K65" s="43">
        <v>2984.5802948500009</v>
      </c>
      <c r="L65" s="43">
        <v>1044.6031031975003</v>
      </c>
      <c r="M65" s="43">
        <v>4029.1833980475012</v>
      </c>
      <c r="N65" s="43">
        <v>1813.1325291213757</v>
      </c>
      <c r="O65" s="45">
        <v>5842.3159271688764</v>
      </c>
      <c r="P65" s="29">
        <f t="shared" si="1"/>
        <v>-0.19596783871354873</v>
      </c>
      <c r="Q65" s="28">
        <v>36813.382405800017</v>
      </c>
      <c r="S65" s="46" t="s">
        <v>92</v>
      </c>
      <c r="T65" s="67"/>
      <c r="U65" s="67"/>
      <c r="V65" s="67"/>
      <c r="W65" s="67"/>
      <c r="X65" s="67"/>
    </row>
    <row r="66" spans="1:24" x14ac:dyDescent="0.25">
      <c r="A66" s="36">
        <v>100521358</v>
      </c>
      <c r="B66" s="37" t="s">
        <v>93</v>
      </c>
      <c r="C66" s="24">
        <v>7790360982025</v>
      </c>
      <c r="D66" s="25">
        <v>7.6</v>
      </c>
      <c r="E66" s="26">
        <v>10</v>
      </c>
      <c r="F66" s="27" t="e">
        <v>#N/A</v>
      </c>
      <c r="G66" s="82"/>
      <c r="H66" s="27" t="e">
        <v>#N/A</v>
      </c>
      <c r="I66" s="27" t="e">
        <v>#N/A</v>
      </c>
      <c r="J66" s="27" t="e">
        <v>#N/A</v>
      </c>
      <c r="K66" s="27" t="e">
        <v>#N/A</v>
      </c>
      <c r="L66" s="27" t="e">
        <v>#N/A</v>
      </c>
      <c r="M66" s="27" t="e">
        <v>#N/A</v>
      </c>
      <c r="N66" s="27" t="e">
        <v>#N/A</v>
      </c>
      <c r="O66" s="28" t="e">
        <v>#N/A</v>
      </c>
      <c r="P66" s="29" t="e">
        <f t="shared" si="1"/>
        <v>#N/A</v>
      </c>
      <c r="Q66" s="28" t="e">
        <v>#N/A</v>
      </c>
      <c r="S66" s="67"/>
      <c r="T66" s="67"/>
      <c r="U66" s="67"/>
      <c r="V66" s="67"/>
      <c r="W66" s="67"/>
      <c r="X66" s="67"/>
    </row>
    <row r="67" spans="1:24" x14ac:dyDescent="0.25">
      <c r="A67" s="36">
        <v>100522130</v>
      </c>
      <c r="B67" s="37" t="s">
        <v>94</v>
      </c>
      <c r="C67" s="24">
        <v>7790360982445</v>
      </c>
      <c r="D67" s="25">
        <v>4.8</v>
      </c>
      <c r="E67" s="26">
        <v>12</v>
      </c>
      <c r="F67" s="27">
        <v>33034.092630000006</v>
      </c>
      <c r="G67" s="82"/>
      <c r="H67" s="27">
        <v>33034.092630000006</v>
      </c>
      <c r="I67" s="27">
        <v>2752.8410525000004</v>
      </c>
      <c r="J67" s="27">
        <v>578.0966210250001</v>
      </c>
      <c r="K67" s="27">
        <v>3330.9376735250007</v>
      </c>
      <c r="L67" s="27">
        <v>1165.8281857337502</v>
      </c>
      <c r="M67" s="27">
        <v>4496.7658592587504</v>
      </c>
      <c r="N67" s="27">
        <v>2023.5446366664378</v>
      </c>
      <c r="O67" s="83">
        <v>6520.3104959251887</v>
      </c>
      <c r="P67" s="29">
        <f t="shared" si="1"/>
        <v>0.18551115684549702</v>
      </c>
      <c r="Q67" s="28">
        <v>27864.851747072345</v>
      </c>
      <c r="S67" s="67"/>
      <c r="T67" s="67"/>
      <c r="U67" s="67"/>
      <c r="V67" s="67"/>
      <c r="W67" s="67"/>
      <c r="X67" s="67"/>
    </row>
    <row r="68" spans="1:24" x14ac:dyDescent="0.25">
      <c r="A68" s="84">
        <v>100021725</v>
      </c>
      <c r="B68" s="85" t="s">
        <v>95</v>
      </c>
      <c r="C68" s="86">
        <v>7790360027009</v>
      </c>
      <c r="D68" s="87">
        <v>6</v>
      </c>
      <c r="E68" s="88">
        <v>4</v>
      </c>
      <c r="F68" s="89">
        <v>28414.154467175089</v>
      </c>
      <c r="G68" s="90"/>
      <c r="H68" s="89">
        <v>28414.154467175089</v>
      </c>
      <c r="I68" s="89">
        <v>7103.5386167937722</v>
      </c>
      <c r="J68" s="89">
        <v>1491.743109526692</v>
      </c>
      <c r="K68" s="89">
        <v>8595.2817263204633</v>
      </c>
      <c r="L68" s="89">
        <v>3008.3486042121622</v>
      </c>
      <c r="M68" s="89">
        <v>11603.630330532626</v>
      </c>
      <c r="N68" s="89">
        <v>5221.633648739682</v>
      </c>
      <c r="O68" s="91">
        <v>16825.263979272306</v>
      </c>
      <c r="P68" s="29">
        <f t="shared" si="1"/>
        <v>0</v>
      </c>
      <c r="Q68" s="28">
        <v>28414.154467175089</v>
      </c>
      <c r="S68" s="67"/>
      <c r="T68" s="67"/>
      <c r="U68" s="67"/>
      <c r="V68" s="67"/>
      <c r="W68" s="67"/>
      <c r="X68" s="67"/>
    </row>
    <row r="69" spans="1:24" x14ac:dyDescent="0.25">
      <c r="A69" s="36">
        <v>100517055</v>
      </c>
      <c r="B69" s="37" t="s">
        <v>96</v>
      </c>
      <c r="C69" s="24">
        <v>7790360971135</v>
      </c>
      <c r="D69" s="25">
        <v>3.12</v>
      </c>
      <c r="E69" s="26">
        <v>12</v>
      </c>
      <c r="F69" s="27">
        <v>28376.008182673599</v>
      </c>
      <c r="G69" s="81"/>
      <c r="H69" s="27">
        <v>28376.008182673599</v>
      </c>
      <c r="I69" s="27">
        <v>2364.6673485561332</v>
      </c>
      <c r="J69" s="27">
        <v>496.58014319678796</v>
      </c>
      <c r="K69" s="27">
        <v>2861.2474917529212</v>
      </c>
      <c r="L69" s="27">
        <v>1001.4366221135224</v>
      </c>
      <c r="M69" s="27">
        <v>3862.6841138664436</v>
      </c>
      <c r="N69" s="27">
        <v>1738.2078512398996</v>
      </c>
      <c r="O69" s="28">
        <v>5600.8919651063434</v>
      </c>
      <c r="P69" s="29">
        <f t="shared" si="1"/>
        <v>0</v>
      </c>
      <c r="Q69" s="28">
        <v>28376.008182673599</v>
      </c>
      <c r="S69" s="67"/>
      <c r="T69" s="67"/>
      <c r="U69" s="67"/>
      <c r="V69" s="67"/>
      <c r="W69" s="67"/>
      <c r="X69" s="67"/>
    </row>
    <row r="70" spans="1:24" x14ac:dyDescent="0.25">
      <c r="A70" s="36">
        <v>100517186</v>
      </c>
      <c r="B70" s="37" t="s">
        <v>97</v>
      </c>
      <c r="C70" s="24">
        <v>7790360971395</v>
      </c>
      <c r="D70" s="25">
        <v>8</v>
      </c>
      <c r="E70" s="26">
        <v>8</v>
      </c>
      <c r="F70" s="27">
        <v>71701.328698938174</v>
      </c>
      <c r="G70" s="81"/>
      <c r="H70" s="27">
        <v>71701.328698938174</v>
      </c>
      <c r="I70" s="27">
        <v>8962.6660873672718</v>
      </c>
      <c r="J70" s="27">
        <v>1882.159878347127</v>
      </c>
      <c r="K70" s="27">
        <v>10844.825965714399</v>
      </c>
      <c r="L70" s="27">
        <v>3795.6890880000392</v>
      </c>
      <c r="M70" s="27">
        <v>14640.515053714438</v>
      </c>
      <c r="N70" s="27">
        <v>6588.2317741714969</v>
      </c>
      <c r="O70" s="28">
        <v>21228.746827885934</v>
      </c>
      <c r="P70" s="29">
        <f t="shared" si="1"/>
        <v>0</v>
      </c>
      <c r="Q70" s="28">
        <v>71701.328698938174</v>
      </c>
      <c r="S70" s="67"/>
      <c r="T70" s="67"/>
      <c r="U70" s="67"/>
      <c r="V70" s="67"/>
      <c r="W70" s="67"/>
      <c r="X70" s="67"/>
    </row>
    <row r="71" spans="1:24" x14ac:dyDescent="0.25">
      <c r="A71" s="92">
        <v>100521663</v>
      </c>
      <c r="B71" s="93" t="s">
        <v>98</v>
      </c>
      <c r="C71" s="40">
        <v>7790360982537</v>
      </c>
      <c r="D71" s="41">
        <v>4.8</v>
      </c>
      <c r="E71" s="42">
        <v>12</v>
      </c>
      <c r="F71" s="43">
        <v>37997.53</v>
      </c>
      <c r="G71" s="77">
        <v>0.33</v>
      </c>
      <c r="H71" s="43">
        <v>25458.345099999995</v>
      </c>
      <c r="I71" s="43">
        <v>2121.5287583333329</v>
      </c>
      <c r="J71" s="43">
        <v>445.52103924999989</v>
      </c>
      <c r="K71" s="43">
        <v>2567.0497975833327</v>
      </c>
      <c r="L71" s="43">
        <v>880.49808057108316</v>
      </c>
      <c r="M71" s="43">
        <v>3447.5478781544161</v>
      </c>
      <c r="N71" s="43">
        <v>1551.3965451694874</v>
      </c>
      <c r="O71" s="45">
        <v>4998.9444233239037</v>
      </c>
      <c r="P71" s="29">
        <f t="shared" si="1"/>
        <v>-0.43279970485843777</v>
      </c>
      <c r="Q71" s="28">
        <v>44884.224000000009</v>
      </c>
      <c r="S71" s="46" t="s">
        <v>92</v>
      </c>
      <c r="T71" s="67"/>
      <c r="U71" s="67"/>
      <c r="V71" s="67"/>
      <c r="W71" s="67"/>
      <c r="X71" s="67"/>
    </row>
    <row r="72" spans="1:24" x14ac:dyDescent="0.25">
      <c r="A72" s="84">
        <v>100021728</v>
      </c>
      <c r="B72" s="85" t="s">
        <v>99</v>
      </c>
      <c r="C72" s="86">
        <v>7790360967558</v>
      </c>
      <c r="D72" s="87">
        <v>3.84</v>
      </c>
      <c r="E72" s="88">
        <v>12</v>
      </c>
      <c r="F72" s="89">
        <v>35669.864673345204</v>
      </c>
      <c r="G72" s="90"/>
      <c r="H72" s="89">
        <v>35669.864673345204</v>
      </c>
      <c r="I72" s="89">
        <v>2972.4887227787672</v>
      </c>
      <c r="J72" s="89">
        <v>624.22263178354103</v>
      </c>
      <c r="K72" s="89">
        <v>3596.7113545623083</v>
      </c>
      <c r="L72" s="89">
        <v>1258.8489740968078</v>
      </c>
      <c r="M72" s="89">
        <v>4855.5603286591158</v>
      </c>
      <c r="N72" s="89">
        <v>2185.0021478966023</v>
      </c>
      <c r="O72" s="91">
        <v>7040.5624765557186</v>
      </c>
      <c r="P72" s="29">
        <f t="shared" si="1"/>
        <v>0</v>
      </c>
      <c r="Q72" s="28">
        <v>35669.864673345204</v>
      </c>
      <c r="S72" s="67"/>
      <c r="T72" s="67"/>
      <c r="U72" s="67"/>
      <c r="V72" s="67"/>
      <c r="W72" s="67"/>
      <c r="X72" s="67"/>
    </row>
    <row r="73" spans="1:24" x14ac:dyDescent="0.25">
      <c r="A73" s="84">
        <v>100517679</v>
      </c>
      <c r="B73" s="85" t="s">
        <v>100</v>
      </c>
      <c r="C73" s="86">
        <v>7790360973498</v>
      </c>
      <c r="D73" s="87">
        <v>7.68</v>
      </c>
      <c r="E73" s="88">
        <v>8</v>
      </c>
      <c r="F73" s="89">
        <v>35830.538453970417</v>
      </c>
      <c r="G73" s="90"/>
      <c r="H73" s="89">
        <v>35830.538453970417</v>
      </c>
      <c r="I73" s="89">
        <v>4478.8173067463022</v>
      </c>
      <c r="J73" s="89">
        <v>940.55163441672346</v>
      </c>
      <c r="K73" s="89">
        <v>5419.3689411630257</v>
      </c>
      <c r="L73" s="89">
        <v>1896.7791294070589</v>
      </c>
      <c r="M73" s="89">
        <v>7316.1480705700851</v>
      </c>
      <c r="N73" s="89">
        <v>3292.2666317565386</v>
      </c>
      <c r="O73" s="91">
        <v>10608.414702326623</v>
      </c>
      <c r="P73" s="29">
        <f t="shared" si="1"/>
        <v>0</v>
      </c>
      <c r="Q73" s="28">
        <v>35830.538453970417</v>
      </c>
      <c r="S73" s="67"/>
      <c r="T73" s="67"/>
      <c r="U73" s="67"/>
      <c r="V73" s="67"/>
      <c r="W73" s="67"/>
      <c r="X73" s="67"/>
    </row>
    <row r="74" spans="1:24" x14ac:dyDescent="0.25">
      <c r="A74" s="52"/>
      <c r="B74" s="53"/>
      <c r="C74" s="54"/>
      <c r="D74" s="53"/>
      <c r="E74" s="55"/>
      <c r="F74" s="56" t="e">
        <v>#N/A</v>
      </c>
      <c r="G74" s="80"/>
      <c r="H74" s="56" t="e">
        <v>#N/A</v>
      </c>
      <c r="I74" s="57" t="e">
        <v>#N/A</v>
      </c>
      <c r="J74" s="58"/>
      <c r="K74" s="57"/>
      <c r="L74" s="58"/>
      <c r="M74" s="57"/>
      <c r="N74" s="58"/>
      <c r="O74" s="59"/>
      <c r="P74" s="29" t="e">
        <f t="shared" si="1"/>
        <v>#N/A</v>
      </c>
      <c r="Q74" s="28" t="e">
        <v>#N/A</v>
      </c>
      <c r="S74" s="67"/>
      <c r="T74" s="67"/>
      <c r="U74" s="67"/>
      <c r="V74" s="67"/>
      <c r="W74" s="67"/>
      <c r="X74" s="67"/>
    </row>
    <row r="75" spans="1:24" x14ac:dyDescent="0.25">
      <c r="A75" s="36">
        <v>100516219</v>
      </c>
      <c r="B75" s="37" t="s">
        <v>101</v>
      </c>
      <c r="C75" s="94">
        <v>7790360967770</v>
      </c>
      <c r="D75" s="25">
        <v>10</v>
      </c>
      <c r="E75" s="26">
        <v>25</v>
      </c>
      <c r="F75" s="27">
        <v>16599.454447073913</v>
      </c>
      <c r="G75" s="81"/>
      <c r="H75" s="27">
        <v>16599.454447073913</v>
      </c>
      <c r="I75" s="27">
        <v>663.97817788295652</v>
      </c>
      <c r="J75" s="27">
        <v>139.43541735542087</v>
      </c>
      <c r="K75" s="27">
        <v>803.41359523837741</v>
      </c>
      <c r="L75" s="27">
        <v>281.19475833343205</v>
      </c>
      <c r="M75" s="27">
        <v>1084.6083535718094</v>
      </c>
      <c r="N75" s="27">
        <v>488.07375910731423</v>
      </c>
      <c r="O75" s="28">
        <v>1572.6821126791237</v>
      </c>
      <c r="P75" s="29">
        <f t="shared" si="1"/>
        <v>0</v>
      </c>
      <c r="Q75" s="28">
        <v>16599.454447073913</v>
      </c>
      <c r="S75" s="67"/>
      <c r="T75" s="67"/>
      <c r="U75" s="67"/>
      <c r="V75" s="67"/>
      <c r="W75" s="67"/>
      <c r="X75" s="67"/>
    </row>
    <row r="76" spans="1:24" x14ac:dyDescent="0.25">
      <c r="A76" s="36">
        <v>100516220</v>
      </c>
      <c r="B76" s="37" t="s">
        <v>102</v>
      </c>
      <c r="C76" s="94">
        <v>7790360967787</v>
      </c>
      <c r="D76" s="25">
        <v>12</v>
      </c>
      <c r="E76" s="26">
        <v>6</v>
      </c>
      <c r="F76" s="27">
        <v>17830.838018208367</v>
      </c>
      <c r="G76" s="81"/>
      <c r="H76" s="27">
        <v>17830.838018208367</v>
      </c>
      <c r="I76" s="27">
        <v>2971.8063363680612</v>
      </c>
      <c r="J76" s="27">
        <v>624.07933063729286</v>
      </c>
      <c r="K76" s="27">
        <v>3595.8856670053542</v>
      </c>
      <c r="L76" s="27">
        <v>1258.5599834518739</v>
      </c>
      <c r="M76" s="27">
        <v>4854.4456504572281</v>
      </c>
      <c r="N76" s="27">
        <v>2184.5005427057527</v>
      </c>
      <c r="O76" s="28">
        <v>7038.9461931629812</v>
      </c>
      <c r="P76" s="29">
        <f t="shared" si="1"/>
        <v>0</v>
      </c>
      <c r="Q76" s="28">
        <v>17830.838018208367</v>
      </c>
      <c r="S76" s="67"/>
      <c r="T76" s="67"/>
      <c r="U76" s="67"/>
      <c r="V76" s="67"/>
      <c r="W76" s="67"/>
      <c r="X76" s="67"/>
    </row>
    <row r="77" spans="1:24" ht="15.75" thickBot="1" x14ac:dyDescent="0.3">
      <c r="A77" s="95"/>
      <c r="B77" s="96"/>
      <c r="C77" s="97"/>
      <c r="D77" s="96"/>
      <c r="E77" s="98"/>
      <c r="F77" s="99" t="e">
        <v>#N/A</v>
      </c>
      <c r="G77" s="100"/>
      <c r="H77" s="99" t="e">
        <v>#N/A</v>
      </c>
      <c r="I77" s="99" t="e">
        <v>#N/A</v>
      </c>
      <c r="J77" s="99"/>
      <c r="K77" s="99"/>
      <c r="L77" s="99"/>
      <c r="M77" s="99"/>
      <c r="N77" s="99"/>
      <c r="O77" s="101"/>
      <c r="P77" s="29" t="e">
        <f t="shared" si="1"/>
        <v>#N/A</v>
      </c>
      <c r="Q77" s="28" t="e">
        <v>#N/A</v>
      </c>
      <c r="S77" s="67"/>
      <c r="T77" s="67"/>
      <c r="U77" s="67"/>
      <c r="V77" s="67"/>
      <c r="W77" s="67"/>
      <c r="X77" s="67"/>
    </row>
    <row r="78" spans="1:24" x14ac:dyDescent="0.25">
      <c r="A78" s="102">
        <v>100518158</v>
      </c>
      <c r="B78" s="103" t="s">
        <v>103</v>
      </c>
      <c r="C78" s="104">
        <v>7790360974280</v>
      </c>
      <c r="D78" s="105">
        <v>12</v>
      </c>
      <c r="E78" s="106">
        <v>24</v>
      </c>
      <c r="F78" s="107" t="e">
        <v>#N/A</v>
      </c>
      <c r="G78" s="108"/>
      <c r="H78" s="107" t="e">
        <v>#N/A</v>
      </c>
      <c r="I78" s="107" t="e">
        <v>#N/A</v>
      </c>
      <c r="J78" s="107" t="e">
        <v>#N/A</v>
      </c>
      <c r="K78" s="107" t="e">
        <v>#N/A</v>
      </c>
      <c r="L78" s="107" t="e">
        <v>#N/A</v>
      </c>
      <c r="M78" s="107" t="e">
        <v>#N/A</v>
      </c>
      <c r="N78" s="107" t="e">
        <v>#N/A</v>
      </c>
      <c r="O78" s="109" t="e">
        <v>#N/A</v>
      </c>
      <c r="P78" s="29" t="e">
        <f t="shared" si="1"/>
        <v>#N/A</v>
      </c>
      <c r="Q78" s="28" t="e">
        <v>#N/A</v>
      </c>
      <c r="S78" s="67"/>
      <c r="T78" s="67"/>
      <c r="U78" s="67"/>
      <c r="V78" s="67"/>
      <c r="W78" s="67"/>
      <c r="X78" s="67"/>
    </row>
    <row r="79" spans="1:24" x14ac:dyDescent="0.25">
      <c r="A79" s="36">
        <v>100518160</v>
      </c>
      <c r="B79" s="37" t="s">
        <v>104</v>
      </c>
      <c r="C79" s="110">
        <v>7790360974686</v>
      </c>
      <c r="D79" s="25">
        <v>12</v>
      </c>
      <c r="E79" s="26">
        <v>12</v>
      </c>
      <c r="F79" s="27" t="e">
        <v>#N/A</v>
      </c>
      <c r="G79" s="81"/>
      <c r="H79" s="27" t="e">
        <v>#N/A</v>
      </c>
      <c r="I79" s="27" t="e">
        <v>#N/A</v>
      </c>
      <c r="J79" s="27" t="e">
        <v>#N/A</v>
      </c>
      <c r="K79" s="27" t="e">
        <v>#N/A</v>
      </c>
      <c r="L79" s="27" t="e">
        <v>#N/A</v>
      </c>
      <c r="M79" s="27" t="e">
        <v>#N/A</v>
      </c>
      <c r="N79" s="27" t="e">
        <v>#N/A</v>
      </c>
      <c r="O79" s="28" t="e">
        <v>#N/A</v>
      </c>
      <c r="P79" s="29" t="e">
        <f t="shared" si="1"/>
        <v>#N/A</v>
      </c>
      <c r="Q79" s="28" t="e">
        <v>#N/A</v>
      </c>
      <c r="S79" s="67"/>
      <c r="T79" s="67"/>
      <c r="U79" s="67"/>
      <c r="V79" s="67"/>
      <c r="W79" s="67"/>
      <c r="X79" s="67"/>
    </row>
    <row r="80" spans="1:24" ht="15.75" thickBot="1" x14ac:dyDescent="0.3">
      <c r="A80" s="111">
        <v>100518463</v>
      </c>
      <c r="B80" s="112" t="s">
        <v>105</v>
      </c>
      <c r="C80" s="113">
        <v>7790360975188</v>
      </c>
      <c r="D80" s="114">
        <v>5</v>
      </c>
      <c r="E80" s="115">
        <v>1</v>
      </c>
      <c r="F80" s="116" t="e">
        <v>#N/A</v>
      </c>
      <c r="G80" s="117"/>
      <c r="H80" s="116" t="e">
        <v>#N/A</v>
      </c>
      <c r="I80" s="116" t="e">
        <v>#N/A</v>
      </c>
      <c r="J80" s="116" t="e">
        <v>#N/A</v>
      </c>
      <c r="K80" s="116" t="e">
        <v>#N/A</v>
      </c>
      <c r="L80" s="116" t="e">
        <v>#N/A</v>
      </c>
      <c r="M80" s="116" t="e">
        <v>#N/A</v>
      </c>
      <c r="N80" s="116" t="e">
        <v>#N/A</v>
      </c>
      <c r="O80" s="118" t="e">
        <v>#N/A</v>
      </c>
      <c r="P80" s="29" t="e">
        <f t="shared" si="1"/>
        <v>#N/A</v>
      </c>
      <c r="Q80" s="28" t="e">
        <v>#N/A</v>
      </c>
      <c r="S80" s="67"/>
      <c r="T80" s="67"/>
      <c r="U80" s="67"/>
      <c r="V80" s="67"/>
      <c r="W80" s="67"/>
      <c r="X80" s="67"/>
    </row>
    <row r="81" spans="1:24" ht="15.75" thickBot="1" x14ac:dyDescent="0.3">
      <c r="A81" s="119"/>
      <c r="B81" s="120"/>
      <c r="C81" s="121"/>
      <c r="D81" s="120"/>
      <c r="E81" s="122"/>
      <c r="F81" s="123" t="e">
        <v>#N/A</v>
      </c>
      <c r="G81" s="124"/>
      <c r="H81" s="123" t="e">
        <v>#N/A</v>
      </c>
      <c r="I81" s="123" t="e">
        <v>#N/A</v>
      </c>
      <c r="J81" s="123"/>
      <c r="K81" s="123"/>
      <c r="L81" s="123"/>
      <c r="M81" s="123"/>
      <c r="N81" s="123"/>
      <c r="O81" s="125"/>
      <c r="P81" s="29" t="e">
        <f t="shared" si="1"/>
        <v>#N/A</v>
      </c>
      <c r="Q81" s="28" t="e">
        <v>#N/A</v>
      </c>
      <c r="S81" s="67"/>
      <c r="T81" s="67"/>
      <c r="U81" s="67"/>
      <c r="V81" s="67"/>
      <c r="W81" s="67"/>
      <c r="X81" s="67"/>
    </row>
    <row r="82" spans="1:24" x14ac:dyDescent="0.25">
      <c r="A82" s="126">
        <v>100518291</v>
      </c>
      <c r="B82" s="127" t="s">
        <v>106</v>
      </c>
      <c r="C82" s="128">
        <v>7790360975195</v>
      </c>
      <c r="D82" s="129">
        <v>5</v>
      </c>
      <c r="E82" s="129">
        <v>10</v>
      </c>
      <c r="F82" s="130">
        <v>15942.442697899138</v>
      </c>
      <c r="G82" s="77">
        <v>0.15</v>
      </c>
      <c r="H82" s="43">
        <v>13551.076293214266</v>
      </c>
      <c r="I82" s="130">
        <v>1355.1076293214267</v>
      </c>
      <c r="J82" s="130">
        <v>284.5726021574996</v>
      </c>
      <c r="K82" s="130">
        <v>1639.6802314789263</v>
      </c>
      <c r="L82" s="130">
        <v>360.72965092536379</v>
      </c>
      <c r="M82" s="130">
        <v>2000.4098824042901</v>
      </c>
      <c r="N82" s="130">
        <v>700.14345884150146</v>
      </c>
      <c r="O82" s="131">
        <v>2700.5533412457917</v>
      </c>
      <c r="P82" s="29">
        <f t="shared" si="1"/>
        <v>0</v>
      </c>
      <c r="Q82" s="28">
        <v>13551.076293214266</v>
      </c>
      <c r="S82" s="67" t="s">
        <v>107</v>
      </c>
      <c r="T82" s="67"/>
      <c r="U82" s="67"/>
      <c r="V82" s="67"/>
      <c r="W82" s="67"/>
      <c r="X82" s="67"/>
    </row>
    <row r="83" spans="1:24" ht="15.75" thickBot="1" x14ac:dyDescent="0.3">
      <c r="A83" s="132">
        <v>100518292</v>
      </c>
      <c r="B83" s="133" t="s">
        <v>108</v>
      </c>
      <c r="C83" s="134">
        <v>7790360975201</v>
      </c>
      <c r="D83" s="135">
        <v>12</v>
      </c>
      <c r="E83" s="135">
        <v>12</v>
      </c>
      <c r="F83" s="43">
        <v>37618.476098599924</v>
      </c>
      <c r="G83" s="77">
        <v>0.15</v>
      </c>
      <c r="H83" s="43">
        <v>31975.704683809934</v>
      </c>
      <c r="I83" s="136">
        <v>2664.6420569841612</v>
      </c>
      <c r="J83" s="136">
        <v>559.57483196667386</v>
      </c>
      <c r="K83" s="136">
        <v>3224.2168889508348</v>
      </c>
      <c r="L83" s="136">
        <v>709.32771556918362</v>
      </c>
      <c r="M83" s="136">
        <v>3933.5446045200183</v>
      </c>
      <c r="N83" s="136">
        <v>1376.7406115820063</v>
      </c>
      <c r="O83" s="137">
        <v>5310.2852161020246</v>
      </c>
      <c r="P83" s="29">
        <f t="shared" si="1"/>
        <v>0</v>
      </c>
      <c r="Q83" s="28">
        <v>31975.704683809934</v>
      </c>
      <c r="S83" s="67" t="s">
        <v>109</v>
      </c>
      <c r="T83" s="67"/>
      <c r="U83" s="67"/>
      <c r="V83" s="67"/>
      <c r="W83" s="67"/>
      <c r="X83" s="67"/>
    </row>
    <row r="84" spans="1:24" ht="15.75" thickBot="1" x14ac:dyDescent="0.3">
      <c r="A84" s="119"/>
      <c r="B84" s="120"/>
      <c r="C84" s="121"/>
      <c r="D84" s="120"/>
      <c r="E84" s="122"/>
      <c r="F84" s="123" t="e">
        <v>#N/A</v>
      </c>
      <c r="G84" s="124"/>
      <c r="H84" s="123" t="e">
        <v>#N/A</v>
      </c>
      <c r="I84" s="123" t="e">
        <v>#N/A</v>
      </c>
      <c r="J84" s="123">
        <v>0.105</v>
      </c>
      <c r="K84" s="123"/>
      <c r="L84" s="123">
        <v>0.3</v>
      </c>
      <c r="M84" s="123"/>
      <c r="N84" s="123">
        <v>0.4</v>
      </c>
      <c r="O84" s="125"/>
      <c r="P84" s="29" t="e">
        <f t="shared" si="1"/>
        <v>#N/A</v>
      </c>
      <c r="Q84" s="28" t="e">
        <v>#N/A</v>
      </c>
      <c r="S84" s="67"/>
      <c r="T84" s="67"/>
      <c r="U84" s="67"/>
      <c r="V84" s="67"/>
      <c r="W84" s="67"/>
      <c r="X84" s="67"/>
    </row>
    <row r="85" spans="1:24" x14ac:dyDescent="0.25">
      <c r="A85" s="126">
        <v>100517915</v>
      </c>
      <c r="B85" s="127" t="s">
        <v>110</v>
      </c>
      <c r="C85" s="128">
        <v>7790360974020</v>
      </c>
      <c r="D85" s="129">
        <v>18</v>
      </c>
      <c r="E85" s="129">
        <v>36</v>
      </c>
      <c r="F85" s="130">
        <v>140307.70307503088</v>
      </c>
      <c r="G85" s="79"/>
      <c r="H85" s="43">
        <v>140307.70307503088</v>
      </c>
      <c r="I85" s="130">
        <v>3897.4361965286353</v>
      </c>
      <c r="J85" s="130">
        <v>409.23080063550668</v>
      </c>
      <c r="K85" s="130">
        <v>4306.6669971641422</v>
      </c>
      <c r="L85" s="130">
        <v>1292.0000991492427</v>
      </c>
      <c r="M85" s="130">
        <v>5598.6670963133847</v>
      </c>
      <c r="N85" s="130">
        <v>2239.466838525354</v>
      </c>
      <c r="O85" s="131">
        <v>7838.1339348387392</v>
      </c>
      <c r="P85" s="29">
        <f t="shared" si="1"/>
        <v>0</v>
      </c>
      <c r="Q85" s="28">
        <v>140307.70307503088</v>
      </c>
      <c r="S85" s="67"/>
      <c r="T85" s="67"/>
      <c r="U85" s="67"/>
      <c r="V85" s="67"/>
      <c r="W85" s="67"/>
      <c r="X85" s="67"/>
    </row>
    <row r="86" spans="1:24" ht="15.75" thickBot="1" x14ac:dyDescent="0.3">
      <c r="A86" s="132">
        <v>100517914</v>
      </c>
      <c r="B86" s="133" t="s">
        <v>111</v>
      </c>
      <c r="C86" s="134">
        <v>7790360974037</v>
      </c>
      <c r="D86" s="135">
        <v>20</v>
      </c>
      <c r="E86" s="135">
        <v>20</v>
      </c>
      <c r="F86" s="43">
        <v>153106.88354443086</v>
      </c>
      <c r="G86" s="79"/>
      <c r="H86" s="43">
        <v>153106.88354443086</v>
      </c>
      <c r="I86" s="136">
        <v>7655.3441772215429</v>
      </c>
      <c r="J86" s="136">
        <v>803.81113860826201</v>
      </c>
      <c r="K86" s="136">
        <v>8459.1553158298047</v>
      </c>
      <c r="L86" s="136">
        <v>2537.7465947489413</v>
      </c>
      <c r="M86" s="136">
        <v>10996.901910578747</v>
      </c>
      <c r="N86" s="136">
        <v>4398.7607642314988</v>
      </c>
      <c r="O86" s="137">
        <v>15395.662674810246</v>
      </c>
      <c r="P86" s="29">
        <f t="shared" si="1"/>
        <v>0</v>
      </c>
      <c r="Q86" s="28">
        <v>153106.88354443086</v>
      </c>
      <c r="S86" s="67"/>
      <c r="T86" s="67"/>
      <c r="U86" s="67"/>
      <c r="V86" s="67"/>
      <c r="W86" s="67"/>
      <c r="X86" s="67"/>
    </row>
    <row r="87" spans="1:24" x14ac:dyDescent="0.25">
      <c r="A87" s="119"/>
      <c r="B87" s="120"/>
      <c r="C87" s="121"/>
      <c r="D87" s="120"/>
      <c r="E87" s="122"/>
      <c r="F87" s="123" t="e">
        <v>#N/A</v>
      </c>
      <c r="G87" s="124"/>
      <c r="H87" s="123" t="e">
        <v>#N/A</v>
      </c>
      <c r="I87" s="123"/>
      <c r="J87" s="138">
        <v>0.105</v>
      </c>
      <c r="K87" s="138"/>
      <c r="L87" s="138">
        <v>0.3</v>
      </c>
      <c r="M87" s="138"/>
      <c r="N87" s="138">
        <v>0.4</v>
      </c>
      <c r="O87" s="139"/>
      <c r="P87" s="29" t="e">
        <f t="shared" si="1"/>
        <v>#N/A</v>
      </c>
      <c r="Q87" s="28" t="e">
        <v>#N/A</v>
      </c>
      <c r="S87" s="67"/>
      <c r="T87" s="67"/>
      <c r="U87" s="67"/>
      <c r="V87" s="67"/>
      <c r="W87" s="67"/>
      <c r="X87" s="67"/>
    </row>
    <row r="88" spans="1:24" x14ac:dyDescent="0.25">
      <c r="A88" s="36">
        <v>100010689</v>
      </c>
      <c r="B88" s="37" t="s">
        <v>112</v>
      </c>
      <c r="C88" s="24"/>
      <c r="D88" s="25">
        <v>22</v>
      </c>
      <c r="E88" s="26">
        <v>1</v>
      </c>
      <c r="F88" s="27">
        <v>14967.857142857145</v>
      </c>
      <c r="G88" s="81"/>
      <c r="H88" s="27">
        <v>14967.857142857145</v>
      </c>
      <c r="I88" s="27">
        <v>14967.857142857145</v>
      </c>
      <c r="J88" s="27">
        <v>1571.6250000000002</v>
      </c>
      <c r="K88" s="27">
        <v>16539.482142857145</v>
      </c>
      <c r="L88" s="27">
        <v>4961.8446428571433</v>
      </c>
      <c r="M88" s="27">
        <v>21501.326785714289</v>
      </c>
      <c r="N88" s="27">
        <v>8600.5307142857164</v>
      </c>
      <c r="O88" s="28">
        <v>30101.857500000006</v>
      </c>
      <c r="P88" s="29">
        <f t="shared" si="1"/>
        <v>0</v>
      </c>
      <c r="Q88" s="28">
        <v>14967.857142857145</v>
      </c>
      <c r="S88" s="67"/>
      <c r="T88" s="67"/>
      <c r="U88" s="67"/>
      <c r="V88" s="67"/>
      <c r="W88" s="67"/>
      <c r="X88" s="67"/>
    </row>
    <row r="89" spans="1:24" x14ac:dyDescent="0.25">
      <c r="A89" s="36">
        <v>100518335</v>
      </c>
      <c r="B89" s="37" t="s">
        <v>113</v>
      </c>
      <c r="C89" s="24"/>
      <c r="D89" s="25">
        <v>22.5</v>
      </c>
      <c r="E89" s="26">
        <v>1</v>
      </c>
      <c r="F89" s="27">
        <v>9481.0714285714294</v>
      </c>
      <c r="G89" s="81"/>
      <c r="H89" s="27">
        <v>9481.0714285714294</v>
      </c>
      <c r="I89" s="27">
        <v>9481.0714285714294</v>
      </c>
      <c r="J89" s="27">
        <v>995.51250000000005</v>
      </c>
      <c r="K89" s="27">
        <v>10476.58392857143</v>
      </c>
      <c r="L89" s="27">
        <v>3142.9751785714288</v>
      </c>
      <c r="M89" s="27">
        <v>13619.559107142859</v>
      </c>
      <c r="N89" s="27">
        <v>5447.8236428571436</v>
      </c>
      <c r="O89" s="28">
        <v>19067.382750000004</v>
      </c>
      <c r="P89" s="29">
        <f t="shared" si="1"/>
        <v>0</v>
      </c>
      <c r="Q89" s="28">
        <v>9481.0714285714294</v>
      </c>
      <c r="S89" s="67"/>
      <c r="T89" s="67"/>
      <c r="U89" s="67"/>
      <c r="V89" s="67"/>
      <c r="W89" s="67"/>
      <c r="X89" s="67"/>
    </row>
    <row r="90" spans="1:24" x14ac:dyDescent="0.25">
      <c r="A90" s="36">
        <v>100518332</v>
      </c>
      <c r="B90" s="37" t="s">
        <v>114</v>
      </c>
      <c r="C90" s="24"/>
      <c r="D90" s="25">
        <v>21.5</v>
      </c>
      <c r="E90" s="26">
        <v>1</v>
      </c>
      <c r="F90" s="27">
        <v>10203.214285714286</v>
      </c>
      <c r="G90" s="81"/>
      <c r="H90" s="27">
        <v>10203.214285714286</v>
      </c>
      <c r="I90" s="27">
        <v>10203.214285714286</v>
      </c>
      <c r="J90" s="27">
        <v>1071.3375000000001</v>
      </c>
      <c r="K90" s="27">
        <v>11274.551785714286</v>
      </c>
      <c r="L90" s="27">
        <v>3382.3655357142857</v>
      </c>
      <c r="M90" s="27">
        <v>14656.917321428571</v>
      </c>
      <c r="N90" s="27">
        <v>5862.7669285714292</v>
      </c>
      <c r="O90" s="28">
        <v>20519.684249999998</v>
      </c>
      <c r="P90" s="29">
        <f t="shared" si="1"/>
        <v>0</v>
      </c>
      <c r="Q90" s="28">
        <v>10203.214285714286</v>
      </c>
      <c r="S90" s="67"/>
      <c r="T90" s="67"/>
      <c r="U90" s="67"/>
      <c r="V90" s="67"/>
      <c r="W90" s="67"/>
      <c r="X90" s="67"/>
    </row>
    <row r="91" spans="1:24" x14ac:dyDescent="0.25">
      <c r="A91" s="36">
        <v>100518334</v>
      </c>
      <c r="B91" s="37" t="s">
        <v>115</v>
      </c>
      <c r="C91" s="24"/>
      <c r="D91" s="25">
        <v>22.5</v>
      </c>
      <c r="E91" s="26">
        <v>1</v>
      </c>
      <c r="F91" s="27">
        <v>8397.8571428571431</v>
      </c>
      <c r="G91" s="81"/>
      <c r="H91" s="27">
        <v>8397.8571428571431</v>
      </c>
      <c r="I91" s="27">
        <v>8397.8571428571431</v>
      </c>
      <c r="J91" s="27">
        <v>881.77499999999998</v>
      </c>
      <c r="K91" s="27">
        <v>9279.6321428571428</v>
      </c>
      <c r="L91" s="27">
        <v>2783.8896428571429</v>
      </c>
      <c r="M91" s="27">
        <v>12063.521785714285</v>
      </c>
      <c r="N91" s="27">
        <v>4825.4087142857143</v>
      </c>
      <c r="O91" s="28">
        <v>16888.930499999999</v>
      </c>
      <c r="P91" s="29">
        <f t="shared" si="1"/>
        <v>0</v>
      </c>
      <c r="Q91" s="28">
        <v>8397.8571428571431</v>
      </c>
      <c r="S91" s="67"/>
      <c r="T91" s="67"/>
      <c r="U91" s="67"/>
      <c r="V91" s="67"/>
      <c r="W91" s="67"/>
      <c r="X91" s="67"/>
    </row>
    <row r="92" spans="1:24" x14ac:dyDescent="0.25">
      <c r="A92" s="36">
        <v>100518227</v>
      </c>
      <c r="B92" s="37" t="s">
        <v>116</v>
      </c>
      <c r="C92" s="24"/>
      <c r="D92" s="25">
        <v>22.5</v>
      </c>
      <c r="E92" s="26">
        <v>1</v>
      </c>
      <c r="F92" s="27">
        <v>8397.8571428571431</v>
      </c>
      <c r="G92" s="81"/>
      <c r="H92" s="27">
        <v>8397.8571428571431</v>
      </c>
      <c r="I92" s="27">
        <v>8397.8571428571431</v>
      </c>
      <c r="J92" s="27">
        <v>881.77499999999998</v>
      </c>
      <c r="K92" s="27">
        <v>9279.6321428571428</v>
      </c>
      <c r="L92" s="27">
        <v>2783.8896428571429</v>
      </c>
      <c r="M92" s="27">
        <v>12063.521785714285</v>
      </c>
      <c r="N92" s="27">
        <v>4825.4087142857143</v>
      </c>
      <c r="O92" s="28">
        <v>16888.930499999999</v>
      </c>
      <c r="P92" s="29">
        <f t="shared" si="1"/>
        <v>0</v>
      </c>
      <c r="Q92" s="28">
        <v>8397.8571428571431</v>
      </c>
      <c r="S92" s="67"/>
      <c r="T92" s="67"/>
      <c r="U92" s="67"/>
      <c r="V92" s="67"/>
      <c r="W92" s="67"/>
      <c r="X92" s="67"/>
    </row>
    <row r="93" spans="1:24" x14ac:dyDescent="0.25">
      <c r="A93" s="140">
        <v>100027726</v>
      </c>
      <c r="B93" s="141" t="s">
        <v>117</v>
      </c>
      <c r="C93" s="142"/>
      <c r="D93" s="143">
        <v>22.5</v>
      </c>
      <c r="E93" s="26">
        <v>1</v>
      </c>
      <c r="F93" s="27">
        <v>6195</v>
      </c>
      <c r="G93" s="81"/>
      <c r="H93" s="27">
        <v>6195</v>
      </c>
      <c r="I93" s="27">
        <v>6195</v>
      </c>
      <c r="J93" s="27">
        <v>650.47500000000002</v>
      </c>
      <c r="K93" s="27">
        <v>6845.4750000000004</v>
      </c>
      <c r="L93" s="27">
        <v>2053.6424999999999</v>
      </c>
      <c r="M93" s="27">
        <v>8899.1175000000003</v>
      </c>
      <c r="N93" s="27">
        <v>3559.6470000000004</v>
      </c>
      <c r="O93" s="28">
        <v>12458.764500000001</v>
      </c>
      <c r="P93" s="29">
        <f t="shared" si="1"/>
        <v>0</v>
      </c>
      <c r="Q93" s="28">
        <v>6195</v>
      </c>
      <c r="S93" s="67"/>
      <c r="T93" s="67"/>
      <c r="U93" s="67"/>
      <c r="V93" s="67"/>
      <c r="W93" s="67"/>
      <c r="X93" s="67"/>
    </row>
    <row r="94" spans="1:24" x14ac:dyDescent="0.25">
      <c r="A94" s="119"/>
      <c r="B94" s="120"/>
      <c r="C94" s="121"/>
      <c r="D94" s="120"/>
      <c r="E94" s="122"/>
      <c r="F94" s="123" t="e">
        <v>#N/A</v>
      </c>
      <c r="G94" s="124"/>
      <c r="H94" s="123" t="e">
        <v>#N/A</v>
      </c>
      <c r="I94" s="123"/>
      <c r="J94" s="138">
        <v>0.21</v>
      </c>
      <c r="K94" s="138"/>
      <c r="L94" s="138">
        <v>0.3</v>
      </c>
      <c r="M94" s="138"/>
      <c r="N94" s="138">
        <v>0.4</v>
      </c>
      <c r="O94" s="139"/>
      <c r="P94" s="29" t="e">
        <f t="shared" si="1"/>
        <v>#N/A</v>
      </c>
      <c r="Q94" s="28" t="e">
        <v>#N/A</v>
      </c>
      <c r="S94" s="67"/>
      <c r="T94" s="67"/>
      <c r="U94" s="67"/>
      <c r="V94" s="67"/>
      <c r="W94" s="67"/>
      <c r="X94" s="67"/>
    </row>
    <row r="95" spans="1:24" x14ac:dyDescent="0.25">
      <c r="A95" s="92">
        <v>100520837</v>
      </c>
      <c r="B95" s="93" t="s">
        <v>118</v>
      </c>
      <c r="C95" s="144">
        <v>7790360980625</v>
      </c>
      <c r="D95" s="145">
        <v>4.8</v>
      </c>
      <c r="E95" s="42">
        <v>12</v>
      </c>
      <c r="F95" s="43">
        <v>32505.614135081214</v>
      </c>
      <c r="G95" s="146"/>
      <c r="H95" s="43">
        <v>32505.614135081214</v>
      </c>
      <c r="I95" s="43">
        <v>2708.8011779234344</v>
      </c>
      <c r="J95" s="43">
        <v>568.84824736392125</v>
      </c>
      <c r="K95" s="43">
        <v>3277.6494252873554</v>
      </c>
      <c r="L95" s="43">
        <v>983.29482758620657</v>
      </c>
      <c r="M95" s="43">
        <v>4260.9442528735617</v>
      </c>
      <c r="N95" s="43">
        <v>1704.3777011494249</v>
      </c>
      <c r="O95" s="45">
        <v>5965.3219540229866</v>
      </c>
      <c r="P95" s="29">
        <f t="shared" si="1"/>
        <v>0</v>
      </c>
      <c r="Q95" s="28">
        <v>32505.614135081214</v>
      </c>
      <c r="S95" s="147"/>
      <c r="T95" s="147"/>
      <c r="U95" s="147"/>
      <c r="V95" s="147"/>
      <c r="W95" s="147"/>
      <c r="X95" s="147"/>
    </row>
    <row r="96" spans="1:24" x14ac:dyDescent="0.25">
      <c r="A96" s="148">
        <v>100522395</v>
      </c>
      <c r="B96" s="85" t="s">
        <v>119</v>
      </c>
      <c r="C96" s="86">
        <v>7790360980625</v>
      </c>
      <c r="D96" s="143">
        <v>4.8</v>
      </c>
      <c r="E96" s="26">
        <v>12</v>
      </c>
      <c r="F96" s="43">
        <v>33155.72</v>
      </c>
      <c r="G96" s="149"/>
      <c r="H96" s="43">
        <v>33155.72</v>
      </c>
      <c r="I96" s="43">
        <v>2762.9766666666669</v>
      </c>
      <c r="J96" s="43">
        <v>580.2251</v>
      </c>
      <c r="K96" s="43">
        <v>3343.201766666667</v>
      </c>
      <c r="L96" s="43">
        <v>1002.9605300000001</v>
      </c>
      <c r="M96" s="43">
        <v>4346.1622966666673</v>
      </c>
      <c r="N96" s="43">
        <v>1738.464918666667</v>
      </c>
      <c r="O96" s="45">
        <v>6084.6272153333339</v>
      </c>
      <c r="P96" s="29"/>
      <c r="Q96" s="28">
        <v>33155.72</v>
      </c>
      <c r="S96" s="147"/>
      <c r="T96" s="147"/>
      <c r="U96" s="147"/>
      <c r="V96" s="147"/>
      <c r="W96" s="147"/>
      <c r="X96" s="147"/>
    </row>
    <row r="97" spans="1:19" x14ac:dyDescent="0.25">
      <c r="A97" s="119"/>
      <c r="B97" s="120"/>
      <c r="C97" s="121"/>
      <c r="D97" s="120"/>
      <c r="E97" s="122"/>
      <c r="F97" s="123" t="e">
        <v>#N/A</v>
      </c>
      <c r="G97" s="124"/>
      <c r="H97" s="123" t="e">
        <v>#N/A</v>
      </c>
      <c r="I97" s="123"/>
      <c r="J97" s="138">
        <v>0.21</v>
      </c>
      <c r="K97" s="138"/>
      <c r="L97" s="138">
        <v>0.35</v>
      </c>
      <c r="M97" s="138"/>
      <c r="N97" s="138">
        <v>0.45</v>
      </c>
      <c r="O97" s="139"/>
      <c r="P97" s="29" t="e">
        <f t="shared" si="1"/>
        <v>#N/A</v>
      </c>
      <c r="Q97" s="28" t="e">
        <v>#N/A</v>
      </c>
    </row>
    <row r="98" spans="1:19" x14ac:dyDescent="0.25">
      <c r="A98" s="92">
        <v>100520902</v>
      </c>
      <c r="B98" s="93" t="s">
        <v>120</v>
      </c>
      <c r="C98" s="144">
        <v>7790360981042</v>
      </c>
      <c r="D98" s="145">
        <v>9.8000000000000007</v>
      </c>
      <c r="E98" s="42">
        <v>14</v>
      </c>
      <c r="F98" s="43">
        <v>29405.275323770627</v>
      </c>
      <c r="G98" s="150">
        <v>0.14285714285714299</v>
      </c>
      <c r="H98" s="43">
        <v>25204.521706089105</v>
      </c>
      <c r="I98" s="43">
        <v>1800.3229790063647</v>
      </c>
      <c r="J98" s="43">
        <v>378.06782559133654</v>
      </c>
      <c r="K98" s="43">
        <v>2178.3908045977014</v>
      </c>
      <c r="L98" s="43">
        <v>762.43678160919546</v>
      </c>
      <c r="M98" s="43">
        <v>2940.8275862068967</v>
      </c>
      <c r="N98" s="43">
        <v>1323.3724137931035</v>
      </c>
      <c r="O98" s="45">
        <v>4264.2000000000007</v>
      </c>
      <c r="P98" s="29">
        <f t="shared" si="1"/>
        <v>0</v>
      </c>
      <c r="Q98" s="28">
        <v>25204.521706089105</v>
      </c>
      <c r="S98" t="s">
        <v>121</v>
      </c>
    </row>
    <row r="99" spans="1:19" x14ac:dyDescent="0.25">
      <c r="A99" s="119"/>
      <c r="B99" s="120"/>
      <c r="C99" s="121"/>
      <c r="D99" s="120"/>
      <c r="E99" s="122"/>
      <c r="F99" s="123" t="e">
        <v>#N/A</v>
      </c>
      <c r="G99" s="122"/>
      <c r="H99" s="123"/>
      <c r="I99" s="123"/>
      <c r="J99" s="138">
        <v>0.21</v>
      </c>
      <c r="K99" s="138"/>
      <c r="L99" s="138">
        <v>0.35</v>
      </c>
      <c r="M99" s="138"/>
      <c r="N99" s="138">
        <v>0.45</v>
      </c>
      <c r="O99" s="139"/>
      <c r="P99" s="29" t="e">
        <f t="shared" si="1"/>
        <v>#DIV/0!</v>
      </c>
      <c r="Q99" s="28"/>
    </row>
    <row r="100" spans="1:19" x14ac:dyDescent="0.25">
      <c r="A100" s="92">
        <v>100521457</v>
      </c>
      <c r="B100" s="93" t="s">
        <v>122</v>
      </c>
      <c r="C100" s="144">
        <v>7790360982254</v>
      </c>
      <c r="D100" s="145">
        <v>4.8</v>
      </c>
      <c r="E100" s="42">
        <v>16</v>
      </c>
      <c r="F100" s="43">
        <v>32843.545169563979</v>
      </c>
      <c r="G100" s="151">
        <v>7.4999999999999997E-2</v>
      </c>
      <c r="H100" s="43">
        <v>30380.279281846681</v>
      </c>
      <c r="I100" s="43">
        <v>1898.7674551154175</v>
      </c>
      <c r="J100" s="43">
        <v>398.74116557423764</v>
      </c>
      <c r="K100" s="43">
        <v>2297.5086206896553</v>
      </c>
      <c r="L100" s="43">
        <v>804.12801724137933</v>
      </c>
      <c r="M100" s="43">
        <v>3101.6366379310348</v>
      </c>
      <c r="N100" s="43">
        <v>1395.7364870689657</v>
      </c>
      <c r="O100" s="45">
        <v>4497.3731250000001</v>
      </c>
      <c r="P100" s="29">
        <f t="shared" si="1"/>
        <v>0</v>
      </c>
      <c r="Q100" s="28">
        <v>30380.279281846681</v>
      </c>
      <c r="S100" t="s">
        <v>123</v>
      </c>
    </row>
    <row r="101" spans="1:19" x14ac:dyDescent="0.25">
      <c r="A101" s="92">
        <v>100521455</v>
      </c>
      <c r="B101" s="93" t="s">
        <v>124</v>
      </c>
      <c r="C101" s="144">
        <v>7790360982247</v>
      </c>
      <c r="D101" s="145">
        <v>4.8</v>
      </c>
      <c r="E101" s="42">
        <v>16</v>
      </c>
      <c r="F101" s="43">
        <v>32843.545169563979</v>
      </c>
      <c r="G101" s="151">
        <v>7.4999999999999997E-2</v>
      </c>
      <c r="H101" s="43">
        <v>30380.279281846681</v>
      </c>
      <c r="I101" s="43">
        <v>1898.7674551154175</v>
      </c>
      <c r="J101" s="43">
        <v>398.74116557423764</v>
      </c>
      <c r="K101" s="43">
        <v>2297.5086206896553</v>
      </c>
      <c r="L101" s="43">
        <v>804.12801724137933</v>
      </c>
      <c r="M101" s="43">
        <v>3101.6366379310348</v>
      </c>
      <c r="N101" s="43">
        <v>1395.7364870689657</v>
      </c>
      <c r="O101" s="45">
        <v>4497.3731250000001</v>
      </c>
      <c r="P101" s="29">
        <f t="shared" si="1"/>
        <v>0</v>
      </c>
      <c r="Q101" s="28">
        <v>30380.279281846681</v>
      </c>
      <c r="S101" t="s">
        <v>123</v>
      </c>
    </row>
    <row r="102" spans="1:19" x14ac:dyDescent="0.25">
      <c r="A102" s="92">
        <v>100521453</v>
      </c>
      <c r="B102" s="93" t="s">
        <v>125</v>
      </c>
      <c r="C102" s="144">
        <v>7790360982223</v>
      </c>
      <c r="D102" s="145">
        <v>5.4</v>
      </c>
      <c r="E102" s="42">
        <v>18</v>
      </c>
      <c r="F102" s="43">
        <v>32330.364776289549</v>
      </c>
      <c r="G102" s="151">
        <v>7.4999999999999997E-2</v>
      </c>
      <c r="H102" s="43">
        <v>29905.587418067833</v>
      </c>
      <c r="I102" s="43">
        <v>1661.4215232259908</v>
      </c>
      <c r="J102" s="43">
        <v>348.89851987745806</v>
      </c>
      <c r="K102" s="43">
        <v>2010.3200431034488</v>
      </c>
      <c r="L102" s="43">
        <v>679.48817456896575</v>
      </c>
      <c r="M102" s="43">
        <v>2689.8082176724147</v>
      </c>
      <c r="N102" s="43">
        <v>1210.4136979525867</v>
      </c>
      <c r="O102" s="45">
        <v>3900.2219156250012</v>
      </c>
      <c r="P102" s="29">
        <f t="shared" si="1"/>
        <v>0</v>
      </c>
      <c r="Q102" s="28">
        <v>29905.587418067833</v>
      </c>
      <c r="S102" t="s">
        <v>126</v>
      </c>
    </row>
    <row r="103" spans="1:19" x14ac:dyDescent="0.25">
      <c r="A103" s="92">
        <v>100521454</v>
      </c>
      <c r="B103" s="93" t="s">
        <v>127</v>
      </c>
      <c r="C103" s="144">
        <v>7790360982230</v>
      </c>
      <c r="D103" s="145">
        <v>5.3999999999999995</v>
      </c>
      <c r="E103" s="42">
        <v>18</v>
      </c>
      <c r="F103" s="43">
        <v>32330.364776289549</v>
      </c>
      <c r="G103" s="151">
        <v>7.4999999999999997E-2</v>
      </c>
      <c r="H103" s="43">
        <v>29905.587418067833</v>
      </c>
      <c r="I103" s="43">
        <v>1661.4215232259908</v>
      </c>
      <c r="J103" s="43">
        <v>348.89851987745806</v>
      </c>
      <c r="K103" s="43">
        <v>2010.3200431034488</v>
      </c>
      <c r="L103" s="43">
        <v>679.48817456896575</v>
      </c>
      <c r="M103" s="43">
        <v>2689.8082176724147</v>
      </c>
      <c r="N103" s="43">
        <v>1210.4136979525867</v>
      </c>
      <c r="O103" s="45">
        <v>3900.2219156250012</v>
      </c>
      <c r="P103" s="29">
        <f t="shared" si="1"/>
        <v>0</v>
      </c>
      <c r="Q103" s="28">
        <v>29905.587418067833</v>
      </c>
      <c r="S103" t="s">
        <v>126</v>
      </c>
    </row>
  </sheetData>
  <conditionalFormatting sqref="A19:B19">
    <cfRule type="cellIs" dxfId="15" priority="16" stopIfTrue="1" operator="equal">
      <formula>0</formula>
    </cfRule>
  </conditionalFormatting>
  <conditionalFormatting sqref="A62:C62">
    <cfRule type="cellIs" dxfId="14" priority="13" stopIfTrue="1" operator="equal">
      <formula>0</formula>
    </cfRule>
  </conditionalFormatting>
  <conditionalFormatting sqref="A15:E18">
    <cfRule type="cellIs" dxfId="13" priority="14" stopIfTrue="1" operator="equal">
      <formula>0</formula>
    </cfRule>
  </conditionalFormatting>
  <conditionalFormatting sqref="A100:F103">
    <cfRule type="cellIs" dxfId="12" priority="8" stopIfTrue="1" operator="equal">
      <formula>0</formula>
    </cfRule>
  </conditionalFormatting>
  <conditionalFormatting sqref="A68:O68">
    <cfRule type="cellIs" dxfId="11" priority="4" stopIfTrue="1" operator="equal">
      <formula>0</formula>
    </cfRule>
  </conditionalFormatting>
  <conditionalFormatting sqref="A72:O73">
    <cfRule type="cellIs" dxfId="10" priority="3" stopIfTrue="1" operator="equal">
      <formula>0</formula>
    </cfRule>
  </conditionalFormatting>
  <conditionalFormatting sqref="A95:O96">
    <cfRule type="cellIs" dxfId="9" priority="6" stopIfTrue="1" operator="equal">
      <formula>0</formula>
    </cfRule>
  </conditionalFormatting>
  <conditionalFormatting sqref="A98:O98">
    <cfRule type="cellIs" dxfId="8" priority="5" stopIfTrue="1" operator="equal">
      <formula>0</formula>
    </cfRule>
  </conditionalFormatting>
  <conditionalFormatting sqref="B27">
    <cfRule type="cellIs" dxfId="7" priority="10" stopIfTrue="1" operator="equal">
      <formula>0</formula>
    </cfRule>
  </conditionalFormatting>
  <conditionalFormatting sqref="D19:E19">
    <cfRule type="cellIs" dxfId="6" priority="15" stopIfTrue="1" operator="equal">
      <formula>0</formula>
    </cfRule>
  </conditionalFormatting>
  <conditionalFormatting sqref="D57:F60 I57:O60">
    <cfRule type="cellIs" dxfId="5" priority="12" stopIfTrue="1" operator="equal">
      <formula>0</formula>
    </cfRule>
  </conditionalFormatting>
  <conditionalFormatting sqref="D88:O93">
    <cfRule type="cellIs" dxfId="4" priority="2" stopIfTrue="1" operator="equal">
      <formula>0</formula>
    </cfRule>
  </conditionalFormatting>
  <conditionalFormatting sqref="F15 H15:O15 F16:O19">
    <cfRule type="cellIs" dxfId="3" priority="9" stopIfTrue="1" operator="equal">
      <formula>0</formula>
    </cfRule>
  </conditionalFormatting>
  <conditionalFormatting sqref="H100:O101 H102:K103 M102:O103">
    <cfRule type="cellIs" dxfId="2" priority="7" stopIfTrue="1" operator="equal">
      <formula>0</formula>
    </cfRule>
  </conditionalFormatting>
  <conditionalFormatting sqref="L36:L37">
    <cfRule type="cellIs" dxfId="1" priority="11" stopIfTrue="1" operator="equal">
      <formula>0</formula>
    </cfRule>
  </conditionalFormatting>
  <conditionalFormatting sqref="S10:S15"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DX´s</vt:lpstr>
    </vt:vector>
  </TitlesOfParts>
  <Company>Swift Argentina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Dalla Verde</dc:creator>
  <cp:lastModifiedBy>Nicolas Gentile</cp:lastModifiedBy>
  <dcterms:created xsi:type="dcterms:W3CDTF">2025-12-09T21:17:49Z</dcterms:created>
  <dcterms:modified xsi:type="dcterms:W3CDTF">2025-12-16T13:02:00Z</dcterms:modified>
</cp:coreProperties>
</file>