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1" documentId="8_{68DBAC93-F34D-45D5-AA5E-E65E7C85E97F}" xr6:coauthVersionLast="47" xr6:coauthVersionMax="47" xr10:uidLastSave="{DE51AAE9-4574-47AD-BD00-2901D5639D9D}"/>
  <bookViews>
    <workbookView xWindow="-28920" yWindow="-120" windowWidth="29040" windowHeight="15720" xr2:uid="{41DCE8D2-5AC4-49DC-A962-E04B31483391}"/>
  </bookViews>
  <sheets>
    <sheet name="PAJARITO" sheetId="1" r:id="rId1"/>
    <sheet name="ALBERDI" sheetId="2" r:id="rId2"/>
    <sheet name="ALMACOR" sheetId="3" r:id="rId3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L11" i="3"/>
  <c r="I11" i="3" s="1"/>
  <c r="J11" i="3" s="1"/>
  <c r="P11" i="3"/>
  <c r="R11" i="3" s="1"/>
  <c r="S11" i="3" s="1"/>
  <c r="W11" i="3"/>
  <c r="X11" i="3"/>
  <c r="M12" i="3"/>
  <c r="W12" i="3"/>
  <c r="P12" i="3"/>
  <c r="R12" i="3" s="1"/>
  <c r="S12" i="3" s="1"/>
  <c r="X12" i="3"/>
  <c r="M13" i="3"/>
  <c r="W13" i="3"/>
  <c r="P13" i="3"/>
  <c r="R13" i="3" s="1"/>
  <c r="S13" i="3" s="1"/>
  <c r="X13" i="3"/>
  <c r="L14" i="3"/>
  <c r="I14" i="3" s="1"/>
  <c r="J14" i="3" s="1"/>
  <c r="M14" i="3"/>
  <c r="P14" i="3"/>
  <c r="R14" i="3" s="1"/>
  <c r="S14" i="3"/>
  <c r="W14" i="3"/>
  <c r="X14" i="3"/>
  <c r="M15" i="3"/>
  <c r="L15" i="3"/>
  <c r="I15" i="3" s="1"/>
  <c r="J15" i="3" s="1"/>
  <c r="P15" i="3"/>
  <c r="R15" i="3" s="1"/>
  <c r="S15" i="3" s="1"/>
  <c r="W15" i="3"/>
  <c r="X15" i="3"/>
  <c r="M16" i="3"/>
  <c r="W16" i="3"/>
  <c r="P16" i="3"/>
  <c r="R16" i="3" s="1"/>
  <c r="S16" i="3" s="1"/>
  <c r="X16" i="3"/>
  <c r="M17" i="3"/>
  <c r="W17" i="3"/>
  <c r="P17" i="3"/>
  <c r="R17" i="3" s="1"/>
  <c r="S17" i="3" s="1"/>
  <c r="X17" i="3"/>
  <c r="L18" i="3"/>
  <c r="I18" i="3" s="1"/>
  <c r="J18" i="3" s="1"/>
  <c r="M18" i="3"/>
  <c r="P18" i="3"/>
  <c r="R18" i="3" s="1"/>
  <c r="S18" i="3" s="1"/>
  <c r="W18" i="3"/>
  <c r="X18" i="3"/>
  <c r="M19" i="3"/>
  <c r="L19" i="3"/>
  <c r="I19" i="3" s="1"/>
  <c r="J19" i="3" s="1"/>
  <c r="P19" i="3"/>
  <c r="R19" i="3" s="1"/>
  <c r="S19" i="3" s="1"/>
  <c r="W19" i="3"/>
  <c r="X19" i="3"/>
  <c r="M20" i="3"/>
  <c r="W20" i="3"/>
  <c r="P20" i="3"/>
  <c r="R20" i="3" s="1"/>
  <c r="S20" i="3" s="1"/>
  <c r="X20" i="3"/>
  <c r="M21" i="3"/>
  <c r="W21" i="3"/>
  <c r="P21" i="3"/>
  <c r="R21" i="3" s="1"/>
  <c r="S21" i="3" s="1"/>
  <c r="X21" i="3"/>
  <c r="L22" i="3"/>
  <c r="I22" i="3" s="1"/>
  <c r="J22" i="3" s="1"/>
  <c r="M22" i="3"/>
  <c r="P22" i="3"/>
  <c r="R22" i="3" s="1"/>
  <c r="S22" i="3" s="1"/>
  <c r="W22" i="3"/>
  <c r="X22" i="3"/>
  <c r="M23" i="3"/>
  <c r="L23" i="3"/>
  <c r="I23" i="3" s="1"/>
  <c r="J23" i="3" s="1"/>
  <c r="P23" i="3"/>
  <c r="R23" i="3" s="1"/>
  <c r="S23" i="3" s="1"/>
  <c r="W23" i="3"/>
  <c r="X23" i="3"/>
  <c r="M24" i="3"/>
  <c r="W24" i="3"/>
  <c r="P24" i="3"/>
  <c r="R24" i="3" s="1"/>
  <c r="S24" i="3" s="1"/>
  <c r="X24" i="3"/>
  <c r="M25" i="3"/>
  <c r="W25" i="3"/>
  <c r="P25" i="3"/>
  <c r="R25" i="3" s="1"/>
  <c r="S25" i="3" s="1"/>
  <c r="X25" i="3"/>
  <c r="L26" i="3"/>
  <c r="I26" i="3" s="1"/>
  <c r="J26" i="3" s="1"/>
  <c r="M26" i="3"/>
  <c r="P26" i="3"/>
  <c r="R26" i="3" s="1"/>
  <c r="S26" i="3"/>
  <c r="W26" i="3"/>
  <c r="X26" i="3"/>
  <c r="L27" i="3"/>
  <c r="I27" i="3" s="1"/>
  <c r="J27" i="3" s="1"/>
  <c r="W27" i="3"/>
  <c r="X27" i="3"/>
  <c r="X28" i="3"/>
  <c r="L29" i="3"/>
  <c r="I29" i="3" s="1"/>
  <c r="J29" i="3" s="1"/>
  <c r="P29" i="3"/>
  <c r="R29" i="3" s="1"/>
  <c r="S29" i="3" s="1"/>
  <c r="X29" i="3"/>
  <c r="I30" i="3"/>
  <c r="J30" i="3" s="1"/>
  <c r="L30" i="3"/>
  <c r="M30" i="3"/>
  <c r="W30" i="3"/>
  <c r="X30" i="3"/>
  <c r="I31" i="3"/>
  <c r="J31" i="3" s="1"/>
  <c r="L31" i="3"/>
  <c r="M31" i="3"/>
  <c r="W31" i="3"/>
  <c r="X31" i="3"/>
  <c r="X32" i="3"/>
  <c r="L33" i="3"/>
  <c r="I33" i="3" s="1"/>
  <c r="J33" i="3" s="1"/>
  <c r="P33" i="3"/>
  <c r="R33" i="3" s="1"/>
  <c r="S33" i="3" s="1"/>
  <c r="X33" i="3"/>
  <c r="F34" i="3"/>
  <c r="M34" i="3" s="1"/>
  <c r="L34" i="3"/>
  <c r="I34" i="3" s="1"/>
  <c r="J34" i="3" s="1"/>
  <c r="P34" i="3"/>
  <c r="R34" i="3" s="1"/>
  <c r="S34" i="3"/>
  <c r="W34" i="3"/>
  <c r="X34" i="3"/>
  <c r="M35" i="3"/>
  <c r="L35" i="3"/>
  <c r="I35" i="3" s="1"/>
  <c r="J35" i="3" s="1"/>
  <c r="P35" i="3"/>
  <c r="R35" i="3" s="1"/>
  <c r="S35" i="3" s="1"/>
  <c r="W35" i="3"/>
  <c r="X35" i="3"/>
  <c r="M36" i="3"/>
  <c r="W36" i="3"/>
  <c r="P36" i="3"/>
  <c r="R36" i="3" s="1"/>
  <c r="S36" i="3" s="1"/>
  <c r="X36" i="3"/>
  <c r="L37" i="3"/>
  <c r="I37" i="3" s="1"/>
  <c r="P37" i="3"/>
  <c r="R37" i="3" s="1"/>
  <c r="S37" i="3" s="1"/>
  <c r="X37" i="3"/>
  <c r="M38" i="3"/>
  <c r="W38" i="3"/>
  <c r="P38" i="3"/>
  <c r="R38" i="3" s="1"/>
  <c r="S38" i="3" s="1"/>
  <c r="X38" i="3"/>
  <c r="L39" i="3"/>
  <c r="I39" i="3" s="1"/>
  <c r="M39" i="3"/>
  <c r="W39" i="3"/>
  <c r="X39" i="3"/>
  <c r="I40" i="3"/>
  <c r="L40" i="3"/>
  <c r="M40" i="3"/>
  <c r="P40" i="3"/>
  <c r="R40" i="3" s="1"/>
  <c r="S40" i="3"/>
  <c r="W40" i="3"/>
  <c r="X40" i="3"/>
  <c r="L41" i="3"/>
  <c r="I41" i="3" s="1"/>
  <c r="M41" i="3"/>
  <c r="W41" i="3"/>
  <c r="X41" i="3"/>
  <c r="M42" i="3"/>
  <c r="L42" i="3"/>
  <c r="I42" i="3" s="1"/>
  <c r="P42" i="3"/>
  <c r="R42" i="3" s="1"/>
  <c r="S42" i="3" s="1"/>
  <c r="W42" i="3"/>
  <c r="X42" i="3"/>
  <c r="X43" i="3"/>
  <c r="I44" i="3"/>
  <c r="L44" i="3"/>
  <c r="M44" i="3"/>
  <c r="P44" i="3"/>
  <c r="R44" i="3"/>
  <c r="S44" i="3" s="1"/>
  <c r="W44" i="3"/>
  <c r="X44" i="3"/>
  <c r="F46" i="3"/>
  <c r="M46" i="3" s="1"/>
  <c r="L46" i="3"/>
  <c r="I46" i="3" s="1"/>
  <c r="P46" i="3"/>
  <c r="R46" i="3" s="1"/>
  <c r="S46" i="3" s="1"/>
  <c r="W46" i="3"/>
  <c r="X46" i="3"/>
  <c r="F47" i="3"/>
  <c r="I47" i="3"/>
  <c r="L47" i="3"/>
  <c r="M47" i="3"/>
  <c r="P47" i="3"/>
  <c r="R47" i="3"/>
  <c r="S47" i="3" s="1"/>
  <c r="W47" i="3"/>
  <c r="X47" i="3"/>
  <c r="L50" i="3"/>
  <c r="I50" i="3" s="1"/>
  <c r="J50" i="3" s="1"/>
  <c r="W50" i="3"/>
  <c r="X50" i="3"/>
  <c r="L51" i="3"/>
  <c r="I51" i="3" s="1"/>
  <c r="J51" i="3" s="1"/>
  <c r="M51" i="3"/>
  <c r="W51" i="3"/>
  <c r="X51" i="3"/>
  <c r="X52" i="3"/>
  <c r="L53" i="3"/>
  <c r="I53" i="3" s="1"/>
  <c r="J53" i="3" s="1"/>
  <c r="P53" i="3"/>
  <c r="R53" i="3" s="1"/>
  <c r="S53" i="3" s="1"/>
  <c r="X53" i="3"/>
  <c r="I54" i="3"/>
  <c r="J54" i="3" s="1"/>
  <c r="L54" i="3"/>
  <c r="W54" i="3"/>
  <c r="X54" i="3"/>
  <c r="L55" i="3"/>
  <c r="I55" i="3" s="1"/>
  <c r="J55" i="3" s="1"/>
  <c r="M55" i="3"/>
  <c r="W55" i="3"/>
  <c r="X55" i="3"/>
  <c r="X56" i="3"/>
  <c r="L57" i="3"/>
  <c r="I57" i="3" s="1"/>
  <c r="J57" i="3" s="1"/>
  <c r="P57" i="3"/>
  <c r="R57" i="3" s="1"/>
  <c r="S57" i="3" s="1"/>
  <c r="X57" i="3"/>
  <c r="L58" i="3"/>
  <c r="P58" i="3"/>
  <c r="R58" i="3" s="1"/>
  <c r="S58" i="3" s="1"/>
  <c r="X58" i="3"/>
  <c r="L59" i="3"/>
  <c r="I59" i="3" s="1"/>
  <c r="J59" i="3" s="1"/>
  <c r="W59" i="3"/>
  <c r="X59" i="3"/>
  <c r="L60" i="3"/>
  <c r="I60" i="3" s="1"/>
  <c r="J60" i="3" s="1"/>
  <c r="M60" i="3"/>
  <c r="W60" i="3"/>
  <c r="X60" i="3"/>
  <c r="X61" i="3"/>
  <c r="M62" i="3"/>
  <c r="W62" i="3"/>
  <c r="P62" i="3"/>
  <c r="R62" i="3" s="1"/>
  <c r="S62" i="3" s="1"/>
  <c r="X62" i="3"/>
  <c r="L63" i="3"/>
  <c r="I63" i="3" s="1"/>
  <c r="P63" i="3"/>
  <c r="R63" i="3" s="1"/>
  <c r="S63" i="3" s="1"/>
  <c r="X63" i="3"/>
  <c r="M64" i="3"/>
  <c r="W64" i="3"/>
  <c r="P64" i="3"/>
  <c r="R64" i="3" s="1"/>
  <c r="S64" i="3" s="1"/>
  <c r="X64" i="3"/>
  <c r="M65" i="3"/>
  <c r="W65" i="3"/>
  <c r="X65" i="3"/>
  <c r="M66" i="3"/>
  <c r="P66" i="3"/>
  <c r="L66" i="3" s="1"/>
  <c r="I66" i="3" s="1"/>
  <c r="W66" i="3"/>
  <c r="X66" i="3"/>
  <c r="L67" i="3"/>
  <c r="M67" i="3"/>
  <c r="P67" i="3"/>
  <c r="R67" i="3" s="1"/>
  <c r="S67" i="3" s="1"/>
  <c r="W67" i="3"/>
  <c r="X67" i="3"/>
  <c r="M69" i="3"/>
  <c r="L69" i="3"/>
  <c r="I69" i="3" s="1"/>
  <c r="J69" i="3" s="1"/>
  <c r="P69" i="3"/>
  <c r="W69" i="3"/>
  <c r="X69" i="3"/>
  <c r="M70" i="3"/>
  <c r="W70" i="3"/>
  <c r="P70" i="3"/>
  <c r="R70" i="3" s="1"/>
  <c r="X70" i="3"/>
  <c r="M71" i="3"/>
  <c r="W71" i="3"/>
  <c r="P71" i="3"/>
  <c r="R71" i="3" s="1"/>
  <c r="X71" i="3"/>
  <c r="L72" i="3"/>
  <c r="I72" i="3" s="1"/>
  <c r="J72" i="3" s="1"/>
  <c r="M72" i="3"/>
  <c r="P72" i="3"/>
  <c r="R72" i="3" s="1"/>
  <c r="S72" i="3"/>
  <c r="W72" i="3"/>
  <c r="X72" i="3"/>
  <c r="M73" i="3"/>
  <c r="L73" i="3"/>
  <c r="I73" i="3" s="1"/>
  <c r="J73" i="3" s="1"/>
  <c r="P73" i="3"/>
  <c r="W73" i="3"/>
  <c r="X73" i="3"/>
  <c r="M74" i="3"/>
  <c r="W74" i="3"/>
  <c r="P74" i="3"/>
  <c r="R74" i="3" s="1"/>
  <c r="X74" i="3"/>
  <c r="M75" i="3"/>
  <c r="W75" i="3"/>
  <c r="P75" i="3"/>
  <c r="R75" i="3" s="1"/>
  <c r="X75" i="3"/>
  <c r="L76" i="3"/>
  <c r="I76" i="3" s="1"/>
  <c r="J76" i="3" s="1"/>
  <c r="M76" i="3"/>
  <c r="P76" i="3"/>
  <c r="R76" i="3" s="1"/>
  <c r="S76" i="3"/>
  <c r="W76" i="3"/>
  <c r="X76" i="3"/>
  <c r="M77" i="3"/>
  <c r="L77" i="3"/>
  <c r="I77" i="3" s="1"/>
  <c r="J77" i="3" s="1"/>
  <c r="P77" i="3"/>
  <c r="R77" i="3" s="1"/>
  <c r="S77" i="3"/>
  <c r="W77" i="3"/>
  <c r="X77" i="3"/>
  <c r="M78" i="3"/>
  <c r="W78" i="3"/>
  <c r="P78" i="3"/>
  <c r="X78" i="3"/>
  <c r="M79" i="3"/>
  <c r="W79" i="3"/>
  <c r="P79" i="3"/>
  <c r="X79" i="3"/>
  <c r="L80" i="3"/>
  <c r="I80" i="3" s="1"/>
  <c r="J80" i="3" s="1"/>
  <c r="M80" i="3"/>
  <c r="P80" i="3"/>
  <c r="R80" i="3" s="1"/>
  <c r="S80" i="3"/>
  <c r="W80" i="3"/>
  <c r="X80" i="3"/>
  <c r="M81" i="3"/>
  <c r="L81" i="3"/>
  <c r="I81" i="3" s="1"/>
  <c r="J81" i="3" s="1"/>
  <c r="P81" i="3"/>
  <c r="R81" i="3" s="1"/>
  <c r="S81" i="3"/>
  <c r="W81" i="3"/>
  <c r="X81" i="3"/>
  <c r="M82" i="3"/>
  <c r="W82" i="3"/>
  <c r="P82" i="3"/>
  <c r="R82" i="3" s="1"/>
  <c r="S82" i="3"/>
  <c r="X82" i="3"/>
  <c r="M83" i="3"/>
  <c r="W83" i="3"/>
  <c r="P83" i="3"/>
  <c r="X83" i="3"/>
  <c r="L84" i="3"/>
  <c r="I84" i="3" s="1"/>
  <c r="J84" i="3" s="1"/>
  <c r="M84" i="3"/>
  <c r="P84" i="3"/>
  <c r="R84" i="3" s="1"/>
  <c r="S84" i="3"/>
  <c r="W84" i="3"/>
  <c r="X84" i="3"/>
  <c r="J85" i="3"/>
  <c r="M85" i="3"/>
  <c r="L85" i="3"/>
  <c r="I85" i="3" s="1"/>
  <c r="P85" i="3"/>
  <c r="R85" i="3" s="1"/>
  <c r="S85" i="3"/>
  <c r="W85" i="3"/>
  <c r="X85" i="3"/>
  <c r="M86" i="3"/>
  <c r="W86" i="3"/>
  <c r="P86" i="3"/>
  <c r="R86" i="3" s="1"/>
  <c r="X86" i="3"/>
  <c r="L88" i="3"/>
  <c r="I88" i="3" s="1"/>
  <c r="X88" i="3"/>
  <c r="L89" i="3"/>
  <c r="I89" i="3" s="1"/>
  <c r="J89" i="3" s="1"/>
  <c r="W89" i="3"/>
  <c r="X89" i="3"/>
  <c r="L90" i="3"/>
  <c r="I90" i="3" s="1"/>
  <c r="J90" i="3" s="1"/>
  <c r="M90" i="3"/>
  <c r="W90" i="3"/>
  <c r="X90" i="3"/>
  <c r="X91" i="3"/>
  <c r="X92" i="3"/>
  <c r="F94" i="3"/>
  <c r="M94" i="3" s="1"/>
  <c r="L94" i="3"/>
  <c r="I94" i="3" s="1"/>
  <c r="J94" i="3" s="1"/>
  <c r="P94" i="3"/>
  <c r="R94" i="3" s="1"/>
  <c r="S94" i="3" s="1"/>
  <c r="W94" i="3"/>
  <c r="X94" i="3"/>
  <c r="F95" i="3"/>
  <c r="W95" i="3"/>
  <c r="X95" i="3"/>
  <c r="L96" i="3"/>
  <c r="I96" i="3" s="1"/>
  <c r="J96" i="3" s="1"/>
  <c r="W96" i="3"/>
  <c r="X96" i="3"/>
  <c r="X97" i="3"/>
  <c r="L98" i="3"/>
  <c r="I98" i="3" s="1"/>
  <c r="J98" i="3" s="1"/>
  <c r="W98" i="3"/>
  <c r="X98" i="3"/>
  <c r="W99" i="3"/>
  <c r="X99" i="3"/>
  <c r="L100" i="3"/>
  <c r="I100" i="3" s="1"/>
  <c r="J100" i="3" s="1"/>
  <c r="W100" i="3"/>
  <c r="X100" i="3"/>
  <c r="L102" i="3"/>
  <c r="I102" i="3" s="1"/>
  <c r="J102" i="3" s="1"/>
  <c r="M102" i="3"/>
  <c r="P102" i="3"/>
  <c r="R102" i="3" s="1"/>
  <c r="S102" i="3"/>
  <c r="W102" i="3"/>
  <c r="W103" i="3"/>
  <c r="X103" i="3"/>
  <c r="L104" i="3"/>
  <c r="I104" i="3" s="1"/>
  <c r="J104" i="3" s="1"/>
  <c r="W104" i="3"/>
  <c r="X104" i="3"/>
  <c r="L105" i="3"/>
  <c r="I105" i="3" s="1"/>
  <c r="J105" i="3" s="1"/>
  <c r="M105" i="3"/>
  <c r="P105" i="3"/>
  <c r="R105" i="3" s="1"/>
  <c r="S105" i="3" s="1"/>
  <c r="W105" i="3"/>
  <c r="X105" i="3"/>
  <c r="P106" i="3"/>
  <c r="R106" i="3"/>
  <c r="I107" i="3"/>
  <c r="J107" i="3" s="1"/>
  <c r="M107" i="3"/>
  <c r="L107" i="3"/>
  <c r="P107" i="3"/>
  <c r="R107" i="3" s="1"/>
  <c r="S107" i="3" s="1"/>
  <c r="W107" i="3"/>
  <c r="X108" i="3"/>
  <c r="J109" i="3"/>
  <c r="L109" i="3"/>
  <c r="I109" i="3" s="1"/>
  <c r="M109" i="3"/>
  <c r="P109" i="3"/>
  <c r="R109" i="3" s="1"/>
  <c r="S109" i="3" s="1"/>
  <c r="W109" i="3"/>
  <c r="X109" i="3"/>
  <c r="L110" i="3"/>
  <c r="I110" i="3" s="1"/>
  <c r="J110" i="3" s="1"/>
  <c r="X110" i="3"/>
  <c r="L112" i="3"/>
  <c r="I112" i="3" s="1"/>
  <c r="J112" i="3" s="1"/>
  <c r="W112" i="3"/>
  <c r="P112" i="3"/>
  <c r="R112" i="3" s="1"/>
  <c r="S112" i="3" s="1"/>
  <c r="X112" i="3"/>
  <c r="I113" i="3"/>
  <c r="J113" i="3" s="1"/>
  <c r="L113" i="3"/>
  <c r="M113" i="3"/>
  <c r="P113" i="3"/>
  <c r="R113" i="3" s="1"/>
  <c r="S113" i="3" s="1"/>
  <c r="W113" i="3"/>
  <c r="X113" i="3"/>
  <c r="I114" i="3"/>
  <c r="J114" i="3"/>
  <c r="L114" i="3"/>
  <c r="M114" i="3"/>
  <c r="P114" i="3"/>
  <c r="R114" i="3" s="1"/>
  <c r="S114" i="3" s="1"/>
  <c r="W114" i="3"/>
  <c r="X114" i="3"/>
  <c r="M116" i="3"/>
  <c r="L116" i="3"/>
  <c r="I116" i="3" s="1"/>
  <c r="J116" i="3" s="1"/>
  <c r="X116" i="3"/>
  <c r="L117" i="3"/>
  <c r="I117" i="3" s="1"/>
  <c r="J117" i="3" s="1"/>
  <c r="W117" i="3"/>
  <c r="P117" i="3"/>
  <c r="R117" i="3" s="1"/>
  <c r="S117" i="3" s="1"/>
  <c r="X117" i="3"/>
  <c r="I119" i="3"/>
  <c r="J119" i="3" s="1"/>
  <c r="L119" i="3"/>
  <c r="M119" i="3"/>
  <c r="P119" i="3"/>
  <c r="R119" i="3" s="1"/>
  <c r="S119" i="3" s="1"/>
  <c r="W119" i="3"/>
  <c r="X119" i="3"/>
  <c r="I120" i="3"/>
  <c r="J120" i="3"/>
  <c r="L120" i="3"/>
  <c r="M120" i="3"/>
  <c r="P120" i="3"/>
  <c r="R120" i="3" s="1"/>
  <c r="S120" i="3" s="1"/>
  <c r="W120" i="3"/>
  <c r="X120" i="3"/>
  <c r="I122" i="3"/>
  <c r="J122" i="3" s="1"/>
  <c r="L122" i="3"/>
  <c r="M122" i="3"/>
  <c r="P122" i="3"/>
  <c r="R122" i="3" s="1"/>
  <c r="S122" i="3" s="1"/>
  <c r="X122" i="3"/>
  <c r="L123" i="3"/>
  <c r="I123" i="3" s="1"/>
  <c r="J123" i="3" s="1"/>
  <c r="M123" i="3"/>
  <c r="P123" i="3"/>
  <c r="W123" i="3" s="1"/>
  <c r="R123" i="3"/>
  <c r="S123" i="3"/>
  <c r="X123" i="3"/>
  <c r="L124" i="3"/>
  <c r="I124" i="3" s="1"/>
  <c r="J124" i="3" s="1"/>
  <c r="M124" i="3"/>
  <c r="P124" i="3"/>
  <c r="W124" i="3" s="1"/>
  <c r="R124" i="3"/>
  <c r="S124" i="3" s="1"/>
  <c r="X124" i="3"/>
  <c r="I125" i="3"/>
  <c r="J125" i="3" s="1"/>
  <c r="L125" i="3"/>
  <c r="M125" i="3"/>
  <c r="P125" i="3"/>
  <c r="W125" i="3" s="1"/>
  <c r="X125" i="3"/>
  <c r="I126" i="3"/>
  <c r="J126" i="3" s="1"/>
  <c r="L126" i="3"/>
  <c r="M126" i="3"/>
  <c r="P126" i="3"/>
  <c r="R126" i="3" s="1"/>
  <c r="S126" i="3" s="1"/>
  <c r="W126" i="3"/>
  <c r="X126" i="3"/>
  <c r="L127" i="3"/>
  <c r="I127" i="3" s="1"/>
  <c r="J127" i="3" s="1"/>
  <c r="M127" i="3"/>
  <c r="P127" i="3"/>
  <c r="R127" i="3" s="1"/>
  <c r="S127" i="3" s="1"/>
  <c r="W127" i="3"/>
  <c r="X127" i="3"/>
  <c r="I129" i="3"/>
  <c r="J129" i="3"/>
  <c r="L129" i="3"/>
  <c r="M129" i="3"/>
  <c r="P129" i="3"/>
  <c r="R129" i="3" s="1"/>
  <c r="S129" i="3" s="1"/>
  <c r="W129" i="3"/>
  <c r="X129" i="3"/>
  <c r="M130" i="3"/>
  <c r="N130" i="3"/>
  <c r="L130" i="3" s="1"/>
  <c r="I130" i="3" s="1"/>
  <c r="J130" i="3" s="1"/>
  <c r="X130" i="3"/>
  <c r="L132" i="3"/>
  <c r="I132" i="3" s="1"/>
  <c r="J132" i="3" s="1"/>
  <c r="W132" i="3"/>
  <c r="P132" i="3"/>
  <c r="R132" i="3" s="1"/>
  <c r="S132" i="3" s="1"/>
  <c r="X132" i="3"/>
  <c r="I134" i="3"/>
  <c r="J134" i="3" s="1"/>
  <c r="L134" i="3"/>
  <c r="M134" i="3"/>
  <c r="P134" i="3"/>
  <c r="R134" i="3" s="1"/>
  <c r="S134" i="3" s="1"/>
  <c r="W134" i="3"/>
  <c r="X134" i="3"/>
  <c r="I135" i="3"/>
  <c r="J135" i="3"/>
  <c r="L135" i="3"/>
  <c r="M135" i="3"/>
  <c r="P135" i="3"/>
  <c r="R135" i="3" s="1"/>
  <c r="S135" i="3" s="1"/>
  <c r="W135" i="3"/>
  <c r="X135" i="3"/>
  <c r="M136" i="3"/>
  <c r="L136" i="3"/>
  <c r="I136" i="3" s="1"/>
  <c r="J136" i="3" s="1"/>
  <c r="X136" i="3"/>
  <c r="L137" i="3"/>
  <c r="I137" i="3" s="1"/>
  <c r="J137" i="3" s="1"/>
  <c r="W137" i="3"/>
  <c r="P137" i="3"/>
  <c r="R137" i="3" s="1"/>
  <c r="S137" i="3" s="1"/>
  <c r="X137" i="3"/>
  <c r="I139" i="3"/>
  <c r="J139" i="3" s="1"/>
  <c r="L139" i="3"/>
  <c r="M139" i="3"/>
  <c r="P139" i="3"/>
  <c r="R139" i="3" s="1"/>
  <c r="S139" i="3" s="1"/>
  <c r="W139" i="3"/>
  <c r="X139" i="3"/>
  <c r="I140" i="3"/>
  <c r="J140" i="3"/>
  <c r="L140" i="3"/>
  <c r="M140" i="3"/>
  <c r="P140" i="3"/>
  <c r="R140" i="3" s="1"/>
  <c r="S140" i="3" s="1"/>
  <c r="W140" i="3"/>
  <c r="X140" i="3"/>
  <c r="B3" i="2"/>
  <c r="L11" i="2"/>
  <c r="I11" i="2" s="1"/>
  <c r="J11" i="2" s="1"/>
  <c r="M11" i="2"/>
  <c r="P11" i="2"/>
  <c r="R11" i="2"/>
  <c r="S11" i="2"/>
  <c r="W11" i="2"/>
  <c r="X11" i="2"/>
  <c r="L12" i="2"/>
  <c r="I12" i="2" s="1"/>
  <c r="J12" i="2" s="1"/>
  <c r="M12" i="2"/>
  <c r="P12" i="2"/>
  <c r="R12" i="2"/>
  <c r="S12" i="2" s="1"/>
  <c r="W12" i="2"/>
  <c r="X12" i="2"/>
  <c r="I13" i="2"/>
  <c r="J13" i="2" s="1"/>
  <c r="L13" i="2"/>
  <c r="M13" i="2"/>
  <c r="P13" i="2"/>
  <c r="R13" i="2" s="1"/>
  <c r="S13" i="2" s="1"/>
  <c r="W13" i="2"/>
  <c r="X13" i="2"/>
  <c r="I14" i="2"/>
  <c r="J14" i="2" s="1"/>
  <c r="L14" i="2"/>
  <c r="M14" i="2"/>
  <c r="P14" i="2"/>
  <c r="R14" i="2" s="1"/>
  <c r="S14" i="2" s="1"/>
  <c r="W14" i="2"/>
  <c r="X14" i="2"/>
  <c r="L15" i="2"/>
  <c r="I15" i="2" s="1"/>
  <c r="J15" i="2" s="1"/>
  <c r="M15" i="2"/>
  <c r="P15" i="2"/>
  <c r="R15" i="2" s="1"/>
  <c r="S15" i="2" s="1"/>
  <c r="W15" i="2"/>
  <c r="X15" i="2"/>
  <c r="I16" i="2"/>
  <c r="J16" i="2"/>
  <c r="L16" i="2"/>
  <c r="M16" i="2"/>
  <c r="P16" i="2"/>
  <c r="R16" i="2"/>
  <c r="S16" i="2"/>
  <c r="W16" i="2"/>
  <c r="X16" i="2"/>
  <c r="I17" i="2"/>
  <c r="J17" i="2" s="1"/>
  <c r="L17" i="2"/>
  <c r="M17" i="2"/>
  <c r="P17" i="2"/>
  <c r="R17" i="2" s="1"/>
  <c r="S17" i="2" s="1"/>
  <c r="W17" i="2"/>
  <c r="X17" i="2"/>
  <c r="I18" i="2"/>
  <c r="J18" i="2" s="1"/>
  <c r="L18" i="2"/>
  <c r="M18" i="2"/>
  <c r="P18" i="2"/>
  <c r="R18" i="2" s="1"/>
  <c r="S18" i="2" s="1"/>
  <c r="W18" i="2"/>
  <c r="X18" i="2"/>
  <c r="L19" i="2"/>
  <c r="I19" i="2" s="1"/>
  <c r="J19" i="2" s="1"/>
  <c r="M19" i="2"/>
  <c r="P19" i="2"/>
  <c r="R19" i="2"/>
  <c r="S19" i="2"/>
  <c r="W19" i="2"/>
  <c r="X19" i="2"/>
  <c r="L20" i="2"/>
  <c r="I20" i="2" s="1"/>
  <c r="J20" i="2" s="1"/>
  <c r="M20" i="2"/>
  <c r="P20" i="2"/>
  <c r="R20" i="2"/>
  <c r="S20" i="2" s="1"/>
  <c r="W20" i="2"/>
  <c r="X20" i="2"/>
  <c r="I21" i="2"/>
  <c r="J21" i="2" s="1"/>
  <c r="L21" i="2"/>
  <c r="M21" i="2"/>
  <c r="P21" i="2"/>
  <c r="R21" i="2" s="1"/>
  <c r="S21" i="2" s="1"/>
  <c r="W21" i="2"/>
  <c r="X21" i="2"/>
  <c r="I22" i="2"/>
  <c r="J22" i="2" s="1"/>
  <c r="L22" i="2"/>
  <c r="M22" i="2"/>
  <c r="P22" i="2"/>
  <c r="R22" i="2" s="1"/>
  <c r="S22" i="2" s="1"/>
  <c r="W22" i="2"/>
  <c r="X22" i="2"/>
  <c r="L23" i="2"/>
  <c r="I23" i="2" s="1"/>
  <c r="J23" i="2" s="1"/>
  <c r="M23" i="2"/>
  <c r="P23" i="2"/>
  <c r="R23" i="2"/>
  <c r="S23" i="2"/>
  <c r="W23" i="2"/>
  <c r="X23" i="2"/>
  <c r="I24" i="2"/>
  <c r="J24" i="2"/>
  <c r="L24" i="2"/>
  <c r="M24" i="2"/>
  <c r="P24" i="2"/>
  <c r="R24" i="2"/>
  <c r="S24" i="2" s="1"/>
  <c r="W24" i="2"/>
  <c r="X24" i="2"/>
  <c r="I25" i="2"/>
  <c r="J25" i="2" s="1"/>
  <c r="L25" i="2"/>
  <c r="M25" i="2"/>
  <c r="P25" i="2"/>
  <c r="R25" i="2" s="1"/>
  <c r="S25" i="2" s="1"/>
  <c r="W25" i="2"/>
  <c r="X25" i="2"/>
  <c r="I26" i="2"/>
  <c r="J26" i="2" s="1"/>
  <c r="L26" i="2"/>
  <c r="M26" i="2"/>
  <c r="P26" i="2"/>
  <c r="R26" i="2" s="1"/>
  <c r="S26" i="2" s="1"/>
  <c r="W26" i="2"/>
  <c r="X26" i="2"/>
  <c r="L27" i="2"/>
  <c r="I27" i="2" s="1"/>
  <c r="J27" i="2" s="1"/>
  <c r="M27" i="2"/>
  <c r="P27" i="2"/>
  <c r="R27" i="2"/>
  <c r="S27" i="2"/>
  <c r="W27" i="2"/>
  <c r="X27" i="2"/>
  <c r="L28" i="2"/>
  <c r="I28" i="2" s="1"/>
  <c r="J28" i="2" s="1"/>
  <c r="M28" i="2"/>
  <c r="P28" i="2"/>
  <c r="R28" i="2"/>
  <c r="S28" i="2" s="1"/>
  <c r="W28" i="2"/>
  <c r="X28" i="2"/>
  <c r="I29" i="2"/>
  <c r="J29" i="2" s="1"/>
  <c r="L29" i="2"/>
  <c r="M29" i="2"/>
  <c r="P29" i="2"/>
  <c r="R29" i="2" s="1"/>
  <c r="S29" i="2" s="1"/>
  <c r="W29" i="2"/>
  <c r="X29" i="2"/>
  <c r="I30" i="2"/>
  <c r="J30" i="2" s="1"/>
  <c r="L30" i="2"/>
  <c r="M30" i="2"/>
  <c r="P30" i="2"/>
  <c r="R30" i="2" s="1"/>
  <c r="S30" i="2" s="1"/>
  <c r="W30" i="2"/>
  <c r="X30" i="2"/>
  <c r="L31" i="2"/>
  <c r="I31" i="2" s="1"/>
  <c r="J31" i="2" s="1"/>
  <c r="M31" i="2"/>
  <c r="P31" i="2"/>
  <c r="R31" i="2"/>
  <c r="S31" i="2"/>
  <c r="W31" i="2"/>
  <c r="X31" i="2"/>
  <c r="I32" i="2"/>
  <c r="J32" i="2"/>
  <c r="L32" i="2"/>
  <c r="M32" i="2"/>
  <c r="P32" i="2"/>
  <c r="R32" i="2"/>
  <c r="S32" i="2" s="1"/>
  <c r="W32" i="2"/>
  <c r="X32" i="2"/>
  <c r="F33" i="2"/>
  <c r="I33" i="2"/>
  <c r="J33" i="2" s="1"/>
  <c r="L33" i="2"/>
  <c r="M33" i="2"/>
  <c r="P33" i="2"/>
  <c r="R33" i="2" s="1"/>
  <c r="S33" i="2" s="1"/>
  <c r="W33" i="2"/>
  <c r="X33" i="2"/>
  <c r="L34" i="2"/>
  <c r="I34" i="2" s="1"/>
  <c r="J34" i="2" s="1"/>
  <c r="M34" i="2"/>
  <c r="P34" i="2"/>
  <c r="R34" i="2"/>
  <c r="S34" i="2"/>
  <c r="W34" i="2"/>
  <c r="X34" i="2"/>
  <c r="L35" i="2"/>
  <c r="I35" i="2" s="1"/>
  <c r="M35" i="2"/>
  <c r="P35" i="2"/>
  <c r="R35" i="2"/>
  <c r="S35" i="2"/>
  <c r="W35" i="2"/>
  <c r="X35" i="2"/>
  <c r="L36" i="2"/>
  <c r="I36" i="2" s="1"/>
  <c r="M36" i="2"/>
  <c r="P36" i="2"/>
  <c r="R36" i="2"/>
  <c r="S36" i="2"/>
  <c r="W36" i="2"/>
  <c r="X36" i="2"/>
  <c r="L37" i="2"/>
  <c r="I37" i="2" s="1"/>
  <c r="M37" i="2"/>
  <c r="P37" i="2"/>
  <c r="R37" i="2"/>
  <c r="S37" i="2"/>
  <c r="W37" i="2"/>
  <c r="X37" i="2"/>
  <c r="L38" i="2"/>
  <c r="I38" i="2" s="1"/>
  <c r="M38" i="2"/>
  <c r="P38" i="2"/>
  <c r="R38" i="2"/>
  <c r="S38" i="2"/>
  <c r="W38" i="2"/>
  <c r="X38" i="2"/>
  <c r="L39" i="2"/>
  <c r="I39" i="2" s="1"/>
  <c r="M39" i="2"/>
  <c r="P39" i="2"/>
  <c r="R39" i="2"/>
  <c r="S39" i="2"/>
  <c r="W39" i="2"/>
  <c r="X39" i="2"/>
  <c r="L40" i="2"/>
  <c r="I40" i="2" s="1"/>
  <c r="M40" i="2"/>
  <c r="P40" i="2"/>
  <c r="R40" i="2"/>
  <c r="S40" i="2"/>
  <c r="W40" i="2"/>
  <c r="X40" i="2"/>
  <c r="L41" i="2"/>
  <c r="I41" i="2" s="1"/>
  <c r="M41" i="2"/>
  <c r="P41" i="2"/>
  <c r="R41" i="2"/>
  <c r="S41" i="2"/>
  <c r="W41" i="2"/>
  <c r="X41" i="2"/>
  <c r="F43" i="2"/>
  <c r="I43" i="2"/>
  <c r="L43" i="2"/>
  <c r="M43" i="2"/>
  <c r="P43" i="2"/>
  <c r="R43" i="2"/>
  <c r="S43" i="2" s="1"/>
  <c r="W43" i="2"/>
  <c r="X43" i="2"/>
  <c r="F44" i="2"/>
  <c r="M44" i="2" s="1"/>
  <c r="I44" i="2"/>
  <c r="L44" i="2"/>
  <c r="P44" i="2"/>
  <c r="R44" i="2" s="1"/>
  <c r="S44" i="2" s="1"/>
  <c r="W44" i="2"/>
  <c r="X44" i="2"/>
  <c r="I47" i="2"/>
  <c r="J47" i="2" s="1"/>
  <c r="L47" i="2"/>
  <c r="M47" i="2"/>
  <c r="P47" i="2"/>
  <c r="R47" i="2" s="1"/>
  <c r="S47" i="2" s="1"/>
  <c r="W47" i="2"/>
  <c r="X47" i="2"/>
  <c r="L48" i="2"/>
  <c r="I48" i="2" s="1"/>
  <c r="J48" i="2" s="1"/>
  <c r="M48" i="2"/>
  <c r="P48" i="2"/>
  <c r="R48" i="2" s="1"/>
  <c r="S48" i="2" s="1"/>
  <c r="W48" i="2"/>
  <c r="X48" i="2"/>
  <c r="I49" i="2"/>
  <c r="J49" i="2"/>
  <c r="L49" i="2"/>
  <c r="M49" i="2"/>
  <c r="P49" i="2"/>
  <c r="R49" i="2"/>
  <c r="S49" i="2" s="1"/>
  <c r="W49" i="2"/>
  <c r="X49" i="2"/>
  <c r="I50" i="2"/>
  <c r="J50" i="2" s="1"/>
  <c r="L50" i="2"/>
  <c r="M50" i="2"/>
  <c r="P50" i="2"/>
  <c r="R50" i="2" s="1"/>
  <c r="S50" i="2" s="1"/>
  <c r="W50" i="2"/>
  <c r="X50" i="2"/>
  <c r="I51" i="2"/>
  <c r="J51" i="2" s="1"/>
  <c r="L51" i="2"/>
  <c r="M51" i="2"/>
  <c r="P51" i="2"/>
  <c r="R51" i="2" s="1"/>
  <c r="S51" i="2" s="1"/>
  <c r="W51" i="2"/>
  <c r="X51" i="2"/>
  <c r="L52" i="2"/>
  <c r="I52" i="2" s="1"/>
  <c r="J52" i="2" s="1"/>
  <c r="M52" i="2"/>
  <c r="P52" i="2"/>
  <c r="R52" i="2"/>
  <c r="S52" i="2"/>
  <c r="W52" i="2"/>
  <c r="X52" i="2"/>
  <c r="L53" i="2"/>
  <c r="I53" i="2" s="1"/>
  <c r="J53" i="2" s="1"/>
  <c r="M53" i="2"/>
  <c r="P53" i="2"/>
  <c r="R53" i="2"/>
  <c r="S53" i="2" s="1"/>
  <c r="W53" i="2"/>
  <c r="X53" i="2"/>
  <c r="I54" i="2"/>
  <c r="J54" i="2" s="1"/>
  <c r="L54" i="2"/>
  <c r="M54" i="2"/>
  <c r="P54" i="2"/>
  <c r="R54" i="2" s="1"/>
  <c r="S54" i="2" s="1"/>
  <c r="W54" i="2"/>
  <c r="X54" i="2"/>
  <c r="I55" i="2"/>
  <c r="J55" i="2" s="1"/>
  <c r="L55" i="2"/>
  <c r="M55" i="2"/>
  <c r="P55" i="2"/>
  <c r="R55" i="2" s="1"/>
  <c r="S55" i="2" s="1"/>
  <c r="W55" i="2"/>
  <c r="X55" i="2"/>
  <c r="L56" i="2"/>
  <c r="I56" i="2" s="1"/>
  <c r="J56" i="2" s="1"/>
  <c r="M56" i="2"/>
  <c r="P56" i="2"/>
  <c r="R56" i="2" s="1"/>
  <c r="S56" i="2" s="1"/>
  <c r="W56" i="2"/>
  <c r="X56" i="2"/>
  <c r="I57" i="2"/>
  <c r="J57" i="2"/>
  <c r="L57" i="2"/>
  <c r="M57" i="2"/>
  <c r="P57" i="2"/>
  <c r="R57" i="2"/>
  <c r="S57" i="2" s="1"/>
  <c r="W57" i="2"/>
  <c r="X57" i="2"/>
  <c r="I58" i="2"/>
  <c r="L58" i="2"/>
  <c r="M58" i="2"/>
  <c r="P58" i="2"/>
  <c r="R58" i="2"/>
  <c r="S58" i="2" s="1"/>
  <c r="W58" i="2"/>
  <c r="X58" i="2"/>
  <c r="I59" i="2"/>
  <c r="L59" i="2"/>
  <c r="M59" i="2"/>
  <c r="P59" i="2"/>
  <c r="R59" i="2"/>
  <c r="S59" i="2" s="1"/>
  <c r="W59" i="2"/>
  <c r="X59" i="2"/>
  <c r="I60" i="2"/>
  <c r="L60" i="2"/>
  <c r="M60" i="2"/>
  <c r="P60" i="2"/>
  <c r="R60" i="2"/>
  <c r="S60" i="2" s="1"/>
  <c r="W60" i="2"/>
  <c r="X60" i="2"/>
  <c r="I61" i="2"/>
  <c r="L61" i="2"/>
  <c r="M61" i="2"/>
  <c r="P61" i="2"/>
  <c r="R61" i="2"/>
  <c r="S61" i="2" s="1"/>
  <c r="W61" i="2"/>
  <c r="X61" i="2"/>
  <c r="I62" i="2"/>
  <c r="L62" i="2"/>
  <c r="M62" i="2"/>
  <c r="P62" i="2"/>
  <c r="R62" i="2"/>
  <c r="S62" i="2" s="1"/>
  <c r="W62" i="2"/>
  <c r="X62" i="2"/>
  <c r="L63" i="2"/>
  <c r="M63" i="2"/>
  <c r="P63" i="2"/>
  <c r="R63" i="2" s="1"/>
  <c r="S63" i="2" s="1"/>
  <c r="X63" i="2"/>
  <c r="L65" i="2"/>
  <c r="I65" i="2" s="1"/>
  <c r="J65" i="2" s="1"/>
  <c r="M65" i="2"/>
  <c r="P65" i="2"/>
  <c r="R65" i="2" s="1"/>
  <c r="S65" i="2"/>
  <c r="W65" i="2"/>
  <c r="X65" i="2"/>
  <c r="I66" i="2"/>
  <c r="J66" i="2" s="1"/>
  <c r="L66" i="2"/>
  <c r="M66" i="2"/>
  <c r="P66" i="2"/>
  <c r="R66" i="2"/>
  <c r="S66" i="2"/>
  <c r="W66" i="2"/>
  <c r="X66" i="2"/>
  <c r="I67" i="2"/>
  <c r="J67" i="2" s="1"/>
  <c r="L67" i="2"/>
  <c r="M67" i="2"/>
  <c r="P67" i="2"/>
  <c r="R67" i="2" s="1"/>
  <c r="W67" i="2"/>
  <c r="X67" i="2"/>
  <c r="I68" i="2"/>
  <c r="J68" i="2" s="1"/>
  <c r="L68" i="2"/>
  <c r="M68" i="2"/>
  <c r="P68" i="2"/>
  <c r="R68" i="2" s="1"/>
  <c r="W68" i="2"/>
  <c r="X68" i="2"/>
  <c r="L69" i="2"/>
  <c r="I69" i="2" s="1"/>
  <c r="J69" i="2" s="1"/>
  <c r="M69" i="2"/>
  <c r="P69" i="2"/>
  <c r="R69" i="2"/>
  <c r="S69" i="2"/>
  <c r="W69" i="2"/>
  <c r="X69" i="2"/>
  <c r="L70" i="2"/>
  <c r="I70" i="2" s="1"/>
  <c r="J70" i="2" s="1"/>
  <c r="M70" i="2"/>
  <c r="P70" i="2"/>
  <c r="R70" i="2" s="1"/>
  <c r="W70" i="2"/>
  <c r="X70" i="2"/>
  <c r="I71" i="2"/>
  <c r="J71" i="2" s="1"/>
  <c r="L71" i="2"/>
  <c r="M71" i="2"/>
  <c r="P71" i="2"/>
  <c r="S71" i="2" s="1"/>
  <c r="W71" i="2"/>
  <c r="X71" i="2"/>
  <c r="I72" i="2"/>
  <c r="J72" i="2" s="1"/>
  <c r="L72" i="2"/>
  <c r="M72" i="2"/>
  <c r="P72" i="2"/>
  <c r="R72" i="2" s="1"/>
  <c r="W72" i="2"/>
  <c r="X72" i="2"/>
  <c r="L73" i="2"/>
  <c r="I73" i="2" s="1"/>
  <c r="J73" i="2" s="1"/>
  <c r="M73" i="2"/>
  <c r="P73" i="2"/>
  <c r="R73" i="2" s="1"/>
  <c r="S73" i="2"/>
  <c r="W73" i="2"/>
  <c r="X73" i="2"/>
  <c r="I74" i="2"/>
  <c r="J74" i="2" s="1"/>
  <c r="L74" i="2"/>
  <c r="M74" i="2"/>
  <c r="P74" i="2"/>
  <c r="R74" i="2"/>
  <c r="S74" i="2"/>
  <c r="W74" i="2"/>
  <c r="X74" i="2"/>
  <c r="I75" i="2"/>
  <c r="J75" i="2" s="1"/>
  <c r="L75" i="2"/>
  <c r="M75" i="2"/>
  <c r="P75" i="2"/>
  <c r="R75" i="2" s="1"/>
  <c r="W75" i="2"/>
  <c r="X75" i="2"/>
  <c r="L76" i="2"/>
  <c r="I76" i="2" s="1"/>
  <c r="J76" i="2" s="1"/>
  <c r="M76" i="2"/>
  <c r="P76" i="2"/>
  <c r="R76" i="2" s="1"/>
  <c r="W76" i="2"/>
  <c r="X76" i="2"/>
  <c r="L77" i="2"/>
  <c r="I77" i="2" s="1"/>
  <c r="J77" i="2" s="1"/>
  <c r="M77" i="2"/>
  <c r="P77" i="2"/>
  <c r="R77" i="2"/>
  <c r="S77" i="2"/>
  <c r="W77" i="2"/>
  <c r="X77" i="2"/>
  <c r="L78" i="2"/>
  <c r="I78" i="2" s="1"/>
  <c r="J78" i="2" s="1"/>
  <c r="M78" i="2"/>
  <c r="P78" i="2"/>
  <c r="R78" i="2" s="1"/>
  <c r="W78" i="2"/>
  <c r="X78" i="2"/>
  <c r="I79" i="2"/>
  <c r="J79" i="2" s="1"/>
  <c r="L79" i="2"/>
  <c r="M79" i="2"/>
  <c r="P79" i="2"/>
  <c r="S79" i="2" s="1"/>
  <c r="W79" i="2"/>
  <c r="X79" i="2"/>
  <c r="I80" i="2"/>
  <c r="J80" i="2" s="1"/>
  <c r="L80" i="2"/>
  <c r="M80" i="2"/>
  <c r="P80" i="2"/>
  <c r="R80" i="2" s="1"/>
  <c r="W80" i="2"/>
  <c r="X80" i="2"/>
  <c r="L81" i="2"/>
  <c r="I81" i="2" s="1"/>
  <c r="J81" i="2" s="1"/>
  <c r="M81" i="2"/>
  <c r="P81" i="2"/>
  <c r="R81" i="2" s="1"/>
  <c r="S81" i="2"/>
  <c r="W81" i="2"/>
  <c r="X81" i="2"/>
  <c r="I82" i="2"/>
  <c r="J82" i="2" s="1"/>
  <c r="L82" i="2"/>
  <c r="M82" i="2"/>
  <c r="P82" i="2"/>
  <c r="R82" i="2"/>
  <c r="S82" i="2"/>
  <c r="W82" i="2"/>
  <c r="X82" i="2"/>
  <c r="I84" i="2"/>
  <c r="L84" i="2"/>
  <c r="M84" i="2"/>
  <c r="P84" i="2"/>
  <c r="R84" i="2"/>
  <c r="S84" i="2"/>
  <c r="W84" i="2"/>
  <c r="X84" i="2"/>
  <c r="I85" i="2"/>
  <c r="J85" i="2" s="1"/>
  <c r="L85" i="2"/>
  <c r="M85" i="2"/>
  <c r="P85" i="2"/>
  <c r="R85" i="2" s="1"/>
  <c r="S85" i="2" s="1"/>
  <c r="W85" i="2"/>
  <c r="X85" i="2"/>
  <c r="L86" i="2"/>
  <c r="I86" i="2" s="1"/>
  <c r="J86" i="2" s="1"/>
  <c r="M86" i="2"/>
  <c r="P86" i="2"/>
  <c r="R86" i="2" s="1"/>
  <c r="S86" i="2" s="1"/>
  <c r="W86" i="2"/>
  <c r="X86" i="2"/>
  <c r="L87" i="2"/>
  <c r="I87" i="2" s="1"/>
  <c r="J87" i="2" s="1"/>
  <c r="M87" i="2"/>
  <c r="P87" i="2"/>
  <c r="R87" i="2"/>
  <c r="S87" i="2" s="1"/>
  <c r="W87" i="2"/>
  <c r="X87" i="2"/>
  <c r="L88" i="2"/>
  <c r="I88" i="2" s="1"/>
  <c r="J88" i="2" s="1"/>
  <c r="M88" i="2"/>
  <c r="P88" i="2"/>
  <c r="R88" i="2" s="1"/>
  <c r="S88" i="2" s="1"/>
  <c r="W88" i="2"/>
  <c r="X88" i="2"/>
  <c r="F90" i="2"/>
  <c r="M90" i="2" s="1"/>
  <c r="I90" i="2"/>
  <c r="J90" i="2" s="1"/>
  <c r="L90" i="2"/>
  <c r="P90" i="2"/>
  <c r="R90" i="2" s="1"/>
  <c r="S90" i="2" s="1"/>
  <c r="W90" i="2"/>
  <c r="X90" i="2"/>
  <c r="F91" i="2"/>
  <c r="M91" i="2" s="1"/>
  <c r="I91" i="2"/>
  <c r="J91" i="2" s="1"/>
  <c r="L91" i="2"/>
  <c r="P91" i="2"/>
  <c r="R91" i="2"/>
  <c r="S91" i="2"/>
  <c r="W91" i="2"/>
  <c r="X91" i="2"/>
  <c r="I92" i="2"/>
  <c r="J92" i="2" s="1"/>
  <c r="L92" i="2"/>
  <c r="M92" i="2"/>
  <c r="P92" i="2"/>
  <c r="R92" i="2"/>
  <c r="S92" i="2" s="1"/>
  <c r="W92" i="2"/>
  <c r="X92" i="2"/>
  <c r="L93" i="2"/>
  <c r="I93" i="2" s="1"/>
  <c r="J93" i="2" s="1"/>
  <c r="M93" i="2"/>
  <c r="P93" i="2"/>
  <c r="R93" i="2" s="1"/>
  <c r="S93" i="2" s="1"/>
  <c r="W93" i="2"/>
  <c r="X93" i="2"/>
  <c r="L94" i="2"/>
  <c r="I94" i="2" s="1"/>
  <c r="J94" i="2" s="1"/>
  <c r="M94" i="2"/>
  <c r="P94" i="2"/>
  <c r="R94" i="2"/>
  <c r="S94" i="2" s="1"/>
  <c r="W94" i="2"/>
  <c r="X94" i="2"/>
  <c r="J95" i="2"/>
  <c r="L95" i="2"/>
  <c r="I95" i="2" s="1"/>
  <c r="M95" i="2"/>
  <c r="P95" i="2"/>
  <c r="R95" i="2" s="1"/>
  <c r="S95" i="2" s="1"/>
  <c r="W95" i="2"/>
  <c r="X95" i="2"/>
  <c r="I96" i="2"/>
  <c r="J96" i="2"/>
  <c r="L96" i="2"/>
  <c r="M96" i="2"/>
  <c r="P96" i="2"/>
  <c r="R96" i="2" s="1"/>
  <c r="S96" i="2" s="1"/>
  <c r="W96" i="2"/>
  <c r="X96" i="2"/>
  <c r="I97" i="2"/>
  <c r="J97" i="2" s="1"/>
  <c r="L97" i="2"/>
  <c r="M97" i="2"/>
  <c r="P97" i="2"/>
  <c r="R97" i="2" s="1"/>
  <c r="S97" i="2" s="1"/>
  <c r="W97" i="2"/>
  <c r="I98" i="2"/>
  <c r="J98" i="2" s="1"/>
  <c r="L98" i="2"/>
  <c r="M98" i="2"/>
  <c r="P98" i="2"/>
  <c r="R98" i="2" s="1"/>
  <c r="S98" i="2" s="1"/>
  <c r="W98" i="2"/>
  <c r="I99" i="2"/>
  <c r="J99" i="2" s="1"/>
  <c r="L99" i="2"/>
  <c r="M99" i="2"/>
  <c r="P99" i="2"/>
  <c r="R99" i="2" s="1"/>
  <c r="S99" i="2" s="1"/>
  <c r="W99" i="2"/>
  <c r="X99" i="2"/>
  <c r="L100" i="2"/>
  <c r="I100" i="2" s="1"/>
  <c r="J100" i="2" s="1"/>
  <c r="M100" i="2"/>
  <c r="P100" i="2"/>
  <c r="R100" i="2" s="1"/>
  <c r="S100" i="2" s="1"/>
  <c r="W100" i="2"/>
  <c r="X100" i="2"/>
  <c r="I101" i="2"/>
  <c r="J101" i="2" s="1"/>
  <c r="L101" i="2"/>
  <c r="M101" i="2"/>
  <c r="P101" i="2"/>
  <c r="R101" i="2"/>
  <c r="S101" i="2" s="1"/>
  <c r="W101" i="2"/>
  <c r="X101" i="2"/>
  <c r="P102" i="2"/>
  <c r="I103" i="2"/>
  <c r="J103" i="2" s="1"/>
  <c r="L103" i="2"/>
  <c r="M103" i="2"/>
  <c r="P103" i="2"/>
  <c r="R103" i="2" s="1"/>
  <c r="S103" i="2" s="1"/>
  <c r="W103" i="2"/>
  <c r="X103" i="2"/>
  <c r="X104" i="2"/>
  <c r="J105" i="2"/>
  <c r="L105" i="2"/>
  <c r="I105" i="2" s="1"/>
  <c r="M105" i="2"/>
  <c r="P105" i="2"/>
  <c r="R105" i="2" s="1"/>
  <c r="S105" i="2" s="1"/>
  <c r="W105" i="2"/>
  <c r="X105" i="2"/>
  <c r="I106" i="2"/>
  <c r="J106" i="2"/>
  <c r="L106" i="2"/>
  <c r="M106" i="2"/>
  <c r="P106" i="2"/>
  <c r="R106" i="2" s="1"/>
  <c r="S106" i="2" s="1"/>
  <c r="W106" i="2"/>
  <c r="X106" i="2"/>
  <c r="I108" i="2"/>
  <c r="J108" i="2" s="1"/>
  <c r="L108" i="2"/>
  <c r="M108" i="2"/>
  <c r="P108" i="2"/>
  <c r="R108" i="2" s="1"/>
  <c r="S108" i="2" s="1"/>
  <c r="W108" i="2"/>
  <c r="X108" i="2"/>
  <c r="L109" i="2"/>
  <c r="I109" i="2" s="1"/>
  <c r="J109" i="2" s="1"/>
  <c r="M109" i="2"/>
  <c r="P109" i="2"/>
  <c r="R109" i="2"/>
  <c r="S109" i="2"/>
  <c r="W109" i="2"/>
  <c r="X109" i="2"/>
  <c r="I110" i="2"/>
  <c r="J110" i="2" s="1"/>
  <c r="L110" i="2"/>
  <c r="M110" i="2"/>
  <c r="P110" i="2"/>
  <c r="R110" i="2"/>
  <c r="S110" i="2"/>
  <c r="W110" i="2"/>
  <c r="X110" i="2"/>
  <c r="I112" i="2"/>
  <c r="J112" i="2" s="1"/>
  <c r="L112" i="2"/>
  <c r="M112" i="2"/>
  <c r="P112" i="2"/>
  <c r="R112" i="2" s="1"/>
  <c r="S112" i="2" s="1"/>
  <c r="W112" i="2"/>
  <c r="X112" i="2"/>
  <c r="L113" i="2"/>
  <c r="I113" i="2" s="1"/>
  <c r="J113" i="2" s="1"/>
  <c r="M113" i="2"/>
  <c r="P113" i="2"/>
  <c r="R113" i="2" s="1"/>
  <c r="S113" i="2" s="1"/>
  <c r="W113" i="2"/>
  <c r="X113" i="2"/>
  <c r="L115" i="2"/>
  <c r="I115" i="2" s="1"/>
  <c r="J115" i="2" s="1"/>
  <c r="M115" i="2"/>
  <c r="P115" i="2"/>
  <c r="R115" i="2"/>
  <c r="S115" i="2" s="1"/>
  <c r="W115" i="2"/>
  <c r="X115" i="2"/>
  <c r="J116" i="2"/>
  <c r="L116" i="2"/>
  <c r="I116" i="2" s="1"/>
  <c r="M116" i="2"/>
  <c r="P116" i="2"/>
  <c r="R116" i="2" s="1"/>
  <c r="S116" i="2" s="1"/>
  <c r="W116" i="2"/>
  <c r="X116" i="2"/>
  <c r="I118" i="2"/>
  <c r="J118" i="2" s="1"/>
  <c r="L118" i="2"/>
  <c r="M118" i="2"/>
  <c r="P118" i="2"/>
  <c r="W118" i="2" s="1"/>
  <c r="X118" i="2"/>
  <c r="I119" i="2"/>
  <c r="J119" i="2" s="1"/>
  <c r="L119" i="2"/>
  <c r="M119" i="2"/>
  <c r="P119" i="2"/>
  <c r="R119" i="2" s="1"/>
  <c r="S119" i="2" s="1"/>
  <c r="W119" i="2"/>
  <c r="X119" i="2"/>
  <c r="L120" i="2"/>
  <c r="I120" i="2" s="1"/>
  <c r="J120" i="2" s="1"/>
  <c r="M120" i="2"/>
  <c r="P120" i="2"/>
  <c r="R120" i="2"/>
  <c r="S120" i="2"/>
  <c r="W120" i="2"/>
  <c r="X120" i="2"/>
  <c r="I121" i="2"/>
  <c r="J121" i="2" s="1"/>
  <c r="L121" i="2"/>
  <c r="M121" i="2"/>
  <c r="P121" i="2"/>
  <c r="W121" i="2" s="1"/>
  <c r="R121" i="2"/>
  <c r="S121" i="2" s="1"/>
  <c r="X121" i="2"/>
  <c r="I122" i="2"/>
  <c r="J122" i="2" s="1"/>
  <c r="L122" i="2"/>
  <c r="M122" i="2"/>
  <c r="P122" i="2"/>
  <c r="R122" i="2" s="1"/>
  <c r="S122" i="2" s="1"/>
  <c r="X122" i="2"/>
  <c r="L124" i="2"/>
  <c r="I124" i="2" s="1"/>
  <c r="J124" i="2" s="1"/>
  <c r="M124" i="2"/>
  <c r="P124" i="2"/>
  <c r="R124" i="2" s="1"/>
  <c r="S124" i="2"/>
  <c r="W124" i="2"/>
  <c r="X124" i="2"/>
  <c r="L125" i="2"/>
  <c r="I125" i="2" s="1"/>
  <c r="J125" i="2" s="1"/>
  <c r="M125" i="2"/>
  <c r="P125" i="2"/>
  <c r="R125" i="2"/>
  <c r="S125" i="2" s="1"/>
  <c r="W125" i="2"/>
  <c r="X125" i="2"/>
  <c r="I127" i="2"/>
  <c r="J127" i="2" s="1"/>
  <c r="L127" i="2"/>
  <c r="M127" i="2"/>
  <c r="P127" i="2"/>
  <c r="R127" i="2" s="1"/>
  <c r="S127" i="2" s="1"/>
  <c r="W127" i="2"/>
  <c r="X127" i="2"/>
  <c r="I129" i="2"/>
  <c r="J129" i="2"/>
  <c r="L129" i="2"/>
  <c r="M129" i="2"/>
  <c r="P129" i="2"/>
  <c r="R129" i="2"/>
  <c r="S129" i="2" s="1"/>
  <c r="W129" i="2"/>
  <c r="X129" i="2"/>
  <c r="L130" i="2"/>
  <c r="I130" i="2" s="1"/>
  <c r="J130" i="2" s="1"/>
  <c r="M130" i="2"/>
  <c r="P130" i="2"/>
  <c r="R130" i="2" s="1"/>
  <c r="S130" i="2" s="1"/>
  <c r="W130" i="2"/>
  <c r="X130" i="2"/>
  <c r="L131" i="2"/>
  <c r="I131" i="2" s="1"/>
  <c r="J131" i="2" s="1"/>
  <c r="M131" i="2"/>
  <c r="P131" i="2"/>
  <c r="R131" i="2"/>
  <c r="S131" i="2" s="1"/>
  <c r="W131" i="2"/>
  <c r="X131" i="2"/>
  <c r="L132" i="2"/>
  <c r="I132" i="2" s="1"/>
  <c r="J132" i="2" s="1"/>
  <c r="M132" i="2"/>
  <c r="P132" i="2"/>
  <c r="R132" i="2" s="1"/>
  <c r="S132" i="2" s="1"/>
  <c r="W132" i="2"/>
  <c r="X132" i="2"/>
  <c r="I134" i="2"/>
  <c r="J134" i="2"/>
  <c r="L134" i="2"/>
  <c r="M134" i="2"/>
  <c r="P134" i="2"/>
  <c r="R134" i="2"/>
  <c r="S134" i="2" s="1"/>
  <c r="W134" i="2"/>
  <c r="X134" i="2"/>
  <c r="I135" i="2"/>
  <c r="J135" i="2" s="1"/>
  <c r="L135" i="2"/>
  <c r="M135" i="2"/>
  <c r="P135" i="2"/>
  <c r="R135" i="2" s="1"/>
  <c r="S135" i="2" s="1"/>
  <c r="W135" i="2"/>
  <c r="X135" i="2"/>
  <c r="B3" i="1"/>
  <c r="L11" i="1"/>
  <c r="I11" i="1" s="1"/>
  <c r="J11" i="1" s="1"/>
  <c r="P11" i="1"/>
  <c r="R11" i="1" s="1"/>
  <c r="S11" i="1" s="1"/>
  <c r="W11" i="1"/>
  <c r="X11" i="1"/>
  <c r="L12" i="1"/>
  <c r="I12" i="1" s="1"/>
  <c r="J12" i="1" s="1"/>
  <c r="W12" i="1"/>
  <c r="X12" i="1"/>
  <c r="L13" i="1"/>
  <c r="I13" i="1" s="1"/>
  <c r="J13" i="1" s="1"/>
  <c r="W13" i="1"/>
  <c r="X13" i="1"/>
  <c r="X14" i="1"/>
  <c r="L15" i="1"/>
  <c r="I15" i="1" s="1"/>
  <c r="J15" i="1" s="1"/>
  <c r="P15" i="1"/>
  <c r="R15" i="1" s="1"/>
  <c r="S15" i="1" s="1"/>
  <c r="W15" i="1"/>
  <c r="X15" i="1"/>
  <c r="I16" i="1"/>
  <c r="J16" i="1" s="1"/>
  <c r="L16" i="1"/>
  <c r="W16" i="1"/>
  <c r="X16" i="1"/>
  <c r="L17" i="1"/>
  <c r="I17" i="1" s="1"/>
  <c r="J17" i="1" s="1"/>
  <c r="W17" i="1"/>
  <c r="X17" i="1"/>
  <c r="W18" i="1"/>
  <c r="X18" i="1"/>
  <c r="L19" i="1"/>
  <c r="I19" i="1" s="1"/>
  <c r="J19" i="1" s="1"/>
  <c r="M19" i="1"/>
  <c r="P19" i="1"/>
  <c r="R19" i="1"/>
  <c r="S19" i="1" s="1"/>
  <c r="W19" i="1"/>
  <c r="X19" i="1"/>
  <c r="W20" i="1"/>
  <c r="X20" i="1"/>
  <c r="L21" i="1"/>
  <c r="I21" i="1" s="1"/>
  <c r="J21" i="1" s="1"/>
  <c r="W21" i="1"/>
  <c r="X21" i="1"/>
  <c r="W22" i="1"/>
  <c r="X22" i="1"/>
  <c r="L23" i="1"/>
  <c r="I23" i="1" s="1"/>
  <c r="J23" i="1" s="1"/>
  <c r="M23" i="1"/>
  <c r="P23" i="1"/>
  <c r="R23" i="1"/>
  <c r="S23" i="1" s="1"/>
  <c r="W23" i="1"/>
  <c r="X23" i="1"/>
  <c r="W24" i="1"/>
  <c r="X24" i="1"/>
  <c r="L25" i="1"/>
  <c r="I25" i="1" s="1"/>
  <c r="J25" i="1" s="1"/>
  <c r="W25" i="1"/>
  <c r="X25" i="1"/>
  <c r="W26" i="1"/>
  <c r="X26" i="1"/>
  <c r="L27" i="1"/>
  <c r="I27" i="1" s="1"/>
  <c r="J27" i="1" s="1"/>
  <c r="P27" i="1"/>
  <c r="R27" i="1" s="1"/>
  <c r="S27" i="1" s="1"/>
  <c r="L28" i="1"/>
  <c r="I28" i="1" s="1"/>
  <c r="J28" i="1" s="1"/>
  <c r="M28" i="1"/>
  <c r="P28" i="1"/>
  <c r="R28" i="1"/>
  <c r="S28" i="1" s="1"/>
  <c r="W28" i="1"/>
  <c r="X28" i="1"/>
  <c r="W29" i="1"/>
  <c r="X29" i="1"/>
  <c r="L30" i="1"/>
  <c r="I30" i="1" s="1"/>
  <c r="J30" i="1" s="1"/>
  <c r="W30" i="1"/>
  <c r="X30" i="1"/>
  <c r="W31" i="1"/>
  <c r="X31" i="1"/>
  <c r="L32" i="1"/>
  <c r="I32" i="1" s="1"/>
  <c r="J32" i="1" s="1"/>
  <c r="M32" i="1"/>
  <c r="P32" i="1"/>
  <c r="R32" i="1"/>
  <c r="S32" i="1" s="1"/>
  <c r="W32" i="1"/>
  <c r="X32" i="1"/>
  <c r="W33" i="1"/>
  <c r="X33" i="1"/>
  <c r="F34" i="1"/>
  <c r="M34" i="1"/>
  <c r="L34" i="1"/>
  <c r="I34" i="1" s="1"/>
  <c r="J34" i="1" s="1"/>
  <c r="P34" i="1"/>
  <c r="R34" i="1" s="1"/>
  <c r="S34" i="1" s="1"/>
  <c r="W34" i="1"/>
  <c r="X34" i="1"/>
  <c r="M35" i="1"/>
  <c r="P35" i="1"/>
  <c r="R35" i="1" s="1"/>
  <c r="S35" i="1" s="1"/>
  <c r="X35" i="1"/>
  <c r="M36" i="1"/>
  <c r="P36" i="1"/>
  <c r="R36" i="1" s="1"/>
  <c r="S36" i="1" s="1"/>
  <c r="X36" i="1"/>
  <c r="W37" i="1"/>
  <c r="X37" i="1"/>
  <c r="M38" i="1"/>
  <c r="L38" i="1"/>
  <c r="I38" i="1" s="1"/>
  <c r="P38" i="1"/>
  <c r="R38" i="1" s="1"/>
  <c r="S38" i="1"/>
  <c r="W38" i="1"/>
  <c r="X38" i="1"/>
  <c r="L39" i="1"/>
  <c r="I39" i="1" s="1"/>
  <c r="W39" i="1"/>
  <c r="X39" i="1"/>
  <c r="I40" i="1"/>
  <c r="M40" i="1"/>
  <c r="L40" i="1"/>
  <c r="P40" i="1"/>
  <c r="R40" i="1" s="1"/>
  <c r="S40" i="1" s="1"/>
  <c r="W40" i="1"/>
  <c r="X40" i="1"/>
  <c r="W41" i="1"/>
  <c r="X41" i="1"/>
  <c r="M42" i="1"/>
  <c r="P42" i="1"/>
  <c r="R42" i="1" s="1"/>
  <c r="S42" i="1" s="1"/>
  <c r="X42" i="1"/>
  <c r="L43" i="1"/>
  <c r="I43" i="1" s="1"/>
  <c r="M43" i="1"/>
  <c r="P43" i="1"/>
  <c r="R43" i="1"/>
  <c r="S43" i="1" s="1"/>
  <c r="W43" i="1"/>
  <c r="X43" i="1"/>
  <c r="I44" i="1"/>
  <c r="L44" i="1"/>
  <c r="M44" i="1"/>
  <c r="P44" i="1"/>
  <c r="R44" i="1"/>
  <c r="S44" i="1" s="1"/>
  <c r="W44" i="1"/>
  <c r="X44" i="1"/>
  <c r="F46" i="1"/>
  <c r="M46" i="1" s="1"/>
  <c r="I46" i="1"/>
  <c r="L46" i="1"/>
  <c r="P46" i="1"/>
  <c r="R46" i="1" s="1"/>
  <c r="S46" i="1" s="1"/>
  <c r="W46" i="1"/>
  <c r="X46" i="1"/>
  <c r="F47" i="1"/>
  <c r="L47" i="1"/>
  <c r="I47" i="1" s="1"/>
  <c r="M47" i="1"/>
  <c r="P47" i="1"/>
  <c r="R47" i="1"/>
  <c r="S47" i="1" s="1"/>
  <c r="W47" i="1"/>
  <c r="X47" i="1"/>
  <c r="L50" i="1"/>
  <c r="I50" i="1" s="1"/>
  <c r="J50" i="1" s="1"/>
  <c r="W50" i="1"/>
  <c r="X50" i="1"/>
  <c r="X51" i="1"/>
  <c r="L52" i="1"/>
  <c r="I52" i="1" s="1"/>
  <c r="J52" i="1" s="1"/>
  <c r="M52" i="1"/>
  <c r="P52" i="1"/>
  <c r="R52" i="1"/>
  <c r="S52" i="1" s="1"/>
  <c r="W52" i="1"/>
  <c r="X52" i="1"/>
  <c r="W53" i="1"/>
  <c r="X53" i="1"/>
  <c r="L54" i="1"/>
  <c r="I54" i="1" s="1"/>
  <c r="J54" i="1" s="1"/>
  <c r="W54" i="1"/>
  <c r="X54" i="1"/>
  <c r="W55" i="1"/>
  <c r="X55" i="1"/>
  <c r="L56" i="1"/>
  <c r="I56" i="1" s="1"/>
  <c r="J56" i="1" s="1"/>
  <c r="M56" i="1"/>
  <c r="P56" i="1"/>
  <c r="R56" i="1"/>
  <c r="S56" i="1" s="1"/>
  <c r="W56" i="1"/>
  <c r="X56" i="1"/>
  <c r="W57" i="1"/>
  <c r="X57" i="1"/>
  <c r="W58" i="1"/>
  <c r="X58" i="1"/>
  <c r="L59" i="1"/>
  <c r="I59" i="1" s="1"/>
  <c r="J59" i="1" s="1"/>
  <c r="W59" i="1"/>
  <c r="X59" i="1"/>
  <c r="W60" i="1"/>
  <c r="X60" i="1"/>
  <c r="L61" i="1"/>
  <c r="I61" i="1" s="1"/>
  <c r="J61" i="1" s="1"/>
  <c r="M61" i="1"/>
  <c r="P61" i="1"/>
  <c r="R61" i="1"/>
  <c r="S61" i="1" s="1"/>
  <c r="W61" i="1"/>
  <c r="X61" i="1"/>
  <c r="M62" i="1"/>
  <c r="P62" i="1"/>
  <c r="X62" i="1"/>
  <c r="W63" i="1"/>
  <c r="X63" i="1"/>
  <c r="M64" i="1"/>
  <c r="P64" i="1"/>
  <c r="L64" i="1" s="1"/>
  <c r="I64" i="1" s="1"/>
  <c r="W64" i="1"/>
  <c r="X64" i="1"/>
  <c r="W65" i="1"/>
  <c r="X65" i="1"/>
  <c r="M66" i="1"/>
  <c r="P66" i="1"/>
  <c r="W66" i="1"/>
  <c r="X66" i="1"/>
  <c r="M67" i="1"/>
  <c r="L67" i="1"/>
  <c r="P67" i="1"/>
  <c r="R67" i="1" s="1"/>
  <c r="S67" i="1" s="1"/>
  <c r="X67" i="1"/>
  <c r="W69" i="1"/>
  <c r="X69" i="1"/>
  <c r="L70" i="1"/>
  <c r="I70" i="1" s="1"/>
  <c r="J70" i="1" s="1"/>
  <c r="M70" i="1"/>
  <c r="P70" i="1"/>
  <c r="S70" i="1" s="1"/>
  <c r="R70" i="1"/>
  <c r="W70" i="1"/>
  <c r="X70" i="1"/>
  <c r="W71" i="1"/>
  <c r="X71" i="1"/>
  <c r="L72" i="1"/>
  <c r="I72" i="1" s="1"/>
  <c r="J72" i="1" s="1"/>
  <c r="W72" i="1"/>
  <c r="X72" i="1"/>
  <c r="W73" i="1"/>
  <c r="X73" i="1"/>
  <c r="L74" i="1"/>
  <c r="I74" i="1" s="1"/>
  <c r="J74" i="1" s="1"/>
  <c r="M74" i="1"/>
  <c r="P74" i="1"/>
  <c r="S74" i="1" s="1"/>
  <c r="R74" i="1"/>
  <c r="W74" i="1"/>
  <c r="X74" i="1"/>
  <c r="W75" i="1"/>
  <c r="X75" i="1"/>
  <c r="L76" i="1"/>
  <c r="I76" i="1" s="1"/>
  <c r="J76" i="1" s="1"/>
  <c r="W76" i="1"/>
  <c r="X76" i="1"/>
  <c r="W77" i="1"/>
  <c r="X77" i="1"/>
  <c r="L78" i="1"/>
  <c r="I78" i="1" s="1"/>
  <c r="J78" i="1" s="1"/>
  <c r="M78" i="1"/>
  <c r="P78" i="1"/>
  <c r="S78" i="1" s="1"/>
  <c r="R78" i="1"/>
  <c r="W78" i="1"/>
  <c r="X78" i="1"/>
  <c r="X79" i="1"/>
  <c r="L80" i="1"/>
  <c r="I80" i="1" s="1"/>
  <c r="J80" i="1" s="1"/>
  <c r="W80" i="1"/>
  <c r="X80" i="1"/>
  <c r="X81" i="1"/>
  <c r="L82" i="1"/>
  <c r="I82" i="1" s="1"/>
  <c r="J82" i="1" s="1"/>
  <c r="M82" i="1"/>
  <c r="P82" i="1"/>
  <c r="S82" i="1" s="1"/>
  <c r="R82" i="1"/>
  <c r="W82" i="1"/>
  <c r="X82" i="1"/>
  <c r="W83" i="1"/>
  <c r="X83" i="1"/>
  <c r="L84" i="1"/>
  <c r="I84" i="1" s="1"/>
  <c r="J84" i="1" s="1"/>
  <c r="W84" i="1"/>
  <c r="X84" i="1"/>
  <c r="W85" i="1"/>
  <c r="X85" i="1"/>
  <c r="L86" i="1"/>
  <c r="I86" i="1" s="1"/>
  <c r="J86" i="1" s="1"/>
  <c r="M86" i="1"/>
  <c r="P86" i="1"/>
  <c r="S86" i="1" s="1"/>
  <c r="R86" i="1"/>
  <c r="W86" i="1"/>
  <c r="X86" i="1"/>
  <c r="M88" i="1"/>
  <c r="P88" i="1"/>
  <c r="R88" i="1" s="1"/>
  <c r="S88" i="1" s="1"/>
  <c r="X88" i="1"/>
  <c r="L89" i="1"/>
  <c r="I89" i="1" s="1"/>
  <c r="J89" i="1" s="1"/>
  <c r="M89" i="1"/>
  <c r="W89" i="1"/>
  <c r="P89" i="1"/>
  <c r="R89" i="1" s="1"/>
  <c r="S89" i="1" s="1"/>
  <c r="X89" i="1"/>
  <c r="J90" i="1"/>
  <c r="M90" i="1"/>
  <c r="L90" i="1"/>
  <c r="I90" i="1" s="1"/>
  <c r="P90" i="1"/>
  <c r="R90" i="1" s="1"/>
  <c r="S90" i="1" s="1"/>
  <c r="W90" i="1"/>
  <c r="X90" i="1"/>
  <c r="L91" i="1"/>
  <c r="I91" i="1" s="1"/>
  <c r="J91" i="1" s="1"/>
  <c r="M91" i="1"/>
  <c r="P91" i="1"/>
  <c r="R91" i="1"/>
  <c r="S91" i="1"/>
  <c r="W91" i="1"/>
  <c r="X91" i="1"/>
  <c r="M92" i="1"/>
  <c r="P92" i="1"/>
  <c r="R92" i="1" s="1"/>
  <c r="S92" i="1" s="1"/>
  <c r="X92" i="1"/>
  <c r="F94" i="1"/>
  <c r="L94" i="1"/>
  <c r="I94" i="1" s="1"/>
  <c r="J94" i="1" s="1"/>
  <c r="W94" i="1"/>
  <c r="X94" i="1"/>
  <c r="F95" i="1"/>
  <c r="M95" i="1"/>
  <c r="L95" i="1"/>
  <c r="I95" i="1" s="1"/>
  <c r="J95" i="1" s="1"/>
  <c r="P95" i="1"/>
  <c r="R95" i="1"/>
  <c r="S95" i="1"/>
  <c r="W95" i="1"/>
  <c r="X95" i="1"/>
  <c r="P96" i="1"/>
  <c r="R96" i="1" s="1"/>
  <c r="S96" i="1" s="1"/>
  <c r="X96" i="1"/>
  <c r="L97" i="1"/>
  <c r="I97" i="1" s="1"/>
  <c r="J97" i="1" s="1"/>
  <c r="M97" i="1"/>
  <c r="W97" i="1"/>
  <c r="P97" i="1"/>
  <c r="R97" i="1" s="1"/>
  <c r="S97" i="1"/>
  <c r="X97" i="1"/>
  <c r="I98" i="1"/>
  <c r="J98" i="1"/>
  <c r="L98" i="1"/>
  <c r="M98" i="1"/>
  <c r="P98" i="1"/>
  <c r="R98" i="1" s="1"/>
  <c r="S98" i="1" s="1"/>
  <c r="W98" i="1"/>
  <c r="X98" i="1"/>
  <c r="M99" i="1"/>
  <c r="L99" i="1"/>
  <c r="I99" i="1" s="1"/>
  <c r="J99" i="1" s="1"/>
  <c r="P99" i="1"/>
  <c r="R99" i="1"/>
  <c r="S99" i="1"/>
  <c r="W99" i="1"/>
  <c r="X99" i="1"/>
  <c r="P100" i="1"/>
  <c r="R100" i="1" s="1"/>
  <c r="S100" i="1" s="1"/>
  <c r="X100" i="1"/>
  <c r="W101" i="1"/>
  <c r="P101" i="1"/>
  <c r="R101" i="1" s="1"/>
  <c r="S101" i="1" s="1"/>
  <c r="M102" i="1"/>
  <c r="P102" i="1"/>
  <c r="R102" i="1" s="1"/>
  <c r="S102" i="1" s="1"/>
  <c r="W102" i="1"/>
  <c r="M103" i="1"/>
  <c r="P103" i="1"/>
  <c r="R103" i="1" s="1"/>
  <c r="S103" i="1" s="1"/>
  <c r="W103" i="1"/>
  <c r="X103" i="1"/>
  <c r="L104" i="1"/>
  <c r="I104" i="1" s="1"/>
  <c r="J104" i="1" s="1"/>
  <c r="X104" i="1"/>
  <c r="L105" i="1"/>
  <c r="I105" i="1" s="1"/>
  <c r="J105" i="1" s="1"/>
  <c r="W105" i="1"/>
  <c r="P105" i="1"/>
  <c r="R105" i="1" s="1"/>
  <c r="S105" i="1" s="1"/>
  <c r="X105" i="1"/>
  <c r="P106" i="1"/>
  <c r="M107" i="1"/>
  <c r="P107" i="1"/>
  <c r="R107" i="1"/>
  <c r="S107" i="1" s="1"/>
  <c r="W107" i="1"/>
  <c r="X107" i="1"/>
  <c r="X108" i="1"/>
  <c r="L109" i="1"/>
  <c r="I109" i="1" s="1"/>
  <c r="J109" i="1" s="1"/>
  <c r="M109" i="1"/>
  <c r="W109" i="1"/>
  <c r="P109" i="1"/>
  <c r="R109" i="1"/>
  <c r="S109" i="1" s="1"/>
  <c r="X109" i="1"/>
  <c r="L110" i="1"/>
  <c r="I110" i="1" s="1"/>
  <c r="J110" i="1" s="1"/>
  <c r="W110" i="1"/>
  <c r="X110" i="1"/>
  <c r="M112" i="1"/>
  <c r="P112" i="1"/>
  <c r="R112" i="1"/>
  <c r="S112" i="1" s="1"/>
  <c r="W112" i="1"/>
  <c r="X112" i="1"/>
  <c r="L113" i="1"/>
  <c r="I113" i="1" s="1"/>
  <c r="J113" i="1" s="1"/>
  <c r="X113" i="1"/>
  <c r="L114" i="1"/>
  <c r="I114" i="1" s="1"/>
  <c r="J114" i="1" s="1"/>
  <c r="W114" i="1"/>
  <c r="P114" i="1"/>
  <c r="R114" i="1" s="1"/>
  <c r="S114" i="1" s="1"/>
  <c r="X114" i="1"/>
  <c r="I116" i="1"/>
  <c r="J116" i="1" s="1"/>
  <c r="L116" i="1"/>
  <c r="M116" i="1"/>
  <c r="P116" i="1"/>
  <c r="R116" i="1" s="1"/>
  <c r="S116" i="1" s="1"/>
  <c r="W116" i="1"/>
  <c r="X116" i="1"/>
  <c r="M117" i="1"/>
  <c r="P117" i="1"/>
  <c r="R117" i="1"/>
  <c r="S117" i="1" s="1"/>
  <c r="W117" i="1"/>
  <c r="X117" i="1"/>
  <c r="L119" i="1"/>
  <c r="I119" i="1" s="1"/>
  <c r="J119" i="1" s="1"/>
  <c r="X119" i="1"/>
  <c r="L120" i="1"/>
  <c r="I120" i="1" s="1"/>
  <c r="J120" i="1" s="1"/>
  <c r="W120" i="1"/>
  <c r="P120" i="1"/>
  <c r="R120" i="1" s="1"/>
  <c r="S120" i="1" s="1"/>
  <c r="X120" i="1"/>
  <c r="I122" i="1"/>
  <c r="J122" i="1" s="1"/>
  <c r="L122" i="1"/>
  <c r="M122" i="1"/>
  <c r="P122" i="1"/>
  <c r="X122" i="1"/>
  <c r="M123" i="1"/>
  <c r="P123" i="1"/>
  <c r="W123" i="1" s="1"/>
  <c r="R123" i="1"/>
  <c r="S123" i="1" s="1"/>
  <c r="X123" i="1"/>
  <c r="L124" i="1"/>
  <c r="I124" i="1" s="1"/>
  <c r="J124" i="1" s="1"/>
  <c r="X124" i="1"/>
  <c r="L125" i="1"/>
  <c r="I125" i="1" s="1"/>
  <c r="J125" i="1" s="1"/>
  <c r="M125" i="1"/>
  <c r="P125" i="1"/>
  <c r="W125" i="1" s="1"/>
  <c r="X125" i="1"/>
  <c r="I126" i="1"/>
  <c r="J126" i="1" s="1"/>
  <c r="L126" i="1"/>
  <c r="M126" i="1"/>
  <c r="P126" i="1"/>
  <c r="R126" i="1" s="1"/>
  <c r="S126" i="1" s="1"/>
  <c r="W126" i="1"/>
  <c r="X126" i="1"/>
  <c r="I127" i="1"/>
  <c r="L128" i="1"/>
  <c r="I128" i="1" s="1"/>
  <c r="J128" i="1" s="1"/>
  <c r="P128" i="1"/>
  <c r="R128" i="1" s="1"/>
  <c r="S128" i="1" s="1"/>
  <c r="X128" i="1"/>
  <c r="N129" i="1"/>
  <c r="L129" i="1" s="1"/>
  <c r="I129" i="1" s="1"/>
  <c r="X129" i="1"/>
  <c r="L131" i="1"/>
  <c r="I131" i="1" s="1"/>
  <c r="J131" i="1" s="1"/>
  <c r="W131" i="1"/>
  <c r="P131" i="1"/>
  <c r="R131" i="1" s="1"/>
  <c r="S131" i="1" s="1"/>
  <c r="X131" i="1"/>
  <c r="I133" i="1"/>
  <c r="J133" i="1" s="1"/>
  <c r="L133" i="1"/>
  <c r="M133" i="1"/>
  <c r="P133" i="1"/>
  <c r="R133" i="1" s="1"/>
  <c r="S133" i="1" s="1"/>
  <c r="W133" i="1"/>
  <c r="X133" i="1"/>
  <c r="M134" i="1"/>
  <c r="L134" i="1"/>
  <c r="I134" i="1" s="1"/>
  <c r="J134" i="1" s="1"/>
  <c r="P134" i="1"/>
  <c r="R134" i="1"/>
  <c r="S134" i="1" s="1"/>
  <c r="W134" i="1"/>
  <c r="X134" i="1"/>
  <c r="L135" i="1"/>
  <c r="I135" i="1" s="1"/>
  <c r="J135" i="1" s="1"/>
  <c r="X135" i="1"/>
  <c r="L136" i="1"/>
  <c r="I136" i="1" s="1"/>
  <c r="J136" i="1" s="1"/>
  <c r="W136" i="1"/>
  <c r="P136" i="1"/>
  <c r="R136" i="1" s="1"/>
  <c r="S136" i="1" s="1"/>
  <c r="X136" i="1"/>
  <c r="I138" i="1"/>
  <c r="J138" i="1" s="1"/>
  <c r="L138" i="1"/>
  <c r="M138" i="1"/>
  <c r="P138" i="1"/>
  <c r="R138" i="1" s="1"/>
  <c r="S138" i="1" s="1"/>
  <c r="W138" i="1"/>
  <c r="X138" i="1"/>
  <c r="M139" i="1"/>
  <c r="L139" i="1"/>
  <c r="I139" i="1" s="1"/>
  <c r="J139" i="1" s="1"/>
  <c r="P139" i="1"/>
  <c r="R139" i="1"/>
  <c r="S139" i="1" s="1"/>
  <c r="W139" i="1"/>
  <c r="X139" i="1"/>
  <c r="R122" i="1" l="1"/>
  <c r="S122" i="1" s="1"/>
  <c r="W122" i="1"/>
  <c r="W135" i="1"/>
  <c r="R125" i="1"/>
  <c r="S125" i="1" s="1"/>
  <c r="L123" i="1"/>
  <c r="I123" i="1" s="1"/>
  <c r="J123" i="1" s="1"/>
  <c r="W119" i="1"/>
  <c r="L117" i="1"/>
  <c r="I117" i="1" s="1"/>
  <c r="J117" i="1" s="1"/>
  <c r="W113" i="1"/>
  <c r="L112" i="1"/>
  <c r="I112" i="1" s="1"/>
  <c r="J112" i="1" s="1"/>
  <c r="P110" i="1"/>
  <c r="R110" i="1" s="1"/>
  <c r="S110" i="1" s="1"/>
  <c r="L107" i="1"/>
  <c r="I107" i="1" s="1"/>
  <c r="J107" i="1" s="1"/>
  <c r="W104" i="1"/>
  <c r="L103" i="1"/>
  <c r="I103" i="1" s="1"/>
  <c r="J103" i="1" s="1"/>
  <c r="L102" i="1"/>
  <c r="I102" i="1" s="1"/>
  <c r="J102" i="1" s="1"/>
  <c r="L81" i="1"/>
  <c r="I81" i="1" s="1"/>
  <c r="J81" i="1" s="1"/>
  <c r="M81" i="1"/>
  <c r="P81" i="1"/>
  <c r="L79" i="1"/>
  <c r="I79" i="1" s="1"/>
  <c r="J79" i="1" s="1"/>
  <c r="M79" i="1"/>
  <c r="P79" i="1"/>
  <c r="L51" i="1"/>
  <c r="I51" i="1" s="1"/>
  <c r="J51" i="1" s="1"/>
  <c r="M51" i="1"/>
  <c r="P51" i="1"/>
  <c r="R51" i="1" s="1"/>
  <c r="S51" i="1" s="1"/>
  <c r="M104" i="1"/>
  <c r="W128" i="1"/>
  <c r="M96" i="1"/>
  <c r="W96" i="1"/>
  <c r="L96" i="1"/>
  <c r="I96" i="1" s="1"/>
  <c r="J96" i="1" s="1"/>
  <c r="L69" i="1"/>
  <c r="I69" i="1" s="1"/>
  <c r="J69" i="1" s="1"/>
  <c r="M69" i="1"/>
  <c r="P69" i="1"/>
  <c r="L66" i="1"/>
  <c r="I66" i="1" s="1"/>
  <c r="R66" i="1"/>
  <c r="S66" i="1" s="1"/>
  <c r="M63" i="1"/>
  <c r="P63" i="1"/>
  <c r="L18" i="1"/>
  <c r="I18" i="1" s="1"/>
  <c r="J18" i="1" s="1"/>
  <c r="M18" i="1"/>
  <c r="P18" i="1"/>
  <c r="R18" i="1" s="1"/>
  <c r="S18" i="1" s="1"/>
  <c r="M135" i="1"/>
  <c r="M110" i="1"/>
  <c r="L57" i="1"/>
  <c r="I57" i="1" s="1"/>
  <c r="J57" i="1" s="1"/>
  <c r="M57" i="1"/>
  <c r="P57" i="1"/>
  <c r="R57" i="1" s="1"/>
  <c r="S57" i="1" s="1"/>
  <c r="L37" i="1"/>
  <c r="I37" i="1" s="1"/>
  <c r="M37" i="1"/>
  <c r="P37" i="1"/>
  <c r="R37" i="1" s="1"/>
  <c r="S37" i="1" s="1"/>
  <c r="M119" i="1"/>
  <c r="M136" i="1"/>
  <c r="P135" i="1"/>
  <c r="R135" i="1" s="1"/>
  <c r="S135" i="1" s="1"/>
  <c r="M131" i="1"/>
  <c r="P129" i="1"/>
  <c r="P124" i="1"/>
  <c r="M120" i="1"/>
  <c r="P119" i="1"/>
  <c r="R119" i="1" s="1"/>
  <c r="S119" i="1" s="1"/>
  <c r="M114" i="1"/>
  <c r="P113" i="1"/>
  <c r="R113" i="1" s="1"/>
  <c r="S113" i="1" s="1"/>
  <c r="M105" i="1"/>
  <c r="P104" i="1"/>
  <c r="R104" i="1" s="1"/>
  <c r="S104" i="1" s="1"/>
  <c r="L77" i="1"/>
  <c r="I77" i="1" s="1"/>
  <c r="J77" i="1" s="1"/>
  <c r="M77" i="1"/>
  <c r="P77" i="1"/>
  <c r="L75" i="1"/>
  <c r="I75" i="1" s="1"/>
  <c r="J75" i="1" s="1"/>
  <c r="M75" i="1"/>
  <c r="P75" i="1"/>
  <c r="R62" i="1"/>
  <c r="S62" i="1" s="1"/>
  <c r="L62" i="1"/>
  <c r="I62" i="1" s="1"/>
  <c r="L33" i="1"/>
  <c r="I33" i="1" s="1"/>
  <c r="J33" i="1" s="1"/>
  <c r="M33" i="1"/>
  <c r="P33" i="1"/>
  <c r="R33" i="1" s="1"/>
  <c r="S33" i="1" s="1"/>
  <c r="M124" i="1"/>
  <c r="M113" i="1"/>
  <c r="W100" i="1"/>
  <c r="L100" i="1"/>
  <c r="I100" i="1" s="1"/>
  <c r="J100" i="1" s="1"/>
  <c r="L85" i="1"/>
  <c r="I85" i="1" s="1"/>
  <c r="J85" i="1" s="1"/>
  <c r="M85" i="1"/>
  <c r="P85" i="1"/>
  <c r="L83" i="1"/>
  <c r="I83" i="1" s="1"/>
  <c r="J83" i="1" s="1"/>
  <c r="M83" i="1"/>
  <c r="P83" i="1"/>
  <c r="L55" i="1"/>
  <c r="I55" i="1" s="1"/>
  <c r="J55" i="1" s="1"/>
  <c r="M55" i="1"/>
  <c r="P55" i="1"/>
  <c r="R55" i="1" s="1"/>
  <c r="S55" i="1" s="1"/>
  <c r="L53" i="1"/>
  <c r="I53" i="1" s="1"/>
  <c r="J53" i="1" s="1"/>
  <c r="M53" i="1"/>
  <c r="P53" i="1"/>
  <c r="R53" i="1" s="1"/>
  <c r="S53" i="1" s="1"/>
  <c r="L26" i="1"/>
  <c r="I26" i="1" s="1"/>
  <c r="J26" i="1" s="1"/>
  <c r="M26" i="1"/>
  <c r="P26" i="1"/>
  <c r="R26" i="1" s="1"/>
  <c r="S26" i="1" s="1"/>
  <c r="L24" i="1"/>
  <c r="I24" i="1" s="1"/>
  <c r="J24" i="1" s="1"/>
  <c r="M24" i="1"/>
  <c r="P24" i="1"/>
  <c r="R24" i="1" s="1"/>
  <c r="S24" i="1" s="1"/>
  <c r="M129" i="1"/>
  <c r="M128" i="1"/>
  <c r="M101" i="1"/>
  <c r="M100" i="1"/>
  <c r="L73" i="1"/>
  <c r="I73" i="1" s="1"/>
  <c r="J73" i="1" s="1"/>
  <c r="M73" i="1"/>
  <c r="P73" i="1"/>
  <c r="L71" i="1"/>
  <c r="I71" i="1" s="1"/>
  <c r="J71" i="1" s="1"/>
  <c r="M71" i="1"/>
  <c r="P71" i="1"/>
  <c r="L101" i="1"/>
  <c r="I101" i="1" s="1"/>
  <c r="J101" i="1" s="1"/>
  <c r="W81" i="1"/>
  <c r="W79" i="1"/>
  <c r="L60" i="1"/>
  <c r="I60" i="1" s="1"/>
  <c r="J60" i="1" s="1"/>
  <c r="M60" i="1"/>
  <c r="P60" i="1"/>
  <c r="R60" i="1" s="1"/>
  <c r="S60" i="1" s="1"/>
  <c r="L58" i="1"/>
  <c r="M58" i="1"/>
  <c r="P58" i="1"/>
  <c r="R58" i="1" s="1"/>
  <c r="S58" i="1" s="1"/>
  <c r="W51" i="1"/>
  <c r="L41" i="1"/>
  <c r="I41" i="1" s="1"/>
  <c r="M41" i="1"/>
  <c r="P41" i="1"/>
  <c r="R41" i="1" s="1"/>
  <c r="S41" i="1" s="1"/>
  <c r="L31" i="1"/>
  <c r="I31" i="1" s="1"/>
  <c r="J31" i="1" s="1"/>
  <c r="M31" i="1"/>
  <c r="P31" i="1"/>
  <c r="R31" i="1" s="1"/>
  <c r="S31" i="1" s="1"/>
  <c r="L29" i="1"/>
  <c r="I29" i="1" s="1"/>
  <c r="J29" i="1" s="1"/>
  <c r="M29" i="1"/>
  <c r="P29" i="1"/>
  <c r="R29" i="1" s="1"/>
  <c r="S29" i="1" s="1"/>
  <c r="L22" i="1"/>
  <c r="I22" i="1" s="1"/>
  <c r="J22" i="1" s="1"/>
  <c r="M22" i="1"/>
  <c r="P22" i="1"/>
  <c r="R22" i="1" s="1"/>
  <c r="S22" i="1" s="1"/>
  <c r="L20" i="1"/>
  <c r="I20" i="1" s="1"/>
  <c r="J20" i="1" s="1"/>
  <c r="M20" i="1"/>
  <c r="P20" i="1"/>
  <c r="R20" i="1" s="1"/>
  <c r="S20" i="1" s="1"/>
  <c r="W14" i="1"/>
  <c r="L14" i="1"/>
  <c r="I14" i="1" s="1"/>
  <c r="J14" i="1" s="1"/>
  <c r="M14" i="1"/>
  <c r="P14" i="1"/>
  <c r="R14" i="1" s="1"/>
  <c r="S14" i="1" s="1"/>
  <c r="L92" i="1"/>
  <c r="I92" i="1" s="1"/>
  <c r="J92" i="1" s="1"/>
  <c r="L88" i="1"/>
  <c r="I88" i="1" s="1"/>
  <c r="L36" i="1"/>
  <c r="I36" i="1" s="1"/>
  <c r="J36" i="1" s="1"/>
  <c r="M15" i="1"/>
  <c r="M11" i="1"/>
  <c r="P94" i="1"/>
  <c r="R94" i="1" s="1"/>
  <c r="S94" i="1" s="1"/>
  <c r="W92" i="1"/>
  <c r="W88" i="1"/>
  <c r="P84" i="1"/>
  <c r="P80" i="1"/>
  <c r="P76" i="1"/>
  <c r="P72" i="1"/>
  <c r="P65" i="1"/>
  <c r="R64" i="1"/>
  <c r="S64" i="1" s="1"/>
  <c r="W62" i="1"/>
  <c r="P59" i="1"/>
  <c r="R59" i="1" s="1"/>
  <c r="S59" i="1" s="1"/>
  <c r="P54" i="1"/>
  <c r="R54" i="1" s="1"/>
  <c r="S54" i="1" s="1"/>
  <c r="P50" i="1"/>
  <c r="R50" i="1" s="1"/>
  <c r="S50" i="1" s="1"/>
  <c r="L42" i="1"/>
  <c r="I42" i="1" s="1"/>
  <c r="P39" i="1"/>
  <c r="R39" i="1" s="1"/>
  <c r="S39" i="1" s="1"/>
  <c r="W36" i="1"/>
  <c r="L35" i="1"/>
  <c r="I35" i="1" s="1"/>
  <c r="J35" i="1" s="1"/>
  <c r="P30" i="1"/>
  <c r="R30" i="1" s="1"/>
  <c r="S30" i="1" s="1"/>
  <c r="P25" i="1"/>
  <c r="R25" i="1" s="1"/>
  <c r="S25" i="1" s="1"/>
  <c r="P21" i="1"/>
  <c r="R21" i="1" s="1"/>
  <c r="S21" i="1" s="1"/>
  <c r="P17" i="1"/>
  <c r="R17" i="1" s="1"/>
  <c r="S17" i="1" s="1"/>
  <c r="P13" i="1"/>
  <c r="R13" i="1" s="1"/>
  <c r="S13" i="1" s="1"/>
  <c r="W122" i="2"/>
  <c r="M94" i="1"/>
  <c r="M84" i="1"/>
  <c r="M80" i="1"/>
  <c r="M76" i="1"/>
  <c r="M72" i="1"/>
  <c r="M65" i="1"/>
  <c r="M59" i="1"/>
  <c r="M54" i="1"/>
  <c r="M50" i="1"/>
  <c r="W42" i="1"/>
  <c r="M39" i="1"/>
  <c r="W35" i="1"/>
  <c r="M30" i="1"/>
  <c r="W27" i="1"/>
  <c r="M25" i="1"/>
  <c r="M21" i="1"/>
  <c r="M17" i="1"/>
  <c r="P16" i="1"/>
  <c r="R16" i="1" s="1"/>
  <c r="S16" i="1" s="1"/>
  <c r="M13" i="1"/>
  <c r="P12" i="1"/>
  <c r="R12" i="1" s="1"/>
  <c r="S12" i="1" s="1"/>
  <c r="M16" i="1"/>
  <c r="M12" i="1"/>
  <c r="R118" i="2"/>
  <c r="S118" i="2" s="1"/>
  <c r="R79" i="2"/>
  <c r="S78" i="2"/>
  <c r="R71" i="2"/>
  <c r="S70" i="2"/>
  <c r="W136" i="3"/>
  <c r="W130" i="3"/>
  <c r="R125" i="3"/>
  <c r="S125" i="3" s="1"/>
  <c r="W116" i="3"/>
  <c r="P88" i="3"/>
  <c r="R88" i="3" s="1"/>
  <c r="S88" i="3" s="1"/>
  <c r="W88" i="3"/>
  <c r="M88" i="3"/>
  <c r="R79" i="3"/>
  <c r="S79" i="3"/>
  <c r="W122" i="3"/>
  <c r="W110" i="3"/>
  <c r="M101" i="3"/>
  <c r="P101" i="3"/>
  <c r="R101" i="3" s="1"/>
  <c r="S101" i="3" s="1"/>
  <c r="M97" i="3"/>
  <c r="P97" i="3"/>
  <c r="R97" i="3" s="1"/>
  <c r="S97" i="3" s="1"/>
  <c r="L91" i="3"/>
  <c r="I91" i="3" s="1"/>
  <c r="J91" i="3" s="1"/>
  <c r="M91" i="3"/>
  <c r="P91" i="3"/>
  <c r="R91" i="3" s="1"/>
  <c r="S91" i="3" s="1"/>
  <c r="S73" i="3"/>
  <c r="R73" i="3"/>
  <c r="S76" i="2"/>
  <c r="S68" i="2"/>
  <c r="L101" i="3"/>
  <c r="I101" i="3" s="1"/>
  <c r="J101" i="3" s="1"/>
  <c r="L97" i="3"/>
  <c r="I97" i="3" s="1"/>
  <c r="J97" i="3" s="1"/>
  <c r="S75" i="2"/>
  <c r="S67" i="2"/>
  <c r="M137" i="3"/>
  <c r="P136" i="3"/>
  <c r="R136" i="3" s="1"/>
  <c r="S136" i="3" s="1"/>
  <c r="M132" i="3"/>
  <c r="P130" i="3"/>
  <c r="R130" i="3" s="1"/>
  <c r="S130" i="3" s="1"/>
  <c r="M117" i="3"/>
  <c r="P116" i="3"/>
  <c r="R116" i="3" s="1"/>
  <c r="S116" i="3" s="1"/>
  <c r="M112" i="3"/>
  <c r="M98" i="3"/>
  <c r="P98" i="3"/>
  <c r="R98" i="3" s="1"/>
  <c r="S98" i="3" s="1"/>
  <c r="M89" i="3"/>
  <c r="P89" i="3"/>
  <c r="R89" i="3" s="1"/>
  <c r="S89" i="3" s="1"/>
  <c r="S86" i="3"/>
  <c r="P110" i="3"/>
  <c r="R110" i="3" s="1"/>
  <c r="S110" i="3" s="1"/>
  <c r="P92" i="3"/>
  <c r="R92" i="3" s="1"/>
  <c r="S92" i="3" s="1"/>
  <c r="W92" i="3"/>
  <c r="M92" i="3"/>
  <c r="W43" i="3"/>
  <c r="L43" i="3"/>
  <c r="I43" i="3" s="1"/>
  <c r="M43" i="3"/>
  <c r="P43" i="3"/>
  <c r="R43" i="3" s="1"/>
  <c r="S43" i="3" s="1"/>
  <c r="M103" i="3"/>
  <c r="P103" i="3"/>
  <c r="R103" i="3" s="1"/>
  <c r="S103" i="3" s="1"/>
  <c r="M99" i="3"/>
  <c r="P99" i="3"/>
  <c r="R99" i="3" s="1"/>
  <c r="S99" i="3" s="1"/>
  <c r="M95" i="3"/>
  <c r="P95" i="3"/>
  <c r="R95" i="3" s="1"/>
  <c r="S95" i="3" s="1"/>
  <c r="L92" i="3"/>
  <c r="I92" i="3" s="1"/>
  <c r="J92" i="3" s="1"/>
  <c r="R78" i="3"/>
  <c r="S78" i="3"/>
  <c r="W52" i="3"/>
  <c r="L52" i="3"/>
  <c r="I52" i="3" s="1"/>
  <c r="J52" i="3" s="1"/>
  <c r="M52" i="3"/>
  <c r="P52" i="3"/>
  <c r="R52" i="3" s="1"/>
  <c r="S52" i="3" s="1"/>
  <c r="S80" i="2"/>
  <c r="S72" i="2"/>
  <c r="M110" i="3"/>
  <c r="L103" i="3"/>
  <c r="I103" i="3" s="1"/>
  <c r="J103" i="3" s="1"/>
  <c r="L99" i="3"/>
  <c r="I99" i="3" s="1"/>
  <c r="J99" i="3" s="1"/>
  <c r="L95" i="3"/>
  <c r="I95" i="3" s="1"/>
  <c r="J95" i="3" s="1"/>
  <c r="S69" i="3"/>
  <c r="R69" i="3"/>
  <c r="W61" i="3"/>
  <c r="L61" i="3"/>
  <c r="I61" i="3" s="1"/>
  <c r="J61" i="3" s="1"/>
  <c r="M61" i="3"/>
  <c r="P61" i="3"/>
  <c r="R61" i="3" s="1"/>
  <c r="S61" i="3" s="1"/>
  <c r="M104" i="3"/>
  <c r="P104" i="3"/>
  <c r="R104" i="3" s="1"/>
  <c r="S104" i="3" s="1"/>
  <c r="W101" i="3"/>
  <c r="P100" i="3"/>
  <c r="R100" i="3" s="1"/>
  <c r="S100" i="3" s="1"/>
  <c r="M100" i="3"/>
  <c r="W97" i="3"/>
  <c r="P96" i="3"/>
  <c r="R96" i="3" s="1"/>
  <c r="S96" i="3" s="1"/>
  <c r="M96" i="3"/>
  <c r="W91" i="3"/>
  <c r="R83" i="3"/>
  <c r="S83" i="3"/>
  <c r="W56" i="3"/>
  <c r="L56" i="3"/>
  <c r="I56" i="3" s="1"/>
  <c r="J56" i="3" s="1"/>
  <c r="M56" i="3"/>
  <c r="P56" i="3"/>
  <c r="R56" i="3" s="1"/>
  <c r="S56" i="3" s="1"/>
  <c r="W32" i="3"/>
  <c r="L32" i="3"/>
  <c r="I32" i="3" s="1"/>
  <c r="J32" i="3" s="1"/>
  <c r="M32" i="3"/>
  <c r="P32" i="3"/>
  <c r="R32" i="3" s="1"/>
  <c r="S32" i="3" s="1"/>
  <c r="W28" i="3"/>
  <c r="L28" i="3"/>
  <c r="I28" i="3" s="1"/>
  <c r="J28" i="3" s="1"/>
  <c r="M28" i="3"/>
  <c r="P28" i="3"/>
  <c r="R28" i="3" s="1"/>
  <c r="S28" i="3" s="1"/>
  <c r="L83" i="3"/>
  <c r="I83" i="3" s="1"/>
  <c r="J83" i="3" s="1"/>
  <c r="L79" i="3"/>
  <c r="I79" i="3" s="1"/>
  <c r="J79" i="3" s="1"/>
  <c r="L75" i="3"/>
  <c r="I75" i="3" s="1"/>
  <c r="J75" i="3" s="1"/>
  <c r="L71" i="3"/>
  <c r="I71" i="3" s="1"/>
  <c r="J71" i="3" s="1"/>
  <c r="L64" i="3"/>
  <c r="I64" i="3" s="1"/>
  <c r="M63" i="3"/>
  <c r="M58" i="3"/>
  <c r="M57" i="3"/>
  <c r="M53" i="3"/>
  <c r="L38" i="3"/>
  <c r="I38" i="3" s="1"/>
  <c r="M37" i="3"/>
  <c r="M33" i="3"/>
  <c r="M29" i="3"/>
  <c r="L25" i="3"/>
  <c r="I25" i="3" s="1"/>
  <c r="J25" i="3" s="1"/>
  <c r="L21" i="3"/>
  <c r="I21" i="3" s="1"/>
  <c r="J21" i="3" s="1"/>
  <c r="L17" i="3"/>
  <c r="I17" i="3" s="1"/>
  <c r="J17" i="3" s="1"/>
  <c r="L13" i="3"/>
  <c r="I13" i="3" s="1"/>
  <c r="J13" i="3" s="1"/>
  <c r="P90" i="3"/>
  <c r="R90" i="3" s="1"/>
  <c r="S90" i="3" s="1"/>
  <c r="L86" i="3"/>
  <c r="I86" i="3" s="1"/>
  <c r="J86" i="3" s="1"/>
  <c r="L82" i="3"/>
  <c r="I82" i="3" s="1"/>
  <c r="J82" i="3" s="1"/>
  <c r="L78" i="3"/>
  <c r="I78" i="3" s="1"/>
  <c r="J78" i="3" s="1"/>
  <c r="L74" i="3"/>
  <c r="I74" i="3" s="1"/>
  <c r="J74" i="3" s="1"/>
  <c r="L70" i="3"/>
  <c r="I70" i="3" s="1"/>
  <c r="J70" i="3" s="1"/>
  <c r="R66" i="3"/>
  <c r="S66" i="3" s="1"/>
  <c r="L62" i="3"/>
  <c r="I62" i="3" s="1"/>
  <c r="P60" i="3"/>
  <c r="R60" i="3" s="1"/>
  <c r="S60" i="3" s="1"/>
  <c r="P55" i="3"/>
  <c r="R55" i="3" s="1"/>
  <c r="S55" i="3" s="1"/>
  <c r="P51" i="3"/>
  <c r="R51" i="3" s="1"/>
  <c r="S51" i="3" s="1"/>
  <c r="P41" i="3"/>
  <c r="R41" i="3" s="1"/>
  <c r="S41" i="3" s="1"/>
  <c r="L36" i="3"/>
  <c r="I36" i="3" s="1"/>
  <c r="J36" i="3" s="1"/>
  <c r="P31" i="3"/>
  <c r="R31" i="3" s="1"/>
  <c r="S31" i="3" s="1"/>
  <c r="P27" i="3"/>
  <c r="R27" i="3" s="1"/>
  <c r="S27" i="3" s="1"/>
  <c r="L24" i="3"/>
  <c r="I24" i="3" s="1"/>
  <c r="J24" i="3" s="1"/>
  <c r="L20" i="3"/>
  <c r="I20" i="3" s="1"/>
  <c r="J20" i="3" s="1"/>
  <c r="L16" i="3"/>
  <c r="I16" i="3" s="1"/>
  <c r="J16" i="3" s="1"/>
  <c r="L12" i="3"/>
  <c r="I12" i="3" s="1"/>
  <c r="J12" i="3" s="1"/>
  <c r="S75" i="3"/>
  <c r="S71" i="3"/>
  <c r="W63" i="3"/>
  <c r="W58" i="3"/>
  <c r="W57" i="3"/>
  <c r="W53" i="3"/>
  <c r="W37" i="3"/>
  <c r="W33" i="3"/>
  <c r="W29" i="3"/>
  <c r="M11" i="3"/>
  <c r="P65" i="3"/>
  <c r="P59" i="3"/>
  <c r="R59" i="3" s="1"/>
  <c r="S59" i="3" s="1"/>
  <c r="P54" i="3"/>
  <c r="R54" i="3" s="1"/>
  <c r="S54" i="3" s="1"/>
  <c r="P50" i="3"/>
  <c r="R50" i="3" s="1"/>
  <c r="S50" i="3" s="1"/>
  <c r="P39" i="3"/>
  <c r="R39" i="3" s="1"/>
  <c r="S39" i="3" s="1"/>
  <c r="P30" i="3"/>
  <c r="R30" i="3" s="1"/>
  <c r="S30" i="3" s="1"/>
  <c r="S74" i="3"/>
  <c r="S70" i="3"/>
  <c r="M59" i="3"/>
  <c r="M54" i="3"/>
  <c r="M50" i="3"/>
  <c r="R75" i="1" l="1"/>
  <c r="S75" i="1"/>
  <c r="R65" i="1"/>
  <c r="S65" i="1" s="1"/>
  <c r="L65" i="1"/>
  <c r="I65" i="1" s="1"/>
  <c r="R83" i="1"/>
  <c r="S83" i="1"/>
  <c r="R69" i="1"/>
  <c r="S69" i="1"/>
  <c r="S84" i="1"/>
  <c r="R84" i="1"/>
  <c r="S72" i="1"/>
  <c r="R72" i="1"/>
  <c r="L65" i="3"/>
  <c r="I65" i="3" s="1"/>
  <c r="R65" i="3"/>
  <c r="S65" i="3" s="1"/>
  <c r="S76" i="1"/>
  <c r="R76" i="1"/>
  <c r="R71" i="1"/>
  <c r="S71" i="1"/>
  <c r="R77" i="1"/>
  <c r="S77" i="1"/>
  <c r="S80" i="1"/>
  <c r="R80" i="1"/>
  <c r="R85" i="1"/>
  <c r="S85" i="1"/>
  <c r="R124" i="1"/>
  <c r="S124" i="1" s="1"/>
  <c r="W124" i="1"/>
  <c r="R79" i="1"/>
  <c r="S79" i="1"/>
  <c r="R129" i="1"/>
  <c r="S129" i="1" s="1"/>
  <c r="W129" i="1"/>
  <c r="L63" i="1"/>
  <c r="I63" i="1" s="1"/>
  <c r="R63" i="1"/>
  <c r="S63" i="1" s="1"/>
  <c r="R73" i="1"/>
  <c r="S73" i="1"/>
  <c r="R81" i="1"/>
  <c r="S81" i="1"/>
</calcChain>
</file>

<file path=xl/sharedStrings.xml><?xml version="1.0" encoding="utf-8"?>
<sst xmlns="http://schemas.openxmlformats.org/spreadsheetml/2006/main" count="1155" uniqueCount="179">
  <si>
    <t>LOMO DE ATUN EN ACEITE SWIFT 170g</t>
  </si>
  <si>
    <t>LOMO DE ATUN EN ACEITE</t>
  </si>
  <si>
    <t>OUTROS</t>
  </si>
  <si>
    <t>LOMO DE ATUN AL NATURAL SWIFT 170g</t>
  </si>
  <si>
    <t>LOMO DE ATUN AL NATURAL</t>
  </si>
  <si>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</si>
  <si>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</si>
  <si>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</si>
  <si>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</si>
  <si>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</si>
  <si>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</si>
  <si>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</si>
  <si>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</si>
  <si>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</si>
  <si>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</si>
  <si>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</si>
  <si>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</si>
  <si>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</si>
  <si>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</si>
  <si>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</si>
  <si>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</si>
  <si>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</si>
  <si>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</si>
  <si>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</si>
  <si>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</si>
  <si>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</si>
  <si>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</si>
  <si>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</si>
  <si>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</si>
  <si>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</si>
  <si>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</si>
  <si>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/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</si>
  <si>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</si>
  <si>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</si>
  <si>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</si>
  <si>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</si>
  <si>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</si>
  <si>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</si>
  <si>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</si>
  <si>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</si>
  <si>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</si>
  <si>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</si>
  <si>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</si>
  <si>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</si>
  <si>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</si>
  <si>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</si>
  <si>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</si>
  <si>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</si>
  <si>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</si>
  <si>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</si>
  <si>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POLLO "SWIFT" - 10x760g</t>
  </si>
  <si>
    <t>BOCADITOS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</si>
  <si>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</si>
  <si>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</si>
  <si>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</si>
  <si>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</si>
  <si>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</si>
  <si>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</si>
  <si>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</si>
  <si>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</si>
  <si>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</si>
  <si>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</si>
  <si>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</si>
  <si>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</si>
  <si>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</si>
  <si>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</si>
  <si>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</si>
  <si>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</si>
  <si>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</si>
  <si>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</si>
  <si>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</si>
  <si>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</si>
  <si>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</si>
  <si>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</si>
  <si>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</si>
  <si>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</si>
  <si>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</si>
  <si>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</si>
  <si>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</si>
  <si>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</si>
  <si>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</si>
  <si>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</si>
  <si>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</si>
  <si>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</si>
  <si>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</si>
  <si>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</si>
  <si>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</si>
  <si>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</si>
  <si>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</si>
  <si>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</si>
  <si>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</si>
  <si>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</si>
  <si>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</si>
  <si>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</si>
  <si>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</si>
  <si>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</si>
  <si>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</si>
  <si>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</si>
  <si>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</si>
  <si>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</si>
  <si>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</si>
  <si>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</si>
  <si>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</si>
  <si>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</si>
  <si>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</si>
  <si>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</si>
  <si>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</si>
  <si>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</si>
  <si>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</si>
  <si>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</si>
  <si>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</si>
  <si>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</si>
  <si>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</si>
  <si>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</si>
  <si>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</si>
  <si>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</si>
  <si>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</si>
  <si>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</si>
  <si>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</si>
  <si>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</si>
  <si>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</si>
  <si>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</si>
  <si>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</si>
  <si>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</si>
  <si>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</si>
  <si>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</si>
  <si>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</si>
  <si>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</si>
  <si>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</si>
  <si>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</si>
  <si>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</si>
  <si>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</si>
  <si>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</si>
  <si>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</si>
  <si>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 CLASICA SWIFT 125g</t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</si>
  <si>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</si>
  <si>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</si>
  <si>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</si>
  <si>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</si>
  <si>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</si>
  <si>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</si>
  <si>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</si>
  <si>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</si>
  <si>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</si>
  <si>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</si>
  <si>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</si>
  <si>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</si>
  <si>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</si>
  <si>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</si>
  <si>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</si>
  <si>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</si>
  <si>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</si>
  <si>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</si>
  <si>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</si>
  <si>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</si>
  <si>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</si>
  <si>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</si>
  <si>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</si>
  <si>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</si>
  <si>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Publico regular  c/IVA</t>
  </si>
  <si>
    <t>Cant. X Caja</t>
  </si>
  <si>
    <t>Kg. x Caja</t>
  </si>
  <si>
    <t>EAN</t>
  </si>
  <si>
    <t>Descripción</t>
  </si>
  <si>
    <t>Código</t>
  </si>
  <si>
    <t>Familia</t>
  </si>
  <si>
    <t>Clase</t>
  </si>
  <si>
    <t>Pajarito</t>
  </si>
  <si>
    <t>Canal</t>
  </si>
  <si>
    <t>N° Lista</t>
  </si>
  <si>
    <t>Cadena</t>
  </si>
  <si>
    <t>Código Cliente</t>
  </si>
  <si>
    <t>Fecha</t>
  </si>
  <si>
    <t>Arquitectura de precios</t>
  </si>
  <si>
    <t>Cadenas regionales</t>
  </si>
  <si>
    <t>Alberdi</t>
  </si>
  <si>
    <t>BONDIOLA DE CERDO CONGELADA</t>
  </si>
  <si>
    <t>Supermercados Interior</t>
  </si>
  <si>
    <t>ALMACOR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</si>
</sst>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#,##0.000_ ;[Red]\-#,##0.000\ "/>
  </numFmts>
  <fonts count="21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</font>
    <font>
      <sz val="10"/>
      <color theme="2" tint="-0.499984740745262"/>
      <name val="Calibri"/>
      <family val="2"/>
      <scheme val="minor"/>
    </font>
    <font>
      <sz val="10"/>
      <name val="Calibri"/>
      <family val="2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9"/>
      <color rgb="FF00B050"/>
      <name val="Calibri"/>
      <family val="2"/>
    </font>
    <font>
      <sz val="10"/>
      <color theme="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9"/>
      <color rgb="FFFFFFFF"/>
      <name val="Calibri"/>
      <family val="2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9CC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</cellStyleXfs>
  <cellXfs count="128">
    <xf numFmtId="0" fontId="0" fillId="0" borderId="0" xfId="0"/>
    <xf numFmtId="0" fontId="2" fillId="0" borderId="0" xfId="4" applyFont="1"/>
    <xf numFmtId="164" fontId="1" fillId="0" borderId="0" xfId="3" applyNumberFormat="1"/>
    <xf numFmtId="164" fontId="2" fillId="0" borderId="0" xfId="4" applyNumberFormat="1" applyFont="1"/>
    <xf numFmtId="0" fontId="3" fillId="0" borderId="0" xfId="4" applyFont="1"/>
    <xf numFmtId="9" fontId="2" fillId="0" borderId="0" xfId="3" applyFont="1"/>
    <xf numFmtId="0" fontId="4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4" fontId="5" fillId="0" borderId="0" xfId="4" applyNumberFormat="1" applyFont="1"/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0" fontId="0" fillId="0" borderId="0" xfId="0" applyFill="1"/>
    <xf numFmtId="8" fontId="0" fillId="0" borderId="0" xfId="3" applyNumberFormat="1" applyFont="1" applyFill="1"/>
    <xf numFmtId="165" fontId="7" fillId="0" borderId="1" xfId="5" applyNumberFormat="1" applyFont="1" applyBorder="1" applyAlignment="1">
      <alignment horizontal="center"/>
    </xf>
    <xf numFmtId="164" fontId="7" fillId="0" borderId="1" xfId="3" applyNumberFormat="1" applyFont="1" applyFill="1" applyBorder="1" applyAlignment="1">
      <alignment horizontal="center"/>
    </xf>
    <xf numFmtId="165" fontId="8" fillId="0" borderId="2" xfId="5" applyNumberFormat="1" applyFont="1" applyBorder="1" applyAlignment="1">
      <alignment horizontal="center"/>
    </xf>
    <xf numFmtId="9" fontId="9" fillId="0" borderId="0" xfId="3" applyFont="1" applyFill="1"/>
    <xf numFmtId="166" fontId="7" fillId="0" borderId="1" xfId="5" applyNumberFormat="1" applyFont="1" applyBorder="1" applyAlignment="1">
      <alignment horizontal="center"/>
    </xf>
    <xf numFmtId="167" fontId="7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/>
    </xf>
    <xf numFmtId="0" fontId="10" fillId="0" borderId="1" xfId="5" applyFont="1" applyBorder="1" applyAlignment="1">
      <alignment horizontal="left"/>
    </xf>
    <xf numFmtId="0" fontId="10" fillId="0" borderId="1" xfId="5" applyFont="1" applyBorder="1" applyAlignment="1">
      <alignment horizontal="center"/>
    </xf>
    <xf numFmtId="0" fontId="11" fillId="0" borderId="1" xfId="5" applyFont="1" applyBorder="1" applyAlignment="1">
      <alignment horizontal="left"/>
    </xf>
    <xf numFmtId="0" fontId="7" fillId="2" borderId="3" xfId="5" applyFont="1" applyFill="1" applyBorder="1" applyAlignment="1" applyProtection="1">
      <alignment vertical="center"/>
      <protection hidden="1"/>
    </xf>
    <xf numFmtId="10" fontId="7" fillId="2" borderId="4" xfId="3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8" fontId="0" fillId="0" borderId="0" xfId="1" applyNumberFormat="1" applyFont="1" applyFill="1"/>
    <xf numFmtId="164" fontId="7" fillId="2" borderId="4" xfId="5" applyNumberFormat="1" applyFont="1" applyFill="1" applyBorder="1" applyAlignment="1" applyProtection="1">
      <alignment vertical="center"/>
      <protection hidden="1"/>
    </xf>
    <xf numFmtId="0" fontId="8" fillId="2" borderId="4" xfId="5" applyFont="1" applyFill="1" applyBorder="1" applyAlignment="1" applyProtection="1">
      <alignment vertical="center"/>
      <protection hidden="1"/>
    </xf>
    <xf numFmtId="0" fontId="7" fillId="2" borderId="5" xfId="5" applyFont="1" applyFill="1" applyBorder="1" applyAlignment="1" applyProtection="1">
      <alignment vertical="center"/>
      <protection hidden="1"/>
    </xf>
    <xf numFmtId="0" fontId="12" fillId="2" borderId="3" xfId="5" applyFont="1" applyFill="1" applyBorder="1" applyAlignment="1" applyProtection="1">
      <alignment vertical="center"/>
      <protection hidden="1"/>
    </xf>
    <xf numFmtId="166" fontId="7" fillId="2" borderId="3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horizontal="center" vertical="center"/>
      <protection hidden="1"/>
    </xf>
    <xf numFmtId="0" fontId="7" fillId="2" borderId="4" xfId="5" applyFont="1" applyFill="1" applyBorder="1" applyAlignment="1" applyProtection="1">
      <alignment horizontal="left" vertical="center"/>
      <protection hidden="1"/>
    </xf>
    <xf numFmtId="0" fontId="7" fillId="2" borderId="5" xfId="5" applyFont="1" applyFill="1" applyBorder="1" applyAlignment="1" applyProtection="1">
      <alignment horizontal="left" vertical="center"/>
      <protection hidden="1"/>
    </xf>
    <xf numFmtId="0" fontId="1" fillId="0" borderId="0" xfId="4"/>
    <xf numFmtId="9" fontId="0" fillId="0" borderId="0" xfId="3" applyFont="1" applyFill="1"/>
    <xf numFmtId="165" fontId="13" fillId="0" borderId="2" xfId="5" applyNumberFormat="1" applyFont="1" applyBorder="1" applyAlignment="1">
      <alignment horizontal="center"/>
    </xf>
    <xf numFmtId="169" fontId="0" fillId="0" borderId="0" xfId="1" applyFont="1" applyFill="1"/>
    <xf numFmtId="9" fontId="14" fillId="0" borderId="0" xfId="3" applyFont="1" applyFill="1"/>
    <xf numFmtId="1" fontId="10" fillId="0" borderId="6" xfId="5" applyNumberFormat="1" applyFont="1" applyBorder="1" applyAlignment="1">
      <alignment horizontal="left"/>
    </xf>
    <xf numFmtId="0" fontId="11" fillId="0" borderId="1" xfId="5" applyFont="1" applyBorder="1" applyAlignment="1">
      <alignment horizontal="center"/>
    </xf>
    <xf numFmtId="164" fontId="7" fillId="2" borderId="4" xfId="3" applyNumberFormat="1" applyFont="1" applyFill="1" applyBorder="1" applyAlignment="1" applyProtection="1">
      <alignment vertical="center"/>
      <protection hidden="1"/>
    </xf>
    <xf numFmtId="0" fontId="13" fillId="3" borderId="4" xfId="5" applyFont="1" applyFill="1" applyBorder="1" applyAlignment="1" applyProtection="1">
      <alignment vertical="center"/>
      <protection hidden="1"/>
    </xf>
    <xf numFmtId="9" fontId="14" fillId="0" borderId="0" xfId="3" applyFont="1"/>
    <xf numFmtId="166" fontId="6" fillId="0" borderId="1" xfId="5" applyNumberFormat="1" applyFont="1" applyBorder="1" applyAlignment="1">
      <alignment horizontal="center"/>
    </xf>
    <xf numFmtId="1" fontId="11" fillId="0" borderId="1" xfId="5" applyNumberFormat="1" applyFont="1" applyBorder="1" applyAlignment="1">
      <alignment horizontal="center"/>
    </xf>
    <xf numFmtId="170" fontId="7" fillId="0" borderId="1" xfId="5" applyNumberFormat="1" applyFont="1" applyBorder="1" applyAlignment="1">
      <alignment horizontal="center"/>
    </xf>
    <xf numFmtId="10" fontId="2" fillId="0" borderId="0" xfId="3" applyNumberFormat="1" applyFont="1"/>
    <xf numFmtId="165" fontId="7" fillId="0" borderId="3" xfId="5" applyNumberFormat="1" applyFont="1" applyBorder="1" applyAlignment="1">
      <alignment horizontal="center"/>
    </xf>
    <xf numFmtId="164" fontId="7" fillId="0" borderId="4" xfId="3" applyNumberFormat="1" applyFont="1" applyFill="1" applyBorder="1" applyAlignment="1">
      <alignment horizontal="center"/>
    </xf>
    <xf numFmtId="165" fontId="7" fillId="0" borderId="4" xfId="5" applyNumberFormat="1" applyFont="1" applyBorder="1" applyAlignment="1">
      <alignment horizontal="center"/>
    </xf>
    <xf numFmtId="165" fontId="7" fillId="0" borderId="7" xfId="5" applyNumberFormat="1" applyFont="1" applyBorder="1" applyAlignment="1">
      <alignment horizontal="center"/>
    </xf>
    <xf numFmtId="165" fontId="13" fillId="0" borderId="7" xfId="5" applyNumberFormat="1" applyFont="1" applyBorder="1" applyAlignment="1">
      <alignment horizontal="center"/>
    </xf>
    <xf numFmtId="165" fontId="7" fillId="0" borderId="5" xfId="5" applyNumberFormat="1" applyFont="1" applyBorder="1" applyAlignment="1">
      <alignment horizontal="center"/>
    </xf>
    <xf numFmtId="166" fontId="7" fillId="0" borderId="3" xfId="5" applyNumberFormat="1" applyFont="1" applyBorder="1" applyAlignment="1">
      <alignment horizontal="center"/>
    </xf>
    <xf numFmtId="1" fontId="11" fillId="0" borderId="4" xfId="5" applyNumberFormat="1" applyFont="1" applyBorder="1" applyAlignment="1">
      <alignment horizontal="center"/>
    </xf>
    <xf numFmtId="0" fontId="11" fillId="0" borderId="4" xfId="5" applyFont="1" applyBorder="1" applyAlignment="1">
      <alignment horizontal="left"/>
    </xf>
    <xf numFmtId="0" fontId="11" fillId="0" borderId="4" xfId="5" applyFont="1" applyBorder="1" applyAlignment="1">
      <alignment horizontal="center"/>
    </xf>
    <xf numFmtId="0" fontId="10" fillId="0" borderId="4" xfId="5" applyFont="1" applyBorder="1" applyAlignment="1">
      <alignment horizontal="left"/>
    </xf>
    <xf numFmtId="0" fontId="10" fillId="0" borderId="5" xfId="5" applyFont="1" applyBorder="1" applyAlignment="1">
      <alignment horizontal="left"/>
    </xf>
    <xf numFmtId="169" fontId="7" fillId="0" borderId="1" xfId="1" applyFont="1" applyFill="1" applyBorder="1" applyAlignment="1">
      <alignment horizontal="center"/>
    </xf>
    <xf numFmtId="164" fontId="7" fillId="0" borderId="2" xfId="3" applyNumberFormat="1" applyFont="1" applyFill="1" applyBorder="1" applyAlignment="1">
      <alignment horizontal="center"/>
    </xf>
    <xf numFmtId="1" fontId="11" fillId="0" borderId="1" xfId="6" applyNumberFormat="1" applyFont="1" applyFill="1" applyBorder="1" applyAlignment="1">
      <alignment horizontal="center"/>
    </xf>
    <xf numFmtId="0" fontId="11" fillId="0" borderId="1" xfId="6" applyFont="1" applyFill="1" applyBorder="1"/>
    <xf numFmtId="0" fontId="11" fillId="0" borderId="1" xfId="6" applyFont="1" applyFill="1" applyBorder="1" applyAlignment="1">
      <alignment horizontal="center"/>
    </xf>
    <xf numFmtId="166" fontId="7" fillId="0" borderId="1" xfId="7" applyNumberFormat="1" applyFont="1" applyBorder="1" applyAlignment="1">
      <alignment horizontal="center"/>
    </xf>
    <xf numFmtId="165" fontId="7" fillId="0" borderId="1" xfId="7" applyNumberFormat="1" applyFont="1" applyBorder="1" applyAlignment="1">
      <alignment horizontal="center"/>
    </xf>
    <xf numFmtId="0" fontId="11" fillId="0" borderId="1" xfId="6" applyFont="1" applyBorder="1"/>
    <xf numFmtId="1" fontId="11" fillId="0" borderId="1" xfId="7" applyNumberFormat="1" applyFont="1" applyBorder="1" applyAlignment="1">
      <alignment horizontal="center"/>
    </xf>
    <xf numFmtId="165" fontId="7" fillId="4" borderId="1" xfId="5" applyNumberFormat="1" applyFont="1" applyFill="1" applyBorder="1" applyAlignment="1">
      <alignment horizontal="center"/>
    </xf>
    <xf numFmtId="164" fontId="7" fillId="4" borderId="1" xfId="3" applyNumberFormat="1" applyFont="1" applyFill="1" applyBorder="1" applyAlignment="1">
      <alignment horizontal="center"/>
    </xf>
    <xf numFmtId="165" fontId="7" fillId="4" borderId="2" xfId="5" applyNumberFormat="1" applyFont="1" applyFill="1" applyBorder="1" applyAlignment="1">
      <alignment horizontal="center"/>
    </xf>
    <xf numFmtId="0" fontId="2" fillId="4" borderId="0" xfId="4" applyFont="1" applyFill="1"/>
    <xf numFmtId="164" fontId="7" fillId="4" borderId="2" xfId="3" applyNumberFormat="1" applyFont="1" applyFill="1" applyBorder="1" applyAlignment="1">
      <alignment horizontal="center"/>
    </xf>
    <xf numFmtId="9" fontId="14" fillId="4" borderId="0" xfId="3" applyFont="1" applyFill="1"/>
    <xf numFmtId="166" fontId="7" fillId="4" borderId="1" xfId="7" applyNumberFormat="1" applyFont="1" applyFill="1" applyBorder="1" applyAlignment="1">
      <alignment horizontal="center"/>
    </xf>
    <xf numFmtId="165" fontId="7" fillId="4" borderId="1" xfId="7" applyNumberFormat="1" applyFont="1" applyFill="1" applyBorder="1" applyAlignment="1">
      <alignment horizontal="center"/>
    </xf>
    <xf numFmtId="1" fontId="11" fillId="4" borderId="1" xfId="7" applyNumberFormat="1" applyFont="1" applyFill="1" applyBorder="1" applyAlignment="1">
      <alignment horizontal="center"/>
    </xf>
    <xf numFmtId="0" fontId="11" fillId="4" borderId="1" xfId="5" applyFont="1" applyFill="1" applyBorder="1" applyAlignment="1">
      <alignment horizontal="left"/>
    </xf>
    <xf numFmtId="0" fontId="11" fillId="4" borderId="1" xfId="5" applyFont="1" applyFill="1" applyBorder="1" applyAlignment="1">
      <alignment horizontal="center"/>
    </xf>
    <xf numFmtId="1" fontId="11" fillId="0" borderId="1" xfId="6" applyNumberFormat="1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0" fontId="15" fillId="0" borderId="0" xfId="4" applyFont="1"/>
    <xf numFmtId="169" fontId="7" fillId="0" borderId="2" xfId="1" applyFont="1" applyFill="1" applyBorder="1" applyAlignment="1">
      <alignment horizontal="center"/>
    </xf>
    <xf numFmtId="16" fontId="7" fillId="2" borderId="5" xfId="5" applyNumberFormat="1" applyFont="1" applyFill="1" applyBorder="1" applyAlignment="1" applyProtection="1">
      <alignment vertical="center"/>
      <protection hidden="1"/>
    </xf>
    <xf numFmtId="0" fontId="6" fillId="3" borderId="4" xfId="5" applyFont="1" applyFill="1" applyBorder="1" applyAlignment="1" applyProtection="1">
      <alignment vertical="center"/>
      <protection hidden="1"/>
    </xf>
    <xf numFmtId="0" fontId="16" fillId="5" borderId="8" xfId="5" applyFont="1" applyFill="1" applyBorder="1" applyAlignment="1">
      <alignment horizontal="center" vertical="distributed"/>
    </xf>
    <xf numFmtId="164" fontId="16" fillId="5" borderId="8" xfId="3" applyNumberFormat="1" applyFont="1" applyFill="1" applyBorder="1" applyAlignment="1">
      <alignment horizontal="center" vertical="distributed"/>
    </xf>
    <xf numFmtId="0" fontId="16" fillId="5" borderId="8" xfId="5" applyFont="1" applyFill="1" applyBorder="1" applyAlignment="1">
      <alignment horizontal="center" vertical="center" wrapText="1"/>
    </xf>
    <xf numFmtId="164" fontId="16" fillId="5" borderId="8" xfId="5" applyNumberFormat="1" applyFont="1" applyFill="1" applyBorder="1" applyAlignment="1">
      <alignment horizontal="center" vertical="center" wrapText="1"/>
    </xf>
    <xf numFmtId="0" fontId="17" fillId="6" borderId="8" xfId="5" applyFont="1" applyFill="1" applyBorder="1" applyAlignment="1">
      <alignment horizontal="center" vertical="center" wrapText="1"/>
    </xf>
    <xf numFmtId="9" fontId="2" fillId="0" borderId="0" xfId="3" applyFont="1" applyAlignment="1">
      <alignment horizontal="center"/>
    </xf>
    <xf numFmtId="0" fontId="16" fillId="5" borderId="1" xfId="5" applyFont="1" applyFill="1" applyBorder="1" applyAlignment="1">
      <alignment horizontal="center" vertical="distributed"/>
    </xf>
    <xf numFmtId="0" fontId="16" fillId="5" borderId="1" xfId="5" applyFont="1" applyFill="1" applyBorder="1" applyAlignment="1">
      <alignment horizontal="center" vertical="center"/>
    </xf>
    <xf numFmtId="9" fontId="11" fillId="0" borderId="0" xfId="5" applyNumberFormat="1" applyFont="1" applyAlignment="1">
      <alignment horizontal="center"/>
    </xf>
    <xf numFmtId="0" fontId="11" fillId="0" borderId="0" xfId="5" applyFont="1" applyAlignment="1">
      <alignment horizontal="left"/>
    </xf>
    <xf numFmtId="0" fontId="11" fillId="0" borderId="0" xfId="5" applyFont="1" applyAlignment="1">
      <alignment horizontal="center"/>
    </xf>
    <xf numFmtId="0" fontId="16" fillId="5" borderId="1" xfId="5" applyFont="1" applyFill="1" applyBorder="1" applyAlignment="1">
      <alignment horizontal="left" vertical="center"/>
    </xf>
    <xf numFmtId="164" fontId="2" fillId="0" borderId="0" xfId="3" applyNumberFormat="1" applyFont="1"/>
    <xf numFmtId="1" fontId="19" fillId="0" borderId="3" xfId="3" applyNumberFormat="1" applyFont="1" applyBorder="1" applyAlignment="1"/>
    <xf numFmtId="1" fontId="19" fillId="0" borderId="5" xfId="3" applyNumberFormat="1" applyFont="1" applyBorder="1" applyAlignment="1">
      <alignment horizontal="left"/>
    </xf>
    <xf numFmtId="0" fontId="11" fillId="0" borderId="3" xfId="5" applyFont="1" applyBorder="1" applyAlignment="1">
      <alignment horizontal="center"/>
    </xf>
    <xf numFmtId="0" fontId="11" fillId="0" borderId="5" xfId="4" applyFont="1" applyBorder="1" applyAlignment="1">
      <alignment horizontal="left"/>
    </xf>
    <xf numFmtId="165" fontId="2" fillId="0" borderId="0" xfId="4" applyNumberFormat="1" applyFont="1"/>
    <xf numFmtId="165" fontId="0" fillId="0" borderId="0" xfId="0" applyNumberFormat="1"/>
    <xf numFmtId="164" fontId="7" fillId="7" borderId="1" xfId="3" applyNumberFormat="1" applyFont="1" applyFill="1" applyBorder="1" applyAlignment="1">
      <alignment horizontal="center"/>
    </xf>
    <xf numFmtId="165" fontId="7" fillId="7" borderId="1" xfId="5" applyNumberFormat="1" applyFont="1" applyFill="1" applyBorder="1" applyAlignment="1">
      <alignment horizontal="center"/>
    </xf>
    <xf numFmtId="0" fontId="2" fillId="7" borderId="0" xfId="4" applyFont="1" applyFill="1"/>
    <xf numFmtId="164" fontId="7" fillId="7" borderId="2" xfId="3" applyNumberFormat="1" applyFont="1" applyFill="1" applyBorder="1" applyAlignment="1">
      <alignment horizontal="center"/>
    </xf>
    <xf numFmtId="9" fontId="14" fillId="7" borderId="0" xfId="3" applyFont="1" applyFill="1"/>
    <xf numFmtId="166" fontId="7" fillId="7" borderId="1" xfId="5" applyNumberFormat="1" applyFont="1" applyFill="1" applyBorder="1" applyAlignment="1">
      <alignment horizontal="center"/>
    </xf>
    <xf numFmtId="1" fontId="11" fillId="7" borderId="1" xfId="5" applyNumberFormat="1" applyFont="1" applyFill="1" applyBorder="1" applyAlignment="1">
      <alignment horizontal="center"/>
    </xf>
    <xf numFmtId="0" fontId="11" fillId="7" borderId="1" xfId="5" applyFont="1" applyFill="1" applyBorder="1" applyAlignment="1">
      <alignment horizontal="left"/>
    </xf>
    <xf numFmtId="0" fontId="11" fillId="7" borderId="1" xfId="5" applyFont="1" applyFill="1" applyBorder="1" applyAlignment="1">
      <alignment horizontal="center"/>
    </xf>
    <xf numFmtId="0" fontId="10" fillId="7" borderId="1" xfId="5" applyFont="1" applyFill="1" applyBorder="1" applyAlignment="1">
      <alignment horizontal="left"/>
    </xf>
    <xf numFmtId="0" fontId="11" fillId="0" borderId="1" xfId="0" applyFont="1" applyBorder="1"/>
    <xf numFmtId="1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20" fillId="5" borderId="0" xfId="5" applyFont="1" applyFill="1" applyAlignment="1">
      <alignment horizontal="center" vertical="center"/>
    </xf>
    <xf numFmtId="14" fontId="11" fillId="0" borderId="5" xfId="5" applyNumberFormat="1" applyFont="1" applyBorder="1" applyAlignment="1">
      <alignment horizontal="center"/>
    </xf>
    <xf numFmtId="14" fontId="11" fillId="0" borderId="3" xfId="5" applyNumberFormat="1" applyFont="1" applyBorder="1" applyAlignment="1">
      <alignment horizontal="center"/>
    </xf>
    <xf numFmtId="9" fontId="18" fillId="0" borderId="10" xfId="3" applyFont="1" applyBorder="1" applyAlignment="1">
      <alignment horizontal="center"/>
    </xf>
    <xf numFmtId="9" fontId="18" fillId="0" borderId="9" xfId="3" applyFont="1" applyBorder="1" applyAlignment="1">
      <alignment horizontal="center"/>
    </xf>
  </cellXfs>
  <cellStyles count="8">
    <cellStyle name="Millares" xfId="1" builtinId="3"/>
    <cellStyle name="Moneda" xfId="2" builtinId="4"/>
    <cellStyle name="Normal" xfId="0" builtinId="0"/>
    <cellStyle name="Normal 3" xfId="6" xr:uid="{CB56061D-EF11-4240-A68D-1659F71FBDEF}"/>
    <cellStyle name="Normal_ARQUITECTURA DE PRECIOS 1 0" xfId="5" xr:uid="{EE60375C-126B-410F-B921-330997FD5D64}"/>
    <cellStyle name="Normal_ARQUITECTURA DE PRECIOS 1 0 2" xfId="7" xr:uid="{FEE8402E-A1D3-4F1C-9303-B7A8B87D17E4}"/>
    <cellStyle name="Normal_Precio públicos al 01-03" xfId="4" xr:uid="{EC10F60B-83F1-4351-94C3-6DCDF01378BA}"/>
    <cellStyle name="Porcentaje" xfId="3" builtinId="5"/>
  </cellStyles>
  <dxfs count="50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5634-5B11-4DC6-B95A-3D1B2D216FA4}">
  <sheetPr>
    <tabColor rgb="FF00B050"/>
    <pageSetUpPr fitToPage="1"/>
  </sheetPr>
  <dimension ref="A1:AY198"/>
  <sheetViews>
    <sheetView showGridLines="0" tabSelected="1" topLeftCell="B1" zoomScale="80" zoomScaleNormal="80" workbookViewId="0">
      <selection activeCell="I5" sqref="I5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8.42578125" style="1" customWidth="1"/>
    <col min="10" max="10" width="6.28515625" style="6" customWidth="1"/>
    <col min="11" max="11" width="4.7109375" style="5" customWidth="1"/>
    <col min="12" max="12" width="7.7109375" style="1" customWidth="1"/>
    <col min="13" max="13" width="9.28515625" style="1" customWidth="1"/>
    <col min="14" max="14" width="13.140625" style="4" bestFit="1" customWidth="1"/>
    <col min="15" max="15" width="7" style="3" customWidth="1"/>
    <col min="16" max="16" width="8.28515625" style="1" customWidth="1"/>
    <col min="17" max="17" width="6.140625" style="3" customWidth="1"/>
    <col min="18" max="18" width="8.140625" style="1" customWidth="1"/>
    <col min="19" max="19" width="8.42578125" style="1" customWidth="1"/>
    <col min="20" max="20" width="1.140625" style="1" customWidth="1"/>
    <col min="21" max="21" width="7.85546875" style="1" customWidth="1"/>
    <col min="22" max="22" width="9.28515625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23" t="s">
        <v>173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24" ht="11.25" customHeight="1" x14ac:dyDescent="0.2">
      <c r="A2" s="99"/>
      <c r="B2" s="99"/>
      <c r="C2" s="100"/>
      <c r="I2"/>
      <c r="J2"/>
      <c r="K2"/>
      <c r="L2"/>
      <c r="M2"/>
      <c r="N2"/>
      <c r="O2"/>
      <c r="P2"/>
      <c r="Q2"/>
      <c r="R2"/>
      <c r="S2"/>
    </row>
    <row r="3" spans="1:24" x14ac:dyDescent="0.2">
      <c r="A3" s="101" t="s">
        <v>172</v>
      </c>
      <c r="B3" s="124">
        <f ca="1">++TODAY()</f>
        <v>46045</v>
      </c>
      <c r="C3" s="125"/>
      <c r="I3"/>
      <c r="J3"/>
      <c r="K3"/>
      <c r="L3"/>
      <c r="M3"/>
      <c r="N3"/>
      <c r="O3"/>
      <c r="P3"/>
      <c r="Q3"/>
      <c r="R3"/>
      <c r="S3"/>
    </row>
    <row r="4" spans="1:24" x14ac:dyDescent="0.2">
      <c r="A4" s="99" t="s">
        <v>171</v>
      </c>
      <c r="B4" s="99"/>
      <c r="C4" s="100"/>
      <c r="I4"/>
      <c r="J4"/>
      <c r="K4"/>
      <c r="L4"/>
      <c r="M4"/>
      <c r="N4"/>
      <c r="O4"/>
      <c r="P4"/>
      <c r="Q4"/>
      <c r="R4"/>
      <c r="S4"/>
      <c r="T4" s="107"/>
    </row>
    <row r="5" spans="1:24" x14ac:dyDescent="0.2">
      <c r="A5" s="101" t="s">
        <v>170</v>
      </c>
      <c r="B5" s="106"/>
      <c r="C5" s="105"/>
      <c r="I5"/>
      <c r="J5"/>
      <c r="K5"/>
      <c r="L5"/>
      <c r="M5"/>
      <c r="N5"/>
      <c r="O5"/>
      <c r="P5"/>
      <c r="Q5"/>
      <c r="R5"/>
      <c r="S5"/>
    </row>
    <row r="6" spans="1:24" x14ac:dyDescent="0.2">
      <c r="A6" s="101" t="s">
        <v>169</v>
      </c>
      <c r="B6" s="104">
        <v>325103835</v>
      </c>
      <c r="C6" s="103"/>
      <c r="D6" s="8"/>
      <c r="I6"/>
      <c r="J6"/>
      <c r="K6"/>
      <c r="L6"/>
      <c r="M6"/>
      <c r="N6"/>
      <c r="O6"/>
      <c r="P6"/>
      <c r="Q6"/>
      <c r="R6"/>
      <c r="S6"/>
      <c r="T6" s="102"/>
    </row>
    <row r="7" spans="1:24" x14ac:dyDescent="0.2">
      <c r="A7" s="101" t="s">
        <v>168</v>
      </c>
      <c r="B7" s="126" t="s">
        <v>167</v>
      </c>
      <c r="C7" s="127"/>
      <c r="D7" s="100"/>
      <c r="E7" s="100"/>
      <c r="I7"/>
      <c r="J7"/>
      <c r="K7"/>
      <c r="L7"/>
      <c r="M7"/>
      <c r="N7"/>
      <c r="O7"/>
      <c r="P7"/>
      <c r="Q7"/>
      <c r="R7"/>
      <c r="S7"/>
    </row>
    <row r="8" spans="1:24" x14ac:dyDescent="0.2">
      <c r="B8" s="99"/>
      <c r="C8" s="98"/>
      <c r="D8" s="98"/>
      <c r="E8" s="98"/>
      <c r="I8"/>
      <c r="J8"/>
      <c r="K8"/>
      <c r="L8"/>
      <c r="M8"/>
      <c r="N8"/>
      <c r="O8"/>
      <c r="P8"/>
      <c r="Q8"/>
      <c r="R8"/>
      <c r="S8"/>
    </row>
    <row r="9" spans="1:24" s="7" customFormat="1" ht="34.5" customHeight="1" x14ac:dyDescent="0.2">
      <c r="A9" s="96" t="s">
        <v>166</v>
      </c>
      <c r="B9" s="96" t="s">
        <v>165</v>
      </c>
      <c r="C9" s="96" t="s">
        <v>164</v>
      </c>
      <c r="D9" s="97" t="s">
        <v>163</v>
      </c>
      <c r="E9" s="96" t="s">
        <v>162</v>
      </c>
      <c r="F9" s="96" t="s">
        <v>161</v>
      </c>
      <c r="G9" s="96" t="s">
        <v>160</v>
      </c>
      <c r="I9" s="96" t="s">
        <v>159</v>
      </c>
      <c r="J9" s="96" t="s">
        <v>158</v>
      </c>
      <c r="K9" s="95"/>
      <c r="L9" s="92" t="s">
        <v>157</v>
      </c>
      <c r="M9" s="92" t="s">
        <v>156</v>
      </c>
      <c r="N9" s="94" t="s">
        <v>152</v>
      </c>
      <c r="O9" s="93" t="s">
        <v>155</v>
      </c>
      <c r="P9" s="92" t="s">
        <v>154</v>
      </c>
      <c r="Q9" s="93" t="s">
        <v>153</v>
      </c>
      <c r="R9" s="92" t="s">
        <v>152</v>
      </c>
      <c r="S9" s="92" t="s">
        <v>151</v>
      </c>
      <c r="V9" s="90" t="s">
        <v>150</v>
      </c>
      <c r="W9" s="91" t="s">
        <v>149</v>
      </c>
      <c r="X9" s="90" t="s">
        <v>148</v>
      </c>
    </row>
    <row r="10" spans="1:24" x14ac:dyDescent="0.2">
      <c r="A10" s="37"/>
      <c r="B10" s="36"/>
      <c r="C10" s="35"/>
      <c r="D10" s="27"/>
      <c r="E10" s="35"/>
      <c r="F10" s="27"/>
      <c r="G10" s="25"/>
      <c r="I10" s="32"/>
      <c r="J10" s="33"/>
      <c r="L10" s="32"/>
      <c r="M10" s="27"/>
      <c r="N10" s="89"/>
      <c r="O10" s="30"/>
      <c r="P10" s="27"/>
      <c r="Q10" s="30"/>
      <c r="R10" s="27"/>
      <c r="S10" s="25"/>
      <c r="V10" s="88">
        <v>46020</v>
      </c>
      <c r="W10" s="45"/>
      <c r="X10" s="25"/>
    </row>
    <row r="11" spans="1:24" s="86" customFormat="1" x14ac:dyDescent="0.2">
      <c r="A11" s="22" t="s">
        <v>106</v>
      </c>
      <c r="B11" s="22" t="s">
        <v>110</v>
      </c>
      <c r="C11" s="85">
        <v>100021632</v>
      </c>
      <c r="D11" s="71" t="s">
        <v>147</v>
      </c>
      <c r="E11" s="49">
        <v>7790360026606</v>
      </c>
      <c r="F11" s="15">
        <v>4.8</v>
      </c>
      <c r="G11" s="19">
        <v>30</v>
      </c>
      <c r="I11" s="15">
        <f t="shared" ref="I11:I44" si="0">+L11*1.55*1.21</f>
        <v>3474.4143783660488</v>
      </c>
      <c r="J11" s="15">
        <f t="shared" ref="J11:J36" si="1">+I11*0.8</f>
        <v>2779.5315026928392</v>
      </c>
      <c r="K11" s="47"/>
      <c r="L11" s="12">
        <f t="shared" ref="L11:L44" si="2">+IF(ISERROR(N11/G11),"",(N11/G11))</f>
        <v>1852.526994596667</v>
      </c>
      <c r="M11" s="12">
        <f t="shared" ref="M11:M16" si="3">+N11/F11</f>
        <v>11578.293716229169</v>
      </c>
      <c r="N11" s="40">
        <v>55575.809837900008</v>
      </c>
      <c r="O11" s="65"/>
      <c r="P11" s="12">
        <f t="shared" ref="P11:P44" si="4">+IF(ISERROR(N11/(1-O11)),"",(N11/(1-O11)))</f>
        <v>55575.809837900008</v>
      </c>
      <c r="Q11" s="87"/>
      <c r="R11" s="12">
        <f t="shared" ref="R11:R44" si="5">+IF(ISERROR(P11/(1-Q11)),"",(P11/(1-Q11)))</f>
        <v>55575.809837900008</v>
      </c>
      <c r="S11" s="12">
        <f t="shared" ref="S11:S44" si="6">+IF(ISERROR(R11/G11),"",(R11/G11))</f>
        <v>1852.526994596667</v>
      </c>
      <c r="T11" s="1"/>
      <c r="U11" s="1"/>
      <c r="V11" s="12">
        <v>53957.1</v>
      </c>
      <c r="W11" s="16">
        <f t="shared" ref="W11:W44" si="7">+IF(ISERROR(N11/V11-1),"",(N11/V11-1))</f>
        <v>2.9999941396035235E-2</v>
      </c>
      <c r="X11" s="12">
        <f t="shared" ref="X11:X26" si="8">+IF(ISERROR(V11*(1-O11)),"",(V11*(1-O11)))</f>
        <v>53957.1</v>
      </c>
    </row>
    <row r="12" spans="1:24" x14ac:dyDescent="0.2">
      <c r="A12" s="22" t="s">
        <v>106</v>
      </c>
      <c r="B12" s="22" t="s">
        <v>110</v>
      </c>
      <c r="C12" s="68">
        <v>100021652</v>
      </c>
      <c r="D12" s="71" t="s">
        <v>146</v>
      </c>
      <c r="E12" s="49">
        <v>7790360026576</v>
      </c>
      <c r="F12" s="15">
        <v>5.76</v>
      </c>
      <c r="G12" s="19">
        <v>18</v>
      </c>
      <c r="I12" s="15">
        <f t="shared" si="0"/>
        <v>7714.0698365986764</v>
      </c>
      <c r="J12" s="15">
        <f t="shared" si="1"/>
        <v>6171.2558692789416</v>
      </c>
      <c r="K12" s="47"/>
      <c r="L12" s="15">
        <f t="shared" si="2"/>
        <v>4113.0737598500009</v>
      </c>
      <c r="M12" s="15">
        <f t="shared" si="3"/>
        <v>12853.355499531252</v>
      </c>
      <c r="N12" s="40">
        <v>74035.327677300011</v>
      </c>
      <c r="O12" s="65"/>
      <c r="P12" s="12">
        <f t="shared" si="4"/>
        <v>74035.327677300011</v>
      </c>
      <c r="Q12" s="64"/>
      <c r="R12" s="12">
        <f t="shared" si="5"/>
        <v>74035.327677300011</v>
      </c>
      <c r="S12" s="15">
        <f t="shared" si="6"/>
        <v>4113.0737598500009</v>
      </c>
      <c r="V12" s="12">
        <v>71878.960000000006</v>
      </c>
      <c r="W12" s="16">
        <f t="shared" si="7"/>
        <v>2.9999984380686628E-2</v>
      </c>
      <c r="X12" s="15">
        <f t="shared" si="8"/>
        <v>71878.960000000006</v>
      </c>
    </row>
    <row r="13" spans="1:24" x14ac:dyDescent="0.2">
      <c r="A13" s="22" t="s">
        <v>106</v>
      </c>
      <c r="B13" s="22" t="s">
        <v>110</v>
      </c>
      <c r="C13" s="68">
        <v>100021631</v>
      </c>
      <c r="D13" s="71" t="s">
        <v>145</v>
      </c>
      <c r="E13" s="49">
        <v>7790360026590</v>
      </c>
      <c r="F13" s="15">
        <v>7.68</v>
      </c>
      <c r="G13" s="19">
        <v>8</v>
      </c>
      <c r="I13" s="15">
        <f t="shared" si="0"/>
        <v>22369.043913926056</v>
      </c>
      <c r="J13" s="15">
        <f t="shared" si="1"/>
        <v>17895.235131140846</v>
      </c>
      <c r="K13" s="47"/>
      <c r="L13" s="15">
        <f t="shared" si="2"/>
        <v>11926.976227100004</v>
      </c>
      <c r="M13" s="15">
        <f t="shared" si="3"/>
        <v>12423.933569895838</v>
      </c>
      <c r="N13" s="40">
        <v>95415.809816800029</v>
      </c>
      <c r="O13" s="65"/>
      <c r="P13" s="12">
        <f t="shared" si="4"/>
        <v>95415.809816800029</v>
      </c>
      <c r="Q13" s="64"/>
      <c r="R13" s="12">
        <f t="shared" si="5"/>
        <v>95415.809816800029</v>
      </c>
      <c r="S13" s="15">
        <f t="shared" si="6"/>
        <v>11926.976227100004</v>
      </c>
      <c r="V13" s="12">
        <v>92636.71</v>
      </c>
      <c r="W13" s="16">
        <f t="shared" si="7"/>
        <v>2.9999983989069001E-2</v>
      </c>
      <c r="X13" s="15">
        <f t="shared" si="8"/>
        <v>92636.71</v>
      </c>
    </row>
    <row r="14" spans="1:24" x14ac:dyDescent="0.2">
      <c r="A14" s="22" t="s">
        <v>106</v>
      </c>
      <c r="B14" s="22" t="s">
        <v>110</v>
      </c>
      <c r="C14" s="68">
        <v>100021630</v>
      </c>
      <c r="D14" s="71" t="s">
        <v>144</v>
      </c>
      <c r="E14" s="49">
        <v>7790360026583</v>
      </c>
      <c r="F14" s="15">
        <v>9.6</v>
      </c>
      <c r="G14" s="19">
        <v>6</v>
      </c>
      <c r="I14" s="15">
        <f t="shared" si="0"/>
        <v>37281.743504359663</v>
      </c>
      <c r="J14" s="15">
        <f t="shared" si="1"/>
        <v>29825.394803487732</v>
      </c>
      <c r="K14" s="47"/>
      <c r="L14" s="15">
        <f t="shared" si="2"/>
        <v>19878.29565681667</v>
      </c>
      <c r="M14" s="15">
        <f t="shared" si="3"/>
        <v>12423.934785510419</v>
      </c>
      <c r="N14" s="40">
        <v>119269.77394090002</v>
      </c>
      <c r="O14" s="65"/>
      <c r="P14" s="12">
        <f t="shared" si="4"/>
        <v>119269.77394090002</v>
      </c>
      <c r="Q14" s="64"/>
      <c r="R14" s="12">
        <f t="shared" si="5"/>
        <v>119269.77394090002</v>
      </c>
      <c r="S14" s="15">
        <f t="shared" si="6"/>
        <v>19878.29565681667</v>
      </c>
      <c r="V14" s="12">
        <v>115795.9</v>
      </c>
      <c r="W14" s="16">
        <f t="shared" si="7"/>
        <v>2.9999973581966488E-2</v>
      </c>
      <c r="X14" s="15">
        <f t="shared" si="8"/>
        <v>115795.9</v>
      </c>
    </row>
    <row r="15" spans="1:24" x14ac:dyDescent="0.2">
      <c r="A15" s="22" t="s">
        <v>106</v>
      </c>
      <c r="B15" s="22" t="s">
        <v>110</v>
      </c>
      <c r="C15" s="44">
        <v>100021653</v>
      </c>
      <c r="D15" s="24" t="s">
        <v>143</v>
      </c>
      <c r="E15" s="49">
        <v>7790360026682</v>
      </c>
      <c r="F15" s="15">
        <v>5.76</v>
      </c>
      <c r="G15" s="19">
        <v>18</v>
      </c>
      <c r="I15" s="15">
        <f t="shared" si="0"/>
        <v>7649.9618980288797</v>
      </c>
      <c r="J15" s="15">
        <f t="shared" si="1"/>
        <v>6119.9695184231041</v>
      </c>
      <c r="K15" s="47"/>
      <c r="L15" s="15">
        <f t="shared" si="2"/>
        <v>4078.891974422223</v>
      </c>
      <c r="M15" s="15">
        <f t="shared" si="3"/>
        <v>12746.537420069448</v>
      </c>
      <c r="N15" s="40">
        <v>73420.055539600013</v>
      </c>
      <c r="O15" s="65"/>
      <c r="P15" s="12">
        <f t="shared" si="4"/>
        <v>73420.055539600013</v>
      </c>
      <c r="Q15" s="64"/>
      <c r="R15" s="12">
        <f t="shared" si="5"/>
        <v>73420.055539600013</v>
      </c>
      <c r="S15" s="15">
        <f t="shared" si="6"/>
        <v>4078.891974422223</v>
      </c>
      <c r="V15" s="12">
        <v>71281.61</v>
      </c>
      <c r="W15" s="16">
        <f t="shared" si="7"/>
        <v>2.9999961274724374E-2</v>
      </c>
      <c r="X15" s="15">
        <f t="shared" si="8"/>
        <v>71281.61</v>
      </c>
    </row>
    <row r="16" spans="1:24" x14ac:dyDescent="0.2">
      <c r="A16" s="22" t="s">
        <v>106</v>
      </c>
      <c r="B16" s="22" t="s">
        <v>110</v>
      </c>
      <c r="C16" s="85">
        <v>100516169</v>
      </c>
      <c r="D16" s="71" t="s">
        <v>142</v>
      </c>
      <c r="E16" s="84">
        <v>7790360967961</v>
      </c>
      <c r="F16" s="15">
        <v>5.76</v>
      </c>
      <c r="G16" s="19">
        <v>18</v>
      </c>
      <c r="I16" s="15">
        <f t="shared" si="0"/>
        <v>6710.7160924308091</v>
      </c>
      <c r="J16" s="15">
        <f t="shared" si="1"/>
        <v>5368.5728739446477</v>
      </c>
      <c r="K16" s="47"/>
      <c r="L16" s="15">
        <f t="shared" si="2"/>
        <v>3578.0944241166671</v>
      </c>
      <c r="M16" s="15">
        <f t="shared" si="3"/>
        <v>11181.545075364586</v>
      </c>
      <c r="N16" s="40">
        <v>64405.699634100005</v>
      </c>
      <c r="O16" s="65"/>
      <c r="P16" s="12">
        <f t="shared" si="4"/>
        <v>64405.699634100005</v>
      </c>
      <c r="Q16" s="64"/>
      <c r="R16" s="12">
        <f t="shared" si="5"/>
        <v>64405.699634100005</v>
      </c>
      <c r="S16" s="15">
        <f t="shared" si="6"/>
        <v>3578.0944241166671</v>
      </c>
      <c r="V16" s="12">
        <v>62529.8</v>
      </c>
      <c r="W16" s="16">
        <f t="shared" si="7"/>
        <v>3.0000090102639154E-2</v>
      </c>
      <c r="X16" s="15">
        <f t="shared" si="8"/>
        <v>62529.8</v>
      </c>
    </row>
    <row r="17" spans="1:24" x14ac:dyDescent="0.2">
      <c r="A17" s="22" t="s">
        <v>106</v>
      </c>
      <c r="B17" s="22" t="s">
        <v>110</v>
      </c>
      <c r="C17" s="44">
        <v>100520337</v>
      </c>
      <c r="D17" s="24" t="s">
        <v>141</v>
      </c>
      <c r="E17" s="72">
        <v>7790360977960</v>
      </c>
      <c r="F17" s="70">
        <v>4.8</v>
      </c>
      <c r="G17" s="69">
        <v>30</v>
      </c>
      <c r="I17" s="15">
        <f t="shared" si="0"/>
        <v>2465.754520693054</v>
      </c>
      <c r="J17" s="15">
        <f t="shared" si="1"/>
        <v>1972.6036165544433</v>
      </c>
      <c r="K17" s="47"/>
      <c r="L17" s="15">
        <f t="shared" si="2"/>
        <v>1314.7184861066669</v>
      </c>
      <c r="M17" s="15">
        <f t="shared" ref="M17:M26" si="9">+IF(ISERROR(N17/F17),"",(N17/F17))</f>
        <v>8216.9905381666686</v>
      </c>
      <c r="N17" s="40">
        <v>39441.554583200006</v>
      </c>
      <c r="O17" s="65"/>
      <c r="P17" s="12">
        <f t="shared" si="4"/>
        <v>39441.554583200006</v>
      </c>
      <c r="Q17" s="16"/>
      <c r="R17" s="12">
        <f t="shared" si="5"/>
        <v>39441.554583200006</v>
      </c>
      <c r="S17" s="15">
        <f t="shared" si="6"/>
        <v>1314.7184861066669</v>
      </c>
      <c r="V17" s="12">
        <v>38292.769999999997</v>
      </c>
      <c r="W17" s="16">
        <f t="shared" si="7"/>
        <v>3.0000038733160483E-2</v>
      </c>
      <c r="X17" s="15">
        <f t="shared" si="8"/>
        <v>38292.769999999997</v>
      </c>
    </row>
    <row r="18" spans="1:24" x14ac:dyDescent="0.2">
      <c r="A18" s="22" t="s">
        <v>106</v>
      </c>
      <c r="B18" s="22" t="s">
        <v>110</v>
      </c>
      <c r="C18" s="44">
        <v>100021503</v>
      </c>
      <c r="D18" s="24" t="s">
        <v>140</v>
      </c>
      <c r="E18" s="72">
        <v>7790360966841</v>
      </c>
      <c r="F18" s="70">
        <v>3.3119999999999998</v>
      </c>
      <c r="G18" s="69">
        <v>12</v>
      </c>
      <c r="I18" s="15">
        <f t="shared" si="0"/>
        <v>5127.545604466266</v>
      </c>
      <c r="J18" s="15">
        <f t="shared" si="1"/>
        <v>4102.0364835730134</v>
      </c>
      <c r="K18" s="47"/>
      <c r="L18" s="15">
        <f t="shared" si="2"/>
        <v>2733.9619325333333</v>
      </c>
      <c r="M18" s="15">
        <f t="shared" si="9"/>
        <v>9905.6591758454106</v>
      </c>
      <c r="N18" s="40">
        <v>32807.5431904</v>
      </c>
      <c r="O18" s="65"/>
      <c r="P18" s="12">
        <f t="shared" si="4"/>
        <v>32807.5431904</v>
      </c>
      <c r="Q18" s="16"/>
      <c r="R18" s="12">
        <f t="shared" si="5"/>
        <v>32807.5431904</v>
      </c>
      <c r="S18" s="15">
        <f t="shared" si="6"/>
        <v>2733.9619325333333</v>
      </c>
      <c r="V18" s="12">
        <v>31851.98</v>
      </c>
      <c r="W18" s="16">
        <f t="shared" si="7"/>
        <v>3.0000119000451519E-2</v>
      </c>
      <c r="X18" s="15">
        <f t="shared" si="8"/>
        <v>31851.98</v>
      </c>
    </row>
    <row r="19" spans="1:24" x14ac:dyDescent="0.2">
      <c r="A19" s="22" t="s">
        <v>106</v>
      </c>
      <c r="B19" s="22" t="s">
        <v>110</v>
      </c>
      <c r="C19" s="44">
        <v>100516201</v>
      </c>
      <c r="D19" s="24" t="s">
        <v>139</v>
      </c>
      <c r="E19" s="72">
        <v>7790360968548</v>
      </c>
      <c r="F19" s="70">
        <v>6.6239999999999997</v>
      </c>
      <c r="G19" s="69">
        <v>8</v>
      </c>
      <c r="I19" s="15">
        <f t="shared" si="0"/>
        <v>13385.460156948484</v>
      </c>
      <c r="J19" s="15">
        <f t="shared" si="1"/>
        <v>10708.368125558787</v>
      </c>
      <c r="K19" s="47"/>
      <c r="L19" s="15">
        <f t="shared" si="2"/>
        <v>7137.0088813375014</v>
      </c>
      <c r="M19" s="15">
        <f t="shared" si="9"/>
        <v>8619.5759436443259</v>
      </c>
      <c r="N19" s="40">
        <v>57096.071050700011</v>
      </c>
      <c r="O19" s="65"/>
      <c r="P19" s="12">
        <f t="shared" si="4"/>
        <v>57096.071050700011</v>
      </c>
      <c r="Q19" s="16"/>
      <c r="R19" s="12">
        <f t="shared" si="5"/>
        <v>57096.071050700011</v>
      </c>
      <c r="S19" s="15">
        <f t="shared" si="6"/>
        <v>7137.0088813375014</v>
      </c>
      <c r="V19" s="12">
        <v>55433.08</v>
      </c>
      <c r="W19" s="16">
        <f t="shared" si="7"/>
        <v>2.999997565893886E-2</v>
      </c>
      <c r="X19" s="15">
        <f t="shared" si="8"/>
        <v>55433.08</v>
      </c>
    </row>
    <row r="20" spans="1:24" x14ac:dyDescent="0.2">
      <c r="A20" s="22" t="s">
        <v>106</v>
      </c>
      <c r="B20" s="22" t="s">
        <v>110</v>
      </c>
      <c r="C20" s="44">
        <v>100021643</v>
      </c>
      <c r="D20" s="24" t="s">
        <v>138</v>
      </c>
      <c r="E20" s="72">
        <v>7790360966797</v>
      </c>
      <c r="F20" s="70">
        <v>4.7039999999999997</v>
      </c>
      <c r="G20" s="69">
        <v>42</v>
      </c>
      <c r="I20" s="15">
        <f t="shared" si="0"/>
        <v>2197.7045411663703</v>
      </c>
      <c r="J20" s="15">
        <f t="shared" si="1"/>
        <v>1758.1636329330963</v>
      </c>
      <c r="K20" s="47"/>
      <c r="L20" s="15">
        <f t="shared" si="2"/>
        <v>1171.7966095261904</v>
      </c>
      <c r="M20" s="15">
        <f t="shared" si="9"/>
        <v>10462.469727912416</v>
      </c>
      <c r="N20" s="40">
        <v>49215.457600100002</v>
      </c>
      <c r="O20" s="65"/>
      <c r="P20" s="12">
        <f t="shared" si="4"/>
        <v>49215.457600100002</v>
      </c>
      <c r="Q20" s="16"/>
      <c r="R20" s="12">
        <f t="shared" si="5"/>
        <v>49215.457600100002</v>
      </c>
      <c r="S20" s="15">
        <f t="shared" si="6"/>
        <v>1171.7966095261904</v>
      </c>
      <c r="V20" s="12">
        <v>47782</v>
      </c>
      <c r="W20" s="16">
        <f t="shared" si="7"/>
        <v>2.9999949773973578E-2</v>
      </c>
      <c r="X20" s="15">
        <f t="shared" si="8"/>
        <v>47782</v>
      </c>
    </row>
    <row r="21" spans="1:24" hidden="1" x14ac:dyDescent="0.2">
      <c r="A21" s="22" t="s">
        <v>106</v>
      </c>
      <c r="B21" s="22" t="s">
        <v>110</v>
      </c>
      <c r="C21" s="83">
        <v>100516075</v>
      </c>
      <c r="D21" s="82" t="s">
        <v>137</v>
      </c>
      <c r="E21" s="81">
        <v>7790360968470</v>
      </c>
      <c r="F21" s="80">
        <v>4.7039999999999997</v>
      </c>
      <c r="G21" s="79">
        <v>21</v>
      </c>
      <c r="H21" s="76"/>
      <c r="I21" s="15" t="e">
        <f t="shared" si="0"/>
        <v>#VALUE!</v>
      </c>
      <c r="J21" s="15" t="e">
        <f t="shared" si="1"/>
        <v>#VALUE!</v>
      </c>
      <c r="K21" s="78"/>
      <c r="L21" s="73" t="str">
        <f t="shared" si="2"/>
        <v/>
      </c>
      <c r="M21" s="73" t="str">
        <f t="shared" si="9"/>
        <v/>
      </c>
      <c r="N21" s="40" t="e">
        <v>#VALUE!</v>
      </c>
      <c r="O21" s="77"/>
      <c r="P21" s="12" t="str">
        <f t="shared" si="4"/>
        <v/>
      </c>
      <c r="Q21" s="74"/>
      <c r="R21" s="12" t="str">
        <f t="shared" si="5"/>
        <v/>
      </c>
      <c r="S21" s="73" t="str">
        <f t="shared" si="6"/>
        <v/>
      </c>
      <c r="T21" s="76"/>
      <c r="U21" s="76"/>
      <c r="V21" s="75" t="s">
        <v>31</v>
      </c>
      <c r="W21" s="74" t="str">
        <f t="shared" si="7"/>
        <v/>
      </c>
      <c r="X21" s="73" t="str">
        <f t="shared" si="8"/>
        <v/>
      </c>
    </row>
    <row r="22" spans="1:24" x14ac:dyDescent="0.2">
      <c r="A22" s="22" t="s">
        <v>106</v>
      </c>
      <c r="B22" s="22" t="s">
        <v>110</v>
      </c>
      <c r="C22" s="44">
        <v>100516325</v>
      </c>
      <c r="D22" s="24" t="s">
        <v>136</v>
      </c>
      <c r="E22" s="72">
        <v>7790360967763</v>
      </c>
      <c r="F22" s="70">
        <v>4.7039999999999997</v>
      </c>
      <c r="G22" s="69">
        <v>21</v>
      </c>
      <c r="I22" s="15">
        <f t="shared" si="0"/>
        <v>3586.2171321434598</v>
      </c>
      <c r="J22" s="15">
        <f t="shared" si="1"/>
        <v>2868.9737057147681</v>
      </c>
      <c r="K22" s="42"/>
      <c r="L22" s="15">
        <f t="shared" si="2"/>
        <v>1912.1392333476192</v>
      </c>
      <c r="M22" s="15">
        <f t="shared" si="9"/>
        <v>8536.3358631590145</v>
      </c>
      <c r="N22" s="40">
        <v>40154.923900300004</v>
      </c>
      <c r="O22" s="65"/>
      <c r="P22" s="12">
        <f t="shared" si="4"/>
        <v>40154.923900300004</v>
      </c>
      <c r="Q22" s="16"/>
      <c r="R22" s="12">
        <f t="shared" si="5"/>
        <v>40154.923900300004</v>
      </c>
      <c r="S22" s="15">
        <f t="shared" si="6"/>
        <v>1912.1392333476192</v>
      </c>
      <c r="V22" s="12">
        <v>38985.360000000001</v>
      </c>
      <c r="W22" s="16">
        <f t="shared" si="7"/>
        <v>3.0000079524724166E-2</v>
      </c>
      <c r="X22" s="15">
        <f t="shared" si="8"/>
        <v>38985.360000000001</v>
      </c>
    </row>
    <row r="23" spans="1:24" x14ac:dyDescent="0.2">
      <c r="A23" s="22" t="s">
        <v>106</v>
      </c>
      <c r="B23" s="22" t="s">
        <v>110</v>
      </c>
      <c r="C23" s="44">
        <v>100021676</v>
      </c>
      <c r="D23" s="24" t="s">
        <v>135</v>
      </c>
      <c r="E23" s="72">
        <v>7790360967411</v>
      </c>
      <c r="F23" s="70">
        <v>7.5</v>
      </c>
      <c r="G23" s="69">
        <v>30</v>
      </c>
      <c r="I23" s="15">
        <f t="shared" si="0"/>
        <v>5663.0545130651617</v>
      </c>
      <c r="J23" s="15">
        <f t="shared" si="1"/>
        <v>4530.4436104521292</v>
      </c>
      <c r="K23" s="42"/>
      <c r="L23" s="15">
        <f t="shared" si="2"/>
        <v>3019.4905428233337</v>
      </c>
      <c r="M23" s="15">
        <f t="shared" si="9"/>
        <v>12077.962171293335</v>
      </c>
      <c r="N23" s="40">
        <v>90584.716284700015</v>
      </c>
      <c r="O23" s="65"/>
      <c r="P23" s="12">
        <f t="shared" si="4"/>
        <v>90584.716284700015</v>
      </c>
      <c r="Q23" s="16"/>
      <c r="R23" s="12">
        <f t="shared" si="5"/>
        <v>90584.716284700015</v>
      </c>
      <c r="S23" s="15">
        <f t="shared" si="6"/>
        <v>3019.4905428233337</v>
      </c>
      <c r="V23" s="12">
        <v>87946.33</v>
      </c>
      <c r="W23" s="16">
        <f t="shared" si="7"/>
        <v>2.9999958891974376E-2</v>
      </c>
      <c r="X23" s="15">
        <f t="shared" si="8"/>
        <v>87946.33</v>
      </c>
    </row>
    <row r="24" spans="1:24" hidden="1" x14ac:dyDescent="0.2">
      <c r="A24" s="22" t="s">
        <v>106</v>
      </c>
      <c r="B24" s="22" t="s">
        <v>110</v>
      </c>
      <c r="C24" s="44">
        <v>100021664</v>
      </c>
      <c r="D24" s="71" t="s">
        <v>134</v>
      </c>
      <c r="E24" s="49">
        <v>7790360027870</v>
      </c>
      <c r="F24" s="70">
        <v>7.5</v>
      </c>
      <c r="G24" s="69">
        <v>30</v>
      </c>
      <c r="I24" s="15" t="e">
        <f t="shared" si="0"/>
        <v>#VALUE!</v>
      </c>
      <c r="J24" s="15" t="e">
        <f t="shared" si="1"/>
        <v>#VALUE!</v>
      </c>
      <c r="K24" s="47"/>
      <c r="L24" s="15" t="str">
        <f t="shared" si="2"/>
        <v/>
      </c>
      <c r="M24" s="15" t="str">
        <f t="shared" si="9"/>
        <v/>
      </c>
      <c r="N24" s="40" t="e">
        <v>#VALUE!</v>
      </c>
      <c r="O24" s="65"/>
      <c r="P24" s="12" t="str">
        <f t="shared" si="4"/>
        <v/>
      </c>
      <c r="Q24" s="16"/>
      <c r="R24" s="12" t="str">
        <f t="shared" si="5"/>
        <v/>
      </c>
      <c r="S24" s="15" t="str">
        <f t="shared" si="6"/>
        <v/>
      </c>
      <c r="V24" s="12" t="s">
        <v>31</v>
      </c>
      <c r="W24" s="16" t="str">
        <f t="shared" si="7"/>
        <v/>
      </c>
      <c r="X24" s="15" t="str">
        <f t="shared" si="8"/>
        <v/>
      </c>
    </row>
    <row r="25" spans="1:24" x14ac:dyDescent="0.2">
      <c r="A25" s="22" t="s">
        <v>106</v>
      </c>
      <c r="B25" s="22" t="s">
        <v>110</v>
      </c>
      <c r="C25" s="44">
        <v>100516008</v>
      </c>
      <c r="D25" s="71" t="s">
        <v>133</v>
      </c>
      <c r="E25" s="49">
        <v>7790360967701</v>
      </c>
      <c r="F25" s="70">
        <v>5.76</v>
      </c>
      <c r="G25" s="69">
        <v>24</v>
      </c>
      <c r="I25" s="15">
        <f t="shared" si="0"/>
        <v>5899.5265720117632</v>
      </c>
      <c r="J25" s="15">
        <f t="shared" si="1"/>
        <v>4719.6212576094103</v>
      </c>
      <c r="K25" s="47"/>
      <c r="L25" s="15">
        <f t="shared" si="2"/>
        <v>3145.5753516458349</v>
      </c>
      <c r="M25" s="15">
        <f t="shared" si="9"/>
        <v>13106.563965190979</v>
      </c>
      <c r="N25" s="40">
        <v>75493.808439500033</v>
      </c>
      <c r="O25" s="65"/>
      <c r="P25" s="12">
        <f t="shared" si="4"/>
        <v>75493.808439500033</v>
      </c>
      <c r="Q25" s="16"/>
      <c r="R25" s="12">
        <f t="shared" si="5"/>
        <v>75493.808439500033</v>
      </c>
      <c r="S25" s="15">
        <f t="shared" si="6"/>
        <v>3145.5753516458349</v>
      </c>
      <c r="V25" s="12">
        <v>73294.960000000006</v>
      </c>
      <c r="W25" s="16">
        <f t="shared" si="7"/>
        <v>2.9999995081517516E-2</v>
      </c>
      <c r="X25" s="15">
        <f t="shared" si="8"/>
        <v>73294.960000000006</v>
      </c>
    </row>
    <row r="26" spans="1:24" x14ac:dyDescent="0.2">
      <c r="A26" s="22" t="s">
        <v>106</v>
      </c>
      <c r="B26" s="22" t="s">
        <v>110</v>
      </c>
      <c r="C26" s="44">
        <v>100520834</v>
      </c>
      <c r="D26" s="71" t="s">
        <v>132</v>
      </c>
      <c r="E26" s="49">
        <v>7790360980618</v>
      </c>
      <c r="F26" s="70">
        <v>6.66</v>
      </c>
      <c r="G26" s="69">
        <v>36</v>
      </c>
      <c r="I26" s="15">
        <f t="shared" si="0"/>
        <v>4070.4504075180471</v>
      </c>
      <c r="J26" s="15">
        <f t="shared" si="1"/>
        <v>3256.3603260144378</v>
      </c>
      <c r="K26" s="47"/>
      <c r="L26" s="15">
        <f t="shared" si="2"/>
        <v>2170.3281298416673</v>
      </c>
      <c r="M26" s="15">
        <f t="shared" si="9"/>
        <v>11731.503404549552</v>
      </c>
      <c r="N26" s="40">
        <v>78131.812674300018</v>
      </c>
      <c r="O26" s="65"/>
      <c r="P26" s="12">
        <f t="shared" si="4"/>
        <v>78131.812674300018</v>
      </c>
      <c r="Q26" s="16"/>
      <c r="R26" s="12">
        <f t="shared" si="5"/>
        <v>78131.812674300018</v>
      </c>
      <c r="S26" s="15">
        <f t="shared" si="6"/>
        <v>2170.3281298416673</v>
      </c>
      <c r="V26" s="12">
        <v>75856.13</v>
      </c>
      <c r="W26" s="16">
        <f t="shared" si="7"/>
        <v>2.9999983841780598E-2</v>
      </c>
      <c r="X26" s="15">
        <f t="shared" si="8"/>
        <v>75856.13</v>
      </c>
    </row>
    <row r="27" spans="1:24" x14ac:dyDescent="0.2">
      <c r="A27" s="22" t="s">
        <v>106</v>
      </c>
      <c r="B27" s="22" t="s">
        <v>110</v>
      </c>
      <c r="C27" s="44">
        <v>100518223</v>
      </c>
      <c r="D27" s="71" t="s">
        <v>131</v>
      </c>
      <c r="E27" s="49">
        <v>7790360975065</v>
      </c>
      <c r="F27" s="70">
        <v>6.36</v>
      </c>
      <c r="G27" s="69">
        <v>30</v>
      </c>
      <c r="I27" s="15">
        <f t="shared" si="0"/>
        <v>4245.9603438247241</v>
      </c>
      <c r="J27" s="15">
        <f t="shared" si="1"/>
        <v>3396.7682750597796</v>
      </c>
      <c r="K27" s="47"/>
      <c r="L27" s="15">
        <f t="shared" si="2"/>
        <v>2263.9084744466672</v>
      </c>
      <c r="M27" s="15">
        <v>1025.4272569444447</v>
      </c>
      <c r="N27" s="40">
        <v>67917.254233400017</v>
      </c>
      <c r="O27" s="65"/>
      <c r="P27" s="12">
        <f t="shared" si="4"/>
        <v>67917.254233400017</v>
      </c>
      <c r="Q27" s="16"/>
      <c r="R27" s="12">
        <f t="shared" si="5"/>
        <v>67917.254233400017</v>
      </c>
      <c r="S27" s="15">
        <f t="shared" si="6"/>
        <v>2263.9084744466672</v>
      </c>
      <c r="V27" s="12">
        <v>65939.08</v>
      </c>
      <c r="W27" s="16">
        <f t="shared" si="7"/>
        <v>3.0000027804452545E-2</v>
      </c>
      <c r="X27" s="15"/>
    </row>
    <row r="28" spans="1:24" x14ac:dyDescent="0.2">
      <c r="A28" s="22" t="s">
        <v>106</v>
      </c>
      <c r="B28" s="22" t="s">
        <v>130</v>
      </c>
      <c r="C28" s="44">
        <v>100021680</v>
      </c>
      <c r="D28" s="71" t="s">
        <v>129</v>
      </c>
      <c r="E28" s="49">
        <v>7790360967688</v>
      </c>
      <c r="F28" s="70">
        <v>4.32</v>
      </c>
      <c r="G28" s="69">
        <v>18</v>
      </c>
      <c r="I28" s="15">
        <f t="shared" si="0"/>
        <v>7116.8919193691618</v>
      </c>
      <c r="J28" s="15">
        <f t="shared" si="1"/>
        <v>5693.51353549533</v>
      </c>
      <c r="K28" s="47"/>
      <c r="L28" s="15">
        <f t="shared" si="2"/>
        <v>3794.663779988889</v>
      </c>
      <c r="M28" s="15">
        <f t="shared" ref="M28:M44" si="10">+IF(ISERROR(N28/F28),"",(N28/F28))</f>
        <v>15811.099083287036</v>
      </c>
      <c r="N28" s="40">
        <v>68303.948039800001</v>
      </c>
      <c r="O28" s="65"/>
      <c r="P28" s="12">
        <f t="shared" si="4"/>
        <v>68303.948039800001</v>
      </c>
      <c r="Q28" s="16"/>
      <c r="R28" s="12">
        <f t="shared" si="5"/>
        <v>68303.948039800001</v>
      </c>
      <c r="S28" s="15">
        <f t="shared" si="6"/>
        <v>3794.663779988889</v>
      </c>
      <c r="V28" s="12">
        <v>66314.52</v>
      </c>
      <c r="W28" s="16">
        <f t="shared" si="7"/>
        <v>2.9999885994801634E-2</v>
      </c>
      <c r="X28" s="15">
        <f t="shared" ref="X28:X44" si="11">+IF(ISERROR(V28*(1-O28)),"",(V28*(1-O28)))</f>
        <v>66314.52</v>
      </c>
    </row>
    <row r="29" spans="1:24" x14ac:dyDescent="0.2">
      <c r="A29" s="22" t="s">
        <v>106</v>
      </c>
      <c r="B29" s="22" t="s">
        <v>127</v>
      </c>
      <c r="C29" s="44">
        <v>100021644</v>
      </c>
      <c r="D29" s="71" t="s">
        <v>128</v>
      </c>
      <c r="E29" s="49">
        <v>7790360008541</v>
      </c>
      <c r="F29" s="70">
        <v>4.7039999999999997</v>
      </c>
      <c r="G29" s="69">
        <v>42</v>
      </c>
      <c r="I29" s="15">
        <f t="shared" si="0"/>
        <v>1274.9836905541215</v>
      </c>
      <c r="J29" s="15">
        <f t="shared" si="1"/>
        <v>1019.9869524432972</v>
      </c>
      <c r="K29" s="47"/>
      <c r="L29" s="15">
        <f t="shared" si="2"/>
        <v>679.81001895714292</v>
      </c>
      <c r="M29" s="15">
        <f t="shared" si="10"/>
        <v>6069.7323121173476</v>
      </c>
      <c r="N29" s="40">
        <v>28552.020796200002</v>
      </c>
      <c r="O29" s="65"/>
      <c r="P29" s="12">
        <f t="shared" si="4"/>
        <v>28552.020796200002</v>
      </c>
      <c r="Q29" s="16"/>
      <c r="R29" s="12">
        <f t="shared" si="5"/>
        <v>28552.020796200002</v>
      </c>
      <c r="S29" s="15">
        <f t="shared" si="6"/>
        <v>679.81001895714292</v>
      </c>
      <c r="V29" s="12">
        <v>27720.41</v>
      </c>
      <c r="W29" s="16">
        <f t="shared" si="7"/>
        <v>2.9999945751163271E-2</v>
      </c>
      <c r="X29" s="15">
        <f t="shared" si="11"/>
        <v>27720.41</v>
      </c>
    </row>
    <row r="30" spans="1:24" x14ac:dyDescent="0.2">
      <c r="A30" s="22" t="s">
        <v>106</v>
      </c>
      <c r="B30" s="22" t="s">
        <v>127</v>
      </c>
      <c r="C30" s="44">
        <v>100021677</v>
      </c>
      <c r="D30" s="24" t="s">
        <v>126</v>
      </c>
      <c r="E30" s="49">
        <v>7790360967404</v>
      </c>
      <c r="F30" s="15">
        <v>3.3119999999999998</v>
      </c>
      <c r="G30" s="19">
        <v>12</v>
      </c>
      <c r="I30" s="15">
        <f t="shared" si="0"/>
        <v>3805.7466219415046</v>
      </c>
      <c r="J30" s="15">
        <f t="shared" si="1"/>
        <v>3044.597297553204</v>
      </c>
      <c r="K30" s="47"/>
      <c r="L30" s="15">
        <f t="shared" si="2"/>
        <v>2029.1904142583335</v>
      </c>
      <c r="M30" s="15">
        <f t="shared" si="10"/>
        <v>7352.1391820954113</v>
      </c>
      <c r="N30" s="40">
        <v>24350.284971100002</v>
      </c>
      <c r="O30" s="65"/>
      <c r="P30" s="12">
        <f t="shared" si="4"/>
        <v>24350.284971100002</v>
      </c>
      <c r="Q30" s="64"/>
      <c r="R30" s="12">
        <f t="shared" si="5"/>
        <v>24350.284971100002</v>
      </c>
      <c r="S30" s="15">
        <f t="shared" si="6"/>
        <v>2029.1904142583335</v>
      </c>
      <c r="V30" s="15">
        <v>23641.05</v>
      </c>
      <c r="W30" s="16">
        <f t="shared" si="7"/>
        <v>3.0000146825119867E-2</v>
      </c>
      <c r="X30" s="15">
        <f t="shared" si="11"/>
        <v>23641.05</v>
      </c>
    </row>
    <row r="31" spans="1:24" x14ac:dyDescent="0.2">
      <c r="A31" s="22" t="s">
        <v>106</v>
      </c>
      <c r="B31" s="22" t="s">
        <v>105</v>
      </c>
      <c r="C31" s="44">
        <v>100021638</v>
      </c>
      <c r="D31" s="24" t="s">
        <v>125</v>
      </c>
      <c r="E31" s="49">
        <v>7790360026699</v>
      </c>
      <c r="F31" s="15">
        <v>4.8</v>
      </c>
      <c r="G31" s="19">
        <v>60</v>
      </c>
      <c r="I31" s="15">
        <f t="shared" si="0"/>
        <v>1912.5325459878732</v>
      </c>
      <c r="J31" s="15">
        <f t="shared" si="1"/>
        <v>1530.0260367902986</v>
      </c>
      <c r="K31" s="47"/>
      <c r="L31" s="15">
        <f t="shared" si="2"/>
        <v>1019.7454257466667</v>
      </c>
      <c r="M31" s="15">
        <f t="shared" si="10"/>
        <v>12746.817821833334</v>
      </c>
      <c r="N31" s="40">
        <v>61184.7255448</v>
      </c>
      <c r="O31" s="65"/>
      <c r="P31" s="12">
        <f t="shared" si="4"/>
        <v>61184.7255448</v>
      </c>
      <c r="Q31" s="64"/>
      <c r="R31" s="12">
        <f t="shared" si="5"/>
        <v>61184.7255448</v>
      </c>
      <c r="S31" s="15">
        <f t="shared" si="6"/>
        <v>1019.7454257466667</v>
      </c>
      <c r="V31" s="15">
        <v>59402.64</v>
      </c>
      <c r="W31" s="16">
        <f t="shared" si="7"/>
        <v>3.0000106810067706E-2</v>
      </c>
      <c r="X31" s="15">
        <f t="shared" si="11"/>
        <v>59402.64</v>
      </c>
    </row>
    <row r="32" spans="1:24" x14ac:dyDescent="0.2">
      <c r="A32" s="22" t="s">
        <v>106</v>
      </c>
      <c r="B32" s="22" t="s">
        <v>105</v>
      </c>
      <c r="C32" s="44">
        <v>100021575</v>
      </c>
      <c r="D32" s="24" t="s">
        <v>124</v>
      </c>
      <c r="E32" s="49">
        <v>7790360007032</v>
      </c>
      <c r="F32" s="15">
        <v>4.1399999999999997</v>
      </c>
      <c r="G32" s="19">
        <v>60</v>
      </c>
      <c r="I32" s="15">
        <f t="shared" si="0"/>
        <v>1568.5803173427475</v>
      </c>
      <c r="J32" s="15">
        <f t="shared" si="1"/>
        <v>1254.8642538741981</v>
      </c>
      <c r="K32" s="47"/>
      <c r="L32" s="15">
        <f t="shared" si="2"/>
        <v>836.35314174500002</v>
      </c>
      <c r="M32" s="15">
        <f t="shared" si="10"/>
        <v>12121.060025289857</v>
      </c>
      <c r="N32" s="40">
        <v>50181.188504700003</v>
      </c>
      <c r="O32" s="16"/>
      <c r="P32" s="12">
        <f t="shared" si="4"/>
        <v>50181.188504700003</v>
      </c>
      <c r="Q32" s="16"/>
      <c r="R32" s="12">
        <f t="shared" si="5"/>
        <v>50181.188504700003</v>
      </c>
      <c r="S32" s="15">
        <f t="shared" si="6"/>
        <v>836.35314174500002</v>
      </c>
      <c r="V32" s="15">
        <v>48719.6</v>
      </c>
      <c r="W32" s="16">
        <f t="shared" si="7"/>
        <v>3.0000010359280571E-2</v>
      </c>
      <c r="X32" s="15">
        <f t="shared" si="11"/>
        <v>48719.6</v>
      </c>
    </row>
    <row r="33" spans="1:24" x14ac:dyDescent="0.2">
      <c r="A33" s="22" t="s">
        <v>106</v>
      </c>
      <c r="B33" s="22" t="s">
        <v>105</v>
      </c>
      <c r="C33" s="44">
        <v>100021514</v>
      </c>
      <c r="D33" s="24" t="s">
        <v>123</v>
      </c>
      <c r="E33" s="49">
        <v>7790360006943</v>
      </c>
      <c r="F33" s="15">
        <v>4.1399999999999997</v>
      </c>
      <c r="G33" s="19">
        <v>60</v>
      </c>
      <c r="I33" s="15">
        <f t="shared" si="0"/>
        <v>1427.3996149047712</v>
      </c>
      <c r="J33" s="15">
        <f t="shared" si="1"/>
        <v>1141.919691923817</v>
      </c>
      <c r="K33" s="47"/>
      <c r="L33" s="15">
        <f t="shared" si="2"/>
        <v>761.07684079166688</v>
      </c>
      <c r="M33" s="15">
        <f t="shared" si="10"/>
        <v>11030.099141908217</v>
      </c>
      <c r="N33" s="40">
        <v>45664.61044750001</v>
      </c>
      <c r="O33" s="16"/>
      <c r="P33" s="12">
        <f t="shared" si="4"/>
        <v>45664.61044750001</v>
      </c>
      <c r="Q33" s="16"/>
      <c r="R33" s="12">
        <f t="shared" si="5"/>
        <v>45664.61044750001</v>
      </c>
      <c r="S33" s="15">
        <f t="shared" si="6"/>
        <v>761.07684079166688</v>
      </c>
      <c r="V33" s="15">
        <v>44334.57</v>
      </c>
      <c r="W33" s="16">
        <f t="shared" si="7"/>
        <v>3.0000075505412838E-2</v>
      </c>
      <c r="X33" s="15">
        <f t="shared" si="11"/>
        <v>44334.57</v>
      </c>
    </row>
    <row r="34" spans="1:24" x14ac:dyDescent="0.2">
      <c r="A34" s="22" t="s">
        <v>106</v>
      </c>
      <c r="B34" s="22" t="s">
        <v>105</v>
      </c>
      <c r="C34" s="68">
        <v>100516208</v>
      </c>
      <c r="D34" s="67" t="s">
        <v>122</v>
      </c>
      <c r="E34" s="66">
        <v>7790360968203</v>
      </c>
      <c r="F34" s="15">
        <f>60*0.08</f>
        <v>4.8</v>
      </c>
      <c r="G34" s="19">
        <v>60</v>
      </c>
      <c r="I34" s="15">
        <f t="shared" si="0"/>
        <v>1654.9565933475487</v>
      </c>
      <c r="J34" s="15">
        <f t="shared" si="1"/>
        <v>1323.9652746780391</v>
      </c>
      <c r="K34" s="42"/>
      <c r="L34" s="15">
        <f t="shared" si="2"/>
        <v>882.40820759666678</v>
      </c>
      <c r="M34" s="15">
        <f t="shared" si="10"/>
        <v>11030.102594958335</v>
      </c>
      <c r="N34" s="40">
        <v>52944.492455800006</v>
      </c>
      <c r="O34" s="65"/>
      <c r="P34" s="12">
        <f t="shared" si="4"/>
        <v>52944.492455800006</v>
      </c>
      <c r="Q34" s="64"/>
      <c r="R34" s="12">
        <f t="shared" si="5"/>
        <v>52944.492455800006</v>
      </c>
      <c r="S34" s="15">
        <f t="shared" si="6"/>
        <v>882.40820759666678</v>
      </c>
      <c r="V34" s="12">
        <v>51402.42</v>
      </c>
      <c r="W34" s="16">
        <f t="shared" si="7"/>
        <v>2.9999997194684713E-2</v>
      </c>
      <c r="X34" s="15">
        <f t="shared" si="11"/>
        <v>51402.42</v>
      </c>
    </row>
    <row r="35" spans="1:24" x14ac:dyDescent="0.2">
      <c r="A35" s="22" t="s">
        <v>106</v>
      </c>
      <c r="B35" s="22" t="s">
        <v>105</v>
      </c>
      <c r="C35" s="44">
        <v>100518346</v>
      </c>
      <c r="D35" s="24" t="s">
        <v>121</v>
      </c>
      <c r="E35" s="49">
        <v>7790360975478</v>
      </c>
      <c r="F35" s="15">
        <v>6.54</v>
      </c>
      <c r="G35" s="19">
        <v>60</v>
      </c>
      <c r="I35" s="15">
        <f t="shared" si="0"/>
        <v>2365.4129449886559</v>
      </c>
      <c r="J35" s="15">
        <f t="shared" si="1"/>
        <v>1892.3303559909248</v>
      </c>
      <c r="K35" s="47"/>
      <c r="L35" s="15">
        <f t="shared" si="2"/>
        <v>1261.2172460616669</v>
      </c>
      <c r="M35" s="15">
        <f t="shared" si="10"/>
        <v>11570.8004225841</v>
      </c>
      <c r="N35" s="40">
        <v>75673.034763700009</v>
      </c>
      <c r="O35" s="16"/>
      <c r="P35" s="12">
        <f t="shared" si="4"/>
        <v>75673.034763700009</v>
      </c>
      <c r="Q35" s="16"/>
      <c r="R35" s="12">
        <f t="shared" si="5"/>
        <v>75673.034763700009</v>
      </c>
      <c r="S35" s="15">
        <f t="shared" si="6"/>
        <v>1261.2172460616669</v>
      </c>
      <c r="V35" s="15">
        <v>73468.97</v>
      </c>
      <c r="W35" s="16">
        <f t="shared" si="7"/>
        <v>2.9999940977803341E-2</v>
      </c>
      <c r="X35" s="15">
        <f t="shared" si="11"/>
        <v>73468.97</v>
      </c>
    </row>
    <row r="36" spans="1:24" x14ac:dyDescent="0.2">
      <c r="A36" s="22" t="s">
        <v>106</v>
      </c>
      <c r="B36" s="22" t="s">
        <v>105</v>
      </c>
      <c r="C36" s="68">
        <v>100516259</v>
      </c>
      <c r="D36" s="67" t="s">
        <v>120</v>
      </c>
      <c r="E36" s="66">
        <v>7790360968340</v>
      </c>
      <c r="F36" s="15">
        <v>18.16</v>
      </c>
      <c r="G36" s="19">
        <v>48</v>
      </c>
      <c r="I36" s="15">
        <f t="shared" si="0"/>
        <v>6841.0375195035631</v>
      </c>
      <c r="J36" s="15">
        <f t="shared" si="1"/>
        <v>5472.8300156028508</v>
      </c>
      <c r="K36" s="42"/>
      <c r="L36" s="15">
        <f t="shared" si="2"/>
        <v>3647.5806555604172</v>
      </c>
      <c r="M36" s="15">
        <f t="shared" si="10"/>
        <v>9641.1823494989003</v>
      </c>
      <c r="N36" s="40">
        <v>175083.87146690002</v>
      </c>
      <c r="O36" s="65"/>
      <c r="P36" s="12">
        <f t="shared" si="4"/>
        <v>175083.87146690002</v>
      </c>
      <c r="Q36" s="64"/>
      <c r="R36" s="12">
        <f t="shared" si="5"/>
        <v>175083.87146690002</v>
      </c>
      <c r="S36" s="15">
        <f t="shared" si="6"/>
        <v>3647.5806555604172</v>
      </c>
      <c r="V36" s="12">
        <v>169984.34</v>
      </c>
      <c r="W36" s="16">
        <f t="shared" si="7"/>
        <v>3.0000007453039546E-2</v>
      </c>
      <c r="X36" s="15">
        <f t="shared" si="11"/>
        <v>169984.34</v>
      </c>
    </row>
    <row r="37" spans="1:24" hidden="1" x14ac:dyDescent="0.2">
      <c r="A37" s="22" t="s">
        <v>106</v>
      </c>
      <c r="B37" s="22" t="s">
        <v>114</v>
      </c>
      <c r="C37" s="44">
        <v>100021669</v>
      </c>
      <c r="D37" s="24" t="s">
        <v>119</v>
      </c>
      <c r="E37" s="49">
        <v>8480017241375</v>
      </c>
      <c r="F37" s="15">
        <v>5.9749999999999996</v>
      </c>
      <c r="G37" s="19">
        <v>18</v>
      </c>
      <c r="I37" s="15" t="e">
        <f t="shared" si="0"/>
        <v>#VALUE!</v>
      </c>
      <c r="J37" s="15">
        <v>0</v>
      </c>
      <c r="K37" s="47"/>
      <c r="L37" s="15" t="str">
        <f t="shared" si="2"/>
        <v/>
      </c>
      <c r="M37" s="15" t="str">
        <f t="shared" si="10"/>
        <v/>
      </c>
      <c r="N37" s="40" t="e">
        <v>#VALUE!</v>
      </c>
      <c r="O37" s="16"/>
      <c r="P37" s="12" t="str">
        <f t="shared" si="4"/>
        <v/>
      </c>
      <c r="Q37" s="16"/>
      <c r="R37" s="12" t="str">
        <f t="shared" si="5"/>
        <v/>
      </c>
      <c r="S37" s="15" t="str">
        <f t="shared" si="6"/>
        <v/>
      </c>
      <c r="V37" s="15" t="s">
        <v>31</v>
      </c>
      <c r="W37" s="16" t="str">
        <f t="shared" si="7"/>
        <v/>
      </c>
      <c r="X37" s="15" t="str">
        <f t="shared" si="11"/>
        <v/>
      </c>
    </row>
    <row r="38" spans="1:24" hidden="1" x14ac:dyDescent="0.2">
      <c r="A38" s="22" t="s">
        <v>106</v>
      </c>
      <c r="B38" s="22" t="s">
        <v>114</v>
      </c>
      <c r="C38" s="44">
        <v>100021670</v>
      </c>
      <c r="D38" s="24" t="s">
        <v>118</v>
      </c>
      <c r="E38" s="49">
        <v>8480017241382</v>
      </c>
      <c r="F38" s="15">
        <v>11.95</v>
      </c>
      <c r="G38" s="19">
        <v>12</v>
      </c>
      <c r="I38" s="15" t="e">
        <f t="shared" si="0"/>
        <v>#VALUE!</v>
      </c>
      <c r="J38" s="15">
        <v>0</v>
      </c>
      <c r="K38" s="47"/>
      <c r="L38" s="15" t="str">
        <f t="shared" si="2"/>
        <v/>
      </c>
      <c r="M38" s="15" t="str">
        <f t="shared" si="10"/>
        <v/>
      </c>
      <c r="N38" s="40" t="e">
        <v>#VALUE!</v>
      </c>
      <c r="O38" s="16"/>
      <c r="P38" s="12" t="str">
        <f t="shared" si="4"/>
        <v/>
      </c>
      <c r="Q38" s="16"/>
      <c r="R38" s="12" t="str">
        <f t="shared" si="5"/>
        <v/>
      </c>
      <c r="S38" s="15" t="str">
        <f t="shared" si="6"/>
        <v/>
      </c>
      <c r="V38" s="15" t="s">
        <v>31</v>
      </c>
      <c r="W38" s="16" t="str">
        <f t="shared" si="7"/>
        <v/>
      </c>
      <c r="X38" s="15" t="str">
        <f t="shared" si="11"/>
        <v/>
      </c>
    </row>
    <row r="39" spans="1:24" hidden="1" x14ac:dyDescent="0.2">
      <c r="A39" s="22" t="s">
        <v>106</v>
      </c>
      <c r="B39" s="22" t="s">
        <v>114</v>
      </c>
      <c r="C39" s="44">
        <v>100021671</v>
      </c>
      <c r="D39" s="24" t="s">
        <v>117</v>
      </c>
      <c r="E39" s="49">
        <v>8480017241399</v>
      </c>
      <c r="F39" s="15">
        <v>9.9600000000000009</v>
      </c>
      <c r="G39" s="19">
        <v>6</v>
      </c>
      <c r="I39" s="15" t="e">
        <f t="shared" si="0"/>
        <v>#VALUE!</v>
      </c>
      <c r="J39" s="15">
        <v>0</v>
      </c>
      <c r="K39" s="47"/>
      <c r="L39" s="15" t="str">
        <f t="shared" si="2"/>
        <v/>
      </c>
      <c r="M39" s="15" t="str">
        <f t="shared" si="10"/>
        <v/>
      </c>
      <c r="N39" s="40" t="e">
        <v>#VALUE!</v>
      </c>
      <c r="O39" s="16"/>
      <c r="P39" s="12" t="str">
        <f t="shared" si="4"/>
        <v/>
      </c>
      <c r="Q39" s="16"/>
      <c r="R39" s="12" t="str">
        <f t="shared" si="5"/>
        <v/>
      </c>
      <c r="S39" s="15" t="str">
        <f t="shared" si="6"/>
        <v/>
      </c>
      <c r="V39" s="15" t="s">
        <v>31</v>
      </c>
      <c r="W39" s="16" t="str">
        <f t="shared" si="7"/>
        <v/>
      </c>
      <c r="X39" s="15" t="str">
        <f t="shared" si="11"/>
        <v/>
      </c>
    </row>
    <row r="40" spans="1:24" hidden="1" x14ac:dyDescent="0.2">
      <c r="A40" s="22" t="s">
        <v>106</v>
      </c>
      <c r="B40" s="22" t="s">
        <v>114</v>
      </c>
      <c r="C40" s="44">
        <v>100021647</v>
      </c>
      <c r="D40" s="24" t="s">
        <v>116</v>
      </c>
      <c r="E40" s="49">
        <v>7798158708925</v>
      </c>
      <c r="F40" s="15">
        <v>5.76</v>
      </c>
      <c r="G40" s="19">
        <v>18</v>
      </c>
      <c r="I40" s="15" t="e">
        <f t="shared" si="0"/>
        <v>#VALUE!</v>
      </c>
      <c r="J40" s="15">
        <v>0</v>
      </c>
      <c r="K40" s="47"/>
      <c r="L40" s="15" t="str">
        <f t="shared" si="2"/>
        <v/>
      </c>
      <c r="M40" s="15" t="str">
        <f t="shared" si="10"/>
        <v/>
      </c>
      <c r="N40" s="40" t="e">
        <v>#VALUE!</v>
      </c>
      <c r="O40" s="16"/>
      <c r="P40" s="12" t="str">
        <f t="shared" si="4"/>
        <v/>
      </c>
      <c r="Q40" s="16"/>
      <c r="R40" s="12" t="str">
        <f t="shared" si="5"/>
        <v/>
      </c>
      <c r="S40" s="15" t="str">
        <f t="shared" si="6"/>
        <v/>
      </c>
      <c r="V40" s="15" t="s">
        <v>31</v>
      </c>
      <c r="W40" s="16" t="str">
        <f t="shared" si="7"/>
        <v/>
      </c>
      <c r="X40" s="15" t="str">
        <f t="shared" si="11"/>
        <v/>
      </c>
    </row>
    <row r="41" spans="1:24" hidden="1" x14ac:dyDescent="0.2">
      <c r="A41" s="22" t="s">
        <v>106</v>
      </c>
      <c r="B41" s="22" t="s">
        <v>114</v>
      </c>
      <c r="C41" s="44">
        <v>100021648</v>
      </c>
      <c r="D41" s="24" t="s">
        <v>115</v>
      </c>
      <c r="E41" s="49">
        <v>7798158708932</v>
      </c>
      <c r="F41" s="15">
        <v>7.68</v>
      </c>
      <c r="G41" s="19">
        <v>8</v>
      </c>
      <c r="I41" s="15" t="e">
        <f t="shared" si="0"/>
        <v>#VALUE!</v>
      </c>
      <c r="J41" s="15">
        <v>0</v>
      </c>
      <c r="K41" s="47"/>
      <c r="L41" s="15" t="str">
        <f t="shared" si="2"/>
        <v/>
      </c>
      <c r="M41" s="15" t="str">
        <f t="shared" si="10"/>
        <v/>
      </c>
      <c r="N41" s="40" t="e">
        <v>#VALUE!</v>
      </c>
      <c r="O41" s="16"/>
      <c r="P41" s="12" t="str">
        <f t="shared" si="4"/>
        <v/>
      </c>
      <c r="Q41" s="16"/>
      <c r="R41" s="12" t="str">
        <f t="shared" si="5"/>
        <v/>
      </c>
      <c r="S41" s="15" t="str">
        <f t="shared" si="6"/>
        <v/>
      </c>
      <c r="V41" s="15" t="s">
        <v>31</v>
      </c>
      <c r="W41" s="16" t="str">
        <f t="shared" si="7"/>
        <v/>
      </c>
      <c r="X41" s="15" t="str">
        <f t="shared" si="11"/>
        <v/>
      </c>
    </row>
    <row r="42" spans="1:24" hidden="1" x14ac:dyDescent="0.2">
      <c r="A42" s="22" t="s">
        <v>106</v>
      </c>
      <c r="B42" s="22" t="s">
        <v>114</v>
      </c>
      <c r="C42" s="44">
        <v>100021649</v>
      </c>
      <c r="D42" s="24" t="s">
        <v>113</v>
      </c>
      <c r="E42" s="49">
        <v>7798158708949</v>
      </c>
      <c r="F42" s="15">
        <v>9.6</v>
      </c>
      <c r="G42" s="19">
        <v>6</v>
      </c>
      <c r="I42" s="15" t="e">
        <f t="shared" si="0"/>
        <v>#VALUE!</v>
      </c>
      <c r="J42" s="15">
        <v>0</v>
      </c>
      <c r="K42" s="47"/>
      <c r="L42" s="15" t="str">
        <f t="shared" si="2"/>
        <v/>
      </c>
      <c r="M42" s="15" t="str">
        <f t="shared" si="10"/>
        <v/>
      </c>
      <c r="N42" s="40" t="e">
        <v>#VALUE!</v>
      </c>
      <c r="O42" s="16"/>
      <c r="P42" s="12" t="str">
        <f t="shared" si="4"/>
        <v/>
      </c>
      <c r="Q42" s="16"/>
      <c r="R42" s="12" t="str">
        <f t="shared" si="5"/>
        <v/>
      </c>
      <c r="S42" s="15" t="str">
        <f t="shared" si="6"/>
        <v/>
      </c>
      <c r="V42" s="15" t="s">
        <v>31</v>
      </c>
      <c r="W42" s="16" t="str">
        <f t="shared" si="7"/>
        <v/>
      </c>
      <c r="X42" s="15" t="str">
        <f t="shared" si="11"/>
        <v/>
      </c>
    </row>
    <row r="43" spans="1:24" x14ac:dyDescent="0.2">
      <c r="A43" s="22" t="s">
        <v>106</v>
      </c>
      <c r="B43" s="22" t="s">
        <v>110</v>
      </c>
      <c r="C43" s="44">
        <v>100518095</v>
      </c>
      <c r="D43" s="24" t="s">
        <v>112</v>
      </c>
      <c r="E43" s="49">
        <v>7790360974785</v>
      </c>
      <c r="F43" s="15">
        <v>6.66</v>
      </c>
      <c r="G43" s="19">
        <v>36</v>
      </c>
      <c r="I43" s="15">
        <f t="shared" si="0"/>
        <v>4544.6987413115157</v>
      </c>
      <c r="J43" s="15">
        <v>0</v>
      </c>
      <c r="K43" s="47"/>
      <c r="L43" s="15">
        <f t="shared" si="2"/>
        <v>2423.1931438611118</v>
      </c>
      <c r="M43" s="15">
        <f t="shared" si="10"/>
        <v>13098.341318168174</v>
      </c>
      <c r="N43" s="40">
        <v>87234.953179000033</v>
      </c>
      <c r="O43" s="16"/>
      <c r="P43" s="12">
        <f t="shared" si="4"/>
        <v>87234.953179000033</v>
      </c>
      <c r="Q43" s="16"/>
      <c r="R43" s="12">
        <f t="shared" si="5"/>
        <v>87234.953179000033</v>
      </c>
      <c r="S43" s="15">
        <f t="shared" si="6"/>
        <v>2423.1931438611118</v>
      </c>
      <c r="V43" s="15">
        <v>84694.13</v>
      </c>
      <c r="W43" s="16">
        <f t="shared" si="7"/>
        <v>2.9999991487013711E-2</v>
      </c>
      <c r="X43" s="15">
        <f t="shared" si="11"/>
        <v>84694.13</v>
      </c>
    </row>
    <row r="44" spans="1:24" ht="12.6" hidden="1" customHeight="1" x14ac:dyDescent="0.2">
      <c r="A44" s="22" t="s">
        <v>106</v>
      </c>
      <c r="B44" s="22" t="s">
        <v>110</v>
      </c>
      <c r="C44" s="44">
        <v>100518163</v>
      </c>
      <c r="D44" s="24" t="s">
        <v>111</v>
      </c>
      <c r="E44" s="49"/>
      <c r="F44" s="15">
        <v>4.8</v>
      </c>
      <c r="G44" s="19">
        <v>30</v>
      </c>
      <c r="I44" s="15">
        <f t="shared" si="0"/>
        <v>0</v>
      </c>
      <c r="J44" s="15">
        <v>0</v>
      </c>
      <c r="K44" s="47"/>
      <c r="L44" s="15">
        <f t="shared" si="2"/>
        <v>0</v>
      </c>
      <c r="M44" s="15">
        <f t="shared" si="10"/>
        <v>0</v>
      </c>
      <c r="N44" s="40">
        <v>0</v>
      </c>
      <c r="O44" s="16"/>
      <c r="P44" s="12">
        <f t="shared" si="4"/>
        <v>0</v>
      </c>
      <c r="Q44" s="16"/>
      <c r="R44" s="12">
        <f t="shared" si="5"/>
        <v>0</v>
      </c>
      <c r="S44" s="15">
        <f t="shared" si="6"/>
        <v>0</v>
      </c>
      <c r="V44" s="15" t="s">
        <v>31</v>
      </c>
      <c r="W44" s="16" t="str">
        <f t="shared" si="7"/>
        <v/>
      </c>
      <c r="X44" s="15" t="str">
        <f t="shared" si="11"/>
        <v/>
      </c>
    </row>
    <row r="45" spans="1:24" ht="12.6" hidden="1" customHeight="1" x14ac:dyDescent="0.2">
      <c r="A45" s="63" t="s">
        <v>106</v>
      </c>
      <c r="B45" s="62" t="s">
        <v>110</v>
      </c>
      <c r="C45" s="61">
        <v>100520851</v>
      </c>
      <c r="D45" s="60" t="s">
        <v>109</v>
      </c>
      <c r="E45" s="59"/>
      <c r="F45" s="54">
        <v>15.18</v>
      </c>
      <c r="G45" s="58">
        <v>276</v>
      </c>
      <c r="I45" s="57"/>
      <c r="J45" s="52"/>
      <c r="K45" s="47"/>
      <c r="L45" s="57"/>
      <c r="M45" s="54"/>
      <c r="N45" s="56"/>
      <c r="O45" s="53"/>
      <c r="P45" s="55"/>
      <c r="Q45" s="53"/>
      <c r="R45" s="55"/>
      <c r="S45" s="52"/>
      <c r="V45" s="54"/>
      <c r="W45" s="53"/>
      <c r="X45" s="52"/>
    </row>
    <row r="46" spans="1:24" ht="12.6" hidden="1" customHeight="1" x14ac:dyDescent="0.2">
      <c r="A46" s="22" t="s">
        <v>106</v>
      </c>
      <c r="B46" s="22" t="s">
        <v>105</v>
      </c>
      <c r="C46" s="61">
        <v>100521169</v>
      </c>
      <c r="D46" s="60" t="s">
        <v>108</v>
      </c>
      <c r="E46" s="59"/>
      <c r="F46" s="54">
        <f>30*0.08</f>
        <v>2.4</v>
      </c>
      <c r="G46" s="58">
        <v>30</v>
      </c>
      <c r="I46" s="15">
        <f>+L46*1.55*1.21</f>
        <v>0</v>
      </c>
      <c r="J46" s="15">
        <v>0</v>
      </c>
      <c r="K46" s="47"/>
      <c r="L46" s="15">
        <f>+IF(ISERROR(N46/G46),"",(N46/G46))</f>
        <v>0</v>
      </c>
      <c r="M46" s="15">
        <f>+IF(ISERROR(N46/F46),"",(N46/F46))</f>
        <v>0</v>
      </c>
      <c r="N46" s="40"/>
      <c r="O46" s="16"/>
      <c r="P46" s="12">
        <f>+IF(ISERROR(N46/(1-O46)),"",(N46/(1-O46)))</f>
        <v>0</v>
      </c>
      <c r="Q46" s="16"/>
      <c r="R46" s="12">
        <f>+IF(ISERROR(P46/(1-Q46)),"",(P46/(1-Q46)))</f>
        <v>0</v>
      </c>
      <c r="S46" s="15">
        <f>+IF(ISERROR(R46/G46),"",(R46/G46))</f>
        <v>0</v>
      </c>
      <c r="V46" s="15" t="s">
        <v>31</v>
      </c>
      <c r="W46" s="16" t="str">
        <f>+IF(ISERROR(N46/V46-1),"",(N46/V46-1))</f>
        <v/>
      </c>
      <c r="X46" s="15" t="str">
        <f>+IF(ISERROR(V46*(1-O46)),"",(V46*(1-O46)))</f>
        <v/>
      </c>
    </row>
    <row r="47" spans="1:24" ht="12.6" hidden="1" customHeight="1" x14ac:dyDescent="0.2">
      <c r="A47" s="22" t="s">
        <v>106</v>
      </c>
      <c r="B47" s="22" t="s">
        <v>105</v>
      </c>
      <c r="C47" s="61">
        <v>100521173</v>
      </c>
      <c r="D47" s="60" t="s">
        <v>107</v>
      </c>
      <c r="E47" s="59"/>
      <c r="F47" s="54">
        <f>30*0.08</f>
        <v>2.4</v>
      </c>
      <c r="G47" s="58">
        <v>30</v>
      </c>
      <c r="I47" s="15">
        <f>+L47*1.55*1.21</f>
        <v>0</v>
      </c>
      <c r="J47" s="15">
        <v>0</v>
      </c>
      <c r="K47" s="47"/>
      <c r="L47" s="15">
        <f>+IF(ISERROR(N47/G47),"",(N47/G47))</f>
        <v>0</v>
      </c>
      <c r="M47" s="15">
        <f>+IF(ISERROR(N47/F47),"",(N47/F47))</f>
        <v>0</v>
      </c>
      <c r="N47" s="40"/>
      <c r="O47" s="16"/>
      <c r="P47" s="12">
        <f>+IF(ISERROR(N47/(1-O47)),"",(N47/(1-O47)))</f>
        <v>0</v>
      </c>
      <c r="Q47" s="16"/>
      <c r="R47" s="12">
        <f>+IF(ISERROR(P47/(1-Q47)),"",(P47/(1-Q47)))</f>
        <v>0</v>
      </c>
      <c r="S47" s="15">
        <f>+IF(ISERROR(R47/G47),"",(R47/G47))</f>
        <v>0</v>
      </c>
      <c r="V47" s="15" t="s">
        <v>31</v>
      </c>
      <c r="W47" s="16" t="str">
        <f>+IF(ISERROR(N47/V47-1),"",(N47/V47-1))</f>
        <v/>
      </c>
      <c r="X47" s="15" t="str">
        <f>+IF(ISERROR(V47*(1-O47)),"",(V47*(1-O47)))</f>
        <v/>
      </c>
    </row>
    <row r="48" spans="1:24" ht="12.6" hidden="1" customHeight="1" x14ac:dyDescent="0.2">
      <c r="A48" s="22" t="s">
        <v>106</v>
      </c>
      <c r="B48" s="22" t="s">
        <v>105</v>
      </c>
      <c r="C48" s="61">
        <v>100522168</v>
      </c>
      <c r="D48" s="60" t="s">
        <v>104</v>
      </c>
      <c r="E48" s="59"/>
      <c r="F48" s="54">
        <v>4.62</v>
      </c>
      <c r="G48" s="58">
        <v>48</v>
      </c>
      <c r="I48" s="57"/>
      <c r="J48" s="52"/>
      <c r="K48" s="47"/>
      <c r="L48" s="57"/>
      <c r="M48" s="54"/>
      <c r="N48" s="56"/>
      <c r="O48" s="53"/>
      <c r="P48" s="55"/>
      <c r="Q48" s="53"/>
      <c r="R48" s="55"/>
      <c r="S48" s="52"/>
      <c r="V48" s="54"/>
      <c r="W48" s="53"/>
      <c r="X48" s="52"/>
    </row>
    <row r="49" spans="1:24" x14ac:dyDescent="0.2">
      <c r="A49" s="37"/>
      <c r="B49" s="36"/>
      <c r="C49" s="35"/>
      <c r="D49" s="27"/>
      <c r="E49" s="35"/>
      <c r="F49" s="27"/>
      <c r="G49" s="34"/>
      <c r="I49" s="32"/>
      <c r="J49" s="33"/>
      <c r="K49" s="47"/>
      <c r="L49" s="32"/>
      <c r="M49" s="27"/>
      <c r="N49" s="27"/>
      <c r="O49" s="30"/>
      <c r="P49" s="27"/>
      <c r="Q49" s="30"/>
      <c r="R49" s="27"/>
      <c r="S49" s="25"/>
      <c r="V49" s="27"/>
      <c r="W49" s="45"/>
      <c r="X49" s="25"/>
    </row>
    <row r="50" spans="1:24" x14ac:dyDescent="0.2">
      <c r="A50" s="24" t="s">
        <v>86</v>
      </c>
      <c r="B50" s="22" t="s">
        <v>100</v>
      </c>
      <c r="C50" s="44">
        <v>100022085</v>
      </c>
      <c r="D50" s="24" t="s">
        <v>103</v>
      </c>
      <c r="E50" s="49">
        <v>7790360000132</v>
      </c>
      <c r="F50" s="15">
        <v>5.4</v>
      </c>
      <c r="G50" s="19">
        <v>24</v>
      </c>
      <c r="H50" s="51"/>
      <c r="I50" s="15">
        <f t="shared" ref="I50:I57" si="12">+L50*1.55*1.21</f>
        <v>3434.3993904051563</v>
      </c>
      <c r="J50" s="15">
        <f t="shared" ref="J50:J57" si="13">+I50*0.8</f>
        <v>2747.5195123241251</v>
      </c>
      <c r="K50" s="47"/>
      <c r="L50" s="15">
        <f t="shared" ref="L50:L61" si="14">+IF(ISERROR(N50/G50),"",(N50/G50))</f>
        <v>1831.1913571875002</v>
      </c>
      <c r="M50" s="15">
        <f t="shared" ref="M50:M67" si="15">+IF(ISERROR(N50/F50),"",(N50/F50))</f>
        <v>8138.6282541666669</v>
      </c>
      <c r="N50" s="40">
        <v>43948.592572500005</v>
      </c>
      <c r="O50" s="16"/>
      <c r="P50" s="15">
        <f t="shared" ref="P50:P67" si="16">+IF(ISERROR(N50/(1-O50)),"",(N50/(1-O50)))</f>
        <v>43948.592572500005</v>
      </c>
      <c r="Q50" s="16"/>
      <c r="R50" s="15">
        <f t="shared" ref="R50:R67" si="17">+IF(ISERROR(P50/(1-Q50)),"",(P50/(1-Q50)))</f>
        <v>43948.592572500005</v>
      </c>
      <c r="S50" s="15">
        <f t="shared" ref="S50:S67" si="18">+IF(ISERROR(R50/G50),"",(R50/G50))</f>
        <v>1831.1913571875002</v>
      </c>
      <c r="V50" s="12">
        <v>41855.800000000003</v>
      </c>
      <c r="W50" s="16">
        <f t="shared" ref="W50:W66" si="19">+IF(ISERROR(N50/V50-1),"",(N50/V50-1))</f>
        <v>5.0000061461016099E-2</v>
      </c>
      <c r="X50" s="15">
        <f t="shared" ref="X50:X67" si="20">+IF(ISERROR(V50*(1-O50)),"",(V50*(1-O50)))</f>
        <v>41855.800000000003</v>
      </c>
    </row>
    <row r="51" spans="1:24" x14ac:dyDescent="0.2">
      <c r="A51" s="24" t="s">
        <v>86</v>
      </c>
      <c r="B51" s="22" t="s">
        <v>100</v>
      </c>
      <c r="C51" s="44">
        <v>100522204</v>
      </c>
      <c r="D51" s="24" t="s">
        <v>103</v>
      </c>
      <c r="E51" s="49">
        <v>7790360983947</v>
      </c>
      <c r="F51" s="15">
        <v>5.4</v>
      </c>
      <c r="G51" s="19">
        <v>24</v>
      </c>
      <c r="H51" s="51"/>
      <c r="I51" s="15">
        <f t="shared" si="12"/>
        <v>3434.3984426915636</v>
      </c>
      <c r="J51" s="15">
        <f t="shared" si="13"/>
        <v>2747.5187541532509</v>
      </c>
      <c r="K51" s="47"/>
      <c r="L51" s="15">
        <f t="shared" si="14"/>
        <v>1831.1908518750004</v>
      </c>
      <c r="M51" s="15">
        <f t="shared" si="15"/>
        <v>8138.6260083333336</v>
      </c>
      <c r="N51" s="40">
        <v>43948.580445000007</v>
      </c>
      <c r="O51" s="16"/>
      <c r="P51" s="15">
        <f t="shared" si="16"/>
        <v>43948.580445000007</v>
      </c>
      <c r="Q51" s="16"/>
      <c r="R51" s="15">
        <f t="shared" si="17"/>
        <v>43948.580445000007</v>
      </c>
      <c r="S51" s="15">
        <f t="shared" si="18"/>
        <v>1831.1908518750004</v>
      </c>
      <c r="V51" s="12">
        <v>41855.79</v>
      </c>
      <c r="W51" s="16">
        <f t="shared" si="19"/>
        <v>5.0000022577521674E-2</v>
      </c>
      <c r="X51" s="15">
        <f t="shared" si="20"/>
        <v>41855.79</v>
      </c>
    </row>
    <row r="52" spans="1:24" x14ac:dyDescent="0.2">
      <c r="A52" s="24" t="s">
        <v>86</v>
      </c>
      <c r="B52" s="22" t="s">
        <v>100</v>
      </c>
      <c r="C52" s="44">
        <v>100022072</v>
      </c>
      <c r="D52" s="24" t="s">
        <v>102</v>
      </c>
      <c r="E52" s="49">
        <v>7790360024541</v>
      </c>
      <c r="F52" s="15">
        <v>5.4</v>
      </c>
      <c r="G52" s="19">
        <v>12</v>
      </c>
      <c r="H52" s="51"/>
      <c r="I52" s="15">
        <f t="shared" si="12"/>
        <v>6073.7561607318739</v>
      </c>
      <c r="J52" s="15">
        <f t="shared" si="13"/>
        <v>4859.0049285854993</v>
      </c>
      <c r="K52" s="47"/>
      <c r="L52" s="15">
        <f t="shared" si="14"/>
        <v>3238.4730262499997</v>
      </c>
      <c r="M52" s="15">
        <f t="shared" si="15"/>
        <v>7196.6067249999987</v>
      </c>
      <c r="N52" s="40">
        <v>38861.676314999997</v>
      </c>
      <c r="O52" s="16"/>
      <c r="P52" s="15">
        <f t="shared" si="16"/>
        <v>38861.676314999997</v>
      </c>
      <c r="Q52" s="16"/>
      <c r="R52" s="15">
        <f t="shared" si="17"/>
        <v>38861.676314999997</v>
      </c>
      <c r="S52" s="15">
        <f t="shared" si="18"/>
        <v>3238.4730262499997</v>
      </c>
      <c r="V52" s="12">
        <v>37011.120000000003</v>
      </c>
      <c r="W52" s="16">
        <f t="shared" si="19"/>
        <v>5.000000851095554E-2</v>
      </c>
      <c r="X52" s="15">
        <f t="shared" si="20"/>
        <v>37011.120000000003</v>
      </c>
    </row>
    <row r="53" spans="1:24" x14ac:dyDescent="0.2">
      <c r="A53" s="24" t="s">
        <v>86</v>
      </c>
      <c r="B53" s="22" t="s">
        <v>100</v>
      </c>
      <c r="C53" s="44">
        <v>100522205</v>
      </c>
      <c r="D53" s="24" t="s">
        <v>102</v>
      </c>
      <c r="E53" s="49">
        <v>7790360983954</v>
      </c>
      <c r="F53" s="15">
        <v>5.4</v>
      </c>
      <c r="G53" s="19">
        <v>12</v>
      </c>
      <c r="H53" s="51"/>
      <c r="I53" s="15">
        <f t="shared" si="12"/>
        <v>6073.7561607318739</v>
      </c>
      <c r="J53" s="15">
        <f t="shared" si="13"/>
        <v>4859.0049285854993</v>
      </c>
      <c r="K53" s="47"/>
      <c r="L53" s="15">
        <f t="shared" si="14"/>
        <v>3238.4730262499997</v>
      </c>
      <c r="M53" s="15">
        <f t="shared" si="15"/>
        <v>7196.6067249999987</v>
      </c>
      <c r="N53" s="40">
        <v>38861.676314999997</v>
      </c>
      <c r="O53" s="16"/>
      <c r="P53" s="15">
        <f t="shared" si="16"/>
        <v>38861.676314999997</v>
      </c>
      <c r="Q53" s="16"/>
      <c r="R53" s="15">
        <f t="shared" si="17"/>
        <v>38861.676314999997</v>
      </c>
      <c r="S53" s="15">
        <f t="shared" si="18"/>
        <v>3238.4730262499997</v>
      </c>
      <c r="V53" s="12" t="s">
        <v>31</v>
      </c>
      <c r="W53" s="16" t="str">
        <f t="shared" si="19"/>
        <v/>
      </c>
      <c r="X53" s="15" t="str">
        <f t="shared" si="20"/>
        <v/>
      </c>
    </row>
    <row r="54" spans="1:24" hidden="1" x14ac:dyDescent="0.2">
      <c r="A54" s="24" t="s">
        <v>86</v>
      </c>
      <c r="B54" s="22" t="s">
        <v>100</v>
      </c>
      <c r="C54" s="44">
        <v>100022073</v>
      </c>
      <c r="D54" s="24" t="s">
        <v>101</v>
      </c>
      <c r="E54" s="49">
        <v>7790360024558</v>
      </c>
      <c r="F54" s="15">
        <v>5.4</v>
      </c>
      <c r="G54" s="19">
        <v>6</v>
      </c>
      <c r="H54" s="51"/>
      <c r="I54" s="15">
        <f t="shared" si="12"/>
        <v>12147.512321463748</v>
      </c>
      <c r="J54" s="15">
        <f t="shared" si="13"/>
        <v>9718.0098571709987</v>
      </c>
      <c r="K54" s="47"/>
      <c r="L54" s="15">
        <f t="shared" si="14"/>
        <v>6476.9460524999995</v>
      </c>
      <c r="M54" s="15">
        <f t="shared" si="15"/>
        <v>7196.6067249999987</v>
      </c>
      <c r="N54" s="40">
        <v>38861.676314999997</v>
      </c>
      <c r="O54" s="16"/>
      <c r="P54" s="15">
        <f t="shared" si="16"/>
        <v>38861.676314999997</v>
      </c>
      <c r="Q54" s="16"/>
      <c r="R54" s="15">
        <f t="shared" si="17"/>
        <v>38861.676314999997</v>
      </c>
      <c r="S54" s="15">
        <f t="shared" si="18"/>
        <v>6476.9460524999995</v>
      </c>
      <c r="V54" s="12" t="s">
        <v>31</v>
      </c>
      <c r="W54" s="16" t="str">
        <f t="shared" si="19"/>
        <v/>
      </c>
      <c r="X54" s="15" t="str">
        <f t="shared" si="20"/>
        <v/>
      </c>
    </row>
    <row r="55" spans="1:24" x14ac:dyDescent="0.2">
      <c r="A55" s="24" t="s">
        <v>86</v>
      </c>
      <c r="B55" s="22" t="s">
        <v>100</v>
      </c>
      <c r="C55" s="44">
        <v>100516849</v>
      </c>
      <c r="D55" s="24" t="s">
        <v>99</v>
      </c>
      <c r="E55" s="49">
        <v>7790360970053</v>
      </c>
      <c r="F55" s="15">
        <v>4.5599999990400004</v>
      </c>
      <c r="G55" s="19">
        <v>24</v>
      </c>
      <c r="H55" s="51"/>
      <c r="I55" s="15">
        <f t="shared" si="12"/>
        <v>2869.2834607335935</v>
      </c>
      <c r="J55" s="15">
        <f t="shared" si="13"/>
        <v>2295.4267685868749</v>
      </c>
      <c r="K55" s="47"/>
      <c r="L55" s="15">
        <f t="shared" si="14"/>
        <v>1529.8765453125</v>
      </c>
      <c r="M55" s="15">
        <f t="shared" si="15"/>
        <v>8051.9818191293643</v>
      </c>
      <c r="N55" s="40">
        <v>36717.037087500001</v>
      </c>
      <c r="O55" s="16"/>
      <c r="P55" s="15">
        <f t="shared" si="16"/>
        <v>36717.037087500001</v>
      </c>
      <c r="Q55" s="16"/>
      <c r="R55" s="15">
        <f t="shared" si="17"/>
        <v>36717.037087500001</v>
      </c>
      <c r="S55" s="15">
        <f t="shared" si="18"/>
        <v>1529.8765453125</v>
      </c>
      <c r="V55" s="12">
        <v>34968.61</v>
      </c>
      <c r="W55" s="16">
        <f t="shared" si="19"/>
        <v>4.9999902412477981E-2</v>
      </c>
      <c r="X55" s="15">
        <f t="shared" si="20"/>
        <v>34968.61</v>
      </c>
    </row>
    <row r="56" spans="1:24" x14ac:dyDescent="0.2">
      <c r="A56" s="24" t="s">
        <v>86</v>
      </c>
      <c r="B56" s="22" t="s">
        <v>95</v>
      </c>
      <c r="C56" s="44">
        <v>100022039</v>
      </c>
      <c r="D56" s="24" t="s">
        <v>98</v>
      </c>
      <c r="E56" s="49">
        <v>7790360007063</v>
      </c>
      <c r="F56" s="15">
        <v>8.6999999999999993</v>
      </c>
      <c r="G56" s="19">
        <v>10</v>
      </c>
      <c r="H56" s="51"/>
      <c r="I56" s="15">
        <f t="shared" si="12"/>
        <v>13406.550588931503</v>
      </c>
      <c r="J56" s="15">
        <f t="shared" si="13"/>
        <v>10725.240471145204</v>
      </c>
      <c r="K56" s="47"/>
      <c r="L56" s="15">
        <f t="shared" si="14"/>
        <v>7148.2541130000009</v>
      </c>
      <c r="M56" s="15">
        <f t="shared" si="15"/>
        <v>8216.3840379310368</v>
      </c>
      <c r="N56" s="40">
        <v>71482.541130000012</v>
      </c>
      <c r="O56" s="16"/>
      <c r="P56" s="15">
        <f t="shared" si="16"/>
        <v>71482.541130000012</v>
      </c>
      <c r="Q56" s="16"/>
      <c r="R56" s="15">
        <f t="shared" si="17"/>
        <v>71482.541130000012</v>
      </c>
      <c r="S56" s="15">
        <f t="shared" si="18"/>
        <v>7148.2541130000009</v>
      </c>
      <c r="V56" s="12">
        <v>68078.61</v>
      </c>
      <c r="W56" s="16">
        <f t="shared" si="19"/>
        <v>5.0000009254008049E-2</v>
      </c>
      <c r="X56" s="15">
        <f t="shared" si="20"/>
        <v>68078.61</v>
      </c>
    </row>
    <row r="57" spans="1:24" x14ac:dyDescent="0.2">
      <c r="A57" s="24" t="s">
        <v>86</v>
      </c>
      <c r="B57" s="22" t="s">
        <v>95</v>
      </c>
      <c r="C57" s="44">
        <v>100522206</v>
      </c>
      <c r="D57" s="24" t="s">
        <v>98</v>
      </c>
      <c r="E57" s="49">
        <v>7790360983961</v>
      </c>
      <c r="F57" s="15">
        <v>8.6999999999999993</v>
      </c>
      <c r="G57" s="19">
        <v>10</v>
      </c>
      <c r="H57" s="51"/>
      <c r="I57" s="15">
        <f t="shared" si="12"/>
        <v>13406.550588931503</v>
      </c>
      <c r="J57" s="15">
        <f t="shared" si="13"/>
        <v>10725.240471145204</v>
      </c>
      <c r="K57" s="47"/>
      <c r="L57" s="15">
        <f t="shared" si="14"/>
        <v>7148.2541130000009</v>
      </c>
      <c r="M57" s="15">
        <f t="shared" si="15"/>
        <v>8216.3840379310368</v>
      </c>
      <c r="N57" s="40">
        <v>71482.541130000012</v>
      </c>
      <c r="O57" s="16"/>
      <c r="P57" s="15">
        <f t="shared" si="16"/>
        <v>71482.541130000012</v>
      </c>
      <c r="Q57" s="16"/>
      <c r="R57" s="15">
        <f t="shared" si="17"/>
        <v>71482.541130000012</v>
      </c>
      <c r="S57" s="15">
        <f t="shared" si="18"/>
        <v>7148.2541130000009</v>
      </c>
      <c r="V57" s="12">
        <v>68078.61</v>
      </c>
      <c r="W57" s="16">
        <f t="shared" si="19"/>
        <v>5.0000009254008049E-2</v>
      </c>
      <c r="X57" s="15">
        <f t="shared" si="20"/>
        <v>68078.61</v>
      </c>
    </row>
    <row r="58" spans="1:24" x14ac:dyDescent="0.2">
      <c r="A58" s="24" t="s">
        <v>86</v>
      </c>
      <c r="B58" s="22" t="s">
        <v>95</v>
      </c>
      <c r="C58" s="44">
        <v>100518151</v>
      </c>
      <c r="D58" s="24" t="s">
        <v>97</v>
      </c>
      <c r="E58" s="49">
        <v>7790360974990</v>
      </c>
      <c r="F58" s="15">
        <v>10.44</v>
      </c>
      <c r="G58" s="19">
        <v>12</v>
      </c>
      <c r="H58" s="51"/>
      <c r="I58" s="15">
        <v>742.20307176384233</v>
      </c>
      <c r="J58" s="15">
        <v>593.76245741107391</v>
      </c>
      <c r="K58" s="47"/>
      <c r="L58" s="15">
        <f t="shared" si="14"/>
        <v>3692.3922131250006</v>
      </c>
      <c r="M58" s="15">
        <f t="shared" si="15"/>
        <v>4244.1289806034492</v>
      </c>
      <c r="N58" s="40">
        <v>44308.706557500009</v>
      </c>
      <c r="O58" s="16"/>
      <c r="P58" s="15">
        <f t="shared" si="16"/>
        <v>44308.706557500009</v>
      </c>
      <c r="Q58" s="16"/>
      <c r="R58" s="15">
        <f t="shared" si="17"/>
        <v>44308.706557500009</v>
      </c>
      <c r="S58" s="15">
        <f t="shared" si="18"/>
        <v>3692.3922131250006</v>
      </c>
      <c r="V58" s="12">
        <v>42198.77</v>
      </c>
      <c r="W58" s="16">
        <f t="shared" si="19"/>
        <v>4.9999953967852839E-2</v>
      </c>
      <c r="X58" s="15">
        <f t="shared" si="20"/>
        <v>42198.77</v>
      </c>
    </row>
    <row r="59" spans="1:24" hidden="1" x14ac:dyDescent="0.2">
      <c r="A59" s="24" t="s">
        <v>86</v>
      </c>
      <c r="B59" s="22" t="s">
        <v>95</v>
      </c>
      <c r="C59" s="44">
        <v>100022057</v>
      </c>
      <c r="D59" s="24" t="s">
        <v>96</v>
      </c>
      <c r="E59" s="49">
        <v>7790360025944</v>
      </c>
      <c r="F59" s="15">
        <v>7.1999999999999993</v>
      </c>
      <c r="G59" s="19">
        <v>10</v>
      </c>
      <c r="H59" s="51"/>
      <c r="I59" s="15" t="e">
        <f t="shared" ref="I59:I66" si="21">+L59*1.55*1.21</f>
        <v>#VALUE!</v>
      </c>
      <c r="J59" s="15" t="e">
        <f>+I59*0.8</f>
        <v>#VALUE!</v>
      </c>
      <c r="K59" s="47"/>
      <c r="L59" s="15" t="str">
        <f t="shared" si="14"/>
        <v/>
      </c>
      <c r="M59" s="15" t="str">
        <f t="shared" si="15"/>
        <v/>
      </c>
      <c r="N59" s="40" t="e">
        <v>#VALUE!</v>
      </c>
      <c r="O59" s="16"/>
      <c r="P59" s="15" t="str">
        <f t="shared" si="16"/>
        <v/>
      </c>
      <c r="Q59" s="16"/>
      <c r="R59" s="15" t="str">
        <f t="shared" si="17"/>
        <v/>
      </c>
      <c r="S59" s="15" t="str">
        <f t="shared" si="18"/>
        <v/>
      </c>
      <c r="V59" s="12" t="s">
        <v>31</v>
      </c>
      <c r="W59" s="16" t="str">
        <f t="shared" si="19"/>
        <v/>
      </c>
      <c r="X59" s="15" t="str">
        <f t="shared" si="20"/>
        <v/>
      </c>
    </row>
    <row r="60" spans="1:24" hidden="1" x14ac:dyDescent="0.2">
      <c r="A60" s="24" t="s">
        <v>86</v>
      </c>
      <c r="B60" s="22" t="s">
        <v>95</v>
      </c>
      <c r="C60" s="44">
        <v>100516731</v>
      </c>
      <c r="D60" s="24" t="s">
        <v>94</v>
      </c>
      <c r="E60" s="49"/>
      <c r="F60" s="15">
        <v>10.44</v>
      </c>
      <c r="G60" s="19">
        <v>12</v>
      </c>
      <c r="H60" s="51"/>
      <c r="I60" s="15" t="e">
        <f t="shared" si="21"/>
        <v>#VALUE!</v>
      </c>
      <c r="J60" s="15" t="e">
        <f>+I60*0.8</f>
        <v>#VALUE!</v>
      </c>
      <c r="K60" s="47"/>
      <c r="L60" s="15" t="str">
        <f t="shared" si="14"/>
        <v/>
      </c>
      <c r="M60" s="15" t="str">
        <f t="shared" si="15"/>
        <v/>
      </c>
      <c r="N60" s="40" t="e">
        <v>#VALUE!</v>
      </c>
      <c r="O60" s="16"/>
      <c r="P60" s="15" t="str">
        <f t="shared" si="16"/>
        <v/>
      </c>
      <c r="Q60" s="16"/>
      <c r="R60" s="15" t="str">
        <f t="shared" si="17"/>
        <v/>
      </c>
      <c r="S60" s="15" t="str">
        <f t="shared" si="18"/>
        <v/>
      </c>
      <c r="V60" s="12" t="s">
        <v>31</v>
      </c>
      <c r="W60" s="16" t="str">
        <f t="shared" si="19"/>
        <v/>
      </c>
      <c r="X60" s="15" t="str">
        <f t="shared" si="20"/>
        <v/>
      </c>
    </row>
    <row r="61" spans="1:24" x14ac:dyDescent="0.2">
      <c r="A61" s="24" t="s">
        <v>86</v>
      </c>
      <c r="B61" s="22" t="s">
        <v>93</v>
      </c>
      <c r="C61" s="44">
        <v>100022058</v>
      </c>
      <c r="D61" s="24" t="s">
        <v>92</v>
      </c>
      <c r="E61" s="49">
        <v>7790360026002</v>
      </c>
      <c r="F61" s="15">
        <v>4.5599999990400004</v>
      </c>
      <c r="G61" s="19">
        <v>24</v>
      </c>
      <c r="H61" s="51"/>
      <c r="I61" s="15">
        <f t="shared" si="21"/>
        <v>1816.7499003740629</v>
      </c>
      <c r="J61" s="15">
        <f>+I61*0.8</f>
        <v>1453.3999202992504</v>
      </c>
      <c r="K61" s="47"/>
      <c r="L61" s="15">
        <f t="shared" si="14"/>
        <v>968.67496687500022</v>
      </c>
      <c r="M61" s="15">
        <f t="shared" si="15"/>
        <v>5098.2893004154303</v>
      </c>
      <c r="N61" s="40">
        <v>23248.199205000004</v>
      </c>
      <c r="O61" s="16"/>
      <c r="P61" s="15">
        <f t="shared" si="16"/>
        <v>23248.199205000004</v>
      </c>
      <c r="Q61" s="16"/>
      <c r="R61" s="15">
        <f t="shared" si="17"/>
        <v>23248.199205000004</v>
      </c>
      <c r="S61" s="15">
        <f t="shared" si="18"/>
        <v>968.67496687500022</v>
      </c>
      <c r="V61" s="12">
        <v>22141.14</v>
      </c>
      <c r="W61" s="16">
        <f t="shared" si="19"/>
        <v>5.0000099588368263E-2</v>
      </c>
      <c r="X61" s="15">
        <f t="shared" si="20"/>
        <v>22141.14</v>
      </c>
    </row>
    <row r="62" spans="1:24" hidden="1" x14ac:dyDescent="0.2">
      <c r="A62" s="24" t="s">
        <v>86</v>
      </c>
      <c r="B62" s="22" t="s">
        <v>85</v>
      </c>
      <c r="C62" s="44">
        <v>100022089</v>
      </c>
      <c r="D62" s="24" t="s">
        <v>91</v>
      </c>
      <c r="E62" s="49">
        <v>7798024390315</v>
      </c>
      <c r="F62" s="15">
        <v>5.4</v>
      </c>
      <c r="G62" s="19">
        <v>24</v>
      </c>
      <c r="I62" s="15">
        <f t="shared" si="21"/>
        <v>0</v>
      </c>
      <c r="J62" s="15">
        <v>0</v>
      </c>
      <c r="K62" s="47"/>
      <c r="L62" s="15">
        <f>+IF(ISERROR(P62/G62),"",(P62/G62))</f>
        <v>0</v>
      </c>
      <c r="M62" s="15">
        <f t="shared" si="15"/>
        <v>0</v>
      </c>
      <c r="N62" s="40">
        <v>0</v>
      </c>
      <c r="O62" s="16"/>
      <c r="P62" s="15">
        <f t="shared" si="16"/>
        <v>0</v>
      </c>
      <c r="Q62" s="16"/>
      <c r="R62" s="15">
        <f t="shared" si="17"/>
        <v>0</v>
      </c>
      <c r="S62" s="15">
        <f t="shared" si="18"/>
        <v>0</v>
      </c>
      <c r="V62" s="15" t="s">
        <v>31</v>
      </c>
      <c r="W62" s="16" t="str">
        <f t="shared" si="19"/>
        <v/>
      </c>
      <c r="X62" s="15" t="str">
        <f t="shared" si="20"/>
        <v/>
      </c>
    </row>
    <row r="63" spans="1:24" hidden="1" x14ac:dyDescent="0.2">
      <c r="A63" s="24" t="s">
        <v>86</v>
      </c>
      <c r="B63" s="22" t="s">
        <v>85</v>
      </c>
      <c r="C63" s="44">
        <v>100022080</v>
      </c>
      <c r="D63" s="24" t="s">
        <v>90</v>
      </c>
      <c r="E63" s="49">
        <v>7798158706778</v>
      </c>
      <c r="F63" s="15">
        <v>5.4</v>
      </c>
      <c r="G63" s="19">
        <v>12</v>
      </c>
      <c r="I63" s="15">
        <f t="shared" si="21"/>
        <v>0</v>
      </c>
      <c r="J63" s="15">
        <v>0</v>
      </c>
      <c r="K63" s="47"/>
      <c r="L63" s="15">
        <f>+IF(ISERROR(P63/G63),"",(P63/G63))</f>
        <v>0</v>
      </c>
      <c r="M63" s="15">
        <f t="shared" si="15"/>
        <v>0</v>
      </c>
      <c r="N63" s="40">
        <v>0</v>
      </c>
      <c r="O63" s="16"/>
      <c r="P63" s="15">
        <f t="shared" si="16"/>
        <v>0</v>
      </c>
      <c r="Q63" s="16"/>
      <c r="R63" s="15">
        <f t="shared" si="17"/>
        <v>0</v>
      </c>
      <c r="S63" s="15">
        <f t="shared" si="18"/>
        <v>0</v>
      </c>
      <c r="V63" s="15" t="s">
        <v>31</v>
      </c>
      <c r="W63" s="16" t="str">
        <f t="shared" si="19"/>
        <v/>
      </c>
      <c r="X63" s="15" t="str">
        <f t="shared" si="20"/>
        <v/>
      </c>
    </row>
    <row r="64" spans="1:24" hidden="1" x14ac:dyDescent="0.2">
      <c r="A64" s="24" t="s">
        <v>86</v>
      </c>
      <c r="B64" s="22" t="s">
        <v>85</v>
      </c>
      <c r="C64" s="44">
        <v>100022081</v>
      </c>
      <c r="D64" s="24" t="s">
        <v>89</v>
      </c>
      <c r="E64" s="49">
        <v>7798158706785</v>
      </c>
      <c r="F64" s="15">
        <v>5.4</v>
      </c>
      <c r="G64" s="19">
        <v>6</v>
      </c>
      <c r="I64" s="15">
        <f t="shared" si="21"/>
        <v>0</v>
      </c>
      <c r="J64" s="15">
        <v>0</v>
      </c>
      <c r="K64" s="47"/>
      <c r="L64" s="15">
        <f>+IF(ISERROR(P64/G64),"",(P64/G64))</f>
        <v>0</v>
      </c>
      <c r="M64" s="15">
        <f t="shared" si="15"/>
        <v>0</v>
      </c>
      <c r="N64" s="40">
        <v>0</v>
      </c>
      <c r="O64" s="16"/>
      <c r="P64" s="15">
        <f t="shared" si="16"/>
        <v>0</v>
      </c>
      <c r="Q64" s="16"/>
      <c r="R64" s="15">
        <f t="shared" si="17"/>
        <v>0</v>
      </c>
      <c r="S64" s="15">
        <f t="shared" si="18"/>
        <v>0</v>
      </c>
      <c r="V64" s="15" t="s">
        <v>31</v>
      </c>
      <c r="W64" s="16" t="str">
        <f t="shared" si="19"/>
        <v/>
      </c>
      <c r="X64" s="15" t="str">
        <f t="shared" si="20"/>
        <v/>
      </c>
    </row>
    <row r="65" spans="1:24" hidden="1" x14ac:dyDescent="0.2">
      <c r="A65" s="24" t="s">
        <v>86</v>
      </c>
      <c r="B65" s="22" t="s">
        <v>85</v>
      </c>
      <c r="C65" s="44">
        <v>100022014</v>
      </c>
      <c r="D65" s="24" t="s">
        <v>88</v>
      </c>
      <c r="E65" s="49">
        <v>8480017244512</v>
      </c>
      <c r="F65" s="15">
        <v>4.5</v>
      </c>
      <c r="G65" s="19">
        <v>20</v>
      </c>
      <c r="I65" s="15">
        <f t="shared" si="21"/>
        <v>0</v>
      </c>
      <c r="J65" s="15">
        <v>0</v>
      </c>
      <c r="K65" s="47"/>
      <c r="L65" s="15">
        <f>+IF(ISERROR(P65/G65),"",(P65/G65))</f>
        <v>0</v>
      </c>
      <c r="M65" s="15">
        <f t="shared" si="15"/>
        <v>0</v>
      </c>
      <c r="N65" s="40">
        <v>0</v>
      </c>
      <c r="O65" s="16"/>
      <c r="P65" s="15">
        <f t="shared" si="16"/>
        <v>0</v>
      </c>
      <c r="Q65" s="16"/>
      <c r="R65" s="15">
        <f t="shared" si="17"/>
        <v>0</v>
      </c>
      <c r="S65" s="15">
        <f t="shared" si="18"/>
        <v>0</v>
      </c>
      <c r="V65" s="15" t="s">
        <v>31</v>
      </c>
      <c r="W65" s="16" t="str">
        <f t="shared" si="19"/>
        <v/>
      </c>
      <c r="X65" s="15" t="str">
        <f t="shared" si="20"/>
        <v/>
      </c>
    </row>
    <row r="66" spans="1:24" hidden="1" x14ac:dyDescent="0.2">
      <c r="A66" s="24" t="s">
        <v>86</v>
      </c>
      <c r="B66" s="22" t="s">
        <v>85</v>
      </c>
      <c r="C66" s="44">
        <v>100022086</v>
      </c>
      <c r="D66" s="24" t="s">
        <v>87</v>
      </c>
      <c r="E66" s="49">
        <v>8480017090058</v>
      </c>
      <c r="F66" s="15">
        <v>5.4</v>
      </c>
      <c r="G66" s="19">
        <v>12</v>
      </c>
      <c r="I66" s="15">
        <f t="shared" si="21"/>
        <v>0</v>
      </c>
      <c r="J66" s="15">
        <v>0</v>
      </c>
      <c r="K66" s="47"/>
      <c r="L66" s="15">
        <f>+IF(ISERROR(P66/G66),"",(P66/G66))</f>
        <v>0</v>
      </c>
      <c r="M66" s="15">
        <f t="shared" si="15"/>
        <v>0</v>
      </c>
      <c r="N66" s="40">
        <v>0</v>
      </c>
      <c r="O66" s="16"/>
      <c r="P66" s="15">
        <f t="shared" si="16"/>
        <v>0</v>
      </c>
      <c r="Q66" s="16"/>
      <c r="R66" s="15">
        <f t="shared" si="17"/>
        <v>0</v>
      </c>
      <c r="S66" s="50">
        <f t="shared" si="18"/>
        <v>0</v>
      </c>
      <c r="V66" s="15" t="s">
        <v>31</v>
      </c>
      <c r="W66" s="16" t="str">
        <f t="shared" si="19"/>
        <v/>
      </c>
      <c r="X66" s="15" t="str">
        <f t="shared" si="20"/>
        <v/>
      </c>
    </row>
    <row r="67" spans="1:24" hidden="1" x14ac:dyDescent="0.2">
      <c r="A67" s="24" t="s">
        <v>86</v>
      </c>
      <c r="B67" s="22" t="s">
        <v>85</v>
      </c>
      <c r="C67" s="44">
        <v>100022087</v>
      </c>
      <c r="D67" s="24" t="s">
        <v>84</v>
      </c>
      <c r="E67" s="49">
        <v>8480017048141</v>
      </c>
      <c r="F67" s="15">
        <v>5.4</v>
      </c>
      <c r="G67" s="19">
        <v>6</v>
      </c>
      <c r="I67" s="15"/>
      <c r="J67" s="15"/>
      <c r="K67" s="47"/>
      <c r="L67" s="15">
        <f>+IF(ISERROR(N67/G67),"",(N67/G67))</f>
        <v>0</v>
      </c>
      <c r="M67" s="15">
        <f t="shared" si="15"/>
        <v>0</v>
      </c>
      <c r="N67" s="40">
        <v>0</v>
      </c>
      <c r="O67" s="16"/>
      <c r="P67" s="15">
        <f t="shared" si="16"/>
        <v>0</v>
      </c>
      <c r="Q67" s="16"/>
      <c r="R67" s="15">
        <f t="shared" si="17"/>
        <v>0</v>
      </c>
      <c r="S67" s="50">
        <f t="shared" si="18"/>
        <v>0</v>
      </c>
      <c r="V67" s="15" t="s">
        <v>31</v>
      </c>
      <c r="W67" s="16"/>
      <c r="X67" s="15" t="str">
        <f t="shared" si="20"/>
        <v/>
      </c>
    </row>
    <row r="68" spans="1:24" x14ac:dyDescent="0.2">
      <c r="A68" s="37"/>
      <c r="B68" s="36"/>
      <c r="C68" s="35"/>
      <c r="D68" s="27"/>
      <c r="E68" s="35"/>
      <c r="F68" s="27"/>
      <c r="G68" s="34"/>
      <c r="I68" s="32"/>
      <c r="J68" s="33"/>
      <c r="K68" s="47"/>
      <c r="L68" s="32"/>
      <c r="M68" s="27"/>
      <c r="N68" s="27"/>
      <c r="O68" s="30"/>
      <c r="P68" s="27"/>
      <c r="Q68" s="30"/>
      <c r="R68" s="27"/>
      <c r="S68" s="25"/>
      <c r="V68" s="27"/>
      <c r="W68" s="45"/>
      <c r="X68" s="25"/>
    </row>
    <row r="69" spans="1:24" x14ac:dyDescent="0.2">
      <c r="A69" s="24" t="s">
        <v>62</v>
      </c>
      <c r="B69" s="22" t="s">
        <v>79</v>
      </c>
      <c r="C69" s="44">
        <v>100021000</v>
      </c>
      <c r="D69" s="24" t="s">
        <v>83</v>
      </c>
      <c r="E69" s="49">
        <v>7790360720382</v>
      </c>
      <c r="F69" s="15">
        <v>2.16</v>
      </c>
      <c r="G69" s="19">
        <v>24</v>
      </c>
      <c r="I69" s="15">
        <f t="shared" ref="I69:I86" si="22">+L69*1.45*1.21</f>
        <v>1454.9962440683782</v>
      </c>
      <c r="J69" s="15">
        <f t="shared" ref="J69:J86" si="23">+I69*0.8</f>
        <v>1163.9969952547026</v>
      </c>
      <c r="K69" s="47"/>
      <c r="L69" s="15">
        <f t="shared" ref="L69:L86" si="24">+IF(ISERROR(N69/G69),"",(N69/G69))</f>
        <v>829.29395501189981</v>
      </c>
      <c r="M69" s="15">
        <f t="shared" ref="M69:M86" si="25">+IF(ISERROR(N69/F69),"",(N69/F69))</f>
        <v>9214.3772779099963</v>
      </c>
      <c r="N69" s="40">
        <v>19903.054920285595</v>
      </c>
      <c r="O69" s="16"/>
      <c r="P69" s="15">
        <f t="shared" ref="P69:P86" si="26">+IF(ISERROR(N69/(1-O69)),"",(N69/(1-O69)))</f>
        <v>19903.054920285595</v>
      </c>
      <c r="Q69" s="16"/>
      <c r="R69" s="15">
        <f t="shared" ref="R69:R86" si="27">+IF(ISERROR(P69/(1-Q69)),"",(P69/(1-Q69)))</f>
        <v>19903.054920285595</v>
      </c>
      <c r="S69" s="15">
        <f t="shared" ref="S69:S86" si="28">+IF(ISERROR(P69/G69),"",(P69/G69))</f>
        <v>829.29395501189981</v>
      </c>
      <c r="V69" s="12">
        <v>19903.05</v>
      </c>
      <c r="W69" s="16">
        <f t="shared" ref="W69:W86" si="29">+IF(ISERROR(N69/V69-1),"",(N69/V69-1))</f>
        <v>2.4721264302307588E-7</v>
      </c>
      <c r="X69" s="15">
        <f t="shared" ref="X69:X86" si="30">+IF(ISERROR(V69*(1-O69)),"",(V69*(1-O69)))</f>
        <v>19903.05</v>
      </c>
    </row>
    <row r="70" spans="1:24" x14ac:dyDescent="0.2">
      <c r="A70" s="24" t="s">
        <v>62</v>
      </c>
      <c r="B70" s="22" t="s">
        <v>79</v>
      </c>
      <c r="C70" s="44">
        <v>100021001</v>
      </c>
      <c r="D70" s="24" t="s">
        <v>82</v>
      </c>
      <c r="E70" s="49">
        <v>7790360720115</v>
      </c>
      <c r="F70" s="15">
        <v>2.16</v>
      </c>
      <c r="G70" s="19">
        <v>24</v>
      </c>
      <c r="I70" s="15">
        <f t="shared" si="22"/>
        <v>1454.9962440683782</v>
      </c>
      <c r="J70" s="15">
        <f t="shared" si="23"/>
        <v>1163.9969952547026</v>
      </c>
      <c r="K70" s="47"/>
      <c r="L70" s="15">
        <f t="shared" si="24"/>
        <v>829.29395501189981</v>
      </c>
      <c r="M70" s="15">
        <f t="shared" si="25"/>
        <v>9214.3772779099963</v>
      </c>
      <c r="N70" s="40">
        <v>19903.054920285595</v>
      </c>
      <c r="O70" s="16"/>
      <c r="P70" s="15">
        <f t="shared" si="26"/>
        <v>19903.054920285595</v>
      </c>
      <c r="Q70" s="16"/>
      <c r="R70" s="15">
        <f t="shared" si="27"/>
        <v>19903.054920285595</v>
      </c>
      <c r="S70" s="15">
        <f t="shared" si="28"/>
        <v>829.29395501189981</v>
      </c>
      <c r="V70" s="12">
        <v>19903.05</v>
      </c>
      <c r="W70" s="16">
        <f t="shared" si="29"/>
        <v>2.4721264302307588E-7</v>
      </c>
      <c r="X70" s="15">
        <f t="shared" si="30"/>
        <v>19903.05</v>
      </c>
    </row>
    <row r="71" spans="1:24" x14ac:dyDescent="0.2">
      <c r="A71" s="24" t="s">
        <v>62</v>
      </c>
      <c r="B71" s="22" t="s">
        <v>79</v>
      </c>
      <c r="C71" s="44">
        <v>100522277</v>
      </c>
      <c r="D71" s="24" t="s">
        <v>81</v>
      </c>
      <c r="E71" s="49"/>
      <c r="F71" s="15">
        <v>2.16</v>
      </c>
      <c r="G71" s="19">
        <v>24</v>
      </c>
      <c r="I71" s="15">
        <f t="shared" si="22"/>
        <v>1454.9962440683782</v>
      </c>
      <c r="J71" s="15">
        <f t="shared" si="23"/>
        <v>1163.9969952547026</v>
      </c>
      <c r="K71" s="47"/>
      <c r="L71" s="15">
        <f t="shared" si="24"/>
        <v>829.29395501189981</v>
      </c>
      <c r="M71" s="15">
        <f t="shared" si="25"/>
        <v>9214.3772779099963</v>
      </c>
      <c r="N71" s="40">
        <v>19903.054920285595</v>
      </c>
      <c r="O71" s="16"/>
      <c r="P71" s="15">
        <f t="shared" si="26"/>
        <v>19903.054920285595</v>
      </c>
      <c r="Q71" s="16"/>
      <c r="R71" s="15">
        <f t="shared" si="27"/>
        <v>19903.054920285595</v>
      </c>
      <c r="S71" s="15">
        <f t="shared" si="28"/>
        <v>829.29395501189981</v>
      </c>
      <c r="V71" s="12">
        <v>19903.05</v>
      </c>
      <c r="W71" s="16">
        <f t="shared" si="29"/>
        <v>2.4721264302307588E-7</v>
      </c>
      <c r="X71" s="15">
        <f t="shared" si="30"/>
        <v>19903.05</v>
      </c>
    </row>
    <row r="72" spans="1:24" x14ac:dyDescent="0.2">
      <c r="A72" s="24" t="s">
        <v>62</v>
      </c>
      <c r="B72" s="22" t="s">
        <v>79</v>
      </c>
      <c r="C72" s="44">
        <v>100522333</v>
      </c>
      <c r="D72" s="24" t="s">
        <v>80</v>
      </c>
      <c r="E72" s="49"/>
      <c r="F72" s="15">
        <v>2.16</v>
      </c>
      <c r="G72" s="19">
        <v>24</v>
      </c>
      <c r="I72" s="15">
        <f t="shared" si="22"/>
        <v>1454.9962440683782</v>
      </c>
      <c r="J72" s="15">
        <f t="shared" si="23"/>
        <v>1163.9969952547026</v>
      </c>
      <c r="K72" s="47"/>
      <c r="L72" s="15">
        <f t="shared" si="24"/>
        <v>829.29395501189981</v>
      </c>
      <c r="M72" s="15">
        <f t="shared" si="25"/>
        <v>9214.3772779099963</v>
      </c>
      <c r="N72" s="40">
        <v>19903.054920285595</v>
      </c>
      <c r="O72" s="16"/>
      <c r="P72" s="15">
        <f t="shared" si="26"/>
        <v>19903.054920285595</v>
      </c>
      <c r="Q72" s="16"/>
      <c r="R72" s="15">
        <f t="shared" si="27"/>
        <v>19903.054920285595</v>
      </c>
      <c r="S72" s="15">
        <f t="shared" si="28"/>
        <v>829.29395501189981</v>
      </c>
      <c r="V72" s="12">
        <v>19903.05</v>
      </c>
      <c r="W72" s="16">
        <f t="shared" si="29"/>
        <v>2.4721264302307588E-7</v>
      </c>
      <c r="X72" s="15">
        <f t="shared" si="30"/>
        <v>19903.05</v>
      </c>
    </row>
    <row r="73" spans="1:24" x14ac:dyDescent="0.2">
      <c r="A73" s="24" t="s">
        <v>62</v>
      </c>
      <c r="B73" s="22" t="s">
        <v>79</v>
      </c>
      <c r="C73" s="44">
        <v>100021045</v>
      </c>
      <c r="D73" s="24" t="s">
        <v>78</v>
      </c>
      <c r="E73" s="49">
        <v>7790360966582</v>
      </c>
      <c r="F73" s="15">
        <v>2.16</v>
      </c>
      <c r="G73" s="19">
        <v>24</v>
      </c>
      <c r="I73" s="15">
        <f t="shared" si="22"/>
        <v>1454.9962440683782</v>
      </c>
      <c r="J73" s="15">
        <f t="shared" si="23"/>
        <v>1163.9969952547026</v>
      </c>
      <c r="K73" s="47"/>
      <c r="L73" s="15">
        <f t="shared" si="24"/>
        <v>829.29395501189981</v>
      </c>
      <c r="M73" s="15">
        <f t="shared" si="25"/>
        <v>9214.3772779099963</v>
      </c>
      <c r="N73" s="40">
        <v>19903.054920285595</v>
      </c>
      <c r="O73" s="16"/>
      <c r="P73" s="15">
        <f t="shared" si="26"/>
        <v>19903.054920285595</v>
      </c>
      <c r="Q73" s="16"/>
      <c r="R73" s="15">
        <f t="shared" si="27"/>
        <v>19903.054920285595</v>
      </c>
      <c r="S73" s="15">
        <f t="shared" si="28"/>
        <v>829.29395501189981</v>
      </c>
      <c r="V73" s="12">
        <v>19903.05</v>
      </c>
      <c r="W73" s="16">
        <f t="shared" si="29"/>
        <v>2.4721264302307588E-7</v>
      </c>
      <c r="X73" s="15">
        <f t="shared" si="30"/>
        <v>19903.05</v>
      </c>
    </row>
    <row r="74" spans="1:24" x14ac:dyDescent="0.2">
      <c r="A74" s="24" t="s">
        <v>62</v>
      </c>
      <c r="B74" s="22" t="s">
        <v>75</v>
      </c>
      <c r="C74" s="44">
        <v>100021004</v>
      </c>
      <c r="D74" s="24" t="s">
        <v>77</v>
      </c>
      <c r="E74" s="49">
        <v>7790360964526</v>
      </c>
      <c r="F74" s="15">
        <v>2.1120000000000001</v>
      </c>
      <c r="G74" s="19">
        <v>24</v>
      </c>
      <c r="I74" s="15">
        <f t="shared" si="22"/>
        <v>1454.9962440683782</v>
      </c>
      <c r="J74" s="15">
        <f t="shared" si="23"/>
        <v>1163.9969952547026</v>
      </c>
      <c r="K74" s="47"/>
      <c r="L74" s="15">
        <f t="shared" si="24"/>
        <v>829.29395501189981</v>
      </c>
      <c r="M74" s="15">
        <f t="shared" si="25"/>
        <v>9423.7949433170415</v>
      </c>
      <c r="N74" s="40">
        <v>19903.054920285595</v>
      </c>
      <c r="O74" s="16"/>
      <c r="P74" s="15">
        <f t="shared" si="26"/>
        <v>19903.054920285595</v>
      </c>
      <c r="Q74" s="16"/>
      <c r="R74" s="15">
        <f t="shared" si="27"/>
        <v>19903.054920285595</v>
      </c>
      <c r="S74" s="15">
        <f t="shared" si="28"/>
        <v>829.29395501189981</v>
      </c>
      <c r="V74" s="12">
        <v>19903.05</v>
      </c>
      <c r="W74" s="16">
        <f t="shared" si="29"/>
        <v>2.4721264302307588E-7</v>
      </c>
      <c r="X74" s="15">
        <f t="shared" si="30"/>
        <v>19903.05</v>
      </c>
    </row>
    <row r="75" spans="1:24" x14ac:dyDescent="0.2">
      <c r="A75" s="24" t="s">
        <v>62</v>
      </c>
      <c r="B75" s="22" t="s">
        <v>75</v>
      </c>
      <c r="C75" s="44">
        <v>100021006</v>
      </c>
      <c r="D75" s="24" t="s">
        <v>76</v>
      </c>
      <c r="E75" s="49">
        <v>7790360964557</v>
      </c>
      <c r="F75" s="15">
        <v>2.1120000000000001</v>
      </c>
      <c r="G75" s="19">
        <v>24</v>
      </c>
      <c r="I75" s="15">
        <f t="shared" si="22"/>
        <v>1454.9962440683782</v>
      </c>
      <c r="J75" s="15">
        <f t="shared" si="23"/>
        <v>1163.9969952547026</v>
      </c>
      <c r="K75" s="47"/>
      <c r="L75" s="15">
        <f t="shared" si="24"/>
        <v>829.29395501189981</v>
      </c>
      <c r="M75" s="15">
        <f t="shared" si="25"/>
        <v>9423.7949433170415</v>
      </c>
      <c r="N75" s="40">
        <v>19903.054920285595</v>
      </c>
      <c r="O75" s="16"/>
      <c r="P75" s="15">
        <f t="shared" si="26"/>
        <v>19903.054920285595</v>
      </c>
      <c r="Q75" s="16"/>
      <c r="R75" s="15">
        <f t="shared" si="27"/>
        <v>19903.054920285595</v>
      </c>
      <c r="S75" s="15">
        <f t="shared" si="28"/>
        <v>829.29395501189981</v>
      </c>
      <c r="V75" s="12">
        <v>19903.05</v>
      </c>
      <c r="W75" s="16">
        <f t="shared" si="29"/>
        <v>2.4721264302307588E-7</v>
      </c>
      <c r="X75" s="15">
        <f t="shared" si="30"/>
        <v>19903.05</v>
      </c>
    </row>
    <row r="76" spans="1:24" x14ac:dyDescent="0.2">
      <c r="A76" s="24" t="s">
        <v>62</v>
      </c>
      <c r="B76" s="22" t="s">
        <v>75</v>
      </c>
      <c r="C76" s="44">
        <v>100021007</v>
      </c>
      <c r="D76" s="24" t="s">
        <v>74</v>
      </c>
      <c r="E76" s="49">
        <v>7790360964540</v>
      </c>
      <c r="F76" s="15">
        <v>2.04</v>
      </c>
      <c r="G76" s="19">
        <v>24</v>
      </c>
      <c r="I76" s="15">
        <f t="shared" si="22"/>
        <v>1888.6000809620398</v>
      </c>
      <c r="J76" s="15">
        <f t="shared" si="23"/>
        <v>1510.8800647696319</v>
      </c>
      <c r="K76" s="47"/>
      <c r="L76" s="15">
        <f t="shared" si="24"/>
        <v>1076.4320780632886</v>
      </c>
      <c r="M76" s="15">
        <f t="shared" si="25"/>
        <v>12663.906800744573</v>
      </c>
      <c r="N76" s="40">
        <v>25834.369873518928</v>
      </c>
      <c r="O76" s="16"/>
      <c r="P76" s="15">
        <f t="shared" si="26"/>
        <v>25834.369873518928</v>
      </c>
      <c r="Q76" s="16"/>
      <c r="R76" s="15">
        <f t="shared" si="27"/>
        <v>25834.369873518928</v>
      </c>
      <c r="S76" s="15">
        <f t="shared" si="28"/>
        <v>1076.4320780632886</v>
      </c>
      <c r="V76" s="12">
        <v>25834.37</v>
      </c>
      <c r="W76" s="16">
        <f t="shared" si="29"/>
        <v>-4.8958449516689484E-9</v>
      </c>
      <c r="X76" s="15">
        <f t="shared" si="30"/>
        <v>25834.37</v>
      </c>
    </row>
    <row r="77" spans="1:24" x14ac:dyDescent="0.2">
      <c r="A77" s="24" t="s">
        <v>62</v>
      </c>
      <c r="B77" s="22" t="s">
        <v>69</v>
      </c>
      <c r="C77" s="44">
        <v>100021013</v>
      </c>
      <c r="D77" s="24" t="s">
        <v>73</v>
      </c>
      <c r="E77" s="49">
        <v>7790360965714</v>
      </c>
      <c r="F77" s="15">
        <v>2.04</v>
      </c>
      <c r="G77" s="19">
        <v>24</v>
      </c>
      <c r="I77" s="15">
        <f t="shared" si="22"/>
        <v>1888.6000809620398</v>
      </c>
      <c r="J77" s="15">
        <f t="shared" si="23"/>
        <v>1510.8800647696319</v>
      </c>
      <c r="K77" s="47"/>
      <c r="L77" s="15">
        <f t="shared" si="24"/>
        <v>1076.4320780632886</v>
      </c>
      <c r="M77" s="15">
        <f t="shared" si="25"/>
        <v>12663.906800744573</v>
      </c>
      <c r="N77" s="40">
        <v>25834.369873518928</v>
      </c>
      <c r="O77" s="16"/>
      <c r="P77" s="15">
        <f t="shared" si="26"/>
        <v>25834.369873518928</v>
      </c>
      <c r="Q77" s="16"/>
      <c r="R77" s="15">
        <f t="shared" si="27"/>
        <v>25834.369873518928</v>
      </c>
      <c r="S77" s="15">
        <f t="shared" si="28"/>
        <v>1076.4320780632886</v>
      </c>
      <c r="V77" s="12">
        <v>25834.37</v>
      </c>
      <c r="W77" s="16">
        <f t="shared" si="29"/>
        <v>-4.8958449516689484E-9</v>
      </c>
      <c r="X77" s="15">
        <f t="shared" si="30"/>
        <v>25834.37</v>
      </c>
    </row>
    <row r="78" spans="1:24" x14ac:dyDescent="0.2">
      <c r="A78" s="24" t="s">
        <v>62</v>
      </c>
      <c r="B78" s="22" t="s">
        <v>69</v>
      </c>
      <c r="C78" s="44">
        <v>100021014</v>
      </c>
      <c r="D78" s="24" t="s">
        <v>72</v>
      </c>
      <c r="E78" s="49">
        <v>7790360965721</v>
      </c>
      <c r="F78" s="15">
        <v>2.04</v>
      </c>
      <c r="G78" s="19">
        <v>24</v>
      </c>
      <c r="I78" s="15">
        <f t="shared" si="22"/>
        <v>1888.6000809620398</v>
      </c>
      <c r="J78" s="15">
        <f t="shared" si="23"/>
        <v>1510.8800647696319</v>
      </c>
      <c r="K78" s="47"/>
      <c r="L78" s="15">
        <f t="shared" si="24"/>
        <v>1076.4320780632886</v>
      </c>
      <c r="M78" s="15">
        <f t="shared" si="25"/>
        <v>12663.906800744573</v>
      </c>
      <c r="N78" s="40">
        <v>25834.369873518928</v>
      </c>
      <c r="O78" s="16"/>
      <c r="P78" s="15">
        <f t="shared" si="26"/>
        <v>25834.369873518928</v>
      </c>
      <c r="Q78" s="16"/>
      <c r="R78" s="15">
        <f t="shared" si="27"/>
        <v>25834.369873518928</v>
      </c>
      <c r="S78" s="15">
        <f t="shared" si="28"/>
        <v>1076.4320780632886</v>
      </c>
      <c r="V78" s="12">
        <v>25834.37</v>
      </c>
      <c r="W78" s="16">
        <f t="shared" si="29"/>
        <v>-4.8958449516689484E-9</v>
      </c>
      <c r="X78" s="15">
        <f t="shared" si="30"/>
        <v>25834.37</v>
      </c>
    </row>
    <row r="79" spans="1:24" x14ac:dyDescent="0.2">
      <c r="A79" s="24" t="s">
        <v>62</v>
      </c>
      <c r="B79" s="22" t="s">
        <v>69</v>
      </c>
      <c r="C79" s="44">
        <v>100021054</v>
      </c>
      <c r="D79" s="24" t="s">
        <v>71</v>
      </c>
      <c r="E79" s="49">
        <v>7790360965707</v>
      </c>
      <c r="F79" s="15">
        <v>2.04</v>
      </c>
      <c r="G79" s="19">
        <v>24</v>
      </c>
      <c r="I79" s="15">
        <f t="shared" si="22"/>
        <v>1888.6000809620398</v>
      </c>
      <c r="J79" s="15">
        <f t="shared" si="23"/>
        <v>1510.8800647696319</v>
      </c>
      <c r="K79" s="47"/>
      <c r="L79" s="15">
        <f t="shared" si="24"/>
        <v>1076.4320780632886</v>
      </c>
      <c r="M79" s="15">
        <f t="shared" si="25"/>
        <v>12663.906800744573</v>
      </c>
      <c r="N79" s="40">
        <v>25834.369873518928</v>
      </c>
      <c r="O79" s="16"/>
      <c r="P79" s="15">
        <f t="shared" si="26"/>
        <v>25834.369873518928</v>
      </c>
      <c r="Q79" s="16"/>
      <c r="R79" s="15">
        <f t="shared" si="27"/>
        <v>25834.369873518928</v>
      </c>
      <c r="S79" s="15">
        <f t="shared" si="28"/>
        <v>1076.4320780632886</v>
      </c>
      <c r="V79" s="12">
        <v>25834.37</v>
      </c>
      <c r="W79" s="16">
        <f t="shared" si="29"/>
        <v>-4.8958449516689484E-9</v>
      </c>
      <c r="X79" s="15">
        <f t="shared" si="30"/>
        <v>25834.37</v>
      </c>
    </row>
    <row r="80" spans="1:24" x14ac:dyDescent="0.2">
      <c r="A80" s="24" t="s">
        <v>62</v>
      </c>
      <c r="B80" s="22" t="s">
        <v>69</v>
      </c>
      <c r="C80" s="44">
        <v>100021055</v>
      </c>
      <c r="D80" s="24" t="s">
        <v>70</v>
      </c>
      <c r="E80" s="49">
        <v>7790360965189</v>
      </c>
      <c r="F80" s="15">
        <v>2.04</v>
      </c>
      <c r="G80" s="19">
        <v>24</v>
      </c>
      <c r="I80" s="15">
        <f t="shared" si="22"/>
        <v>1888.6000809620398</v>
      </c>
      <c r="J80" s="15">
        <f t="shared" si="23"/>
        <v>1510.8800647696319</v>
      </c>
      <c r="K80" s="47"/>
      <c r="L80" s="15">
        <f t="shared" si="24"/>
        <v>1076.4320780632886</v>
      </c>
      <c r="M80" s="15">
        <f t="shared" si="25"/>
        <v>12663.906800744573</v>
      </c>
      <c r="N80" s="40">
        <v>25834.369873518928</v>
      </c>
      <c r="O80" s="16"/>
      <c r="P80" s="15">
        <f t="shared" si="26"/>
        <v>25834.369873518928</v>
      </c>
      <c r="Q80" s="16"/>
      <c r="R80" s="15">
        <f t="shared" si="27"/>
        <v>25834.369873518928</v>
      </c>
      <c r="S80" s="15">
        <f t="shared" si="28"/>
        <v>1076.4320780632886</v>
      </c>
      <c r="V80" s="12">
        <v>25834.37</v>
      </c>
      <c r="W80" s="16">
        <f t="shared" si="29"/>
        <v>-4.8958449516689484E-9</v>
      </c>
      <c r="X80" s="15">
        <f t="shared" si="30"/>
        <v>25834.37</v>
      </c>
    </row>
    <row r="81" spans="1:24" x14ac:dyDescent="0.2">
      <c r="A81" s="24" t="s">
        <v>62</v>
      </c>
      <c r="B81" s="22" t="s">
        <v>69</v>
      </c>
      <c r="C81" s="44">
        <v>100021015</v>
      </c>
      <c r="D81" s="24" t="s">
        <v>68</v>
      </c>
      <c r="E81" s="49">
        <v>7790360965202</v>
      </c>
      <c r="F81" s="15">
        <v>2.04</v>
      </c>
      <c r="G81" s="19">
        <v>24</v>
      </c>
      <c r="I81" s="15">
        <f t="shared" si="22"/>
        <v>2023.5000867450424</v>
      </c>
      <c r="J81" s="15">
        <f t="shared" si="23"/>
        <v>1618.8000693960339</v>
      </c>
      <c r="K81" s="47"/>
      <c r="L81" s="15">
        <f t="shared" si="24"/>
        <v>1153.3200836392377</v>
      </c>
      <c r="M81" s="15">
        <f t="shared" si="25"/>
        <v>13568.471572226324</v>
      </c>
      <c r="N81" s="40">
        <v>27679.682007341704</v>
      </c>
      <c r="O81" s="16"/>
      <c r="P81" s="15">
        <f t="shared" si="26"/>
        <v>27679.682007341704</v>
      </c>
      <c r="Q81" s="16"/>
      <c r="R81" s="15">
        <f t="shared" si="27"/>
        <v>27679.682007341704</v>
      </c>
      <c r="S81" s="15">
        <f t="shared" si="28"/>
        <v>1153.3200836392377</v>
      </c>
      <c r="V81" s="12">
        <v>27679.68</v>
      </c>
      <c r="W81" s="16">
        <f t="shared" si="29"/>
        <v>7.2520408567200434E-8</v>
      </c>
      <c r="X81" s="15">
        <f t="shared" si="30"/>
        <v>27679.68</v>
      </c>
    </row>
    <row r="82" spans="1:24" x14ac:dyDescent="0.2">
      <c r="A82" s="24" t="s">
        <v>62</v>
      </c>
      <c r="B82" s="22" t="s">
        <v>66</v>
      </c>
      <c r="C82" s="44">
        <v>100021008</v>
      </c>
      <c r="D82" s="24" t="s">
        <v>67</v>
      </c>
      <c r="E82" s="49">
        <v>7790360720122</v>
      </c>
      <c r="F82" s="15">
        <v>2.16</v>
      </c>
      <c r="G82" s="19">
        <v>24</v>
      </c>
      <c r="I82" s="15">
        <f t="shared" si="22"/>
        <v>1146.1143696995312</v>
      </c>
      <c r="J82" s="15">
        <f t="shared" si="23"/>
        <v>916.89149575962495</v>
      </c>
      <c r="K82" s="47"/>
      <c r="L82" s="15">
        <f t="shared" si="24"/>
        <v>653.24272995128592</v>
      </c>
      <c r="M82" s="15">
        <f t="shared" si="25"/>
        <v>7258.2525550142882</v>
      </c>
      <c r="N82" s="40">
        <v>15677.825518830863</v>
      </c>
      <c r="O82" s="16"/>
      <c r="P82" s="15">
        <f t="shared" si="26"/>
        <v>15677.825518830863</v>
      </c>
      <c r="Q82" s="16"/>
      <c r="R82" s="15">
        <f t="shared" si="27"/>
        <v>15677.825518830863</v>
      </c>
      <c r="S82" s="15">
        <f t="shared" si="28"/>
        <v>653.24272995128592</v>
      </c>
      <c r="V82" s="12">
        <v>15677.83</v>
      </c>
      <c r="W82" s="16">
        <f t="shared" si="29"/>
        <v>-2.8582840461144343E-7</v>
      </c>
      <c r="X82" s="15">
        <f t="shared" si="30"/>
        <v>15677.83</v>
      </c>
    </row>
    <row r="83" spans="1:24" x14ac:dyDescent="0.2">
      <c r="A83" s="24" t="s">
        <v>62</v>
      </c>
      <c r="B83" s="22" t="s">
        <v>66</v>
      </c>
      <c r="C83" s="44">
        <v>100021009</v>
      </c>
      <c r="D83" s="24" t="s">
        <v>65</v>
      </c>
      <c r="E83" s="49">
        <v>7790360965127</v>
      </c>
      <c r="F83" s="15">
        <v>2.16</v>
      </c>
      <c r="G83" s="19">
        <v>24</v>
      </c>
      <c r="I83" s="15">
        <f t="shared" si="22"/>
        <v>1146.1143696995312</v>
      </c>
      <c r="J83" s="15">
        <f t="shared" si="23"/>
        <v>916.89149575962495</v>
      </c>
      <c r="K83" s="47"/>
      <c r="L83" s="15">
        <f t="shared" si="24"/>
        <v>653.24272995128592</v>
      </c>
      <c r="M83" s="15">
        <f t="shared" si="25"/>
        <v>7258.2525550142882</v>
      </c>
      <c r="N83" s="40">
        <v>15677.825518830863</v>
      </c>
      <c r="O83" s="16"/>
      <c r="P83" s="15">
        <f t="shared" si="26"/>
        <v>15677.825518830863</v>
      </c>
      <c r="Q83" s="16"/>
      <c r="R83" s="15">
        <f t="shared" si="27"/>
        <v>15677.825518830863</v>
      </c>
      <c r="S83" s="15">
        <f t="shared" si="28"/>
        <v>653.24272995128592</v>
      </c>
      <c r="V83" s="12">
        <v>15677.83</v>
      </c>
      <c r="W83" s="16">
        <f t="shared" si="29"/>
        <v>-2.8582840461144343E-7</v>
      </c>
      <c r="X83" s="15">
        <f t="shared" si="30"/>
        <v>15677.83</v>
      </c>
    </row>
    <row r="84" spans="1:24" x14ac:dyDescent="0.2">
      <c r="A84" s="24" t="s">
        <v>62</v>
      </c>
      <c r="B84" s="22" t="s">
        <v>61</v>
      </c>
      <c r="C84" s="44">
        <v>100021010</v>
      </c>
      <c r="D84" s="24" t="s">
        <v>64</v>
      </c>
      <c r="E84" s="49">
        <v>7790920008707</v>
      </c>
      <c r="F84" s="15">
        <v>2.16</v>
      </c>
      <c r="G84" s="19">
        <v>24</v>
      </c>
      <c r="I84" s="15">
        <f t="shared" si="22"/>
        <v>1146.1143696995312</v>
      </c>
      <c r="J84" s="15">
        <f t="shared" si="23"/>
        <v>916.89149575962495</v>
      </c>
      <c r="K84" s="47"/>
      <c r="L84" s="15">
        <f t="shared" si="24"/>
        <v>653.24272995128592</v>
      </c>
      <c r="M84" s="15">
        <f t="shared" si="25"/>
        <v>7258.2525550142882</v>
      </c>
      <c r="N84" s="40">
        <v>15677.825518830863</v>
      </c>
      <c r="O84" s="16"/>
      <c r="P84" s="15">
        <f t="shared" si="26"/>
        <v>15677.825518830863</v>
      </c>
      <c r="Q84" s="16"/>
      <c r="R84" s="15">
        <f t="shared" si="27"/>
        <v>15677.825518830863</v>
      </c>
      <c r="S84" s="15">
        <f t="shared" si="28"/>
        <v>653.24272995128592</v>
      </c>
      <c r="V84" s="12">
        <v>15677.83</v>
      </c>
      <c r="W84" s="16">
        <f t="shared" si="29"/>
        <v>-2.8582840461144343E-7</v>
      </c>
      <c r="X84" s="15">
        <f t="shared" si="30"/>
        <v>15677.83</v>
      </c>
    </row>
    <row r="85" spans="1:24" x14ac:dyDescent="0.2">
      <c r="A85" s="24" t="s">
        <v>62</v>
      </c>
      <c r="B85" s="22" t="s">
        <v>61</v>
      </c>
      <c r="C85" s="44">
        <v>100021011</v>
      </c>
      <c r="D85" s="24" t="s">
        <v>63</v>
      </c>
      <c r="E85" s="49">
        <v>7790920008714</v>
      </c>
      <c r="F85" s="15">
        <v>2.16</v>
      </c>
      <c r="G85" s="19">
        <v>24</v>
      </c>
      <c r="I85" s="15">
        <f t="shared" si="22"/>
        <v>1146.1143696995312</v>
      </c>
      <c r="J85" s="15">
        <f t="shared" si="23"/>
        <v>916.89149575962495</v>
      </c>
      <c r="K85" s="47"/>
      <c r="L85" s="15">
        <f t="shared" si="24"/>
        <v>653.24272995128592</v>
      </c>
      <c r="M85" s="15">
        <f t="shared" si="25"/>
        <v>7258.2525550142882</v>
      </c>
      <c r="N85" s="40">
        <v>15677.825518830863</v>
      </c>
      <c r="O85" s="16"/>
      <c r="P85" s="15">
        <f t="shared" si="26"/>
        <v>15677.825518830863</v>
      </c>
      <c r="Q85" s="16"/>
      <c r="R85" s="15">
        <f t="shared" si="27"/>
        <v>15677.825518830863</v>
      </c>
      <c r="S85" s="15">
        <f t="shared" si="28"/>
        <v>653.24272995128592</v>
      </c>
      <c r="V85" s="12">
        <v>15677.83</v>
      </c>
      <c r="W85" s="16">
        <f t="shared" si="29"/>
        <v>-2.8582840461144343E-7</v>
      </c>
      <c r="X85" s="15">
        <f t="shared" si="30"/>
        <v>15677.83</v>
      </c>
    </row>
    <row r="86" spans="1:24" hidden="1" x14ac:dyDescent="0.2">
      <c r="A86" s="24" t="s">
        <v>62</v>
      </c>
      <c r="B86" s="22" t="s">
        <v>61</v>
      </c>
      <c r="C86" s="44">
        <v>100021044</v>
      </c>
      <c r="D86" s="24" t="s">
        <v>60</v>
      </c>
      <c r="E86" s="49"/>
      <c r="F86" s="15">
        <v>2.16</v>
      </c>
      <c r="G86" s="19">
        <v>24</v>
      </c>
      <c r="I86" s="15">
        <f t="shared" si="22"/>
        <v>0</v>
      </c>
      <c r="J86" s="15">
        <f t="shared" si="23"/>
        <v>0</v>
      </c>
      <c r="K86" s="47"/>
      <c r="L86" s="15">
        <f t="shared" si="24"/>
        <v>0</v>
      </c>
      <c r="M86" s="15">
        <f t="shared" si="25"/>
        <v>0</v>
      </c>
      <c r="N86" s="40">
        <v>0</v>
      </c>
      <c r="O86" s="16"/>
      <c r="P86" s="15">
        <f t="shared" si="26"/>
        <v>0</v>
      </c>
      <c r="Q86" s="16"/>
      <c r="R86" s="15">
        <f t="shared" si="27"/>
        <v>0</v>
      </c>
      <c r="S86" s="15">
        <f t="shared" si="28"/>
        <v>0</v>
      </c>
      <c r="V86" s="12" t="s">
        <v>31</v>
      </c>
      <c r="W86" s="16" t="str">
        <f t="shared" si="29"/>
        <v/>
      </c>
      <c r="X86" s="15" t="str">
        <f t="shared" si="30"/>
        <v/>
      </c>
    </row>
    <row r="87" spans="1:24" x14ac:dyDescent="0.2">
      <c r="A87" s="37"/>
      <c r="B87" s="36"/>
      <c r="C87" s="35"/>
      <c r="D87" s="27"/>
      <c r="E87" s="35"/>
      <c r="F87" s="27"/>
      <c r="G87" s="34"/>
      <c r="I87" s="32"/>
      <c r="J87" s="33"/>
      <c r="K87" s="47"/>
      <c r="L87" s="32"/>
      <c r="M87" s="27"/>
      <c r="N87" s="27"/>
      <c r="O87" s="30"/>
      <c r="P87" s="27"/>
      <c r="Q87" s="30"/>
      <c r="R87" s="27"/>
      <c r="S87" s="25"/>
      <c r="V87" s="27"/>
      <c r="W87" s="45"/>
      <c r="X87" s="25"/>
    </row>
    <row r="88" spans="1:24" hidden="1" x14ac:dyDescent="0.2">
      <c r="A88" s="24" t="s">
        <v>7</v>
      </c>
      <c r="B88" s="22" t="s">
        <v>55</v>
      </c>
      <c r="C88" s="44">
        <v>100021701</v>
      </c>
      <c r="D88" s="24" t="s">
        <v>59</v>
      </c>
      <c r="E88" s="49">
        <v>7790360023889</v>
      </c>
      <c r="F88" s="15">
        <v>6.6</v>
      </c>
      <c r="G88" s="19">
        <v>20</v>
      </c>
      <c r="I88" s="15">
        <f>+L88*1.55*1.21</f>
        <v>0</v>
      </c>
      <c r="J88" s="15">
        <v>0</v>
      </c>
      <c r="K88" s="47"/>
      <c r="L88" s="15">
        <f>+IF(ISERROR(N88/G88),"",(N88/G88))</f>
        <v>0</v>
      </c>
      <c r="M88" s="15">
        <f>+IF(ISERROR(N88/F88),"",(N88/F88))</f>
        <v>0</v>
      </c>
      <c r="N88" s="40">
        <v>0</v>
      </c>
      <c r="O88" s="16"/>
      <c r="P88" s="15">
        <f>+IF(ISERROR(N88/(1-O88)),"",(N88/(1-O88)))</f>
        <v>0</v>
      </c>
      <c r="Q88" s="16"/>
      <c r="R88" s="15">
        <f>+IF(ISERROR(P88/(1-Q88)),"",(P88/(1-Q88)))</f>
        <v>0</v>
      </c>
      <c r="S88" s="15">
        <f>+IF(ISERROR(R88/G88),"",(R88/G88))</f>
        <v>0</v>
      </c>
      <c r="V88" s="12" t="s">
        <v>31</v>
      </c>
      <c r="W88" s="16" t="str">
        <f>+IF(ISERROR(N88/V88-1),"",(N88/V88-1))</f>
        <v/>
      </c>
      <c r="X88" s="15" t="str">
        <f>+IF(ISERROR(V88*(1-O88)),"",(V88*(1-O88)))</f>
        <v/>
      </c>
    </row>
    <row r="89" spans="1:24" x14ac:dyDescent="0.2">
      <c r="A89" s="24" t="s">
        <v>7</v>
      </c>
      <c r="B89" s="22" t="s">
        <v>55</v>
      </c>
      <c r="C89" s="44">
        <v>100516217</v>
      </c>
      <c r="D89" s="24" t="s">
        <v>58</v>
      </c>
      <c r="E89" s="49">
        <v>7790360967824</v>
      </c>
      <c r="F89" s="15">
        <v>5.8</v>
      </c>
      <c r="G89" s="19">
        <v>20</v>
      </c>
      <c r="I89" s="15">
        <f>+L89*1.55*1.21</f>
        <v>2938.6935316435133</v>
      </c>
      <c r="J89" s="15">
        <f>+I89*0.8</f>
        <v>2350.9548253148109</v>
      </c>
      <c r="K89" s="18"/>
      <c r="L89" s="15">
        <f>+IF(ISERROR(N89/G89),"",(N89/G89))</f>
        <v>1566.8853807750004</v>
      </c>
      <c r="M89" s="15">
        <f>+IF(ISERROR(N89/F89),"",(N89/F89))</f>
        <v>5403.053037155174</v>
      </c>
      <c r="N89" s="40">
        <v>31337.707615500007</v>
      </c>
      <c r="O89" s="16"/>
      <c r="P89" s="15">
        <f>+IF(ISERROR(N89/(1-O89)),"",(N89/(1-O89)))</f>
        <v>31337.707615500007</v>
      </c>
      <c r="Q89" s="16"/>
      <c r="R89" s="15">
        <f>+IF(ISERROR(P89/(1-Q89)),"",(P89/(1-Q89)))</f>
        <v>31337.707615500007</v>
      </c>
      <c r="S89" s="15">
        <f>+IF(ISERROR(R89/G89),"",(R89/G89))</f>
        <v>1566.8853807750004</v>
      </c>
      <c r="V89" s="12">
        <v>30424.959999999999</v>
      </c>
      <c r="W89" s="16">
        <f>+IF(ISERROR(N89/V89-1),"",(N89/V89-1))</f>
        <v>2.9999961068149616E-2</v>
      </c>
      <c r="X89" s="15">
        <f>+IF(ISERROR(V89*(1-O89)),"",(V89*(1-O89)))</f>
        <v>30424.959999999999</v>
      </c>
    </row>
    <row r="90" spans="1:24" x14ac:dyDescent="0.2">
      <c r="A90" s="24" t="s">
        <v>7</v>
      </c>
      <c r="B90" s="22" t="s">
        <v>55</v>
      </c>
      <c r="C90" s="44">
        <v>100516214</v>
      </c>
      <c r="D90" s="24" t="s">
        <v>57</v>
      </c>
      <c r="E90" s="49">
        <v>7790360967794</v>
      </c>
      <c r="F90" s="15">
        <v>7</v>
      </c>
      <c r="G90" s="19">
        <v>20</v>
      </c>
      <c r="I90" s="15">
        <f>+L90*1.55*1.21</f>
        <v>4113.665750084001</v>
      </c>
      <c r="J90" s="15">
        <f>+I90*0.8</f>
        <v>3290.9326000672008</v>
      </c>
      <c r="K90" s="18"/>
      <c r="L90" s="15">
        <f>+IF(ISERROR(N90/G90),"",(N90/G90))</f>
        <v>2193.3701680000004</v>
      </c>
      <c r="M90" s="15">
        <f>+IF(ISERROR(N90/F90),"",(N90/F90))</f>
        <v>6266.7719085714289</v>
      </c>
      <c r="N90" s="40">
        <v>43867.403360000004</v>
      </c>
      <c r="O90" s="16"/>
      <c r="P90" s="15">
        <f>+IF(ISERROR(N90/(1-O90)),"",(N90/(1-O90)))</f>
        <v>43867.403360000004</v>
      </c>
      <c r="Q90" s="16"/>
      <c r="R90" s="15">
        <f>+IF(ISERROR(P90/(1-Q90)),"",(P90/(1-Q90)))</f>
        <v>43867.403360000004</v>
      </c>
      <c r="S90" s="15">
        <f>+IF(ISERROR(R90/G90),"",(R90/G90))</f>
        <v>2193.3701680000004</v>
      </c>
      <c r="V90" s="12">
        <v>43867.4</v>
      </c>
      <c r="W90" s="16">
        <f>+IF(ISERROR(N90/V90-1),"",(N90/V90-1))</f>
        <v>7.6594464326618095E-8</v>
      </c>
      <c r="X90" s="15">
        <f>+IF(ISERROR(V90*(1-O90)),"",(V90*(1-O90)))</f>
        <v>43867.4</v>
      </c>
    </row>
    <row r="91" spans="1:24" x14ac:dyDescent="0.2">
      <c r="A91" s="24" t="s">
        <v>7</v>
      </c>
      <c r="B91" s="22" t="s">
        <v>55</v>
      </c>
      <c r="C91" s="44">
        <v>100516215</v>
      </c>
      <c r="D91" s="24" t="s">
        <v>56</v>
      </c>
      <c r="E91" s="49">
        <v>7790360967800</v>
      </c>
      <c r="F91" s="15">
        <v>7</v>
      </c>
      <c r="G91" s="19">
        <v>20</v>
      </c>
      <c r="I91" s="15">
        <f>+L91*1.55*1.21</f>
        <v>4113.665750084001</v>
      </c>
      <c r="J91" s="15">
        <f>+I91*0.8</f>
        <v>3290.9326000672008</v>
      </c>
      <c r="K91" s="18"/>
      <c r="L91" s="15">
        <f>+IF(ISERROR(N91/G91),"",(N91/G91))</f>
        <v>2193.3701680000004</v>
      </c>
      <c r="M91" s="15">
        <f>+IF(ISERROR(N91/F91),"",(N91/F91))</f>
        <v>6266.7719085714289</v>
      </c>
      <c r="N91" s="40">
        <v>43867.403360000004</v>
      </c>
      <c r="O91" s="16"/>
      <c r="P91" s="15">
        <f>+IF(ISERROR(N91/(1-O91)),"",(N91/(1-O91)))</f>
        <v>43867.403360000004</v>
      </c>
      <c r="Q91" s="16"/>
      <c r="R91" s="15">
        <f>+IF(ISERROR(P91/(1-Q91)),"",(P91/(1-Q91)))</f>
        <v>43867.403360000004</v>
      </c>
      <c r="S91" s="15">
        <f>+IF(ISERROR(R91/G91),"",(R91/G91))</f>
        <v>2193.3701680000004</v>
      </c>
      <c r="V91" s="12">
        <v>43867.4</v>
      </c>
      <c r="W91" s="16">
        <f>+IF(ISERROR(N91/V91-1),"",(N91/V91-1))</f>
        <v>7.6594464326618095E-8</v>
      </c>
      <c r="X91" s="15">
        <f>+IF(ISERROR(V91*(1-O91)),"",(V91*(1-O91)))</f>
        <v>43867.4</v>
      </c>
    </row>
    <row r="92" spans="1:24" x14ac:dyDescent="0.2">
      <c r="A92" s="24" t="s">
        <v>7</v>
      </c>
      <c r="B92" s="22" t="s">
        <v>55</v>
      </c>
      <c r="C92" s="44">
        <v>100516216</v>
      </c>
      <c r="D92" s="24" t="s">
        <v>54</v>
      </c>
      <c r="E92" s="49">
        <v>7790360967817</v>
      </c>
      <c r="F92" s="15">
        <v>7</v>
      </c>
      <c r="G92" s="19">
        <v>20</v>
      </c>
      <c r="I92" s="15">
        <f>+L92*1.55*1.21</f>
        <v>4113.665750084001</v>
      </c>
      <c r="J92" s="15">
        <f>+I92*0.8</f>
        <v>3290.9326000672008</v>
      </c>
      <c r="K92" s="18"/>
      <c r="L92" s="15">
        <f>+IF(ISERROR(N92/G92),"",(N92/G92))</f>
        <v>2193.3701680000004</v>
      </c>
      <c r="M92" s="15">
        <f>+IF(ISERROR(N92/F92),"",(N92/F92))</f>
        <v>6266.7719085714289</v>
      </c>
      <c r="N92" s="40">
        <v>43867.403360000004</v>
      </c>
      <c r="O92" s="16"/>
      <c r="P92" s="15">
        <f>+IF(ISERROR(N92/(1-O92)),"",(N92/(1-O92)))</f>
        <v>43867.403360000004</v>
      </c>
      <c r="Q92" s="16"/>
      <c r="R92" s="15">
        <f>+IF(ISERROR(P92/(1-Q92)),"",(P92/(1-Q92)))</f>
        <v>43867.403360000004</v>
      </c>
      <c r="S92" s="15">
        <f>+IF(ISERROR(R92/G92),"",(R92/G92))</f>
        <v>2193.3701680000004</v>
      </c>
      <c r="V92" s="12">
        <v>43867.4</v>
      </c>
      <c r="W92" s="16">
        <f>+IF(ISERROR(N92/V92-1),"",(N92/V92-1))</f>
        <v>7.6594464326618095E-8</v>
      </c>
      <c r="X92" s="15">
        <f>+IF(ISERROR(V92*(1-O92)),"",(V92*(1-O92)))</f>
        <v>43867.4</v>
      </c>
    </row>
    <row r="93" spans="1:24" x14ac:dyDescent="0.2">
      <c r="A93" s="37"/>
      <c r="B93" s="36"/>
      <c r="C93" s="35"/>
      <c r="D93" s="27"/>
      <c r="E93" s="35"/>
      <c r="F93" s="27"/>
      <c r="G93" s="34"/>
      <c r="I93" s="32"/>
      <c r="J93" s="33"/>
      <c r="K93" s="18"/>
      <c r="L93" s="32"/>
      <c r="M93" s="27"/>
      <c r="N93" s="27"/>
      <c r="O93" s="30"/>
      <c r="P93" s="27"/>
      <c r="Q93" s="30"/>
      <c r="R93" s="27"/>
      <c r="S93" s="25"/>
      <c r="V93" s="27"/>
      <c r="W93" s="45"/>
      <c r="X93" s="25"/>
    </row>
    <row r="94" spans="1:24" x14ac:dyDescent="0.2">
      <c r="A94" s="24" t="s">
        <v>41</v>
      </c>
      <c r="B94" s="22" t="s">
        <v>53</v>
      </c>
      <c r="C94" s="44">
        <v>100021704</v>
      </c>
      <c r="D94" s="24" t="s">
        <v>52</v>
      </c>
      <c r="E94" s="49">
        <v>7790360023902</v>
      </c>
      <c r="F94" s="15">
        <f>12*0.38</f>
        <v>4.5600000000000005</v>
      </c>
      <c r="G94" s="19">
        <v>12</v>
      </c>
      <c r="I94" s="15">
        <f t="shared" ref="I94:I105" si="31">+L94*1.55*1.21</f>
        <v>7364.24816461927</v>
      </c>
      <c r="J94" s="15">
        <f t="shared" ref="J94:J105" si="32">+I94*0.8</f>
        <v>5891.3985316954168</v>
      </c>
      <c r="K94" s="47"/>
      <c r="L94" s="15">
        <f t="shared" ref="L94:L105" si="33">+IF(ISERROR(N94/G94),"",(N94/G94))</f>
        <v>3926.5519406127805</v>
      </c>
      <c r="M94" s="15">
        <f t="shared" ref="M94:M105" si="34">+IF(ISERROR(N94/F94),"",(N94/F94))</f>
        <v>10333.03142266521</v>
      </c>
      <c r="N94" s="40">
        <v>47118.623287353366</v>
      </c>
      <c r="O94" s="16"/>
      <c r="P94" s="15">
        <f t="shared" ref="P94:P107" si="35">+IF(ISERROR(N94/(1-O94)),"",(N94/(1-O94)))</f>
        <v>47118.623287353366</v>
      </c>
      <c r="Q94" s="16"/>
      <c r="R94" s="15">
        <f t="shared" ref="R94:R105" si="36">+IF(ISERROR(P94/(1-Q94)),"",(P94/(1-Q94)))</f>
        <v>47118.623287353366</v>
      </c>
      <c r="S94" s="15">
        <f t="shared" ref="S94:S105" si="37">+IF(ISERROR(R94/G94),"",(R94/G94))</f>
        <v>3926.5519406127805</v>
      </c>
      <c r="V94" s="12">
        <v>47118.63</v>
      </c>
      <c r="W94" s="16">
        <f t="shared" ref="W94:W105" si="38">+IF(ISERROR(N94/V94-1),"",(N94/V94-1))</f>
        <v>-1.4246268686957109E-7</v>
      </c>
      <c r="X94" s="15">
        <f t="shared" ref="X94:X100" si="39">+IF(ISERROR(V94*(1-O94)),"",(V94*(1-O94)))</f>
        <v>47118.63</v>
      </c>
    </row>
    <row r="95" spans="1:24" x14ac:dyDescent="0.2">
      <c r="A95" s="24" t="s">
        <v>41</v>
      </c>
      <c r="B95" s="22" t="s">
        <v>40</v>
      </c>
      <c r="C95" s="44">
        <v>100021705</v>
      </c>
      <c r="D95" s="24" t="s">
        <v>51</v>
      </c>
      <c r="E95" s="49">
        <v>7790360024336</v>
      </c>
      <c r="F95" s="15">
        <f>12*0.38</f>
        <v>4.5600000000000005</v>
      </c>
      <c r="G95" s="19">
        <v>12</v>
      </c>
      <c r="I95" s="15">
        <f t="shared" si="31"/>
        <v>6694.2724021019239</v>
      </c>
      <c r="J95" s="15">
        <f t="shared" si="32"/>
        <v>5355.4179216815392</v>
      </c>
      <c r="K95" s="47"/>
      <c r="L95" s="15">
        <f t="shared" si="33"/>
        <v>3569.3267939759658</v>
      </c>
      <c r="M95" s="15">
        <f t="shared" si="34"/>
        <v>9392.9652473051719</v>
      </c>
      <c r="N95" s="40">
        <v>42831.921527711587</v>
      </c>
      <c r="O95" s="16"/>
      <c r="P95" s="15">
        <f t="shared" si="35"/>
        <v>42831.921527711587</v>
      </c>
      <c r="Q95" s="16"/>
      <c r="R95" s="15">
        <f t="shared" si="36"/>
        <v>42831.921527711587</v>
      </c>
      <c r="S95" s="15">
        <f t="shared" si="37"/>
        <v>3569.3267939759658</v>
      </c>
      <c r="V95" s="12">
        <v>42831.92</v>
      </c>
      <c r="W95" s="16">
        <f t="shared" si="38"/>
        <v>3.5667595321697831E-8</v>
      </c>
      <c r="X95" s="15">
        <f t="shared" si="39"/>
        <v>42831.92</v>
      </c>
    </row>
    <row r="96" spans="1:24" x14ac:dyDescent="0.2">
      <c r="A96" s="24" t="s">
        <v>41</v>
      </c>
      <c r="B96" s="22" t="s">
        <v>40</v>
      </c>
      <c r="C96" s="44">
        <v>100021709</v>
      </c>
      <c r="D96" s="24" t="s">
        <v>50</v>
      </c>
      <c r="E96" s="49">
        <v>7790360024701</v>
      </c>
      <c r="F96" s="15">
        <v>7.6</v>
      </c>
      <c r="G96" s="19">
        <v>10</v>
      </c>
      <c r="I96" s="15">
        <f t="shared" si="31"/>
        <v>12890.366228286799</v>
      </c>
      <c r="J96" s="15">
        <f t="shared" si="32"/>
        <v>10312.29298262944</v>
      </c>
      <c r="K96" s="47"/>
      <c r="L96" s="15">
        <f t="shared" si="33"/>
        <v>6873.0291806381229</v>
      </c>
      <c r="M96" s="15">
        <f t="shared" si="34"/>
        <v>9043.4594482080556</v>
      </c>
      <c r="N96" s="40">
        <v>68730.291806381225</v>
      </c>
      <c r="O96" s="16"/>
      <c r="P96" s="15">
        <f t="shared" si="35"/>
        <v>68730.291806381225</v>
      </c>
      <c r="Q96" s="16"/>
      <c r="R96" s="15">
        <f t="shared" si="36"/>
        <v>68730.291806381225</v>
      </c>
      <c r="S96" s="15">
        <f t="shared" si="37"/>
        <v>6873.0291806381229</v>
      </c>
      <c r="V96" s="12">
        <v>68730.289999999994</v>
      </c>
      <c r="W96" s="16">
        <f t="shared" si="38"/>
        <v>2.6282170884073253E-8</v>
      </c>
      <c r="X96" s="15">
        <f t="shared" si="39"/>
        <v>68730.289999999994</v>
      </c>
    </row>
    <row r="97" spans="1:24" x14ac:dyDescent="0.2">
      <c r="A97" s="24" t="s">
        <v>41</v>
      </c>
      <c r="B97" s="22" t="s">
        <v>40</v>
      </c>
      <c r="C97" s="44">
        <v>100521357</v>
      </c>
      <c r="D97" s="24" t="s">
        <v>49</v>
      </c>
      <c r="E97" s="49">
        <v>7790360982018</v>
      </c>
      <c r="F97" s="15">
        <v>4.5599999999999996</v>
      </c>
      <c r="G97" s="19">
        <v>12</v>
      </c>
      <c r="I97" s="15">
        <f t="shared" si="31"/>
        <v>8109.5447137319989</v>
      </c>
      <c r="J97" s="15">
        <f t="shared" si="32"/>
        <v>6487.6357709855993</v>
      </c>
      <c r="K97" s="47"/>
      <c r="L97" s="15">
        <f t="shared" si="33"/>
        <v>4323.9374639999996</v>
      </c>
      <c r="M97" s="15">
        <f t="shared" si="34"/>
        <v>11378.782800000001</v>
      </c>
      <c r="N97" s="40">
        <v>51887.249567999999</v>
      </c>
      <c r="O97" s="16"/>
      <c r="P97" s="15">
        <f t="shared" si="35"/>
        <v>51887.249567999999</v>
      </c>
      <c r="Q97" s="16"/>
      <c r="R97" s="15">
        <f t="shared" si="36"/>
        <v>51887.249567999999</v>
      </c>
      <c r="S97" s="15">
        <f t="shared" si="37"/>
        <v>4323.9374639999996</v>
      </c>
      <c r="V97" s="12">
        <v>51887.25</v>
      </c>
      <c r="W97" s="16">
        <f t="shared" si="38"/>
        <v>-8.3257447602846923E-9</v>
      </c>
      <c r="X97" s="15">
        <f t="shared" si="39"/>
        <v>51887.25</v>
      </c>
    </row>
    <row r="98" spans="1:24" x14ac:dyDescent="0.2">
      <c r="A98" s="24" t="s">
        <v>41</v>
      </c>
      <c r="B98" s="22" t="s">
        <v>40</v>
      </c>
      <c r="C98" s="44">
        <v>100521358</v>
      </c>
      <c r="D98" s="24" t="s">
        <v>48</v>
      </c>
      <c r="E98" s="49">
        <v>7790360982025</v>
      </c>
      <c r="F98" s="15">
        <v>7.6</v>
      </c>
      <c r="G98" s="19">
        <v>10</v>
      </c>
      <c r="I98" s="15">
        <f t="shared" si="31"/>
        <v>14597.180484717603</v>
      </c>
      <c r="J98" s="15">
        <f t="shared" si="32"/>
        <v>11677.744387774082</v>
      </c>
      <c r="K98" s="47"/>
      <c r="L98" s="15">
        <f t="shared" si="33"/>
        <v>7783.087435200001</v>
      </c>
      <c r="M98" s="15">
        <f t="shared" si="34"/>
        <v>10240.904520000002</v>
      </c>
      <c r="N98" s="40">
        <v>77830.874352000013</v>
      </c>
      <c r="O98" s="16"/>
      <c r="P98" s="15">
        <f t="shared" si="35"/>
        <v>77830.874352000013</v>
      </c>
      <c r="Q98" s="16"/>
      <c r="R98" s="15">
        <f t="shared" si="36"/>
        <v>77830.874352000013</v>
      </c>
      <c r="S98" s="15">
        <f t="shared" si="37"/>
        <v>7783.087435200001</v>
      </c>
      <c r="V98" s="12">
        <v>77830.880000000005</v>
      </c>
      <c r="W98" s="16">
        <f t="shared" si="38"/>
        <v>-7.2567597708683707E-8</v>
      </c>
      <c r="X98" s="15">
        <f t="shared" si="39"/>
        <v>77830.880000000005</v>
      </c>
    </row>
    <row r="99" spans="1:24" x14ac:dyDescent="0.2">
      <c r="A99" s="24" t="s">
        <v>41</v>
      </c>
      <c r="B99" s="22" t="s">
        <v>40</v>
      </c>
      <c r="C99" s="44">
        <v>100522130</v>
      </c>
      <c r="D99" s="24" t="s">
        <v>47</v>
      </c>
      <c r="E99" s="49">
        <v>7790360982445</v>
      </c>
      <c r="F99" s="15">
        <v>4.8</v>
      </c>
      <c r="G99" s="19">
        <v>12</v>
      </c>
      <c r="I99" s="15">
        <f t="shared" si="31"/>
        <v>6063.9545617002041</v>
      </c>
      <c r="J99" s="15">
        <f t="shared" si="32"/>
        <v>4851.1636493601636</v>
      </c>
      <c r="K99" s="47"/>
      <c r="L99" s="15">
        <f t="shared" si="33"/>
        <v>3233.2469004000018</v>
      </c>
      <c r="M99" s="15">
        <f t="shared" si="34"/>
        <v>8083.1172510000051</v>
      </c>
      <c r="N99" s="40">
        <v>38798.962804800023</v>
      </c>
      <c r="O99" s="16"/>
      <c r="P99" s="15">
        <f t="shared" si="35"/>
        <v>38798.962804800023</v>
      </c>
      <c r="Q99" s="16"/>
      <c r="R99" s="15">
        <f t="shared" si="36"/>
        <v>38798.962804800023</v>
      </c>
      <c r="S99" s="15">
        <f t="shared" si="37"/>
        <v>3233.2469004000018</v>
      </c>
      <c r="V99" s="12">
        <v>38798.959999999999</v>
      </c>
      <c r="W99" s="16">
        <f t="shared" si="38"/>
        <v>7.2290598174262755E-8</v>
      </c>
      <c r="X99" s="15">
        <f t="shared" si="39"/>
        <v>38798.959999999999</v>
      </c>
    </row>
    <row r="100" spans="1:24" s="38" customFormat="1" x14ac:dyDescent="0.2">
      <c r="A100" s="24" t="s">
        <v>41</v>
      </c>
      <c r="B100" s="22" t="s">
        <v>40</v>
      </c>
      <c r="C100" s="23">
        <v>100021725</v>
      </c>
      <c r="D100" s="22" t="s">
        <v>46</v>
      </c>
      <c r="E100" s="21">
        <v>7790360027009</v>
      </c>
      <c r="F100" s="10">
        <v>6</v>
      </c>
      <c r="G100" s="48">
        <v>4</v>
      </c>
      <c r="I100" s="15">
        <f t="shared" si="31"/>
        <v>16657.012289848299</v>
      </c>
      <c r="J100" s="15">
        <f t="shared" si="32"/>
        <v>13325.609831878639</v>
      </c>
      <c r="K100" s="47"/>
      <c r="L100" s="10">
        <f t="shared" si="33"/>
        <v>8881.3715221798448</v>
      </c>
      <c r="M100" s="10">
        <f t="shared" si="34"/>
        <v>5920.9143481198962</v>
      </c>
      <c r="N100" s="40">
        <v>35525.486088719379</v>
      </c>
      <c r="O100" s="16"/>
      <c r="P100" s="15">
        <f t="shared" si="35"/>
        <v>35525.486088719379</v>
      </c>
      <c r="Q100" s="11"/>
      <c r="R100" s="10">
        <f t="shared" si="36"/>
        <v>35525.486088719379</v>
      </c>
      <c r="S100" s="10">
        <f t="shared" si="37"/>
        <v>8881.3715221798448</v>
      </c>
      <c r="V100" s="12">
        <v>35525.480000000003</v>
      </c>
      <c r="W100" s="11">
        <f t="shared" si="38"/>
        <v>1.7139020713763387E-7</v>
      </c>
      <c r="X100" s="10">
        <f t="shared" si="39"/>
        <v>35525.480000000003</v>
      </c>
    </row>
    <row r="101" spans="1:24" x14ac:dyDescent="0.2">
      <c r="A101" s="24" t="s">
        <v>41</v>
      </c>
      <c r="B101" s="22" t="s">
        <v>40</v>
      </c>
      <c r="C101" s="44">
        <v>100517055</v>
      </c>
      <c r="D101" s="24" t="s">
        <v>45</v>
      </c>
      <c r="E101" s="49">
        <v>7790360971135</v>
      </c>
      <c r="F101" s="15">
        <v>3.12</v>
      </c>
      <c r="G101" s="19">
        <v>12</v>
      </c>
      <c r="I101" s="15">
        <f t="shared" si="31"/>
        <v>5544.8822450436128</v>
      </c>
      <c r="J101" s="15">
        <f t="shared" si="32"/>
        <v>4435.90579603489</v>
      </c>
      <c r="K101" s="47"/>
      <c r="L101" s="15">
        <f t="shared" si="33"/>
        <v>2956.4821354538058</v>
      </c>
      <c r="M101" s="15">
        <f t="shared" si="34"/>
        <v>11371.085136360791</v>
      </c>
      <c r="N101" s="40">
        <v>35477.785625445671</v>
      </c>
      <c r="O101" s="16"/>
      <c r="P101" s="15">
        <f t="shared" si="35"/>
        <v>35477.785625445671</v>
      </c>
      <c r="Q101" s="11"/>
      <c r="R101" s="10">
        <f t="shared" si="36"/>
        <v>35477.785625445671</v>
      </c>
      <c r="S101" s="10">
        <f t="shared" si="37"/>
        <v>2956.4821354538058</v>
      </c>
      <c r="V101" s="12">
        <v>35477.79</v>
      </c>
      <c r="W101" s="11">
        <f t="shared" si="38"/>
        <v>-1.2330402565652321E-7</v>
      </c>
      <c r="X101" s="15"/>
    </row>
    <row r="102" spans="1:24" x14ac:dyDescent="0.2">
      <c r="A102" s="24" t="s">
        <v>41</v>
      </c>
      <c r="B102" s="22" t="s">
        <v>40</v>
      </c>
      <c r="C102" s="44">
        <v>100517186</v>
      </c>
      <c r="D102" s="24" t="s">
        <v>44</v>
      </c>
      <c r="E102" s="49">
        <v>7790360971395</v>
      </c>
      <c r="F102" s="15">
        <v>8</v>
      </c>
      <c r="G102" s="19">
        <v>8</v>
      </c>
      <c r="I102" s="15">
        <f t="shared" si="31"/>
        <v>21016.459679450931</v>
      </c>
      <c r="J102" s="15">
        <f t="shared" si="32"/>
        <v>16813.167743560745</v>
      </c>
      <c r="K102" s="47"/>
      <c r="L102" s="15">
        <f t="shared" si="33"/>
        <v>11205.790284964507</v>
      </c>
      <c r="M102" s="15">
        <f t="shared" si="34"/>
        <v>11205.790284964507</v>
      </c>
      <c r="N102" s="40">
        <v>89646.322279716056</v>
      </c>
      <c r="O102" s="16"/>
      <c r="P102" s="15">
        <f t="shared" si="35"/>
        <v>89646.322279716056</v>
      </c>
      <c r="Q102" s="11"/>
      <c r="R102" s="10">
        <f t="shared" si="36"/>
        <v>89646.322279716056</v>
      </c>
      <c r="S102" s="10">
        <f t="shared" si="37"/>
        <v>11205.790284964507</v>
      </c>
      <c r="V102" s="12">
        <v>89646.32</v>
      </c>
      <c r="W102" s="11">
        <f t="shared" si="38"/>
        <v>2.5430113126390097E-8</v>
      </c>
      <c r="X102" s="15"/>
    </row>
    <row r="103" spans="1:24" x14ac:dyDescent="0.2">
      <c r="A103" s="24" t="s">
        <v>41</v>
      </c>
      <c r="B103" s="22" t="s">
        <v>40</v>
      </c>
      <c r="C103" s="44">
        <v>100521663</v>
      </c>
      <c r="D103" s="24" t="s">
        <v>43</v>
      </c>
      <c r="E103" s="49">
        <v>7790360982537</v>
      </c>
      <c r="F103" s="15">
        <v>4.8</v>
      </c>
      <c r="G103" s="19">
        <v>12</v>
      </c>
      <c r="I103" s="15">
        <f t="shared" si="31"/>
        <v>8239.0564373906273</v>
      </c>
      <c r="J103" s="15">
        <f t="shared" si="32"/>
        <v>6591.2451499125018</v>
      </c>
      <c r="K103" s="47"/>
      <c r="L103" s="15">
        <f t="shared" si="33"/>
        <v>4392.9919687500014</v>
      </c>
      <c r="M103" s="15">
        <f t="shared" si="34"/>
        <v>10982.479921875003</v>
      </c>
      <c r="N103" s="40">
        <v>52715.903625000014</v>
      </c>
      <c r="O103" s="16"/>
      <c r="P103" s="15">
        <f t="shared" si="35"/>
        <v>52715.903625000014</v>
      </c>
      <c r="Q103" s="16"/>
      <c r="R103" s="15">
        <f t="shared" si="36"/>
        <v>52715.903625000014</v>
      </c>
      <c r="S103" s="15">
        <f t="shared" si="37"/>
        <v>4392.9919687500014</v>
      </c>
      <c r="V103" s="12">
        <v>52715.9</v>
      </c>
      <c r="W103" s="16">
        <f t="shared" si="38"/>
        <v>6.876483205076056E-8</v>
      </c>
      <c r="X103" s="15">
        <f>+IF(ISERROR(V103*(1-O103)),"",(V103*(1-O103)))</f>
        <v>52715.9</v>
      </c>
    </row>
    <row r="104" spans="1:24" s="38" customFormat="1" x14ac:dyDescent="0.2">
      <c r="A104" s="24" t="s">
        <v>41</v>
      </c>
      <c r="B104" s="22" t="s">
        <v>40</v>
      </c>
      <c r="C104" s="23">
        <v>100021728</v>
      </c>
      <c r="D104" s="22" t="s">
        <v>42</v>
      </c>
      <c r="E104" s="21">
        <v>7790360967558</v>
      </c>
      <c r="F104" s="10">
        <v>3.84</v>
      </c>
      <c r="G104" s="48">
        <v>12</v>
      </c>
      <c r="I104" s="15">
        <f t="shared" si="31"/>
        <v>6970.1555302425404</v>
      </c>
      <c r="J104" s="15">
        <f t="shared" si="32"/>
        <v>5576.1244241940331</v>
      </c>
      <c r="K104" s="47"/>
      <c r="L104" s="10">
        <f t="shared" si="33"/>
        <v>3716.4252360664036</v>
      </c>
      <c r="M104" s="10">
        <f t="shared" si="34"/>
        <v>11613.828862707513</v>
      </c>
      <c r="N104" s="40">
        <v>44597.102832796845</v>
      </c>
      <c r="O104" s="16"/>
      <c r="P104" s="15">
        <f t="shared" si="35"/>
        <v>44597.102832796845</v>
      </c>
      <c r="Q104" s="11"/>
      <c r="R104" s="10">
        <f t="shared" si="36"/>
        <v>44597.102832796845</v>
      </c>
      <c r="S104" s="10">
        <f t="shared" si="37"/>
        <v>3716.4252360664036</v>
      </c>
      <c r="V104" s="12">
        <v>44597.1</v>
      </c>
      <c r="W104" s="11">
        <f t="shared" si="38"/>
        <v>6.3519754567309406E-8</v>
      </c>
      <c r="X104" s="10">
        <f>+IF(ISERROR(V104*(1-O104)),"",(V104*(1-O104)))</f>
        <v>44597.1</v>
      </c>
    </row>
    <row r="105" spans="1:24" s="38" customFormat="1" x14ac:dyDescent="0.2">
      <c r="A105" s="24" t="s">
        <v>41</v>
      </c>
      <c r="B105" s="22" t="s">
        <v>40</v>
      </c>
      <c r="C105" s="23">
        <v>100517679</v>
      </c>
      <c r="D105" s="22" t="s">
        <v>39</v>
      </c>
      <c r="E105" s="21">
        <v>7790360973498</v>
      </c>
      <c r="F105" s="10">
        <v>7.68</v>
      </c>
      <c r="G105" s="48">
        <v>8</v>
      </c>
      <c r="I105" s="15">
        <f t="shared" si="31"/>
        <v>10502.331013140078</v>
      </c>
      <c r="J105" s="15">
        <f t="shared" si="32"/>
        <v>8401.8648105120628</v>
      </c>
      <c r="K105" s="47"/>
      <c r="L105" s="10">
        <f t="shared" si="33"/>
        <v>5599.7499403572792</v>
      </c>
      <c r="M105" s="10">
        <f t="shared" si="34"/>
        <v>5833.0728545388329</v>
      </c>
      <c r="N105" s="40">
        <v>44797.999522858234</v>
      </c>
      <c r="O105" s="16"/>
      <c r="P105" s="15">
        <f t="shared" si="35"/>
        <v>44797.999522858234</v>
      </c>
      <c r="Q105" s="11"/>
      <c r="R105" s="10">
        <f t="shared" si="36"/>
        <v>44797.999522858234</v>
      </c>
      <c r="S105" s="10">
        <f t="shared" si="37"/>
        <v>5599.7499403572792</v>
      </c>
      <c r="V105" s="12">
        <v>44798</v>
      </c>
      <c r="W105" s="11">
        <f t="shared" si="38"/>
        <v>-1.0650961335123554E-8</v>
      </c>
      <c r="X105" s="10">
        <f>+IF(ISERROR(V105*(1-O105)),"",(V105*(1-O105)))</f>
        <v>44798</v>
      </c>
    </row>
    <row r="106" spans="1:24" hidden="1" x14ac:dyDescent="0.2">
      <c r="A106" s="37"/>
      <c r="B106" s="36"/>
      <c r="C106" s="35"/>
      <c r="D106" s="27"/>
      <c r="E106" s="35"/>
      <c r="F106" s="27"/>
      <c r="G106" s="34"/>
      <c r="I106" s="32"/>
      <c r="J106" s="33"/>
      <c r="K106" s="47"/>
      <c r="L106" s="32"/>
      <c r="M106" s="27"/>
      <c r="N106" s="40" t="e">
        <v>#VALUE!</v>
      </c>
      <c r="O106" s="30"/>
      <c r="P106" s="15" t="str">
        <f t="shared" si="35"/>
        <v/>
      </c>
      <c r="Q106" s="30"/>
      <c r="R106" s="27"/>
      <c r="S106" s="25"/>
      <c r="V106" s="27"/>
      <c r="W106" s="45"/>
      <c r="X106" s="25"/>
    </row>
    <row r="107" spans="1:24" hidden="1" x14ac:dyDescent="0.2">
      <c r="A107" s="24" t="s">
        <v>38</v>
      </c>
      <c r="B107" s="24" t="s">
        <v>37</v>
      </c>
      <c r="C107" s="44">
        <v>100022200</v>
      </c>
      <c r="D107" s="24" t="s">
        <v>36</v>
      </c>
      <c r="E107" s="43">
        <v>7790360027085</v>
      </c>
      <c r="F107" s="15">
        <v>3</v>
      </c>
      <c r="G107" s="19">
        <v>10</v>
      </c>
      <c r="I107" s="15">
        <f>+L107*1.55*1.21</f>
        <v>0</v>
      </c>
      <c r="J107" s="15">
        <f>+I107*0.8</f>
        <v>0</v>
      </c>
      <c r="K107" s="47"/>
      <c r="L107" s="15">
        <f>+IF(ISERROR(N107/G107),"",(N107/G107))</f>
        <v>0</v>
      </c>
      <c r="M107" s="15">
        <f>+IF(ISERROR(N107/F107),"",(N107/F107))</f>
        <v>0</v>
      </c>
      <c r="N107" s="40">
        <v>0</v>
      </c>
      <c r="O107" s="16"/>
      <c r="P107" s="15">
        <f t="shared" si="35"/>
        <v>0</v>
      </c>
      <c r="Q107" s="16"/>
      <c r="R107" s="15">
        <f>+IF(ISERROR(P107/(1-Q107)),"",(P107/(1-Q107)))</f>
        <v>0</v>
      </c>
      <c r="S107" s="15">
        <f>+IF(ISERROR(R107/G107),"",(R107/G107))</f>
        <v>0</v>
      </c>
      <c r="V107" s="12" t="s">
        <v>31</v>
      </c>
      <c r="W107" s="16" t="str">
        <f>+IF(ISERROR(N107/V107-1),"",(N107/V107-1))</f>
        <v/>
      </c>
      <c r="X107" s="15" t="str">
        <f>+IF(ISERROR(V107*(1-O107)),"",(V107*(1-O107)))</f>
        <v/>
      </c>
    </row>
    <row r="108" spans="1:24" x14ac:dyDescent="0.2">
      <c r="A108" s="37"/>
      <c r="B108" s="36"/>
      <c r="C108" s="35"/>
      <c r="D108" s="27"/>
      <c r="E108" s="35"/>
      <c r="F108" s="27"/>
      <c r="G108" s="34"/>
      <c r="I108" s="32"/>
      <c r="J108" s="33"/>
      <c r="K108" s="47"/>
      <c r="L108" s="32"/>
      <c r="M108" s="27"/>
      <c r="N108" s="27"/>
      <c r="O108" s="30"/>
      <c r="P108" s="27"/>
      <c r="Q108" s="30"/>
      <c r="R108" s="27"/>
      <c r="S108" s="25"/>
      <c r="V108" s="27" t="s">
        <v>31</v>
      </c>
      <c r="W108" s="45"/>
      <c r="X108" s="25" t="str">
        <f>+IF(ISERROR(V108*(1-O108)),"",(V108*(1-O108)))</f>
        <v/>
      </c>
    </row>
    <row r="109" spans="1:24" hidden="1" x14ac:dyDescent="0.2">
      <c r="A109" s="24" t="s">
        <v>34</v>
      </c>
      <c r="B109" s="24" t="s">
        <v>33</v>
      </c>
      <c r="C109" s="44">
        <v>100516219</v>
      </c>
      <c r="D109" s="24" t="s">
        <v>35</v>
      </c>
      <c r="E109" s="43">
        <v>7790360967770</v>
      </c>
      <c r="F109" s="15">
        <v>10</v>
      </c>
      <c r="G109" s="19">
        <v>25</v>
      </c>
      <c r="I109" s="15">
        <f>+L109*1.55*1.21</f>
        <v>0</v>
      </c>
      <c r="J109" s="15">
        <f>+I109*0.8</f>
        <v>0</v>
      </c>
      <c r="K109" s="42"/>
      <c r="L109" s="15">
        <f>+IF(ISERROR(N109/G109),"",(N109/G109))</f>
        <v>0</v>
      </c>
      <c r="M109" s="15">
        <f>+IF(ISERROR(N109/F109),"",(N109/F109))</f>
        <v>0</v>
      </c>
      <c r="N109" s="40">
        <v>0</v>
      </c>
      <c r="O109" s="16"/>
      <c r="P109" s="15">
        <f>+IF(ISERROR(N109/(1-O109)),"",(N109/(1-O109)))</f>
        <v>0</v>
      </c>
      <c r="Q109" s="16"/>
      <c r="R109" s="15">
        <f>+IF(ISERROR(P109/(1-Q109)),"",(P109/(1-Q109)))</f>
        <v>0</v>
      </c>
      <c r="S109" s="15">
        <f>+IF(ISERROR(R109/G109),"",(R109/G109))</f>
        <v>0</v>
      </c>
      <c r="V109" s="12" t="s">
        <v>31</v>
      </c>
      <c r="W109" s="16" t="str">
        <f>+IF(ISERROR(N109/V109-1),"",(N109/V109-1))</f>
        <v/>
      </c>
      <c r="X109" s="15" t="str">
        <f>+IF(ISERROR(V109*(1-O109)),"",(V109*(1-O109)))</f>
        <v/>
      </c>
    </row>
    <row r="110" spans="1:24" hidden="1" x14ac:dyDescent="0.2">
      <c r="A110" s="24" t="s">
        <v>34</v>
      </c>
      <c r="B110" s="24" t="s">
        <v>33</v>
      </c>
      <c r="C110" s="44">
        <v>100516220</v>
      </c>
      <c r="D110" s="24" t="s">
        <v>32</v>
      </c>
      <c r="E110" s="43">
        <v>7790360967787</v>
      </c>
      <c r="F110" s="15">
        <v>12</v>
      </c>
      <c r="G110" s="19">
        <v>6</v>
      </c>
      <c r="I110" s="15">
        <f>+L110*1.55*1.21</f>
        <v>0</v>
      </c>
      <c r="J110" s="15">
        <f>+I110*0.8</f>
        <v>0</v>
      </c>
      <c r="K110" s="42"/>
      <c r="L110" s="15">
        <f>+IF(ISERROR(N110/G110),"",(N110/G110))</f>
        <v>0</v>
      </c>
      <c r="M110" s="15">
        <f>+IF(ISERROR(N110/F110),"",(N110/F110))</f>
        <v>0</v>
      </c>
      <c r="N110" s="40">
        <v>0</v>
      </c>
      <c r="O110" s="16"/>
      <c r="P110" s="15">
        <f>+IF(ISERROR(N110/(1-O110)),"",(N110/(1-O110)))</f>
        <v>0</v>
      </c>
      <c r="Q110" s="16"/>
      <c r="R110" s="15">
        <f>+IF(ISERROR(P110/(1-Q110)),"",(P110/(1-Q110)))</f>
        <v>0</v>
      </c>
      <c r="S110" s="15">
        <f>+IF(ISERROR(R110/G110),"",(R110/G110))</f>
        <v>0</v>
      </c>
      <c r="V110" s="12" t="s">
        <v>31</v>
      </c>
      <c r="W110" s="16" t="str">
        <f>+IF(ISERROR(N110/V110-1),"",(N110/V110-1))</f>
        <v/>
      </c>
      <c r="X110" s="15" t="str">
        <f>+IF(ISERROR(V110*(1-O110)),"",(V110*(1-O110)))</f>
        <v/>
      </c>
    </row>
    <row r="111" spans="1:24" hidden="1" x14ac:dyDescent="0.2">
      <c r="A111" s="37"/>
      <c r="B111" s="36"/>
      <c r="C111" s="35"/>
      <c r="D111" s="27"/>
      <c r="E111" s="35"/>
      <c r="F111" s="27"/>
      <c r="G111" s="34"/>
      <c r="I111" s="32"/>
      <c r="J111" s="33"/>
      <c r="K111" s="47"/>
      <c r="L111" s="32"/>
      <c r="M111" s="27"/>
      <c r="N111" s="40" t="e">
        <v>#VALUE!</v>
      </c>
      <c r="O111" s="30"/>
      <c r="P111" s="27"/>
      <c r="Q111" s="30"/>
      <c r="R111" s="27"/>
      <c r="S111" s="25"/>
      <c r="V111" s="27"/>
      <c r="W111" s="45"/>
      <c r="X111" s="25"/>
    </row>
    <row r="112" spans="1:24" x14ac:dyDescent="0.2">
      <c r="A112" s="24" t="s">
        <v>28</v>
      </c>
      <c r="B112" s="24" t="s">
        <v>28</v>
      </c>
      <c r="C112" s="44">
        <v>100518158</v>
      </c>
      <c r="D112" s="24" t="s">
        <v>30</v>
      </c>
      <c r="E112" s="43">
        <v>7790360974280</v>
      </c>
      <c r="F112" s="15">
        <v>12</v>
      </c>
      <c r="G112" s="19">
        <v>24</v>
      </c>
      <c r="I112" s="15">
        <f>+L112*1.55*1.21</f>
        <v>6691.7812500000027</v>
      </c>
      <c r="J112" s="15">
        <f>+I112*0.8</f>
        <v>5353.4250000000029</v>
      </c>
      <c r="K112" s="42"/>
      <c r="L112" s="15">
        <f>+IF(ISERROR(N112/G112),"",(N112/G112))</f>
        <v>3567.9985337243415</v>
      </c>
      <c r="M112" s="15">
        <f>+IF(ISERROR(N112/F112),"",(N112/F112))</f>
        <v>7135.9970674486831</v>
      </c>
      <c r="N112" s="40">
        <v>85631.964809384197</v>
      </c>
      <c r="O112" s="16"/>
      <c r="P112" s="15">
        <f>+IF(ISERROR(N112/(1-O112)),"",(N112/(1-O112)))</f>
        <v>85631.964809384197</v>
      </c>
      <c r="Q112" s="16"/>
      <c r="R112" s="15">
        <f>+IF(ISERROR(P112/(1-Q112)),"",(P112/(1-Q112)))</f>
        <v>85631.964809384197</v>
      </c>
      <c r="S112" s="15">
        <f>+IF(ISERROR(R112/G112),"",(R112/G112))</f>
        <v>3567.9985337243415</v>
      </c>
      <c r="V112" s="12">
        <v>85631.96</v>
      </c>
      <c r="W112" s="16">
        <f>+IF(ISERROR(N112/V112-1),"",(N112/V112-1))</f>
        <v>5.6163425243838105E-8</v>
      </c>
      <c r="X112" s="15">
        <f>+IF(ISERROR(V112*(1-O112)),"",(V112*(1-O112)))</f>
        <v>85631.96</v>
      </c>
    </row>
    <row r="113" spans="1:24" x14ac:dyDescent="0.2">
      <c r="A113" s="24" t="s">
        <v>28</v>
      </c>
      <c r="B113" s="24" t="s">
        <v>28</v>
      </c>
      <c r="C113" s="44">
        <v>100518160</v>
      </c>
      <c r="D113" s="24" t="s">
        <v>29</v>
      </c>
      <c r="E113" s="43">
        <v>7790360974686</v>
      </c>
      <c r="F113" s="15">
        <v>12</v>
      </c>
      <c r="G113" s="19">
        <v>12</v>
      </c>
      <c r="I113" s="15">
        <f>+L113*1.55*1.21</f>
        <v>13383.562500000005</v>
      </c>
      <c r="J113" s="15">
        <f>+I113*0.8</f>
        <v>10706.850000000006</v>
      </c>
      <c r="K113" s="42"/>
      <c r="L113" s="15">
        <f>+IF(ISERROR(N113/G113),"",(N113/G113))</f>
        <v>7135.9970674486831</v>
      </c>
      <c r="M113" s="15">
        <f>+IF(ISERROR(N113/F113),"",(N113/F113))</f>
        <v>7135.9970674486831</v>
      </c>
      <c r="N113" s="40">
        <v>85631.964809384197</v>
      </c>
      <c r="O113" s="16"/>
      <c r="P113" s="15">
        <f>+IF(ISERROR(N113/(1-O113)),"",(N113/(1-O113)))</f>
        <v>85631.964809384197</v>
      </c>
      <c r="Q113" s="16"/>
      <c r="R113" s="15">
        <f>+IF(ISERROR(P113/(1-Q113)),"",(P113/(1-Q113)))</f>
        <v>85631.964809384197</v>
      </c>
      <c r="S113" s="15">
        <f>+IF(ISERROR(R113/G113),"",(R113/G113))</f>
        <v>7135.9970674486831</v>
      </c>
      <c r="V113" s="12">
        <v>85631.96</v>
      </c>
      <c r="W113" s="16">
        <f>+IF(ISERROR(N113/V113-1),"",(N113/V113-1))</f>
        <v>5.6163425243838105E-8</v>
      </c>
      <c r="X113" s="15">
        <f>+IF(ISERROR(V113*(1-O113)),"",(V113*(1-O113)))</f>
        <v>85631.96</v>
      </c>
    </row>
    <row r="114" spans="1:24" x14ac:dyDescent="0.2">
      <c r="A114" s="24" t="s">
        <v>28</v>
      </c>
      <c r="B114" s="24" t="s">
        <v>28</v>
      </c>
      <c r="C114" s="44">
        <v>100518463</v>
      </c>
      <c r="D114" s="24" t="s">
        <v>27</v>
      </c>
      <c r="E114" s="43">
        <v>7790360975188</v>
      </c>
      <c r="F114" s="15">
        <v>5</v>
      </c>
      <c r="G114" s="19">
        <v>1</v>
      </c>
      <c r="I114" s="15">
        <f>+L114*1.55*1.21</f>
        <v>78219.679795769553</v>
      </c>
      <c r="J114" s="15">
        <f>+I114*0.8</f>
        <v>62575.743836615642</v>
      </c>
      <c r="K114" s="42"/>
      <c r="L114" s="15">
        <f>+IF(ISERROR(N114/G114),"",(N114/G114))</f>
        <v>41706.040946824607</v>
      </c>
      <c r="M114" s="15">
        <f>+IF(ISERROR(N114/F114),"",(N114/F114))</f>
        <v>8341.2081893649211</v>
      </c>
      <c r="N114" s="40">
        <v>41706.040946824607</v>
      </c>
      <c r="O114" s="16"/>
      <c r="P114" s="15">
        <f>+IF(ISERROR(N114/(1-O114)),"",(N114/(1-O114)))</f>
        <v>41706.040946824607</v>
      </c>
      <c r="Q114" s="16"/>
      <c r="R114" s="15">
        <f>+IF(ISERROR(P114/(1-Q114)),"",(P114/(1-Q114)))</f>
        <v>41706.040946824607</v>
      </c>
      <c r="S114" s="15">
        <f>+IF(ISERROR(R114/G114),"",(R114/G114))</f>
        <v>41706.040946824607</v>
      </c>
      <c r="V114" s="12">
        <v>41706.04</v>
      </c>
      <c r="W114" s="16">
        <f>+IF(ISERROR(N114/V114-1),"",(N114/V114-1))</f>
        <v>2.2702337787450233E-8</v>
      </c>
      <c r="X114" s="15">
        <f>+IF(ISERROR(V114*(1-O114)),"",(V114*(1-O114)))</f>
        <v>41706.04</v>
      </c>
    </row>
    <row r="115" spans="1:24" x14ac:dyDescent="0.2">
      <c r="A115" s="37"/>
      <c r="B115" s="36"/>
      <c r="C115" s="35"/>
      <c r="D115" s="27"/>
      <c r="E115" s="35"/>
      <c r="F115" s="27"/>
      <c r="G115" s="34"/>
      <c r="I115" s="32"/>
      <c r="J115" s="33"/>
      <c r="K115" s="47"/>
      <c r="L115" s="32"/>
      <c r="M115" s="27"/>
      <c r="N115" s="27"/>
      <c r="O115" s="30"/>
      <c r="P115" s="27"/>
      <c r="Q115" s="30"/>
      <c r="R115" s="27"/>
      <c r="S115" s="25"/>
      <c r="V115" s="27"/>
      <c r="W115" s="45"/>
      <c r="X115" s="25"/>
    </row>
    <row r="116" spans="1:24" x14ac:dyDescent="0.2">
      <c r="A116" s="24"/>
      <c r="B116" s="24"/>
      <c r="C116" s="44">
        <v>100518291</v>
      </c>
      <c r="D116" s="24" t="s">
        <v>26</v>
      </c>
      <c r="E116" s="43">
        <v>7790360975195</v>
      </c>
      <c r="F116" s="15">
        <v>5</v>
      </c>
      <c r="G116" s="19">
        <v>10</v>
      </c>
      <c r="I116" s="15">
        <f>+L116*1.55*1.21</f>
        <v>3222.6950431935084</v>
      </c>
      <c r="J116" s="15">
        <f>+I116*0.8</f>
        <v>2578.1560345548069</v>
      </c>
      <c r="K116" s="42"/>
      <c r="L116" s="15">
        <f>+IF(ISERROR(N116/G116),"",(N116/G116))</f>
        <v>1718.3124730437262</v>
      </c>
      <c r="M116" s="15">
        <f>+IF(ISERROR(N116/F116),"",(N116/F116))</f>
        <v>3436.6249460874524</v>
      </c>
      <c r="N116" s="40">
        <v>17183.124730437263</v>
      </c>
      <c r="O116" s="16"/>
      <c r="P116" s="15">
        <f>+IF(ISERROR(N116/(1-O116)),"",(N116/(1-O116)))</f>
        <v>17183.124730437263</v>
      </c>
      <c r="Q116" s="16"/>
      <c r="R116" s="15">
        <f>+IF(ISERROR(P116/(1-Q116)),"",(P116/(1-Q116)))</f>
        <v>17183.124730437263</v>
      </c>
      <c r="S116" s="15">
        <f>+IF(ISERROR(R116/G116),"",(R116/G116))</f>
        <v>1718.3124730437262</v>
      </c>
      <c r="V116" s="12">
        <v>17183.13</v>
      </c>
      <c r="W116" s="16">
        <f>+IF(ISERROR(N116/V116-1),"",(N116/V116-1))</f>
        <v>-3.0667071360124254E-7</v>
      </c>
      <c r="X116" s="15">
        <f>+IF(ISERROR(V116*(1-O116)),"",(V116*(1-O116)))</f>
        <v>17183.13</v>
      </c>
    </row>
    <row r="117" spans="1:24" x14ac:dyDescent="0.2">
      <c r="A117" s="24"/>
      <c r="B117" s="24"/>
      <c r="C117" s="44">
        <v>100518292</v>
      </c>
      <c r="D117" s="24" t="s">
        <v>25</v>
      </c>
      <c r="E117" s="43">
        <v>7790360975201</v>
      </c>
      <c r="F117" s="15">
        <v>12</v>
      </c>
      <c r="G117" s="19">
        <v>12</v>
      </c>
      <c r="I117" s="15">
        <f>+L117*1.55*1.21</f>
        <v>6337.0086354158702</v>
      </c>
      <c r="J117" s="15">
        <f>+I117*0.8</f>
        <v>5069.6069083326965</v>
      </c>
      <c r="K117" s="42"/>
      <c r="L117" s="15">
        <f>+IF(ISERROR(N117/G117),"",(N117/G117))</f>
        <v>3378.836915710941</v>
      </c>
      <c r="M117" s="15">
        <f>+IF(ISERROR(N117/F117),"",(N117/F117))</f>
        <v>3378.836915710941</v>
      </c>
      <c r="N117" s="40">
        <v>40546.042988531291</v>
      </c>
      <c r="O117" s="16"/>
      <c r="P117" s="15">
        <f>+IF(ISERROR(N117/(1-O117)),"",(N117/(1-O117)))</f>
        <v>40546.042988531291</v>
      </c>
      <c r="Q117" s="16"/>
      <c r="R117" s="15">
        <f>+IF(ISERROR(P117/(1-Q117)),"",(P117/(1-Q117)))</f>
        <v>40546.042988531291</v>
      </c>
      <c r="S117" s="15">
        <f>+IF(ISERROR(R117/G117),"",(R117/G117))</f>
        <v>3378.836915710941</v>
      </c>
      <c r="V117" s="12">
        <v>40546.04</v>
      </c>
      <c r="W117" s="16">
        <f>+IF(ISERROR(N117/V117-1),"",(N117/V117-1))</f>
        <v>7.3707106640341635E-8</v>
      </c>
      <c r="X117" s="15">
        <f>+IF(ISERROR(V117*(1-O117)),"",(V117*(1-O117)))</f>
        <v>40546.04</v>
      </c>
    </row>
    <row r="118" spans="1:24" x14ac:dyDescent="0.2">
      <c r="A118" s="37"/>
      <c r="B118" s="36"/>
      <c r="C118" s="35"/>
      <c r="D118" s="27"/>
      <c r="E118" s="35"/>
      <c r="F118" s="27"/>
      <c r="G118" s="34"/>
      <c r="I118" s="32"/>
      <c r="J118" s="33"/>
      <c r="K118" s="47"/>
      <c r="L118" s="32"/>
      <c r="M118" s="27"/>
      <c r="N118" s="46"/>
      <c r="O118" s="30"/>
      <c r="P118" s="27"/>
      <c r="Q118" s="30"/>
      <c r="R118" s="27"/>
      <c r="S118" s="25"/>
      <c r="V118" s="27"/>
      <c r="W118" s="45"/>
      <c r="X118" s="25"/>
    </row>
    <row r="119" spans="1:24" x14ac:dyDescent="0.2">
      <c r="A119" s="24" t="s">
        <v>23</v>
      </c>
      <c r="B119" s="24" t="s">
        <v>23</v>
      </c>
      <c r="C119" s="44">
        <v>100517915</v>
      </c>
      <c r="D119" s="24" t="s">
        <v>24</v>
      </c>
      <c r="E119" s="43">
        <v>7790360974020</v>
      </c>
      <c r="F119" s="15">
        <v>18</v>
      </c>
      <c r="G119" s="19">
        <v>36</v>
      </c>
      <c r="I119" s="15">
        <f>+L119*1.55*1.105</f>
        <v>8676.2831906639767</v>
      </c>
      <c r="J119" s="15">
        <f>+I119*0.8</f>
        <v>6941.0265525311816</v>
      </c>
      <c r="K119" s="18"/>
      <c r="L119" s="15">
        <f>+IF(ISERROR(N119/G119),"",(N119/G119))</f>
        <v>5065.7032203555555</v>
      </c>
      <c r="M119" s="15">
        <f>+IF(ISERROR(N119/F119),"",(N119/F119))</f>
        <v>10131.406440711111</v>
      </c>
      <c r="N119" s="40">
        <v>182365.3159328</v>
      </c>
      <c r="O119" s="16"/>
      <c r="P119" s="15">
        <f>+IF(ISERROR(N119/(1-O119)),"",(N119/(1-O119)))</f>
        <v>182365.3159328</v>
      </c>
      <c r="Q119" s="16"/>
      <c r="R119" s="15">
        <f>+IF(ISERROR(P119/(1-Q119)),"",(P119/(1-Q119)))</f>
        <v>182365.3159328</v>
      </c>
      <c r="S119" s="15">
        <f>+IF(ISERROR(R119/G119),"",(R119/G119))</f>
        <v>5065.7032203555555</v>
      </c>
      <c r="V119" s="12">
        <v>175351.27</v>
      </c>
      <c r="W119" s="16">
        <f>+IF(ISERROR(N119/V119-1),"",(N119/V119-1))</f>
        <v>3.9999972243143889E-2</v>
      </c>
      <c r="X119" s="15">
        <f>+IF(ISERROR(V119*(1-O119)),"",(V119*(1-O119)))</f>
        <v>175351.27</v>
      </c>
    </row>
    <row r="120" spans="1:24" x14ac:dyDescent="0.2">
      <c r="A120" s="24" t="s">
        <v>23</v>
      </c>
      <c r="B120" s="24" t="s">
        <v>23</v>
      </c>
      <c r="C120" s="44">
        <v>100517914</v>
      </c>
      <c r="D120" s="24" t="s">
        <v>22</v>
      </c>
      <c r="E120" s="43">
        <v>7790360974037</v>
      </c>
      <c r="F120" s="15">
        <v>20</v>
      </c>
      <c r="G120" s="19">
        <v>20</v>
      </c>
      <c r="I120" s="15">
        <f>+L120*1.55*1.105</f>
        <v>17041.955634412283</v>
      </c>
      <c r="J120" s="15">
        <f>+I120*0.8</f>
        <v>13633.564507529827</v>
      </c>
      <c r="K120" s="18"/>
      <c r="L120" s="15">
        <f>+IF(ISERROR(N120/G120),"",(N120/G120))</f>
        <v>9950.0543771200009</v>
      </c>
      <c r="M120" s="15">
        <f>+IF(ISERROR(N120/F120),"",(N120/F120))</f>
        <v>9950.0543771200009</v>
      </c>
      <c r="N120" s="40">
        <v>199001.08754240003</v>
      </c>
      <c r="O120" s="16"/>
      <c r="P120" s="15">
        <f>+IF(ISERROR(N120/(1-O120)),"",(N120/(1-O120)))</f>
        <v>199001.08754240003</v>
      </c>
      <c r="Q120" s="16"/>
      <c r="R120" s="15">
        <f>+IF(ISERROR(P120/(1-Q120)),"",(P120/(1-Q120)))</f>
        <v>199001.08754240003</v>
      </c>
      <c r="S120" s="15">
        <f>+IF(ISERROR(R120/G120),"",(R120/G120))</f>
        <v>9950.0543771200009</v>
      </c>
      <c r="V120" s="12">
        <v>191347.20000000001</v>
      </c>
      <c r="W120" s="16">
        <f>+IF(ISERROR(N120/V120-1),"",(N120/V120-1))</f>
        <v>3.9999997608535676E-2</v>
      </c>
      <c r="X120" s="15">
        <f>+IF(ISERROR(V120*(1-O120)),"",(V120*(1-O120)))</f>
        <v>191347.20000000001</v>
      </c>
    </row>
    <row r="121" spans="1:24" x14ac:dyDescent="0.2">
      <c r="A121" s="37"/>
      <c r="B121" s="36"/>
      <c r="C121" s="35"/>
      <c r="D121" s="27"/>
      <c r="E121" s="35"/>
      <c r="F121" s="27"/>
      <c r="G121" s="34"/>
      <c r="I121" s="32"/>
      <c r="J121" s="33"/>
      <c r="K121" s="42"/>
      <c r="L121" s="32"/>
      <c r="M121" s="27"/>
      <c r="N121" s="31"/>
      <c r="O121" s="30"/>
      <c r="P121" s="27"/>
      <c r="Q121" s="30"/>
      <c r="R121" s="27"/>
      <c r="S121" s="25"/>
      <c r="T121" s="41"/>
      <c r="U121" s="28"/>
      <c r="V121" s="27"/>
      <c r="W121" s="26"/>
      <c r="X121" s="25"/>
    </row>
    <row r="122" spans="1:24" x14ac:dyDescent="0.2">
      <c r="A122" s="24"/>
      <c r="B122" s="22"/>
      <c r="C122" s="23">
        <v>100010689</v>
      </c>
      <c r="D122" s="22" t="s">
        <v>21</v>
      </c>
      <c r="E122" s="21"/>
      <c r="F122" s="20">
        <v>22</v>
      </c>
      <c r="G122" s="19">
        <v>1</v>
      </c>
      <c r="H122" s="38"/>
      <c r="I122" s="15">
        <f t="shared" ref="I122:I127" si="40">+L122*1.33333333333333*1.105</f>
        <v>28442.699999999928</v>
      </c>
      <c r="J122" s="15">
        <f>+I122*0.9</f>
        <v>25598.429999999935</v>
      </c>
      <c r="K122" s="18"/>
      <c r="L122" s="15">
        <f>+IF(ISERROR(N122/G122),"",(N122/G122))</f>
        <v>19305</v>
      </c>
      <c r="M122" s="15">
        <f>+IF(ISERROR(N122/G122),"",(N122/G122))</f>
        <v>19305</v>
      </c>
      <c r="N122" s="40">
        <v>19305</v>
      </c>
      <c r="O122" s="16"/>
      <c r="P122" s="15">
        <f>+IF(ISERROR(N122/(1-O122)),"",(N122/(1-O122)))</f>
        <v>19305</v>
      </c>
      <c r="Q122" s="16"/>
      <c r="R122" s="15">
        <f>+IF(ISERROR(P122/(1-Q122)),"",(P122/(1-Q122)))</f>
        <v>19305</v>
      </c>
      <c r="S122" s="15">
        <f>+IF(ISERROR(R122/G122),"",(R122/G122))</f>
        <v>19305</v>
      </c>
      <c r="T122" s="39"/>
      <c r="U122" s="28"/>
      <c r="V122" s="12">
        <v>20226.810000000001</v>
      </c>
      <c r="W122" s="11">
        <f>+IF(ISERROR(P122/V122-1),"",(P122/V122-1))</f>
        <v>-4.5573671775233082E-2</v>
      </c>
      <c r="X122" s="10">
        <f>+IF(ISERROR(V122*(1-O122)),"",(V122*(1-O122)))</f>
        <v>20226.810000000001</v>
      </c>
    </row>
    <row r="123" spans="1:24" x14ac:dyDescent="0.2">
      <c r="A123" s="24"/>
      <c r="B123" s="22"/>
      <c r="C123" s="23">
        <v>100518335</v>
      </c>
      <c r="D123" s="22" t="s">
        <v>20</v>
      </c>
      <c r="E123" s="21"/>
      <c r="F123" s="20">
        <v>22.5</v>
      </c>
      <c r="G123" s="19">
        <v>1</v>
      </c>
      <c r="H123" s="38"/>
      <c r="I123" s="15">
        <f t="shared" si="40"/>
        <v>20316.214285714239</v>
      </c>
      <c r="J123" s="15">
        <f>+I123*0.9</f>
        <v>18284.592857142816</v>
      </c>
      <c r="K123" s="18"/>
      <c r="L123" s="15">
        <f>+IF(ISERROR(N123/G123),"",(N123/G123))</f>
        <v>13789.285714285717</v>
      </c>
      <c r="M123" s="15">
        <f>+IF(ISERROR(N123/G123),"",(N123/G123))</f>
        <v>13789.285714285717</v>
      </c>
      <c r="N123" s="40">
        <v>13789.285714285717</v>
      </c>
      <c r="O123" s="16"/>
      <c r="P123" s="15">
        <f>+IF(ISERROR(N123/(1-O123)),"",(N123/(1-O123)))</f>
        <v>13789.285714285717</v>
      </c>
      <c r="Q123" s="16"/>
      <c r="R123" s="15">
        <f>+IF(ISERROR(P123/(1-Q123)),"",(P123/(1-Q123)))</f>
        <v>13789.285714285717</v>
      </c>
      <c r="S123" s="15">
        <f>+IF(ISERROR(R123/G123),"",(R123/G123))</f>
        <v>13789.285714285717</v>
      </c>
      <c r="T123" s="39"/>
      <c r="U123" s="28"/>
      <c r="V123" s="12">
        <v>12812.25</v>
      </c>
      <c r="W123" s="11">
        <f>+IF(ISERROR(P123/V123-1),"",(P123/V123-1))</f>
        <v>7.6257933952718515E-2</v>
      </c>
      <c r="X123" s="10">
        <f>+IF(ISERROR(V123*(1-O123)),"",(V123*(1-O123)))</f>
        <v>12812.25</v>
      </c>
    </row>
    <row r="124" spans="1:24" x14ac:dyDescent="0.2">
      <c r="A124" s="24"/>
      <c r="B124" s="22"/>
      <c r="C124" s="23">
        <v>100518332</v>
      </c>
      <c r="D124" s="22" t="s">
        <v>19</v>
      </c>
      <c r="E124" s="21"/>
      <c r="F124" s="20">
        <v>21.5</v>
      </c>
      <c r="G124" s="19">
        <v>1</v>
      </c>
      <c r="H124" s="38"/>
      <c r="I124" s="15">
        <f t="shared" si="40"/>
        <v>23363.64642857137</v>
      </c>
      <c r="J124" s="15">
        <f>+I124*0.9</f>
        <v>21027.281785714233</v>
      </c>
      <c r="K124" s="18"/>
      <c r="L124" s="15">
        <f>+IF(ISERROR(N124/G124),"",(N124/G124))</f>
        <v>15857.678571428572</v>
      </c>
      <c r="M124" s="15">
        <f>+IF(ISERROR(N124/G124),"",(N124/G124))</f>
        <v>15857.678571428572</v>
      </c>
      <c r="N124" s="40">
        <v>15857.678571428572</v>
      </c>
      <c r="O124" s="16"/>
      <c r="P124" s="15">
        <f>+IF(ISERROR(N124/(1-O124)),"",(N124/(1-O124)))</f>
        <v>15857.678571428572</v>
      </c>
      <c r="Q124" s="16"/>
      <c r="R124" s="15">
        <f>+IF(ISERROR(P124/(1-Q124)),"",(P124/(1-Q124)))</f>
        <v>15857.678571428572</v>
      </c>
      <c r="S124" s="15">
        <f>+IF(ISERROR(R124/G124),"",(R124/G124))</f>
        <v>15857.678571428572</v>
      </c>
      <c r="T124" s="39"/>
      <c r="U124" s="28"/>
      <c r="V124" s="12">
        <v>13788.11</v>
      </c>
      <c r="W124" s="11">
        <f>+IF(ISERROR(P124/V124-1),"",(P124/V124-1))</f>
        <v>0.15009806067898879</v>
      </c>
      <c r="X124" s="10">
        <f>+IF(ISERROR(V124*(1-O124)),"",(V124*(1-O124)))</f>
        <v>13788.11</v>
      </c>
    </row>
    <row r="125" spans="1:24" x14ac:dyDescent="0.2">
      <c r="A125" s="24"/>
      <c r="B125" s="22"/>
      <c r="C125" s="23">
        <v>100518334</v>
      </c>
      <c r="D125" s="22" t="s">
        <v>18</v>
      </c>
      <c r="E125" s="21"/>
      <c r="F125" s="20">
        <v>22.5</v>
      </c>
      <c r="G125" s="19">
        <v>1</v>
      </c>
      <c r="H125" s="38"/>
      <c r="I125" s="15">
        <f t="shared" si="40"/>
        <v>20722.538571428526</v>
      </c>
      <c r="J125" s="15">
        <f>+I125*0.9</f>
        <v>18650.284714285674</v>
      </c>
      <c r="K125" s="18"/>
      <c r="L125" s="15">
        <f>+IF(ISERROR(N125/G125),"",(N125/G125))</f>
        <v>14065.071428571431</v>
      </c>
      <c r="M125" s="15">
        <f>+IF(ISERROR(N125/G125),"",(N125/G125))</f>
        <v>14065.071428571431</v>
      </c>
      <c r="N125" s="40">
        <v>14065.071428571431</v>
      </c>
      <c r="O125" s="16"/>
      <c r="P125" s="15">
        <f>+IF(ISERROR(N125/(1-O125)),"",(N125/(1-O125)))</f>
        <v>14065.071428571431</v>
      </c>
      <c r="Q125" s="16"/>
      <c r="R125" s="15">
        <f>+IF(ISERROR(P125/(1-Q125)),"",(P125/(1-Q125)))</f>
        <v>14065.071428571431</v>
      </c>
      <c r="S125" s="15">
        <f>+IF(ISERROR(R125/G125),"",(R125/G125))</f>
        <v>14065.071428571431</v>
      </c>
      <c r="T125" s="39"/>
      <c r="U125" s="28"/>
      <c r="V125" s="12">
        <v>11348.44</v>
      </c>
      <c r="W125" s="11">
        <f>+IF(ISERROR(P125/V125-1),"",(P125/V125-1))</f>
        <v>0.23938368873355542</v>
      </c>
      <c r="X125" s="10">
        <f>+IF(ISERROR(V125*(1-O125)),"",(V125*(1-O125)))</f>
        <v>11348.44</v>
      </c>
    </row>
    <row r="126" spans="1:24" x14ac:dyDescent="0.2">
      <c r="A126" s="24"/>
      <c r="B126" s="22"/>
      <c r="C126" s="23">
        <v>100518227</v>
      </c>
      <c r="D126" s="22" t="s">
        <v>17</v>
      </c>
      <c r="E126" s="21"/>
      <c r="F126" s="20">
        <v>22.5</v>
      </c>
      <c r="G126" s="19">
        <v>1</v>
      </c>
      <c r="H126" s="38"/>
      <c r="I126" s="15">
        <f t="shared" si="40"/>
        <v>23973.132857142795</v>
      </c>
      <c r="J126" s="15">
        <f>+I126*0.9</f>
        <v>21575.819571428518</v>
      </c>
      <c r="K126" s="18"/>
      <c r="L126" s="15">
        <f>+IF(ISERROR(N126/G126),"",(N126/G126))</f>
        <v>16271.357142857141</v>
      </c>
      <c r="M126" s="15">
        <f>+IF(ISERROR(N126/G126),"",(N126/G126))</f>
        <v>16271.357142857141</v>
      </c>
      <c r="N126" s="40">
        <v>16271.357142857141</v>
      </c>
      <c r="O126" s="16"/>
      <c r="P126" s="15">
        <f>+IF(ISERROR(N126/(1-O126)),"",(N126/(1-O126)))</f>
        <v>16271.357142857141</v>
      </c>
      <c r="Q126" s="16"/>
      <c r="R126" s="15">
        <f>+IF(ISERROR(P126/(1-Q126)),"",(P126/(1-Q126)))</f>
        <v>16271.357142857141</v>
      </c>
      <c r="S126" s="15">
        <f>+IF(ISERROR(R126/G126),"",(R126/G126))</f>
        <v>16271.357142857141</v>
      </c>
      <c r="T126" s="39"/>
      <c r="U126" s="28"/>
      <c r="V126" s="12">
        <v>11348.44</v>
      </c>
      <c r="W126" s="11">
        <f>+IF(ISERROR(P126/V126-1),"",(P126/V126-1))</f>
        <v>0.43379681637803436</v>
      </c>
      <c r="X126" s="10">
        <f>+IF(ISERROR(V126*(1-O126)),"",(V126*(1-O126)))</f>
        <v>11348.44</v>
      </c>
    </row>
    <row r="127" spans="1:24" x14ac:dyDescent="0.2">
      <c r="A127" s="37"/>
      <c r="B127" s="36"/>
      <c r="C127" s="35"/>
      <c r="D127" s="27"/>
      <c r="E127" s="35"/>
      <c r="F127" s="27"/>
      <c r="G127" s="34"/>
      <c r="I127" s="32">
        <f t="shared" si="40"/>
        <v>0</v>
      </c>
      <c r="J127" s="33"/>
      <c r="K127" s="42"/>
      <c r="L127" s="32"/>
      <c r="M127" s="27"/>
      <c r="N127" s="31"/>
      <c r="O127" s="30"/>
      <c r="P127" s="27"/>
      <c r="Q127" s="30"/>
      <c r="R127" s="27"/>
      <c r="S127" s="25"/>
      <c r="T127" s="41"/>
      <c r="U127" s="28"/>
      <c r="V127" s="27"/>
      <c r="W127" s="26"/>
      <c r="X127" s="25"/>
    </row>
    <row r="128" spans="1:24" x14ac:dyDescent="0.2">
      <c r="A128" s="24" t="s">
        <v>15</v>
      </c>
      <c r="B128" s="22" t="s">
        <v>14</v>
      </c>
      <c r="C128" s="23">
        <v>100520837</v>
      </c>
      <c r="D128" s="22" t="s">
        <v>16</v>
      </c>
      <c r="E128" s="21">
        <v>7790360980625</v>
      </c>
      <c r="F128" s="20">
        <v>4.8</v>
      </c>
      <c r="G128" s="19">
        <v>12</v>
      </c>
      <c r="H128" s="38"/>
      <c r="I128" s="15">
        <f>+L128*1.55*1.21</f>
        <v>6351.8387625000005</v>
      </c>
      <c r="J128" s="15">
        <f>+I128*0.8</f>
        <v>5081.4710100000011</v>
      </c>
      <c r="K128" s="18"/>
      <c r="L128" s="15">
        <f>+IF(ISERROR(N128/G128),"",(N128/G128))</f>
        <v>3386.7442082111443</v>
      </c>
      <c r="M128" s="15">
        <f>+IF(ISERROR(N128/F128),"",(N128/F128))</f>
        <v>8466.86052052786</v>
      </c>
      <c r="N128" s="40">
        <v>40640.930498533729</v>
      </c>
      <c r="O128" s="16"/>
      <c r="P128" s="15">
        <f>+IF(ISERROR(N128/(1-O128)),"",(N128/(1-O128)))</f>
        <v>40640.930498533729</v>
      </c>
      <c r="Q128" s="16"/>
      <c r="R128" s="15">
        <f>+IF(ISERROR(P128/(1-Q128)),"",(P128/(1-Q128)))</f>
        <v>40640.930498533729</v>
      </c>
      <c r="S128" s="15">
        <f>+IF(ISERROR(R128/G128),"",(R128/G128))</f>
        <v>3386.7442082111443</v>
      </c>
      <c r="T128" s="39"/>
      <c r="U128" s="28"/>
      <c r="V128" s="12">
        <v>40640.93</v>
      </c>
      <c r="W128" s="11">
        <f>+IF(ISERROR(N128/V128-1),"",(N128/V128-1))</f>
        <v>1.2266789362058717E-8</v>
      </c>
      <c r="X128" s="10">
        <f>+IF(ISERROR(V128*(1-O128)),"",(V128*(1-O128)))</f>
        <v>40640.93</v>
      </c>
    </row>
    <row r="129" spans="1:24" x14ac:dyDescent="0.2">
      <c r="A129" s="24" t="s">
        <v>15</v>
      </c>
      <c r="B129" s="24" t="s">
        <v>14</v>
      </c>
      <c r="C129" s="23">
        <v>100522395</v>
      </c>
      <c r="D129" s="22" t="s">
        <v>13</v>
      </c>
      <c r="E129" s="21">
        <v>7790360985101</v>
      </c>
      <c r="F129" s="20">
        <v>4.8</v>
      </c>
      <c r="G129" s="19">
        <v>12</v>
      </c>
      <c r="H129" s="38"/>
      <c r="I129" s="15">
        <f>L129*1.21*1.4/0.92</f>
        <v>6360.7473722650766</v>
      </c>
      <c r="J129" s="15">
        <v>5772.0891154499996</v>
      </c>
      <c r="K129" s="18"/>
      <c r="L129" s="10">
        <f>+IF(ISERROR(N129/G129),"",(N129/G129))</f>
        <v>3454.4790923753667</v>
      </c>
      <c r="M129" s="10">
        <f>+IF(ISERROR(N129/F129),"",(N129/F129))</f>
        <v>8636.1977309384183</v>
      </c>
      <c r="N129" s="17">
        <f>+N128*1.02</f>
        <v>41453.749108504402</v>
      </c>
      <c r="O129" s="16"/>
      <c r="P129" s="15">
        <f>+IF(ISERROR(N129/(1-O129)),"",(N129/(1-O129)))</f>
        <v>41453.749108504402</v>
      </c>
      <c r="Q129" s="16"/>
      <c r="R129" s="15">
        <f>+IF(ISERROR(P129/(1-Q129)),"",(P129/(1-Q129)))</f>
        <v>41453.749108504402</v>
      </c>
      <c r="S129" s="15">
        <f>+IF(ISERROR(R129/G129),"",(R129/G129))</f>
        <v>3454.4790923753667</v>
      </c>
      <c r="T129" s="14"/>
      <c r="U129" s="28"/>
      <c r="V129" s="12">
        <v>41453.75</v>
      </c>
      <c r="W129" s="11">
        <f>+IF(ISERROR(P129/V129-1),"",(P129/V129-1))</f>
        <v>-2.1505788927456138E-8</v>
      </c>
      <c r="X129" s="10">
        <f>+IF(ISERROR(V129*(1-O129)),"",(V129*(1-O129)))</f>
        <v>41453.75</v>
      </c>
    </row>
    <row r="130" spans="1:24" x14ac:dyDescent="0.2">
      <c r="A130" s="37"/>
      <c r="B130" s="36"/>
      <c r="C130" s="35"/>
      <c r="D130" s="27"/>
      <c r="E130" s="35"/>
      <c r="F130" s="27"/>
      <c r="G130" s="34"/>
      <c r="I130" s="32"/>
      <c r="J130" s="33"/>
      <c r="K130" s="42"/>
      <c r="L130" s="32"/>
      <c r="M130" s="27"/>
      <c r="N130" s="31"/>
      <c r="O130" s="30"/>
      <c r="P130" s="27"/>
      <c r="Q130" s="30"/>
      <c r="R130" s="27"/>
      <c r="S130" s="25"/>
      <c r="T130" s="41"/>
      <c r="U130" s="28"/>
      <c r="V130" s="27"/>
      <c r="W130" s="26"/>
      <c r="X130" s="25"/>
    </row>
    <row r="131" spans="1:24" x14ac:dyDescent="0.2">
      <c r="A131" s="24"/>
      <c r="B131" s="22"/>
      <c r="C131" s="23">
        <v>100520902</v>
      </c>
      <c r="D131" s="22" t="s">
        <v>12</v>
      </c>
      <c r="E131" s="21">
        <v>7790360981042</v>
      </c>
      <c r="F131" s="20">
        <v>9.8000000000000007</v>
      </c>
      <c r="G131" s="19">
        <v>14</v>
      </c>
      <c r="H131" s="38"/>
      <c r="I131" s="15">
        <f>+L131*1.55*1.21</f>
        <v>4925.0950879693519</v>
      </c>
      <c r="J131" s="15">
        <f>+I131*0.8</f>
        <v>3940.0760703754818</v>
      </c>
      <c r="K131" s="18"/>
      <c r="L131" s="15">
        <f>+IF(ISERROR(N131/G131),"",(N131/G131))</f>
        <v>2626.0171090212484</v>
      </c>
      <c r="M131" s="15">
        <f>+IF(ISERROR(N131/F131),"",(N131/F131))</f>
        <v>3751.4530128874972</v>
      </c>
      <c r="N131" s="40">
        <v>36764.239526297475</v>
      </c>
      <c r="O131" s="16"/>
      <c r="P131" s="15">
        <f>+IF(ISERROR(N131/(1-O131)),"",(N131/(1-O131)))</f>
        <v>36764.239526297475</v>
      </c>
      <c r="Q131" s="16"/>
      <c r="R131" s="15">
        <f>+IF(ISERROR(P131/(1-Q131)),"",(P131/(1-Q131)))</f>
        <v>36764.239526297475</v>
      </c>
      <c r="S131" s="15">
        <f>+IF(ISERROR(R131/G131),"",(R131/G131))</f>
        <v>2626.0171090212484</v>
      </c>
      <c r="T131" s="39"/>
      <c r="U131" s="28"/>
      <c r="V131" s="12">
        <v>36764.239999999998</v>
      </c>
      <c r="W131" s="11">
        <f>+IF(ISERROR(N131/V131-1),"",(N131/V131-1))</f>
        <v>-1.2884871947171916E-8</v>
      </c>
      <c r="X131" s="10">
        <f>+IF(ISERROR(V131*(1-O131)),"",(V131*(1-O131)))</f>
        <v>36764.239999999998</v>
      </c>
    </row>
    <row r="132" spans="1:24" x14ac:dyDescent="0.2">
      <c r="A132" s="37"/>
      <c r="B132" s="36"/>
      <c r="C132" s="35"/>
      <c r="D132" s="27"/>
      <c r="E132" s="35"/>
      <c r="F132" s="27"/>
      <c r="G132" s="34"/>
      <c r="I132" s="32"/>
      <c r="J132" s="33"/>
      <c r="K132" s="18"/>
      <c r="L132" s="32"/>
      <c r="M132" s="27"/>
      <c r="N132" s="31"/>
      <c r="O132" s="30"/>
      <c r="P132" s="27"/>
      <c r="Q132" s="30"/>
      <c r="R132" s="27"/>
      <c r="S132" s="25"/>
      <c r="T132" s="29"/>
      <c r="U132" s="28"/>
      <c r="V132" s="27"/>
      <c r="W132" s="26"/>
      <c r="X132" s="25"/>
    </row>
    <row r="133" spans="1:24" x14ac:dyDescent="0.2">
      <c r="A133" s="24" t="s">
        <v>7</v>
      </c>
      <c r="B133" s="24" t="s">
        <v>10</v>
      </c>
      <c r="C133" s="23">
        <v>100521457</v>
      </c>
      <c r="D133" s="22" t="s">
        <v>11</v>
      </c>
      <c r="E133" s="21">
        <v>7790360982254</v>
      </c>
      <c r="F133" s="20">
        <v>4.8</v>
      </c>
      <c r="G133" s="19">
        <v>16</v>
      </c>
      <c r="H133" s="38"/>
      <c r="I133" s="15">
        <f>+L133*1.55*1.21</f>
        <v>4812.2012533546877</v>
      </c>
      <c r="J133" s="15">
        <f>+I133*0.8</f>
        <v>3849.7610026837501</v>
      </c>
      <c r="K133" s="18"/>
      <c r="L133" s="15">
        <f>+IF(ISERROR(N133/G133),"",(N133/G133))</f>
        <v>2565.8231156250004</v>
      </c>
      <c r="M133" s="15">
        <f>+IF(ISERROR(N133/F133),"",(N133/F133))</f>
        <v>8552.7437187500018</v>
      </c>
      <c r="N133" s="17">
        <v>41053.169850000006</v>
      </c>
      <c r="O133" s="16"/>
      <c r="P133" s="15">
        <f>+IF(ISERROR(N133/(1-O133)),"",(N133/(1-O133)))</f>
        <v>41053.169850000006</v>
      </c>
      <c r="Q133" s="16"/>
      <c r="R133" s="15">
        <f>+IF(ISERROR(P133/(1-Q133)),"",(P133/(1-Q133)))</f>
        <v>41053.169850000006</v>
      </c>
      <c r="S133" s="15">
        <f>+IF(ISERROR(R133/G133),"",(R133/G133))</f>
        <v>2565.8231156250004</v>
      </c>
      <c r="T133" s="14"/>
      <c r="U133" s="13"/>
      <c r="V133" s="12">
        <v>41053.17</v>
      </c>
      <c r="W133" s="11">
        <f>+IF(ISERROR(N133/V133-1),"",(N133/V133-1))</f>
        <v>-3.6537980419026894E-9</v>
      </c>
      <c r="X133" s="10">
        <f>+IF(ISERROR(V133*(1-O133)),"",(V133*(1-O133)))</f>
        <v>41053.17</v>
      </c>
    </row>
    <row r="134" spans="1:24" x14ac:dyDescent="0.2">
      <c r="A134" s="24" t="s">
        <v>7</v>
      </c>
      <c r="B134" s="24" t="s">
        <v>10</v>
      </c>
      <c r="C134" s="23">
        <v>100521455</v>
      </c>
      <c r="D134" s="22" t="s">
        <v>9</v>
      </c>
      <c r="E134" s="21">
        <v>7790360982247</v>
      </c>
      <c r="F134" s="20">
        <v>4.8</v>
      </c>
      <c r="G134" s="19">
        <v>16</v>
      </c>
      <c r="H134" s="38"/>
      <c r="I134" s="15">
        <f>+L134*1.55*1.21</f>
        <v>4812.2012533546877</v>
      </c>
      <c r="J134" s="15">
        <f>+I134*0.8</f>
        <v>3849.7610026837501</v>
      </c>
      <c r="K134" s="18"/>
      <c r="L134" s="15">
        <f>+IF(ISERROR(N134/G134),"",(N134/G134))</f>
        <v>2565.8231156250004</v>
      </c>
      <c r="M134" s="15">
        <f>+IF(ISERROR(N134/F134),"",(N134/F134))</f>
        <v>8552.7437187500018</v>
      </c>
      <c r="N134" s="17">
        <v>41053.169850000006</v>
      </c>
      <c r="O134" s="16"/>
      <c r="P134" s="15">
        <f>+IF(ISERROR(N134/(1-O134)),"",(N134/(1-O134)))</f>
        <v>41053.169850000006</v>
      </c>
      <c r="Q134" s="16"/>
      <c r="R134" s="15">
        <f>+IF(ISERROR(P134/(1-Q134)),"",(P134/(1-Q134)))</f>
        <v>41053.169850000006</v>
      </c>
      <c r="S134" s="15">
        <f>+IF(ISERROR(R134/G134),"",(R134/G134))</f>
        <v>2565.8231156250004</v>
      </c>
      <c r="T134" s="14"/>
      <c r="U134" s="13"/>
      <c r="V134" s="12">
        <v>41053.17</v>
      </c>
      <c r="W134" s="11">
        <f>+IF(ISERROR(N134/V134-1),"",(N134/V134-1))</f>
        <v>-3.6537980419026894E-9</v>
      </c>
      <c r="X134" s="10">
        <f>+IF(ISERROR(V134*(1-O134)),"",(V134*(1-O134)))</f>
        <v>41053.17</v>
      </c>
    </row>
    <row r="135" spans="1:24" x14ac:dyDescent="0.2">
      <c r="A135" s="24" t="s">
        <v>7</v>
      </c>
      <c r="B135" s="24" t="s">
        <v>6</v>
      </c>
      <c r="C135" s="23">
        <v>100521453</v>
      </c>
      <c r="D135" s="22" t="s">
        <v>8</v>
      </c>
      <c r="E135" s="21">
        <v>7790360982223</v>
      </c>
      <c r="F135" s="20">
        <v>5.4</v>
      </c>
      <c r="G135" s="19">
        <v>18</v>
      </c>
      <c r="H135" s="38"/>
      <c r="I135" s="15">
        <f>+L135*1.55*1.21</f>
        <v>4211.7294690625004</v>
      </c>
      <c r="J135" s="15">
        <f>+I135*0.8</f>
        <v>3369.3835752500004</v>
      </c>
      <c r="K135" s="18"/>
      <c r="L135" s="15">
        <f>+IF(ISERROR(N135/G135),"",(N135/G135))</f>
        <v>2245.6568750000001</v>
      </c>
      <c r="M135" s="15">
        <f>+IF(ISERROR(N135/F135),"",(N135/F135))</f>
        <v>7485.5229166666668</v>
      </c>
      <c r="N135" s="17">
        <v>40421.823750000003</v>
      </c>
      <c r="O135" s="16"/>
      <c r="P135" s="15">
        <f>+IF(ISERROR(N135/(1-O135)),"",(N135/(1-O135)))</f>
        <v>40421.823750000003</v>
      </c>
      <c r="Q135" s="16"/>
      <c r="R135" s="15">
        <f>+IF(ISERROR(P135/(1-Q135)),"",(P135/(1-Q135)))</f>
        <v>40421.823750000003</v>
      </c>
      <c r="S135" s="15">
        <f>+IF(ISERROR(R135/G135),"",(R135/G135))</f>
        <v>2245.6568750000001</v>
      </c>
      <c r="T135" s="14"/>
      <c r="U135" s="13"/>
      <c r="V135" s="12">
        <v>40421.82</v>
      </c>
      <c r="W135" s="11">
        <f>+IF(ISERROR(N135/V135-1),"",(N135/V135-1))</f>
        <v>9.2771676341030229E-8</v>
      </c>
      <c r="X135" s="10">
        <f>+IF(ISERROR(V135*(1-O135)),"",(V135*(1-O135)))</f>
        <v>40421.82</v>
      </c>
    </row>
    <row r="136" spans="1:24" x14ac:dyDescent="0.2">
      <c r="A136" s="24" t="s">
        <v>7</v>
      </c>
      <c r="B136" s="24" t="s">
        <v>6</v>
      </c>
      <c r="C136" s="23">
        <v>100521454</v>
      </c>
      <c r="D136" s="22" t="s">
        <v>5</v>
      </c>
      <c r="E136" s="21">
        <v>7790360982230</v>
      </c>
      <c r="F136" s="20">
        <v>5.3999999999999995</v>
      </c>
      <c r="G136" s="19">
        <v>18</v>
      </c>
      <c r="H136" s="38"/>
      <c r="I136" s="15">
        <f>+L136*1.55*1.21</f>
        <v>4211.7294690625004</v>
      </c>
      <c r="J136" s="15">
        <f>+I136*0.8</f>
        <v>3369.3835752500004</v>
      </c>
      <c r="K136" s="18"/>
      <c r="L136" s="15">
        <f>+IF(ISERROR(N136/G136),"",(N136/G136))</f>
        <v>2245.6568750000001</v>
      </c>
      <c r="M136" s="15">
        <f>+IF(ISERROR(N136/F136),"",(N136/F136))</f>
        <v>7485.5229166666677</v>
      </c>
      <c r="N136" s="17">
        <v>40421.823750000003</v>
      </c>
      <c r="O136" s="16"/>
      <c r="P136" s="15">
        <f>+IF(ISERROR(N136/(1-O136)),"",(N136/(1-O136)))</f>
        <v>40421.823750000003</v>
      </c>
      <c r="Q136" s="16"/>
      <c r="R136" s="15">
        <f>+IF(ISERROR(P136/(1-Q136)),"",(P136/(1-Q136)))</f>
        <v>40421.823750000003</v>
      </c>
      <c r="S136" s="15">
        <f>+IF(ISERROR(R136/G136),"",(R136/G136))</f>
        <v>2245.6568750000001</v>
      </c>
      <c r="T136" s="14"/>
      <c r="U136" s="13"/>
      <c r="V136" s="12">
        <v>40421.82</v>
      </c>
      <c r="W136" s="11">
        <f>+IF(ISERROR(N136/V136-1),"",(N136/V136-1))</f>
        <v>9.2771676341030229E-8</v>
      </c>
      <c r="X136" s="10">
        <f>+IF(ISERROR(V136*(1-O136)),"",(V136*(1-O136)))</f>
        <v>40421.82</v>
      </c>
    </row>
    <row r="137" spans="1:24" x14ac:dyDescent="0.2">
      <c r="A137" s="37"/>
      <c r="B137" s="36"/>
      <c r="C137" s="35"/>
      <c r="D137" s="27"/>
      <c r="E137" s="35"/>
      <c r="F137" s="27"/>
      <c r="G137" s="34"/>
      <c r="I137" s="32"/>
      <c r="J137" s="33"/>
      <c r="K137" s="18"/>
      <c r="L137" s="32"/>
      <c r="M137" s="27"/>
      <c r="N137" s="31"/>
      <c r="O137" s="30"/>
      <c r="P137" s="27"/>
      <c r="Q137" s="30"/>
      <c r="R137" s="27"/>
      <c r="S137" s="25"/>
      <c r="T137" s="29"/>
      <c r="U137" s="28"/>
      <c r="V137" s="27"/>
      <c r="W137" s="26"/>
      <c r="X137" s="25"/>
    </row>
    <row r="138" spans="1:24" x14ac:dyDescent="0.2">
      <c r="A138" s="24" t="s">
        <v>2</v>
      </c>
      <c r="B138" s="22" t="s">
        <v>4</v>
      </c>
      <c r="C138" s="23">
        <v>100522246</v>
      </c>
      <c r="D138" s="22" t="s">
        <v>3</v>
      </c>
      <c r="E138" s="21">
        <v>7790360984234</v>
      </c>
      <c r="F138" s="20">
        <v>8.16</v>
      </c>
      <c r="G138" s="19">
        <v>48</v>
      </c>
      <c r="I138" s="15">
        <f>+L138*1.55*1.21</f>
        <v>3835.3366071428577</v>
      </c>
      <c r="J138" s="15">
        <f>+I138*0.8</f>
        <v>3068.2692857142865</v>
      </c>
      <c r="K138" s="18"/>
      <c r="L138" s="15">
        <f>+IF(ISERROR(N138/G138),"",(N138/G138))</f>
        <v>2044.9675324675327</v>
      </c>
      <c r="M138" s="15">
        <f>+IF(ISERROR(N138/F138),"",(N138/F138))</f>
        <v>12029.220779220781</v>
      </c>
      <c r="N138" s="17">
        <v>98158.441558441569</v>
      </c>
      <c r="O138" s="16"/>
      <c r="P138" s="15">
        <f>+IF(ISERROR(N138/(1-O138)),"",(N138/(1-O138)))</f>
        <v>98158.441558441569</v>
      </c>
      <c r="Q138" s="16"/>
      <c r="R138" s="15">
        <f>+IF(ISERROR(P138/(1-Q138)),"",(P138/(1-Q138)))</f>
        <v>98158.441558441569</v>
      </c>
      <c r="S138" s="15">
        <f>+IF(ISERROR(R138/G138),"",(R138/G138))</f>
        <v>2044.9675324675327</v>
      </c>
      <c r="T138" s="14"/>
      <c r="U138" s="13"/>
      <c r="V138" s="12">
        <v>98158.45</v>
      </c>
      <c r="W138" s="11">
        <f>+IF(ISERROR(N138/V138-1),"",(N138/V138-1))</f>
        <v>-8.5999304455519621E-8</v>
      </c>
      <c r="X138" s="10">
        <f>+IF(ISERROR(V138*(1-O138)),"",(V138*(1-O138)))</f>
        <v>98158.45</v>
      </c>
    </row>
    <row r="139" spans="1:24" x14ac:dyDescent="0.2">
      <c r="A139" s="24" t="s">
        <v>2</v>
      </c>
      <c r="B139" s="22" t="s">
        <v>1</v>
      </c>
      <c r="C139" s="23">
        <v>100522247</v>
      </c>
      <c r="D139" s="22" t="s">
        <v>0</v>
      </c>
      <c r="E139" s="21">
        <v>7790360984241</v>
      </c>
      <c r="F139" s="20">
        <v>8.16</v>
      </c>
      <c r="G139" s="19">
        <v>48</v>
      </c>
      <c r="I139" s="15">
        <f>+L139*1.55*1.21</f>
        <v>3835.3366071428577</v>
      </c>
      <c r="J139" s="15">
        <f>+I139*0.8</f>
        <v>3068.2692857142865</v>
      </c>
      <c r="K139" s="18"/>
      <c r="L139" s="15">
        <f>+IF(ISERROR(N139/G139),"",(N139/G139))</f>
        <v>2044.9675324675327</v>
      </c>
      <c r="M139" s="15">
        <f>+IF(ISERROR(N139/F139),"",(N139/F139))</f>
        <v>12029.220779220781</v>
      </c>
      <c r="N139" s="17">
        <v>98158.441558441569</v>
      </c>
      <c r="O139" s="16"/>
      <c r="P139" s="15">
        <f>+IF(ISERROR(N139/(1-O139)),"",(N139/(1-O139)))</f>
        <v>98158.441558441569</v>
      </c>
      <c r="Q139" s="16"/>
      <c r="R139" s="15">
        <f>+IF(ISERROR(P139/(1-Q139)),"",(P139/(1-Q139)))</f>
        <v>98158.441558441569</v>
      </c>
      <c r="S139" s="15">
        <f>+IF(ISERROR(R139/G139),"",(R139/G139))</f>
        <v>2044.9675324675327</v>
      </c>
      <c r="T139" s="14"/>
      <c r="U139" s="13"/>
      <c r="V139" s="12">
        <v>98158.45</v>
      </c>
      <c r="W139" s="11">
        <f>+IF(ISERROR(N139/V139-1),"",(N139/V139-1))</f>
        <v>-8.5999304455519621E-8</v>
      </c>
      <c r="X139" s="10">
        <f>+IF(ISERROR(V139*(1-O139)),"",(V139*(1-O139)))</f>
        <v>98158.45</v>
      </c>
    </row>
    <row r="140" spans="1:24" x14ac:dyDescent="0.2">
      <c r="N140" s="9"/>
    </row>
    <row r="141" spans="1:24" x14ac:dyDescent="0.2">
      <c r="N141" s="9"/>
    </row>
    <row r="142" spans="1:24" x14ac:dyDescent="0.2">
      <c r="N142" s="9"/>
    </row>
    <row r="143" spans="1:24" x14ac:dyDescent="0.2">
      <c r="N143" s="9"/>
    </row>
    <row r="144" spans="1:24" x14ac:dyDescent="0.2">
      <c r="N144" s="9"/>
    </row>
    <row r="145" spans="1:51" s="3" customFormat="1" x14ac:dyDescent="0.2">
      <c r="A145" s="8"/>
      <c r="B145" s="8"/>
      <c r="C145" s="7"/>
      <c r="D145" s="1"/>
      <c r="E145" s="7"/>
      <c r="F145" s="1"/>
      <c r="G145" s="1"/>
      <c r="H145" s="1"/>
      <c r="I145" s="1"/>
      <c r="J145" s="6"/>
      <c r="K145" s="5"/>
      <c r="L145" s="1"/>
      <c r="M145" s="1"/>
      <c r="N145" s="9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s="3" customFormat="1" x14ac:dyDescent="0.2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N146" s="9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s="3" customFormat="1" x14ac:dyDescent="0.2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N147" s="9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s="3" customFormat="1" x14ac:dyDescent="0.2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N148" s="9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s="3" customFormat="1" x14ac:dyDescent="0.2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N149" s="9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s="3" customFormat="1" x14ac:dyDescent="0.2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N150" s="9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s="3" customFormat="1" x14ac:dyDescent="0.2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N151" s="9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s="3" customFormat="1" x14ac:dyDescent="0.2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N152" s="9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s="3" customFormat="1" x14ac:dyDescent="0.2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N153" s="9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s="3" customFormat="1" x14ac:dyDescent="0.2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N154" s="9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s="3" customFormat="1" x14ac:dyDescent="0.2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N155" s="9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s="3" customFormat="1" x14ac:dyDescent="0.2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N156" s="9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s="3" customFormat="1" x14ac:dyDescent="0.2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N157" s="9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s="3" customFormat="1" x14ac:dyDescent="0.2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N158" s="9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s="3" customFormat="1" x14ac:dyDescent="0.2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N159" s="9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s="3" customFormat="1" x14ac:dyDescent="0.2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N160" s="9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s="3" customFormat="1" x14ac:dyDescent="0.2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N161" s="9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s="3" customFormat="1" x14ac:dyDescent="0.2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N162" s="9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s="3" customFormat="1" x14ac:dyDescent="0.2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N163" s="9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s="3" customFormat="1" x14ac:dyDescent="0.2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N164" s="9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s="3" customFormat="1" x14ac:dyDescent="0.2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N165" s="9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s="3" customFormat="1" x14ac:dyDescent="0.2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N166" s="9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s="3" customFormat="1" x14ac:dyDescent="0.2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N167" s="9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s="3" customFormat="1" x14ac:dyDescent="0.2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N168" s="9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s="3" customFormat="1" x14ac:dyDescent="0.2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N169" s="9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s="3" customFormat="1" x14ac:dyDescent="0.2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N170" s="9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s="3" customFormat="1" x14ac:dyDescent="0.2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N171" s="9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s="3" customFormat="1" x14ac:dyDescent="0.2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N172" s="9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s="3" customFormat="1" x14ac:dyDescent="0.2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N173" s="9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s="3" customFormat="1" x14ac:dyDescent="0.2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N174" s="9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s="3" customFormat="1" x14ac:dyDescent="0.2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N175" s="9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s="3" customFormat="1" x14ac:dyDescent="0.2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N176" s="9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s="3" customFormat="1" x14ac:dyDescent="0.2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N177" s="9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s="3" customFormat="1" x14ac:dyDescent="0.2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N178" s="9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s="3" customFormat="1" x14ac:dyDescent="0.2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N179" s="9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s="3" customFormat="1" x14ac:dyDescent="0.2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N180" s="9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s="3" customFormat="1" x14ac:dyDescent="0.2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N181" s="9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s="3" customFormat="1" x14ac:dyDescent="0.2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N182" s="9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s="3" customFormat="1" x14ac:dyDescent="0.2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N183" s="9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s="3" customFormat="1" x14ac:dyDescent="0.2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N184" s="9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s="3" customFormat="1" x14ac:dyDescent="0.2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N185" s="9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s="3" customFormat="1" x14ac:dyDescent="0.2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N186" s="9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s="3" customFormat="1" x14ac:dyDescent="0.2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N187" s="9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s="3" customFormat="1" x14ac:dyDescent="0.2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N188" s="9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s="3" customFormat="1" x14ac:dyDescent="0.2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N189" s="9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s="3" customFormat="1" x14ac:dyDescent="0.2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N190" s="9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s="3" customFormat="1" x14ac:dyDescent="0.2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N191" s="9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s="3" customFormat="1" x14ac:dyDescent="0.2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N192" s="9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s="3" customFormat="1" x14ac:dyDescent="0.2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N193" s="9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s="3" customFormat="1" x14ac:dyDescent="0.2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N194" s="9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s="3" customFormat="1" x14ac:dyDescent="0.2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N195" s="9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s="3" customFormat="1" x14ac:dyDescent="0.2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N196" s="9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s="3" customFormat="1" x14ac:dyDescent="0.2">
      <c r="A197" s="8"/>
      <c r="B197" s="8"/>
      <c r="C197" s="7"/>
      <c r="D197" s="1"/>
      <c r="E197" s="7"/>
      <c r="F197" s="1"/>
      <c r="G197" s="1"/>
      <c r="H197" s="1"/>
      <c r="I197" s="1"/>
      <c r="J197" s="6"/>
      <c r="K197" s="5"/>
      <c r="L197" s="1"/>
      <c r="M197" s="1"/>
      <c r="N197" s="9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s="3" customFormat="1" x14ac:dyDescent="0.2">
      <c r="A198" s="8"/>
      <c r="B198" s="8"/>
      <c r="C198" s="7"/>
      <c r="D198" s="1"/>
      <c r="E198" s="7"/>
      <c r="F198" s="1"/>
      <c r="G198" s="1"/>
      <c r="H198" s="1"/>
      <c r="I198" s="1"/>
      <c r="J198" s="6"/>
      <c r="K198" s="5"/>
      <c r="L198" s="1"/>
      <c r="M198" s="1"/>
      <c r="N198" s="9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</sheetData>
  <mergeCells count="3">
    <mergeCell ref="A1:S1"/>
    <mergeCell ref="B3:C3"/>
    <mergeCell ref="B7:C7"/>
  </mergeCells>
  <conditionalFormatting sqref="A30:D30 E94:E105">
    <cfRule type="cellIs" dxfId="508" priority="303" stopIfTrue="1" operator="equal">
      <formula>0</formula>
    </cfRule>
  </conditionalFormatting>
  <conditionalFormatting sqref="A138:G139">
    <cfRule type="cellIs" dxfId="507" priority="12" stopIfTrue="1" operator="equal">
      <formula>0</formula>
    </cfRule>
  </conditionalFormatting>
  <conditionalFormatting sqref="A133:H136">
    <cfRule type="cellIs" dxfId="506" priority="51" stopIfTrue="1" operator="equal">
      <formula>0</formula>
    </cfRule>
  </conditionalFormatting>
  <conditionalFormatting sqref="A122:I126">
    <cfRule type="cellIs" dxfId="505" priority="117" stopIfTrue="1" operator="equal">
      <formula>0</formula>
    </cfRule>
  </conditionalFormatting>
  <conditionalFormatting sqref="A128:I128">
    <cfRule type="cellIs" dxfId="504" priority="95" stopIfTrue="1" operator="equal">
      <formula>0</formula>
    </cfRule>
  </conditionalFormatting>
  <conditionalFormatting sqref="A131:I131">
    <cfRule type="cellIs" dxfId="503" priority="80" stopIfTrue="1" operator="equal">
      <formula>0</formula>
    </cfRule>
  </conditionalFormatting>
  <conditionalFormatting sqref="A129:J129">
    <cfRule type="cellIs" dxfId="502" priority="26" stopIfTrue="1" operator="equal">
      <formula>0</formula>
    </cfRule>
  </conditionalFormatting>
  <conditionalFormatting sqref="B43:D43">
    <cfRule type="cellIs" dxfId="501" priority="180" stopIfTrue="1" operator="equal">
      <formula>0</formula>
    </cfRule>
  </conditionalFormatting>
  <conditionalFormatting sqref="B28:G29">
    <cfRule type="cellIs" dxfId="500" priority="300" stopIfTrue="1" operator="equal">
      <formula>0</formula>
    </cfRule>
  </conditionalFormatting>
  <conditionalFormatting sqref="C94:D94">
    <cfRule type="cellIs" dxfId="499" priority="297" stopIfTrue="1" operator="equal">
      <formula>0</formula>
    </cfRule>
  </conditionalFormatting>
  <conditionalFormatting sqref="C105:D105">
    <cfRule type="cellIs" dxfId="498" priority="196" stopIfTrue="1" operator="equal">
      <formula>0</formula>
    </cfRule>
  </conditionalFormatting>
  <conditionalFormatting sqref="C25:G27">
    <cfRule type="cellIs" dxfId="497" priority="299" stopIfTrue="1" operator="equal">
      <formula>0</formula>
    </cfRule>
  </conditionalFormatting>
  <conditionalFormatting sqref="F30:G30">
    <cfRule type="cellIs" dxfId="496" priority="302" stopIfTrue="1" operator="equal">
      <formula>0</formula>
    </cfRule>
  </conditionalFormatting>
  <conditionalFormatting sqref="F43:G43">
    <cfRule type="cellIs" dxfId="495" priority="188" stopIfTrue="1" operator="equal">
      <formula>0</formula>
    </cfRule>
  </conditionalFormatting>
  <conditionalFormatting sqref="F90:G92">
    <cfRule type="cellIs" dxfId="494" priority="298" stopIfTrue="1" operator="equal">
      <formula>0</formula>
    </cfRule>
  </conditionalFormatting>
  <conditionalFormatting sqref="F100:M100">
    <cfRule type="cellIs" dxfId="493" priority="219" stopIfTrue="1" operator="equal">
      <formula>0</formula>
    </cfRule>
  </conditionalFormatting>
  <conditionalFormatting sqref="F104:M105">
    <cfRule type="cellIs" dxfId="492" priority="194" stopIfTrue="1" operator="equal">
      <formula>0</formula>
    </cfRule>
  </conditionalFormatting>
  <conditionalFormatting sqref="I29:I30">
    <cfRule type="cellIs" dxfId="491" priority="215" stopIfTrue="1" operator="equal">
      <formula>0</formula>
    </cfRule>
  </conditionalFormatting>
  <conditionalFormatting sqref="I19:J32">
    <cfRule type="cellIs" dxfId="490" priority="181" stopIfTrue="1" operator="equal">
      <formula>0</formula>
    </cfRule>
  </conditionalFormatting>
  <conditionalFormatting sqref="I107:K107">
    <cfRule type="cellIs" dxfId="489" priority="213" stopIfTrue="1" operator="equal">
      <formula>0</formula>
    </cfRule>
  </conditionalFormatting>
  <conditionalFormatting sqref="I109:K110">
    <cfRule type="cellIs" dxfId="488" priority="211" stopIfTrue="1" operator="equal">
      <formula>0</formula>
    </cfRule>
  </conditionalFormatting>
  <conditionalFormatting sqref="I112:K114">
    <cfRule type="cellIs" dxfId="487" priority="168" stopIfTrue="1" operator="equal">
      <formula>0</formula>
    </cfRule>
  </conditionalFormatting>
  <conditionalFormatting sqref="I116:K117">
    <cfRule type="cellIs" dxfId="486" priority="162" stopIfTrue="1" operator="equal">
      <formula>0</formula>
    </cfRule>
  </conditionalFormatting>
  <conditionalFormatting sqref="I119:K120">
    <cfRule type="cellIs" dxfId="485" priority="141" stopIfTrue="1" operator="equal">
      <formula>0</formula>
    </cfRule>
  </conditionalFormatting>
  <conditionalFormatting sqref="K10:K30">
    <cfRule type="cellIs" dxfId="484" priority="114" stopIfTrue="1" operator="equal">
      <formula>0</formula>
    </cfRule>
  </conditionalFormatting>
  <conditionalFormatting sqref="K34">
    <cfRule type="cellIs" dxfId="483" priority="313" stopIfTrue="1" operator="equal">
      <formula>0</formula>
    </cfRule>
  </conditionalFormatting>
  <conditionalFormatting sqref="K36">
    <cfRule type="cellIs" dxfId="482" priority="230" stopIfTrue="1" operator="equal">
      <formula>0</formula>
    </cfRule>
  </conditionalFormatting>
  <conditionalFormatting sqref="K50:K61">
    <cfRule type="cellIs" dxfId="481" priority="4" stopIfTrue="1" operator="equal">
      <formula>0</formula>
    </cfRule>
  </conditionalFormatting>
  <conditionalFormatting sqref="K69:K86">
    <cfRule type="cellIs" dxfId="480" priority="265" stopIfTrue="1" operator="equal">
      <formula>0</formula>
    </cfRule>
  </conditionalFormatting>
  <conditionalFormatting sqref="K88:K99">
    <cfRule type="cellIs" dxfId="479" priority="46" stopIfTrue="1" operator="equal">
      <formula>0</formula>
    </cfRule>
  </conditionalFormatting>
  <conditionalFormatting sqref="K101:K103">
    <cfRule type="cellIs" dxfId="478" priority="45" stopIfTrue="1" operator="equal">
      <formula>0</formula>
    </cfRule>
  </conditionalFormatting>
  <conditionalFormatting sqref="K121:K139">
    <cfRule type="cellIs" dxfId="477" priority="29" stopIfTrue="1" operator="equal">
      <formula>0</formula>
    </cfRule>
  </conditionalFormatting>
  <conditionalFormatting sqref="L25:M30">
    <cfRule type="cellIs" dxfId="476" priority="293" stopIfTrue="1" operator="equal">
      <formula>0</formula>
    </cfRule>
  </conditionalFormatting>
  <conditionalFormatting sqref="L129:O129">
    <cfRule type="cellIs" dxfId="475" priority="30" stopIfTrue="1" operator="equal">
      <formula>0</formula>
    </cfRule>
  </conditionalFormatting>
  <conditionalFormatting sqref="M29">
    <cfRule type="cellIs" dxfId="474" priority="292" stopIfTrue="1" operator="lessThan">
      <formula>30</formula>
    </cfRule>
  </conditionalFormatting>
  <conditionalFormatting sqref="M49 M68 M87 M93">
    <cfRule type="cellIs" dxfId="473" priority="296" stopIfTrue="1" operator="lessThan">
      <formula>30</formula>
    </cfRule>
  </conditionalFormatting>
  <conditionalFormatting sqref="M60:M61">
    <cfRule type="cellIs" dxfId="472" priority="269" stopIfTrue="1" operator="lessThan">
      <formula>30</formula>
    </cfRule>
  </conditionalFormatting>
  <conditionalFormatting sqref="N11:N48">
    <cfRule type="cellIs" dxfId="471" priority="66" stopIfTrue="1" operator="equal">
      <formula>0</formula>
    </cfRule>
  </conditionalFormatting>
  <conditionalFormatting sqref="N50:N67">
    <cfRule type="cellIs" dxfId="470" priority="1" stopIfTrue="1" operator="equal">
      <formula>0</formula>
    </cfRule>
  </conditionalFormatting>
  <conditionalFormatting sqref="N69:N86 N116:N117">
    <cfRule type="cellIs" dxfId="469" priority="154" stopIfTrue="1" operator="equal">
      <formula>0</formula>
    </cfRule>
  </conditionalFormatting>
  <conditionalFormatting sqref="N88:N92">
    <cfRule type="cellIs" dxfId="468" priority="47" stopIfTrue="1" operator="equal">
      <formula>0</formula>
    </cfRule>
  </conditionalFormatting>
  <conditionalFormatting sqref="N94:N107">
    <cfRule type="cellIs" dxfId="467" priority="37" stopIfTrue="1" operator="equal">
      <formula>0</formula>
    </cfRule>
  </conditionalFormatting>
  <conditionalFormatting sqref="N109:N114">
    <cfRule type="cellIs" dxfId="466" priority="140" stopIfTrue="1" operator="equal">
      <formula>0</formula>
    </cfRule>
  </conditionalFormatting>
  <conditionalFormatting sqref="N119:N120">
    <cfRule type="cellIs" dxfId="465" priority="142" stopIfTrue="1" operator="equal">
      <formula>0</formula>
    </cfRule>
  </conditionalFormatting>
  <conditionalFormatting sqref="N122:N126">
    <cfRule type="cellIs" dxfId="464" priority="118" stopIfTrue="1" operator="equal">
      <formula>0</formula>
    </cfRule>
  </conditionalFormatting>
  <conditionalFormatting sqref="N128">
    <cfRule type="cellIs" dxfId="463" priority="94" stopIfTrue="1" operator="equal">
      <formula>0</formula>
    </cfRule>
  </conditionalFormatting>
  <conditionalFormatting sqref="N131">
    <cfRule type="cellIs" dxfId="462" priority="79" stopIfTrue="1" operator="equal">
      <formula>0</formula>
    </cfRule>
  </conditionalFormatting>
  <conditionalFormatting sqref="N133:O136">
    <cfRule type="cellIs" dxfId="461" priority="55" stopIfTrue="1" operator="equal">
      <formula>0</formula>
    </cfRule>
  </conditionalFormatting>
  <conditionalFormatting sqref="N138:O139">
    <cfRule type="cellIs" dxfId="460" priority="6" stopIfTrue="1" operator="equal">
      <formula>0</formula>
    </cfRule>
  </conditionalFormatting>
  <conditionalFormatting sqref="O11:O23">
    <cfRule type="cellIs" dxfId="459" priority="113" stopIfTrue="1" operator="equal">
      <formula>0</formula>
    </cfRule>
  </conditionalFormatting>
  <conditionalFormatting sqref="O24:O33">
    <cfRule type="cellIs" dxfId="458" priority="287" stopIfTrue="1" operator="equal">
      <formula>0</formula>
    </cfRule>
  </conditionalFormatting>
  <conditionalFormatting sqref="O25:O29 Q25:Q30 S25:S30">
    <cfRule type="cellIs" dxfId="457" priority="286" stopIfTrue="1" operator="equal">
      <formula>0</formula>
    </cfRule>
  </conditionalFormatting>
  <conditionalFormatting sqref="O29:O30">
    <cfRule type="cellIs" dxfId="456" priority="278" stopIfTrue="1" operator="equal">
      <formula>0</formula>
    </cfRule>
  </conditionalFormatting>
  <conditionalFormatting sqref="O34:O48">
    <cfRule type="cellIs" dxfId="455" priority="69" stopIfTrue="1" operator="equal">
      <formula>0</formula>
    </cfRule>
  </conditionalFormatting>
  <conditionalFormatting sqref="O50:O57">
    <cfRule type="cellIs" dxfId="454" priority="3" stopIfTrue="1" operator="equal">
      <formula>0</formula>
    </cfRule>
  </conditionalFormatting>
  <conditionalFormatting sqref="O58:O129">
    <cfRule type="cellIs" dxfId="453" priority="34" stopIfTrue="1" operator="equal">
      <formula>0</formula>
    </cfRule>
  </conditionalFormatting>
  <conditionalFormatting sqref="O100 A100:D100 Q100:X100">
    <cfRule type="cellIs" dxfId="452" priority="344" stopIfTrue="1" operator="equal">
      <formula>0</formula>
    </cfRule>
  </conditionalFormatting>
  <conditionalFormatting sqref="O104:O105 A104:D105 Q104:X105">
    <cfRule type="cellIs" dxfId="451" priority="198" stopIfTrue="1" operator="equal">
      <formula>0</formula>
    </cfRule>
  </conditionalFormatting>
  <conditionalFormatting sqref="O122:O126">
    <cfRule type="cellIs" dxfId="450" priority="125" stopIfTrue="1" operator="equal">
      <formula>0</formula>
    </cfRule>
  </conditionalFormatting>
  <conditionalFormatting sqref="O128">
    <cfRule type="cellIs" dxfId="449" priority="102" stopIfTrue="1" operator="equal">
      <formula>0</formula>
    </cfRule>
  </conditionalFormatting>
  <conditionalFormatting sqref="O130:O139">
    <cfRule type="cellIs" dxfId="448" priority="62" stopIfTrue="1" operator="equal">
      <formula>0</formula>
    </cfRule>
  </conditionalFormatting>
  <conditionalFormatting sqref="O131">
    <cfRule type="cellIs" dxfId="447" priority="87" stopIfTrue="1" operator="equal">
      <formula>0</formula>
    </cfRule>
  </conditionalFormatting>
  <conditionalFormatting sqref="Q101:S102">
    <cfRule type="cellIs" dxfId="446" priority="179" stopIfTrue="1" operator="equal">
      <formula>0</formula>
    </cfRule>
  </conditionalFormatting>
  <conditionalFormatting sqref="T25:X27 H25:H29">
    <cfRule type="cellIs" dxfId="445" priority="333" stopIfTrue="1" operator="equal">
      <formula>0</formula>
    </cfRule>
  </conditionalFormatting>
  <conditionalFormatting sqref="T28:X30">
    <cfRule type="cellIs" dxfId="444" priority="339" stopIfTrue="1" operator="equal">
      <formula>0</formula>
    </cfRule>
  </conditionalFormatting>
  <conditionalFormatting sqref="V68:V99">
    <cfRule type="cellIs" dxfId="443" priority="42" stopIfTrue="1" operator="equal">
      <formula>0</formula>
    </cfRule>
  </conditionalFormatting>
  <conditionalFormatting sqref="V103">
    <cfRule type="cellIs" dxfId="442" priority="39" stopIfTrue="1" operator="equal">
      <formula>0</formula>
    </cfRule>
  </conditionalFormatting>
  <conditionalFormatting sqref="V105:V139">
    <cfRule type="cellIs" dxfId="441" priority="28" stopIfTrue="1" operator="equal">
      <formula>0</formula>
    </cfRule>
  </conditionalFormatting>
  <conditionalFormatting sqref="V101:W102">
    <cfRule type="cellIs" dxfId="440" priority="236" stopIfTrue="1" operator="equal">
      <formula>0</formula>
    </cfRule>
  </conditionalFormatting>
  <conditionalFormatting sqref="W8 W12 W14:W16 W30:W33 W59:W67 W69:W86 W88 W100 W94:W95 W37:W43 W107 W50">
    <cfRule type="cellIs" dxfId="439" priority="346" stopIfTrue="1" operator="notBetween">
      <formula>-0.001</formula>
      <formula>0.001</formula>
    </cfRule>
  </conditionalFormatting>
  <conditionalFormatting sqref="W11:W16">
    <cfRule type="cellIs" dxfId="438" priority="210" stopIfTrue="1" operator="notBetween">
      <formula>-0.001</formula>
      <formula>0.001</formula>
    </cfRule>
  </conditionalFormatting>
  <conditionalFormatting sqref="W11:W48">
    <cfRule type="cellIs" dxfId="437" priority="67" stopIfTrue="1" operator="between">
      <formula>-0.001</formula>
      <formula>0.001</formula>
    </cfRule>
  </conditionalFormatting>
  <conditionalFormatting sqref="W13">
    <cfRule type="cellIs" dxfId="436" priority="206" stopIfTrue="1" operator="notBetween">
      <formula>-0.001</formula>
      <formula>0.001</formula>
    </cfRule>
    <cfRule type="cellIs" dxfId="435" priority="209" stopIfTrue="1" operator="between">
      <formula>-0.01</formula>
      <formula>0.01</formula>
    </cfRule>
  </conditionalFormatting>
  <conditionalFormatting sqref="W17">
    <cfRule type="cellIs" dxfId="434" priority="112" stopIfTrue="1" operator="notBetween">
      <formula>-0.001</formula>
      <formula>0.001</formula>
    </cfRule>
    <cfRule type="cellIs" dxfId="433" priority="115" stopIfTrue="1" operator="between">
      <formula>-0.01</formula>
      <formula>0.01</formula>
    </cfRule>
    <cfRule type="cellIs" dxfId="432" priority="116" stopIfTrue="1" operator="notBetween">
      <formula>-0.001</formula>
      <formula>0.001</formula>
    </cfRule>
  </conditionalFormatting>
  <conditionalFormatting sqref="W18">
    <cfRule type="cellIs" dxfId="431" priority="224" stopIfTrue="1" operator="between">
      <formula>-0.01</formula>
      <formula>0.01</formula>
    </cfRule>
    <cfRule type="cellIs" dxfId="430" priority="225" stopIfTrue="1" operator="notBetween">
      <formula>-0.001</formula>
      <formula>0.001</formula>
    </cfRule>
  </conditionalFormatting>
  <conditionalFormatting sqref="W18:W19">
    <cfRule type="cellIs" dxfId="429" priority="187" stopIfTrue="1" operator="notBetween">
      <formula>-0.001</formula>
      <formula>0.001</formula>
    </cfRule>
  </conditionalFormatting>
  <conditionalFormatting sqref="W19">
    <cfRule type="cellIs" dxfId="428" priority="186" stopIfTrue="1" operator="between">
      <formula>-0.01</formula>
      <formula>0.01</formula>
    </cfRule>
    <cfRule type="cellIs" dxfId="427" priority="183" stopIfTrue="1" operator="notBetween">
      <formula>-0.001</formula>
      <formula>0.001</formula>
    </cfRule>
  </conditionalFormatting>
  <conditionalFormatting sqref="W20">
    <cfRule type="cellIs" dxfId="426" priority="331" stopIfTrue="1" operator="notBetween">
      <formula>-0.001</formula>
      <formula>0.001</formula>
    </cfRule>
    <cfRule type="cellIs" dxfId="425" priority="330" stopIfTrue="1" operator="between">
      <formula>-0.01</formula>
      <formula>0.01</formula>
    </cfRule>
  </conditionalFormatting>
  <conditionalFormatting sqref="W20:W34">
    <cfRule type="cellIs" dxfId="424" priority="252" stopIfTrue="1" operator="notBetween">
      <formula>-0.001</formula>
      <formula>0.001</formula>
    </cfRule>
  </conditionalFormatting>
  <conditionalFormatting sqref="W21">
    <cfRule type="cellIs" dxfId="423" priority="248" stopIfTrue="1" operator="notBetween">
      <formula>-0.001</formula>
      <formula>0.001</formula>
    </cfRule>
    <cfRule type="cellIs" dxfId="422" priority="251" stopIfTrue="1" operator="between">
      <formula>-0.01</formula>
      <formula>0.01</formula>
    </cfRule>
  </conditionalFormatting>
  <conditionalFormatting sqref="W22:W23">
    <cfRule type="cellIs" dxfId="421" priority="276" stopIfTrue="1" operator="notBetween">
      <formula>-0.001</formula>
      <formula>0.001</formula>
    </cfRule>
  </conditionalFormatting>
  <conditionalFormatting sqref="W22:W27 W37:W43">
    <cfRule type="cellIs" dxfId="420" priority="275" stopIfTrue="1" operator="between">
      <formula>-0.01</formula>
      <formula>0.01</formula>
    </cfRule>
  </conditionalFormatting>
  <conditionalFormatting sqref="W24:W27">
    <cfRule type="cellIs" dxfId="419" priority="334" stopIfTrue="1" operator="notBetween">
      <formula>-0.001</formula>
      <formula>0.001</formula>
    </cfRule>
  </conditionalFormatting>
  <conditionalFormatting sqref="W28:W29">
    <cfRule type="cellIs" dxfId="418" priority="337" stopIfTrue="1" operator="between">
      <formula>-0.0001</formula>
      <formula>0.0001</formula>
    </cfRule>
  </conditionalFormatting>
  <conditionalFormatting sqref="W28:W30">
    <cfRule type="cellIs" dxfId="417" priority="338" stopIfTrue="1" operator="between">
      <formula>-0.01</formula>
      <formula>0.01</formula>
    </cfRule>
    <cfRule type="cellIs" dxfId="416" priority="340" stopIfTrue="1" operator="notBetween">
      <formula>-0.001</formula>
      <formula>0.001</formula>
    </cfRule>
  </conditionalFormatting>
  <conditionalFormatting sqref="W29">
    <cfRule type="cellIs" dxfId="415" priority="308" stopIfTrue="1" operator="notBetween">
      <formula>-0.001</formula>
      <formula>0.001</formula>
    </cfRule>
    <cfRule type="cellIs" dxfId="414" priority="307" stopIfTrue="1" operator="between">
      <formula>-0.01</formula>
      <formula>0.01</formula>
    </cfRule>
  </conditionalFormatting>
  <conditionalFormatting sqref="W34">
    <cfRule type="cellIs" dxfId="413" priority="318" stopIfTrue="1" operator="notBetween">
      <formula>-0.001</formula>
      <formula>0.001</formula>
    </cfRule>
    <cfRule type="cellIs" dxfId="412" priority="315" stopIfTrue="1" operator="notBetween">
      <formula>-0.001</formula>
      <formula>0.001</formula>
    </cfRule>
    <cfRule type="cellIs" dxfId="411" priority="314" stopIfTrue="1" operator="between">
      <formula>-0.01</formula>
      <formula>0.01</formula>
    </cfRule>
    <cfRule type="cellIs" dxfId="410" priority="317" stopIfTrue="1" operator="between">
      <formula>-0.01</formula>
      <formula>0.01</formula>
    </cfRule>
  </conditionalFormatting>
  <conditionalFormatting sqref="W35">
    <cfRule type="cellIs" dxfId="409" priority="175" stopIfTrue="1" operator="notBetween">
      <formula>-0.001</formula>
      <formula>0.001</formula>
    </cfRule>
    <cfRule type="cellIs" dxfId="408" priority="177" stopIfTrue="1" operator="between">
      <formula>-0.0001</formula>
      <formula>0.0001</formula>
    </cfRule>
  </conditionalFormatting>
  <conditionalFormatting sqref="W35:W36">
    <cfRule type="cellIs" dxfId="407" priority="178" stopIfTrue="1" operator="notBetween">
      <formula>-0.001</formula>
      <formula>0.001</formula>
    </cfRule>
  </conditionalFormatting>
  <conditionalFormatting sqref="W36">
    <cfRule type="cellIs" dxfId="406" priority="234" stopIfTrue="1" operator="between">
      <formula>-0.01</formula>
      <formula>0.01</formula>
    </cfRule>
    <cfRule type="cellIs" dxfId="405" priority="232" stopIfTrue="1" operator="notBetween">
      <formula>-0.001</formula>
      <formula>0.001</formula>
    </cfRule>
    <cfRule type="cellIs" dxfId="404" priority="231" stopIfTrue="1" operator="between">
      <formula>-0.01</formula>
      <formula>0.01</formula>
    </cfRule>
  </conditionalFormatting>
  <conditionalFormatting sqref="W36:W43">
    <cfRule type="cellIs" dxfId="403" priority="235" stopIfTrue="1" operator="notBetween">
      <formula>-0.001</formula>
      <formula>0.001</formula>
    </cfRule>
  </conditionalFormatting>
  <conditionalFormatting sqref="W44:W45">
    <cfRule type="cellIs" dxfId="402" priority="153" stopIfTrue="1" operator="notBetween">
      <formula>-0.001</formula>
      <formula>0.001</formula>
    </cfRule>
    <cfRule type="cellIs" dxfId="401" priority="152" stopIfTrue="1" operator="between">
      <formula>-0.01</formula>
      <formula>0.01</formula>
    </cfRule>
  </conditionalFormatting>
  <conditionalFormatting sqref="W44:W46">
    <cfRule type="cellIs" dxfId="400" priority="77" stopIfTrue="1" operator="notBetween">
      <formula>-0.001</formula>
      <formula>0.001</formula>
    </cfRule>
  </conditionalFormatting>
  <conditionalFormatting sqref="W46">
    <cfRule type="cellIs" dxfId="399" priority="76" stopIfTrue="1" operator="between">
      <formula>-0.01</formula>
      <formula>0.01</formula>
    </cfRule>
  </conditionalFormatting>
  <conditionalFormatting sqref="W46:W48">
    <cfRule type="cellIs" dxfId="398" priority="71" stopIfTrue="1" operator="notBetween">
      <formula>-0.001</formula>
      <formula>0.001</formula>
    </cfRule>
  </conditionalFormatting>
  <conditionalFormatting sqref="W47:W48">
    <cfRule type="cellIs" dxfId="397" priority="68" stopIfTrue="1" operator="notBetween">
      <formula>-0.001</formula>
      <formula>0.001</formula>
    </cfRule>
  </conditionalFormatting>
  <conditionalFormatting sqref="W47:W50">
    <cfRule type="cellIs" dxfId="396" priority="70" stopIfTrue="1" operator="between">
      <formula>-0.01</formula>
      <formula>0.01</formula>
    </cfRule>
  </conditionalFormatting>
  <conditionalFormatting sqref="W51:W58">
    <cfRule type="cellIs" dxfId="395" priority="2" stopIfTrue="1" operator="between">
      <formula>-0.01</formula>
      <formula>0.01</formula>
    </cfRule>
    <cfRule type="cellIs" dxfId="394" priority="5" stopIfTrue="1" operator="notBetween">
      <formula>-0.001</formula>
      <formula>0.001</formula>
    </cfRule>
  </conditionalFormatting>
  <conditionalFormatting sqref="W59">
    <cfRule type="cellIs" dxfId="393" priority="262" stopIfTrue="1" operator="between">
      <formula>-0.0001</formula>
      <formula>0.0001</formula>
    </cfRule>
    <cfRule type="cellIs" dxfId="392" priority="263" stopIfTrue="1" operator="notBetween">
      <formula>-0.001</formula>
      <formula>0.001</formula>
    </cfRule>
  </conditionalFormatting>
  <conditionalFormatting sqref="W61">
    <cfRule type="cellIs" dxfId="391" priority="271" stopIfTrue="1" operator="between">
      <formula>-0.0001</formula>
      <formula>0.0001</formula>
    </cfRule>
    <cfRule type="cellIs" dxfId="390" priority="272" stopIfTrue="1" operator="notBetween">
      <formula>-0.001</formula>
      <formula>0.001</formula>
    </cfRule>
  </conditionalFormatting>
  <conditionalFormatting sqref="W83:W86">
    <cfRule type="cellIs" dxfId="389" priority="267" stopIfTrue="1" operator="notBetween">
      <formula>-0.001</formula>
      <formula>0.001</formula>
    </cfRule>
    <cfRule type="cellIs" dxfId="388" priority="266" stopIfTrue="1" operator="between">
      <formula>-0.0001</formula>
      <formula>0.0001</formula>
    </cfRule>
  </conditionalFormatting>
  <conditionalFormatting sqref="W89">
    <cfRule type="cellIs" dxfId="387" priority="256" stopIfTrue="1" operator="notBetween">
      <formula>-0.001</formula>
      <formula>0.001</formula>
    </cfRule>
  </conditionalFormatting>
  <conditionalFormatting sqref="W90:W92">
    <cfRule type="cellIs" dxfId="386" priority="328" stopIfTrue="1" operator="notBetween">
      <formula>-0.001</formula>
      <formula>0.001</formula>
    </cfRule>
  </conditionalFormatting>
  <conditionalFormatting sqref="W90:W95">
    <cfRule type="cellIs" dxfId="385" priority="327" stopIfTrue="1" operator="between">
      <formula>-0.01</formula>
      <formula>0.01</formula>
    </cfRule>
  </conditionalFormatting>
  <conditionalFormatting sqref="W94">
    <cfRule type="cellIs" dxfId="384" priority="312" stopIfTrue="1" operator="notBetween">
      <formula>-0.001</formula>
      <formula>0.001</formula>
    </cfRule>
    <cfRule type="cellIs" dxfId="383" priority="311" stopIfTrue="1" operator="between">
      <formula>-0.01</formula>
      <formula>0.01</formula>
    </cfRule>
  </conditionalFormatting>
  <conditionalFormatting sqref="W96:W99">
    <cfRule type="cellIs" dxfId="382" priority="43" stopIfTrue="1" operator="between">
      <formula>-0.01</formula>
      <formula>0.01</formula>
    </cfRule>
    <cfRule type="cellIs" dxfId="381" priority="44" stopIfTrue="1" operator="notBetween">
      <formula>-0.001</formula>
      <formula>0.001</formula>
    </cfRule>
  </conditionalFormatting>
  <conditionalFormatting sqref="W100 W30:W33 W59:W88 W12 W14:W16 W1:W10">
    <cfRule type="cellIs" dxfId="380" priority="345" stopIfTrue="1" operator="between">
      <formula>-0.01</formula>
      <formula>0.01</formula>
    </cfRule>
  </conditionalFormatting>
  <conditionalFormatting sqref="W101:W102">
    <cfRule type="cellIs" dxfId="379" priority="237" stopIfTrue="1" operator="between">
      <formula>-0.01</formula>
      <formula>0.01</formula>
    </cfRule>
    <cfRule type="cellIs" dxfId="378" priority="238" stopIfTrue="1" operator="notBetween">
      <formula>-0.001</formula>
      <formula>0.001</formula>
    </cfRule>
  </conditionalFormatting>
  <conditionalFormatting sqref="W103">
    <cfRule type="cellIs" dxfId="377" priority="41" stopIfTrue="1" operator="notBetween">
      <formula>-0.001</formula>
      <formula>0.001</formula>
    </cfRule>
    <cfRule type="cellIs" dxfId="376" priority="40" stopIfTrue="1" operator="between">
      <formula>-0.01</formula>
      <formula>0.01</formula>
    </cfRule>
  </conditionalFormatting>
  <conditionalFormatting sqref="W104:W105">
    <cfRule type="cellIs" dxfId="375" priority="200" stopIfTrue="1" operator="notBetween">
      <formula>-0.001</formula>
      <formula>0.001</formula>
    </cfRule>
  </conditionalFormatting>
  <conditionalFormatting sqref="W104:W110">
    <cfRule type="cellIs" dxfId="374" priority="199" stopIfTrue="1" operator="between">
      <formula>-0.01</formula>
      <formula>0.01</formula>
    </cfRule>
  </conditionalFormatting>
  <conditionalFormatting sqref="W109:W110">
    <cfRule type="cellIs" dxfId="373" priority="322" stopIfTrue="1" operator="notBetween">
      <formula>-0.001</formula>
      <formula>0.001</formula>
    </cfRule>
  </conditionalFormatting>
  <conditionalFormatting sqref="W111">
    <cfRule type="cellIs" dxfId="372" priority="257" operator="lessThanOrEqual">
      <formula>0.1</formula>
    </cfRule>
  </conditionalFormatting>
  <conditionalFormatting sqref="W112:W114">
    <cfRule type="cellIs" dxfId="371" priority="172" stopIfTrue="1" operator="between">
      <formula>-0.01</formula>
      <formula>0.01</formula>
    </cfRule>
    <cfRule type="cellIs" dxfId="370" priority="173" stopIfTrue="1" operator="notBetween">
      <formula>-0.001</formula>
      <formula>0.001</formula>
    </cfRule>
  </conditionalFormatting>
  <conditionalFormatting sqref="W115">
    <cfRule type="cellIs" dxfId="369" priority="165" operator="lessThanOrEqual">
      <formula>0.1</formula>
    </cfRule>
  </conditionalFormatting>
  <conditionalFormatting sqref="W116:W117">
    <cfRule type="cellIs" dxfId="368" priority="158" stopIfTrue="1" operator="notBetween">
      <formula>-0.001</formula>
      <formula>0.001</formula>
    </cfRule>
    <cfRule type="cellIs" dxfId="367" priority="157" stopIfTrue="1" operator="between">
      <formula>-0.01</formula>
      <formula>0.01</formula>
    </cfRule>
  </conditionalFormatting>
  <conditionalFormatting sqref="W118">
    <cfRule type="cellIs" dxfId="366" priority="159" operator="lessThanOrEqual">
      <formula>0.1</formula>
    </cfRule>
  </conditionalFormatting>
  <conditionalFormatting sqref="W119:W120">
    <cfRule type="cellIs" dxfId="365" priority="144" stopIfTrue="1" operator="between">
      <formula>-0.01</formula>
      <formula>0.01</formula>
    </cfRule>
    <cfRule type="cellIs" dxfId="364" priority="145" stopIfTrue="1" operator="notBetween">
      <formula>-0.001</formula>
      <formula>0.001</formula>
    </cfRule>
  </conditionalFormatting>
  <conditionalFormatting sqref="W121">
    <cfRule type="cellIs" dxfId="363" priority="138" operator="lessThanOrEqual">
      <formula>0.1</formula>
    </cfRule>
  </conditionalFormatting>
  <conditionalFormatting sqref="W122:W126">
    <cfRule type="cellIs" dxfId="362" priority="123" stopIfTrue="1" operator="notBetween">
      <formula>-0.001</formula>
      <formula>0.001</formula>
    </cfRule>
    <cfRule type="cellIs" dxfId="361" priority="122" stopIfTrue="1" operator="between">
      <formula>-0.01</formula>
      <formula>0.01</formula>
    </cfRule>
    <cfRule type="cellIs" dxfId="360" priority="121" stopIfTrue="1" operator="between">
      <formula>-0.0001</formula>
      <formula>0.0001</formula>
    </cfRule>
  </conditionalFormatting>
  <conditionalFormatting sqref="W127">
    <cfRule type="cellIs" dxfId="359" priority="108" operator="lessThanOrEqual">
      <formula>0.1</formula>
    </cfRule>
  </conditionalFormatting>
  <conditionalFormatting sqref="W128">
    <cfRule type="cellIs" dxfId="358" priority="100" stopIfTrue="1" operator="notBetween">
      <formula>-0.001</formula>
      <formula>0.001</formula>
    </cfRule>
  </conditionalFormatting>
  <conditionalFormatting sqref="W128:W129">
    <cfRule type="cellIs" dxfId="357" priority="36" stopIfTrue="1" operator="between">
      <formula>-0.01</formula>
      <formula>0.01</formula>
    </cfRule>
    <cfRule type="cellIs" dxfId="356" priority="35" stopIfTrue="1" operator="between">
      <formula>-0.0001</formula>
      <formula>0.0001</formula>
    </cfRule>
  </conditionalFormatting>
  <conditionalFormatting sqref="W129">
    <cfRule type="cellIs" dxfId="355" priority="33" stopIfTrue="1" operator="notBetween">
      <formula>-0.001</formula>
      <formula>0.001</formula>
    </cfRule>
  </conditionalFormatting>
  <conditionalFormatting sqref="W130">
    <cfRule type="cellIs" dxfId="354" priority="92" operator="lessThanOrEqual">
      <formula>0.1</formula>
    </cfRule>
  </conditionalFormatting>
  <conditionalFormatting sqref="W131">
    <cfRule type="cellIs" dxfId="353" priority="83" stopIfTrue="1" operator="between">
      <formula>-0.0001</formula>
      <formula>0.0001</formula>
    </cfRule>
    <cfRule type="cellIs" dxfId="352" priority="84" stopIfTrue="1" operator="between">
      <formula>-0.01</formula>
      <formula>0.01</formula>
    </cfRule>
    <cfRule type="cellIs" dxfId="351" priority="85" stopIfTrue="1" operator="notBetween">
      <formula>-0.001</formula>
      <formula>0.001</formula>
    </cfRule>
  </conditionalFormatting>
  <conditionalFormatting sqref="W132">
    <cfRule type="cellIs" dxfId="350" priority="61" operator="lessThanOrEqual">
      <formula>0.1</formula>
    </cfRule>
  </conditionalFormatting>
  <conditionalFormatting sqref="W133:W136">
    <cfRule type="cellIs" dxfId="349" priority="65" stopIfTrue="1" operator="between">
      <formula>-0.01</formula>
      <formula>0.01</formula>
    </cfRule>
    <cfRule type="cellIs" dxfId="348" priority="64" stopIfTrue="1" operator="between">
      <formula>-0.0001</formula>
      <formula>0.0001</formula>
    </cfRule>
    <cfRule type="cellIs" dxfId="347" priority="60" stopIfTrue="1" operator="notBetween">
      <formula>-0.001</formula>
      <formula>0.001</formula>
    </cfRule>
  </conditionalFormatting>
  <conditionalFormatting sqref="W137">
    <cfRule type="cellIs" dxfId="346" priority="15" operator="lessThanOrEqual">
      <formula>0.1</formula>
    </cfRule>
  </conditionalFormatting>
  <conditionalFormatting sqref="W138:W139">
    <cfRule type="cellIs" dxfId="345" priority="10" stopIfTrue="1" operator="between">
      <formula>-0.0001</formula>
      <formula>0.0001</formula>
    </cfRule>
    <cfRule type="cellIs" dxfId="344" priority="9" stopIfTrue="1" operator="notBetween">
      <formula>-0.001</formula>
      <formula>0.001</formula>
    </cfRule>
  </conditionalFormatting>
  <conditionalFormatting sqref="W138:W65535">
    <cfRule type="cellIs" dxfId="343" priority="11" stopIfTrue="1" operator="between">
      <formula>-0.01</formula>
      <formula>0.01</formula>
    </cfRule>
  </conditionalFormatting>
  <conditionalFormatting sqref="W122:X126">
    <cfRule type="cellIs" dxfId="342" priority="120" stopIfTrue="1" operator="equal">
      <formula>0</formula>
    </cfRule>
  </conditionalFormatting>
  <conditionalFormatting sqref="W128:X129">
    <cfRule type="cellIs" dxfId="341" priority="32" stopIfTrue="1" operator="equal">
      <formula>0</formula>
    </cfRule>
  </conditionalFormatting>
  <conditionalFormatting sqref="W131:X131">
    <cfRule type="cellIs" dxfId="340" priority="82" stopIfTrue="1" operator="equal">
      <formula>0</formula>
    </cfRule>
  </conditionalFormatting>
  <conditionalFormatting sqref="W133:X136">
    <cfRule type="cellIs" dxfId="339" priority="56" stopIfTrue="1" operator="equal">
      <formula>0</formula>
    </cfRule>
  </conditionalFormatting>
  <conditionalFormatting sqref="W138:X139">
    <cfRule type="cellIs" dxfId="338" priority="8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2746-A24A-491E-A6CD-1F72CDC9787E}">
  <sheetPr>
    <tabColor rgb="FF00B050"/>
    <pageSetUpPr fitToPage="1"/>
  </sheetPr>
  <dimension ref="A1:X194"/>
  <sheetViews>
    <sheetView showGridLines="0" topLeftCell="A108" zoomScale="70" zoomScaleNormal="70" workbookViewId="0">
      <selection activeCell="M4" sqref="M4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6.28515625" style="6" customWidth="1"/>
    <col min="11" max="11" width="4.7109375" style="5" customWidth="1"/>
    <col min="12" max="12" width="7.7109375" style="1" customWidth="1"/>
    <col min="13" max="13" width="9.28515625" style="1" customWidth="1"/>
    <col min="14" max="14" width="14.5703125" style="4" customWidth="1"/>
    <col min="15" max="15" width="7" style="3" customWidth="1"/>
    <col min="16" max="16" width="8.28515625" style="1" customWidth="1"/>
    <col min="17" max="17" width="6.140625" style="3" customWidth="1"/>
    <col min="18" max="18" width="8.140625" style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13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23" t="s">
        <v>173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24" ht="11.25" customHeight="1" x14ac:dyDescent="0.2">
      <c r="A2" s="99"/>
      <c r="B2" s="99"/>
      <c r="C2" s="100"/>
      <c r="I2"/>
      <c r="J2"/>
      <c r="K2"/>
      <c r="L2"/>
      <c r="M2"/>
      <c r="N2"/>
      <c r="O2"/>
      <c r="P2"/>
      <c r="Q2"/>
      <c r="R2"/>
      <c r="S2"/>
    </row>
    <row r="3" spans="1:24" x14ac:dyDescent="0.2">
      <c r="A3" s="101" t="s">
        <v>172</v>
      </c>
      <c r="B3" s="124">
        <f ca="1">++TODAY()</f>
        <v>46045</v>
      </c>
      <c r="C3" s="125"/>
      <c r="I3"/>
      <c r="J3"/>
      <c r="K3"/>
      <c r="L3"/>
      <c r="M3"/>
      <c r="N3"/>
      <c r="O3"/>
      <c r="P3"/>
      <c r="Q3"/>
      <c r="R3"/>
      <c r="S3"/>
    </row>
    <row r="4" spans="1:24" x14ac:dyDescent="0.2">
      <c r="A4" s="99" t="s">
        <v>171</v>
      </c>
      <c r="B4" s="99"/>
      <c r="C4" s="100"/>
      <c r="I4"/>
      <c r="J4"/>
      <c r="K4"/>
      <c r="L4"/>
      <c r="M4"/>
      <c r="N4"/>
      <c r="O4"/>
      <c r="P4"/>
      <c r="Q4"/>
      <c r="R4"/>
      <c r="S4"/>
      <c r="T4" s="107"/>
    </row>
    <row r="5" spans="1:24" x14ac:dyDescent="0.2">
      <c r="A5" s="101" t="s">
        <v>170</v>
      </c>
      <c r="B5" s="106" t="s">
        <v>175</v>
      </c>
      <c r="C5" s="105"/>
      <c r="I5"/>
      <c r="J5"/>
      <c r="K5"/>
      <c r="L5"/>
      <c r="M5"/>
      <c r="N5"/>
      <c r="O5"/>
      <c r="P5"/>
      <c r="Q5"/>
      <c r="R5"/>
      <c r="S5"/>
    </row>
    <row r="6" spans="1:24" x14ac:dyDescent="0.2">
      <c r="A6" s="101" t="s">
        <v>169</v>
      </c>
      <c r="B6" s="104">
        <v>325103859</v>
      </c>
      <c r="C6" s="103"/>
      <c r="D6" s="8"/>
      <c r="I6"/>
      <c r="J6"/>
      <c r="K6"/>
      <c r="L6"/>
      <c r="M6"/>
      <c r="N6"/>
      <c r="O6"/>
      <c r="P6"/>
      <c r="Q6"/>
      <c r="R6"/>
      <c r="S6"/>
      <c r="T6" s="102"/>
    </row>
    <row r="7" spans="1:24" x14ac:dyDescent="0.2">
      <c r="A7" s="101" t="s">
        <v>168</v>
      </c>
      <c r="B7" s="126" t="s">
        <v>174</v>
      </c>
      <c r="C7" s="127"/>
      <c r="D7" s="100"/>
      <c r="E7" s="100"/>
      <c r="I7"/>
      <c r="J7"/>
      <c r="K7"/>
      <c r="L7"/>
      <c r="M7"/>
      <c r="N7"/>
      <c r="O7"/>
      <c r="P7"/>
      <c r="Q7"/>
      <c r="R7"/>
      <c r="S7"/>
    </row>
    <row r="8" spans="1:24" x14ac:dyDescent="0.2">
      <c r="B8" s="99"/>
      <c r="C8" s="98"/>
      <c r="D8" s="98"/>
      <c r="E8" s="98"/>
      <c r="I8"/>
      <c r="J8"/>
      <c r="K8"/>
      <c r="L8"/>
      <c r="M8"/>
      <c r="N8"/>
      <c r="O8"/>
      <c r="P8"/>
      <c r="Q8"/>
      <c r="R8"/>
      <c r="S8"/>
    </row>
    <row r="9" spans="1:24" s="7" customFormat="1" ht="34.5" customHeight="1" x14ac:dyDescent="0.2">
      <c r="A9" s="96" t="s">
        <v>166</v>
      </c>
      <c r="B9" s="96" t="s">
        <v>165</v>
      </c>
      <c r="C9" s="96" t="s">
        <v>164</v>
      </c>
      <c r="D9" s="97" t="s">
        <v>163</v>
      </c>
      <c r="E9" s="96" t="s">
        <v>162</v>
      </c>
      <c r="F9" s="96" t="s">
        <v>161</v>
      </c>
      <c r="G9" s="96" t="s">
        <v>160</v>
      </c>
      <c r="I9" s="96" t="s">
        <v>159</v>
      </c>
      <c r="J9" s="96" t="s">
        <v>158</v>
      </c>
      <c r="K9" s="95"/>
      <c r="L9" s="92" t="s">
        <v>157</v>
      </c>
      <c r="M9" s="92" t="s">
        <v>156</v>
      </c>
      <c r="N9" s="94" t="s">
        <v>152</v>
      </c>
      <c r="O9" s="93" t="s">
        <v>155</v>
      </c>
      <c r="P9" s="92" t="s">
        <v>154</v>
      </c>
      <c r="Q9" s="93" t="s">
        <v>153</v>
      </c>
      <c r="R9" s="92" t="s">
        <v>152</v>
      </c>
      <c r="S9" s="92" t="s">
        <v>151</v>
      </c>
      <c r="V9" s="90" t="s">
        <v>150</v>
      </c>
      <c r="W9" s="91" t="s">
        <v>149</v>
      </c>
      <c r="X9" s="90" t="s">
        <v>148</v>
      </c>
    </row>
    <row r="10" spans="1:24" x14ac:dyDescent="0.2">
      <c r="A10" s="37"/>
      <c r="B10" s="36"/>
      <c r="C10" s="35"/>
      <c r="D10" s="27"/>
      <c r="E10" s="35"/>
      <c r="F10" s="27"/>
      <c r="G10" s="25"/>
      <c r="I10" s="32"/>
      <c r="J10" s="33"/>
      <c r="L10" s="32"/>
      <c r="M10" s="27"/>
      <c r="N10" s="89"/>
      <c r="O10" s="30"/>
      <c r="P10" s="27"/>
      <c r="Q10" s="30"/>
      <c r="R10" s="27"/>
      <c r="S10" s="25"/>
      <c r="U10"/>
      <c r="V10" s="88">
        <v>46020</v>
      </c>
      <c r="W10" s="45"/>
      <c r="X10" s="25"/>
    </row>
    <row r="11" spans="1:24" s="86" customFormat="1" x14ac:dyDescent="0.2">
      <c r="A11" s="22" t="s">
        <v>106</v>
      </c>
      <c r="B11" s="22" t="s">
        <v>110</v>
      </c>
      <c r="C11" s="85">
        <v>100021632</v>
      </c>
      <c r="D11" s="71" t="s">
        <v>147</v>
      </c>
      <c r="E11" s="49">
        <v>7790360026606</v>
      </c>
      <c r="F11" s="15">
        <v>4.8</v>
      </c>
      <c r="G11" s="19">
        <v>30</v>
      </c>
      <c r="I11" s="15">
        <f t="shared" ref="I11:I41" si="0">+L11*1.55*1.21</f>
        <v>2699.2115766110005</v>
      </c>
      <c r="J11" s="15">
        <f t="shared" ref="J11:J34" si="1">+I11*0.8</f>
        <v>2159.3692612888003</v>
      </c>
      <c r="K11" s="47"/>
      <c r="L11" s="12">
        <f t="shared" ref="L11:L41" si="2">+IF(ISERROR(N11/G11),"",(N11/G11))</f>
        <v>1439.1957220000002</v>
      </c>
      <c r="M11" s="12">
        <f t="shared" ref="M11:M16" si="3">+N11/F11</f>
        <v>8994.9732625000015</v>
      </c>
      <c r="N11" s="40">
        <v>43175.871660000004</v>
      </c>
      <c r="O11" s="65"/>
      <c r="P11" s="12">
        <f t="shared" ref="P11:P41" si="4">+IF(ISERROR(N11/(1-O11)),"",(N11/(1-O11)))</f>
        <v>43175.871660000004</v>
      </c>
      <c r="Q11" s="87"/>
      <c r="R11" s="12">
        <f t="shared" ref="R11:R41" si="5">+IF(ISERROR(P11/(1-Q11)),"",(P11/(1-Q11)))</f>
        <v>43175.871660000004</v>
      </c>
      <c r="S11" s="12">
        <f t="shared" ref="S11:S41" si="6">+IF(ISERROR(R11/G11),"",(R11/G11))</f>
        <v>1439.1957220000002</v>
      </c>
      <c r="T11" s="107"/>
      <c r="U11" s="108"/>
      <c r="V11" s="12">
        <v>41918.32</v>
      </c>
      <c r="W11" s="16">
        <f t="shared" ref="W11:W41" si="7">+IF(ISERROR(N11/V11-1),"",(N11/V11-1))</f>
        <v>3.0000049143190877E-2</v>
      </c>
      <c r="X11" s="12">
        <f t="shared" ref="X11:X41" si="8">+IF(ISERROR(V11*(1-O11)),"",(V11*(1-O11)))</f>
        <v>41918.32</v>
      </c>
    </row>
    <row r="12" spans="1:24" x14ac:dyDescent="0.2">
      <c r="A12" s="22" t="s">
        <v>106</v>
      </c>
      <c r="B12" s="22" t="s">
        <v>110</v>
      </c>
      <c r="C12" s="68">
        <v>100021652</v>
      </c>
      <c r="D12" s="71" t="s">
        <v>146</v>
      </c>
      <c r="E12" s="49">
        <v>7790360026576</v>
      </c>
      <c r="F12" s="15">
        <v>5.76</v>
      </c>
      <c r="G12" s="19">
        <v>18</v>
      </c>
      <c r="I12" s="15">
        <f t="shared" si="0"/>
        <v>6502.3054070956678</v>
      </c>
      <c r="J12" s="15">
        <f t="shared" si="1"/>
        <v>5201.8443256765349</v>
      </c>
      <c r="K12" s="47"/>
      <c r="L12" s="15">
        <f t="shared" si="2"/>
        <v>3466.9716913333341</v>
      </c>
      <c r="M12" s="15">
        <f t="shared" si="3"/>
        <v>10834.286535416668</v>
      </c>
      <c r="N12" s="40">
        <v>62405.49044400001</v>
      </c>
      <c r="O12" s="65"/>
      <c r="P12" s="12">
        <f t="shared" si="4"/>
        <v>62405.49044400001</v>
      </c>
      <c r="Q12" s="64"/>
      <c r="R12" s="12">
        <f t="shared" si="5"/>
        <v>62405.49044400001</v>
      </c>
      <c r="S12" s="15">
        <f t="shared" si="6"/>
        <v>3466.9716913333341</v>
      </c>
      <c r="T12" s="107"/>
      <c r="U12" s="108"/>
      <c r="V12" s="12">
        <v>60587.86</v>
      </c>
      <c r="W12" s="16">
        <f t="shared" si="7"/>
        <v>2.9999911599452478E-2</v>
      </c>
      <c r="X12" s="15">
        <f t="shared" si="8"/>
        <v>60587.86</v>
      </c>
    </row>
    <row r="13" spans="1:24" x14ac:dyDescent="0.2">
      <c r="A13" s="22" t="s">
        <v>106</v>
      </c>
      <c r="B13" s="22" t="s">
        <v>110</v>
      </c>
      <c r="C13" s="68">
        <v>100021631</v>
      </c>
      <c r="D13" s="71" t="s">
        <v>145</v>
      </c>
      <c r="E13" s="49">
        <v>7790360026590</v>
      </c>
      <c r="F13" s="15">
        <v>7.68</v>
      </c>
      <c r="G13" s="19">
        <v>8</v>
      </c>
      <c r="I13" s="15">
        <f t="shared" si="0"/>
        <v>16713.302476538247</v>
      </c>
      <c r="J13" s="15">
        <f t="shared" si="1"/>
        <v>13370.641981230598</v>
      </c>
      <c r="K13" s="47"/>
      <c r="L13" s="15">
        <f t="shared" si="2"/>
        <v>8911.3849514999984</v>
      </c>
      <c r="M13" s="15">
        <f t="shared" si="3"/>
        <v>9282.6926578124985</v>
      </c>
      <c r="N13" s="40">
        <v>71291.079611999987</v>
      </c>
      <c r="O13" s="65"/>
      <c r="P13" s="12">
        <f t="shared" si="4"/>
        <v>71291.079611999987</v>
      </c>
      <c r="Q13" s="64"/>
      <c r="R13" s="12">
        <f t="shared" si="5"/>
        <v>71291.079611999987</v>
      </c>
      <c r="S13" s="15">
        <f t="shared" si="6"/>
        <v>8911.3849514999984</v>
      </c>
      <c r="T13" s="107"/>
      <c r="U13" s="108"/>
      <c r="V13" s="12">
        <v>69214.64</v>
      </c>
      <c r="W13" s="16">
        <f t="shared" si="7"/>
        <v>3.0000005952497633E-2</v>
      </c>
      <c r="X13" s="15">
        <f t="shared" si="8"/>
        <v>69214.64</v>
      </c>
    </row>
    <row r="14" spans="1:24" x14ac:dyDescent="0.2">
      <c r="A14" s="22" t="s">
        <v>106</v>
      </c>
      <c r="B14" s="22" t="s">
        <v>110</v>
      </c>
      <c r="C14" s="68">
        <v>100021630</v>
      </c>
      <c r="D14" s="71" t="s">
        <v>144</v>
      </c>
      <c r="E14" s="49">
        <v>7790360026583</v>
      </c>
      <c r="F14" s="15">
        <v>9.6</v>
      </c>
      <c r="G14" s="19">
        <v>6</v>
      </c>
      <c r="I14" s="15">
        <f t="shared" si="0"/>
        <v>37281.736540346836</v>
      </c>
      <c r="J14" s="15">
        <f t="shared" si="1"/>
        <v>29825.38923227747</v>
      </c>
      <c r="K14" s="47"/>
      <c r="L14" s="15">
        <f t="shared" si="2"/>
        <v>19878.291943666667</v>
      </c>
      <c r="M14" s="15">
        <f t="shared" si="3"/>
        <v>12423.932464791667</v>
      </c>
      <c r="N14" s="40">
        <v>119269.751662</v>
      </c>
      <c r="O14" s="65"/>
      <c r="P14" s="12">
        <f t="shared" si="4"/>
        <v>119269.751662</v>
      </c>
      <c r="Q14" s="64"/>
      <c r="R14" s="12">
        <f t="shared" si="5"/>
        <v>119269.751662</v>
      </c>
      <c r="S14" s="15">
        <f t="shared" si="6"/>
        <v>19878.291943666667</v>
      </c>
      <c r="T14" s="107"/>
      <c r="U14" s="108"/>
      <c r="V14" s="12">
        <v>115795.88</v>
      </c>
      <c r="W14" s="16">
        <f t="shared" si="7"/>
        <v>2.9999959083172767E-2</v>
      </c>
      <c r="X14" s="15">
        <f t="shared" si="8"/>
        <v>115795.88</v>
      </c>
    </row>
    <row r="15" spans="1:24" x14ac:dyDescent="0.2">
      <c r="A15" s="22" t="s">
        <v>106</v>
      </c>
      <c r="B15" s="22" t="s">
        <v>110</v>
      </c>
      <c r="C15" s="44">
        <v>100021653</v>
      </c>
      <c r="D15" s="24" t="s">
        <v>143</v>
      </c>
      <c r="E15" s="49">
        <v>7790360026682</v>
      </c>
      <c r="F15" s="15">
        <v>5.76</v>
      </c>
      <c r="G15" s="19">
        <v>18</v>
      </c>
      <c r="I15" s="15">
        <f t="shared" si="0"/>
        <v>6954.5108163898894</v>
      </c>
      <c r="J15" s="15">
        <f t="shared" si="1"/>
        <v>5563.6086531119117</v>
      </c>
      <c r="K15" s="47"/>
      <c r="L15" s="15">
        <f t="shared" si="2"/>
        <v>3708.0836131111114</v>
      </c>
      <c r="M15" s="15">
        <f t="shared" si="3"/>
        <v>11587.761290972223</v>
      </c>
      <c r="N15" s="40">
        <v>66745.505036000002</v>
      </c>
      <c r="O15" s="65"/>
      <c r="P15" s="12">
        <f t="shared" si="4"/>
        <v>66745.505036000002</v>
      </c>
      <c r="Q15" s="64"/>
      <c r="R15" s="12">
        <f t="shared" si="5"/>
        <v>66745.505036000002</v>
      </c>
      <c r="S15" s="15">
        <f t="shared" si="6"/>
        <v>3708.0836131111114</v>
      </c>
      <c r="T15" s="107"/>
      <c r="U15" s="108"/>
      <c r="V15" s="12">
        <v>64801.46</v>
      </c>
      <c r="W15" s="16">
        <f t="shared" si="7"/>
        <v>3.0000019073644468E-2</v>
      </c>
      <c r="X15" s="15">
        <f t="shared" si="8"/>
        <v>64801.46</v>
      </c>
    </row>
    <row r="16" spans="1:24" x14ac:dyDescent="0.2">
      <c r="A16" s="22" t="s">
        <v>106</v>
      </c>
      <c r="B16" s="22" t="s">
        <v>110</v>
      </c>
      <c r="C16" s="85">
        <v>100516169</v>
      </c>
      <c r="D16" s="71" t="s">
        <v>142</v>
      </c>
      <c r="E16" s="84">
        <v>7790360967961</v>
      </c>
      <c r="F16" s="15">
        <v>5.76</v>
      </c>
      <c r="G16" s="19">
        <v>18</v>
      </c>
      <c r="I16" s="15">
        <f t="shared" si="0"/>
        <v>8947.6179192980562</v>
      </c>
      <c r="J16" s="15">
        <f t="shared" si="1"/>
        <v>7158.0943354384453</v>
      </c>
      <c r="K16" s="47"/>
      <c r="L16" s="15">
        <f t="shared" si="2"/>
        <v>4770.7906794444443</v>
      </c>
      <c r="M16" s="15">
        <f t="shared" si="3"/>
        <v>14908.720873263888</v>
      </c>
      <c r="N16" s="40">
        <v>85874.232229999994</v>
      </c>
      <c r="O16" s="65"/>
      <c r="P16" s="12">
        <f t="shared" si="4"/>
        <v>85874.232229999994</v>
      </c>
      <c r="Q16" s="64"/>
      <c r="R16" s="12">
        <f t="shared" si="5"/>
        <v>85874.232229999994</v>
      </c>
      <c r="S16" s="15">
        <f t="shared" si="6"/>
        <v>4770.7906794444443</v>
      </c>
      <c r="T16" s="107"/>
      <c r="U16" s="108"/>
      <c r="V16" s="12">
        <v>83373.039999999994</v>
      </c>
      <c r="W16" s="16">
        <f t="shared" si="7"/>
        <v>3.0000012354113537E-2</v>
      </c>
      <c r="X16" s="15">
        <f t="shared" si="8"/>
        <v>83373.039999999994</v>
      </c>
    </row>
    <row r="17" spans="1:24" x14ac:dyDescent="0.2">
      <c r="A17" s="22" t="s">
        <v>106</v>
      </c>
      <c r="B17" s="22" t="s">
        <v>110</v>
      </c>
      <c r="C17" s="44">
        <v>100520337</v>
      </c>
      <c r="D17" s="24" t="s">
        <v>141</v>
      </c>
      <c r="E17" s="72">
        <v>7790360977960</v>
      </c>
      <c r="F17" s="70">
        <v>4.8</v>
      </c>
      <c r="G17" s="69">
        <v>30</v>
      </c>
      <c r="I17" s="15">
        <f t="shared" si="0"/>
        <v>2241.6255278204335</v>
      </c>
      <c r="J17" s="15">
        <f t="shared" si="1"/>
        <v>1793.3004222563468</v>
      </c>
      <c r="K17" s="47"/>
      <c r="L17" s="15">
        <f t="shared" si="2"/>
        <v>1195.2148908666668</v>
      </c>
      <c r="M17" s="15">
        <f t="shared" ref="M17:M41" si="9">+IF(ISERROR(N17/F17),"",(N17/F17))</f>
        <v>7470.0930679166677</v>
      </c>
      <c r="N17" s="40">
        <v>35856.446726000002</v>
      </c>
      <c r="O17" s="65"/>
      <c r="P17" s="12">
        <f t="shared" si="4"/>
        <v>35856.446726000002</v>
      </c>
      <c r="Q17" s="16"/>
      <c r="R17" s="12">
        <f t="shared" si="5"/>
        <v>35856.446726000002</v>
      </c>
      <c r="S17" s="15">
        <f t="shared" si="6"/>
        <v>1195.2148908666668</v>
      </c>
      <c r="T17" s="107"/>
      <c r="U17" s="108"/>
      <c r="V17" s="12">
        <v>34812.089999999997</v>
      </c>
      <c r="W17" s="16">
        <f t="shared" si="7"/>
        <v>2.9999828392952121E-2</v>
      </c>
      <c r="X17" s="15">
        <f t="shared" si="8"/>
        <v>34812.089999999997</v>
      </c>
    </row>
    <row r="18" spans="1:24" x14ac:dyDescent="0.2">
      <c r="A18" s="22" t="s">
        <v>106</v>
      </c>
      <c r="B18" s="22" t="s">
        <v>110</v>
      </c>
      <c r="C18" s="44">
        <v>100021503</v>
      </c>
      <c r="D18" s="24" t="s">
        <v>140</v>
      </c>
      <c r="E18" s="72">
        <v>7790360966841</v>
      </c>
      <c r="F18" s="70">
        <v>3.3119999999999998</v>
      </c>
      <c r="G18" s="69">
        <v>12</v>
      </c>
      <c r="I18" s="15">
        <f t="shared" si="0"/>
        <v>3722.2897264368753</v>
      </c>
      <c r="J18" s="15">
        <f t="shared" si="1"/>
        <v>2977.8317811495003</v>
      </c>
      <c r="K18" s="47"/>
      <c r="L18" s="15">
        <f t="shared" si="2"/>
        <v>1984.6919362500003</v>
      </c>
      <c r="M18" s="15">
        <f t="shared" si="9"/>
        <v>7190.9128125000016</v>
      </c>
      <c r="N18" s="40">
        <v>23816.303235000003</v>
      </c>
      <c r="O18" s="65"/>
      <c r="P18" s="12">
        <f t="shared" si="4"/>
        <v>23816.303235000003</v>
      </c>
      <c r="Q18" s="16"/>
      <c r="R18" s="12">
        <f t="shared" si="5"/>
        <v>23816.303235000003</v>
      </c>
      <c r="S18" s="15">
        <f t="shared" si="6"/>
        <v>1984.6919362500003</v>
      </c>
      <c r="T18" s="107"/>
      <c r="U18" s="108"/>
      <c r="V18" s="12">
        <v>23122.63</v>
      </c>
      <c r="W18" s="16">
        <f t="shared" si="7"/>
        <v>2.9999755001918205E-2</v>
      </c>
      <c r="X18" s="15">
        <f t="shared" si="8"/>
        <v>23122.63</v>
      </c>
    </row>
    <row r="19" spans="1:24" x14ac:dyDescent="0.2">
      <c r="A19" s="22" t="s">
        <v>106</v>
      </c>
      <c r="B19" s="22" t="s">
        <v>110</v>
      </c>
      <c r="C19" s="44">
        <v>100516201</v>
      </c>
      <c r="D19" s="24" t="s">
        <v>139</v>
      </c>
      <c r="E19" s="72">
        <v>7790360968548</v>
      </c>
      <c r="F19" s="70">
        <v>6.6239999999999997</v>
      </c>
      <c r="G19" s="69">
        <v>8</v>
      </c>
      <c r="I19" s="15">
        <f t="shared" si="0"/>
        <v>13385.461897951689</v>
      </c>
      <c r="J19" s="15">
        <f t="shared" si="1"/>
        <v>10708.369518361353</v>
      </c>
      <c r="K19" s="47"/>
      <c r="L19" s="15">
        <f t="shared" si="2"/>
        <v>7137.0098096250003</v>
      </c>
      <c r="M19" s="15">
        <f t="shared" si="9"/>
        <v>8619.5770647644931</v>
      </c>
      <c r="N19" s="40">
        <v>57096.078477000003</v>
      </c>
      <c r="O19" s="65"/>
      <c r="P19" s="12">
        <f t="shared" si="4"/>
        <v>57096.078477000003</v>
      </c>
      <c r="Q19" s="16"/>
      <c r="R19" s="12">
        <f t="shared" si="5"/>
        <v>57096.078477000003</v>
      </c>
      <c r="S19" s="15">
        <f t="shared" si="6"/>
        <v>7137.0098096250003</v>
      </c>
      <c r="T19" s="107"/>
      <c r="U19" s="108"/>
      <c r="V19" s="12">
        <v>55433.09</v>
      </c>
      <c r="W19" s="16">
        <f t="shared" si="7"/>
        <v>2.9999923818066154E-2</v>
      </c>
      <c r="X19" s="15">
        <f t="shared" si="8"/>
        <v>55433.09</v>
      </c>
    </row>
    <row r="20" spans="1:24" x14ac:dyDescent="0.2">
      <c r="A20" s="22" t="s">
        <v>106</v>
      </c>
      <c r="B20" s="22" t="s">
        <v>110</v>
      </c>
      <c r="C20" s="44">
        <v>100021643</v>
      </c>
      <c r="D20" s="24" t="s">
        <v>138</v>
      </c>
      <c r="E20" s="72">
        <v>7790360966797</v>
      </c>
      <c r="F20" s="70">
        <v>4.7039999999999997</v>
      </c>
      <c r="G20" s="69">
        <v>42</v>
      </c>
      <c r="I20" s="15">
        <f t="shared" si="0"/>
        <v>1620.6025306412857</v>
      </c>
      <c r="J20" s="15">
        <f t="shared" si="1"/>
        <v>1296.4820245130286</v>
      </c>
      <c r="K20" s="47"/>
      <c r="L20" s="15">
        <f t="shared" si="2"/>
        <v>864.0909254285715</v>
      </c>
      <c r="M20" s="15">
        <f t="shared" si="9"/>
        <v>7715.097548469389</v>
      </c>
      <c r="N20" s="40">
        <v>36291.818868000002</v>
      </c>
      <c r="O20" s="65"/>
      <c r="P20" s="12">
        <f t="shared" si="4"/>
        <v>36291.818868000002</v>
      </c>
      <c r="Q20" s="16"/>
      <c r="R20" s="12">
        <f t="shared" si="5"/>
        <v>36291.818868000002</v>
      </c>
      <c r="S20" s="15">
        <f t="shared" si="6"/>
        <v>864.0909254285715</v>
      </c>
      <c r="T20" s="107"/>
      <c r="U20" s="108"/>
      <c r="V20" s="12">
        <v>35234.78</v>
      </c>
      <c r="W20" s="16">
        <f t="shared" si="7"/>
        <v>2.9999871377088372E-2</v>
      </c>
      <c r="X20" s="15">
        <f t="shared" si="8"/>
        <v>35234.78</v>
      </c>
    </row>
    <row r="21" spans="1:24" hidden="1" x14ac:dyDescent="0.2">
      <c r="A21" s="22" t="s">
        <v>106</v>
      </c>
      <c r="B21" s="22" t="s">
        <v>110</v>
      </c>
      <c r="C21" s="83">
        <v>100516075</v>
      </c>
      <c r="D21" s="82" t="s">
        <v>137</v>
      </c>
      <c r="E21" s="81">
        <v>7790360968470</v>
      </c>
      <c r="F21" s="80">
        <v>4.7039999999999997</v>
      </c>
      <c r="G21" s="79">
        <v>21</v>
      </c>
      <c r="H21" s="76"/>
      <c r="I21" s="15" t="e">
        <f t="shared" si="0"/>
        <v>#VALUE!</v>
      </c>
      <c r="J21" s="15" t="e">
        <f t="shared" si="1"/>
        <v>#VALUE!</v>
      </c>
      <c r="K21" s="78"/>
      <c r="L21" s="73" t="str">
        <f t="shared" si="2"/>
        <v/>
      </c>
      <c r="M21" s="73" t="str">
        <f t="shared" si="9"/>
        <v/>
      </c>
      <c r="N21" s="40" t="e">
        <v>#VALUE!</v>
      </c>
      <c r="O21" s="77"/>
      <c r="P21" s="12" t="str">
        <f t="shared" si="4"/>
        <v/>
      </c>
      <c r="Q21" s="74"/>
      <c r="R21" s="12" t="str">
        <f t="shared" si="5"/>
        <v/>
      </c>
      <c r="S21" s="73" t="str">
        <f t="shared" si="6"/>
        <v/>
      </c>
      <c r="T21" s="107"/>
      <c r="U21" s="108"/>
      <c r="V21" s="75" t="s">
        <v>31</v>
      </c>
      <c r="W21" s="74" t="str">
        <f t="shared" si="7"/>
        <v/>
      </c>
      <c r="X21" s="73" t="str">
        <f t="shared" si="8"/>
        <v/>
      </c>
    </row>
    <row r="22" spans="1:24" x14ac:dyDescent="0.2">
      <c r="A22" s="22" t="s">
        <v>106</v>
      </c>
      <c r="B22" s="22" t="s">
        <v>110</v>
      </c>
      <c r="C22" s="44">
        <v>100516325</v>
      </c>
      <c r="D22" s="24" t="s">
        <v>136</v>
      </c>
      <c r="E22" s="72">
        <v>7790360967763</v>
      </c>
      <c r="F22" s="70">
        <v>4.7039999999999997</v>
      </c>
      <c r="G22" s="69">
        <v>21</v>
      </c>
      <c r="I22" s="15">
        <f t="shared" si="0"/>
        <v>2705.962405369929</v>
      </c>
      <c r="J22" s="15">
        <f t="shared" si="1"/>
        <v>2164.7699242959434</v>
      </c>
      <c r="K22" s="42"/>
      <c r="L22" s="15">
        <f t="shared" si="2"/>
        <v>1442.7952041428573</v>
      </c>
      <c r="M22" s="15">
        <f t="shared" si="9"/>
        <v>6441.0500184948987</v>
      </c>
      <c r="N22" s="40">
        <v>30298.699287000003</v>
      </c>
      <c r="O22" s="65"/>
      <c r="P22" s="12">
        <f t="shared" si="4"/>
        <v>30298.699287000003</v>
      </c>
      <c r="Q22" s="16"/>
      <c r="R22" s="12">
        <f t="shared" si="5"/>
        <v>30298.699287000003</v>
      </c>
      <c r="S22" s="15">
        <f t="shared" si="6"/>
        <v>1442.7952041428573</v>
      </c>
      <c r="T22" s="107"/>
      <c r="U22" s="108"/>
      <c r="V22" s="12">
        <v>29416.21</v>
      </c>
      <c r="W22" s="16">
        <f t="shared" si="7"/>
        <v>3.0000101542652979E-2</v>
      </c>
      <c r="X22" s="15">
        <f t="shared" si="8"/>
        <v>29416.21</v>
      </c>
    </row>
    <row r="23" spans="1:24" x14ac:dyDescent="0.2">
      <c r="A23" s="22" t="s">
        <v>106</v>
      </c>
      <c r="B23" s="22" t="s">
        <v>110</v>
      </c>
      <c r="C23" s="44">
        <v>100021676</v>
      </c>
      <c r="D23" s="24" t="s">
        <v>135</v>
      </c>
      <c r="E23" s="72">
        <v>7790360967411</v>
      </c>
      <c r="F23" s="70">
        <v>7.5</v>
      </c>
      <c r="G23" s="69">
        <v>30</v>
      </c>
      <c r="I23" s="15">
        <f t="shared" si="0"/>
        <v>4248.964419985633</v>
      </c>
      <c r="J23" s="15">
        <f t="shared" si="1"/>
        <v>3399.1715359885065</v>
      </c>
      <c r="K23" s="42"/>
      <c r="L23" s="15">
        <f t="shared" si="2"/>
        <v>2265.5102212666666</v>
      </c>
      <c r="M23" s="15">
        <f t="shared" si="9"/>
        <v>9062.0408850666663</v>
      </c>
      <c r="N23" s="40">
        <v>67965.306637999995</v>
      </c>
      <c r="O23" s="65"/>
      <c r="P23" s="12">
        <f t="shared" si="4"/>
        <v>67965.306637999995</v>
      </c>
      <c r="Q23" s="16"/>
      <c r="R23" s="12">
        <f t="shared" si="5"/>
        <v>67965.306637999995</v>
      </c>
      <c r="S23" s="15">
        <f t="shared" si="6"/>
        <v>2265.5102212666666</v>
      </c>
      <c r="T23" s="107"/>
      <c r="U23" s="108"/>
      <c r="V23" s="12">
        <v>65985.73</v>
      </c>
      <c r="W23" s="16">
        <f t="shared" si="7"/>
        <v>3.0000071803403472E-2</v>
      </c>
      <c r="X23" s="15">
        <f t="shared" si="8"/>
        <v>65985.73</v>
      </c>
    </row>
    <row r="24" spans="1:24" hidden="1" x14ac:dyDescent="0.2">
      <c r="A24" s="22" t="s">
        <v>106</v>
      </c>
      <c r="B24" s="22" t="s">
        <v>110</v>
      </c>
      <c r="C24" s="44">
        <v>100021664</v>
      </c>
      <c r="D24" s="71" t="s">
        <v>134</v>
      </c>
      <c r="E24" s="49">
        <v>7790360027870</v>
      </c>
      <c r="F24" s="70">
        <v>7.5</v>
      </c>
      <c r="G24" s="69">
        <v>30</v>
      </c>
      <c r="I24" s="15" t="e">
        <f t="shared" si="0"/>
        <v>#VALUE!</v>
      </c>
      <c r="J24" s="15" t="e">
        <f t="shared" si="1"/>
        <v>#VALUE!</v>
      </c>
      <c r="K24" s="47"/>
      <c r="L24" s="15" t="str">
        <f t="shared" si="2"/>
        <v/>
      </c>
      <c r="M24" s="15" t="str">
        <f t="shared" si="9"/>
        <v/>
      </c>
      <c r="N24" s="40" t="e">
        <v>#VALUE!</v>
      </c>
      <c r="O24" s="65"/>
      <c r="P24" s="12" t="str">
        <f t="shared" si="4"/>
        <v/>
      </c>
      <c r="Q24" s="16"/>
      <c r="R24" s="12" t="str">
        <f t="shared" si="5"/>
        <v/>
      </c>
      <c r="S24" s="15" t="str">
        <f t="shared" si="6"/>
        <v/>
      </c>
      <c r="T24" s="107"/>
      <c r="U24" s="108"/>
      <c r="V24" s="12" t="s">
        <v>31</v>
      </c>
      <c r="W24" s="16" t="str">
        <f t="shared" si="7"/>
        <v/>
      </c>
      <c r="X24" s="15" t="str">
        <f t="shared" si="8"/>
        <v/>
      </c>
    </row>
    <row r="25" spans="1:24" x14ac:dyDescent="0.2">
      <c r="A25" s="22" t="s">
        <v>106</v>
      </c>
      <c r="B25" s="22" t="s">
        <v>110</v>
      </c>
      <c r="C25" s="44">
        <v>100516008</v>
      </c>
      <c r="D25" s="71" t="s">
        <v>133</v>
      </c>
      <c r="E25" s="49">
        <v>7790360967701</v>
      </c>
      <c r="F25" s="70">
        <v>5.76</v>
      </c>
      <c r="G25" s="69">
        <v>24</v>
      </c>
      <c r="I25" s="15">
        <f t="shared" si="0"/>
        <v>5083.8703006047917</v>
      </c>
      <c r="J25" s="15">
        <f t="shared" si="1"/>
        <v>4067.0962404838338</v>
      </c>
      <c r="K25" s="47"/>
      <c r="L25" s="15">
        <f t="shared" si="2"/>
        <v>2710.6746470833332</v>
      </c>
      <c r="M25" s="15">
        <f t="shared" si="9"/>
        <v>11294.477696180555</v>
      </c>
      <c r="N25" s="40">
        <v>65056.191529999996</v>
      </c>
      <c r="O25" s="65"/>
      <c r="P25" s="12">
        <f t="shared" si="4"/>
        <v>65056.191529999996</v>
      </c>
      <c r="Q25" s="16"/>
      <c r="R25" s="12">
        <f t="shared" si="5"/>
        <v>65056.191529999996</v>
      </c>
      <c r="S25" s="15">
        <f t="shared" si="6"/>
        <v>2710.6746470833332</v>
      </c>
      <c r="T25" s="107"/>
      <c r="U25" s="108"/>
      <c r="V25" s="12">
        <v>63161.35</v>
      </c>
      <c r="W25" s="16">
        <f t="shared" si="7"/>
        <v>3.0000016307441202E-2</v>
      </c>
      <c r="X25" s="15">
        <f t="shared" si="8"/>
        <v>63161.35</v>
      </c>
    </row>
    <row r="26" spans="1:24" x14ac:dyDescent="0.2">
      <c r="A26" s="22" t="s">
        <v>106</v>
      </c>
      <c r="B26" s="22" t="s">
        <v>110</v>
      </c>
      <c r="C26" s="44">
        <v>100520834</v>
      </c>
      <c r="D26" s="71" t="s">
        <v>132</v>
      </c>
      <c r="E26" s="49">
        <v>7790360980618</v>
      </c>
      <c r="F26" s="70">
        <v>6.66</v>
      </c>
      <c r="G26" s="69">
        <v>36</v>
      </c>
      <c r="I26" s="15">
        <f t="shared" si="0"/>
        <v>3700.4094613800421</v>
      </c>
      <c r="J26" s="15">
        <f t="shared" si="1"/>
        <v>2960.327569104034</v>
      </c>
      <c r="K26" s="47"/>
      <c r="L26" s="15">
        <f t="shared" si="2"/>
        <v>1973.0255725833335</v>
      </c>
      <c r="M26" s="15">
        <f t="shared" si="9"/>
        <v>10665.003095045045</v>
      </c>
      <c r="N26" s="40">
        <v>71028.920613000009</v>
      </c>
      <c r="O26" s="65"/>
      <c r="P26" s="12">
        <f t="shared" si="4"/>
        <v>71028.920613000009</v>
      </c>
      <c r="Q26" s="16"/>
      <c r="R26" s="12">
        <f t="shared" si="5"/>
        <v>71028.920613000009</v>
      </c>
      <c r="S26" s="15">
        <f t="shared" si="6"/>
        <v>1973.0255725833335</v>
      </c>
      <c r="T26" s="107"/>
      <c r="U26" s="108"/>
      <c r="V26" s="12">
        <v>68960.12</v>
      </c>
      <c r="W26" s="16">
        <f t="shared" si="7"/>
        <v>2.9999956685110352E-2</v>
      </c>
      <c r="X26" s="15">
        <f t="shared" si="8"/>
        <v>68960.12</v>
      </c>
    </row>
    <row r="27" spans="1:24" x14ac:dyDescent="0.2">
      <c r="A27" s="22" t="s">
        <v>106</v>
      </c>
      <c r="B27" s="22" t="s">
        <v>130</v>
      </c>
      <c r="C27" s="44">
        <v>100021680</v>
      </c>
      <c r="D27" s="71" t="s">
        <v>129</v>
      </c>
      <c r="E27" s="49">
        <v>7790360967688</v>
      </c>
      <c r="F27" s="70">
        <v>4.32</v>
      </c>
      <c r="G27" s="69">
        <v>18</v>
      </c>
      <c r="I27" s="15">
        <f t="shared" si="0"/>
        <v>6469.9028502799165</v>
      </c>
      <c r="J27" s="15">
        <f t="shared" si="1"/>
        <v>5175.9222802239337</v>
      </c>
      <c r="K27" s="47"/>
      <c r="L27" s="15">
        <f t="shared" si="2"/>
        <v>3449.6949348333333</v>
      </c>
      <c r="M27" s="15">
        <f t="shared" si="9"/>
        <v>14373.728895138887</v>
      </c>
      <c r="N27" s="40">
        <v>62094.508826999998</v>
      </c>
      <c r="O27" s="65"/>
      <c r="P27" s="12">
        <f t="shared" si="4"/>
        <v>62094.508826999998</v>
      </c>
      <c r="Q27" s="16"/>
      <c r="R27" s="12">
        <f t="shared" si="5"/>
        <v>62094.508826999998</v>
      </c>
      <c r="S27" s="15">
        <f t="shared" si="6"/>
        <v>3449.6949348333333</v>
      </c>
      <c r="T27" s="107"/>
      <c r="U27" s="108"/>
      <c r="V27" s="12">
        <v>60285.93</v>
      </c>
      <c r="W27" s="16">
        <f t="shared" si="7"/>
        <v>3.0000015376722144E-2</v>
      </c>
      <c r="X27" s="15">
        <f t="shared" si="8"/>
        <v>60285.93</v>
      </c>
    </row>
    <row r="28" spans="1:24" x14ac:dyDescent="0.2">
      <c r="A28" s="22" t="s">
        <v>106</v>
      </c>
      <c r="B28" s="22" t="s">
        <v>127</v>
      </c>
      <c r="C28" s="44">
        <v>100021644</v>
      </c>
      <c r="D28" s="71" t="s">
        <v>128</v>
      </c>
      <c r="E28" s="49">
        <v>7790360008541</v>
      </c>
      <c r="F28" s="70">
        <v>4.7039999999999997</v>
      </c>
      <c r="G28" s="69">
        <v>42</v>
      </c>
      <c r="I28" s="15">
        <f t="shared" si="0"/>
        <v>1016.67623232175</v>
      </c>
      <c r="J28" s="15">
        <f t="shared" si="1"/>
        <v>813.34098585740003</v>
      </c>
      <c r="K28" s="47"/>
      <c r="L28" s="15">
        <f t="shared" si="2"/>
        <v>542.08276850000004</v>
      </c>
      <c r="M28" s="15">
        <f t="shared" si="9"/>
        <v>4840.0247187500008</v>
      </c>
      <c r="N28" s="40">
        <v>22767.476277000002</v>
      </c>
      <c r="O28" s="65"/>
      <c r="P28" s="12">
        <f t="shared" si="4"/>
        <v>22767.476277000002</v>
      </c>
      <c r="Q28" s="16"/>
      <c r="R28" s="12">
        <f t="shared" si="5"/>
        <v>22767.476277000002</v>
      </c>
      <c r="S28" s="15">
        <f t="shared" si="6"/>
        <v>542.08276850000004</v>
      </c>
      <c r="T28" s="107"/>
      <c r="U28" s="108"/>
      <c r="V28" s="12">
        <v>22104.35</v>
      </c>
      <c r="W28" s="16">
        <f t="shared" si="7"/>
        <v>2.999980895163179E-2</v>
      </c>
      <c r="X28" s="15">
        <f t="shared" si="8"/>
        <v>22104.35</v>
      </c>
    </row>
    <row r="29" spans="1:24" x14ac:dyDescent="0.2">
      <c r="A29" s="22" t="s">
        <v>106</v>
      </c>
      <c r="B29" s="22" t="s">
        <v>127</v>
      </c>
      <c r="C29" s="44">
        <v>100021677</v>
      </c>
      <c r="D29" s="24" t="s">
        <v>126</v>
      </c>
      <c r="E29" s="49">
        <v>7790360967404</v>
      </c>
      <c r="F29" s="15">
        <v>3.3119999999999998</v>
      </c>
      <c r="G29" s="19">
        <v>12</v>
      </c>
      <c r="I29" s="15">
        <f t="shared" si="0"/>
        <v>3459.7696563104578</v>
      </c>
      <c r="J29" s="15">
        <f t="shared" si="1"/>
        <v>2767.8157250483664</v>
      </c>
      <c r="K29" s="47"/>
      <c r="L29" s="15">
        <f t="shared" si="2"/>
        <v>1844.7185584166666</v>
      </c>
      <c r="M29" s="15">
        <f t="shared" si="9"/>
        <v>6683.7628928140102</v>
      </c>
      <c r="N29" s="40">
        <v>22136.622701</v>
      </c>
      <c r="O29" s="65"/>
      <c r="P29" s="12">
        <f t="shared" si="4"/>
        <v>22136.622701</v>
      </c>
      <c r="Q29" s="64"/>
      <c r="R29" s="12">
        <f t="shared" si="5"/>
        <v>22136.622701</v>
      </c>
      <c r="S29" s="15">
        <f t="shared" si="6"/>
        <v>1844.7185584166666</v>
      </c>
      <c r="T29" s="107"/>
      <c r="U29" s="108"/>
      <c r="V29" s="15">
        <v>21491.87</v>
      </c>
      <c r="W29" s="16">
        <f t="shared" si="7"/>
        <v>2.999984184717297E-2</v>
      </c>
      <c r="X29" s="15">
        <f t="shared" si="8"/>
        <v>21491.87</v>
      </c>
    </row>
    <row r="30" spans="1:24" x14ac:dyDescent="0.2">
      <c r="A30" s="22" t="s">
        <v>106</v>
      </c>
      <c r="B30" s="22" t="s">
        <v>105</v>
      </c>
      <c r="C30" s="44">
        <v>100021638</v>
      </c>
      <c r="D30" s="24" t="s">
        <v>125</v>
      </c>
      <c r="E30" s="49">
        <v>7790360026699</v>
      </c>
      <c r="F30" s="15">
        <v>4.8</v>
      </c>
      <c r="G30" s="19">
        <v>60</v>
      </c>
      <c r="I30" s="15">
        <f t="shared" si="0"/>
        <v>1738.6659508980665</v>
      </c>
      <c r="J30" s="15">
        <f t="shared" si="1"/>
        <v>1390.9327607184532</v>
      </c>
      <c r="K30" s="47"/>
      <c r="L30" s="15">
        <f t="shared" si="2"/>
        <v>927.04129613333328</v>
      </c>
      <c r="M30" s="15">
        <f t="shared" si="9"/>
        <v>11588.016201666667</v>
      </c>
      <c r="N30" s="40">
        <v>55622.477767999997</v>
      </c>
      <c r="O30" s="65"/>
      <c r="P30" s="12">
        <f t="shared" si="4"/>
        <v>55622.477767999997</v>
      </c>
      <c r="Q30" s="64"/>
      <c r="R30" s="12">
        <f t="shared" si="5"/>
        <v>55622.477767999997</v>
      </c>
      <c r="S30" s="15">
        <f t="shared" si="6"/>
        <v>927.04129613333328</v>
      </c>
      <c r="T30" s="107"/>
      <c r="U30" s="108"/>
      <c r="V30" s="15">
        <v>54002.41</v>
      </c>
      <c r="W30" s="16">
        <f t="shared" si="7"/>
        <v>2.9999916077819266E-2</v>
      </c>
      <c r="X30" s="15">
        <f t="shared" si="8"/>
        <v>54002.41</v>
      </c>
    </row>
    <row r="31" spans="1:24" x14ac:dyDescent="0.2">
      <c r="A31" s="22" t="s">
        <v>106</v>
      </c>
      <c r="B31" s="22" t="s">
        <v>105</v>
      </c>
      <c r="C31" s="44">
        <v>100021575</v>
      </c>
      <c r="D31" s="24" t="s">
        <v>124</v>
      </c>
      <c r="E31" s="49">
        <v>7790360007032</v>
      </c>
      <c r="F31" s="15">
        <v>4.1399999999999997</v>
      </c>
      <c r="G31" s="19">
        <v>60</v>
      </c>
      <c r="I31" s="15">
        <f t="shared" si="0"/>
        <v>1425.9817750555667</v>
      </c>
      <c r="J31" s="15">
        <f t="shared" si="1"/>
        <v>1140.7854200444533</v>
      </c>
      <c r="K31" s="47"/>
      <c r="L31" s="15">
        <f t="shared" si="2"/>
        <v>760.32086113333332</v>
      </c>
      <c r="M31" s="15">
        <f t="shared" si="9"/>
        <v>11019.142914975846</v>
      </c>
      <c r="N31" s="40">
        <v>45619.251667999997</v>
      </c>
      <c r="O31" s="16"/>
      <c r="P31" s="12">
        <f t="shared" si="4"/>
        <v>45619.251667999997</v>
      </c>
      <c r="Q31" s="16"/>
      <c r="R31" s="12">
        <f t="shared" si="5"/>
        <v>45619.251667999997</v>
      </c>
      <c r="S31" s="15">
        <f t="shared" si="6"/>
        <v>760.32086113333332</v>
      </c>
      <c r="T31" s="107"/>
      <c r="U31" s="108"/>
      <c r="V31" s="15">
        <v>44290.54</v>
      </c>
      <c r="W31" s="16">
        <f t="shared" si="7"/>
        <v>2.9999897675666132E-2</v>
      </c>
      <c r="X31" s="15">
        <f t="shared" si="8"/>
        <v>44290.54</v>
      </c>
    </row>
    <row r="32" spans="1:24" x14ac:dyDescent="0.2">
      <c r="A32" s="22" t="s">
        <v>106</v>
      </c>
      <c r="B32" s="22" t="s">
        <v>105</v>
      </c>
      <c r="C32" s="44">
        <v>100021514</v>
      </c>
      <c r="D32" s="24" t="s">
        <v>123</v>
      </c>
      <c r="E32" s="49">
        <v>7790360006943</v>
      </c>
      <c r="F32" s="15">
        <v>4.1399999999999997</v>
      </c>
      <c r="G32" s="19">
        <v>60</v>
      </c>
      <c r="I32" s="15">
        <f t="shared" si="0"/>
        <v>1297.6360135497919</v>
      </c>
      <c r="J32" s="15">
        <f t="shared" si="1"/>
        <v>1038.1088108398335</v>
      </c>
      <c r="K32" s="47"/>
      <c r="L32" s="15">
        <f t="shared" si="2"/>
        <v>691.88803708333342</v>
      </c>
      <c r="M32" s="15">
        <f t="shared" si="9"/>
        <v>10027.362856280195</v>
      </c>
      <c r="N32" s="40">
        <v>41513.282225000003</v>
      </c>
      <c r="O32" s="16"/>
      <c r="P32" s="12">
        <f t="shared" si="4"/>
        <v>41513.282225000003</v>
      </c>
      <c r="Q32" s="16"/>
      <c r="R32" s="12">
        <f t="shared" si="5"/>
        <v>41513.282225000003</v>
      </c>
      <c r="S32" s="15">
        <f t="shared" si="6"/>
        <v>691.88803708333342</v>
      </c>
      <c r="T32" s="107"/>
      <c r="U32" s="108"/>
      <c r="V32" s="15">
        <v>40304.160000000003</v>
      </c>
      <c r="W32" s="16">
        <f t="shared" si="7"/>
        <v>2.9999936110813419E-2</v>
      </c>
      <c r="X32" s="15">
        <f t="shared" si="8"/>
        <v>40304.160000000003</v>
      </c>
    </row>
    <row r="33" spans="1:24" x14ac:dyDescent="0.2">
      <c r="A33" s="22" t="s">
        <v>106</v>
      </c>
      <c r="B33" s="22" t="s">
        <v>105</v>
      </c>
      <c r="C33" s="68">
        <v>100516208</v>
      </c>
      <c r="D33" s="67" t="s">
        <v>122</v>
      </c>
      <c r="E33" s="66">
        <v>7790360968203</v>
      </c>
      <c r="F33" s="15">
        <f>60*0.08</f>
        <v>4.8</v>
      </c>
      <c r="G33" s="19">
        <v>60</v>
      </c>
      <c r="I33" s="15">
        <f t="shared" si="0"/>
        <v>1504.5063255719754</v>
      </c>
      <c r="J33" s="15">
        <f t="shared" si="1"/>
        <v>1203.6050604575803</v>
      </c>
      <c r="K33" s="42"/>
      <c r="L33" s="15">
        <f t="shared" si="2"/>
        <v>802.18945645000008</v>
      </c>
      <c r="M33" s="15">
        <f t="shared" si="9"/>
        <v>10027.368205625002</v>
      </c>
      <c r="N33" s="40">
        <v>48131.367387000006</v>
      </c>
      <c r="O33" s="65"/>
      <c r="P33" s="12">
        <f t="shared" si="4"/>
        <v>48131.367387000006</v>
      </c>
      <c r="Q33" s="64"/>
      <c r="R33" s="12">
        <f t="shared" si="5"/>
        <v>48131.367387000006</v>
      </c>
      <c r="S33" s="15">
        <f t="shared" si="6"/>
        <v>802.18945645000008</v>
      </c>
      <c r="T33" s="107"/>
      <c r="U33" s="108"/>
      <c r="V33" s="12">
        <v>46729.48</v>
      </c>
      <c r="W33" s="16">
        <f t="shared" si="7"/>
        <v>3.0000063921105102E-2</v>
      </c>
      <c r="X33" s="15">
        <f t="shared" si="8"/>
        <v>46729.48</v>
      </c>
    </row>
    <row r="34" spans="1:24" x14ac:dyDescent="0.2">
      <c r="A34" s="22" t="s">
        <v>106</v>
      </c>
      <c r="B34" s="22" t="s">
        <v>105</v>
      </c>
      <c r="C34" s="68">
        <v>100516259</v>
      </c>
      <c r="D34" s="67" t="s">
        <v>120</v>
      </c>
      <c r="E34" s="66">
        <v>7790360968340</v>
      </c>
      <c r="F34" s="15">
        <v>18.16</v>
      </c>
      <c r="G34" s="19">
        <v>48</v>
      </c>
      <c r="I34" s="15">
        <f t="shared" si="0"/>
        <v>5705.6198527682291</v>
      </c>
      <c r="J34" s="15">
        <f t="shared" si="1"/>
        <v>4564.4958822145836</v>
      </c>
      <c r="K34" s="42"/>
      <c r="L34" s="15">
        <f t="shared" si="2"/>
        <v>3042.1860052083334</v>
      </c>
      <c r="M34" s="15">
        <f t="shared" si="9"/>
        <v>8041.0202780836998</v>
      </c>
      <c r="N34" s="40">
        <v>146024.92825</v>
      </c>
      <c r="O34" s="65"/>
      <c r="P34" s="12">
        <f t="shared" si="4"/>
        <v>146024.92825</v>
      </c>
      <c r="Q34" s="64"/>
      <c r="R34" s="12">
        <f t="shared" si="5"/>
        <v>146024.92825</v>
      </c>
      <c r="S34" s="15">
        <f t="shared" si="6"/>
        <v>3042.1860052083334</v>
      </c>
      <c r="T34" s="107"/>
      <c r="U34" s="108"/>
      <c r="V34" s="12">
        <v>141771.78</v>
      </c>
      <c r="W34" s="16">
        <f t="shared" si="7"/>
        <v>2.9999963674011809E-2</v>
      </c>
      <c r="X34" s="15">
        <f t="shared" si="8"/>
        <v>141771.78</v>
      </c>
    </row>
    <row r="35" spans="1:24" hidden="1" x14ac:dyDescent="0.2">
      <c r="A35" s="22" t="s">
        <v>106</v>
      </c>
      <c r="B35" s="22" t="s">
        <v>114</v>
      </c>
      <c r="C35" s="44">
        <v>100021669</v>
      </c>
      <c r="D35" s="24" t="s">
        <v>119</v>
      </c>
      <c r="E35" s="49">
        <v>8480017241375</v>
      </c>
      <c r="F35" s="15">
        <v>5.9749999999999996</v>
      </c>
      <c r="G35" s="19">
        <v>18</v>
      </c>
      <c r="I35" s="15" t="e">
        <f t="shared" si="0"/>
        <v>#VALUE!</v>
      </c>
      <c r="J35" s="15">
        <v>0</v>
      </c>
      <c r="K35" s="47"/>
      <c r="L35" s="15" t="str">
        <f t="shared" si="2"/>
        <v/>
      </c>
      <c r="M35" s="15" t="str">
        <f t="shared" si="9"/>
        <v/>
      </c>
      <c r="N35" s="40" t="e">
        <v>#VALUE!</v>
      </c>
      <c r="O35" s="16"/>
      <c r="P35" s="12" t="str">
        <f t="shared" si="4"/>
        <v/>
      </c>
      <c r="Q35" s="16"/>
      <c r="R35" s="12" t="str">
        <f t="shared" si="5"/>
        <v/>
      </c>
      <c r="S35" s="15" t="str">
        <f t="shared" si="6"/>
        <v/>
      </c>
      <c r="T35" s="107"/>
      <c r="U35" s="108"/>
      <c r="V35" s="15" t="s">
        <v>31</v>
      </c>
      <c r="W35" s="16" t="str">
        <f t="shared" si="7"/>
        <v/>
      </c>
      <c r="X35" s="15" t="str">
        <f t="shared" si="8"/>
        <v/>
      </c>
    </row>
    <row r="36" spans="1:24" hidden="1" x14ac:dyDescent="0.2">
      <c r="A36" s="22" t="s">
        <v>106</v>
      </c>
      <c r="B36" s="22" t="s">
        <v>114</v>
      </c>
      <c r="C36" s="44">
        <v>100021670</v>
      </c>
      <c r="D36" s="24" t="s">
        <v>118</v>
      </c>
      <c r="E36" s="49">
        <v>8480017241382</v>
      </c>
      <c r="F36" s="15">
        <v>11.95</v>
      </c>
      <c r="G36" s="19">
        <v>12</v>
      </c>
      <c r="I36" s="15" t="e">
        <f t="shared" si="0"/>
        <v>#VALUE!</v>
      </c>
      <c r="J36" s="15">
        <v>0</v>
      </c>
      <c r="K36" s="47"/>
      <c r="L36" s="15" t="str">
        <f t="shared" si="2"/>
        <v/>
      </c>
      <c r="M36" s="15" t="str">
        <f t="shared" si="9"/>
        <v/>
      </c>
      <c r="N36" s="40" t="e">
        <v>#VALUE!</v>
      </c>
      <c r="O36" s="16"/>
      <c r="P36" s="12" t="str">
        <f t="shared" si="4"/>
        <v/>
      </c>
      <c r="Q36" s="16"/>
      <c r="R36" s="12" t="str">
        <f t="shared" si="5"/>
        <v/>
      </c>
      <c r="S36" s="15" t="str">
        <f t="shared" si="6"/>
        <v/>
      </c>
      <c r="T36" s="107"/>
      <c r="U36" s="108"/>
      <c r="V36" s="15" t="s">
        <v>31</v>
      </c>
      <c r="W36" s="16" t="str">
        <f t="shared" si="7"/>
        <v/>
      </c>
      <c r="X36" s="15" t="str">
        <f t="shared" si="8"/>
        <v/>
      </c>
    </row>
    <row r="37" spans="1:24" hidden="1" x14ac:dyDescent="0.2">
      <c r="A37" s="22" t="s">
        <v>106</v>
      </c>
      <c r="B37" s="22" t="s">
        <v>114</v>
      </c>
      <c r="C37" s="44">
        <v>100021671</v>
      </c>
      <c r="D37" s="24" t="s">
        <v>117</v>
      </c>
      <c r="E37" s="49">
        <v>8480017241399</v>
      </c>
      <c r="F37" s="15">
        <v>9.9600000000000009</v>
      </c>
      <c r="G37" s="19">
        <v>6</v>
      </c>
      <c r="I37" s="15" t="e">
        <f t="shared" si="0"/>
        <v>#VALUE!</v>
      </c>
      <c r="J37" s="15">
        <v>0</v>
      </c>
      <c r="K37" s="47"/>
      <c r="L37" s="15" t="str">
        <f t="shared" si="2"/>
        <v/>
      </c>
      <c r="M37" s="15" t="str">
        <f t="shared" si="9"/>
        <v/>
      </c>
      <c r="N37" s="40" t="e">
        <v>#VALUE!</v>
      </c>
      <c r="O37" s="16"/>
      <c r="P37" s="12" t="str">
        <f t="shared" si="4"/>
        <v/>
      </c>
      <c r="Q37" s="16"/>
      <c r="R37" s="12" t="str">
        <f t="shared" si="5"/>
        <v/>
      </c>
      <c r="S37" s="15" t="str">
        <f t="shared" si="6"/>
        <v/>
      </c>
      <c r="T37" s="107"/>
      <c r="U37" s="108"/>
      <c r="V37" s="15" t="s">
        <v>31</v>
      </c>
      <c r="W37" s="16" t="str">
        <f t="shared" si="7"/>
        <v/>
      </c>
      <c r="X37" s="15" t="str">
        <f t="shared" si="8"/>
        <v/>
      </c>
    </row>
    <row r="38" spans="1:24" hidden="1" x14ac:dyDescent="0.2">
      <c r="A38" s="22" t="s">
        <v>106</v>
      </c>
      <c r="B38" s="22" t="s">
        <v>114</v>
      </c>
      <c r="C38" s="44">
        <v>100021647</v>
      </c>
      <c r="D38" s="24" t="s">
        <v>116</v>
      </c>
      <c r="E38" s="49">
        <v>7798158708925</v>
      </c>
      <c r="F38" s="15">
        <v>5.76</v>
      </c>
      <c r="G38" s="19">
        <v>18</v>
      </c>
      <c r="I38" s="15" t="e">
        <f t="shared" si="0"/>
        <v>#VALUE!</v>
      </c>
      <c r="J38" s="15">
        <v>0</v>
      </c>
      <c r="K38" s="47"/>
      <c r="L38" s="15" t="str">
        <f t="shared" si="2"/>
        <v/>
      </c>
      <c r="M38" s="15" t="str">
        <f t="shared" si="9"/>
        <v/>
      </c>
      <c r="N38" s="40" t="e">
        <v>#VALUE!</v>
      </c>
      <c r="O38" s="16"/>
      <c r="P38" s="12" t="str">
        <f t="shared" si="4"/>
        <v/>
      </c>
      <c r="Q38" s="16"/>
      <c r="R38" s="12" t="str">
        <f t="shared" si="5"/>
        <v/>
      </c>
      <c r="S38" s="15" t="str">
        <f t="shared" si="6"/>
        <v/>
      </c>
      <c r="T38" s="107"/>
      <c r="U38" s="108"/>
      <c r="V38" s="15" t="s">
        <v>31</v>
      </c>
      <c r="W38" s="16" t="str">
        <f t="shared" si="7"/>
        <v/>
      </c>
      <c r="X38" s="15" t="str">
        <f t="shared" si="8"/>
        <v/>
      </c>
    </row>
    <row r="39" spans="1:24" hidden="1" x14ac:dyDescent="0.2">
      <c r="A39" s="22" t="s">
        <v>106</v>
      </c>
      <c r="B39" s="22" t="s">
        <v>114</v>
      </c>
      <c r="C39" s="44">
        <v>100021648</v>
      </c>
      <c r="D39" s="24" t="s">
        <v>115</v>
      </c>
      <c r="E39" s="49">
        <v>7798158708932</v>
      </c>
      <c r="F39" s="15">
        <v>7.68</v>
      </c>
      <c r="G39" s="19">
        <v>8</v>
      </c>
      <c r="I39" s="15" t="e">
        <f t="shared" si="0"/>
        <v>#VALUE!</v>
      </c>
      <c r="J39" s="15">
        <v>0</v>
      </c>
      <c r="K39" s="47"/>
      <c r="L39" s="15" t="str">
        <f t="shared" si="2"/>
        <v/>
      </c>
      <c r="M39" s="15" t="str">
        <f t="shared" si="9"/>
        <v/>
      </c>
      <c r="N39" s="40" t="e">
        <v>#VALUE!</v>
      </c>
      <c r="O39" s="16"/>
      <c r="P39" s="12" t="str">
        <f t="shared" si="4"/>
        <v/>
      </c>
      <c r="Q39" s="16"/>
      <c r="R39" s="12" t="str">
        <f t="shared" si="5"/>
        <v/>
      </c>
      <c r="S39" s="15" t="str">
        <f t="shared" si="6"/>
        <v/>
      </c>
      <c r="T39" s="107"/>
      <c r="U39" s="108"/>
      <c r="V39" s="15" t="s">
        <v>31</v>
      </c>
      <c r="W39" s="16" t="str">
        <f t="shared" si="7"/>
        <v/>
      </c>
      <c r="X39" s="15" t="str">
        <f t="shared" si="8"/>
        <v/>
      </c>
    </row>
    <row r="40" spans="1:24" hidden="1" x14ac:dyDescent="0.2">
      <c r="A40" s="22" t="s">
        <v>106</v>
      </c>
      <c r="B40" s="22" t="s">
        <v>114</v>
      </c>
      <c r="C40" s="44">
        <v>100021649</v>
      </c>
      <c r="D40" s="24" t="s">
        <v>113</v>
      </c>
      <c r="E40" s="49">
        <v>7798158708949</v>
      </c>
      <c r="F40" s="15">
        <v>9.6</v>
      </c>
      <c r="G40" s="19">
        <v>6</v>
      </c>
      <c r="I40" s="15" t="e">
        <f t="shared" si="0"/>
        <v>#VALUE!</v>
      </c>
      <c r="J40" s="15">
        <v>0</v>
      </c>
      <c r="K40" s="47"/>
      <c r="L40" s="15" t="str">
        <f t="shared" si="2"/>
        <v/>
      </c>
      <c r="M40" s="15" t="str">
        <f t="shared" si="9"/>
        <v/>
      </c>
      <c r="N40" s="40" t="e">
        <v>#VALUE!</v>
      </c>
      <c r="O40" s="16"/>
      <c r="P40" s="12" t="str">
        <f t="shared" si="4"/>
        <v/>
      </c>
      <c r="Q40" s="16"/>
      <c r="R40" s="12" t="str">
        <f t="shared" si="5"/>
        <v/>
      </c>
      <c r="S40" s="15" t="str">
        <f t="shared" si="6"/>
        <v/>
      </c>
      <c r="T40" s="107"/>
      <c r="U40" s="108"/>
      <c r="V40" s="15" t="s">
        <v>31</v>
      </c>
      <c r="W40" s="16" t="str">
        <f t="shared" si="7"/>
        <v/>
      </c>
      <c r="X40" s="15" t="str">
        <f t="shared" si="8"/>
        <v/>
      </c>
    </row>
    <row r="41" spans="1:24" ht="12.6" hidden="1" customHeight="1" x14ac:dyDescent="0.2">
      <c r="A41" s="22" t="s">
        <v>106</v>
      </c>
      <c r="B41" s="22" t="s">
        <v>110</v>
      </c>
      <c r="C41" s="44">
        <v>100518163</v>
      </c>
      <c r="D41" s="24" t="s">
        <v>111</v>
      </c>
      <c r="E41" s="49"/>
      <c r="F41" s="15">
        <v>4.8</v>
      </c>
      <c r="G41" s="19">
        <v>30</v>
      </c>
      <c r="I41" s="15">
        <f t="shared" si="0"/>
        <v>0</v>
      </c>
      <c r="J41" s="15">
        <v>0</v>
      </c>
      <c r="K41" s="47"/>
      <c r="L41" s="15">
        <f t="shared" si="2"/>
        <v>0</v>
      </c>
      <c r="M41" s="15">
        <f t="shared" si="9"/>
        <v>0</v>
      </c>
      <c r="N41" s="40">
        <v>0</v>
      </c>
      <c r="O41" s="16"/>
      <c r="P41" s="12">
        <f t="shared" si="4"/>
        <v>0</v>
      </c>
      <c r="Q41" s="16"/>
      <c r="R41" s="12">
        <f t="shared" si="5"/>
        <v>0</v>
      </c>
      <c r="S41" s="15">
        <f t="shared" si="6"/>
        <v>0</v>
      </c>
      <c r="T41" s="107"/>
      <c r="U41"/>
      <c r="V41" s="15" t="s">
        <v>31</v>
      </c>
      <c r="W41" s="16" t="str">
        <f t="shared" si="7"/>
        <v/>
      </c>
      <c r="X41" s="15" t="str">
        <f t="shared" si="8"/>
        <v/>
      </c>
    </row>
    <row r="42" spans="1:24" ht="12.6" hidden="1" customHeight="1" x14ac:dyDescent="0.2">
      <c r="A42" s="63" t="s">
        <v>106</v>
      </c>
      <c r="B42" s="62" t="s">
        <v>110</v>
      </c>
      <c r="C42" s="61">
        <v>100520851</v>
      </c>
      <c r="D42" s="60" t="s">
        <v>109</v>
      </c>
      <c r="E42" s="59"/>
      <c r="F42" s="54">
        <v>15.18</v>
      </c>
      <c r="G42" s="58">
        <v>276</v>
      </c>
      <c r="I42" s="57"/>
      <c r="J42" s="52"/>
      <c r="K42" s="47"/>
      <c r="L42" s="57"/>
      <c r="M42" s="54"/>
      <c r="N42" s="56">
        <v>0</v>
      </c>
      <c r="O42" s="53"/>
      <c r="P42" s="55"/>
      <c r="Q42" s="53"/>
      <c r="R42" s="55"/>
      <c r="S42" s="52"/>
      <c r="T42" s="107"/>
      <c r="U42"/>
      <c r="V42" s="54"/>
      <c r="W42" s="53"/>
      <c r="X42" s="52"/>
    </row>
    <row r="43" spans="1:24" ht="12.6" hidden="1" customHeight="1" x14ac:dyDescent="0.2">
      <c r="A43" s="22" t="s">
        <v>106</v>
      </c>
      <c r="B43" s="22" t="s">
        <v>105</v>
      </c>
      <c r="C43" s="61">
        <v>100521169</v>
      </c>
      <c r="D43" s="60" t="s">
        <v>108</v>
      </c>
      <c r="E43" s="59"/>
      <c r="F43" s="54">
        <f>30*0.08</f>
        <v>2.4</v>
      </c>
      <c r="G43" s="58">
        <v>30</v>
      </c>
      <c r="I43" s="15">
        <f>+L43*1.55*1.21</f>
        <v>0</v>
      </c>
      <c r="J43" s="15">
        <v>0</v>
      </c>
      <c r="K43" s="47"/>
      <c r="L43" s="15">
        <f>+IF(ISERROR(N43/G43),"",(N43/G43))</f>
        <v>0</v>
      </c>
      <c r="M43" s="15">
        <f>+IF(ISERROR(N43/F43),"",(N43/F43))</f>
        <v>0</v>
      </c>
      <c r="N43" s="40">
        <v>0</v>
      </c>
      <c r="O43" s="16"/>
      <c r="P43" s="12">
        <f>+IF(ISERROR(N43/(1-O43)),"",(N43/(1-O43)))</f>
        <v>0</v>
      </c>
      <c r="Q43" s="16"/>
      <c r="R43" s="12">
        <f>+IF(ISERROR(P43/(1-Q43)),"",(P43/(1-Q43)))</f>
        <v>0</v>
      </c>
      <c r="S43" s="15">
        <f>+IF(ISERROR(R43/G43),"",(R43/G43))</f>
        <v>0</v>
      </c>
      <c r="T43" s="107"/>
      <c r="U43"/>
      <c r="V43" s="15" t="s">
        <v>31</v>
      </c>
      <c r="W43" s="16" t="str">
        <f>+IF(ISERROR(N43/V43-1),"",(N43/V43-1))</f>
        <v/>
      </c>
      <c r="X43" s="15" t="str">
        <f>+IF(ISERROR(V43*(1-O43)),"",(V43*(1-O43)))</f>
        <v/>
      </c>
    </row>
    <row r="44" spans="1:24" ht="12.6" hidden="1" customHeight="1" x14ac:dyDescent="0.2">
      <c r="A44" s="22" t="s">
        <v>106</v>
      </c>
      <c r="B44" s="22" t="s">
        <v>105</v>
      </c>
      <c r="C44" s="61">
        <v>100521173</v>
      </c>
      <c r="D44" s="60" t="s">
        <v>107</v>
      </c>
      <c r="E44" s="59"/>
      <c r="F44" s="54">
        <f>30*0.08</f>
        <v>2.4</v>
      </c>
      <c r="G44" s="58">
        <v>30</v>
      </c>
      <c r="I44" s="15">
        <f>+L44*1.55*1.21</f>
        <v>0</v>
      </c>
      <c r="J44" s="15">
        <v>0</v>
      </c>
      <c r="K44" s="47"/>
      <c r="L44" s="15">
        <f>+IF(ISERROR(N44/G44),"",(N44/G44))</f>
        <v>0</v>
      </c>
      <c r="M44" s="15">
        <f>+IF(ISERROR(N44/F44),"",(N44/F44))</f>
        <v>0</v>
      </c>
      <c r="N44" s="40">
        <v>0</v>
      </c>
      <c r="O44" s="16"/>
      <c r="P44" s="12">
        <f>+IF(ISERROR(N44/(1-O44)),"",(N44/(1-O44)))</f>
        <v>0</v>
      </c>
      <c r="Q44" s="16"/>
      <c r="R44" s="12">
        <f>+IF(ISERROR(P44/(1-Q44)),"",(P44/(1-Q44)))</f>
        <v>0</v>
      </c>
      <c r="S44" s="15">
        <f>+IF(ISERROR(R44/G44),"",(R44/G44))</f>
        <v>0</v>
      </c>
      <c r="T44" s="107"/>
      <c r="U44"/>
      <c r="V44" s="15" t="s">
        <v>31</v>
      </c>
      <c r="W44" s="16" t="str">
        <f>+IF(ISERROR(N44/V44-1),"",(N44/V44-1))</f>
        <v/>
      </c>
      <c r="X44" s="15" t="str">
        <f>+IF(ISERROR(V44*(1-O44)),"",(V44*(1-O44)))</f>
        <v/>
      </c>
    </row>
    <row r="45" spans="1:24" ht="12.6" hidden="1" customHeight="1" x14ac:dyDescent="0.2">
      <c r="A45" s="22" t="s">
        <v>106</v>
      </c>
      <c r="B45" s="22" t="s">
        <v>105</v>
      </c>
      <c r="C45" s="61">
        <v>100522168</v>
      </c>
      <c r="D45" s="60" t="s">
        <v>104</v>
      </c>
      <c r="E45" s="59"/>
      <c r="F45" s="54">
        <v>4.62</v>
      </c>
      <c r="G45" s="58">
        <v>48</v>
      </c>
      <c r="I45" s="57"/>
      <c r="J45" s="52"/>
      <c r="K45" s="47"/>
      <c r="L45" s="57"/>
      <c r="M45" s="54"/>
      <c r="N45" s="56">
        <v>0</v>
      </c>
      <c r="O45" s="53"/>
      <c r="P45" s="55"/>
      <c r="Q45" s="53"/>
      <c r="R45" s="55"/>
      <c r="S45" s="52"/>
      <c r="T45" s="107"/>
      <c r="U45"/>
      <c r="V45" s="54"/>
      <c r="W45" s="53"/>
      <c r="X45" s="52"/>
    </row>
    <row r="46" spans="1:24" x14ac:dyDescent="0.2">
      <c r="A46" s="37"/>
      <c r="B46" s="36"/>
      <c r="C46" s="35"/>
      <c r="D46" s="27"/>
      <c r="E46" s="35"/>
      <c r="F46" s="27"/>
      <c r="G46" s="34"/>
      <c r="I46" s="32"/>
      <c r="J46" s="33"/>
      <c r="K46" s="47"/>
      <c r="L46" s="32"/>
      <c r="M46" s="27"/>
      <c r="N46" s="27" t="s">
        <v>31</v>
      </c>
      <c r="O46" s="30"/>
      <c r="P46" s="27"/>
      <c r="Q46" s="30"/>
      <c r="R46" s="27"/>
      <c r="S46" s="25"/>
      <c r="T46" s="107"/>
      <c r="U46"/>
      <c r="V46" s="27"/>
      <c r="W46" s="45"/>
      <c r="X46" s="25"/>
    </row>
    <row r="47" spans="1:24" x14ac:dyDescent="0.2">
      <c r="A47" s="24" t="s">
        <v>86</v>
      </c>
      <c r="B47" s="22" t="s">
        <v>100</v>
      </c>
      <c r="C47" s="44">
        <v>100022085</v>
      </c>
      <c r="D47" s="24" t="s">
        <v>103</v>
      </c>
      <c r="E47" s="49">
        <v>7790360000132</v>
      </c>
      <c r="F47" s="15">
        <v>5.4</v>
      </c>
      <c r="G47" s="19">
        <v>24</v>
      </c>
      <c r="H47" s="51"/>
      <c r="I47" s="15">
        <f t="shared" ref="I47:I62" si="10">+L47*1.55*1.21</f>
        <v>2571.8827502156255</v>
      </c>
      <c r="J47" s="15">
        <f t="shared" ref="J47:J57" si="11">+I47*0.8</f>
        <v>2057.5062001725005</v>
      </c>
      <c r="K47" s="47"/>
      <c r="L47" s="15">
        <f t="shared" ref="L47:L57" si="12">+IF(ISERROR(N47/G47),"",(N47/G47))</f>
        <v>1371.3051187500002</v>
      </c>
      <c r="M47" s="15">
        <f t="shared" ref="M47:M63" si="13">+IF(ISERROR(N47/F47),"",(N47/F47))</f>
        <v>6094.6894166666671</v>
      </c>
      <c r="N47" s="40">
        <v>32911.322850000004</v>
      </c>
      <c r="O47" s="16"/>
      <c r="P47" s="15">
        <f t="shared" ref="P47:P63" si="14">+IF(ISERROR(N47/(1-O47)),"",(N47/(1-O47)))</f>
        <v>32911.322850000004</v>
      </c>
      <c r="Q47" s="16"/>
      <c r="R47" s="15">
        <f t="shared" ref="R47:R63" si="15">+IF(ISERROR(P47/(1-Q47)),"",(P47/(1-Q47)))</f>
        <v>32911.322850000004</v>
      </c>
      <c r="S47" s="15">
        <f t="shared" ref="S47:S63" si="16">+IF(ISERROR(R47/G47),"",(R47/G47))</f>
        <v>1371.3051187500002</v>
      </c>
      <c r="T47" s="107"/>
      <c r="U47" s="108"/>
      <c r="V47" s="12">
        <v>31344.12</v>
      </c>
      <c r="W47" s="16">
        <f t="shared" ref="W47:W62" si="17">+IF(ISERROR(N47/V47-1),"",(N47/V47-1))</f>
        <v>4.9999899502682021E-2</v>
      </c>
      <c r="X47" s="15">
        <f t="shared" ref="X47:X63" si="18">+IF(ISERROR(V47*(1-O47)),"",(V47*(1-O47)))</f>
        <v>31344.12</v>
      </c>
    </row>
    <row r="48" spans="1:24" x14ac:dyDescent="0.2">
      <c r="A48" s="24" t="s">
        <v>86</v>
      </c>
      <c r="B48" s="22" t="s">
        <v>100</v>
      </c>
      <c r="C48" s="44">
        <v>100522204</v>
      </c>
      <c r="D48" s="24" t="s">
        <v>103</v>
      </c>
      <c r="E48" s="49">
        <v>7790360983947</v>
      </c>
      <c r="F48" s="15">
        <v>5.4</v>
      </c>
      <c r="G48" s="19">
        <v>24</v>
      </c>
      <c r="H48" s="51"/>
      <c r="I48" s="15">
        <f t="shared" si="10"/>
        <v>2571.8827502156255</v>
      </c>
      <c r="J48" s="15">
        <f t="shared" si="11"/>
        <v>2057.5062001725005</v>
      </c>
      <c r="K48" s="47"/>
      <c r="L48" s="15">
        <f t="shared" si="12"/>
        <v>1371.3051187500002</v>
      </c>
      <c r="M48" s="15">
        <f t="shared" si="13"/>
        <v>6094.6894166666671</v>
      </c>
      <c r="N48" s="40">
        <v>32911.322850000004</v>
      </c>
      <c r="O48" s="16"/>
      <c r="P48" s="15">
        <f t="shared" si="14"/>
        <v>32911.322850000004</v>
      </c>
      <c r="Q48" s="16"/>
      <c r="R48" s="15">
        <f t="shared" si="15"/>
        <v>32911.322850000004</v>
      </c>
      <c r="S48" s="15">
        <f t="shared" si="16"/>
        <v>1371.3051187500002</v>
      </c>
      <c r="T48" s="107"/>
      <c r="U48" s="108"/>
      <c r="V48" s="12">
        <v>31344.12</v>
      </c>
      <c r="W48" s="16">
        <f t="shared" si="17"/>
        <v>4.9999899502682021E-2</v>
      </c>
      <c r="X48" s="15">
        <f t="shared" si="18"/>
        <v>31344.12</v>
      </c>
    </row>
    <row r="49" spans="1:24" x14ac:dyDescent="0.2">
      <c r="A49" s="24" t="s">
        <v>86</v>
      </c>
      <c r="B49" s="22" t="s">
        <v>100</v>
      </c>
      <c r="C49" s="44">
        <v>100022072</v>
      </c>
      <c r="D49" s="24" t="s">
        <v>102</v>
      </c>
      <c r="E49" s="49">
        <v>7790360024541</v>
      </c>
      <c r="F49" s="15">
        <v>5.4</v>
      </c>
      <c r="G49" s="19">
        <v>12</v>
      </c>
      <c r="H49" s="51"/>
      <c r="I49" s="15">
        <f t="shared" si="10"/>
        <v>4975.3206093937506</v>
      </c>
      <c r="J49" s="15">
        <f t="shared" si="11"/>
        <v>3980.2564875150006</v>
      </c>
      <c r="K49" s="47"/>
      <c r="L49" s="15">
        <f t="shared" si="12"/>
        <v>2652.7969125000004</v>
      </c>
      <c r="M49" s="15">
        <f t="shared" si="13"/>
        <v>5895.1042500000003</v>
      </c>
      <c r="N49" s="40">
        <v>31833.562950000003</v>
      </c>
      <c r="O49" s="16"/>
      <c r="P49" s="15">
        <f t="shared" si="14"/>
        <v>31833.562950000003</v>
      </c>
      <c r="Q49" s="16"/>
      <c r="R49" s="15">
        <f t="shared" si="15"/>
        <v>31833.562950000003</v>
      </c>
      <c r="S49" s="15">
        <f t="shared" si="16"/>
        <v>2652.7969125000004</v>
      </c>
      <c r="T49" s="107"/>
      <c r="U49" s="108"/>
      <c r="V49" s="12">
        <v>30317.68</v>
      </c>
      <c r="W49" s="16">
        <f t="shared" si="17"/>
        <v>4.9999965366743115E-2</v>
      </c>
      <c r="X49" s="15">
        <f t="shared" si="18"/>
        <v>30317.68</v>
      </c>
    </row>
    <row r="50" spans="1:24" x14ac:dyDescent="0.2">
      <c r="A50" s="24" t="s">
        <v>86</v>
      </c>
      <c r="B50" s="22" t="s">
        <v>100</v>
      </c>
      <c r="C50" s="44">
        <v>100522205</v>
      </c>
      <c r="D50" s="24" t="s">
        <v>102</v>
      </c>
      <c r="E50" s="49">
        <v>7790360983954</v>
      </c>
      <c r="F50" s="15">
        <v>5.4</v>
      </c>
      <c r="G50" s="19">
        <v>12</v>
      </c>
      <c r="H50" s="51"/>
      <c r="I50" s="15">
        <f t="shared" si="10"/>
        <v>4975.3206093937506</v>
      </c>
      <c r="J50" s="15">
        <f t="shared" si="11"/>
        <v>3980.2564875150006</v>
      </c>
      <c r="K50" s="47"/>
      <c r="L50" s="15">
        <f t="shared" si="12"/>
        <v>2652.7969125000004</v>
      </c>
      <c r="M50" s="15">
        <f t="shared" si="13"/>
        <v>5895.1042500000003</v>
      </c>
      <c r="N50" s="40">
        <v>31833.562950000003</v>
      </c>
      <c r="O50" s="16"/>
      <c r="P50" s="15">
        <f t="shared" si="14"/>
        <v>31833.562950000003</v>
      </c>
      <c r="Q50" s="16"/>
      <c r="R50" s="15">
        <f t="shared" si="15"/>
        <v>31833.562950000003</v>
      </c>
      <c r="S50" s="15">
        <f t="shared" si="16"/>
        <v>2652.7969125000004</v>
      </c>
      <c r="T50" s="107"/>
      <c r="U50" s="108"/>
      <c r="V50" s="12" t="s">
        <v>31</v>
      </c>
      <c r="W50" s="16" t="str">
        <f t="shared" si="17"/>
        <v/>
      </c>
      <c r="X50" s="15" t="str">
        <f t="shared" si="18"/>
        <v/>
      </c>
    </row>
    <row r="51" spans="1:24" hidden="1" x14ac:dyDescent="0.2">
      <c r="A51" s="24" t="s">
        <v>86</v>
      </c>
      <c r="B51" s="22" t="s">
        <v>100</v>
      </c>
      <c r="C51" s="44">
        <v>100022073</v>
      </c>
      <c r="D51" s="24" t="s">
        <v>101</v>
      </c>
      <c r="E51" s="49">
        <v>7790360024558</v>
      </c>
      <c r="F51" s="15">
        <v>5.4</v>
      </c>
      <c r="G51" s="19">
        <v>6</v>
      </c>
      <c r="H51" s="51"/>
      <c r="I51" s="15" t="e">
        <f t="shared" si="10"/>
        <v>#VALUE!</v>
      </c>
      <c r="J51" s="15" t="e">
        <f t="shared" si="11"/>
        <v>#VALUE!</v>
      </c>
      <c r="K51" s="47"/>
      <c r="L51" s="15" t="str">
        <f t="shared" si="12"/>
        <v/>
      </c>
      <c r="M51" s="15" t="str">
        <f t="shared" si="13"/>
        <v/>
      </c>
      <c r="N51" s="40" t="e">
        <v>#VALUE!</v>
      </c>
      <c r="O51" s="16"/>
      <c r="P51" s="15" t="str">
        <f t="shared" si="14"/>
        <v/>
      </c>
      <c r="Q51" s="16"/>
      <c r="R51" s="15" t="str">
        <f t="shared" si="15"/>
        <v/>
      </c>
      <c r="S51" s="15" t="str">
        <f t="shared" si="16"/>
        <v/>
      </c>
      <c r="T51" s="107"/>
      <c r="U51" s="108"/>
      <c r="V51" s="12" t="s">
        <v>31</v>
      </c>
      <c r="W51" s="16" t="str">
        <f t="shared" si="17"/>
        <v/>
      </c>
      <c r="X51" s="15" t="str">
        <f t="shared" si="18"/>
        <v/>
      </c>
    </row>
    <row r="52" spans="1:24" x14ac:dyDescent="0.2">
      <c r="A52" s="24" t="s">
        <v>86</v>
      </c>
      <c r="B52" s="22" t="s">
        <v>100</v>
      </c>
      <c r="C52" s="44">
        <v>100516849</v>
      </c>
      <c r="D52" s="24" t="s">
        <v>99</v>
      </c>
      <c r="E52" s="49">
        <v>7790360970053</v>
      </c>
      <c r="F52" s="15">
        <v>4.5599999990400004</v>
      </c>
      <c r="G52" s="19">
        <v>24</v>
      </c>
      <c r="H52" s="51"/>
      <c r="I52" s="15">
        <f t="shared" si="10"/>
        <v>2478.0168881015629</v>
      </c>
      <c r="J52" s="15">
        <f t="shared" si="11"/>
        <v>1982.4135104812503</v>
      </c>
      <c r="K52" s="47"/>
      <c r="L52" s="15">
        <f t="shared" si="12"/>
        <v>1321.2566718750002</v>
      </c>
      <c r="M52" s="15">
        <f t="shared" si="13"/>
        <v>6953.9824850166278</v>
      </c>
      <c r="N52" s="40">
        <v>31710.160125000002</v>
      </c>
      <c r="O52" s="16"/>
      <c r="P52" s="15">
        <f t="shared" si="14"/>
        <v>31710.160125000002</v>
      </c>
      <c r="Q52" s="16"/>
      <c r="R52" s="15">
        <f t="shared" si="15"/>
        <v>31710.160125000002</v>
      </c>
      <c r="S52" s="15">
        <f t="shared" si="16"/>
        <v>1321.2566718750002</v>
      </c>
      <c r="T52" s="107"/>
      <c r="U52" s="108"/>
      <c r="V52" s="12">
        <v>30200.15</v>
      </c>
      <c r="W52" s="16">
        <f t="shared" si="17"/>
        <v>5.0000086920098052E-2</v>
      </c>
      <c r="X52" s="15">
        <f t="shared" si="18"/>
        <v>30200.15</v>
      </c>
    </row>
    <row r="53" spans="1:24" x14ac:dyDescent="0.2">
      <c r="A53" s="24" t="s">
        <v>86</v>
      </c>
      <c r="B53" s="22" t="s">
        <v>95</v>
      </c>
      <c r="C53" s="44">
        <v>100022039</v>
      </c>
      <c r="D53" s="24" t="s">
        <v>98</v>
      </c>
      <c r="E53" s="49">
        <v>7790360007063</v>
      </c>
      <c r="F53" s="15">
        <v>8.6999999999999993</v>
      </c>
      <c r="G53" s="19">
        <v>10</v>
      </c>
      <c r="H53" s="51"/>
      <c r="I53" s="15">
        <f t="shared" si="10"/>
        <v>12187.773262665001</v>
      </c>
      <c r="J53" s="15">
        <f t="shared" si="11"/>
        <v>9750.2186101320021</v>
      </c>
      <c r="K53" s="47"/>
      <c r="L53" s="15">
        <f t="shared" si="12"/>
        <v>6498.4128300000002</v>
      </c>
      <c r="M53" s="15">
        <f t="shared" si="13"/>
        <v>7469.44003448276</v>
      </c>
      <c r="N53" s="40">
        <v>64984.128300000004</v>
      </c>
      <c r="O53" s="16"/>
      <c r="P53" s="15">
        <f t="shared" si="14"/>
        <v>64984.128300000004</v>
      </c>
      <c r="Q53" s="16"/>
      <c r="R53" s="15">
        <f t="shared" si="15"/>
        <v>64984.128300000004</v>
      </c>
      <c r="S53" s="15">
        <f t="shared" si="16"/>
        <v>6498.4128300000002</v>
      </c>
      <c r="T53" s="107"/>
      <c r="U53" s="108"/>
      <c r="V53" s="12">
        <v>61889.64</v>
      </c>
      <c r="W53" s="16">
        <f t="shared" si="17"/>
        <v>5.0000101794096752E-2</v>
      </c>
      <c r="X53" s="15">
        <f t="shared" si="18"/>
        <v>61889.64</v>
      </c>
    </row>
    <row r="54" spans="1:24" x14ac:dyDescent="0.2">
      <c r="A54" s="24" t="s">
        <v>86</v>
      </c>
      <c r="B54" s="22" t="s">
        <v>95</v>
      </c>
      <c r="C54" s="44">
        <v>100522206</v>
      </c>
      <c r="D54" s="24" t="s">
        <v>98</v>
      </c>
      <c r="E54" s="49">
        <v>7790360983961</v>
      </c>
      <c r="F54" s="15">
        <v>8.6999999999999993</v>
      </c>
      <c r="G54" s="19">
        <v>10</v>
      </c>
      <c r="H54" s="51"/>
      <c r="I54" s="15">
        <f t="shared" si="10"/>
        <v>12187.773262665001</v>
      </c>
      <c r="J54" s="15">
        <f t="shared" si="11"/>
        <v>9750.2186101320021</v>
      </c>
      <c r="K54" s="47"/>
      <c r="L54" s="15">
        <f t="shared" si="12"/>
        <v>6498.4128300000002</v>
      </c>
      <c r="M54" s="15">
        <f t="shared" si="13"/>
        <v>7469.44003448276</v>
      </c>
      <c r="N54" s="40">
        <v>64984.128300000004</v>
      </c>
      <c r="O54" s="16"/>
      <c r="P54" s="15">
        <f t="shared" si="14"/>
        <v>64984.128300000004</v>
      </c>
      <c r="Q54" s="16"/>
      <c r="R54" s="15">
        <f t="shared" si="15"/>
        <v>64984.128300000004</v>
      </c>
      <c r="S54" s="15">
        <f t="shared" si="16"/>
        <v>6498.4128300000002</v>
      </c>
      <c r="T54" s="107"/>
      <c r="U54" s="108"/>
      <c r="V54" s="12">
        <v>61889.64</v>
      </c>
      <c r="W54" s="16">
        <f t="shared" si="17"/>
        <v>5.0000101794096752E-2</v>
      </c>
      <c r="X54" s="15">
        <f t="shared" si="18"/>
        <v>61889.64</v>
      </c>
    </row>
    <row r="55" spans="1:24" hidden="1" x14ac:dyDescent="0.2">
      <c r="A55" s="24" t="s">
        <v>86</v>
      </c>
      <c r="B55" s="22" t="s">
        <v>95</v>
      </c>
      <c r="C55" s="44">
        <v>100022057</v>
      </c>
      <c r="D55" s="24" t="s">
        <v>96</v>
      </c>
      <c r="E55" s="49">
        <v>7790360025944</v>
      </c>
      <c r="F55" s="15">
        <v>7.1999999999999993</v>
      </c>
      <c r="G55" s="19">
        <v>10</v>
      </c>
      <c r="H55" s="51"/>
      <c r="I55" s="15" t="e">
        <f t="shared" si="10"/>
        <v>#VALUE!</v>
      </c>
      <c r="J55" s="15" t="e">
        <f t="shared" si="11"/>
        <v>#VALUE!</v>
      </c>
      <c r="K55" s="47"/>
      <c r="L55" s="15" t="str">
        <f t="shared" si="12"/>
        <v/>
      </c>
      <c r="M55" s="15" t="str">
        <f t="shared" si="13"/>
        <v/>
      </c>
      <c r="N55" s="40" t="e">
        <v>#VALUE!</v>
      </c>
      <c r="O55" s="16"/>
      <c r="P55" s="15" t="str">
        <f t="shared" si="14"/>
        <v/>
      </c>
      <c r="Q55" s="16"/>
      <c r="R55" s="15" t="str">
        <f t="shared" si="15"/>
        <v/>
      </c>
      <c r="S55" s="15" t="str">
        <f t="shared" si="16"/>
        <v/>
      </c>
      <c r="T55" s="107"/>
      <c r="U55" s="108"/>
      <c r="V55" s="12" t="s">
        <v>31</v>
      </c>
      <c r="W55" s="16" t="str">
        <f t="shared" si="17"/>
        <v/>
      </c>
      <c r="X55" s="15" t="str">
        <f t="shared" si="18"/>
        <v/>
      </c>
    </row>
    <row r="56" spans="1:24" hidden="1" x14ac:dyDescent="0.2">
      <c r="A56" s="24" t="s">
        <v>86</v>
      </c>
      <c r="B56" s="22" t="s">
        <v>95</v>
      </c>
      <c r="C56" s="44">
        <v>100516731</v>
      </c>
      <c r="D56" s="24" t="s">
        <v>94</v>
      </c>
      <c r="E56" s="49"/>
      <c r="F56" s="15">
        <v>10.44</v>
      </c>
      <c r="G56" s="19">
        <v>12</v>
      </c>
      <c r="H56" s="51"/>
      <c r="I56" s="15" t="e">
        <f t="shared" si="10"/>
        <v>#VALUE!</v>
      </c>
      <c r="J56" s="15" t="e">
        <f t="shared" si="11"/>
        <v>#VALUE!</v>
      </c>
      <c r="K56" s="47"/>
      <c r="L56" s="15" t="str">
        <f t="shared" si="12"/>
        <v/>
      </c>
      <c r="M56" s="15" t="str">
        <f t="shared" si="13"/>
        <v/>
      </c>
      <c r="N56" s="40" t="e">
        <v>#VALUE!</v>
      </c>
      <c r="O56" s="16"/>
      <c r="P56" s="15" t="str">
        <f t="shared" si="14"/>
        <v/>
      </c>
      <c r="Q56" s="16"/>
      <c r="R56" s="15" t="str">
        <f t="shared" si="15"/>
        <v/>
      </c>
      <c r="S56" s="15" t="str">
        <f t="shared" si="16"/>
        <v/>
      </c>
      <c r="T56" s="107"/>
      <c r="U56" s="108"/>
      <c r="V56" s="12" t="s">
        <v>31</v>
      </c>
      <c r="W56" s="16" t="str">
        <f t="shared" si="17"/>
        <v/>
      </c>
      <c r="X56" s="15" t="str">
        <f t="shared" si="18"/>
        <v/>
      </c>
    </row>
    <row r="57" spans="1:24" x14ac:dyDescent="0.2">
      <c r="A57" s="24" t="s">
        <v>86</v>
      </c>
      <c r="B57" s="22" t="s">
        <v>93</v>
      </c>
      <c r="C57" s="44">
        <v>100022058</v>
      </c>
      <c r="D57" s="24" t="s">
        <v>92</v>
      </c>
      <c r="E57" s="49">
        <v>7790360026002</v>
      </c>
      <c r="F57" s="15">
        <v>4.5599999990400004</v>
      </c>
      <c r="G57" s="19">
        <v>24</v>
      </c>
      <c r="H57" s="51"/>
      <c r="I57" s="15">
        <f t="shared" si="10"/>
        <v>1383.1687075937502</v>
      </c>
      <c r="J57" s="15">
        <f t="shared" si="11"/>
        <v>1106.5349660750003</v>
      </c>
      <c r="K57" s="47"/>
      <c r="L57" s="15">
        <f t="shared" si="12"/>
        <v>737.49331250000012</v>
      </c>
      <c r="M57" s="15">
        <f t="shared" si="13"/>
        <v>3881.5437508171672</v>
      </c>
      <c r="N57" s="40">
        <v>17699.839500000002</v>
      </c>
      <c r="O57" s="16"/>
      <c r="P57" s="15">
        <f t="shared" si="14"/>
        <v>17699.839500000002</v>
      </c>
      <c r="Q57" s="16"/>
      <c r="R57" s="15">
        <f t="shared" si="15"/>
        <v>17699.839500000002</v>
      </c>
      <c r="S57" s="15">
        <f t="shared" si="16"/>
        <v>737.49331250000012</v>
      </c>
      <c r="T57" s="107"/>
      <c r="U57" s="108"/>
      <c r="V57" s="12">
        <v>16856.990000000002</v>
      </c>
      <c r="W57" s="16">
        <f t="shared" si="17"/>
        <v>5.0000000000000044E-2</v>
      </c>
      <c r="X57" s="15">
        <f t="shared" si="18"/>
        <v>16856.990000000002</v>
      </c>
    </row>
    <row r="58" spans="1:24" hidden="1" x14ac:dyDescent="0.2">
      <c r="A58" s="24" t="s">
        <v>86</v>
      </c>
      <c r="B58" s="22" t="s">
        <v>85</v>
      </c>
      <c r="C58" s="44">
        <v>100022089</v>
      </c>
      <c r="D58" s="24" t="s">
        <v>91</v>
      </c>
      <c r="E58" s="49">
        <v>7798024390315</v>
      </c>
      <c r="F58" s="15">
        <v>5.4</v>
      </c>
      <c r="G58" s="19">
        <v>24</v>
      </c>
      <c r="I58" s="15">
        <f t="shared" si="10"/>
        <v>0</v>
      </c>
      <c r="J58" s="15">
        <v>0</v>
      </c>
      <c r="K58" s="47"/>
      <c r="L58" s="15">
        <f>+IF(ISERROR(P58/G58),"",(P58/G58))</f>
        <v>0</v>
      </c>
      <c r="M58" s="15">
        <f t="shared" si="13"/>
        <v>0</v>
      </c>
      <c r="N58" s="40">
        <v>0</v>
      </c>
      <c r="O58" s="16"/>
      <c r="P58" s="15">
        <f t="shared" si="14"/>
        <v>0</v>
      </c>
      <c r="Q58" s="16"/>
      <c r="R58" s="15">
        <f t="shared" si="15"/>
        <v>0</v>
      </c>
      <c r="S58" s="15">
        <f t="shared" si="16"/>
        <v>0</v>
      </c>
      <c r="T58" s="107"/>
      <c r="U58"/>
      <c r="V58" s="15" t="s">
        <v>31</v>
      </c>
      <c r="W58" s="16" t="str">
        <f t="shared" si="17"/>
        <v/>
      </c>
      <c r="X58" s="15" t="str">
        <f t="shared" si="18"/>
        <v/>
      </c>
    </row>
    <row r="59" spans="1:24" hidden="1" x14ac:dyDescent="0.2">
      <c r="A59" s="24" t="s">
        <v>86</v>
      </c>
      <c r="B59" s="22" t="s">
        <v>85</v>
      </c>
      <c r="C59" s="44">
        <v>100022080</v>
      </c>
      <c r="D59" s="24" t="s">
        <v>90</v>
      </c>
      <c r="E59" s="49">
        <v>7798158706778</v>
      </c>
      <c r="F59" s="15">
        <v>5.4</v>
      </c>
      <c r="G59" s="19">
        <v>12</v>
      </c>
      <c r="I59" s="15">
        <f t="shared" si="10"/>
        <v>0</v>
      </c>
      <c r="J59" s="15">
        <v>0</v>
      </c>
      <c r="K59" s="47"/>
      <c r="L59" s="15">
        <f>+IF(ISERROR(P59/G59),"",(P59/G59))</f>
        <v>0</v>
      </c>
      <c r="M59" s="15">
        <f t="shared" si="13"/>
        <v>0</v>
      </c>
      <c r="N59" s="40">
        <v>0</v>
      </c>
      <c r="O59" s="16"/>
      <c r="P59" s="15">
        <f t="shared" si="14"/>
        <v>0</v>
      </c>
      <c r="Q59" s="16"/>
      <c r="R59" s="15">
        <f t="shared" si="15"/>
        <v>0</v>
      </c>
      <c r="S59" s="15">
        <f t="shared" si="16"/>
        <v>0</v>
      </c>
      <c r="T59" s="107"/>
      <c r="U59"/>
      <c r="V59" s="15" t="s">
        <v>31</v>
      </c>
      <c r="W59" s="16" t="str">
        <f t="shared" si="17"/>
        <v/>
      </c>
      <c r="X59" s="15" t="str">
        <f t="shared" si="18"/>
        <v/>
      </c>
    </row>
    <row r="60" spans="1:24" hidden="1" x14ac:dyDescent="0.2">
      <c r="A60" s="24" t="s">
        <v>86</v>
      </c>
      <c r="B60" s="22" t="s">
        <v>85</v>
      </c>
      <c r="C60" s="44">
        <v>100022081</v>
      </c>
      <c r="D60" s="24" t="s">
        <v>89</v>
      </c>
      <c r="E60" s="49">
        <v>7798158706785</v>
      </c>
      <c r="F60" s="15">
        <v>5.4</v>
      </c>
      <c r="G60" s="19">
        <v>6</v>
      </c>
      <c r="I60" s="15">
        <f t="shared" si="10"/>
        <v>0</v>
      </c>
      <c r="J60" s="15">
        <v>0</v>
      </c>
      <c r="K60" s="47"/>
      <c r="L60" s="15">
        <f>+IF(ISERROR(P60/G60),"",(P60/G60))</f>
        <v>0</v>
      </c>
      <c r="M60" s="15">
        <f t="shared" si="13"/>
        <v>0</v>
      </c>
      <c r="N60" s="40">
        <v>0</v>
      </c>
      <c r="O60" s="16"/>
      <c r="P60" s="15">
        <f t="shared" si="14"/>
        <v>0</v>
      </c>
      <c r="Q60" s="16"/>
      <c r="R60" s="15">
        <f t="shared" si="15"/>
        <v>0</v>
      </c>
      <c r="S60" s="15">
        <f t="shared" si="16"/>
        <v>0</v>
      </c>
      <c r="T60" s="107"/>
      <c r="U60"/>
      <c r="V60" s="15" t="s">
        <v>31</v>
      </c>
      <c r="W60" s="16" t="str">
        <f t="shared" si="17"/>
        <v/>
      </c>
      <c r="X60" s="15" t="str">
        <f t="shared" si="18"/>
        <v/>
      </c>
    </row>
    <row r="61" spans="1:24" hidden="1" x14ac:dyDescent="0.2">
      <c r="A61" s="24" t="s">
        <v>86</v>
      </c>
      <c r="B61" s="22" t="s">
        <v>85</v>
      </c>
      <c r="C61" s="44">
        <v>100022014</v>
      </c>
      <c r="D61" s="24" t="s">
        <v>88</v>
      </c>
      <c r="E61" s="49">
        <v>8480017244512</v>
      </c>
      <c r="F61" s="15">
        <v>4.5</v>
      </c>
      <c r="G61" s="19">
        <v>20</v>
      </c>
      <c r="I61" s="15">
        <f t="shared" si="10"/>
        <v>0</v>
      </c>
      <c r="J61" s="15">
        <v>0</v>
      </c>
      <c r="K61" s="47"/>
      <c r="L61" s="15">
        <f>+IF(ISERROR(P61/G61),"",(P61/G61))</f>
        <v>0</v>
      </c>
      <c r="M61" s="15">
        <f t="shared" si="13"/>
        <v>0</v>
      </c>
      <c r="N61" s="40">
        <v>0</v>
      </c>
      <c r="O61" s="16"/>
      <c r="P61" s="15">
        <f t="shared" si="14"/>
        <v>0</v>
      </c>
      <c r="Q61" s="16"/>
      <c r="R61" s="15">
        <f t="shared" si="15"/>
        <v>0</v>
      </c>
      <c r="S61" s="15">
        <f t="shared" si="16"/>
        <v>0</v>
      </c>
      <c r="T61" s="107"/>
      <c r="U61"/>
      <c r="V61" s="15" t="s">
        <v>31</v>
      </c>
      <c r="W61" s="16" t="str">
        <f t="shared" si="17"/>
        <v/>
      </c>
      <c r="X61" s="15" t="str">
        <f t="shared" si="18"/>
        <v/>
      </c>
    </row>
    <row r="62" spans="1:24" hidden="1" x14ac:dyDescent="0.2">
      <c r="A62" s="24" t="s">
        <v>86</v>
      </c>
      <c r="B62" s="22" t="s">
        <v>85</v>
      </c>
      <c r="C62" s="44">
        <v>100022086</v>
      </c>
      <c r="D62" s="24" t="s">
        <v>87</v>
      </c>
      <c r="E62" s="49">
        <v>8480017090058</v>
      </c>
      <c r="F62" s="15">
        <v>5.4</v>
      </c>
      <c r="G62" s="19">
        <v>12</v>
      </c>
      <c r="I62" s="15">
        <f t="shared" si="10"/>
        <v>0</v>
      </c>
      <c r="J62" s="15">
        <v>0</v>
      </c>
      <c r="K62" s="47"/>
      <c r="L62" s="15">
        <f>+IF(ISERROR(P62/G62),"",(P62/G62))</f>
        <v>0</v>
      </c>
      <c r="M62" s="15">
        <f t="shared" si="13"/>
        <v>0</v>
      </c>
      <c r="N62" s="40">
        <v>0</v>
      </c>
      <c r="O62" s="16"/>
      <c r="P62" s="15">
        <f t="shared" si="14"/>
        <v>0</v>
      </c>
      <c r="Q62" s="16"/>
      <c r="R62" s="15">
        <f t="shared" si="15"/>
        <v>0</v>
      </c>
      <c r="S62" s="50">
        <f t="shared" si="16"/>
        <v>0</v>
      </c>
      <c r="T62" s="107"/>
      <c r="U62"/>
      <c r="V62" s="15" t="s">
        <v>31</v>
      </c>
      <c r="W62" s="16" t="str">
        <f t="shared" si="17"/>
        <v/>
      </c>
      <c r="X62" s="15" t="str">
        <f t="shared" si="18"/>
        <v/>
      </c>
    </row>
    <row r="63" spans="1:24" hidden="1" x14ac:dyDescent="0.2">
      <c r="A63" s="24" t="s">
        <v>86</v>
      </c>
      <c r="B63" s="22" t="s">
        <v>85</v>
      </c>
      <c r="C63" s="44">
        <v>100022087</v>
      </c>
      <c r="D63" s="24" t="s">
        <v>84</v>
      </c>
      <c r="E63" s="49">
        <v>8480017048141</v>
      </c>
      <c r="F63" s="15">
        <v>5.4</v>
      </c>
      <c r="G63" s="19">
        <v>6</v>
      </c>
      <c r="I63" s="15"/>
      <c r="J63" s="15"/>
      <c r="K63" s="47"/>
      <c r="L63" s="15">
        <f>+IF(ISERROR(N63/G63),"",(N63/G63))</f>
        <v>0</v>
      </c>
      <c r="M63" s="15">
        <f t="shared" si="13"/>
        <v>0</v>
      </c>
      <c r="N63" s="40">
        <v>0</v>
      </c>
      <c r="O63" s="16"/>
      <c r="P63" s="15">
        <f t="shared" si="14"/>
        <v>0</v>
      </c>
      <c r="Q63" s="16"/>
      <c r="R63" s="15">
        <f t="shared" si="15"/>
        <v>0</v>
      </c>
      <c r="S63" s="50">
        <f t="shared" si="16"/>
        <v>0</v>
      </c>
      <c r="T63" s="107"/>
      <c r="U63"/>
      <c r="V63" s="15" t="s">
        <v>31</v>
      </c>
      <c r="W63" s="16"/>
      <c r="X63" s="15" t="str">
        <f t="shared" si="18"/>
        <v/>
      </c>
    </row>
    <row r="64" spans="1:24" x14ac:dyDescent="0.2">
      <c r="A64" s="37"/>
      <c r="B64" s="36"/>
      <c r="C64" s="35"/>
      <c r="D64" s="27"/>
      <c r="E64" s="35"/>
      <c r="F64" s="27"/>
      <c r="G64" s="34"/>
      <c r="I64" s="32"/>
      <c r="J64" s="33"/>
      <c r="K64" s="47"/>
      <c r="L64" s="32"/>
      <c r="M64" s="27"/>
      <c r="N64" s="27" t="s">
        <v>31</v>
      </c>
      <c r="O64" s="30"/>
      <c r="P64" s="27"/>
      <c r="Q64" s="30"/>
      <c r="R64" s="27"/>
      <c r="S64" s="25"/>
      <c r="T64" s="107"/>
      <c r="U64"/>
      <c r="V64" s="27"/>
      <c r="W64" s="45"/>
      <c r="X64" s="25"/>
    </row>
    <row r="65" spans="1:24" x14ac:dyDescent="0.2">
      <c r="A65" s="24" t="s">
        <v>62</v>
      </c>
      <c r="B65" s="22" t="s">
        <v>79</v>
      </c>
      <c r="C65" s="44">
        <v>100021000</v>
      </c>
      <c r="D65" s="24" t="s">
        <v>83</v>
      </c>
      <c r="E65" s="49">
        <v>7790360720382</v>
      </c>
      <c r="F65" s="15">
        <v>2.16</v>
      </c>
      <c r="G65" s="19">
        <v>24</v>
      </c>
      <c r="I65" s="15">
        <f t="shared" ref="I65:I82" si="19">+L65*1.45*1.21</f>
        <v>1284.1980485713884</v>
      </c>
      <c r="J65" s="15">
        <f t="shared" ref="J65:J82" si="20">+I65*0.8</f>
        <v>1027.3584388571107</v>
      </c>
      <c r="K65" s="47"/>
      <c r="L65" s="15">
        <f t="shared" ref="L65:L82" si="21">+IF(ISERROR(N65/G65),"",(N65/G65))</f>
        <v>731.9453112404608</v>
      </c>
      <c r="M65" s="15">
        <f t="shared" ref="M65:M82" si="22">+IF(ISERROR(N65/F65),"",(N65/F65))</f>
        <v>8132.7256804495637</v>
      </c>
      <c r="N65" s="40">
        <v>17566.687469771059</v>
      </c>
      <c r="O65" s="16"/>
      <c r="P65" s="15">
        <f t="shared" ref="P65:P82" si="23">+IF(ISERROR(N65/(1-O65)),"",(N65/(1-O65)))</f>
        <v>17566.687469771059</v>
      </c>
      <c r="Q65" s="16"/>
      <c r="R65" s="15">
        <f t="shared" ref="R65:R82" si="24">+IF(ISERROR(P65/(1-Q65)),"",(P65/(1-Q65)))</f>
        <v>17566.687469771059</v>
      </c>
      <c r="S65" s="15">
        <f t="shared" ref="S65:S82" si="25">+IF(ISERROR(P65/G65),"",(P65/G65))</f>
        <v>731.9453112404608</v>
      </c>
      <c r="T65" s="107"/>
      <c r="U65"/>
      <c r="V65" s="12">
        <v>17566.689999999999</v>
      </c>
      <c r="W65" s="16">
        <f t="shared" ref="W65:W82" si="26">+IF(ISERROR(N65/V65-1),"",(N65/V65-1))</f>
        <v>-1.4403561165998724E-7</v>
      </c>
      <c r="X65" s="15">
        <f t="shared" ref="X65:X82" si="27">+IF(ISERROR(V65*(1-O65)),"",(V65*(1-O65)))</f>
        <v>17566.689999999999</v>
      </c>
    </row>
    <row r="66" spans="1:24" x14ac:dyDescent="0.2">
      <c r="A66" s="24" t="s">
        <v>62</v>
      </c>
      <c r="B66" s="22" t="s">
        <v>79</v>
      </c>
      <c r="C66" s="44">
        <v>100021001</v>
      </c>
      <c r="D66" s="24" t="s">
        <v>82</v>
      </c>
      <c r="E66" s="49">
        <v>7790360720115</v>
      </c>
      <c r="F66" s="15">
        <v>2.16</v>
      </c>
      <c r="G66" s="19">
        <v>24</v>
      </c>
      <c r="I66" s="15">
        <f t="shared" si="19"/>
        <v>1284.1980485713884</v>
      </c>
      <c r="J66" s="15">
        <f t="shared" si="20"/>
        <v>1027.3584388571107</v>
      </c>
      <c r="K66" s="47"/>
      <c r="L66" s="15">
        <f t="shared" si="21"/>
        <v>731.9453112404608</v>
      </c>
      <c r="M66" s="15">
        <f t="shared" si="22"/>
        <v>8132.7256804495637</v>
      </c>
      <c r="N66" s="40">
        <v>17566.687469771059</v>
      </c>
      <c r="O66" s="16"/>
      <c r="P66" s="15">
        <f t="shared" si="23"/>
        <v>17566.687469771059</v>
      </c>
      <c r="Q66" s="16"/>
      <c r="R66" s="15">
        <f t="shared" si="24"/>
        <v>17566.687469771059</v>
      </c>
      <c r="S66" s="15">
        <f t="shared" si="25"/>
        <v>731.9453112404608</v>
      </c>
      <c r="T66" s="107"/>
      <c r="U66"/>
      <c r="V66" s="12">
        <v>17566.689999999999</v>
      </c>
      <c r="W66" s="16">
        <f t="shared" si="26"/>
        <v>-1.4403561165998724E-7</v>
      </c>
      <c r="X66" s="15">
        <f t="shared" si="27"/>
        <v>17566.689999999999</v>
      </c>
    </row>
    <row r="67" spans="1:24" x14ac:dyDescent="0.2">
      <c r="A67" s="24" t="s">
        <v>62</v>
      </c>
      <c r="B67" s="22" t="s">
        <v>79</v>
      </c>
      <c r="C67" s="44">
        <v>100522277</v>
      </c>
      <c r="D67" s="24" t="s">
        <v>81</v>
      </c>
      <c r="E67" s="49"/>
      <c r="F67" s="15">
        <v>2.16</v>
      </c>
      <c r="G67" s="19">
        <v>24</v>
      </c>
      <c r="I67" s="15">
        <f t="shared" si="19"/>
        <v>1284.1980485713884</v>
      </c>
      <c r="J67" s="15">
        <f t="shared" si="20"/>
        <v>1027.3584388571107</v>
      </c>
      <c r="K67" s="47"/>
      <c r="L67" s="15">
        <f t="shared" si="21"/>
        <v>731.9453112404608</v>
      </c>
      <c r="M67" s="15">
        <f t="shared" si="22"/>
        <v>8132.7256804495637</v>
      </c>
      <c r="N67" s="40">
        <v>17566.687469771059</v>
      </c>
      <c r="O67" s="16"/>
      <c r="P67" s="15">
        <f t="shared" si="23"/>
        <v>17566.687469771059</v>
      </c>
      <c r="Q67" s="16"/>
      <c r="R67" s="15">
        <f t="shared" si="24"/>
        <v>17566.687469771059</v>
      </c>
      <c r="S67" s="15">
        <f t="shared" si="25"/>
        <v>731.9453112404608</v>
      </c>
      <c r="T67" s="107"/>
      <c r="U67"/>
      <c r="V67" s="12">
        <v>17566.689999999999</v>
      </c>
      <c r="W67" s="16">
        <f t="shared" si="26"/>
        <v>-1.4403561165998724E-7</v>
      </c>
      <c r="X67" s="15">
        <f t="shared" si="27"/>
        <v>17566.689999999999</v>
      </c>
    </row>
    <row r="68" spans="1:24" x14ac:dyDescent="0.2">
      <c r="A68" s="24" t="s">
        <v>62</v>
      </c>
      <c r="B68" s="22" t="s">
        <v>79</v>
      </c>
      <c r="C68" s="44">
        <v>100522333</v>
      </c>
      <c r="D68" s="24" t="s">
        <v>80</v>
      </c>
      <c r="E68" s="49"/>
      <c r="F68" s="15">
        <v>2.16</v>
      </c>
      <c r="G68" s="19">
        <v>24</v>
      </c>
      <c r="I68" s="15">
        <f t="shared" si="19"/>
        <v>1284.1980485713884</v>
      </c>
      <c r="J68" s="15">
        <f t="shared" si="20"/>
        <v>1027.3584388571107</v>
      </c>
      <c r="K68" s="47"/>
      <c r="L68" s="15">
        <f t="shared" si="21"/>
        <v>731.9453112404608</v>
      </c>
      <c r="M68" s="15">
        <f t="shared" si="22"/>
        <v>8132.7256804495637</v>
      </c>
      <c r="N68" s="40">
        <v>17566.687469771059</v>
      </c>
      <c r="O68" s="16"/>
      <c r="P68" s="15">
        <f t="shared" si="23"/>
        <v>17566.687469771059</v>
      </c>
      <c r="Q68" s="16"/>
      <c r="R68" s="15">
        <f t="shared" si="24"/>
        <v>17566.687469771059</v>
      </c>
      <c r="S68" s="15">
        <f t="shared" si="25"/>
        <v>731.9453112404608</v>
      </c>
      <c r="T68" s="107"/>
      <c r="U68"/>
      <c r="V68" s="12">
        <v>17566.689999999999</v>
      </c>
      <c r="W68" s="16">
        <f t="shared" si="26"/>
        <v>-1.4403561165998724E-7</v>
      </c>
      <c r="X68" s="15">
        <f t="shared" si="27"/>
        <v>17566.689999999999</v>
      </c>
    </row>
    <row r="69" spans="1:24" x14ac:dyDescent="0.2">
      <c r="A69" s="24" t="s">
        <v>62</v>
      </c>
      <c r="B69" s="22" t="s">
        <v>79</v>
      </c>
      <c r="C69" s="44">
        <v>100021045</v>
      </c>
      <c r="D69" s="24" t="s">
        <v>78</v>
      </c>
      <c r="E69" s="49">
        <v>7790360966582</v>
      </c>
      <c r="F69" s="15">
        <v>2.16</v>
      </c>
      <c r="G69" s="19">
        <v>24</v>
      </c>
      <c r="I69" s="15">
        <f t="shared" si="19"/>
        <v>1284.1980485713884</v>
      </c>
      <c r="J69" s="15">
        <f t="shared" si="20"/>
        <v>1027.3584388571107</v>
      </c>
      <c r="K69" s="47"/>
      <c r="L69" s="15">
        <f t="shared" si="21"/>
        <v>731.9453112404608</v>
      </c>
      <c r="M69" s="15">
        <f t="shared" si="22"/>
        <v>8132.7256804495637</v>
      </c>
      <c r="N69" s="40">
        <v>17566.687469771059</v>
      </c>
      <c r="O69" s="16"/>
      <c r="P69" s="15">
        <f t="shared" si="23"/>
        <v>17566.687469771059</v>
      </c>
      <c r="Q69" s="16"/>
      <c r="R69" s="15">
        <f t="shared" si="24"/>
        <v>17566.687469771059</v>
      </c>
      <c r="S69" s="15">
        <f t="shared" si="25"/>
        <v>731.9453112404608</v>
      </c>
      <c r="T69" s="107"/>
      <c r="U69"/>
      <c r="V69" s="12">
        <v>17566.689999999999</v>
      </c>
      <c r="W69" s="16">
        <f t="shared" si="26"/>
        <v>-1.4403561165998724E-7</v>
      </c>
      <c r="X69" s="15">
        <f t="shared" si="27"/>
        <v>17566.689999999999</v>
      </c>
    </row>
    <row r="70" spans="1:24" x14ac:dyDescent="0.2">
      <c r="A70" s="24" t="s">
        <v>62</v>
      </c>
      <c r="B70" s="22" t="s">
        <v>75</v>
      </c>
      <c r="C70" s="44">
        <v>100021004</v>
      </c>
      <c r="D70" s="24" t="s">
        <v>77</v>
      </c>
      <c r="E70" s="49">
        <v>7790360964526</v>
      </c>
      <c r="F70" s="15">
        <v>2.1120000000000001</v>
      </c>
      <c r="G70" s="19">
        <v>24</v>
      </c>
      <c r="I70" s="15">
        <f t="shared" si="19"/>
        <v>1284.1980485713884</v>
      </c>
      <c r="J70" s="15">
        <f t="shared" si="20"/>
        <v>1027.3584388571107</v>
      </c>
      <c r="K70" s="47"/>
      <c r="L70" s="15">
        <f t="shared" si="21"/>
        <v>731.9453112404608</v>
      </c>
      <c r="M70" s="15">
        <f t="shared" si="22"/>
        <v>8317.5603550052365</v>
      </c>
      <c r="N70" s="40">
        <v>17566.687469771059</v>
      </c>
      <c r="O70" s="16"/>
      <c r="P70" s="15">
        <f t="shared" si="23"/>
        <v>17566.687469771059</v>
      </c>
      <c r="Q70" s="16"/>
      <c r="R70" s="15">
        <f t="shared" si="24"/>
        <v>17566.687469771059</v>
      </c>
      <c r="S70" s="15">
        <f t="shared" si="25"/>
        <v>731.9453112404608</v>
      </c>
      <c r="T70" s="107"/>
      <c r="U70"/>
      <c r="V70" s="12">
        <v>17566.689999999999</v>
      </c>
      <c r="W70" s="16">
        <f t="shared" si="26"/>
        <v>-1.4403561165998724E-7</v>
      </c>
      <c r="X70" s="15">
        <f t="shared" si="27"/>
        <v>17566.689999999999</v>
      </c>
    </row>
    <row r="71" spans="1:24" x14ac:dyDescent="0.2">
      <c r="A71" s="24" t="s">
        <v>62</v>
      </c>
      <c r="B71" s="22" t="s">
        <v>75</v>
      </c>
      <c r="C71" s="44">
        <v>100021006</v>
      </c>
      <c r="D71" s="24" t="s">
        <v>76</v>
      </c>
      <c r="E71" s="49">
        <v>7790360964557</v>
      </c>
      <c r="F71" s="15">
        <v>2.1120000000000001</v>
      </c>
      <c r="G71" s="19">
        <v>24</v>
      </c>
      <c r="I71" s="15">
        <f t="shared" si="19"/>
        <v>1284.1980485713884</v>
      </c>
      <c r="J71" s="15">
        <f t="shared" si="20"/>
        <v>1027.3584388571107</v>
      </c>
      <c r="K71" s="47"/>
      <c r="L71" s="15">
        <f t="shared" si="21"/>
        <v>731.9453112404608</v>
      </c>
      <c r="M71" s="15">
        <f t="shared" si="22"/>
        <v>8317.5603550052365</v>
      </c>
      <c r="N71" s="40">
        <v>17566.687469771059</v>
      </c>
      <c r="O71" s="16"/>
      <c r="P71" s="15">
        <f t="shared" si="23"/>
        <v>17566.687469771059</v>
      </c>
      <c r="Q71" s="16"/>
      <c r="R71" s="15">
        <f t="shared" si="24"/>
        <v>17566.687469771059</v>
      </c>
      <c r="S71" s="15">
        <f t="shared" si="25"/>
        <v>731.9453112404608</v>
      </c>
      <c r="T71" s="107"/>
      <c r="U71"/>
      <c r="V71" s="12">
        <v>17566.689999999999</v>
      </c>
      <c r="W71" s="16">
        <f t="shared" si="26"/>
        <v>-1.4403561165998724E-7</v>
      </c>
      <c r="X71" s="15">
        <f t="shared" si="27"/>
        <v>17566.689999999999</v>
      </c>
    </row>
    <row r="72" spans="1:24" x14ac:dyDescent="0.2">
      <c r="A72" s="24" t="s">
        <v>62</v>
      </c>
      <c r="B72" s="22" t="s">
        <v>75</v>
      </c>
      <c r="C72" s="44">
        <v>100021007</v>
      </c>
      <c r="D72" s="24" t="s">
        <v>74</v>
      </c>
      <c r="E72" s="49">
        <v>7790360964540</v>
      </c>
      <c r="F72" s="15">
        <v>2.04</v>
      </c>
      <c r="G72" s="19">
        <v>24</v>
      </c>
      <c r="I72" s="15">
        <f t="shared" si="19"/>
        <v>1670.3864468998438</v>
      </c>
      <c r="J72" s="15">
        <f t="shared" si="20"/>
        <v>1336.309157519875</v>
      </c>
      <c r="K72" s="47"/>
      <c r="L72" s="15">
        <f t="shared" si="21"/>
        <v>952.05839093750001</v>
      </c>
      <c r="M72" s="15">
        <f t="shared" si="22"/>
        <v>11200.686952205882</v>
      </c>
      <c r="N72" s="40">
        <v>22849.4013825</v>
      </c>
      <c r="O72" s="16"/>
      <c r="P72" s="15">
        <f t="shared" si="23"/>
        <v>22849.4013825</v>
      </c>
      <c r="Q72" s="16"/>
      <c r="R72" s="15">
        <f t="shared" si="24"/>
        <v>22849.4013825</v>
      </c>
      <c r="S72" s="15">
        <f t="shared" si="25"/>
        <v>952.05839093750001</v>
      </c>
      <c r="T72" s="107"/>
      <c r="U72"/>
      <c r="V72" s="12">
        <v>22849.4</v>
      </c>
      <c r="W72" s="16">
        <f t="shared" si="26"/>
        <v>6.0504870891264773E-8</v>
      </c>
      <c r="X72" s="15">
        <f t="shared" si="27"/>
        <v>22849.4</v>
      </c>
    </row>
    <row r="73" spans="1:24" x14ac:dyDescent="0.2">
      <c r="A73" s="24" t="s">
        <v>62</v>
      </c>
      <c r="B73" s="22" t="s">
        <v>69</v>
      </c>
      <c r="C73" s="44">
        <v>100021013</v>
      </c>
      <c r="D73" s="24" t="s">
        <v>73</v>
      </c>
      <c r="E73" s="49">
        <v>7790360965714</v>
      </c>
      <c r="F73" s="15">
        <v>2.04</v>
      </c>
      <c r="G73" s="19">
        <v>24</v>
      </c>
      <c r="I73" s="15">
        <f t="shared" si="19"/>
        <v>1738.2173441084374</v>
      </c>
      <c r="J73" s="15">
        <f t="shared" si="20"/>
        <v>1390.5738752867501</v>
      </c>
      <c r="K73" s="47"/>
      <c r="L73" s="15">
        <f t="shared" si="21"/>
        <v>990.71948937500008</v>
      </c>
      <c r="M73" s="15">
        <f t="shared" si="22"/>
        <v>11655.523404411764</v>
      </c>
      <c r="N73" s="40">
        <v>23777.267745000001</v>
      </c>
      <c r="O73" s="16"/>
      <c r="P73" s="15">
        <f t="shared" si="23"/>
        <v>23777.267745000001</v>
      </c>
      <c r="Q73" s="16"/>
      <c r="R73" s="15">
        <f t="shared" si="24"/>
        <v>23777.267745000001</v>
      </c>
      <c r="S73" s="15">
        <f t="shared" si="25"/>
        <v>990.71948937500008</v>
      </c>
      <c r="T73" s="107"/>
      <c r="U73"/>
      <c r="V73" s="12">
        <v>23777.27</v>
      </c>
      <c r="W73" s="16">
        <f t="shared" si="26"/>
        <v>-9.4838473851943661E-8</v>
      </c>
      <c r="X73" s="15">
        <f t="shared" si="27"/>
        <v>23777.27</v>
      </c>
    </row>
    <row r="74" spans="1:24" x14ac:dyDescent="0.2">
      <c r="A74" s="24" t="s">
        <v>62</v>
      </c>
      <c r="B74" s="22" t="s">
        <v>69</v>
      </c>
      <c r="C74" s="44">
        <v>100021014</v>
      </c>
      <c r="D74" s="24" t="s">
        <v>72</v>
      </c>
      <c r="E74" s="49">
        <v>7790360965721</v>
      </c>
      <c r="F74" s="15">
        <v>2.04</v>
      </c>
      <c r="G74" s="19">
        <v>24</v>
      </c>
      <c r="I74" s="15">
        <f t="shared" si="19"/>
        <v>1746.2158168262504</v>
      </c>
      <c r="J74" s="15">
        <f t="shared" si="20"/>
        <v>1396.9726534610004</v>
      </c>
      <c r="K74" s="47"/>
      <c r="L74" s="15">
        <f t="shared" si="21"/>
        <v>995.27832250000017</v>
      </c>
      <c r="M74" s="15">
        <f t="shared" si="22"/>
        <v>11709.156735294118</v>
      </c>
      <c r="N74" s="40">
        <v>23886.679740000003</v>
      </c>
      <c r="O74" s="16"/>
      <c r="P74" s="15">
        <f t="shared" si="23"/>
        <v>23886.679740000003</v>
      </c>
      <c r="Q74" s="16"/>
      <c r="R74" s="15">
        <f t="shared" si="24"/>
        <v>23886.679740000003</v>
      </c>
      <c r="S74" s="15">
        <f t="shared" si="25"/>
        <v>995.27832250000017</v>
      </c>
      <c r="T74" s="107"/>
      <c r="U74"/>
      <c r="V74" s="12">
        <v>23886.68</v>
      </c>
      <c r="W74" s="16">
        <f t="shared" si="26"/>
        <v>-1.0884727230653368E-8</v>
      </c>
      <c r="X74" s="15">
        <f t="shared" si="27"/>
        <v>23886.68</v>
      </c>
    </row>
    <row r="75" spans="1:24" x14ac:dyDescent="0.2">
      <c r="A75" s="24" t="s">
        <v>62</v>
      </c>
      <c r="B75" s="22" t="s">
        <v>69</v>
      </c>
      <c r="C75" s="44">
        <v>100021054</v>
      </c>
      <c r="D75" s="24" t="s">
        <v>71</v>
      </c>
      <c r="E75" s="49">
        <v>7790360965707</v>
      </c>
      <c r="F75" s="15">
        <v>2.04</v>
      </c>
      <c r="G75" s="19">
        <v>24</v>
      </c>
      <c r="I75" s="15">
        <f t="shared" si="19"/>
        <v>1492.9641290145312</v>
      </c>
      <c r="J75" s="15">
        <f t="shared" si="20"/>
        <v>1194.371303211625</v>
      </c>
      <c r="K75" s="47"/>
      <c r="L75" s="15">
        <f t="shared" si="21"/>
        <v>850.93424281249997</v>
      </c>
      <c r="M75" s="15">
        <f t="shared" si="22"/>
        <v>10010.991091911765</v>
      </c>
      <c r="N75" s="40">
        <v>20422.421827499998</v>
      </c>
      <c r="O75" s="16"/>
      <c r="P75" s="15">
        <f t="shared" si="23"/>
        <v>20422.421827499998</v>
      </c>
      <c r="Q75" s="16"/>
      <c r="R75" s="15">
        <f t="shared" si="24"/>
        <v>20422.421827499998</v>
      </c>
      <c r="S75" s="15">
        <f t="shared" si="25"/>
        <v>850.93424281249997</v>
      </c>
      <c r="T75" s="107"/>
      <c r="U75"/>
      <c r="V75" s="12">
        <v>20422.419999999998</v>
      </c>
      <c r="W75" s="16">
        <f t="shared" si="26"/>
        <v>8.9484987642052261E-8</v>
      </c>
      <c r="X75" s="15">
        <f t="shared" si="27"/>
        <v>20422.419999999998</v>
      </c>
    </row>
    <row r="76" spans="1:24" x14ac:dyDescent="0.2">
      <c r="A76" s="24" t="s">
        <v>62</v>
      </c>
      <c r="B76" s="22" t="s">
        <v>69</v>
      </c>
      <c r="C76" s="44">
        <v>100021055</v>
      </c>
      <c r="D76" s="24" t="s">
        <v>70</v>
      </c>
      <c r="E76" s="49">
        <v>7790360965189</v>
      </c>
      <c r="F76" s="15">
        <v>2.04</v>
      </c>
      <c r="G76" s="19">
        <v>24</v>
      </c>
      <c r="I76" s="15">
        <f t="shared" si="19"/>
        <v>1492.9641290145312</v>
      </c>
      <c r="J76" s="15">
        <f t="shared" si="20"/>
        <v>1194.371303211625</v>
      </c>
      <c r="K76" s="47"/>
      <c r="L76" s="15">
        <f t="shared" si="21"/>
        <v>850.93424281249997</v>
      </c>
      <c r="M76" s="15">
        <f t="shared" si="22"/>
        <v>10010.991091911765</v>
      </c>
      <c r="N76" s="40">
        <v>20422.421827499998</v>
      </c>
      <c r="O76" s="16"/>
      <c r="P76" s="15">
        <f t="shared" si="23"/>
        <v>20422.421827499998</v>
      </c>
      <c r="Q76" s="16"/>
      <c r="R76" s="15">
        <f t="shared" si="24"/>
        <v>20422.421827499998</v>
      </c>
      <c r="S76" s="15">
        <f t="shared" si="25"/>
        <v>850.93424281249997</v>
      </c>
      <c r="T76" s="107"/>
      <c r="U76"/>
      <c r="V76" s="12">
        <v>20422.419999999998</v>
      </c>
      <c r="W76" s="16">
        <f t="shared" si="26"/>
        <v>8.9484987642052261E-8</v>
      </c>
      <c r="X76" s="15">
        <f t="shared" si="27"/>
        <v>20422.419999999998</v>
      </c>
    </row>
    <row r="77" spans="1:24" x14ac:dyDescent="0.2">
      <c r="A77" s="24" t="s">
        <v>62</v>
      </c>
      <c r="B77" s="22" t="s">
        <v>69</v>
      </c>
      <c r="C77" s="44">
        <v>100021015</v>
      </c>
      <c r="D77" s="24" t="s">
        <v>68</v>
      </c>
      <c r="E77" s="49">
        <v>7790360965202</v>
      </c>
      <c r="F77" s="15">
        <v>2.04</v>
      </c>
      <c r="G77" s="19">
        <v>24</v>
      </c>
      <c r="I77" s="15">
        <f t="shared" si="19"/>
        <v>1785.6590342516406</v>
      </c>
      <c r="J77" s="15">
        <f t="shared" si="20"/>
        <v>1428.5272274013125</v>
      </c>
      <c r="K77" s="47"/>
      <c r="L77" s="15">
        <f t="shared" si="21"/>
        <v>1017.7594951562501</v>
      </c>
      <c r="M77" s="15">
        <f t="shared" si="22"/>
        <v>11973.641119485295</v>
      </c>
      <c r="N77" s="40">
        <v>24426.227883750002</v>
      </c>
      <c r="O77" s="16"/>
      <c r="P77" s="15">
        <f t="shared" si="23"/>
        <v>24426.227883750002</v>
      </c>
      <c r="Q77" s="16"/>
      <c r="R77" s="15">
        <f t="shared" si="24"/>
        <v>24426.227883750002</v>
      </c>
      <c r="S77" s="15">
        <f t="shared" si="25"/>
        <v>1017.7594951562501</v>
      </c>
      <c r="T77" s="107"/>
      <c r="U77"/>
      <c r="V77" s="12">
        <v>24426.23</v>
      </c>
      <c r="W77" s="16">
        <f t="shared" si="26"/>
        <v>-8.6638420992990461E-8</v>
      </c>
      <c r="X77" s="15">
        <f t="shared" si="27"/>
        <v>24426.23</v>
      </c>
    </row>
    <row r="78" spans="1:24" x14ac:dyDescent="0.2">
      <c r="A78" s="24" t="s">
        <v>62</v>
      </c>
      <c r="B78" s="22" t="s">
        <v>66</v>
      </c>
      <c r="C78" s="44">
        <v>100021008</v>
      </c>
      <c r="D78" s="24" t="s">
        <v>67</v>
      </c>
      <c r="E78" s="49">
        <v>7790360720122</v>
      </c>
      <c r="F78" s="15">
        <v>2.16</v>
      </c>
      <c r="G78" s="19">
        <v>24</v>
      </c>
      <c r="I78" s="15">
        <f t="shared" si="19"/>
        <v>1011.5746859181307</v>
      </c>
      <c r="J78" s="15">
        <f t="shared" si="20"/>
        <v>809.25974873450468</v>
      </c>
      <c r="K78" s="47"/>
      <c r="L78" s="15">
        <f t="shared" si="21"/>
        <v>576.56009456718766</v>
      </c>
      <c r="M78" s="15">
        <f t="shared" si="22"/>
        <v>6406.2232729687512</v>
      </c>
      <c r="N78" s="40">
        <v>13837.442269612504</v>
      </c>
      <c r="O78" s="16"/>
      <c r="P78" s="15">
        <f t="shared" si="23"/>
        <v>13837.442269612504</v>
      </c>
      <c r="Q78" s="16"/>
      <c r="R78" s="15">
        <f t="shared" si="24"/>
        <v>13837.442269612504</v>
      </c>
      <c r="S78" s="15">
        <f t="shared" si="25"/>
        <v>576.56009456718766</v>
      </c>
      <c r="T78" s="107"/>
      <c r="U78"/>
      <c r="V78" s="12">
        <v>13837.44</v>
      </c>
      <c r="W78" s="16">
        <f t="shared" si="26"/>
        <v>1.6401968161439129E-7</v>
      </c>
      <c r="X78" s="15">
        <f t="shared" si="27"/>
        <v>13837.44</v>
      </c>
    </row>
    <row r="79" spans="1:24" x14ac:dyDescent="0.2">
      <c r="A79" s="24" t="s">
        <v>62</v>
      </c>
      <c r="B79" s="22" t="s">
        <v>66</v>
      </c>
      <c r="C79" s="44">
        <v>100021009</v>
      </c>
      <c r="D79" s="24" t="s">
        <v>65</v>
      </c>
      <c r="E79" s="49">
        <v>7790360965127</v>
      </c>
      <c r="F79" s="15">
        <v>2.16</v>
      </c>
      <c r="G79" s="19">
        <v>24</v>
      </c>
      <c r="I79" s="15">
        <f t="shared" si="19"/>
        <v>1011.5746859181307</v>
      </c>
      <c r="J79" s="15">
        <f t="shared" si="20"/>
        <v>809.25974873450468</v>
      </c>
      <c r="K79" s="47"/>
      <c r="L79" s="15">
        <f t="shared" si="21"/>
        <v>576.56009456718766</v>
      </c>
      <c r="M79" s="15">
        <f t="shared" si="22"/>
        <v>6406.2232729687512</v>
      </c>
      <c r="N79" s="40">
        <v>13837.442269612504</v>
      </c>
      <c r="O79" s="16"/>
      <c r="P79" s="15">
        <f t="shared" si="23"/>
        <v>13837.442269612504</v>
      </c>
      <c r="Q79" s="16"/>
      <c r="R79" s="15">
        <f t="shared" si="24"/>
        <v>13837.442269612504</v>
      </c>
      <c r="S79" s="15">
        <f t="shared" si="25"/>
        <v>576.56009456718766</v>
      </c>
      <c r="T79" s="107"/>
      <c r="U79"/>
      <c r="V79" s="12">
        <v>13837.44</v>
      </c>
      <c r="W79" s="16">
        <f t="shared" si="26"/>
        <v>1.6401968161439129E-7</v>
      </c>
      <c r="X79" s="15">
        <f t="shared" si="27"/>
        <v>13837.44</v>
      </c>
    </row>
    <row r="80" spans="1:24" x14ac:dyDescent="0.2">
      <c r="A80" s="24" t="s">
        <v>62</v>
      </c>
      <c r="B80" s="22" t="s">
        <v>61</v>
      </c>
      <c r="C80" s="44">
        <v>100021010</v>
      </c>
      <c r="D80" s="24" t="s">
        <v>64</v>
      </c>
      <c r="E80" s="49">
        <v>7790920008707</v>
      </c>
      <c r="F80" s="15">
        <v>2.16</v>
      </c>
      <c r="G80" s="19">
        <v>24</v>
      </c>
      <c r="I80" s="15">
        <f t="shared" si="19"/>
        <v>1011.5746859181307</v>
      </c>
      <c r="J80" s="15">
        <f t="shared" si="20"/>
        <v>809.25974873450468</v>
      </c>
      <c r="K80" s="47"/>
      <c r="L80" s="15">
        <f t="shared" si="21"/>
        <v>576.56009456718766</v>
      </c>
      <c r="M80" s="15">
        <f t="shared" si="22"/>
        <v>6406.2232729687512</v>
      </c>
      <c r="N80" s="40">
        <v>13837.442269612504</v>
      </c>
      <c r="O80" s="16"/>
      <c r="P80" s="15">
        <f t="shared" si="23"/>
        <v>13837.442269612504</v>
      </c>
      <c r="Q80" s="16"/>
      <c r="R80" s="15">
        <f t="shared" si="24"/>
        <v>13837.442269612504</v>
      </c>
      <c r="S80" s="15">
        <f t="shared" si="25"/>
        <v>576.56009456718766</v>
      </c>
      <c r="T80" s="107"/>
      <c r="U80"/>
      <c r="V80" s="12">
        <v>13837.44</v>
      </c>
      <c r="W80" s="16">
        <f t="shared" si="26"/>
        <v>1.6401968161439129E-7</v>
      </c>
      <c r="X80" s="15">
        <f t="shared" si="27"/>
        <v>13837.44</v>
      </c>
    </row>
    <row r="81" spans="1:24" x14ac:dyDescent="0.2">
      <c r="A81" s="24" t="s">
        <v>62</v>
      </c>
      <c r="B81" s="22" t="s">
        <v>61</v>
      </c>
      <c r="C81" s="44">
        <v>100021011</v>
      </c>
      <c r="D81" s="24" t="s">
        <v>63</v>
      </c>
      <c r="E81" s="49">
        <v>7790920008714</v>
      </c>
      <c r="F81" s="15">
        <v>2.16</v>
      </c>
      <c r="G81" s="19">
        <v>24</v>
      </c>
      <c r="I81" s="15">
        <f t="shared" si="19"/>
        <v>1011.5746859181307</v>
      </c>
      <c r="J81" s="15">
        <f t="shared" si="20"/>
        <v>809.25974873450468</v>
      </c>
      <c r="K81" s="47"/>
      <c r="L81" s="15">
        <f t="shared" si="21"/>
        <v>576.56009456718766</v>
      </c>
      <c r="M81" s="15">
        <f t="shared" si="22"/>
        <v>6406.2232729687512</v>
      </c>
      <c r="N81" s="40">
        <v>13837.442269612504</v>
      </c>
      <c r="O81" s="16"/>
      <c r="P81" s="15">
        <f t="shared" si="23"/>
        <v>13837.442269612504</v>
      </c>
      <c r="Q81" s="16"/>
      <c r="R81" s="15">
        <f t="shared" si="24"/>
        <v>13837.442269612504</v>
      </c>
      <c r="S81" s="15">
        <f t="shared" si="25"/>
        <v>576.56009456718766</v>
      </c>
      <c r="T81" s="107"/>
      <c r="U81"/>
      <c r="V81" s="12">
        <v>13837.44</v>
      </c>
      <c r="W81" s="16">
        <f t="shared" si="26"/>
        <v>1.6401968161439129E-7</v>
      </c>
      <c r="X81" s="15">
        <f t="shared" si="27"/>
        <v>13837.44</v>
      </c>
    </row>
    <row r="82" spans="1:24" hidden="1" x14ac:dyDescent="0.2">
      <c r="A82" s="24" t="s">
        <v>62</v>
      </c>
      <c r="B82" s="22" t="s">
        <v>61</v>
      </c>
      <c r="C82" s="44">
        <v>100021044</v>
      </c>
      <c r="D82" s="24" t="s">
        <v>60</v>
      </c>
      <c r="E82" s="49"/>
      <c r="F82" s="15">
        <v>2.16</v>
      </c>
      <c r="G82" s="19">
        <v>24</v>
      </c>
      <c r="I82" s="15">
        <f t="shared" si="19"/>
        <v>0</v>
      </c>
      <c r="J82" s="15">
        <f t="shared" si="20"/>
        <v>0</v>
      </c>
      <c r="K82" s="47"/>
      <c r="L82" s="15">
        <f t="shared" si="21"/>
        <v>0</v>
      </c>
      <c r="M82" s="15">
        <f t="shared" si="22"/>
        <v>0</v>
      </c>
      <c r="N82" s="40">
        <v>0</v>
      </c>
      <c r="O82" s="16"/>
      <c r="P82" s="15">
        <f t="shared" si="23"/>
        <v>0</v>
      </c>
      <c r="Q82" s="16"/>
      <c r="R82" s="15">
        <f t="shared" si="24"/>
        <v>0</v>
      </c>
      <c r="S82" s="15">
        <f t="shared" si="25"/>
        <v>0</v>
      </c>
      <c r="T82" s="107"/>
      <c r="U82"/>
      <c r="V82" s="12" t="s">
        <v>31</v>
      </c>
      <c r="W82" s="16" t="str">
        <f t="shared" si="26"/>
        <v/>
      </c>
      <c r="X82" s="15" t="str">
        <f t="shared" si="27"/>
        <v/>
      </c>
    </row>
    <row r="83" spans="1:24" x14ac:dyDescent="0.2">
      <c r="A83" s="37"/>
      <c r="B83" s="36"/>
      <c r="C83" s="35"/>
      <c r="D83" s="27"/>
      <c r="E83" s="35"/>
      <c r="F83" s="27"/>
      <c r="G83" s="34"/>
      <c r="I83" s="32"/>
      <c r="J83" s="33"/>
      <c r="K83" s="18"/>
      <c r="L83" s="32"/>
      <c r="M83" s="27"/>
      <c r="N83" s="27" t="s">
        <v>31</v>
      </c>
      <c r="O83" s="30"/>
      <c r="P83" s="27"/>
      <c r="Q83" s="30"/>
      <c r="R83" s="27"/>
      <c r="S83" s="25"/>
      <c r="T83" s="107"/>
      <c r="U83"/>
      <c r="V83" s="27"/>
      <c r="W83" s="45"/>
      <c r="X83" s="25"/>
    </row>
    <row r="84" spans="1:24" hidden="1" x14ac:dyDescent="0.2">
      <c r="A84" s="24" t="s">
        <v>7</v>
      </c>
      <c r="B84" s="22" t="s">
        <v>55</v>
      </c>
      <c r="C84" s="44">
        <v>100021701</v>
      </c>
      <c r="D84" s="24" t="s">
        <v>59</v>
      </c>
      <c r="E84" s="49">
        <v>7790360023889</v>
      </c>
      <c r="F84" s="15">
        <v>6.6</v>
      </c>
      <c r="G84" s="19">
        <v>20</v>
      </c>
      <c r="I84" s="15">
        <f>+L84*1.55*1.21</f>
        <v>0</v>
      </c>
      <c r="J84" s="15">
        <v>0</v>
      </c>
      <c r="K84" s="18"/>
      <c r="L84" s="15">
        <f>+IF(ISERROR(N84/G84),"",(N84/G84))</f>
        <v>0</v>
      </c>
      <c r="M84" s="15">
        <f>+IF(ISERROR(N84/F84),"",(N84/F84))</f>
        <v>0</v>
      </c>
      <c r="N84" s="40">
        <v>0</v>
      </c>
      <c r="O84" s="16"/>
      <c r="P84" s="15">
        <f>+IF(ISERROR(N84/(1-O84)),"",(N84/(1-O84)))</f>
        <v>0</v>
      </c>
      <c r="Q84" s="16"/>
      <c r="R84" s="15">
        <f>+IF(ISERROR(P84/(1-Q84)),"",(P84/(1-Q84)))</f>
        <v>0</v>
      </c>
      <c r="S84" s="15">
        <f>+IF(ISERROR(R84/G84),"",(R84/G84))</f>
        <v>0</v>
      </c>
      <c r="T84" s="107"/>
      <c r="U84"/>
      <c r="V84" s="12" t="s">
        <v>31</v>
      </c>
      <c r="W84" s="16" t="str">
        <f>+IF(ISERROR(N84/V84-1),"",(N84/V84-1))</f>
        <v/>
      </c>
      <c r="X84" s="15" t="str">
        <f>+IF(ISERROR(V84*(1-O84)),"",(V84*(1-O84)))</f>
        <v/>
      </c>
    </row>
    <row r="85" spans="1:24" x14ac:dyDescent="0.2">
      <c r="A85" s="24" t="s">
        <v>7</v>
      </c>
      <c r="B85" s="22" t="s">
        <v>55</v>
      </c>
      <c r="C85" s="44">
        <v>100516217</v>
      </c>
      <c r="D85" s="24" t="s">
        <v>58</v>
      </c>
      <c r="E85" s="49">
        <v>7790360967824</v>
      </c>
      <c r="F85" s="15">
        <v>5.8</v>
      </c>
      <c r="G85" s="19">
        <v>20</v>
      </c>
      <c r="I85" s="15">
        <f>+L85*1.55*1.21</f>
        <v>2671.5395742213755</v>
      </c>
      <c r="J85" s="15">
        <f>+I85*0.8</f>
        <v>2137.2316593771006</v>
      </c>
      <c r="K85" s="18"/>
      <c r="L85" s="15">
        <f>+IF(ISERROR(N85/G85),"",(N85/G85))</f>
        <v>1424.4412552500003</v>
      </c>
      <c r="M85" s="15">
        <f>+IF(ISERROR(N85/F85),"",(N85/F85))</f>
        <v>4911.8663974137935</v>
      </c>
      <c r="N85" s="40">
        <v>28488.825105000004</v>
      </c>
      <c r="O85" s="16"/>
      <c r="P85" s="15">
        <f>+IF(ISERROR(N85/(1-O85)),"",(N85/(1-O85)))</f>
        <v>28488.825105000004</v>
      </c>
      <c r="Q85" s="16"/>
      <c r="R85" s="15">
        <f>+IF(ISERROR(P85/(1-Q85)),"",(P85/(1-Q85)))</f>
        <v>28488.825105000004</v>
      </c>
      <c r="S85" s="15">
        <f>+IF(ISERROR(R85/G85),"",(R85/G85))</f>
        <v>1424.4412552500003</v>
      </c>
      <c r="T85" s="107"/>
      <c r="U85" s="108"/>
      <c r="V85" s="12">
        <v>27659.05</v>
      </c>
      <c r="W85" s="16">
        <f>+IF(ISERROR(N85/V85-1),"",(N85/V85-1))</f>
        <v>3.0000130337086928E-2</v>
      </c>
      <c r="X85" s="15">
        <f>+IF(ISERROR(V85*(1-O85)),"",(V85*(1-O85)))</f>
        <v>27659.05</v>
      </c>
    </row>
    <row r="86" spans="1:24" x14ac:dyDescent="0.2">
      <c r="A86" s="24" t="s">
        <v>7</v>
      </c>
      <c r="B86" s="22" t="s">
        <v>55</v>
      </c>
      <c r="C86" s="44">
        <v>100516214</v>
      </c>
      <c r="D86" s="24" t="s">
        <v>57</v>
      </c>
      <c r="E86" s="49">
        <v>7790360967794</v>
      </c>
      <c r="F86" s="15">
        <v>7</v>
      </c>
      <c r="G86" s="19">
        <v>20</v>
      </c>
      <c r="I86" s="15">
        <f>+L86*1.55*1.21</f>
        <v>3739.6951705575007</v>
      </c>
      <c r="J86" s="15">
        <f>+I86*0.8</f>
        <v>2991.7561364460007</v>
      </c>
      <c r="K86" s="18"/>
      <c r="L86" s="15">
        <f>+IF(ISERROR(N86/G86),"",(N86/G86))</f>
        <v>1993.9723650000003</v>
      </c>
      <c r="M86" s="15">
        <f>+IF(ISERROR(N86/F86),"",(N86/F86))</f>
        <v>5697.063900000001</v>
      </c>
      <c r="N86" s="40">
        <v>39879.447300000007</v>
      </c>
      <c r="O86" s="16"/>
      <c r="P86" s="15">
        <f>+IF(ISERROR(N86/(1-O86)),"",(N86/(1-O86)))</f>
        <v>39879.447300000007</v>
      </c>
      <c r="Q86" s="16"/>
      <c r="R86" s="15">
        <f>+IF(ISERROR(P86/(1-Q86)),"",(P86/(1-Q86)))</f>
        <v>39879.447300000007</v>
      </c>
      <c r="S86" s="15">
        <f>+IF(ISERROR(R86/G86),"",(R86/G86))</f>
        <v>1993.9723650000003</v>
      </c>
      <c r="T86" s="107"/>
      <c r="U86" s="108"/>
      <c r="V86" s="12">
        <v>39879.449999999997</v>
      </c>
      <c r="W86" s="16">
        <f>+IF(ISERROR(N86/V86-1),"",(N86/V86-1))</f>
        <v>-6.7704042816529864E-8</v>
      </c>
      <c r="X86" s="15">
        <f>+IF(ISERROR(V86*(1-O86)),"",(V86*(1-O86)))</f>
        <v>39879.449999999997</v>
      </c>
    </row>
    <row r="87" spans="1:24" x14ac:dyDescent="0.2">
      <c r="A87" s="24" t="s">
        <v>7</v>
      </c>
      <c r="B87" s="22" t="s">
        <v>55</v>
      </c>
      <c r="C87" s="44">
        <v>100516215</v>
      </c>
      <c r="D87" s="24" t="s">
        <v>56</v>
      </c>
      <c r="E87" s="49">
        <v>7790360967800</v>
      </c>
      <c r="F87" s="15">
        <v>7</v>
      </c>
      <c r="G87" s="19">
        <v>20</v>
      </c>
      <c r="I87" s="15">
        <f>+L87*1.55*1.21</f>
        <v>3739.6951705575007</v>
      </c>
      <c r="J87" s="15">
        <f>+I87*0.8</f>
        <v>2991.7561364460007</v>
      </c>
      <c r="K87" s="18"/>
      <c r="L87" s="15">
        <f>+IF(ISERROR(N87/G87),"",(N87/G87))</f>
        <v>1993.9723650000003</v>
      </c>
      <c r="M87" s="15">
        <f>+IF(ISERROR(N87/F87),"",(N87/F87))</f>
        <v>5697.063900000001</v>
      </c>
      <c r="N87" s="40">
        <v>39879.447300000007</v>
      </c>
      <c r="O87" s="16"/>
      <c r="P87" s="15">
        <f>+IF(ISERROR(N87/(1-O87)),"",(N87/(1-O87)))</f>
        <v>39879.447300000007</v>
      </c>
      <c r="Q87" s="16"/>
      <c r="R87" s="15">
        <f>+IF(ISERROR(P87/(1-Q87)),"",(P87/(1-Q87)))</f>
        <v>39879.447300000007</v>
      </c>
      <c r="S87" s="15">
        <f>+IF(ISERROR(R87/G87),"",(R87/G87))</f>
        <v>1993.9723650000003</v>
      </c>
      <c r="T87" s="107"/>
      <c r="U87" s="108"/>
      <c r="V87" s="12">
        <v>39879.449999999997</v>
      </c>
      <c r="W87" s="16">
        <f>+IF(ISERROR(N87/V87-1),"",(N87/V87-1))</f>
        <v>-6.7704042816529864E-8</v>
      </c>
      <c r="X87" s="15">
        <f>+IF(ISERROR(V87*(1-O87)),"",(V87*(1-O87)))</f>
        <v>39879.449999999997</v>
      </c>
    </row>
    <row r="88" spans="1:24" x14ac:dyDescent="0.2">
      <c r="A88" s="24" t="s">
        <v>7</v>
      </c>
      <c r="B88" s="22" t="s">
        <v>55</v>
      </c>
      <c r="C88" s="44">
        <v>100516216</v>
      </c>
      <c r="D88" s="24" t="s">
        <v>54</v>
      </c>
      <c r="E88" s="49">
        <v>7790360967817</v>
      </c>
      <c r="F88" s="15">
        <v>7</v>
      </c>
      <c r="G88" s="19">
        <v>20</v>
      </c>
      <c r="I88" s="15">
        <f>+L88*1.55*1.21</f>
        <v>3739.6951705575007</v>
      </c>
      <c r="J88" s="15">
        <f>+I88*0.8</f>
        <v>2991.7561364460007</v>
      </c>
      <c r="K88" s="18"/>
      <c r="L88" s="15">
        <f>+IF(ISERROR(N88/G88),"",(N88/G88))</f>
        <v>1993.9723650000003</v>
      </c>
      <c r="M88" s="15">
        <f>+IF(ISERROR(N88/F88),"",(N88/F88))</f>
        <v>5697.063900000001</v>
      </c>
      <c r="N88" s="40">
        <v>39879.447300000007</v>
      </c>
      <c r="O88" s="16"/>
      <c r="P88" s="15">
        <f>+IF(ISERROR(N88/(1-O88)),"",(N88/(1-O88)))</f>
        <v>39879.447300000007</v>
      </c>
      <c r="Q88" s="16"/>
      <c r="R88" s="15">
        <f>+IF(ISERROR(P88/(1-Q88)),"",(P88/(1-Q88)))</f>
        <v>39879.447300000007</v>
      </c>
      <c r="S88" s="15">
        <f>+IF(ISERROR(R88/G88),"",(R88/G88))</f>
        <v>1993.9723650000003</v>
      </c>
      <c r="T88" s="107"/>
      <c r="U88" s="108"/>
      <c r="V88" s="12">
        <v>39879.449999999997</v>
      </c>
      <c r="W88" s="16">
        <f>+IF(ISERROR(N88/V88-1),"",(N88/V88-1))</f>
        <v>-6.7704042816529864E-8</v>
      </c>
      <c r="X88" s="15">
        <f>+IF(ISERROR(V88*(1-O88)),"",(V88*(1-O88)))</f>
        <v>39879.449999999997</v>
      </c>
    </row>
    <row r="89" spans="1:24" x14ac:dyDescent="0.2">
      <c r="A89" s="37"/>
      <c r="B89" s="36"/>
      <c r="C89" s="35"/>
      <c r="D89" s="27"/>
      <c r="E89" s="35"/>
      <c r="F89" s="27"/>
      <c r="G89" s="34"/>
      <c r="I89" s="32"/>
      <c r="J89" s="33"/>
      <c r="K89" s="18"/>
      <c r="L89" s="32"/>
      <c r="M89" s="27"/>
      <c r="N89" s="27" t="s">
        <v>31</v>
      </c>
      <c r="O89" s="30"/>
      <c r="P89" s="27"/>
      <c r="Q89" s="30"/>
      <c r="R89" s="27"/>
      <c r="S89" s="25"/>
      <c r="T89" s="107"/>
      <c r="U89"/>
      <c r="V89" s="27"/>
      <c r="W89" s="45"/>
      <c r="X89" s="25"/>
    </row>
    <row r="90" spans="1:24" x14ac:dyDescent="0.2">
      <c r="A90" s="24" t="s">
        <v>41</v>
      </c>
      <c r="B90" s="22" t="s">
        <v>53</v>
      </c>
      <c r="C90" s="44">
        <v>100021704</v>
      </c>
      <c r="D90" s="24" t="s">
        <v>52</v>
      </c>
      <c r="E90" s="49">
        <v>7790360023902</v>
      </c>
      <c r="F90" s="15">
        <f>12*0.38</f>
        <v>4.5600000000000005</v>
      </c>
      <c r="G90" s="19">
        <v>12</v>
      </c>
      <c r="I90" s="15">
        <f t="shared" ref="I90:I101" si="28">+L90*1.55*1.21</f>
        <v>6694.77105874479</v>
      </c>
      <c r="J90" s="15">
        <f t="shared" ref="J90:J101" si="29">+I90*0.8</f>
        <v>5355.8168469958327</v>
      </c>
      <c r="K90" s="18"/>
      <c r="L90" s="15">
        <f t="shared" ref="L90:L101" si="30">+IF(ISERROR(N90/G90),"",(N90/G90))</f>
        <v>3569.5926732843454</v>
      </c>
      <c r="M90" s="15">
        <f t="shared" ref="M90:M101" si="31">+IF(ISERROR(N90/F90),"",(N90/F90))</f>
        <v>9393.6649296956457</v>
      </c>
      <c r="N90" s="40">
        <v>42835.112079412145</v>
      </c>
      <c r="O90" s="16"/>
      <c r="P90" s="15">
        <f t="shared" ref="P90:P103" si="32">+IF(ISERROR(N90/(1-O90)),"",(N90/(1-O90)))</f>
        <v>42835.112079412145</v>
      </c>
      <c r="Q90" s="16"/>
      <c r="R90" s="15">
        <f t="shared" ref="R90:R101" si="33">+IF(ISERROR(P90/(1-Q90)),"",(P90/(1-Q90)))</f>
        <v>42835.112079412145</v>
      </c>
      <c r="S90" s="15">
        <f t="shared" ref="S90:S101" si="34">+IF(ISERROR(R90/G90),"",(R90/G90))</f>
        <v>3569.5926732843454</v>
      </c>
      <c r="T90" s="107"/>
      <c r="U90"/>
      <c r="V90" s="12">
        <v>42835.11</v>
      </c>
      <c r="W90" s="16">
        <f t="shared" ref="W90:W101" si="35">+IF(ISERROR(N90/V90-1),"",(N90/V90-1))</f>
        <v>4.8544573472142361E-8</v>
      </c>
      <c r="X90" s="15">
        <f t="shared" ref="X90:X96" si="36">+IF(ISERROR(V90*(1-O90)),"",(V90*(1-O90)))</f>
        <v>42835.11</v>
      </c>
    </row>
    <row r="91" spans="1:24" x14ac:dyDescent="0.2">
      <c r="A91" s="24" t="s">
        <v>41</v>
      </c>
      <c r="B91" s="22" t="s">
        <v>40</v>
      </c>
      <c r="C91" s="44">
        <v>100021705</v>
      </c>
      <c r="D91" s="24" t="s">
        <v>51</v>
      </c>
      <c r="E91" s="49">
        <v>7790360024336</v>
      </c>
      <c r="F91" s="15">
        <f>12*0.38</f>
        <v>4.5600000000000005</v>
      </c>
      <c r="G91" s="19">
        <v>12</v>
      </c>
      <c r="I91" s="15">
        <f t="shared" si="28"/>
        <v>5654.6108350214308</v>
      </c>
      <c r="J91" s="15">
        <f t="shared" si="29"/>
        <v>4523.6886680171447</v>
      </c>
      <c r="K91" s="18"/>
      <c r="L91" s="15">
        <f t="shared" si="30"/>
        <v>3014.9884484251829</v>
      </c>
      <c r="M91" s="15">
        <f t="shared" si="31"/>
        <v>7934.1801274346908</v>
      </c>
      <c r="N91" s="40">
        <v>36179.861381102193</v>
      </c>
      <c r="O91" s="16"/>
      <c r="P91" s="15">
        <f t="shared" si="32"/>
        <v>36179.861381102193</v>
      </c>
      <c r="Q91" s="16"/>
      <c r="R91" s="15">
        <f t="shared" si="33"/>
        <v>36179.861381102193</v>
      </c>
      <c r="S91" s="15">
        <f t="shared" si="34"/>
        <v>3014.9884484251829</v>
      </c>
      <c r="T91" s="107"/>
      <c r="U91"/>
      <c r="V91" s="12">
        <v>36179.86</v>
      </c>
      <c r="W91" s="16">
        <f t="shared" si="35"/>
        <v>3.8173232130844781E-8</v>
      </c>
      <c r="X91" s="15">
        <f t="shared" si="36"/>
        <v>36179.86</v>
      </c>
    </row>
    <row r="92" spans="1:24" x14ac:dyDescent="0.2">
      <c r="A92" s="24" t="s">
        <v>41</v>
      </c>
      <c r="B92" s="22" t="s">
        <v>40</v>
      </c>
      <c r="C92" s="44">
        <v>100021709</v>
      </c>
      <c r="D92" s="24" t="s">
        <v>50</v>
      </c>
      <c r="E92" s="49">
        <v>7790360024701</v>
      </c>
      <c r="F92" s="15">
        <v>7.6</v>
      </c>
      <c r="G92" s="19">
        <v>10</v>
      </c>
      <c r="I92" s="15">
        <f t="shared" si="28"/>
        <v>12055.548577149002</v>
      </c>
      <c r="J92" s="15">
        <f t="shared" si="29"/>
        <v>9644.4388617192017</v>
      </c>
      <c r="K92" s="18"/>
      <c r="L92" s="15">
        <f t="shared" si="30"/>
        <v>6427.911798000001</v>
      </c>
      <c r="M92" s="15">
        <f t="shared" si="31"/>
        <v>8457.7786815789495</v>
      </c>
      <c r="N92" s="40">
        <v>64279.11798000001</v>
      </c>
      <c r="O92" s="16"/>
      <c r="P92" s="15">
        <f t="shared" si="32"/>
        <v>64279.11798000001</v>
      </c>
      <c r="Q92" s="16"/>
      <c r="R92" s="15">
        <f t="shared" si="33"/>
        <v>64279.11798000001</v>
      </c>
      <c r="S92" s="15">
        <f t="shared" si="34"/>
        <v>6427.911798000001</v>
      </c>
      <c r="T92" s="107"/>
      <c r="U92"/>
      <c r="V92" s="12">
        <v>64279.12</v>
      </c>
      <c r="W92" s="16">
        <f t="shared" si="35"/>
        <v>-3.1425445690125287E-8</v>
      </c>
      <c r="X92" s="15">
        <f t="shared" si="36"/>
        <v>64279.12</v>
      </c>
    </row>
    <row r="93" spans="1:24" x14ac:dyDescent="0.2">
      <c r="A93" s="24" t="s">
        <v>41</v>
      </c>
      <c r="B93" s="22" t="s">
        <v>40</v>
      </c>
      <c r="C93" s="44">
        <v>100521357</v>
      </c>
      <c r="D93" s="24" t="s">
        <v>49</v>
      </c>
      <c r="E93" s="49">
        <v>7790360982018</v>
      </c>
      <c r="F93" s="15">
        <v>4.5599999999999996</v>
      </c>
      <c r="G93" s="19">
        <v>12</v>
      </c>
      <c r="I93" s="15">
        <f t="shared" si="28"/>
        <v>7372.3133761199988</v>
      </c>
      <c r="J93" s="15">
        <f t="shared" si="29"/>
        <v>5897.8507008959996</v>
      </c>
      <c r="K93" s="18"/>
      <c r="L93" s="15">
        <f t="shared" si="30"/>
        <v>3930.8522399999997</v>
      </c>
      <c r="M93" s="15">
        <f t="shared" si="31"/>
        <v>10344.348</v>
      </c>
      <c r="N93" s="40">
        <v>47170.226879999995</v>
      </c>
      <c r="O93" s="16"/>
      <c r="P93" s="15">
        <f t="shared" si="32"/>
        <v>47170.226879999995</v>
      </c>
      <c r="Q93" s="16"/>
      <c r="R93" s="15">
        <f t="shared" si="33"/>
        <v>47170.226879999995</v>
      </c>
      <c r="S93" s="15">
        <f t="shared" si="34"/>
        <v>3930.8522399999997</v>
      </c>
      <c r="T93" s="107"/>
      <c r="U93"/>
      <c r="V93" s="12">
        <v>47170.23</v>
      </c>
      <c r="W93" s="16">
        <f t="shared" si="35"/>
        <v>-6.614341307997762E-8</v>
      </c>
      <c r="X93" s="15">
        <f t="shared" si="36"/>
        <v>47170.23</v>
      </c>
    </row>
    <row r="94" spans="1:24" x14ac:dyDescent="0.2">
      <c r="A94" s="24" t="s">
        <v>41</v>
      </c>
      <c r="B94" s="22" t="s">
        <v>40</v>
      </c>
      <c r="C94" s="44">
        <v>100521358</v>
      </c>
      <c r="D94" s="24" t="s">
        <v>48</v>
      </c>
      <c r="E94" s="49">
        <v>7790360982025</v>
      </c>
      <c r="F94" s="15">
        <v>7.6</v>
      </c>
      <c r="G94" s="19">
        <v>10</v>
      </c>
      <c r="I94" s="15">
        <f t="shared" si="28"/>
        <v>13270.164077016001</v>
      </c>
      <c r="J94" s="15">
        <f t="shared" si="29"/>
        <v>10616.131261612802</v>
      </c>
      <c r="K94" s="18"/>
      <c r="L94" s="15">
        <f t="shared" si="30"/>
        <v>7075.5340320000005</v>
      </c>
      <c r="M94" s="15">
        <f t="shared" si="31"/>
        <v>9309.9132000000009</v>
      </c>
      <c r="N94" s="40">
        <v>70755.340320000003</v>
      </c>
      <c r="O94" s="16"/>
      <c r="P94" s="15">
        <f t="shared" si="32"/>
        <v>70755.340320000003</v>
      </c>
      <c r="Q94" s="16"/>
      <c r="R94" s="15">
        <f t="shared" si="33"/>
        <v>70755.340320000003</v>
      </c>
      <c r="S94" s="15">
        <f t="shared" si="34"/>
        <v>7075.5340320000005</v>
      </c>
      <c r="T94" s="107"/>
      <c r="U94"/>
      <c r="V94" s="12">
        <v>70755.34</v>
      </c>
      <c r="W94" s="16">
        <f t="shared" si="35"/>
        <v>4.5226269396181351E-9</v>
      </c>
      <c r="X94" s="15">
        <f t="shared" si="36"/>
        <v>70755.34</v>
      </c>
    </row>
    <row r="95" spans="1:24" x14ac:dyDescent="0.2">
      <c r="A95" s="24" t="s">
        <v>41</v>
      </c>
      <c r="B95" s="22" t="s">
        <v>40</v>
      </c>
      <c r="C95" s="44">
        <v>100522130</v>
      </c>
      <c r="D95" s="24" t="s">
        <v>47</v>
      </c>
      <c r="E95" s="49">
        <v>7790360982445</v>
      </c>
      <c r="F95" s="15">
        <v>4.8</v>
      </c>
      <c r="G95" s="19">
        <v>12</v>
      </c>
      <c r="I95" s="15">
        <f t="shared" si="28"/>
        <v>5512.6859651820032</v>
      </c>
      <c r="J95" s="15">
        <f t="shared" si="29"/>
        <v>4410.1487721456024</v>
      </c>
      <c r="K95" s="18"/>
      <c r="L95" s="15">
        <f t="shared" si="30"/>
        <v>2939.3153640000014</v>
      </c>
      <c r="M95" s="15">
        <f t="shared" si="31"/>
        <v>7348.2884100000038</v>
      </c>
      <c r="N95" s="40">
        <v>35271.784368000015</v>
      </c>
      <c r="O95" s="16"/>
      <c r="P95" s="15">
        <f t="shared" si="32"/>
        <v>35271.784368000015</v>
      </c>
      <c r="Q95" s="16"/>
      <c r="R95" s="15">
        <f t="shared" si="33"/>
        <v>35271.784368000015</v>
      </c>
      <c r="S95" s="15">
        <f t="shared" si="34"/>
        <v>2939.3153640000014</v>
      </c>
      <c r="T95" s="107"/>
      <c r="U95"/>
      <c r="V95" s="12">
        <v>35271.79</v>
      </c>
      <c r="W95" s="16">
        <f t="shared" si="35"/>
        <v>-1.5967434563446403E-7</v>
      </c>
      <c r="X95" s="15">
        <f t="shared" si="36"/>
        <v>35271.79</v>
      </c>
    </row>
    <row r="96" spans="1:24" s="38" customFormat="1" x14ac:dyDescent="0.2">
      <c r="A96" s="24" t="s">
        <v>41</v>
      </c>
      <c r="B96" s="22" t="s">
        <v>40</v>
      </c>
      <c r="C96" s="23">
        <v>100021725</v>
      </c>
      <c r="D96" s="22" t="s">
        <v>46</v>
      </c>
      <c r="E96" s="21">
        <v>7790360027009</v>
      </c>
      <c r="F96" s="10">
        <v>6</v>
      </c>
      <c r="G96" s="48">
        <v>4</v>
      </c>
      <c r="I96" s="15">
        <f t="shared" si="28"/>
        <v>15142.737306283132</v>
      </c>
      <c r="J96" s="15">
        <f t="shared" si="29"/>
        <v>12114.189845026507</v>
      </c>
      <c r="K96" s="18"/>
      <c r="L96" s="10">
        <f t="shared" si="30"/>
        <v>8073.9735037500031</v>
      </c>
      <c r="M96" s="10">
        <f t="shared" si="31"/>
        <v>5382.6490025000021</v>
      </c>
      <c r="N96" s="40">
        <v>32295.894015000013</v>
      </c>
      <c r="O96" s="16"/>
      <c r="P96" s="15">
        <f t="shared" si="32"/>
        <v>32295.894015000013</v>
      </c>
      <c r="Q96" s="11"/>
      <c r="R96" s="10">
        <f t="shared" si="33"/>
        <v>32295.894015000013</v>
      </c>
      <c r="S96" s="10">
        <f t="shared" si="34"/>
        <v>8073.9735037500031</v>
      </c>
      <c r="T96" s="107"/>
      <c r="U96"/>
      <c r="V96" s="12">
        <v>32295.89</v>
      </c>
      <c r="W96" s="11">
        <f t="shared" si="35"/>
        <v>1.243192249145153E-7</v>
      </c>
      <c r="X96" s="10">
        <f t="shared" si="36"/>
        <v>32295.89</v>
      </c>
    </row>
    <row r="97" spans="1:24" x14ac:dyDescent="0.2">
      <c r="A97" s="24" t="s">
        <v>41</v>
      </c>
      <c r="B97" s="22" t="s">
        <v>40</v>
      </c>
      <c r="C97" s="44">
        <v>100517055</v>
      </c>
      <c r="D97" s="24" t="s">
        <v>45</v>
      </c>
      <c r="E97" s="49">
        <v>7790360971135</v>
      </c>
      <c r="F97" s="15">
        <v>3.12</v>
      </c>
      <c r="G97" s="19">
        <v>12</v>
      </c>
      <c r="I97" s="15">
        <f t="shared" si="28"/>
        <v>4582.5493998900001</v>
      </c>
      <c r="J97" s="15">
        <f t="shared" si="29"/>
        <v>3666.0395199120003</v>
      </c>
      <c r="K97" s="18"/>
      <c r="L97" s="15">
        <f t="shared" si="30"/>
        <v>2443.3747800000001</v>
      </c>
      <c r="M97" s="15">
        <f t="shared" si="31"/>
        <v>9397.595307692307</v>
      </c>
      <c r="N97" s="40">
        <v>29320.497360000001</v>
      </c>
      <c r="O97" s="16"/>
      <c r="P97" s="15">
        <f t="shared" si="32"/>
        <v>29320.497360000001</v>
      </c>
      <c r="Q97" s="11"/>
      <c r="R97" s="10">
        <f t="shared" si="33"/>
        <v>29320.497360000001</v>
      </c>
      <c r="S97" s="10">
        <f t="shared" si="34"/>
        <v>2443.3747800000001</v>
      </c>
      <c r="T97" s="107"/>
      <c r="U97"/>
      <c r="V97" s="12">
        <v>29320.5</v>
      </c>
      <c r="W97" s="11">
        <f t="shared" si="35"/>
        <v>-9.0039392164342757E-8</v>
      </c>
      <c r="X97" s="15"/>
    </row>
    <row r="98" spans="1:24" x14ac:dyDescent="0.2">
      <c r="A98" s="24" t="s">
        <v>41</v>
      </c>
      <c r="B98" s="22" t="s">
        <v>40</v>
      </c>
      <c r="C98" s="44">
        <v>100517186</v>
      </c>
      <c r="D98" s="24" t="s">
        <v>44</v>
      </c>
      <c r="E98" s="49">
        <v>7790360971395</v>
      </c>
      <c r="F98" s="15">
        <v>8</v>
      </c>
      <c r="G98" s="19">
        <v>8</v>
      </c>
      <c r="I98" s="15">
        <f t="shared" si="28"/>
        <v>17368.975837795315</v>
      </c>
      <c r="J98" s="15">
        <f t="shared" si="29"/>
        <v>13895.180670236252</v>
      </c>
      <c r="K98" s="18"/>
      <c r="L98" s="15">
        <f t="shared" si="30"/>
        <v>9260.9841843750019</v>
      </c>
      <c r="M98" s="15">
        <f t="shared" si="31"/>
        <v>9260.9841843750019</v>
      </c>
      <c r="N98" s="40">
        <v>74087.873475000015</v>
      </c>
      <c r="O98" s="16"/>
      <c r="P98" s="15">
        <f t="shared" si="32"/>
        <v>74087.873475000015</v>
      </c>
      <c r="Q98" s="11"/>
      <c r="R98" s="10">
        <f t="shared" si="33"/>
        <v>74087.873475000015</v>
      </c>
      <c r="S98" s="10">
        <f t="shared" si="34"/>
        <v>9260.9841843750019</v>
      </c>
      <c r="T98" s="107"/>
      <c r="U98"/>
      <c r="V98" s="12">
        <v>74087.88</v>
      </c>
      <c r="W98" s="11">
        <f t="shared" si="35"/>
        <v>-8.8071085202479082E-8</v>
      </c>
      <c r="X98" s="15"/>
    </row>
    <row r="99" spans="1:24" x14ac:dyDescent="0.2">
      <c r="A99" s="24" t="s">
        <v>41</v>
      </c>
      <c r="B99" s="22" t="s">
        <v>40</v>
      </c>
      <c r="C99" s="44">
        <v>100521663</v>
      </c>
      <c r="D99" s="24" t="s">
        <v>43</v>
      </c>
      <c r="E99" s="49">
        <v>7790360982537</v>
      </c>
      <c r="F99" s="15">
        <v>4.8</v>
      </c>
      <c r="G99" s="19">
        <v>12</v>
      </c>
      <c r="I99" s="15">
        <f t="shared" si="28"/>
        <v>7490.0513067187512</v>
      </c>
      <c r="J99" s="15">
        <f t="shared" si="29"/>
        <v>5992.041045375001</v>
      </c>
      <c r="K99" s="18"/>
      <c r="L99" s="15">
        <f t="shared" si="30"/>
        <v>3993.6290625000006</v>
      </c>
      <c r="M99" s="15">
        <f t="shared" si="31"/>
        <v>9984.0726562500022</v>
      </c>
      <c r="N99" s="40">
        <v>47923.548750000009</v>
      </c>
      <c r="O99" s="16"/>
      <c r="P99" s="15">
        <f t="shared" si="32"/>
        <v>47923.548750000009</v>
      </c>
      <c r="Q99" s="16"/>
      <c r="R99" s="15">
        <f t="shared" si="33"/>
        <v>47923.548750000009</v>
      </c>
      <c r="S99" s="15">
        <f t="shared" si="34"/>
        <v>3993.6290625000006</v>
      </c>
      <c r="T99" s="107"/>
      <c r="U99"/>
      <c r="V99" s="12">
        <v>47923.55</v>
      </c>
      <c r="W99" s="16">
        <f t="shared" si="35"/>
        <v>-2.6083209481164715E-8</v>
      </c>
      <c r="X99" s="15">
        <f>+IF(ISERROR(V99*(1-O99)),"",(V99*(1-O99)))</f>
        <v>47923.55</v>
      </c>
    </row>
    <row r="100" spans="1:24" s="38" customFormat="1" x14ac:dyDescent="0.2">
      <c r="A100" s="24" t="s">
        <v>41</v>
      </c>
      <c r="B100" s="22" t="s">
        <v>40</v>
      </c>
      <c r="C100" s="23">
        <v>100021728</v>
      </c>
      <c r="D100" s="22" t="s">
        <v>42</v>
      </c>
      <c r="E100" s="21">
        <v>7790360967558</v>
      </c>
      <c r="F100" s="10">
        <v>3.84</v>
      </c>
      <c r="G100" s="48">
        <v>12</v>
      </c>
      <c r="I100" s="15">
        <f t="shared" si="28"/>
        <v>5760.460090793722</v>
      </c>
      <c r="J100" s="15">
        <f t="shared" si="29"/>
        <v>4608.3680726349776</v>
      </c>
      <c r="K100" s="18"/>
      <c r="L100" s="10">
        <f t="shared" si="30"/>
        <v>3071.4263347340561</v>
      </c>
      <c r="M100" s="10">
        <f t="shared" si="31"/>
        <v>9598.2072960439255</v>
      </c>
      <c r="N100" s="40">
        <v>36857.116016808672</v>
      </c>
      <c r="O100" s="16"/>
      <c r="P100" s="15">
        <f t="shared" si="32"/>
        <v>36857.116016808672</v>
      </c>
      <c r="Q100" s="11"/>
      <c r="R100" s="10">
        <f t="shared" si="33"/>
        <v>36857.116016808672</v>
      </c>
      <c r="S100" s="10">
        <f t="shared" si="34"/>
        <v>3071.4263347340561</v>
      </c>
      <c r="T100" s="107"/>
      <c r="U100"/>
      <c r="V100" s="12">
        <v>36857.120000000003</v>
      </c>
      <c r="W100" s="11">
        <f t="shared" si="35"/>
        <v>-1.080711496959097E-7</v>
      </c>
      <c r="X100" s="10">
        <f>+IF(ISERROR(V100*(1-O100)),"",(V100*(1-O100)))</f>
        <v>36857.120000000003</v>
      </c>
    </row>
    <row r="101" spans="1:24" s="38" customFormat="1" x14ac:dyDescent="0.2">
      <c r="A101" s="24" t="s">
        <v>41</v>
      </c>
      <c r="B101" s="22" t="s">
        <v>40</v>
      </c>
      <c r="C101" s="23">
        <v>100517679</v>
      </c>
      <c r="D101" s="22" t="s">
        <v>39</v>
      </c>
      <c r="E101" s="21">
        <v>7790360973498</v>
      </c>
      <c r="F101" s="10">
        <v>7.68</v>
      </c>
      <c r="G101" s="48">
        <v>8</v>
      </c>
      <c r="I101" s="15">
        <f t="shared" si="28"/>
        <v>9547.5696268846204</v>
      </c>
      <c r="J101" s="15">
        <f t="shared" si="29"/>
        <v>7638.0557015076965</v>
      </c>
      <c r="K101" s="18"/>
      <c r="L101" s="10">
        <f t="shared" si="30"/>
        <v>5090.679619773191</v>
      </c>
      <c r="M101" s="10">
        <f t="shared" si="31"/>
        <v>5302.7912705970739</v>
      </c>
      <c r="N101" s="40">
        <v>40725.436958185528</v>
      </c>
      <c r="O101" s="16"/>
      <c r="P101" s="15">
        <f t="shared" si="32"/>
        <v>40725.436958185528</v>
      </c>
      <c r="Q101" s="11"/>
      <c r="R101" s="10">
        <f t="shared" si="33"/>
        <v>40725.436958185528</v>
      </c>
      <c r="S101" s="10">
        <f t="shared" si="34"/>
        <v>5090.679619773191</v>
      </c>
      <c r="T101" s="107"/>
      <c r="U101"/>
      <c r="V101" s="12">
        <v>40725.440000000002</v>
      </c>
      <c r="W101" s="11">
        <f t="shared" si="35"/>
        <v>-7.4690770013319252E-8</v>
      </c>
      <c r="X101" s="10">
        <f>+IF(ISERROR(V101*(1-O101)),"",(V101*(1-O101)))</f>
        <v>40725.440000000002</v>
      </c>
    </row>
    <row r="102" spans="1:24" hidden="1" x14ac:dyDescent="0.2">
      <c r="A102" s="37"/>
      <c r="B102" s="36"/>
      <c r="C102" s="35"/>
      <c r="D102" s="27"/>
      <c r="E102" s="35"/>
      <c r="F102" s="27"/>
      <c r="G102" s="34"/>
      <c r="I102" s="32"/>
      <c r="J102" s="33"/>
      <c r="K102" s="47"/>
      <c r="L102" s="32"/>
      <c r="M102" s="27"/>
      <c r="N102" s="40" t="s">
        <v>31</v>
      </c>
      <c r="O102" s="30"/>
      <c r="P102" s="15" t="str">
        <f t="shared" si="32"/>
        <v/>
      </c>
      <c r="Q102" s="30"/>
      <c r="R102" s="27"/>
      <c r="S102" s="25"/>
      <c r="T102" s="107"/>
      <c r="U102"/>
      <c r="V102" s="27"/>
      <c r="W102" s="45"/>
      <c r="X102" s="25"/>
    </row>
    <row r="103" spans="1:24" hidden="1" x14ac:dyDescent="0.2">
      <c r="A103" s="24" t="s">
        <v>38</v>
      </c>
      <c r="B103" s="24" t="s">
        <v>37</v>
      </c>
      <c r="C103" s="44">
        <v>100022200</v>
      </c>
      <c r="D103" s="24" t="s">
        <v>36</v>
      </c>
      <c r="E103" s="43">
        <v>7790360027085</v>
      </c>
      <c r="F103" s="15">
        <v>3</v>
      </c>
      <c r="G103" s="19">
        <v>10</v>
      </c>
      <c r="I103" s="15">
        <f>+L103*1.55*1.21</f>
        <v>0</v>
      </c>
      <c r="J103" s="15">
        <f>+I103*0.8</f>
        <v>0</v>
      </c>
      <c r="K103" s="47"/>
      <c r="L103" s="15">
        <f>+IF(ISERROR(N103/G103),"",(N103/G103))</f>
        <v>0</v>
      </c>
      <c r="M103" s="15">
        <f>+IF(ISERROR(N103/F103),"",(N103/F103))</f>
        <v>0</v>
      </c>
      <c r="N103" s="40">
        <v>0</v>
      </c>
      <c r="O103" s="16"/>
      <c r="P103" s="15">
        <f t="shared" si="32"/>
        <v>0</v>
      </c>
      <c r="Q103" s="16"/>
      <c r="R103" s="15">
        <f>+IF(ISERROR(P103/(1-Q103)),"",(P103/(1-Q103)))</f>
        <v>0</v>
      </c>
      <c r="S103" s="15">
        <f>+IF(ISERROR(R103/G103),"",(R103/G103))</f>
        <v>0</v>
      </c>
      <c r="T103" s="107"/>
      <c r="U103"/>
      <c r="V103" s="12" t="s">
        <v>31</v>
      </c>
      <c r="W103" s="16" t="str">
        <f>+IF(ISERROR(N103/V103-1),"",(N103/V103-1))</f>
        <v/>
      </c>
      <c r="X103" s="15" t="str">
        <f>+IF(ISERROR(V103*(1-O103)),"",(V103*(1-O103)))</f>
        <v/>
      </c>
    </row>
    <row r="104" spans="1:24" x14ac:dyDescent="0.2">
      <c r="A104" s="37"/>
      <c r="B104" s="36"/>
      <c r="C104" s="35"/>
      <c r="D104" s="27"/>
      <c r="E104" s="35"/>
      <c r="F104" s="27"/>
      <c r="G104" s="34"/>
      <c r="I104" s="32"/>
      <c r="J104" s="33"/>
      <c r="K104" s="47"/>
      <c r="L104" s="32"/>
      <c r="M104" s="27"/>
      <c r="N104" s="27" t="s">
        <v>31</v>
      </c>
      <c r="O104" s="30"/>
      <c r="P104" s="27"/>
      <c r="Q104" s="30"/>
      <c r="R104" s="27"/>
      <c r="S104" s="25"/>
      <c r="T104" s="107"/>
      <c r="U104"/>
      <c r="V104" s="27" t="s">
        <v>31</v>
      </c>
      <c r="W104" s="45"/>
      <c r="X104" s="25" t="str">
        <f>+IF(ISERROR(V104*(1-O104)),"",(V104*(1-O104)))</f>
        <v/>
      </c>
    </row>
    <row r="105" spans="1:24" hidden="1" x14ac:dyDescent="0.2">
      <c r="A105" s="24" t="s">
        <v>34</v>
      </c>
      <c r="B105" s="24" t="s">
        <v>33</v>
      </c>
      <c r="C105" s="44">
        <v>100516219</v>
      </c>
      <c r="D105" s="24" t="s">
        <v>35</v>
      </c>
      <c r="E105" s="43">
        <v>7790360967770</v>
      </c>
      <c r="F105" s="15">
        <v>10</v>
      </c>
      <c r="G105" s="19">
        <v>25</v>
      </c>
      <c r="I105" s="15">
        <f>+L105*1.55*1.21</f>
        <v>0</v>
      </c>
      <c r="J105" s="15">
        <f>+I105*0.8</f>
        <v>0</v>
      </c>
      <c r="K105" s="42"/>
      <c r="L105" s="15">
        <f>+IF(ISERROR(N105/G105),"",(N105/G105))</f>
        <v>0</v>
      </c>
      <c r="M105" s="15">
        <f>+IF(ISERROR(N105/F105),"",(N105/F105))</f>
        <v>0</v>
      </c>
      <c r="N105" s="40">
        <v>0</v>
      </c>
      <c r="O105" s="16"/>
      <c r="P105" s="15">
        <f>+IF(ISERROR(N105/(1-O105)),"",(N105/(1-O105)))</f>
        <v>0</v>
      </c>
      <c r="Q105" s="16"/>
      <c r="R105" s="15">
        <f>+IF(ISERROR(P105/(1-Q105)),"",(P105/(1-Q105)))</f>
        <v>0</v>
      </c>
      <c r="S105" s="15">
        <f>+IF(ISERROR(R105/G105),"",(R105/G105))</f>
        <v>0</v>
      </c>
      <c r="T105" s="107"/>
      <c r="U105"/>
      <c r="V105" s="12" t="s">
        <v>31</v>
      </c>
      <c r="W105" s="16" t="str">
        <f>+IF(ISERROR(N105/V105-1),"",(N105/V105-1))</f>
        <v/>
      </c>
      <c r="X105" s="15" t="str">
        <f>+IF(ISERROR(V105*(1-O105)),"",(V105*(1-O105)))</f>
        <v/>
      </c>
    </row>
    <row r="106" spans="1:24" hidden="1" x14ac:dyDescent="0.2">
      <c r="A106" s="24" t="s">
        <v>34</v>
      </c>
      <c r="B106" s="24" t="s">
        <v>33</v>
      </c>
      <c r="C106" s="44">
        <v>100516220</v>
      </c>
      <c r="D106" s="24" t="s">
        <v>32</v>
      </c>
      <c r="E106" s="43">
        <v>7790360967787</v>
      </c>
      <c r="F106" s="15">
        <v>12</v>
      </c>
      <c r="G106" s="19">
        <v>6</v>
      </c>
      <c r="I106" s="15">
        <f>+L106*1.55*1.21</f>
        <v>0</v>
      </c>
      <c r="J106" s="15">
        <f>+I106*0.8</f>
        <v>0</v>
      </c>
      <c r="K106" s="42"/>
      <c r="L106" s="15">
        <f>+IF(ISERROR(N106/G106),"",(N106/G106))</f>
        <v>0</v>
      </c>
      <c r="M106" s="15">
        <f>+IF(ISERROR(N106/F106),"",(N106/F106))</f>
        <v>0</v>
      </c>
      <c r="N106" s="40">
        <v>0</v>
      </c>
      <c r="O106" s="16"/>
      <c r="P106" s="15">
        <f>+IF(ISERROR(N106/(1-O106)),"",(N106/(1-O106)))</f>
        <v>0</v>
      </c>
      <c r="Q106" s="16"/>
      <c r="R106" s="15">
        <f>+IF(ISERROR(P106/(1-Q106)),"",(P106/(1-Q106)))</f>
        <v>0</v>
      </c>
      <c r="S106" s="15">
        <f>+IF(ISERROR(R106/G106),"",(R106/G106))</f>
        <v>0</v>
      </c>
      <c r="T106" s="107"/>
      <c r="U106"/>
      <c r="V106" s="12" t="s">
        <v>31</v>
      </c>
      <c r="W106" s="16" t="str">
        <f>+IF(ISERROR(N106/V106-1),"",(N106/V106-1))</f>
        <v/>
      </c>
      <c r="X106" s="15" t="str">
        <f>+IF(ISERROR(V106*(1-O106)),"",(V106*(1-O106)))</f>
        <v/>
      </c>
    </row>
    <row r="107" spans="1:24" hidden="1" x14ac:dyDescent="0.2">
      <c r="A107" s="37"/>
      <c r="B107" s="36"/>
      <c r="C107" s="35"/>
      <c r="D107" s="27"/>
      <c r="E107" s="35"/>
      <c r="F107" s="27"/>
      <c r="G107" s="34"/>
      <c r="I107" s="32"/>
      <c r="J107" s="33"/>
      <c r="K107" s="47"/>
      <c r="L107" s="32"/>
      <c r="M107" s="27"/>
      <c r="N107" s="40" t="s">
        <v>31</v>
      </c>
      <c r="O107" s="30"/>
      <c r="P107" s="27"/>
      <c r="Q107" s="30"/>
      <c r="R107" s="27"/>
      <c r="S107" s="25"/>
      <c r="T107" s="107"/>
      <c r="U107"/>
      <c r="V107" s="27"/>
      <c r="W107" s="45"/>
      <c r="X107" s="25"/>
    </row>
    <row r="108" spans="1:24" x14ac:dyDescent="0.2">
      <c r="A108" s="24" t="s">
        <v>28</v>
      </c>
      <c r="B108" s="24" t="s">
        <v>28</v>
      </c>
      <c r="C108" s="44">
        <v>100518158</v>
      </c>
      <c r="D108" s="24" t="s">
        <v>30</v>
      </c>
      <c r="E108" s="43">
        <v>7790360974280</v>
      </c>
      <c r="F108" s="15">
        <v>12</v>
      </c>
      <c r="G108" s="19">
        <v>24</v>
      </c>
      <c r="I108" s="15">
        <f>+L108*1.55*1.21</f>
        <v>6083.4375000000018</v>
      </c>
      <c r="J108" s="15">
        <f>+I108*0.8</f>
        <v>4866.7500000000018</v>
      </c>
      <c r="K108" s="18"/>
      <c r="L108" s="15">
        <f>+IF(ISERROR(N108/G108),"",(N108/G108))</f>
        <v>3243.6350306584918</v>
      </c>
      <c r="M108" s="15">
        <f>+IF(ISERROR(N108/F108),"",(N108/F108))</f>
        <v>6487.2700613169836</v>
      </c>
      <c r="N108" s="40">
        <v>77847.240735803804</v>
      </c>
      <c r="O108" s="16"/>
      <c r="P108" s="15">
        <f>+IF(ISERROR(N108/(1-O108)),"",(N108/(1-O108)))</f>
        <v>77847.240735803804</v>
      </c>
      <c r="Q108" s="16"/>
      <c r="R108" s="15">
        <f>+IF(ISERROR(P108/(1-Q108)),"",(P108/(1-Q108)))</f>
        <v>77847.240735803804</v>
      </c>
      <c r="S108" s="15">
        <f>+IF(ISERROR(R108/G108),"",(R108/G108))</f>
        <v>3243.6350306584918</v>
      </c>
      <c r="T108" s="107"/>
      <c r="U108"/>
      <c r="V108" s="12">
        <v>77847.240000000005</v>
      </c>
      <c r="W108" s="16">
        <f>+IF(ISERROR(N108/V108-1),"",(N108/V108-1))</f>
        <v>9.451893268064282E-9</v>
      </c>
      <c r="X108" s="15">
        <f>+IF(ISERROR(V108*(1-O108)),"",(V108*(1-O108)))</f>
        <v>77847.240000000005</v>
      </c>
    </row>
    <row r="109" spans="1:24" x14ac:dyDescent="0.2">
      <c r="A109" s="24" t="s">
        <v>28</v>
      </c>
      <c r="B109" s="24" t="s">
        <v>28</v>
      </c>
      <c r="C109" s="44">
        <v>100518160</v>
      </c>
      <c r="D109" s="24" t="s">
        <v>29</v>
      </c>
      <c r="E109" s="43">
        <v>7790360974686</v>
      </c>
      <c r="F109" s="15">
        <v>12</v>
      </c>
      <c r="G109" s="19">
        <v>12</v>
      </c>
      <c r="I109" s="15">
        <f>+L109*1.55*1.21</f>
        <v>12166.875000000004</v>
      </c>
      <c r="J109" s="15">
        <f>+I109*0.8</f>
        <v>9733.5000000000036</v>
      </c>
      <c r="K109" s="18"/>
      <c r="L109" s="15">
        <f>+IF(ISERROR(N109/G109),"",(N109/G109))</f>
        <v>6487.2700613169836</v>
      </c>
      <c r="M109" s="15">
        <f>+IF(ISERROR(N109/F109),"",(N109/F109))</f>
        <v>6487.2700613169836</v>
      </c>
      <c r="N109" s="40">
        <v>77847.240735803804</v>
      </c>
      <c r="O109" s="16"/>
      <c r="P109" s="15">
        <f>+IF(ISERROR(N109/(1-O109)),"",(N109/(1-O109)))</f>
        <v>77847.240735803804</v>
      </c>
      <c r="Q109" s="16"/>
      <c r="R109" s="15">
        <f>+IF(ISERROR(P109/(1-Q109)),"",(P109/(1-Q109)))</f>
        <v>77847.240735803804</v>
      </c>
      <c r="S109" s="15">
        <f>+IF(ISERROR(R109/G109),"",(R109/G109))</f>
        <v>6487.2700613169836</v>
      </c>
      <c r="T109" s="107"/>
      <c r="U109"/>
      <c r="V109" s="12">
        <v>77847.240000000005</v>
      </c>
      <c r="W109" s="16">
        <f>+IF(ISERROR(N109/V109-1),"",(N109/V109-1))</f>
        <v>9.451893268064282E-9</v>
      </c>
      <c r="X109" s="15">
        <f>+IF(ISERROR(V109*(1-O109)),"",(V109*(1-O109)))</f>
        <v>77847.240000000005</v>
      </c>
    </row>
    <row r="110" spans="1:24" x14ac:dyDescent="0.2">
      <c r="A110" s="24" t="s">
        <v>28</v>
      </c>
      <c r="B110" s="24" t="s">
        <v>28</v>
      </c>
      <c r="C110" s="44">
        <v>100518463</v>
      </c>
      <c r="D110" s="24" t="s">
        <v>27</v>
      </c>
      <c r="E110" s="43">
        <v>7790360975188</v>
      </c>
      <c r="F110" s="15">
        <v>5</v>
      </c>
      <c r="G110" s="19">
        <v>1</v>
      </c>
      <c r="I110" s="15">
        <f>+L110*1.55*1.21</f>
        <v>62562.0205546875</v>
      </c>
      <c r="J110" s="15">
        <f>+I110*0.8</f>
        <v>50049.616443750005</v>
      </c>
      <c r="K110" s="18"/>
      <c r="L110" s="15">
        <f>+IF(ISERROR(N110/G110),"",(N110/G110))</f>
        <v>33357.515625</v>
      </c>
      <c r="M110" s="15">
        <f>+IF(ISERROR(N110/F110),"",(N110/F110))</f>
        <v>6671.5031250000002</v>
      </c>
      <c r="N110" s="40">
        <v>33357.515625</v>
      </c>
      <c r="O110" s="16"/>
      <c r="P110" s="15">
        <f>+IF(ISERROR(N110/(1-O110)),"",(N110/(1-O110)))</f>
        <v>33357.515625</v>
      </c>
      <c r="Q110" s="16"/>
      <c r="R110" s="15">
        <f>+IF(ISERROR(P110/(1-Q110)),"",(P110/(1-Q110)))</f>
        <v>33357.515625</v>
      </c>
      <c r="S110" s="15">
        <f>+IF(ISERROR(R110/G110),"",(R110/G110))</f>
        <v>33357.515625</v>
      </c>
      <c r="T110" s="107"/>
      <c r="U110"/>
      <c r="V110" s="12">
        <v>33357.519999999997</v>
      </c>
      <c r="W110" s="16">
        <f>+IF(ISERROR(N110/V110-1),"",(N110/V110-1))</f>
        <v>-1.3115483399328554E-7</v>
      </c>
      <c r="X110" s="15">
        <f>+IF(ISERROR(V110*(1-O110)),"",(V110*(1-O110)))</f>
        <v>33357.519999999997</v>
      </c>
    </row>
    <row r="111" spans="1:24" x14ac:dyDescent="0.2">
      <c r="A111" s="37"/>
      <c r="B111" s="36"/>
      <c r="C111" s="35"/>
      <c r="D111" s="27"/>
      <c r="E111" s="35"/>
      <c r="F111" s="27"/>
      <c r="G111" s="34"/>
      <c r="I111" s="32"/>
      <c r="J111" s="33"/>
      <c r="K111" s="18"/>
      <c r="L111" s="32"/>
      <c r="M111" s="27"/>
      <c r="N111" s="27" t="s">
        <v>31</v>
      </c>
      <c r="O111" s="30"/>
      <c r="P111" s="27"/>
      <c r="Q111" s="30"/>
      <c r="R111" s="27"/>
      <c r="S111" s="25"/>
      <c r="T111" s="107"/>
      <c r="U111"/>
      <c r="V111" s="27"/>
      <c r="W111" s="45"/>
      <c r="X111" s="25"/>
    </row>
    <row r="112" spans="1:24" x14ac:dyDescent="0.2">
      <c r="A112" s="24"/>
      <c r="B112" s="24"/>
      <c r="C112" s="44">
        <v>100518291</v>
      </c>
      <c r="D112" s="24" t="s">
        <v>26</v>
      </c>
      <c r="E112" s="43">
        <v>7790360975195</v>
      </c>
      <c r="F112" s="15">
        <v>5</v>
      </c>
      <c r="G112" s="19">
        <v>10</v>
      </c>
      <c r="I112" s="15">
        <f>+L112*1.55*1.21</f>
        <v>2874.9615933332047</v>
      </c>
      <c r="J112" s="15">
        <f>+I112*0.8</f>
        <v>2299.9692746665637</v>
      </c>
      <c r="K112" s="42"/>
      <c r="L112" s="15">
        <f>+IF(ISERROR(N112/G112),"",(N112/G112))</f>
        <v>1532.9040753576139</v>
      </c>
      <c r="M112" s="15">
        <f>+IF(ISERROR(N112/F112),"",(N112/F112))</f>
        <v>3065.8081507152278</v>
      </c>
      <c r="N112" s="40">
        <v>15329.040753576139</v>
      </c>
      <c r="O112" s="16"/>
      <c r="P112" s="15">
        <f>+IF(ISERROR(N112/(1-O112)),"",(N112/(1-O112)))</f>
        <v>15329.040753576139</v>
      </c>
      <c r="Q112" s="16"/>
      <c r="R112" s="15">
        <f>+IF(ISERROR(P112/(1-Q112)),"",(P112/(1-Q112)))</f>
        <v>15329.040753576139</v>
      </c>
      <c r="S112" s="15">
        <f>+IF(ISERROR(R112/G112),"",(R112/G112))</f>
        <v>1532.9040753576139</v>
      </c>
      <c r="T112" s="107"/>
      <c r="U112"/>
      <c r="V112" s="12">
        <v>15329.04</v>
      </c>
      <c r="W112" s="16">
        <f>+IF(ISERROR(N112/V112-1),"",(N112/V112-1))</f>
        <v>4.9160034709672118E-8</v>
      </c>
      <c r="X112" s="15">
        <f>+IF(ISERROR(V112*(1-O112)),"",(V112*(1-O112)))</f>
        <v>15329.04</v>
      </c>
    </row>
    <row r="113" spans="1:24" x14ac:dyDescent="0.2">
      <c r="A113" s="24"/>
      <c r="B113" s="24"/>
      <c r="C113" s="44">
        <v>100518292</v>
      </c>
      <c r="D113" s="24" t="s">
        <v>25</v>
      </c>
      <c r="E113" s="43">
        <v>7790360975201</v>
      </c>
      <c r="F113" s="15">
        <v>12</v>
      </c>
      <c r="G113" s="19">
        <v>12</v>
      </c>
      <c r="I113" s="15">
        <f>+L113*1.55*1.21</f>
        <v>5653.236250795806</v>
      </c>
      <c r="J113" s="15">
        <f>+I113*0.8</f>
        <v>4522.5890006366453</v>
      </c>
      <c r="K113" s="42"/>
      <c r="L113" s="15">
        <f>+IF(ISERROR(N113/G113),"",(N113/G113))</f>
        <v>3014.2555322824878</v>
      </c>
      <c r="M113" s="15">
        <f>+IF(ISERROR(N113/F113),"",(N113/F113))</f>
        <v>3014.2555322824878</v>
      </c>
      <c r="N113" s="40">
        <v>36171.066387389852</v>
      </c>
      <c r="O113" s="16"/>
      <c r="P113" s="15">
        <f>+IF(ISERROR(N113/(1-O113)),"",(N113/(1-O113)))</f>
        <v>36171.066387389852</v>
      </c>
      <c r="Q113" s="16"/>
      <c r="R113" s="15">
        <f>+IF(ISERROR(P113/(1-Q113)),"",(P113/(1-Q113)))</f>
        <v>36171.066387389852</v>
      </c>
      <c r="S113" s="15">
        <f>+IF(ISERROR(R113/G113),"",(R113/G113))</f>
        <v>3014.2555322824878</v>
      </c>
      <c r="T113" s="107"/>
      <c r="U113"/>
      <c r="V113" s="12">
        <v>36171.07</v>
      </c>
      <c r="W113" s="16">
        <f>+IF(ISERROR(N113/V113-1),"",(N113/V113-1))</f>
        <v>-9.9875678172267612E-8</v>
      </c>
      <c r="X113" s="15">
        <f>+IF(ISERROR(V113*(1-O113)),"",(V113*(1-O113)))</f>
        <v>36171.07</v>
      </c>
    </row>
    <row r="114" spans="1:24" x14ac:dyDescent="0.2">
      <c r="A114" s="37"/>
      <c r="B114" s="36"/>
      <c r="C114" s="35"/>
      <c r="D114" s="27"/>
      <c r="E114" s="35"/>
      <c r="F114" s="27"/>
      <c r="G114" s="34"/>
      <c r="I114" s="32"/>
      <c r="J114" s="33"/>
      <c r="K114" s="47"/>
      <c r="L114" s="32"/>
      <c r="M114" s="27"/>
      <c r="N114" s="46" t="s">
        <v>31</v>
      </c>
      <c r="O114" s="30"/>
      <c r="P114" s="27"/>
      <c r="Q114" s="30"/>
      <c r="R114" s="27"/>
      <c r="S114" s="25"/>
      <c r="T114" s="107"/>
      <c r="U114"/>
      <c r="V114" s="27"/>
      <c r="W114" s="45"/>
      <c r="X114" s="25"/>
    </row>
    <row r="115" spans="1:24" x14ac:dyDescent="0.2">
      <c r="A115" s="24" t="s">
        <v>23</v>
      </c>
      <c r="B115" s="24" t="s">
        <v>23</v>
      </c>
      <c r="C115" s="44">
        <v>100517915</v>
      </c>
      <c r="D115" s="24" t="s">
        <v>24</v>
      </c>
      <c r="E115" s="43">
        <v>7790360974020</v>
      </c>
      <c r="F115" s="15">
        <v>18</v>
      </c>
      <c r="G115" s="19">
        <v>36</v>
      </c>
      <c r="I115" s="15">
        <f>+L115*1.55*1.105</f>
        <v>7887.5301733308888</v>
      </c>
      <c r="J115" s="15">
        <f>+I115*0.9</f>
        <v>7098.7771559978</v>
      </c>
      <c r="K115" s="18"/>
      <c r="L115" s="15">
        <f>+IF(ISERROR(N115/G115),"",(N115/G115))</f>
        <v>4605.1847457777776</v>
      </c>
      <c r="M115" s="15">
        <f>+IF(ISERROR(N115/F115),"",(N115/F115))</f>
        <v>9210.3694915555552</v>
      </c>
      <c r="N115" s="17">
        <v>165786.65084799999</v>
      </c>
      <c r="O115" s="16"/>
      <c r="P115" s="15">
        <f>+IF(ISERROR(N115/(1-O115)),"",(N115/(1-O115)))</f>
        <v>165786.65084799999</v>
      </c>
      <c r="Q115" s="16"/>
      <c r="R115" s="15">
        <f>+IF(ISERROR(P115/(1-Q115)),"",(P115/(1-Q115)))</f>
        <v>165786.65084799999</v>
      </c>
      <c r="S115" s="15">
        <f>+IF(ISERROR(R115/G115),"",(R115/G115))</f>
        <v>4605.1847457777776</v>
      </c>
      <c r="T115" s="107"/>
      <c r="U115" s="108"/>
      <c r="V115" s="12">
        <v>159410.23000000001</v>
      </c>
      <c r="W115" s="16">
        <f>+IF(ISERROR(N115/V115-1),"",(N115/V115-1))</f>
        <v>4.0000073069337949E-2</v>
      </c>
      <c r="X115" s="15">
        <f>+IF(ISERROR(V115*(1-O115)),"",(V115*(1-O115)))</f>
        <v>159410.23000000001</v>
      </c>
    </row>
    <row r="116" spans="1:24" x14ac:dyDescent="0.2">
      <c r="A116" s="24" t="s">
        <v>23</v>
      </c>
      <c r="B116" s="24" t="s">
        <v>23</v>
      </c>
      <c r="C116" s="44">
        <v>100517914</v>
      </c>
      <c r="D116" s="24" t="s">
        <v>22</v>
      </c>
      <c r="E116" s="43">
        <v>7790360974037</v>
      </c>
      <c r="F116" s="15">
        <v>20</v>
      </c>
      <c r="G116" s="19">
        <v>20</v>
      </c>
      <c r="I116" s="15">
        <f>+L116*1.55*1.105</f>
        <v>15492.686940374802</v>
      </c>
      <c r="J116" s="15">
        <f>+I116*0.9</f>
        <v>13943.418246337322</v>
      </c>
      <c r="K116" s="18"/>
      <c r="L116" s="15">
        <f>+IF(ISERROR(N116/G116),"",(N116/G116))</f>
        <v>9045.5039792000007</v>
      </c>
      <c r="M116" s="15">
        <f>+IF(ISERROR(N116/F116),"",(N116/F116))</f>
        <v>9045.5039792000007</v>
      </c>
      <c r="N116" s="17">
        <v>180910.07958400002</v>
      </c>
      <c r="O116" s="16"/>
      <c r="P116" s="15">
        <f>+IF(ISERROR(N116/(1-O116)),"",(N116/(1-O116)))</f>
        <v>180910.07958400002</v>
      </c>
      <c r="Q116" s="16"/>
      <c r="R116" s="15">
        <f>+IF(ISERROR(P116/(1-Q116)),"",(P116/(1-Q116)))</f>
        <v>180910.07958400002</v>
      </c>
      <c r="S116" s="15">
        <f>+IF(ISERROR(R116/G116),"",(R116/G116))</f>
        <v>9045.5039792000007</v>
      </c>
      <c r="T116" s="107"/>
      <c r="U116" s="108"/>
      <c r="V116" s="12">
        <v>173952</v>
      </c>
      <c r="W116" s="16">
        <f>+IF(ISERROR(N116/V116-1),"",(N116/V116-1))</f>
        <v>3.9999997608535898E-2</v>
      </c>
      <c r="X116" s="15">
        <f>+IF(ISERROR(V116*(1-O116)),"",(V116*(1-O116)))</f>
        <v>173952</v>
      </c>
    </row>
    <row r="117" spans="1:24" x14ac:dyDescent="0.2">
      <c r="A117" s="37"/>
      <c r="B117" s="36"/>
      <c r="C117" s="35"/>
      <c r="D117" s="27"/>
      <c r="E117" s="35"/>
      <c r="F117" s="27"/>
      <c r="G117" s="34"/>
      <c r="I117" s="32"/>
      <c r="J117" s="33"/>
      <c r="K117" s="42"/>
      <c r="L117" s="32"/>
      <c r="M117" s="27"/>
      <c r="N117" s="31" t="s">
        <v>31</v>
      </c>
      <c r="O117" s="30"/>
      <c r="P117" s="27"/>
      <c r="Q117" s="30"/>
      <c r="R117" s="27"/>
      <c r="S117" s="25"/>
      <c r="T117" s="107"/>
      <c r="U117"/>
      <c r="V117" s="27"/>
      <c r="W117" s="26"/>
      <c r="X117" s="25"/>
    </row>
    <row r="118" spans="1:24" x14ac:dyDescent="0.2">
      <c r="A118" s="24"/>
      <c r="B118" s="22"/>
      <c r="C118" s="23">
        <v>100010689</v>
      </c>
      <c r="D118" s="22" t="s">
        <v>21</v>
      </c>
      <c r="E118" s="21"/>
      <c r="F118" s="20">
        <v>22</v>
      </c>
      <c r="G118" s="19">
        <v>1</v>
      </c>
      <c r="H118" s="38"/>
      <c r="I118" s="15">
        <f>+L118*1.33333333333333*1.105</f>
        <v>25856.999999999935</v>
      </c>
      <c r="J118" s="15">
        <f>+I118*0.9</f>
        <v>23271.299999999941</v>
      </c>
      <c r="K118" s="18"/>
      <c r="L118" s="15">
        <f>+IF(ISERROR(N118/G118),"",(N118/G118))</f>
        <v>17550</v>
      </c>
      <c r="M118" s="15">
        <f>+IF(ISERROR(N118/G118),"",(N118/G118))</f>
        <v>17550</v>
      </c>
      <c r="N118" s="17">
        <v>17550</v>
      </c>
      <c r="O118" s="16"/>
      <c r="P118" s="15">
        <f>+IF(ISERROR(N118/(1-O118)),"",(N118/(1-O118)))</f>
        <v>17550</v>
      </c>
      <c r="Q118" s="16"/>
      <c r="R118" s="15">
        <f>+IF(ISERROR(P118/(1-Q118)),"",(P118/(1-Q118)))</f>
        <v>17550</v>
      </c>
      <c r="S118" s="15">
        <f>+IF(ISERROR(R118/G118),"",(R118/G118))</f>
        <v>17550</v>
      </c>
      <c r="T118" s="107"/>
      <c r="U118"/>
      <c r="V118" s="12">
        <v>18388.009999999998</v>
      </c>
      <c r="W118" s="11">
        <f>+IF(ISERROR(P118/V118-1),"",(P118/V118-1))</f>
        <v>-4.5573718961431808E-2</v>
      </c>
      <c r="X118" s="10">
        <f>+IF(ISERROR(V118*(1-O118)),"",(V118*(1-O118)))</f>
        <v>18388.009999999998</v>
      </c>
    </row>
    <row r="119" spans="1:24" x14ac:dyDescent="0.2">
      <c r="A119" s="24"/>
      <c r="B119" s="22"/>
      <c r="C119" s="23">
        <v>100518335</v>
      </c>
      <c r="D119" s="22" t="s">
        <v>20</v>
      </c>
      <c r="E119" s="21"/>
      <c r="F119" s="20">
        <v>22.5</v>
      </c>
      <c r="G119" s="19">
        <v>1</v>
      </c>
      <c r="H119" s="38"/>
      <c r="I119" s="15">
        <f>+L119*1.33333333333333*1.105</f>
        <v>18469.28571428567</v>
      </c>
      <c r="J119" s="15">
        <f>+I119*0.9</f>
        <v>16622.357142857105</v>
      </c>
      <c r="K119" s="18"/>
      <c r="L119" s="15">
        <f>+IF(ISERROR(N119/G119),"",(N119/G119))</f>
        <v>12535.714285714288</v>
      </c>
      <c r="M119" s="15">
        <f>+IF(ISERROR(N119/G119),"",(N119/G119))</f>
        <v>12535.714285714288</v>
      </c>
      <c r="N119" s="17">
        <v>12535.714285714288</v>
      </c>
      <c r="O119" s="16"/>
      <c r="P119" s="15">
        <f>+IF(ISERROR(N119/(1-O119)),"",(N119/(1-O119)))</f>
        <v>12535.714285714288</v>
      </c>
      <c r="Q119" s="16"/>
      <c r="R119" s="15">
        <f>+IF(ISERROR(P119/(1-Q119)),"",(P119/(1-Q119)))</f>
        <v>12535.714285714288</v>
      </c>
      <c r="S119" s="15">
        <f>+IF(ISERROR(R119/G119),"",(R119/G119))</f>
        <v>12535.714285714288</v>
      </c>
      <c r="T119" s="107"/>
      <c r="U119"/>
      <c r="V119" s="12">
        <v>11647.5</v>
      </c>
      <c r="W119" s="11">
        <f>+IF(ISERROR(P119/V119-1),"",(P119/V119-1))</f>
        <v>7.6257933952718515E-2</v>
      </c>
      <c r="X119" s="10">
        <f>+IF(ISERROR(V119*(1-O119)),"",(V119*(1-O119)))</f>
        <v>11647.5</v>
      </c>
    </row>
    <row r="120" spans="1:24" x14ac:dyDescent="0.2">
      <c r="A120" s="24"/>
      <c r="B120" s="22"/>
      <c r="C120" s="23">
        <v>100518332</v>
      </c>
      <c r="D120" s="22" t="s">
        <v>19</v>
      </c>
      <c r="E120" s="21"/>
      <c r="F120" s="20">
        <v>21.5</v>
      </c>
      <c r="G120" s="19">
        <v>1</v>
      </c>
      <c r="H120" s="38"/>
      <c r="I120" s="15">
        <f>+L120*1.33333333333333*1.105</f>
        <v>21239.678571428514</v>
      </c>
      <c r="J120" s="15">
        <f>+I120*0.9</f>
        <v>19115.710714285662</v>
      </c>
      <c r="K120" s="18"/>
      <c r="L120" s="15">
        <f>+IF(ISERROR(N120/G120),"",(N120/G120))</f>
        <v>14416.071428571428</v>
      </c>
      <c r="M120" s="15">
        <f>+IF(ISERROR(N120/G120),"",(N120/G120))</f>
        <v>14416.071428571428</v>
      </c>
      <c r="N120" s="17">
        <v>14416.071428571428</v>
      </c>
      <c r="O120" s="16"/>
      <c r="P120" s="15">
        <f>+IF(ISERROR(N120/(1-O120)),"",(N120/(1-O120)))</f>
        <v>14416.071428571428</v>
      </c>
      <c r="Q120" s="16"/>
      <c r="R120" s="15">
        <f>+IF(ISERROR(P120/(1-Q120)),"",(P120/(1-Q120)))</f>
        <v>14416.071428571428</v>
      </c>
      <c r="S120" s="15">
        <f>+IF(ISERROR(R120/G120),"",(R120/G120))</f>
        <v>14416.071428571428</v>
      </c>
      <c r="T120" s="107"/>
      <c r="U120"/>
      <c r="V120" s="12">
        <v>12534.65</v>
      </c>
      <c r="W120" s="11">
        <f>+IF(ISERROR(P120/V120-1),"",(P120/V120-1))</f>
        <v>0.15009764361760625</v>
      </c>
      <c r="X120" s="10">
        <f>+IF(ISERROR(V120*(1-O120)),"",(V120*(1-O120)))</f>
        <v>12534.65</v>
      </c>
    </row>
    <row r="121" spans="1:24" x14ac:dyDescent="0.2">
      <c r="A121" s="24"/>
      <c r="B121" s="22"/>
      <c r="C121" s="23">
        <v>100518334</v>
      </c>
      <c r="D121" s="22" t="s">
        <v>18</v>
      </c>
      <c r="E121" s="21"/>
      <c r="F121" s="20">
        <v>22.5</v>
      </c>
      <c r="G121" s="19">
        <v>1</v>
      </c>
      <c r="H121" s="38"/>
      <c r="I121" s="15">
        <f>+L121*1.33333333333333*1.105</f>
        <v>18838.671428571382</v>
      </c>
      <c r="J121" s="15">
        <f>+I121*0.9</f>
        <v>16954.804285714246</v>
      </c>
      <c r="K121" s="18"/>
      <c r="L121" s="15">
        <f>+IF(ISERROR(N121/G121),"",(N121/G121))</f>
        <v>12786.428571428572</v>
      </c>
      <c r="M121" s="15">
        <f>+IF(ISERROR(N121/G121),"",(N121/G121))</f>
        <v>12786.428571428572</v>
      </c>
      <c r="N121" s="17">
        <v>12786.428571428572</v>
      </c>
      <c r="O121" s="16"/>
      <c r="P121" s="15">
        <f>+IF(ISERROR(N121/(1-O121)),"",(N121/(1-O121)))</f>
        <v>12786.428571428572</v>
      </c>
      <c r="Q121" s="16"/>
      <c r="R121" s="15">
        <f>+IF(ISERROR(P121/(1-Q121)),"",(P121/(1-Q121)))</f>
        <v>12786.428571428572</v>
      </c>
      <c r="S121" s="15">
        <f>+IF(ISERROR(R121/G121),"",(R121/G121))</f>
        <v>12786.428571428572</v>
      </c>
      <c r="T121" s="107"/>
      <c r="U121"/>
      <c r="V121" s="12">
        <v>10316.77</v>
      </c>
      <c r="W121" s="11">
        <f>+IF(ISERROR(P121/V121-1),"",(P121/V121-1))</f>
        <v>0.23938292425134722</v>
      </c>
      <c r="X121" s="10">
        <f>+IF(ISERROR(V121*(1-O121)),"",(V121*(1-O121)))</f>
        <v>10316.77</v>
      </c>
    </row>
    <row r="122" spans="1:24" x14ac:dyDescent="0.2">
      <c r="A122" s="24"/>
      <c r="B122" s="22"/>
      <c r="C122" s="23">
        <v>100518227</v>
      </c>
      <c r="D122" s="22" t="s">
        <v>17</v>
      </c>
      <c r="E122" s="21"/>
      <c r="F122" s="20">
        <v>22.5</v>
      </c>
      <c r="G122" s="19">
        <v>1</v>
      </c>
      <c r="H122" s="38"/>
      <c r="I122" s="15">
        <f>+L122*1.33333333333333*1.105</f>
        <v>21793.757142857085</v>
      </c>
      <c r="J122" s="15">
        <f>+I122*0.9</f>
        <v>19614.381428571378</v>
      </c>
      <c r="K122" s="18"/>
      <c r="L122" s="15">
        <f>+IF(ISERROR(N122/G122),"",(N122/G122))</f>
        <v>14792.142857142855</v>
      </c>
      <c r="M122" s="15">
        <f>+IF(ISERROR(N122/G122),"",(N122/G122))</f>
        <v>14792.142857142855</v>
      </c>
      <c r="N122" s="17">
        <v>14792.142857142855</v>
      </c>
      <c r="O122" s="16"/>
      <c r="P122" s="15">
        <f>+IF(ISERROR(N122/(1-O122)),"",(N122/(1-O122)))</f>
        <v>14792.142857142855</v>
      </c>
      <c r="Q122" s="16"/>
      <c r="R122" s="15">
        <f>+IF(ISERROR(P122/(1-Q122)),"",(P122/(1-Q122)))</f>
        <v>14792.142857142855</v>
      </c>
      <c r="S122" s="15">
        <f>+IF(ISERROR(R122/G122),"",(R122/G122))</f>
        <v>14792.142857142855</v>
      </c>
      <c r="T122" s="107"/>
      <c r="U122"/>
      <c r="V122" s="12">
        <v>10316.77</v>
      </c>
      <c r="W122" s="11">
        <f>+IF(ISERROR(P122/V122-1),"",(P122/V122-1))</f>
        <v>0.43379593197704858</v>
      </c>
      <c r="X122" s="10">
        <f>+IF(ISERROR(V122*(1-O122)),"",(V122*(1-O122)))</f>
        <v>10316.77</v>
      </c>
    </row>
    <row r="123" spans="1:24" x14ac:dyDescent="0.2">
      <c r="A123" s="37"/>
      <c r="B123" s="36"/>
      <c r="C123" s="35"/>
      <c r="D123" s="27"/>
      <c r="E123" s="35"/>
      <c r="F123" s="27"/>
      <c r="G123" s="34"/>
      <c r="I123" s="32"/>
      <c r="J123" s="33"/>
      <c r="K123" s="42"/>
      <c r="L123" s="32"/>
      <c r="M123" s="27"/>
      <c r="N123" s="31" t="s">
        <v>31</v>
      </c>
      <c r="O123" s="30"/>
      <c r="P123" s="27"/>
      <c r="Q123" s="30"/>
      <c r="R123" s="27"/>
      <c r="S123" s="25"/>
      <c r="T123" s="107"/>
      <c r="U123"/>
      <c r="V123" s="27"/>
      <c r="W123" s="26"/>
      <c r="X123" s="25"/>
    </row>
    <row r="124" spans="1:24" x14ac:dyDescent="0.2">
      <c r="A124" s="24" t="s">
        <v>15</v>
      </c>
      <c r="B124" s="22" t="s">
        <v>14</v>
      </c>
      <c r="C124" s="23">
        <v>100520837</v>
      </c>
      <c r="D124" s="22" t="s">
        <v>16</v>
      </c>
      <c r="E124" s="21">
        <v>7790360980625</v>
      </c>
      <c r="F124" s="20">
        <v>4.8</v>
      </c>
      <c r="G124" s="19">
        <v>12</v>
      </c>
      <c r="H124" s="38"/>
      <c r="I124" s="15">
        <f>+L124*1.55*1.21</f>
        <v>5774.3988750000008</v>
      </c>
      <c r="J124" s="15">
        <f>+I124*0.8</f>
        <v>4619.5191000000004</v>
      </c>
      <c r="K124" s="18"/>
      <c r="L124" s="15">
        <f>+IF(ISERROR(N124/G124),"",(N124/G124))</f>
        <v>3078.8583711010397</v>
      </c>
      <c r="M124" s="15">
        <f>+IF(ISERROR(N124/F124),"",(N124/F124))</f>
        <v>7697.1459277525992</v>
      </c>
      <c r="N124" s="17">
        <v>36946.300453212476</v>
      </c>
      <c r="O124" s="16"/>
      <c r="P124" s="15">
        <f>+IF(ISERROR(N124/(1-O124)),"",(N124/(1-O124)))</f>
        <v>36946.300453212476</v>
      </c>
      <c r="Q124" s="16"/>
      <c r="R124" s="15">
        <f>+IF(ISERROR(P124/(1-Q124)),"",(P124/(1-Q124)))</f>
        <v>36946.300453212476</v>
      </c>
      <c r="S124" s="15">
        <f>+IF(ISERROR(R124/G124),"",(R124/G124))</f>
        <v>3078.8583711010397</v>
      </c>
      <c r="T124" s="107"/>
      <c r="U124"/>
      <c r="V124" s="12">
        <v>36946.300000000003</v>
      </c>
      <c r="W124" s="11">
        <f>+IF(ISERROR(N124/V124-1),"",(N124/V124-1))</f>
        <v>1.2266789140014112E-8</v>
      </c>
      <c r="X124" s="10">
        <f>+IF(ISERROR(V124*(1-O124)),"",(V124*(1-O124)))</f>
        <v>36946.300000000003</v>
      </c>
    </row>
    <row r="125" spans="1:24" x14ac:dyDescent="0.2">
      <c r="A125" s="24" t="s">
        <v>15</v>
      </c>
      <c r="B125" s="22" t="s">
        <v>14</v>
      </c>
      <c r="C125" s="23">
        <v>100522395</v>
      </c>
      <c r="D125" s="22" t="s">
        <v>13</v>
      </c>
      <c r="E125" s="21">
        <v>7790360985101</v>
      </c>
      <c r="F125" s="20">
        <v>4.8</v>
      </c>
      <c r="G125" s="19">
        <v>12</v>
      </c>
      <c r="H125" s="38"/>
      <c r="I125" s="15">
        <f>+L125*1.55*1.21</f>
        <v>5889.8868524999998</v>
      </c>
      <c r="J125" s="15">
        <f>+I125*0.8</f>
        <v>4711.909482</v>
      </c>
      <c r="K125" s="18"/>
      <c r="L125" s="15">
        <f>+IF(ISERROR(N125/G125),"",(N125/G125))</f>
        <v>3140.4355385230606</v>
      </c>
      <c r="M125" s="15">
        <f>+IF(ISERROR(N125/F125),"",(N125/F125))</f>
        <v>7851.0888463076517</v>
      </c>
      <c r="N125" s="17">
        <v>37685.226462276725</v>
      </c>
      <c r="O125" s="16"/>
      <c r="P125" s="15">
        <f>+IF(ISERROR(N125/(1-O125)),"",(N125/(1-O125)))</f>
        <v>37685.226462276725</v>
      </c>
      <c r="Q125" s="16"/>
      <c r="R125" s="15">
        <f>+IF(ISERROR(P125/(1-Q125)),"",(P125/(1-Q125)))</f>
        <v>37685.226462276725</v>
      </c>
      <c r="S125" s="15">
        <f>+IF(ISERROR(R125/G125),"",(R125/G125))</f>
        <v>3140.4355385230606</v>
      </c>
      <c r="T125" s="107"/>
      <c r="U125" s="28"/>
      <c r="V125" s="12">
        <v>37685.230000000003</v>
      </c>
      <c r="W125" s="11">
        <f>+IF(ISERROR(N125/V125-1),"",(N125/V125-1))</f>
        <v>-9.3875592077630188E-8</v>
      </c>
      <c r="X125" s="10">
        <f>+IF(ISERROR(V125*(1-O125)),"",(V125*(1-O125)))</f>
        <v>37685.230000000003</v>
      </c>
    </row>
    <row r="126" spans="1:24" x14ac:dyDescent="0.2">
      <c r="A126" s="37"/>
      <c r="B126" s="36"/>
      <c r="C126" s="35"/>
      <c r="D126" s="27"/>
      <c r="E126" s="35"/>
      <c r="F126" s="27"/>
      <c r="G126" s="34"/>
      <c r="I126" s="32"/>
      <c r="J126" s="33"/>
      <c r="K126" s="18"/>
      <c r="L126" s="32"/>
      <c r="M126" s="27"/>
      <c r="N126" s="31" t="s">
        <v>31</v>
      </c>
      <c r="O126" s="30"/>
      <c r="P126" s="27"/>
      <c r="Q126" s="30"/>
      <c r="R126" s="27"/>
      <c r="S126" s="25"/>
      <c r="T126" s="107"/>
      <c r="U126"/>
      <c r="V126" s="27"/>
      <c r="W126" s="26"/>
      <c r="X126" s="25"/>
    </row>
    <row r="127" spans="1:24" x14ac:dyDescent="0.2">
      <c r="A127" s="24"/>
      <c r="B127" s="22"/>
      <c r="C127" s="23">
        <v>100520902</v>
      </c>
      <c r="D127" s="22" t="s">
        <v>12</v>
      </c>
      <c r="E127" s="21">
        <v>7790360981042</v>
      </c>
      <c r="F127" s="20">
        <v>9.8000000000000007</v>
      </c>
      <c r="G127" s="19">
        <v>14</v>
      </c>
      <c r="H127" s="38"/>
      <c r="I127" s="15">
        <f>+L127*1.55*1.21</f>
        <v>4477.3591708812273</v>
      </c>
      <c r="J127" s="15">
        <f>+I127*0.8</f>
        <v>3581.8873367049819</v>
      </c>
      <c r="K127" s="18"/>
      <c r="L127" s="15">
        <f>+IF(ISERROR(N127/G127),"",(N127/G127))</f>
        <v>2387.2882809284069</v>
      </c>
      <c r="M127" s="15">
        <f>+IF(ISERROR(N127/F127),"",(N127/F127))</f>
        <v>3410.4118298977241</v>
      </c>
      <c r="N127" s="17">
        <v>33422.0359329977</v>
      </c>
      <c r="O127" s="16"/>
      <c r="P127" s="15">
        <f>+IF(ISERROR(N127/(1-O127)),"",(N127/(1-O127)))</f>
        <v>33422.0359329977</v>
      </c>
      <c r="Q127" s="16"/>
      <c r="R127" s="15">
        <f>+IF(ISERROR(P127/(1-Q127)),"",(P127/(1-Q127)))</f>
        <v>33422.0359329977</v>
      </c>
      <c r="S127" s="15">
        <f>+IF(ISERROR(R127/G127),"",(R127/G127))</f>
        <v>2387.2882809284069</v>
      </c>
      <c r="T127" s="107"/>
      <c r="U127"/>
      <c r="V127" s="12">
        <v>33422.04</v>
      </c>
      <c r="W127" s="11">
        <f>+IF(ISERROR(N127/V127-1),"",(N127/V127-1))</f>
        <v>-1.2168623764186037E-7</v>
      </c>
      <c r="X127" s="10">
        <f>+IF(ISERROR(V127*(1-O127)),"",(V127*(1-O127)))</f>
        <v>33422.04</v>
      </c>
    </row>
    <row r="128" spans="1:24" x14ac:dyDescent="0.2">
      <c r="A128" s="37"/>
      <c r="B128" s="36"/>
      <c r="C128" s="35"/>
      <c r="D128" s="27"/>
      <c r="E128" s="35"/>
      <c r="F128" s="27"/>
      <c r="G128" s="34"/>
      <c r="I128" s="32"/>
      <c r="J128" s="33"/>
      <c r="K128" s="42"/>
      <c r="L128" s="32"/>
      <c r="M128" s="27"/>
      <c r="N128" s="31" t="s">
        <v>31</v>
      </c>
      <c r="O128" s="30"/>
      <c r="P128" s="27"/>
      <c r="Q128" s="30"/>
      <c r="R128" s="27"/>
      <c r="S128" s="25"/>
      <c r="T128" s="107"/>
      <c r="U128" s="28"/>
      <c r="V128" s="27"/>
      <c r="W128" s="26"/>
      <c r="X128" s="25"/>
    </row>
    <row r="129" spans="1:24" x14ac:dyDescent="0.2">
      <c r="A129" s="24" t="s">
        <v>7</v>
      </c>
      <c r="B129" s="24" t="s">
        <v>10</v>
      </c>
      <c r="C129" s="23">
        <v>100521457</v>
      </c>
      <c r="D129" s="22" t="s">
        <v>11</v>
      </c>
      <c r="E129" s="21">
        <v>7790360982254</v>
      </c>
      <c r="F129" s="20">
        <v>4.8</v>
      </c>
      <c r="G129" s="19">
        <v>16</v>
      </c>
      <c r="H129" s="38"/>
      <c r="I129" s="15">
        <f>+L129*1.55*1.21</f>
        <v>4374.7284121406256</v>
      </c>
      <c r="J129" s="15">
        <f>+I129*0.8</f>
        <v>3499.7827297125004</v>
      </c>
      <c r="K129" s="18"/>
      <c r="L129" s="15">
        <f>+IF(ISERROR(N129/G129),"",(N129/G129))</f>
        <v>2332.5664687500002</v>
      </c>
      <c r="M129" s="15">
        <f>+IF(ISERROR(N129/F129),"",(N129/F129))</f>
        <v>7775.2215625000008</v>
      </c>
      <c r="N129" s="17">
        <v>37321.063500000004</v>
      </c>
      <c r="O129" s="16"/>
      <c r="P129" s="15">
        <f>+IF(ISERROR(N129/(1-O129)),"",(N129/(1-O129)))</f>
        <v>37321.063500000004</v>
      </c>
      <c r="Q129" s="16"/>
      <c r="R129" s="15">
        <f>+IF(ISERROR(P129/(1-Q129)),"",(P129/(1-Q129)))</f>
        <v>37321.063500000004</v>
      </c>
      <c r="S129" s="15">
        <f>+IF(ISERROR(R129/G129),"",(R129/G129))</f>
        <v>2332.5664687500002</v>
      </c>
      <c r="T129" s="107"/>
      <c r="U129" s="108"/>
      <c r="V129" s="12">
        <v>37321.06</v>
      </c>
      <c r="W129" s="11">
        <f>+IF(ISERROR(N129/V129-1),"",(N129/V129-1))</f>
        <v>9.3780830656697844E-8</v>
      </c>
      <c r="X129" s="10">
        <f>+IF(ISERROR(V129*(1-O129)),"",(V129*(1-O129)))</f>
        <v>37321.06</v>
      </c>
    </row>
    <row r="130" spans="1:24" x14ac:dyDescent="0.2">
      <c r="A130" s="24" t="s">
        <v>7</v>
      </c>
      <c r="B130" s="24" t="s">
        <v>10</v>
      </c>
      <c r="C130" s="23">
        <v>100521455</v>
      </c>
      <c r="D130" s="22" t="s">
        <v>9</v>
      </c>
      <c r="E130" s="21">
        <v>7790360982247</v>
      </c>
      <c r="F130" s="20">
        <v>4.8</v>
      </c>
      <c r="G130" s="19">
        <v>16</v>
      </c>
      <c r="H130" s="38"/>
      <c r="I130" s="15">
        <f>+L130*1.55*1.21</f>
        <v>4374.7284121406256</v>
      </c>
      <c r="J130" s="15">
        <f>+I130*0.8</f>
        <v>3499.7827297125004</v>
      </c>
      <c r="K130" s="18"/>
      <c r="L130" s="15">
        <f>+IF(ISERROR(N130/G130),"",(N130/G130))</f>
        <v>2332.5664687500002</v>
      </c>
      <c r="M130" s="15">
        <f>+IF(ISERROR(N130/F130),"",(N130/F130))</f>
        <v>7775.2215625000008</v>
      </c>
      <c r="N130" s="17">
        <v>37321.063500000004</v>
      </c>
      <c r="O130" s="16"/>
      <c r="P130" s="15">
        <f>+IF(ISERROR(N130/(1-O130)),"",(N130/(1-O130)))</f>
        <v>37321.063500000004</v>
      </c>
      <c r="Q130" s="16"/>
      <c r="R130" s="15">
        <f>+IF(ISERROR(P130/(1-Q130)),"",(P130/(1-Q130)))</f>
        <v>37321.063500000004</v>
      </c>
      <c r="S130" s="15">
        <f>+IF(ISERROR(R130/G130),"",(R130/G130))</f>
        <v>2332.5664687500002</v>
      </c>
      <c r="T130" s="107"/>
      <c r="U130" s="108"/>
      <c r="V130" s="12">
        <v>37321.06</v>
      </c>
      <c r="W130" s="11">
        <f>+IF(ISERROR(N130/V130-1),"",(N130/V130-1))</f>
        <v>9.3780830656697844E-8</v>
      </c>
      <c r="X130" s="10">
        <f>+IF(ISERROR(V130*(1-O130)),"",(V130*(1-O130)))</f>
        <v>37321.06</v>
      </c>
    </row>
    <row r="131" spans="1:24" x14ac:dyDescent="0.2">
      <c r="A131" s="24" t="s">
        <v>7</v>
      </c>
      <c r="B131" s="24" t="s">
        <v>6</v>
      </c>
      <c r="C131" s="23">
        <v>100521453</v>
      </c>
      <c r="D131" s="22" t="s">
        <v>8</v>
      </c>
      <c r="E131" s="21">
        <v>7790360982223</v>
      </c>
      <c r="F131" s="20">
        <v>5.4</v>
      </c>
      <c r="G131" s="19">
        <v>18</v>
      </c>
      <c r="H131" s="38"/>
      <c r="I131" s="15">
        <f>+L131*1.55*1.21</f>
        <v>3828.8449718750003</v>
      </c>
      <c r="J131" s="15">
        <f>+I131*0.8</f>
        <v>3063.0759775000006</v>
      </c>
      <c r="K131" s="18"/>
      <c r="L131" s="15">
        <f>+IF(ISERROR(N131/G131),"",(N131/G131))</f>
        <v>2041.5062500000001</v>
      </c>
      <c r="M131" s="15">
        <f>+IF(ISERROR(N131/F131),"",(N131/F131))</f>
        <v>6805.020833333333</v>
      </c>
      <c r="N131" s="17">
        <v>36747.112500000003</v>
      </c>
      <c r="O131" s="16"/>
      <c r="P131" s="15">
        <f>+IF(ISERROR(N131/(1-O131)),"",(N131/(1-O131)))</f>
        <v>36747.112500000003</v>
      </c>
      <c r="Q131" s="16"/>
      <c r="R131" s="15">
        <f>+IF(ISERROR(P131/(1-Q131)),"",(P131/(1-Q131)))</f>
        <v>36747.112500000003</v>
      </c>
      <c r="S131" s="15">
        <f>+IF(ISERROR(R131/G131),"",(R131/G131))</f>
        <v>2041.5062500000001</v>
      </c>
      <c r="T131" s="107"/>
      <c r="U131" s="108"/>
      <c r="V131" s="12">
        <v>36747.11</v>
      </c>
      <c r="W131" s="11">
        <f>+IF(ISERROR(N131/V131-1),"",(N131/V131-1))</f>
        <v>6.8032560918140916E-8</v>
      </c>
      <c r="X131" s="10">
        <f>+IF(ISERROR(V131*(1-O131)),"",(V131*(1-O131)))</f>
        <v>36747.11</v>
      </c>
    </row>
    <row r="132" spans="1:24" x14ac:dyDescent="0.2">
      <c r="A132" s="24" t="s">
        <v>7</v>
      </c>
      <c r="B132" s="24" t="s">
        <v>6</v>
      </c>
      <c r="C132" s="23">
        <v>100521454</v>
      </c>
      <c r="D132" s="22" t="s">
        <v>5</v>
      </c>
      <c r="E132" s="21">
        <v>7790360982230</v>
      </c>
      <c r="F132" s="20">
        <v>5.3999999999999995</v>
      </c>
      <c r="G132" s="19">
        <v>18</v>
      </c>
      <c r="H132" s="38"/>
      <c r="I132" s="15">
        <f>+L132*1.55*1.21</f>
        <v>3828.8449718750003</v>
      </c>
      <c r="J132" s="15">
        <f>+I132*0.8</f>
        <v>3063.0759775000006</v>
      </c>
      <c r="K132" s="18"/>
      <c r="L132" s="15">
        <f>+IF(ISERROR(N132/G132),"",(N132/G132))</f>
        <v>2041.5062500000001</v>
      </c>
      <c r="M132" s="15">
        <f>+IF(ISERROR(N132/F132),"",(N132/F132))</f>
        <v>6805.0208333333348</v>
      </c>
      <c r="N132" s="17">
        <v>36747.112500000003</v>
      </c>
      <c r="O132" s="16"/>
      <c r="P132" s="15">
        <f>+IF(ISERROR(N132/(1-O132)),"",(N132/(1-O132)))</f>
        <v>36747.112500000003</v>
      </c>
      <c r="Q132" s="16"/>
      <c r="R132" s="15">
        <f>+IF(ISERROR(P132/(1-Q132)),"",(P132/(1-Q132)))</f>
        <v>36747.112500000003</v>
      </c>
      <c r="S132" s="15">
        <f>+IF(ISERROR(R132/G132),"",(R132/G132))</f>
        <v>2041.5062500000001</v>
      </c>
      <c r="T132" s="107"/>
      <c r="U132" s="108"/>
      <c r="V132" s="12">
        <v>36747.11</v>
      </c>
      <c r="W132" s="11">
        <f>+IF(ISERROR(N132/V132-1),"",(N132/V132-1))</f>
        <v>6.8032560918140916E-8</v>
      </c>
      <c r="X132" s="10">
        <f>+IF(ISERROR(V132*(1-O132)),"",(V132*(1-O132)))</f>
        <v>36747.11</v>
      </c>
    </row>
    <row r="133" spans="1:24" x14ac:dyDescent="0.2">
      <c r="A133" s="37"/>
      <c r="B133" s="36"/>
      <c r="C133" s="35"/>
      <c r="D133" s="27"/>
      <c r="E133" s="35"/>
      <c r="F133" s="27"/>
      <c r="G133" s="34"/>
      <c r="I133" s="32"/>
      <c r="J133" s="33"/>
      <c r="K133" s="42"/>
      <c r="L133" s="32"/>
      <c r="M133" s="27"/>
      <c r="N133" s="31" t="s">
        <v>31</v>
      </c>
      <c r="O133" s="30"/>
      <c r="P133" s="27"/>
      <c r="Q133" s="30"/>
      <c r="R133" s="27"/>
      <c r="S133" s="25"/>
      <c r="T133" s="107"/>
      <c r="U133" s="28"/>
      <c r="V133" s="27"/>
      <c r="W133" s="26"/>
      <c r="X133" s="25"/>
    </row>
    <row r="134" spans="1:24" x14ac:dyDescent="0.2">
      <c r="A134" s="24" t="s">
        <v>2</v>
      </c>
      <c r="B134" s="22" t="s">
        <v>4</v>
      </c>
      <c r="C134" s="23">
        <v>100522246</v>
      </c>
      <c r="D134" s="22" t="s">
        <v>3</v>
      </c>
      <c r="E134" s="21">
        <v>7790360984234</v>
      </c>
      <c r="F134" s="20">
        <v>8.16</v>
      </c>
      <c r="G134" s="19">
        <v>48</v>
      </c>
      <c r="I134" s="15">
        <f>+L134*1.55*1.21</f>
        <v>3486.6696428571431</v>
      </c>
      <c r="J134" s="15">
        <f>+I134*0.8</f>
        <v>2789.3357142857149</v>
      </c>
      <c r="K134" s="18"/>
      <c r="L134" s="15">
        <f>+IF(ISERROR(N134/G134),"",(N134/G134))</f>
        <v>1859.0613931523023</v>
      </c>
      <c r="M134" s="15">
        <f>+IF(ISERROR(N134/F134),"",(N134/F134))</f>
        <v>10935.655253837072</v>
      </c>
      <c r="N134" s="17">
        <v>89234.946871310516</v>
      </c>
      <c r="O134" s="16"/>
      <c r="P134" s="15">
        <f>+IF(ISERROR(N134/(1-O134)),"",(N134/(1-O134)))</f>
        <v>89234.946871310516</v>
      </c>
      <c r="Q134" s="16"/>
      <c r="R134" s="15">
        <f>+IF(ISERROR(P134/(1-Q134)),"",(P134/(1-Q134)))</f>
        <v>89234.946871310516</v>
      </c>
      <c r="S134" s="15">
        <f>+IF(ISERROR(R134/G134),"",(R134/G134))</f>
        <v>1859.0613931523023</v>
      </c>
      <c r="T134" s="107"/>
      <c r="U134" s="108"/>
      <c r="V134" s="12">
        <v>89234.95</v>
      </c>
      <c r="W134" s="11">
        <f>+IF(ISERROR(N134/V134-1),"",(N134/V134-1))</f>
        <v>-3.5061256564716814E-8</v>
      </c>
      <c r="X134" s="10">
        <f>+IF(ISERROR(V134*(1-O134)),"",(V134*(1-O134)))</f>
        <v>89234.95</v>
      </c>
    </row>
    <row r="135" spans="1:24" x14ac:dyDescent="0.2">
      <c r="A135" s="24" t="s">
        <v>2</v>
      </c>
      <c r="B135" s="22" t="s">
        <v>1</v>
      </c>
      <c r="C135" s="23">
        <v>100522247</v>
      </c>
      <c r="D135" s="22" t="s">
        <v>0</v>
      </c>
      <c r="E135" s="21">
        <v>7790360984241</v>
      </c>
      <c r="F135" s="20">
        <v>8.16</v>
      </c>
      <c r="G135" s="19">
        <v>48</v>
      </c>
      <c r="I135" s="15">
        <f>+L135*1.55*1.21</f>
        <v>3486.6696428571431</v>
      </c>
      <c r="J135" s="15">
        <f>+I135*0.8</f>
        <v>2789.3357142857149</v>
      </c>
      <c r="K135" s="18"/>
      <c r="L135" s="15">
        <f>+IF(ISERROR(N135/G135),"",(N135/G135))</f>
        <v>1859.0613931523023</v>
      </c>
      <c r="M135" s="15">
        <f>+IF(ISERROR(N135/F135),"",(N135/F135))</f>
        <v>10935.655253837072</v>
      </c>
      <c r="N135" s="17">
        <v>89234.946871310516</v>
      </c>
      <c r="O135" s="16"/>
      <c r="P135" s="15">
        <f>+IF(ISERROR(N135/(1-O135)),"",(N135/(1-O135)))</f>
        <v>89234.946871310516</v>
      </c>
      <c r="Q135" s="16"/>
      <c r="R135" s="15">
        <f>+IF(ISERROR(P135/(1-Q135)),"",(P135/(1-Q135)))</f>
        <v>89234.946871310516</v>
      </c>
      <c r="S135" s="15">
        <f>+IF(ISERROR(R135/G135),"",(R135/G135))</f>
        <v>1859.0613931523023</v>
      </c>
      <c r="T135" s="107"/>
      <c r="U135" s="108"/>
      <c r="V135" s="12">
        <v>89234.95</v>
      </c>
      <c r="W135" s="11">
        <f>+IF(ISERROR(N135/V135-1),"",(N135/V135-1))</f>
        <v>-3.5061256564716814E-8</v>
      </c>
      <c r="X135" s="10">
        <f>+IF(ISERROR(V135*(1-O135)),"",(V135*(1-O135)))</f>
        <v>89234.95</v>
      </c>
    </row>
    <row r="136" spans="1:24" x14ac:dyDescent="0.2">
      <c r="N136" s="9"/>
    </row>
    <row r="137" spans="1:24" x14ac:dyDescent="0.2">
      <c r="N137" s="9"/>
    </row>
    <row r="138" spans="1:24" x14ac:dyDescent="0.2">
      <c r="N138" s="9"/>
    </row>
    <row r="139" spans="1:24" x14ac:dyDescent="0.2">
      <c r="N139" s="9"/>
    </row>
    <row r="140" spans="1:24" x14ac:dyDescent="0.2">
      <c r="N140" s="9"/>
    </row>
    <row r="141" spans="1:24" x14ac:dyDescent="0.2">
      <c r="N141" s="9"/>
    </row>
    <row r="142" spans="1:24" x14ac:dyDescent="0.2">
      <c r="N142" s="9"/>
    </row>
    <row r="143" spans="1:24" x14ac:dyDescent="0.2">
      <c r="N143" s="9"/>
    </row>
    <row r="144" spans="1:24" x14ac:dyDescent="0.2">
      <c r="N144" s="9"/>
    </row>
    <row r="145" spans="14:14" x14ac:dyDescent="0.2">
      <c r="N145" s="9"/>
    </row>
    <row r="146" spans="14:14" x14ac:dyDescent="0.2">
      <c r="N146" s="9"/>
    </row>
    <row r="147" spans="14:14" x14ac:dyDescent="0.2">
      <c r="N147" s="9"/>
    </row>
    <row r="148" spans="14:14" x14ac:dyDescent="0.2">
      <c r="N148" s="9"/>
    </row>
    <row r="149" spans="14:14" x14ac:dyDescent="0.2">
      <c r="N149" s="9"/>
    </row>
    <row r="150" spans="14:14" x14ac:dyDescent="0.2">
      <c r="N150" s="9"/>
    </row>
    <row r="151" spans="14:14" x14ac:dyDescent="0.2">
      <c r="N151" s="9"/>
    </row>
    <row r="152" spans="14:14" x14ac:dyDescent="0.2">
      <c r="N152" s="9"/>
    </row>
    <row r="153" spans="14:14" x14ac:dyDescent="0.2">
      <c r="N153" s="9"/>
    </row>
    <row r="154" spans="14:14" x14ac:dyDescent="0.2">
      <c r="N154" s="9"/>
    </row>
    <row r="155" spans="14:14" x14ac:dyDescent="0.2">
      <c r="N155" s="9"/>
    </row>
    <row r="156" spans="14:14" x14ac:dyDescent="0.2">
      <c r="N156" s="9"/>
    </row>
    <row r="157" spans="14:14" x14ac:dyDescent="0.2">
      <c r="N157" s="9"/>
    </row>
    <row r="158" spans="14:14" x14ac:dyDescent="0.2">
      <c r="N158" s="9"/>
    </row>
    <row r="159" spans="14:14" x14ac:dyDescent="0.2">
      <c r="N159" s="9"/>
    </row>
    <row r="160" spans="14:14" x14ac:dyDescent="0.2">
      <c r="N160" s="9"/>
    </row>
    <row r="161" spans="14:14" x14ac:dyDescent="0.2">
      <c r="N161" s="9"/>
    </row>
    <row r="162" spans="14:14" x14ac:dyDescent="0.2">
      <c r="N162" s="9"/>
    </row>
    <row r="163" spans="14:14" x14ac:dyDescent="0.2">
      <c r="N163" s="9"/>
    </row>
    <row r="164" spans="14:14" x14ac:dyDescent="0.2">
      <c r="N164" s="9"/>
    </row>
    <row r="165" spans="14:14" x14ac:dyDescent="0.2">
      <c r="N165" s="9"/>
    </row>
    <row r="166" spans="14:14" x14ac:dyDescent="0.2">
      <c r="N166" s="9"/>
    </row>
    <row r="167" spans="14:14" x14ac:dyDescent="0.2">
      <c r="N167" s="9"/>
    </row>
    <row r="168" spans="14:14" x14ac:dyDescent="0.2">
      <c r="N168" s="9"/>
    </row>
    <row r="169" spans="14:14" x14ac:dyDescent="0.2">
      <c r="N169" s="9"/>
    </row>
    <row r="170" spans="14:14" x14ac:dyDescent="0.2">
      <c r="N170" s="9"/>
    </row>
    <row r="171" spans="14:14" x14ac:dyDescent="0.2">
      <c r="N171" s="9"/>
    </row>
    <row r="172" spans="14:14" x14ac:dyDescent="0.2">
      <c r="N172" s="9"/>
    </row>
    <row r="173" spans="14:14" x14ac:dyDescent="0.2">
      <c r="N173" s="9"/>
    </row>
    <row r="174" spans="14:14" x14ac:dyDescent="0.2">
      <c r="N174" s="9"/>
    </row>
    <row r="175" spans="14:14" x14ac:dyDescent="0.2">
      <c r="N175" s="9"/>
    </row>
    <row r="176" spans="14:14" x14ac:dyDescent="0.2">
      <c r="N176" s="9"/>
    </row>
    <row r="177" spans="14:14" x14ac:dyDescent="0.2">
      <c r="N177" s="9"/>
    </row>
    <row r="178" spans="14:14" x14ac:dyDescent="0.2">
      <c r="N178" s="9"/>
    </row>
    <row r="179" spans="14:14" x14ac:dyDescent="0.2">
      <c r="N179" s="9"/>
    </row>
    <row r="180" spans="14:14" x14ac:dyDescent="0.2">
      <c r="N180" s="9"/>
    </row>
    <row r="181" spans="14:14" x14ac:dyDescent="0.2">
      <c r="N181" s="9"/>
    </row>
    <row r="182" spans="14:14" x14ac:dyDescent="0.2">
      <c r="N182" s="9"/>
    </row>
    <row r="183" spans="14:14" x14ac:dyDescent="0.2">
      <c r="N183" s="9"/>
    </row>
    <row r="184" spans="14:14" x14ac:dyDescent="0.2">
      <c r="N184" s="9"/>
    </row>
    <row r="185" spans="14:14" x14ac:dyDescent="0.2">
      <c r="N185" s="9"/>
    </row>
    <row r="186" spans="14:14" x14ac:dyDescent="0.2">
      <c r="N186" s="9"/>
    </row>
    <row r="187" spans="14:14" x14ac:dyDescent="0.2">
      <c r="N187" s="9"/>
    </row>
    <row r="188" spans="14:14" x14ac:dyDescent="0.2">
      <c r="N188" s="9"/>
    </row>
    <row r="189" spans="14:14" x14ac:dyDescent="0.2">
      <c r="N189" s="9"/>
    </row>
    <row r="190" spans="14:14" x14ac:dyDescent="0.2">
      <c r="N190" s="9"/>
    </row>
    <row r="191" spans="14:14" x14ac:dyDescent="0.2">
      <c r="N191" s="9"/>
    </row>
    <row r="192" spans="14:14" x14ac:dyDescent="0.2">
      <c r="N192" s="9"/>
    </row>
    <row r="193" spans="14:14" x14ac:dyDescent="0.2">
      <c r="N193" s="9"/>
    </row>
    <row r="194" spans="14:14" x14ac:dyDescent="0.2">
      <c r="N194" s="9"/>
    </row>
  </sheetData>
  <mergeCells count="3">
    <mergeCell ref="A1:S1"/>
    <mergeCell ref="B3:C3"/>
    <mergeCell ref="B7:C7"/>
  </mergeCells>
  <conditionalFormatting sqref="A29:D29">
    <cfRule type="cellIs" dxfId="337" priority="290" stopIfTrue="1" operator="equal">
      <formula>0</formula>
    </cfRule>
  </conditionalFormatting>
  <conditionalFormatting sqref="A134:G135">
    <cfRule type="cellIs" dxfId="336" priority="13" stopIfTrue="1" operator="equal">
      <formula>0</formula>
    </cfRule>
  </conditionalFormatting>
  <conditionalFormatting sqref="A129:H132">
    <cfRule type="cellIs" dxfId="335" priority="38" stopIfTrue="1" operator="equal">
      <formula>0</formula>
    </cfRule>
  </conditionalFormatting>
  <conditionalFormatting sqref="A118:I122">
    <cfRule type="cellIs" dxfId="334" priority="109" stopIfTrue="1" operator="equal">
      <formula>0</formula>
    </cfRule>
  </conditionalFormatting>
  <conditionalFormatting sqref="A124:I125">
    <cfRule type="cellIs" dxfId="333" priority="27" stopIfTrue="1" operator="equal">
      <formula>0</formula>
    </cfRule>
  </conditionalFormatting>
  <conditionalFormatting sqref="A127:I127">
    <cfRule type="cellIs" dxfId="332" priority="70" stopIfTrue="1" operator="equal">
      <formula>0</formula>
    </cfRule>
  </conditionalFormatting>
  <conditionalFormatting sqref="B27:G28">
    <cfRule type="cellIs" dxfId="331" priority="287" stopIfTrue="1" operator="equal">
      <formula>0</formula>
    </cfRule>
  </conditionalFormatting>
  <conditionalFormatting sqref="C90:D90">
    <cfRule type="cellIs" dxfId="330" priority="284" stopIfTrue="1" operator="equal">
      <formula>0</formula>
    </cfRule>
  </conditionalFormatting>
  <conditionalFormatting sqref="C101:D101">
    <cfRule type="cellIs" dxfId="329" priority="182" stopIfTrue="1" operator="equal">
      <formula>0</formula>
    </cfRule>
  </conditionalFormatting>
  <conditionalFormatting sqref="C25:G26">
    <cfRule type="cellIs" dxfId="328" priority="286" stopIfTrue="1" operator="equal">
      <formula>0</formula>
    </cfRule>
  </conditionalFormatting>
  <conditionalFormatting sqref="F29:G29">
    <cfRule type="cellIs" dxfId="327" priority="289" stopIfTrue="1" operator="equal">
      <formula>0</formula>
    </cfRule>
  </conditionalFormatting>
  <conditionalFormatting sqref="F86:G88">
    <cfRule type="cellIs" dxfId="326" priority="285" stopIfTrue="1" operator="equal">
      <formula>0</formula>
    </cfRule>
  </conditionalFormatting>
  <conditionalFormatting sqref="F96:J96">
    <cfRule type="cellIs" dxfId="325" priority="205" stopIfTrue="1" operator="equal">
      <formula>0</formula>
    </cfRule>
  </conditionalFormatting>
  <conditionalFormatting sqref="F100:M101">
    <cfRule type="cellIs" dxfId="324" priority="67" stopIfTrue="1" operator="equal">
      <formula>0</formula>
    </cfRule>
  </conditionalFormatting>
  <conditionalFormatting sqref="I28:I29">
    <cfRule type="cellIs" dxfId="323" priority="201" stopIfTrue="1" operator="equal">
      <formula>0</formula>
    </cfRule>
  </conditionalFormatting>
  <conditionalFormatting sqref="I115:I116">
    <cfRule type="cellIs" dxfId="322" priority="29" stopIfTrue="1" operator="equal">
      <formula>0</formula>
    </cfRule>
  </conditionalFormatting>
  <conditionalFormatting sqref="I19:J31">
    <cfRule type="cellIs" dxfId="321" priority="173" stopIfTrue="1" operator="equal">
      <formula>0</formula>
    </cfRule>
  </conditionalFormatting>
  <conditionalFormatting sqref="I108:J110">
    <cfRule type="cellIs" dxfId="320" priority="167" stopIfTrue="1" operator="equal">
      <formula>0</formula>
    </cfRule>
  </conditionalFormatting>
  <conditionalFormatting sqref="I103:K103">
    <cfRule type="cellIs" dxfId="319" priority="199" stopIfTrue="1" operator="equal">
      <formula>0</formula>
    </cfRule>
  </conditionalFormatting>
  <conditionalFormatting sqref="I105:K106">
    <cfRule type="cellIs" dxfId="318" priority="197" stopIfTrue="1" operator="equal">
      <formula>0</formula>
    </cfRule>
  </conditionalFormatting>
  <conditionalFormatting sqref="I112:K113">
    <cfRule type="cellIs" dxfId="317" priority="161" stopIfTrue="1" operator="equal">
      <formula>0</formula>
    </cfRule>
  </conditionalFormatting>
  <conditionalFormatting sqref="K10:K29">
    <cfRule type="cellIs" dxfId="316" priority="106" stopIfTrue="1" operator="equal">
      <formula>0</formula>
    </cfRule>
  </conditionalFormatting>
  <conditionalFormatting sqref="K33:K34">
    <cfRule type="cellIs" dxfId="315" priority="216" stopIfTrue="1" operator="equal">
      <formula>0</formula>
    </cfRule>
  </conditionalFormatting>
  <conditionalFormatting sqref="K47:K57">
    <cfRule type="cellIs" dxfId="314" priority="4" stopIfTrue="1" operator="equal">
      <formula>0</formula>
    </cfRule>
  </conditionalFormatting>
  <conditionalFormatting sqref="K65:K99">
    <cfRule type="cellIs" dxfId="313" priority="36" stopIfTrue="1" operator="equal">
      <formula>0</formula>
    </cfRule>
  </conditionalFormatting>
  <conditionalFormatting sqref="K108:K111">
    <cfRule type="cellIs" dxfId="312" priority="68" stopIfTrue="1" operator="equal">
      <formula>0</formula>
    </cfRule>
  </conditionalFormatting>
  <conditionalFormatting sqref="K115:K135">
    <cfRule type="cellIs" dxfId="311" priority="49" stopIfTrue="1" operator="equal">
      <formula>0</formula>
    </cfRule>
  </conditionalFormatting>
  <conditionalFormatting sqref="L25:M29">
    <cfRule type="cellIs" dxfId="310" priority="280" stopIfTrue="1" operator="equal">
      <formula>0</formula>
    </cfRule>
  </conditionalFormatting>
  <conditionalFormatting sqref="M28">
    <cfRule type="cellIs" dxfId="309" priority="279" stopIfTrue="1" operator="lessThan">
      <formula>30</formula>
    </cfRule>
  </conditionalFormatting>
  <conditionalFormatting sqref="M46 M64 M83 M89">
    <cfRule type="cellIs" dxfId="308" priority="283" stopIfTrue="1" operator="lessThan">
      <formula>30</formula>
    </cfRule>
  </conditionalFormatting>
  <conditionalFormatting sqref="M56:M57">
    <cfRule type="cellIs" dxfId="307" priority="255" stopIfTrue="1" operator="lessThan">
      <formula>30</formula>
    </cfRule>
  </conditionalFormatting>
  <conditionalFormatting sqref="N11:N45">
    <cfRule type="cellIs" dxfId="306" priority="54" stopIfTrue="1" operator="equal">
      <formula>0</formula>
    </cfRule>
  </conditionalFormatting>
  <conditionalFormatting sqref="N47:N63">
    <cfRule type="cellIs" dxfId="305" priority="2" stopIfTrue="1" operator="equal">
      <formula>0</formula>
    </cfRule>
  </conditionalFormatting>
  <conditionalFormatting sqref="N65:N82">
    <cfRule type="cellIs" dxfId="304" priority="126" stopIfTrue="1" operator="equal">
      <formula>0</formula>
    </cfRule>
  </conditionalFormatting>
  <conditionalFormatting sqref="N84:N88 N105:N110 N112:N113">
    <cfRule type="cellIs" dxfId="303" priority="153" stopIfTrue="1" operator="equal">
      <formula>0</formula>
    </cfRule>
  </conditionalFormatting>
  <conditionalFormatting sqref="N90:N103">
    <cfRule type="cellIs" dxfId="302" priority="154" stopIfTrue="1" operator="equal">
      <formula>0</formula>
    </cfRule>
  </conditionalFormatting>
  <conditionalFormatting sqref="N115:N116">
    <cfRule type="cellIs" dxfId="301" priority="144" stopIfTrue="1" operator="equal">
      <formula>0</formula>
    </cfRule>
  </conditionalFormatting>
  <conditionalFormatting sqref="N118:N122">
    <cfRule type="cellIs" dxfId="300" priority="1" stopIfTrue="1" operator="equal">
      <formula>0</formula>
    </cfRule>
  </conditionalFormatting>
  <conditionalFormatting sqref="N124:O125">
    <cfRule type="cellIs" dxfId="299" priority="83" stopIfTrue="1" operator="equal">
      <formula>0</formula>
    </cfRule>
  </conditionalFormatting>
  <conditionalFormatting sqref="N127:O127">
    <cfRule type="cellIs" dxfId="298" priority="69" stopIfTrue="1" operator="equal">
      <formula>0</formula>
    </cfRule>
  </conditionalFormatting>
  <conditionalFormatting sqref="N129:O132">
    <cfRule type="cellIs" dxfId="297" priority="42" stopIfTrue="1" operator="equal">
      <formula>0</formula>
    </cfRule>
  </conditionalFormatting>
  <conditionalFormatting sqref="N134:O135">
    <cfRule type="cellIs" dxfId="296" priority="7" stopIfTrue="1" operator="equal">
      <formula>0</formula>
    </cfRule>
  </conditionalFormatting>
  <conditionalFormatting sqref="O11:O23">
    <cfRule type="cellIs" dxfId="295" priority="105" stopIfTrue="1" operator="equal">
      <formula>0</formula>
    </cfRule>
  </conditionalFormatting>
  <conditionalFormatting sqref="O24:O32">
    <cfRule type="cellIs" dxfId="294" priority="274" stopIfTrue="1" operator="equal">
      <formula>0</formula>
    </cfRule>
  </conditionalFormatting>
  <conditionalFormatting sqref="O25:O28 Q25:Q29 S25:S29">
    <cfRule type="cellIs" dxfId="293" priority="273" stopIfTrue="1" operator="equal">
      <formula>0</formula>
    </cfRule>
  </conditionalFormatting>
  <conditionalFormatting sqref="O28:O29">
    <cfRule type="cellIs" dxfId="292" priority="264" stopIfTrue="1" operator="equal">
      <formula>0</formula>
    </cfRule>
  </conditionalFormatting>
  <conditionalFormatting sqref="O33:O45">
    <cfRule type="cellIs" dxfId="291" priority="58" stopIfTrue="1" operator="equal">
      <formula>0</formula>
    </cfRule>
  </conditionalFormatting>
  <conditionalFormatting sqref="O47:O54">
    <cfRule type="cellIs" dxfId="290" priority="3" stopIfTrue="1" operator="equal">
      <formula>0</formula>
    </cfRule>
  </conditionalFormatting>
  <conditionalFormatting sqref="O55:O135">
    <cfRule type="cellIs" dxfId="289" priority="50" stopIfTrue="1" operator="equal">
      <formula>0</formula>
    </cfRule>
  </conditionalFormatting>
  <conditionalFormatting sqref="O96 E90:E101 A96:D96 L96:M96 V96:X96">
    <cfRule type="cellIs" dxfId="288" priority="334" stopIfTrue="1" operator="equal">
      <formula>0</formula>
    </cfRule>
  </conditionalFormatting>
  <conditionalFormatting sqref="O100:O101 A100:D101 Q100:S101 V100:X101">
    <cfRule type="cellIs" dxfId="287" priority="184" stopIfTrue="1" operator="equal">
      <formula>0</formula>
    </cfRule>
  </conditionalFormatting>
  <conditionalFormatting sqref="O118:O122">
    <cfRule type="cellIs" dxfId="286" priority="117" stopIfTrue="1" operator="equal">
      <formula>0</formula>
    </cfRule>
  </conditionalFormatting>
  <conditionalFormatting sqref="Q96:S98">
    <cfRule type="cellIs" dxfId="285" priority="172" stopIfTrue="1" operator="equal">
      <formula>0</formula>
    </cfRule>
  </conditionalFormatting>
  <conditionalFormatting sqref="V64:V95">
    <cfRule type="cellIs" dxfId="284" priority="33" stopIfTrue="1" operator="equal">
      <formula>0</formula>
    </cfRule>
  </conditionalFormatting>
  <conditionalFormatting sqref="V99">
    <cfRule type="cellIs" dxfId="283" priority="30" stopIfTrue="1" operator="equal">
      <formula>0</formula>
    </cfRule>
  </conditionalFormatting>
  <conditionalFormatting sqref="V101:V135">
    <cfRule type="cellIs" dxfId="282" priority="51" stopIfTrue="1" operator="equal">
      <formula>0</formula>
    </cfRule>
  </conditionalFormatting>
  <conditionalFormatting sqref="V97:W98">
    <cfRule type="cellIs" dxfId="281" priority="222" stopIfTrue="1" operator="equal">
      <formula>0</formula>
    </cfRule>
  </conditionalFormatting>
  <conditionalFormatting sqref="V25:X26 H25:H28">
    <cfRule type="cellIs" dxfId="280" priority="322" stopIfTrue="1" operator="equal">
      <formula>0</formula>
    </cfRule>
  </conditionalFormatting>
  <conditionalFormatting sqref="V27:X29">
    <cfRule type="cellIs" dxfId="279" priority="328" stopIfTrue="1" operator="equal">
      <formula>0</formula>
    </cfRule>
  </conditionalFormatting>
  <conditionalFormatting sqref="W8 W12 W14:W16 W22:W33 W55:W63 W65:W82 W84 W96 W90:W91 W103 W47">
    <cfRule type="cellIs" dxfId="278" priority="336" stopIfTrue="1" operator="notBetween">
      <formula>-0.001</formula>
      <formula>0.001</formula>
    </cfRule>
  </conditionalFormatting>
  <conditionalFormatting sqref="W11:W16">
    <cfRule type="cellIs" dxfId="277" priority="196" stopIfTrue="1" operator="notBetween">
      <formula>-0.001</formula>
      <formula>0.001</formula>
    </cfRule>
  </conditionalFormatting>
  <conditionalFormatting sqref="W11:W45">
    <cfRule type="cellIs" dxfId="276" priority="56" stopIfTrue="1" operator="between">
      <formula>-0.001</formula>
      <formula>0.001</formula>
    </cfRule>
  </conditionalFormatting>
  <conditionalFormatting sqref="W13">
    <cfRule type="cellIs" dxfId="275" priority="192" stopIfTrue="1" operator="notBetween">
      <formula>-0.001</formula>
      <formula>0.001</formula>
    </cfRule>
    <cfRule type="cellIs" dxfId="274" priority="195" stopIfTrue="1" operator="between">
      <formula>-0.01</formula>
      <formula>0.01</formula>
    </cfRule>
  </conditionalFormatting>
  <conditionalFormatting sqref="W17">
    <cfRule type="cellIs" dxfId="273" priority="107" stopIfTrue="1" operator="between">
      <formula>-0.01</formula>
      <formula>0.01</formula>
    </cfRule>
    <cfRule type="cellIs" dxfId="272" priority="108" stopIfTrue="1" operator="notBetween">
      <formula>-0.001</formula>
      <formula>0.001</formula>
    </cfRule>
    <cfRule type="cellIs" dxfId="271" priority="104" stopIfTrue="1" operator="notBetween">
      <formula>-0.001</formula>
      <formula>0.001</formula>
    </cfRule>
  </conditionalFormatting>
  <conditionalFormatting sqref="W18">
    <cfRule type="cellIs" dxfId="270" priority="210" stopIfTrue="1" operator="between">
      <formula>-0.01</formula>
      <formula>0.01</formula>
    </cfRule>
    <cfRule type="cellIs" dxfId="269" priority="211" stopIfTrue="1" operator="notBetween">
      <formula>-0.001</formula>
      <formula>0.001</formula>
    </cfRule>
  </conditionalFormatting>
  <conditionalFormatting sqref="W18:W19">
    <cfRule type="cellIs" dxfId="268" priority="179" stopIfTrue="1" operator="notBetween">
      <formula>-0.001</formula>
      <formula>0.001</formula>
    </cfRule>
  </conditionalFormatting>
  <conditionalFormatting sqref="W19">
    <cfRule type="cellIs" dxfId="267" priority="178" stopIfTrue="1" operator="between">
      <formula>-0.01</formula>
      <formula>0.01</formula>
    </cfRule>
    <cfRule type="cellIs" dxfId="266" priority="175" stopIfTrue="1" operator="notBetween">
      <formula>-0.001</formula>
      <formula>0.001</formula>
    </cfRule>
  </conditionalFormatting>
  <conditionalFormatting sqref="W20">
    <cfRule type="cellIs" dxfId="265" priority="318" stopIfTrue="1" operator="between">
      <formula>-0.01</formula>
      <formula>0.01</formula>
    </cfRule>
    <cfRule type="cellIs" dxfId="264" priority="319" stopIfTrue="1" operator="notBetween">
      <formula>-0.001</formula>
      <formula>0.001</formula>
    </cfRule>
  </conditionalFormatting>
  <conditionalFormatting sqref="W20:W23">
    <cfRule type="cellIs" dxfId="263" priority="237" stopIfTrue="1" operator="notBetween">
      <formula>-0.001</formula>
      <formula>0.001</formula>
    </cfRule>
  </conditionalFormatting>
  <conditionalFormatting sqref="W21">
    <cfRule type="cellIs" dxfId="262" priority="233" stopIfTrue="1" operator="notBetween">
      <formula>-0.001</formula>
      <formula>0.001</formula>
    </cfRule>
  </conditionalFormatting>
  <conditionalFormatting sqref="W21:W26">
    <cfRule type="cellIs" dxfId="261" priority="236" stopIfTrue="1" operator="between">
      <formula>-0.01</formula>
      <formula>0.01</formula>
    </cfRule>
  </conditionalFormatting>
  <conditionalFormatting sqref="W25:W26">
    <cfRule type="cellIs" dxfId="260" priority="323" stopIfTrue="1" operator="notBetween">
      <formula>-0.001</formula>
      <formula>0.001</formula>
    </cfRule>
  </conditionalFormatting>
  <conditionalFormatting sqref="W27:W28">
    <cfRule type="cellIs" dxfId="259" priority="326" stopIfTrue="1" operator="between">
      <formula>-0.0001</formula>
      <formula>0.0001</formula>
    </cfRule>
  </conditionalFormatting>
  <conditionalFormatting sqref="W27:W29">
    <cfRule type="cellIs" dxfId="258" priority="329" stopIfTrue="1" operator="notBetween">
      <formula>-0.001</formula>
      <formula>0.001</formula>
    </cfRule>
    <cfRule type="cellIs" dxfId="257" priority="327" stopIfTrue="1" operator="between">
      <formula>-0.01</formula>
      <formula>0.01</formula>
    </cfRule>
  </conditionalFormatting>
  <conditionalFormatting sqref="W28">
    <cfRule type="cellIs" dxfId="256" priority="295" stopIfTrue="1" operator="between">
      <formula>-0.01</formula>
      <formula>0.01</formula>
    </cfRule>
    <cfRule type="cellIs" dxfId="255" priority="296" stopIfTrue="1" operator="notBetween">
      <formula>-0.001</formula>
      <formula>0.001</formula>
    </cfRule>
  </conditionalFormatting>
  <conditionalFormatting sqref="W33">
    <cfRule type="cellIs" dxfId="254" priority="305" stopIfTrue="1" operator="notBetween">
      <formula>-0.001</formula>
      <formula>0.001</formula>
    </cfRule>
    <cfRule type="cellIs" dxfId="253" priority="304" stopIfTrue="1" operator="between">
      <formula>-0.01</formula>
      <formula>0.01</formula>
    </cfRule>
  </conditionalFormatting>
  <conditionalFormatting sqref="W33:W40">
    <cfRule type="cellIs" dxfId="252" priority="221" stopIfTrue="1" operator="notBetween">
      <formula>-0.001</formula>
      <formula>0.001</formula>
    </cfRule>
    <cfRule type="cellIs" dxfId="251" priority="220" stopIfTrue="1" operator="between">
      <formula>-0.01</formula>
      <formula>0.01</formula>
    </cfRule>
  </conditionalFormatting>
  <conditionalFormatting sqref="W34">
    <cfRule type="cellIs" dxfId="250" priority="218" stopIfTrue="1" operator="notBetween">
      <formula>-0.001</formula>
      <formula>0.001</formula>
    </cfRule>
    <cfRule type="cellIs" dxfId="249" priority="213" stopIfTrue="1" operator="notBetween">
      <formula>-0.001</formula>
      <formula>0.001</formula>
    </cfRule>
    <cfRule type="cellIs" dxfId="248" priority="217" stopIfTrue="1" operator="between">
      <formula>-0.01</formula>
      <formula>0.01</formula>
    </cfRule>
  </conditionalFormatting>
  <conditionalFormatting sqref="W41:W42">
    <cfRule type="cellIs" dxfId="247" priority="152" stopIfTrue="1" operator="notBetween">
      <formula>-0.001</formula>
      <formula>0.001</formula>
    </cfRule>
    <cfRule type="cellIs" dxfId="246" priority="151" stopIfTrue="1" operator="between">
      <formula>-0.01</formula>
      <formula>0.01</formula>
    </cfRule>
  </conditionalFormatting>
  <conditionalFormatting sqref="W41:W43">
    <cfRule type="cellIs" dxfId="245" priority="65" stopIfTrue="1" operator="notBetween">
      <formula>-0.001</formula>
      <formula>0.001</formula>
    </cfRule>
  </conditionalFormatting>
  <conditionalFormatting sqref="W43:W45">
    <cfRule type="cellIs" dxfId="244" priority="57" stopIfTrue="1" operator="notBetween">
      <formula>-0.001</formula>
      <formula>0.001</formula>
    </cfRule>
  </conditionalFormatting>
  <conditionalFormatting sqref="W43:W47">
    <cfRule type="cellIs" dxfId="243" priority="64" stopIfTrue="1" operator="between">
      <formula>-0.01</formula>
      <formula>0.01</formula>
    </cfRule>
  </conditionalFormatting>
  <conditionalFormatting sqref="W48:W54">
    <cfRule type="cellIs" dxfId="242" priority="6" stopIfTrue="1" operator="notBetween">
      <formula>-0.001</formula>
      <formula>0.001</formula>
    </cfRule>
    <cfRule type="cellIs" dxfId="241" priority="5" stopIfTrue="1" operator="between">
      <formula>-0.01</formula>
      <formula>0.01</formula>
    </cfRule>
  </conditionalFormatting>
  <conditionalFormatting sqref="W55">
    <cfRule type="cellIs" dxfId="240" priority="248" stopIfTrue="1" operator="between">
      <formula>-0.0001</formula>
      <formula>0.0001</formula>
    </cfRule>
    <cfRule type="cellIs" dxfId="239" priority="249" stopIfTrue="1" operator="notBetween">
      <formula>-0.001</formula>
      <formula>0.001</formula>
    </cfRule>
  </conditionalFormatting>
  <conditionalFormatting sqref="W57">
    <cfRule type="cellIs" dxfId="238" priority="258" stopIfTrue="1" operator="notBetween">
      <formula>-0.001</formula>
      <formula>0.001</formula>
    </cfRule>
    <cfRule type="cellIs" dxfId="237" priority="257" stopIfTrue="1" operator="between">
      <formula>-0.0001</formula>
      <formula>0.0001</formula>
    </cfRule>
  </conditionalFormatting>
  <conditionalFormatting sqref="W79:W82">
    <cfRule type="cellIs" dxfId="236" priority="252" stopIfTrue="1" operator="between">
      <formula>-0.0001</formula>
      <formula>0.0001</formula>
    </cfRule>
    <cfRule type="cellIs" dxfId="235" priority="253" stopIfTrue="1" operator="notBetween">
      <formula>-0.001</formula>
      <formula>0.001</formula>
    </cfRule>
  </conditionalFormatting>
  <conditionalFormatting sqref="W85">
    <cfRule type="cellIs" dxfId="234" priority="242" stopIfTrue="1" operator="notBetween">
      <formula>-0.001</formula>
      <formula>0.001</formula>
    </cfRule>
  </conditionalFormatting>
  <conditionalFormatting sqref="W86:W88">
    <cfRule type="cellIs" dxfId="233" priority="316" stopIfTrue="1" operator="notBetween">
      <formula>-0.001</formula>
      <formula>0.001</formula>
    </cfRule>
  </conditionalFormatting>
  <conditionalFormatting sqref="W86:W91">
    <cfRule type="cellIs" dxfId="232" priority="315" stopIfTrue="1" operator="between">
      <formula>-0.01</formula>
      <formula>0.01</formula>
    </cfRule>
  </conditionalFormatting>
  <conditionalFormatting sqref="W90">
    <cfRule type="cellIs" dxfId="231" priority="299" stopIfTrue="1" operator="notBetween">
      <formula>-0.001</formula>
      <formula>0.001</formula>
    </cfRule>
    <cfRule type="cellIs" dxfId="230" priority="298" stopIfTrue="1" operator="between">
      <formula>-0.01</formula>
      <formula>0.01</formula>
    </cfRule>
  </conditionalFormatting>
  <conditionalFormatting sqref="W92:W95">
    <cfRule type="cellIs" dxfId="229" priority="35" stopIfTrue="1" operator="notBetween">
      <formula>-0.001</formula>
      <formula>0.001</formula>
    </cfRule>
    <cfRule type="cellIs" dxfId="228" priority="34" stopIfTrue="1" operator="between">
      <formula>-0.01</formula>
      <formula>0.01</formula>
    </cfRule>
  </conditionalFormatting>
  <conditionalFormatting sqref="W96 W29:W32 W55:W84 W12 W14:W16 W1:W10">
    <cfRule type="cellIs" dxfId="227" priority="335" stopIfTrue="1" operator="between">
      <formula>-0.01</formula>
      <formula>0.01</formula>
    </cfRule>
  </conditionalFormatting>
  <conditionalFormatting sqref="W97:W98">
    <cfRule type="cellIs" dxfId="226" priority="223" stopIfTrue="1" operator="between">
      <formula>-0.01</formula>
      <formula>0.01</formula>
    </cfRule>
    <cfRule type="cellIs" dxfId="225" priority="224" stopIfTrue="1" operator="notBetween">
      <formula>-0.001</formula>
      <formula>0.001</formula>
    </cfRule>
  </conditionalFormatting>
  <conditionalFormatting sqref="W99">
    <cfRule type="cellIs" dxfId="224" priority="32" stopIfTrue="1" operator="notBetween">
      <formula>-0.001</formula>
      <formula>0.001</formula>
    </cfRule>
    <cfRule type="cellIs" dxfId="223" priority="31" stopIfTrue="1" operator="between">
      <formula>-0.01</formula>
      <formula>0.01</formula>
    </cfRule>
  </conditionalFormatting>
  <conditionalFormatting sqref="W100:W101">
    <cfRule type="cellIs" dxfId="222" priority="186" stopIfTrue="1" operator="notBetween">
      <formula>-0.001</formula>
      <formula>0.001</formula>
    </cfRule>
  </conditionalFormatting>
  <conditionalFormatting sqref="W100:W106">
    <cfRule type="cellIs" dxfId="221" priority="185" stopIfTrue="1" operator="between">
      <formula>-0.01</formula>
      <formula>0.01</formula>
    </cfRule>
  </conditionalFormatting>
  <conditionalFormatting sqref="W105:W106">
    <cfRule type="cellIs" dxfId="220" priority="309" stopIfTrue="1" operator="notBetween">
      <formula>-0.001</formula>
      <formula>0.001</formula>
    </cfRule>
  </conditionalFormatting>
  <conditionalFormatting sqref="W107">
    <cfRule type="cellIs" dxfId="219" priority="243" operator="lessThanOrEqual">
      <formula>0.1</formula>
    </cfRule>
  </conditionalFormatting>
  <conditionalFormatting sqref="W108:W110">
    <cfRule type="cellIs" dxfId="218" priority="170" stopIfTrue="1" operator="between">
      <formula>-0.01</formula>
      <formula>0.01</formula>
    </cfRule>
    <cfRule type="cellIs" dxfId="217" priority="171" stopIfTrue="1" operator="notBetween">
      <formula>-0.001</formula>
      <formula>0.001</formula>
    </cfRule>
  </conditionalFormatting>
  <conditionalFormatting sqref="W111">
    <cfRule type="cellIs" dxfId="216" priority="164" operator="lessThanOrEqual">
      <formula>0.1</formula>
    </cfRule>
  </conditionalFormatting>
  <conditionalFormatting sqref="W112:W113">
    <cfRule type="cellIs" dxfId="215" priority="156" stopIfTrue="1" operator="between">
      <formula>-0.01</formula>
      <formula>0.01</formula>
    </cfRule>
    <cfRule type="cellIs" dxfId="214" priority="157" stopIfTrue="1" operator="notBetween">
      <formula>-0.001</formula>
      <formula>0.001</formula>
    </cfRule>
  </conditionalFormatting>
  <conditionalFormatting sqref="W114">
    <cfRule type="cellIs" dxfId="213" priority="158" operator="lessThanOrEqual">
      <formula>0.1</formula>
    </cfRule>
  </conditionalFormatting>
  <conditionalFormatting sqref="W115:W116">
    <cfRule type="cellIs" dxfId="212" priority="142" stopIfTrue="1" operator="notBetween">
      <formula>-0.001</formula>
      <formula>0.001</formula>
    </cfRule>
    <cfRule type="cellIs" dxfId="211" priority="141" stopIfTrue="1" operator="between">
      <formula>-0.01</formula>
      <formula>0.01</formula>
    </cfRule>
    <cfRule type="cellIs" dxfId="210" priority="140" stopIfTrue="1" operator="between">
      <formula>-0.0001</formula>
      <formula>0.0001</formula>
    </cfRule>
    <cfRule type="cellIs" dxfId="209" priority="139" operator="between">
      <formula>0.01%</formula>
      <formula>-0.0001</formula>
    </cfRule>
  </conditionalFormatting>
  <conditionalFormatting sqref="W117">
    <cfRule type="cellIs" dxfId="208" priority="136" operator="lessThanOrEqual">
      <formula>0.1</formula>
    </cfRule>
  </conditionalFormatting>
  <conditionalFormatting sqref="W118:W122">
    <cfRule type="cellIs" dxfId="207" priority="115" stopIfTrue="1" operator="notBetween">
      <formula>-0.001</formula>
      <formula>0.001</formula>
    </cfRule>
    <cfRule type="cellIs" dxfId="206" priority="114" stopIfTrue="1" operator="between">
      <formula>-0.01</formula>
      <formula>0.01</formula>
    </cfRule>
    <cfRule type="cellIs" dxfId="205" priority="113" stopIfTrue="1" operator="between">
      <formula>-0.0001</formula>
      <formula>0.0001</formula>
    </cfRule>
  </conditionalFormatting>
  <conditionalFormatting sqref="W123">
    <cfRule type="cellIs" dxfId="204" priority="96" operator="lessThanOrEqual">
      <formula>0.1</formula>
    </cfRule>
  </conditionalFormatting>
  <conditionalFormatting sqref="W124:W125">
    <cfRule type="cellIs" dxfId="203" priority="89" stopIfTrue="1" operator="notBetween">
      <formula>-0.001</formula>
      <formula>0.001</formula>
    </cfRule>
    <cfRule type="cellIs" dxfId="202" priority="88" stopIfTrue="1" operator="between">
      <formula>-0.01</formula>
      <formula>0.01</formula>
    </cfRule>
    <cfRule type="cellIs" dxfId="201" priority="87" stopIfTrue="1" operator="between">
      <formula>-0.0001</formula>
      <formula>0.0001</formula>
    </cfRule>
  </conditionalFormatting>
  <conditionalFormatting sqref="W126">
    <cfRule type="cellIs" dxfId="200" priority="81" operator="lessThanOrEqual">
      <formula>0.1</formula>
    </cfRule>
  </conditionalFormatting>
  <conditionalFormatting sqref="W127">
    <cfRule type="cellIs" dxfId="199" priority="75" stopIfTrue="1" operator="notBetween">
      <formula>-0.001</formula>
      <formula>0.001</formula>
    </cfRule>
    <cfRule type="cellIs" dxfId="198" priority="73" stopIfTrue="1" operator="between">
      <formula>-0.0001</formula>
      <formula>0.0001</formula>
    </cfRule>
    <cfRule type="cellIs" dxfId="197" priority="74" stopIfTrue="1" operator="between">
      <formula>-0.01</formula>
      <formula>0.01</formula>
    </cfRule>
  </conditionalFormatting>
  <conditionalFormatting sqref="W128">
    <cfRule type="cellIs" dxfId="196" priority="48" operator="lessThanOrEqual">
      <formula>0.1</formula>
    </cfRule>
  </conditionalFormatting>
  <conditionalFormatting sqref="W129:W132">
    <cfRule type="cellIs" dxfId="195" priority="47" stopIfTrue="1" operator="notBetween">
      <formula>-0.001</formula>
      <formula>0.001</formula>
    </cfRule>
    <cfRule type="cellIs" dxfId="194" priority="52" stopIfTrue="1" operator="between">
      <formula>-0.0001</formula>
      <formula>0.0001</formula>
    </cfRule>
    <cfRule type="cellIs" dxfId="193" priority="53" stopIfTrue="1" operator="between">
      <formula>-0.01</formula>
      <formula>0.01</formula>
    </cfRule>
  </conditionalFormatting>
  <conditionalFormatting sqref="W133">
    <cfRule type="cellIs" dxfId="192" priority="16" operator="lessThanOrEqual">
      <formula>0.1</formula>
    </cfRule>
  </conditionalFormatting>
  <conditionalFormatting sqref="W134:W135">
    <cfRule type="cellIs" dxfId="191" priority="10" stopIfTrue="1" operator="notBetween">
      <formula>-0.001</formula>
      <formula>0.001</formula>
    </cfRule>
    <cfRule type="cellIs" dxfId="190" priority="11" stopIfTrue="1" operator="between">
      <formula>-0.0001</formula>
      <formula>0.0001</formula>
    </cfRule>
  </conditionalFormatting>
  <conditionalFormatting sqref="W134:W65531">
    <cfRule type="cellIs" dxfId="189" priority="12" stopIfTrue="1" operator="between">
      <formula>-0.01</formula>
      <formula>0.01</formula>
    </cfRule>
  </conditionalFormatting>
  <conditionalFormatting sqref="W118:X122">
    <cfRule type="cellIs" dxfId="188" priority="112" stopIfTrue="1" operator="equal">
      <formula>0</formula>
    </cfRule>
  </conditionalFormatting>
  <conditionalFormatting sqref="W124:X125">
    <cfRule type="cellIs" dxfId="187" priority="86" stopIfTrue="1" operator="equal">
      <formula>0</formula>
    </cfRule>
  </conditionalFormatting>
  <conditionalFormatting sqref="W127:X127">
    <cfRule type="cellIs" dxfId="186" priority="72" stopIfTrue="1" operator="equal">
      <formula>0</formula>
    </cfRule>
  </conditionalFormatting>
  <conditionalFormatting sqref="W129:X132">
    <cfRule type="cellIs" dxfId="185" priority="43" stopIfTrue="1" operator="equal">
      <formula>0</formula>
    </cfRule>
  </conditionalFormatting>
  <conditionalFormatting sqref="W134:X135">
    <cfRule type="cellIs" dxfId="184" priority="9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33A5-6806-428C-9EB2-DCCE5D31B3DE}">
  <sheetPr>
    <tabColor rgb="FF00B050"/>
    <pageSetUpPr fitToPage="1"/>
  </sheetPr>
  <dimension ref="A1:AS199"/>
  <sheetViews>
    <sheetView showGridLines="0" zoomScale="70" zoomScaleNormal="70" workbookViewId="0">
      <selection activeCell="M4" sqref="M4"/>
    </sheetView>
  </sheetViews>
  <sheetFormatPr baseColWidth="10" defaultColWidth="9.140625" defaultRowHeight="12.75" x14ac:dyDescent="0.2"/>
  <cols>
    <col min="1" max="1" width="13.42578125" style="8" customWidth="1"/>
    <col min="2" max="2" width="15.42578125" style="8" customWidth="1"/>
    <col min="3" max="3" width="14.5703125" style="7" customWidth="1"/>
    <col min="4" max="4" width="31.7109375" style="1" customWidth="1"/>
    <col min="5" max="5" width="13.42578125" style="7" customWidth="1"/>
    <col min="6" max="6" width="6.85546875" style="1" customWidth="1"/>
    <col min="7" max="7" width="6.140625" style="1" customWidth="1"/>
    <col min="8" max="8" width="3" style="1" customWidth="1"/>
    <col min="9" max="9" width="8.42578125" style="1" customWidth="1"/>
    <col min="10" max="10" width="6.28515625" style="6" customWidth="1"/>
    <col min="11" max="11" width="4.7109375" style="5" customWidth="1"/>
    <col min="12" max="12" width="7.7109375" style="1" customWidth="1"/>
    <col min="13" max="13" width="9.28515625" style="1" customWidth="1"/>
    <col min="14" max="14" width="10.28515625" style="4" customWidth="1"/>
    <col min="15" max="15" width="7" style="3" customWidth="1"/>
    <col min="16" max="16" width="8.28515625" style="1" customWidth="1"/>
    <col min="17" max="17" width="6.140625" style="3" customWidth="1"/>
    <col min="18" max="18" width="8.140625" style="1" customWidth="1"/>
    <col min="19" max="19" width="8.42578125" style="1" customWidth="1"/>
    <col min="20" max="20" width="1.140625" style="1" customWidth="1"/>
    <col min="21" max="21" width="7.85546875" style="1" customWidth="1"/>
    <col min="22" max="22" width="9.28515625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23" t="s">
        <v>173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24" ht="11.25" customHeight="1" x14ac:dyDescent="0.2">
      <c r="A2" s="99"/>
      <c r="B2" s="99"/>
      <c r="C2" s="100"/>
      <c r="I2"/>
      <c r="J2"/>
      <c r="K2"/>
      <c r="L2"/>
      <c r="M2"/>
      <c r="N2"/>
      <c r="O2"/>
      <c r="P2"/>
      <c r="Q2"/>
      <c r="R2"/>
      <c r="S2"/>
    </row>
    <row r="3" spans="1:24" x14ac:dyDescent="0.2">
      <c r="A3" s="101" t="s">
        <v>172</v>
      </c>
      <c r="B3" s="124">
        <f ca="1">++TODAY()</f>
        <v>46045</v>
      </c>
      <c r="C3" s="125"/>
      <c r="I3"/>
      <c r="J3"/>
      <c r="K3"/>
      <c r="L3"/>
      <c r="M3"/>
      <c r="N3"/>
      <c r="O3"/>
      <c r="P3"/>
      <c r="Q3"/>
      <c r="R3"/>
      <c r="S3"/>
    </row>
    <row r="4" spans="1:24" x14ac:dyDescent="0.2">
      <c r="A4" s="99" t="s">
        <v>171</v>
      </c>
      <c r="B4" s="99"/>
      <c r="C4" s="100"/>
      <c r="I4"/>
      <c r="J4"/>
      <c r="K4"/>
      <c r="L4"/>
      <c r="M4"/>
      <c r="N4"/>
      <c r="O4"/>
      <c r="P4"/>
      <c r="Q4"/>
      <c r="R4"/>
      <c r="S4"/>
      <c r="T4" s="107"/>
    </row>
    <row r="5" spans="1:24" x14ac:dyDescent="0.2">
      <c r="A5" s="101" t="s">
        <v>170</v>
      </c>
      <c r="B5" s="106" t="s">
        <v>178</v>
      </c>
      <c r="C5" s="105"/>
      <c r="I5"/>
      <c r="J5"/>
      <c r="K5"/>
      <c r="L5"/>
      <c r="M5"/>
      <c r="N5"/>
      <c r="O5"/>
      <c r="P5"/>
      <c r="Q5"/>
      <c r="R5"/>
      <c r="S5"/>
    </row>
    <row r="6" spans="1:24" x14ac:dyDescent="0.2">
      <c r="A6" s="101" t="s">
        <v>169</v>
      </c>
      <c r="B6" s="104">
        <v>325103864</v>
      </c>
      <c r="C6" s="103"/>
      <c r="D6" s="8"/>
      <c r="I6"/>
      <c r="J6"/>
      <c r="K6"/>
      <c r="L6"/>
      <c r="M6"/>
      <c r="N6"/>
      <c r="O6"/>
      <c r="P6"/>
      <c r="Q6"/>
      <c r="R6"/>
      <c r="S6"/>
      <c r="T6" s="102"/>
    </row>
    <row r="7" spans="1:24" x14ac:dyDescent="0.2">
      <c r="A7" s="101" t="s">
        <v>168</v>
      </c>
      <c r="B7" s="126" t="s">
        <v>177</v>
      </c>
      <c r="C7" s="127"/>
      <c r="D7" s="100"/>
      <c r="E7" s="100"/>
      <c r="I7"/>
      <c r="J7"/>
      <c r="K7"/>
      <c r="L7"/>
      <c r="M7"/>
      <c r="N7"/>
      <c r="O7"/>
      <c r="P7"/>
      <c r="Q7"/>
      <c r="R7"/>
      <c r="S7"/>
    </row>
    <row r="8" spans="1:24" x14ac:dyDescent="0.2">
      <c r="B8" s="99"/>
      <c r="C8" s="98"/>
      <c r="D8" s="98"/>
      <c r="E8" s="98"/>
      <c r="I8"/>
      <c r="J8"/>
      <c r="K8"/>
      <c r="L8"/>
      <c r="M8"/>
      <c r="N8"/>
      <c r="O8"/>
      <c r="P8"/>
      <c r="Q8"/>
      <c r="R8"/>
      <c r="S8"/>
    </row>
    <row r="9" spans="1:24" s="7" customFormat="1" ht="34.5" customHeight="1" x14ac:dyDescent="0.2">
      <c r="A9" s="96" t="s">
        <v>166</v>
      </c>
      <c r="B9" s="96" t="s">
        <v>165</v>
      </c>
      <c r="C9" s="96" t="s">
        <v>164</v>
      </c>
      <c r="D9" s="97" t="s">
        <v>163</v>
      </c>
      <c r="E9" s="96" t="s">
        <v>162</v>
      </c>
      <c r="F9" s="96" t="s">
        <v>161</v>
      </c>
      <c r="G9" s="96" t="s">
        <v>160</v>
      </c>
      <c r="I9" s="96" t="s">
        <v>159</v>
      </c>
      <c r="J9" s="96" t="s">
        <v>158</v>
      </c>
      <c r="K9" s="95"/>
      <c r="L9" s="92" t="s">
        <v>157</v>
      </c>
      <c r="M9" s="92" t="s">
        <v>156</v>
      </c>
      <c r="N9" s="94" t="s">
        <v>152</v>
      </c>
      <c r="O9" s="93" t="s">
        <v>155</v>
      </c>
      <c r="P9" s="92" t="s">
        <v>154</v>
      </c>
      <c r="Q9" s="93" t="s">
        <v>153</v>
      </c>
      <c r="R9" s="92" t="s">
        <v>152</v>
      </c>
      <c r="S9" s="92" t="s">
        <v>151</v>
      </c>
      <c r="V9" s="90" t="s">
        <v>150</v>
      </c>
      <c r="W9" s="91" t="s">
        <v>149</v>
      </c>
      <c r="X9" s="90" t="s">
        <v>148</v>
      </c>
    </row>
    <row r="10" spans="1:24" x14ac:dyDescent="0.2">
      <c r="A10" s="37"/>
      <c r="B10" s="36"/>
      <c r="C10" s="35"/>
      <c r="D10" s="27"/>
      <c r="E10" s="35"/>
      <c r="F10" s="27"/>
      <c r="G10" s="25"/>
      <c r="I10" s="32"/>
      <c r="J10" s="33"/>
      <c r="L10" s="32"/>
      <c r="M10" s="27"/>
      <c r="N10" s="89"/>
      <c r="O10" s="30"/>
      <c r="P10" s="27"/>
      <c r="Q10" s="30"/>
      <c r="R10" s="27"/>
      <c r="S10" s="25"/>
      <c r="V10" s="88">
        <v>46020</v>
      </c>
      <c r="W10" s="45"/>
      <c r="X10" s="25"/>
    </row>
    <row r="11" spans="1:24" s="86" customFormat="1" x14ac:dyDescent="0.2">
      <c r="A11" s="22" t="s">
        <v>106</v>
      </c>
      <c r="B11" s="22" t="s">
        <v>110</v>
      </c>
      <c r="C11" s="121">
        <v>100021632</v>
      </c>
      <c r="D11" s="119" t="s">
        <v>147</v>
      </c>
      <c r="E11" s="49">
        <v>7790360026606</v>
      </c>
      <c r="F11" s="15">
        <v>4.8</v>
      </c>
      <c r="G11" s="19">
        <v>30</v>
      </c>
      <c r="I11" s="15">
        <f t="shared" ref="I11:I44" si="0">+L11*1.55*1.21</f>
        <v>3253.3152815609365</v>
      </c>
      <c r="J11" s="15">
        <f t="shared" ref="J11:J36" si="1">+I11*0.8</f>
        <v>2602.6522252487493</v>
      </c>
      <c r="K11" s="47"/>
      <c r="L11" s="12">
        <f t="shared" ref="L11:L44" si="2">+IF(ISERROR(N11/G11),"",(N11/G11))</f>
        <v>1734.6389131223334</v>
      </c>
      <c r="M11" s="12">
        <f t="shared" ref="M11:M16" si="3">+N11/F11</f>
        <v>10841.493207014584</v>
      </c>
      <c r="N11" s="40">
        <v>52039.167393670003</v>
      </c>
      <c r="O11" s="65"/>
      <c r="P11" s="12">
        <f t="shared" ref="P11:P44" si="4">+IF(ISERROR(N11/(1-O11)),"",(N11/(1-O11)))</f>
        <v>52039.167393670003</v>
      </c>
      <c r="Q11" s="87"/>
      <c r="R11" s="12">
        <f t="shared" ref="R11:R44" si="5">+IF(ISERROR(P11/(1-Q11)),"",(P11/(1-Q11)))</f>
        <v>52039.167393670003</v>
      </c>
      <c r="S11" s="12">
        <f t="shared" ref="S11:S44" si="6">+IF(ISERROR(R11/G11),"",(R11/G11))</f>
        <v>1734.6389131223334</v>
      </c>
      <c r="T11" s="1"/>
      <c r="U11" s="1"/>
      <c r="V11" s="12">
        <v>50523.46</v>
      </c>
      <c r="W11" s="16">
        <f t="shared" ref="W11:W44" si="7">+IF(ISERROR(N11/V11-1),"",(N11/V11-1))</f>
        <v>3.0000071128739147E-2</v>
      </c>
      <c r="X11" s="12">
        <f t="shared" ref="X11:X44" si="8">+IF(ISERROR(V11*(1-O11)),"",(V11*(1-O11)))</f>
        <v>50523.46</v>
      </c>
    </row>
    <row r="12" spans="1:24" x14ac:dyDescent="0.2">
      <c r="A12" s="22" t="s">
        <v>106</v>
      </c>
      <c r="B12" s="22" t="s">
        <v>110</v>
      </c>
      <c r="C12" s="122">
        <v>100021652</v>
      </c>
      <c r="D12" s="119" t="s">
        <v>146</v>
      </c>
      <c r="E12" s="49">
        <v>7790360026576</v>
      </c>
      <c r="F12" s="15">
        <v>5.76</v>
      </c>
      <c r="G12" s="19">
        <v>18</v>
      </c>
      <c r="I12" s="15">
        <f t="shared" si="0"/>
        <v>7223.1744833605781</v>
      </c>
      <c r="J12" s="15">
        <f t="shared" si="1"/>
        <v>5778.5395866884628</v>
      </c>
      <c r="K12" s="47"/>
      <c r="L12" s="15">
        <f t="shared" si="2"/>
        <v>3851.3327024050004</v>
      </c>
      <c r="M12" s="15">
        <f t="shared" si="3"/>
        <v>12035.414695015626</v>
      </c>
      <c r="N12" s="40">
        <v>69323.988643290009</v>
      </c>
      <c r="O12" s="65"/>
      <c r="P12" s="12">
        <f t="shared" si="4"/>
        <v>69323.988643290009</v>
      </c>
      <c r="Q12" s="64"/>
      <c r="R12" s="12">
        <f t="shared" si="5"/>
        <v>69323.988643290009</v>
      </c>
      <c r="S12" s="15">
        <f t="shared" si="6"/>
        <v>3851.3327024050004</v>
      </c>
      <c r="V12" s="12">
        <v>67304.84</v>
      </c>
      <c r="W12" s="16">
        <f t="shared" si="7"/>
        <v>3.0000051159619678E-2</v>
      </c>
      <c r="X12" s="15">
        <f t="shared" si="8"/>
        <v>67304.84</v>
      </c>
    </row>
    <row r="13" spans="1:24" x14ac:dyDescent="0.2">
      <c r="A13" s="22" t="s">
        <v>106</v>
      </c>
      <c r="B13" s="22" t="s">
        <v>110</v>
      </c>
      <c r="C13" s="122">
        <v>100021631</v>
      </c>
      <c r="D13" s="119" t="s">
        <v>145</v>
      </c>
      <c r="E13" s="49">
        <v>7790360026590</v>
      </c>
      <c r="F13" s="15">
        <v>7.68</v>
      </c>
      <c r="G13" s="19">
        <v>8</v>
      </c>
      <c r="I13" s="15">
        <f t="shared" si="0"/>
        <v>20945.55930122167</v>
      </c>
      <c r="J13" s="15">
        <f t="shared" si="1"/>
        <v>16756.447440977336</v>
      </c>
      <c r="K13" s="47"/>
      <c r="L13" s="15">
        <f t="shared" si="2"/>
        <v>11167.986830830003</v>
      </c>
      <c r="M13" s="15">
        <f t="shared" si="3"/>
        <v>11633.319615447919</v>
      </c>
      <c r="N13" s="40">
        <v>89343.894646640023</v>
      </c>
      <c r="O13" s="65"/>
      <c r="P13" s="12">
        <f t="shared" si="4"/>
        <v>89343.894646640023</v>
      </c>
      <c r="Q13" s="64"/>
      <c r="R13" s="12">
        <f t="shared" si="5"/>
        <v>89343.894646640023</v>
      </c>
      <c r="S13" s="15">
        <f t="shared" si="6"/>
        <v>11167.986830830003</v>
      </c>
      <c r="V13" s="12">
        <v>86741.65</v>
      </c>
      <c r="W13" s="16">
        <f t="shared" si="7"/>
        <v>2.9999944048101801E-2</v>
      </c>
      <c r="X13" s="15">
        <f t="shared" si="8"/>
        <v>86741.65</v>
      </c>
    </row>
    <row r="14" spans="1:24" x14ac:dyDescent="0.2">
      <c r="A14" s="22" t="s">
        <v>106</v>
      </c>
      <c r="B14" s="22" t="s">
        <v>110</v>
      </c>
      <c r="C14" s="122">
        <v>100021630</v>
      </c>
      <c r="D14" s="119" t="s">
        <v>144</v>
      </c>
      <c r="E14" s="49">
        <v>7790360026583</v>
      </c>
      <c r="F14" s="15">
        <v>9.6</v>
      </c>
      <c r="G14" s="19">
        <v>6</v>
      </c>
      <c r="I14" s="15">
        <f t="shared" si="0"/>
        <v>34909.268917718589</v>
      </c>
      <c r="J14" s="15">
        <f t="shared" si="1"/>
        <v>27927.415134174873</v>
      </c>
      <c r="K14" s="47"/>
      <c r="L14" s="15">
        <f t="shared" si="2"/>
        <v>18613.313205928334</v>
      </c>
      <c r="M14" s="15">
        <f t="shared" si="3"/>
        <v>11633.320753705209</v>
      </c>
      <c r="N14" s="40">
        <v>111679.87923557001</v>
      </c>
      <c r="O14" s="65"/>
      <c r="P14" s="12">
        <f t="shared" si="4"/>
        <v>111679.87923557001</v>
      </c>
      <c r="Q14" s="64"/>
      <c r="R14" s="12">
        <f t="shared" si="5"/>
        <v>111679.87923557001</v>
      </c>
      <c r="S14" s="15">
        <f t="shared" si="6"/>
        <v>18613.313205928334</v>
      </c>
      <c r="V14" s="12">
        <v>108427.07</v>
      </c>
      <c r="W14" s="16">
        <f t="shared" si="7"/>
        <v>2.9999973581966266E-2</v>
      </c>
      <c r="X14" s="15">
        <f t="shared" si="8"/>
        <v>108427.07</v>
      </c>
    </row>
    <row r="15" spans="1:24" x14ac:dyDescent="0.2">
      <c r="A15" s="22" t="s">
        <v>106</v>
      </c>
      <c r="B15" s="22" t="s">
        <v>110</v>
      </c>
      <c r="C15" s="44">
        <v>100021653</v>
      </c>
      <c r="D15" s="24" t="s">
        <v>143</v>
      </c>
      <c r="E15" s="49">
        <v>7790360026682</v>
      </c>
      <c r="F15" s="15">
        <v>5.76</v>
      </c>
      <c r="G15" s="19">
        <v>18</v>
      </c>
      <c r="I15" s="15">
        <f t="shared" si="0"/>
        <v>7163.1461408815849</v>
      </c>
      <c r="J15" s="15">
        <f t="shared" si="1"/>
        <v>5730.5169127052686</v>
      </c>
      <c r="K15" s="47"/>
      <c r="L15" s="15">
        <f t="shared" si="2"/>
        <v>3819.3261215044445</v>
      </c>
      <c r="M15" s="15">
        <f t="shared" si="3"/>
        <v>11935.39412970139</v>
      </c>
      <c r="N15" s="40">
        <v>68747.87018708</v>
      </c>
      <c r="O15" s="65"/>
      <c r="P15" s="12">
        <f t="shared" si="4"/>
        <v>68747.87018708</v>
      </c>
      <c r="Q15" s="64"/>
      <c r="R15" s="12">
        <f t="shared" si="5"/>
        <v>68747.87018708</v>
      </c>
      <c r="S15" s="15">
        <f t="shared" si="6"/>
        <v>3819.3261215044445</v>
      </c>
      <c r="V15" s="12">
        <v>66745.509999999995</v>
      </c>
      <c r="W15" s="16">
        <f t="shared" si="7"/>
        <v>2.9999923396794914E-2</v>
      </c>
      <c r="X15" s="15">
        <f t="shared" si="8"/>
        <v>66745.509999999995</v>
      </c>
    </row>
    <row r="16" spans="1:24" x14ac:dyDescent="0.2">
      <c r="A16" s="22" t="s">
        <v>106</v>
      </c>
      <c r="B16" s="22" t="s">
        <v>110</v>
      </c>
      <c r="C16" s="121">
        <v>100516169</v>
      </c>
      <c r="D16" s="119" t="s">
        <v>142</v>
      </c>
      <c r="E16" s="120">
        <v>7790360967961</v>
      </c>
      <c r="F16" s="15">
        <v>5.76</v>
      </c>
      <c r="G16" s="19">
        <v>18</v>
      </c>
      <c r="I16" s="15">
        <f t="shared" si="0"/>
        <v>6283.6705229124846</v>
      </c>
      <c r="J16" s="15">
        <f t="shared" si="1"/>
        <v>5026.9364183299876</v>
      </c>
      <c r="K16" s="47"/>
      <c r="L16" s="15">
        <f t="shared" si="2"/>
        <v>3350.3975062183335</v>
      </c>
      <c r="M16" s="15">
        <f t="shared" si="3"/>
        <v>10469.992206932293</v>
      </c>
      <c r="N16" s="40">
        <v>60307.155111930006</v>
      </c>
      <c r="O16" s="65"/>
      <c r="P16" s="12">
        <f t="shared" si="4"/>
        <v>60307.155111930006</v>
      </c>
      <c r="Q16" s="64"/>
      <c r="R16" s="12">
        <f t="shared" si="5"/>
        <v>60307.155111930006</v>
      </c>
      <c r="S16" s="15">
        <f t="shared" si="6"/>
        <v>3350.3975062183335</v>
      </c>
      <c r="V16" s="12">
        <v>58550.64</v>
      </c>
      <c r="W16" s="16">
        <f t="shared" si="7"/>
        <v>2.9999930178901568E-2</v>
      </c>
      <c r="X16" s="15">
        <f t="shared" si="8"/>
        <v>58550.64</v>
      </c>
    </row>
    <row r="17" spans="1:24" x14ac:dyDescent="0.2">
      <c r="A17" s="22" t="s">
        <v>106</v>
      </c>
      <c r="B17" s="22" t="s">
        <v>110</v>
      </c>
      <c r="C17" s="121">
        <v>100520337</v>
      </c>
      <c r="D17" s="119" t="s">
        <v>141</v>
      </c>
      <c r="E17" s="120">
        <v>7790360977960</v>
      </c>
      <c r="F17" s="15">
        <v>4.8</v>
      </c>
      <c r="G17" s="19">
        <v>30</v>
      </c>
      <c r="I17" s="15">
        <f t="shared" si="0"/>
        <v>2308.842869376223</v>
      </c>
      <c r="J17" s="15">
        <f t="shared" si="1"/>
        <v>1847.0742955009785</v>
      </c>
      <c r="K17" s="47"/>
      <c r="L17" s="15">
        <f t="shared" si="2"/>
        <v>1231.0545824453334</v>
      </c>
      <c r="M17" s="15">
        <f t="shared" ref="M17:M26" si="9">+IF(ISERROR(N17/F17),"",(N17/F17))</f>
        <v>7694.0911402833344</v>
      </c>
      <c r="N17" s="40">
        <v>36931.637473360002</v>
      </c>
      <c r="O17" s="65"/>
      <c r="P17" s="12">
        <f t="shared" si="4"/>
        <v>36931.637473360002</v>
      </c>
      <c r="Q17" s="64"/>
      <c r="R17" s="12">
        <f t="shared" si="5"/>
        <v>36931.637473360002</v>
      </c>
      <c r="S17" s="15">
        <f t="shared" si="6"/>
        <v>1231.0545824453334</v>
      </c>
      <c r="V17" s="12">
        <v>35855.96</v>
      </c>
      <c r="W17" s="16">
        <f t="shared" si="7"/>
        <v>2.9999963000851171E-2</v>
      </c>
      <c r="X17" s="15">
        <f t="shared" si="8"/>
        <v>35855.96</v>
      </c>
    </row>
    <row r="18" spans="1:24" x14ac:dyDescent="0.2">
      <c r="A18" s="22" t="s">
        <v>106</v>
      </c>
      <c r="B18" s="22" t="s">
        <v>110</v>
      </c>
      <c r="C18" s="121">
        <v>100021503</v>
      </c>
      <c r="D18" s="119" t="s">
        <v>140</v>
      </c>
      <c r="E18" s="120">
        <v>7790360966841</v>
      </c>
      <c r="F18" s="15">
        <v>3.3119999999999998</v>
      </c>
      <c r="G18" s="19">
        <v>12</v>
      </c>
      <c r="I18" s="15">
        <f t="shared" si="0"/>
        <v>4801.2472478184127</v>
      </c>
      <c r="J18" s="15">
        <f t="shared" si="1"/>
        <v>3840.9977982547302</v>
      </c>
      <c r="K18" s="47"/>
      <c r="L18" s="15">
        <f t="shared" si="2"/>
        <v>2559.9825368266665</v>
      </c>
      <c r="M18" s="15">
        <f t="shared" si="9"/>
        <v>9275.2990464734303</v>
      </c>
      <c r="N18" s="40">
        <v>30719.790441919999</v>
      </c>
      <c r="O18" s="65"/>
      <c r="P18" s="12">
        <f t="shared" si="4"/>
        <v>30719.790441919999</v>
      </c>
      <c r="Q18" s="64"/>
      <c r="R18" s="12">
        <f t="shared" si="5"/>
        <v>30719.790441919999</v>
      </c>
      <c r="S18" s="15">
        <f t="shared" si="6"/>
        <v>2559.9825368266665</v>
      </c>
      <c r="V18" s="12">
        <v>29825.040000000001</v>
      </c>
      <c r="W18" s="16">
        <f t="shared" si="7"/>
        <v>2.999997458243131E-2</v>
      </c>
      <c r="X18" s="15">
        <f t="shared" si="8"/>
        <v>29825.040000000001</v>
      </c>
    </row>
    <row r="19" spans="1:24" x14ac:dyDescent="0.2">
      <c r="A19" s="22" t="s">
        <v>106</v>
      </c>
      <c r="B19" s="22" t="s">
        <v>110</v>
      </c>
      <c r="C19" s="44">
        <v>100516201</v>
      </c>
      <c r="D19" s="24" t="s">
        <v>139</v>
      </c>
      <c r="E19" s="72">
        <v>7790360968548</v>
      </c>
      <c r="F19" s="70">
        <v>6.6239999999999997</v>
      </c>
      <c r="G19" s="69">
        <v>8</v>
      </c>
      <c r="I19" s="15">
        <f t="shared" si="0"/>
        <v>12533.658146960852</v>
      </c>
      <c r="J19" s="15">
        <f t="shared" si="1"/>
        <v>10026.926517568681</v>
      </c>
      <c r="K19" s="47"/>
      <c r="L19" s="15">
        <f t="shared" si="2"/>
        <v>6682.8355888887509</v>
      </c>
      <c r="M19" s="15">
        <f t="shared" si="9"/>
        <v>8071.0574745033227</v>
      </c>
      <c r="N19" s="40">
        <v>53462.684711110007</v>
      </c>
      <c r="O19" s="65"/>
      <c r="P19" s="12">
        <f t="shared" si="4"/>
        <v>53462.684711110007</v>
      </c>
      <c r="Q19" s="16"/>
      <c r="R19" s="12">
        <f t="shared" si="5"/>
        <v>53462.684711110007</v>
      </c>
      <c r="S19" s="15">
        <f t="shared" si="6"/>
        <v>6682.8355888887509</v>
      </c>
      <c r="V19" s="12">
        <v>51905.52</v>
      </c>
      <c r="W19" s="16">
        <f t="shared" si="7"/>
        <v>2.9999982874846731E-2</v>
      </c>
      <c r="X19" s="15">
        <f t="shared" si="8"/>
        <v>51905.52</v>
      </c>
    </row>
    <row r="20" spans="1:24" x14ac:dyDescent="0.2">
      <c r="A20" s="22" t="s">
        <v>106</v>
      </c>
      <c r="B20" s="22" t="s">
        <v>110</v>
      </c>
      <c r="C20" s="44">
        <v>100021643</v>
      </c>
      <c r="D20" s="24" t="s">
        <v>138</v>
      </c>
      <c r="E20" s="72">
        <v>7790360966797</v>
      </c>
      <c r="F20" s="70">
        <v>4.7039999999999997</v>
      </c>
      <c r="G20" s="69">
        <v>42</v>
      </c>
      <c r="I20" s="15">
        <f t="shared" si="0"/>
        <v>2057.8506158194195</v>
      </c>
      <c r="J20" s="15">
        <f t="shared" si="1"/>
        <v>1646.2804926555357</v>
      </c>
      <c r="K20" s="47"/>
      <c r="L20" s="15">
        <f t="shared" si="2"/>
        <v>1097.2277343745238</v>
      </c>
      <c r="M20" s="15">
        <f t="shared" si="9"/>
        <v>9796.6761997725334</v>
      </c>
      <c r="N20" s="40">
        <v>46083.564843729997</v>
      </c>
      <c r="O20" s="65"/>
      <c r="P20" s="12">
        <f t="shared" si="4"/>
        <v>46083.564843729997</v>
      </c>
      <c r="Q20" s="16"/>
      <c r="R20" s="12">
        <f t="shared" si="5"/>
        <v>46083.564843729997</v>
      </c>
      <c r="S20" s="15">
        <f t="shared" si="6"/>
        <v>1097.2277343745238</v>
      </c>
      <c r="V20" s="12">
        <v>44741.32</v>
      </c>
      <c r="W20" s="16">
        <f t="shared" si="7"/>
        <v>3.0000117201057108E-2</v>
      </c>
      <c r="X20" s="15">
        <f t="shared" si="8"/>
        <v>44741.32</v>
      </c>
    </row>
    <row r="21" spans="1:24" hidden="1" x14ac:dyDescent="0.2">
      <c r="A21" s="22" t="s">
        <v>106</v>
      </c>
      <c r="B21" s="22" t="s">
        <v>110</v>
      </c>
      <c r="C21" s="83">
        <v>100516075</v>
      </c>
      <c r="D21" s="82" t="s">
        <v>137</v>
      </c>
      <c r="E21" s="81">
        <v>7790360968470</v>
      </c>
      <c r="F21" s="80">
        <v>4.7039999999999997</v>
      </c>
      <c r="G21" s="79">
        <v>21</v>
      </c>
      <c r="H21" s="76"/>
      <c r="I21" s="15" t="e">
        <f t="shared" si="0"/>
        <v>#VALUE!</v>
      </c>
      <c r="J21" s="15" t="e">
        <f t="shared" si="1"/>
        <v>#VALUE!</v>
      </c>
      <c r="K21" s="78"/>
      <c r="L21" s="73" t="str">
        <f t="shared" si="2"/>
        <v/>
      </c>
      <c r="M21" s="73" t="str">
        <f t="shared" si="9"/>
        <v/>
      </c>
      <c r="N21" s="40" t="e">
        <v>#VALUE!</v>
      </c>
      <c r="O21" s="77"/>
      <c r="P21" s="12" t="str">
        <f t="shared" si="4"/>
        <v/>
      </c>
      <c r="Q21" s="74"/>
      <c r="R21" s="12" t="str">
        <f t="shared" si="5"/>
        <v/>
      </c>
      <c r="S21" s="73" t="str">
        <f t="shared" si="6"/>
        <v/>
      </c>
      <c r="T21" s="76"/>
      <c r="U21" s="76"/>
      <c r="V21" s="75" t="s">
        <v>31</v>
      </c>
      <c r="W21" s="74" t="str">
        <f t="shared" si="7"/>
        <v/>
      </c>
      <c r="X21" s="73" t="str">
        <f t="shared" si="8"/>
        <v/>
      </c>
    </row>
    <row r="22" spans="1:24" x14ac:dyDescent="0.2">
      <c r="A22" s="22" t="s">
        <v>106</v>
      </c>
      <c r="B22" s="22" t="s">
        <v>110</v>
      </c>
      <c r="C22" s="44">
        <v>100516325</v>
      </c>
      <c r="D22" s="24" t="s">
        <v>136</v>
      </c>
      <c r="E22" s="72">
        <v>7790360967763</v>
      </c>
      <c r="F22" s="70">
        <v>4.7039999999999997</v>
      </c>
      <c r="G22" s="69">
        <v>21</v>
      </c>
      <c r="I22" s="15">
        <f t="shared" si="0"/>
        <v>3358.0033146434207</v>
      </c>
      <c r="J22" s="15">
        <f t="shared" si="1"/>
        <v>2686.4026517147367</v>
      </c>
      <c r="K22" s="42"/>
      <c r="L22" s="15">
        <f t="shared" si="2"/>
        <v>1790.4576457709522</v>
      </c>
      <c r="M22" s="15">
        <f t="shared" si="9"/>
        <v>7993.1144900488944</v>
      </c>
      <c r="N22" s="40">
        <v>37599.610561189998</v>
      </c>
      <c r="O22" s="65"/>
      <c r="P22" s="12">
        <f t="shared" si="4"/>
        <v>37599.610561189998</v>
      </c>
      <c r="Q22" s="16"/>
      <c r="R22" s="12">
        <f t="shared" si="5"/>
        <v>37599.610561189998</v>
      </c>
      <c r="S22" s="15">
        <f t="shared" si="6"/>
        <v>1790.4576457709522</v>
      </c>
      <c r="V22" s="12">
        <v>36504.480000000003</v>
      </c>
      <c r="W22" s="16">
        <f t="shared" si="7"/>
        <v>2.9999894840030406E-2</v>
      </c>
      <c r="X22" s="15">
        <f t="shared" si="8"/>
        <v>36504.480000000003</v>
      </c>
    </row>
    <row r="23" spans="1:24" x14ac:dyDescent="0.2">
      <c r="A23" s="22" t="s">
        <v>106</v>
      </c>
      <c r="B23" s="22" t="s">
        <v>110</v>
      </c>
      <c r="C23" s="44">
        <v>100021676</v>
      </c>
      <c r="D23" s="24" t="s">
        <v>135</v>
      </c>
      <c r="E23" s="72">
        <v>7790360967411</v>
      </c>
      <c r="F23" s="70">
        <v>7.5</v>
      </c>
      <c r="G23" s="69">
        <v>30</v>
      </c>
      <c r="I23" s="15">
        <f t="shared" si="0"/>
        <v>5302.6783167791964</v>
      </c>
      <c r="J23" s="15">
        <f t="shared" si="1"/>
        <v>4242.1426534233569</v>
      </c>
      <c r="K23" s="42"/>
      <c r="L23" s="15">
        <f t="shared" si="2"/>
        <v>2827.3411446436667</v>
      </c>
      <c r="M23" s="15">
        <f t="shared" si="9"/>
        <v>11309.364578574667</v>
      </c>
      <c r="N23" s="40">
        <v>84820.234339310002</v>
      </c>
      <c r="O23" s="65"/>
      <c r="P23" s="12">
        <f t="shared" si="4"/>
        <v>84820.234339310002</v>
      </c>
      <c r="Q23" s="16"/>
      <c r="R23" s="12">
        <f t="shared" si="5"/>
        <v>84820.234339310002</v>
      </c>
      <c r="S23" s="15">
        <f t="shared" si="6"/>
        <v>2827.3411446436667</v>
      </c>
      <c r="V23" s="12">
        <v>82349.740000000005</v>
      </c>
      <c r="W23" s="16">
        <f t="shared" si="7"/>
        <v>3.0000025978345501E-2</v>
      </c>
      <c r="X23" s="15">
        <f t="shared" si="8"/>
        <v>82349.740000000005</v>
      </c>
    </row>
    <row r="24" spans="1:24" hidden="1" x14ac:dyDescent="0.2">
      <c r="A24" s="22" t="s">
        <v>106</v>
      </c>
      <c r="B24" s="22" t="s">
        <v>110</v>
      </c>
      <c r="C24" s="44">
        <v>100021664</v>
      </c>
      <c r="D24" s="119" t="s">
        <v>134</v>
      </c>
      <c r="E24" s="49">
        <v>7790360027870</v>
      </c>
      <c r="F24" s="70">
        <v>7.5</v>
      </c>
      <c r="G24" s="69">
        <v>30</v>
      </c>
      <c r="I24" s="15" t="e">
        <f t="shared" si="0"/>
        <v>#VALUE!</v>
      </c>
      <c r="J24" s="15" t="e">
        <f t="shared" si="1"/>
        <v>#VALUE!</v>
      </c>
      <c r="K24" s="47"/>
      <c r="L24" s="15" t="str">
        <f t="shared" si="2"/>
        <v/>
      </c>
      <c r="M24" s="15" t="str">
        <f t="shared" si="9"/>
        <v/>
      </c>
      <c r="N24" s="40" t="e">
        <v>#VALUE!</v>
      </c>
      <c r="O24" s="65"/>
      <c r="P24" s="12" t="str">
        <f t="shared" si="4"/>
        <v/>
      </c>
      <c r="Q24" s="16"/>
      <c r="R24" s="12" t="str">
        <f t="shared" si="5"/>
        <v/>
      </c>
      <c r="S24" s="15" t="str">
        <f t="shared" si="6"/>
        <v/>
      </c>
      <c r="V24" s="12" t="s">
        <v>31</v>
      </c>
      <c r="W24" s="16" t="str">
        <f t="shared" si="7"/>
        <v/>
      </c>
      <c r="X24" s="15" t="str">
        <f t="shared" si="8"/>
        <v/>
      </c>
    </row>
    <row r="25" spans="1:24" x14ac:dyDescent="0.2">
      <c r="A25" s="22" t="s">
        <v>106</v>
      </c>
      <c r="B25" s="22" t="s">
        <v>110</v>
      </c>
      <c r="C25" s="44">
        <v>100516008</v>
      </c>
      <c r="D25" s="119" t="s">
        <v>133</v>
      </c>
      <c r="E25" s="49">
        <v>7790360967701</v>
      </c>
      <c r="F25" s="70">
        <v>5.76</v>
      </c>
      <c r="G25" s="69">
        <v>24</v>
      </c>
      <c r="I25" s="15">
        <f t="shared" si="0"/>
        <v>5524.1021537928309</v>
      </c>
      <c r="J25" s="15">
        <f t="shared" si="1"/>
        <v>4419.2817230342653</v>
      </c>
      <c r="K25" s="47"/>
      <c r="L25" s="15">
        <f t="shared" si="2"/>
        <v>2945.4023747229171</v>
      </c>
      <c r="M25" s="15">
        <f t="shared" si="9"/>
        <v>12272.509894678822</v>
      </c>
      <c r="N25" s="40">
        <v>70689.656993350014</v>
      </c>
      <c r="O25" s="65"/>
      <c r="P25" s="12">
        <f t="shared" si="4"/>
        <v>70689.656993350014</v>
      </c>
      <c r="Q25" s="16"/>
      <c r="R25" s="12">
        <f t="shared" si="5"/>
        <v>70689.656993350014</v>
      </c>
      <c r="S25" s="15">
        <f t="shared" si="6"/>
        <v>2945.4023747229171</v>
      </c>
      <c r="V25" s="12">
        <v>68630.73</v>
      </c>
      <c r="W25" s="16">
        <f t="shared" si="7"/>
        <v>3.0000074213839989E-2</v>
      </c>
      <c r="X25" s="15">
        <f t="shared" si="8"/>
        <v>68630.73</v>
      </c>
    </row>
    <row r="26" spans="1:24" x14ac:dyDescent="0.2">
      <c r="A26" s="22" t="s">
        <v>106</v>
      </c>
      <c r="B26" s="22" t="s">
        <v>110</v>
      </c>
      <c r="C26" s="44">
        <v>100520834</v>
      </c>
      <c r="D26" s="119" t="s">
        <v>132</v>
      </c>
      <c r="E26" s="49">
        <v>7790360980618</v>
      </c>
      <c r="F26" s="70">
        <v>6.66</v>
      </c>
      <c r="G26" s="69">
        <v>36</v>
      </c>
      <c r="I26" s="15">
        <f t="shared" si="0"/>
        <v>3811.421745221443</v>
      </c>
      <c r="J26" s="15">
        <f t="shared" si="1"/>
        <v>3049.1373961771546</v>
      </c>
      <c r="K26" s="47"/>
      <c r="L26" s="15">
        <f t="shared" si="2"/>
        <v>2032.2163397608335</v>
      </c>
      <c r="M26" s="15">
        <f t="shared" si="9"/>
        <v>10984.953187896397</v>
      </c>
      <c r="N26" s="40">
        <v>73159.788231390005</v>
      </c>
      <c r="O26" s="65"/>
      <c r="P26" s="12">
        <f t="shared" si="4"/>
        <v>73159.788231390005</v>
      </c>
      <c r="Q26" s="16"/>
      <c r="R26" s="12">
        <f t="shared" si="5"/>
        <v>73159.788231390005</v>
      </c>
      <c r="S26" s="15">
        <f t="shared" si="6"/>
        <v>2032.2163397608335</v>
      </c>
      <c r="V26" s="12">
        <v>71028.92</v>
      </c>
      <c r="W26" s="16">
        <f t="shared" si="7"/>
        <v>3.0000008889196295E-2</v>
      </c>
      <c r="X26" s="15">
        <f t="shared" si="8"/>
        <v>71028.92</v>
      </c>
    </row>
    <row r="27" spans="1:24" x14ac:dyDescent="0.2">
      <c r="A27" s="22" t="s">
        <v>106</v>
      </c>
      <c r="B27" s="22" t="s">
        <v>110</v>
      </c>
      <c r="C27" s="44">
        <v>100518223</v>
      </c>
      <c r="D27" s="119" t="s">
        <v>131</v>
      </c>
      <c r="E27" s="49">
        <v>7790360975065</v>
      </c>
      <c r="F27" s="70">
        <v>6.36</v>
      </c>
      <c r="G27" s="69">
        <v>30</v>
      </c>
      <c r="I27" s="15">
        <f t="shared" si="0"/>
        <v>3975.7628673995141</v>
      </c>
      <c r="J27" s="15">
        <f t="shared" si="1"/>
        <v>3180.6102939196116</v>
      </c>
      <c r="K27" s="47"/>
      <c r="L27" s="15">
        <f t="shared" si="2"/>
        <v>2119.8415715273336</v>
      </c>
      <c r="M27" s="15">
        <v>960.17279513888889</v>
      </c>
      <c r="N27" s="40">
        <v>63595.247145820009</v>
      </c>
      <c r="O27" s="65"/>
      <c r="P27" s="12">
        <f t="shared" si="4"/>
        <v>63595.247145820009</v>
      </c>
      <c r="Q27" s="16"/>
      <c r="R27" s="12">
        <f t="shared" si="5"/>
        <v>63595.247145820009</v>
      </c>
      <c r="S27" s="15">
        <f t="shared" si="6"/>
        <v>2119.8415715273336</v>
      </c>
      <c r="V27" s="12">
        <v>61742.96</v>
      </c>
      <c r="W27" s="16">
        <f t="shared" si="7"/>
        <v>2.999997320860559E-2</v>
      </c>
      <c r="X27" s="15">
        <f t="shared" si="8"/>
        <v>61742.96</v>
      </c>
    </row>
    <row r="28" spans="1:24" x14ac:dyDescent="0.2">
      <c r="A28" s="22" t="s">
        <v>106</v>
      </c>
      <c r="B28" s="22" t="s">
        <v>130</v>
      </c>
      <c r="C28" s="44">
        <v>100021680</v>
      </c>
      <c r="D28" s="119" t="s">
        <v>129</v>
      </c>
      <c r="E28" s="49">
        <v>7790360967688</v>
      </c>
      <c r="F28" s="70">
        <v>4.32</v>
      </c>
      <c r="G28" s="69">
        <v>18</v>
      </c>
      <c r="I28" s="15">
        <f t="shared" si="0"/>
        <v>6663.9987972274876</v>
      </c>
      <c r="J28" s="15">
        <f t="shared" si="1"/>
        <v>5331.1990377819902</v>
      </c>
      <c r="K28" s="47"/>
      <c r="L28" s="15">
        <f t="shared" si="2"/>
        <v>3553.1851758077778</v>
      </c>
      <c r="M28" s="15">
        <f t="shared" ref="M28:M44" si="10">+IF(ISERROR(N28/F28),"",(N28/F28))</f>
        <v>14804.938232532408</v>
      </c>
      <c r="N28" s="40">
        <v>63957.333164540003</v>
      </c>
      <c r="O28" s="65"/>
      <c r="P28" s="12">
        <f t="shared" si="4"/>
        <v>63957.333164540003</v>
      </c>
      <c r="Q28" s="16"/>
      <c r="R28" s="12">
        <f t="shared" si="5"/>
        <v>63957.333164540003</v>
      </c>
      <c r="S28" s="15">
        <f t="shared" si="6"/>
        <v>3553.1851758077778</v>
      </c>
      <c r="V28" s="12">
        <v>62094.5</v>
      </c>
      <c r="W28" s="16">
        <f t="shared" si="7"/>
        <v>2.9999970440860446E-2</v>
      </c>
      <c r="X28" s="15">
        <f t="shared" si="8"/>
        <v>62094.5</v>
      </c>
    </row>
    <row r="29" spans="1:24" x14ac:dyDescent="0.2">
      <c r="A29" s="22" t="s">
        <v>106</v>
      </c>
      <c r="B29" s="22" t="s">
        <v>127</v>
      </c>
      <c r="C29" s="44">
        <v>100021644</v>
      </c>
      <c r="D29" s="119" t="s">
        <v>128</v>
      </c>
      <c r="E29" s="49">
        <v>7790360008541</v>
      </c>
      <c r="F29" s="70">
        <v>4.7039999999999997</v>
      </c>
      <c r="G29" s="69">
        <v>42</v>
      </c>
      <c r="I29" s="15">
        <f t="shared" si="0"/>
        <v>1193.8483647915864</v>
      </c>
      <c r="J29" s="15">
        <f t="shared" si="1"/>
        <v>955.0786918332692</v>
      </c>
      <c r="K29" s="47"/>
      <c r="L29" s="15">
        <f t="shared" si="2"/>
        <v>636.54938138714283</v>
      </c>
      <c r="M29" s="15">
        <f t="shared" si="10"/>
        <v>5683.4766195280608</v>
      </c>
      <c r="N29" s="40">
        <v>26735.074018259998</v>
      </c>
      <c r="O29" s="65"/>
      <c r="P29" s="12">
        <f t="shared" si="4"/>
        <v>26735.074018259998</v>
      </c>
      <c r="Q29" s="16"/>
      <c r="R29" s="12">
        <f t="shared" si="5"/>
        <v>26735.074018259998</v>
      </c>
      <c r="S29" s="15">
        <f t="shared" si="6"/>
        <v>636.54938138714283</v>
      </c>
      <c r="V29" s="12">
        <v>25956.38</v>
      </c>
      <c r="W29" s="16">
        <f t="shared" si="7"/>
        <v>3.0000100871538926E-2</v>
      </c>
      <c r="X29" s="15">
        <f t="shared" si="8"/>
        <v>25956.38</v>
      </c>
    </row>
    <row r="30" spans="1:24" x14ac:dyDescent="0.2">
      <c r="A30" s="22" t="s">
        <v>106</v>
      </c>
      <c r="B30" s="22" t="s">
        <v>127</v>
      </c>
      <c r="C30" s="44">
        <v>100021677</v>
      </c>
      <c r="D30" s="24" t="s">
        <v>126</v>
      </c>
      <c r="E30" s="49">
        <v>7790360967404</v>
      </c>
      <c r="F30" s="15">
        <v>3.3119999999999998</v>
      </c>
      <c r="G30" s="19">
        <v>12</v>
      </c>
      <c r="I30" s="15">
        <f t="shared" si="0"/>
        <v>3563.5627459997727</v>
      </c>
      <c r="J30" s="15">
        <f t="shared" si="1"/>
        <v>2850.8501967998181</v>
      </c>
      <c r="K30" s="47"/>
      <c r="L30" s="15">
        <f t="shared" si="2"/>
        <v>1900.0601151691669</v>
      </c>
      <c r="M30" s="15">
        <f t="shared" si="10"/>
        <v>6884.2757795984307</v>
      </c>
      <c r="N30" s="40">
        <v>22800.721382030002</v>
      </c>
      <c r="O30" s="65"/>
      <c r="P30" s="12">
        <f t="shared" si="4"/>
        <v>22800.721382030002</v>
      </c>
      <c r="Q30" s="64"/>
      <c r="R30" s="12">
        <f t="shared" si="5"/>
        <v>22800.721382030002</v>
      </c>
      <c r="S30" s="15">
        <f t="shared" si="6"/>
        <v>1900.0601151691669</v>
      </c>
      <c r="V30" s="15">
        <v>22136.62</v>
      </c>
      <c r="W30" s="16">
        <f t="shared" si="7"/>
        <v>3.0000125675464506E-2</v>
      </c>
      <c r="X30" s="15">
        <f t="shared" si="8"/>
        <v>22136.62</v>
      </c>
    </row>
    <row r="31" spans="1:24" x14ac:dyDescent="0.2">
      <c r="A31" s="22" t="s">
        <v>106</v>
      </c>
      <c r="B31" s="22" t="s">
        <v>105</v>
      </c>
      <c r="C31" s="44">
        <v>100021638</v>
      </c>
      <c r="D31" s="24" t="s">
        <v>125</v>
      </c>
      <c r="E31" s="49">
        <v>7790360026699</v>
      </c>
      <c r="F31" s="15">
        <v>4.8</v>
      </c>
      <c r="G31" s="19">
        <v>60</v>
      </c>
      <c r="I31" s="15">
        <f t="shared" si="0"/>
        <v>1790.8259294250086</v>
      </c>
      <c r="J31" s="15">
        <f t="shared" si="1"/>
        <v>1432.6607435400069</v>
      </c>
      <c r="K31" s="47"/>
      <c r="L31" s="15">
        <f t="shared" si="2"/>
        <v>954.85253501733325</v>
      </c>
      <c r="M31" s="15">
        <f t="shared" si="10"/>
        <v>11935.656687716666</v>
      </c>
      <c r="N31" s="40">
        <v>57291.152101039996</v>
      </c>
      <c r="O31" s="65"/>
      <c r="P31" s="12">
        <f t="shared" si="4"/>
        <v>57291.152101039996</v>
      </c>
      <c r="Q31" s="64"/>
      <c r="R31" s="12">
        <f t="shared" si="5"/>
        <v>57291.152101039996</v>
      </c>
      <c r="S31" s="15">
        <f t="shared" si="6"/>
        <v>954.85253501733325</v>
      </c>
      <c r="V31" s="15">
        <v>55622.48</v>
      </c>
      <c r="W31" s="16">
        <f t="shared" si="7"/>
        <v>2.9999958668509352E-2</v>
      </c>
      <c r="X31" s="15">
        <f t="shared" si="8"/>
        <v>55622.48</v>
      </c>
    </row>
    <row r="32" spans="1:24" x14ac:dyDescent="0.2">
      <c r="A32" s="22" t="s">
        <v>106</v>
      </c>
      <c r="B32" s="22" t="s">
        <v>105</v>
      </c>
      <c r="C32" s="44">
        <v>100021575</v>
      </c>
      <c r="D32" s="24" t="s">
        <v>124</v>
      </c>
      <c r="E32" s="49">
        <v>7790360007032</v>
      </c>
      <c r="F32" s="15">
        <v>4.1399999999999997</v>
      </c>
      <c r="G32" s="19">
        <v>60</v>
      </c>
      <c r="I32" s="15">
        <f t="shared" si="0"/>
        <v>1468.7615698754819</v>
      </c>
      <c r="J32" s="15">
        <f t="shared" si="1"/>
        <v>1175.0092559003856</v>
      </c>
      <c r="K32" s="47"/>
      <c r="L32" s="15">
        <f t="shared" si="2"/>
        <v>783.13066908849999</v>
      </c>
      <c r="M32" s="15">
        <f t="shared" si="10"/>
        <v>11349.719841862319</v>
      </c>
      <c r="N32" s="40">
        <v>46987.840145310001</v>
      </c>
      <c r="O32" s="65"/>
      <c r="P32" s="12">
        <f t="shared" si="4"/>
        <v>46987.840145310001</v>
      </c>
      <c r="Q32" s="16"/>
      <c r="R32" s="12">
        <f t="shared" si="5"/>
        <v>46987.840145310001</v>
      </c>
      <c r="S32" s="15">
        <f t="shared" si="6"/>
        <v>783.13066908849999</v>
      </c>
      <c r="V32" s="15">
        <v>45619.26</v>
      </c>
      <c r="W32" s="16">
        <f t="shared" si="7"/>
        <v>3.0000051410522754E-2</v>
      </c>
      <c r="X32" s="15">
        <f t="shared" si="8"/>
        <v>45619.26</v>
      </c>
    </row>
    <row r="33" spans="1:24" x14ac:dyDescent="0.2">
      <c r="A33" s="22" t="s">
        <v>106</v>
      </c>
      <c r="B33" s="22" t="s">
        <v>105</v>
      </c>
      <c r="C33" s="44">
        <v>100021514</v>
      </c>
      <c r="D33" s="24" t="s">
        <v>123</v>
      </c>
      <c r="E33" s="49">
        <v>7790360006943</v>
      </c>
      <c r="F33" s="15">
        <v>4.1399999999999997</v>
      </c>
      <c r="G33" s="19">
        <v>60</v>
      </c>
      <c r="I33" s="15">
        <f t="shared" si="0"/>
        <v>1336.5650939562856</v>
      </c>
      <c r="J33" s="15">
        <f t="shared" si="1"/>
        <v>1069.2520751650286</v>
      </c>
      <c r="K33" s="47"/>
      <c r="L33" s="15">
        <f t="shared" si="2"/>
        <v>712.64467819583342</v>
      </c>
      <c r="M33" s="15">
        <f t="shared" si="10"/>
        <v>10328.183741968602</v>
      </c>
      <c r="N33" s="40">
        <v>42758.680691750007</v>
      </c>
      <c r="O33" s="65"/>
      <c r="P33" s="12">
        <f t="shared" si="4"/>
        <v>42758.680691750007</v>
      </c>
      <c r="Q33" s="16"/>
      <c r="R33" s="12">
        <f t="shared" si="5"/>
        <v>42758.680691750007</v>
      </c>
      <c r="S33" s="15">
        <f t="shared" si="6"/>
        <v>712.64467819583342</v>
      </c>
      <c r="V33" s="15">
        <v>41513.279999999999</v>
      </c>
      <c r="W33" s="16">
        <f t="shared" si="7"/>
        <v>3.0000055205226195E-2</v>
      </c>
      <c r="X33" s="15">
        <f t="shared" si="8"/>
        <v>41513.279999999999</v>
      </c>
    </row>
    <row r="34" spans="1:24" x14ac:dyDescent="0.2">
      <c r="A34" s="22" t="s">
        <v>106</v>
      </c>
      <c r="B34" s="22" t="s">
        <v>105</v>
      </c>
      <c r="C34" s="44">
        <v>100516208</v>
      </c>
      <c r="D34" s="24" t="s">
        <v>122</v>
      </c>
      <c r="E34" s="49">
        <v>7790360968203</v>
      </c>
      <c r="F34" s="15">
        <f>60*0.08</f>
        <v>4.8</v>
      </c>
      <c r="G34" s="19">
        <v>60</v>
      </c>
      <c r="I34" s="15">
        <f t="shared" si="0"/>
        <v>1549.6411737708861</v>
      </c>
      <c r="J34" s="15">
        <f t="shared" si="1"/>
        <v>1239.712939016709</v>
      </c>
      <c r="K34" s="42"/>
      <c r="L34" s="15">
        <f t="shared" si="2"/>
        <v>826.25495802233331</v>
      </c>
      <c r="M34" s="15">
        <f t="shared" si="10"/>
        <v>10328.186975279166</v>
      </c>
      <c r="N34" s="40">
        <v>49575.29748134</v>
      </c>
      <c r="O34" s="65"/>
      <c r="P34" s="12">
        <f t="shared" si="4"/>
        <v>49575.29748134</v>
      </c>
      <c r="Q34" s="16"/>
      <c r="R34" s="12">
        <f t="shared" si="5"/>
        <v>49575.29748134</v>
      </c>
      <c r="S34" s="15">
        <f t="shared" si="6"/>
        <v>826.25495802233331</v>
      </c>
      <c r="V34" s="15">
        <v>48131.360000000001</v>
      </c>
      <c r="W34" s="16">
        <f t="shared" si="7"/>
        <v>2.9999931049943251E-2</v>
      </c>
      <c r="X34" s="15">
        <f t="shared" si="8"/>
        <v>48131.360000000001</v>
      </c>
    </row>
    <row r="35" spans="1:24" x14ac:dyDescent="0.2">
      <c r="A35" s="22" t="s">
        <v>106</v>
      </c>
      <c r="B35" s="22" t="s">
        <v>105</v>
      </c>
      <c r="C35" s="44">
        <v>100518346</v>
      </c>
      <c r="D35" s="24" t="s">
        <v>121</v>
      </c>
      <c r="E35" s="49">
        <v>7790360975478</v>
      </c>
      <c r="F35" s="15">
        <v>6.54</v>
      </c>
      <c r="G35" s="19">
        <v>60</v>
      </c>
      <c r="I35" s="15">
        <f t="shared" si="0"/>
        <v>2214.8866666711961</v>
      </c>
      <c r="J35" s="15">
        <f t="shared" si="1"/>
        <v>1771.9093333369569</v>
      </c>
      <c r="K35" s="47"/>
      <c r="L35" s="15">
        <f t="shared" si="2"/>
        <v>1180.9579667668334</v>
      </c>
      <c r="M35" s="15">
        <f t="shared" si="10"/>
        <v>10834.476759328747</v>
      </c>
      <c r="N35" s="40">
        <v>70857.478006010002</v>
      </c>
      <c r="O35" s="65"/>
      <c r="P35" s="12">
        <f t="shared" si="4"/>
        <v>70857.478006010002</v>
      </c>
      <c r="Q35" s="16"/>
      <c r="R35" s="12">
        <f t="shared" si="5"/>
        <v>70857.478006010002</v>
      </c>
      <c r="S35" s="15">
        <f t="shared" si="6"/>
        <v>1180.9579667668334</v>
      </c>
      <c r="V35" s="15">
        <v>68793.66</v>
      </c>
      <c r="W35" s="109">
        <f t="shared" si="7"/>
        <v>3.0000119284393278E-2</v>
      </c>
      <c r="X35" s="15">
        <f t="shared" si="8"/>
        <v>68793.66</v>
      </c>
    </row>
    <row r="36" spans="1:24" x14ac:dyDescent="0.2">
      <c r="A36" s="118" t="s">
        <v>106</v>
      </c>
      <c r="B36" s="118" t="s">
        <v>105</v>
      </c>
      <c r="C36" s="117">
        <v>100516259</v>
      </c>
      <c r="D36" s="116" t="s">
        <v>120</v>
      </c>
      <c r="E36" s="115">
        <v>7790360968340</v>
      </c>
      <c r="F36" s="110">
        <v>18.16</v>
      </c>
      <c r="G36" s="114">
        <v>48</v>
      </c>
      <c r="H36" s="111"/>
      <c r="I36" s="15">
        <f t="shared" si="0"/>
        <v>6405.6987682624267</v>
      </c>
      <c r="J36" s="15">
        <f t="shared" si="1"/>
        <v>5124.5590146099421</v>
      </c>
      <c r="K36" s="113"/>
      <c r="L36" s="110">
        <f t="shared" si="2"/>
        <v>3415.4618865702087</v>
      </c>
      <c r="M36" s="110">
        <f t="shared" si="10"/>
        <v>9027.6525636216975</v>
      </c>
      <c r="N36" s="40">
        <v>163942.17055537002</v>
      </c>
      <c r="O36" s="112"/>
      <c r="P36" s="12">
        <f t="shared" si="4"/>
        <v>163942.17055537002</v>
      </c>
      <c r="Q36" s="109"/>
      <c r="R36" s="12">
        <f t="shared" si="5"/>
        <v>163942.17055537002</v>
      </c>
      <c r="S36" s="110">
        <f t="shared" si="6"/>
        <v>3415.4618865702087</v>
      </c>
      <c r="T36" s="111"/>
      <c r="U36" s="111"/>
      <c r="V36" s="110">
        <v>159167.16</v>
      </c>
      <c r="W36" s="109">
        <f t="shared" si="7"/>
        <v>2.999997333225024E-2</v>
      </c>
      <c r="X36" s="110">
        <f t="shared" si="8"/>
        <v>159167.16</v>
      </c>
    </row>
    <row r="37" spans="1:24" hidden="1" x14ac:dyDescent="0.2">
      <c r="A37" s="22" t="s">
        <v>106</v>
      </c>
      <c r="B37" s="22" t="s">
        <v>114</v>
      </c>
      <c r="C37" s="44">
        <v>100021669</v>
      </c>
      <c r="D37" s="24" t="s">
        <v>119</v>
      </c>
      <c r="E37" s="49">
        <v>8480017241375</v>
      </c>
      <c r="F37" s="15">
        <v>5.9749999999999996</v>
      </c>
      <c r="G37" s="19">
        <v>18</v>
      </c>
      <c r="I37" s="15" t="e">
        <f t="shared" si="0"/>
        <v>#VALUE!</v>
      </c>
      <c r="J37" s="15">
        <v>0</v>
      </c>
      <c r="K37" s="47"/>
      <c r="L37" s="15" t="str">
        <f t="shared" si="2"/>
        <v/>
      </c>
      <c r="M37" s="15" t="str">
        <f t="shared" si="10"/>
        <v/>
      </c>
      <c r="N37" s="40" t="e">
        <v>#VALUE!</v>
      </c>
      <c r="O37" s="16"/>
      <c r="P37" s="12" t="str">
        <f t="shared" si="4"/>
        <v/>
      </c>
      <c r="Q37" s="16"/>
      <c r="R37" s="12" t="str">
        <f t="shared" si="5"/>
        <v/>
      </c>
      <c r="S37" s="15" t="str">
        <f t="shared" si="6"/>
        <v/>
      </c>
      <c r="V37" s="15" t="s">
        <v>31</v>
      </c>
      <c r="W37" s="16" t="str">
        <f t="shared" si="7"/>
        <v/>
      </c>
      <c r="X37" s="15" t="str">
        <f t="shared" si="8"/>
        <v/>
      </c>
    </row>
    <row r="38" spans="1:24" hidden="1" x14ac:dyDescent="0.2">
      <c r="A38" s="22" t="s">
        <v>106</v>
      </c>
      <c r="B38" s="22" t="s">
        <v>114</v>
      </c>
      <c r="C38" s="44">
        <v>100021670</v>
      </c>
      <c r="D38" s="24" t="s">
        <v>118</v>
      </c>
      <c r="E38" s="49">
        <v>8480017241382</v>
      </c>
      <c r="F38" s="15">
        <v>11.95</v>
      </c>
      <c r="G38" s="19">
        <v>12</v>
      </c>
      <c r="I38" s="15" t="e">
        <f t="shared" si="0"/>
        <v>#VALUE!</v>
      </c>
      <c r="J38" s="15">
        <v>0</v>
      </c>
      <c r="K38" s="47"/>
      <c r="L38" s="15" t="str">
        <f t="shared" si="2"/>
        <v/>
      </c>
      <c r="M38" s="15" t="str">
        <f t="shared" si="10"/>
        <v/>
      </c>
      <c r="N38" s="40" t="e">
        <v>#VALUE!</v>
      </c>
      <c r="O38" s="16"/>
      <c r="P38" s="12" t="str">
        <f t="shared" si="4"/>
        <v/>
      </c>
      <c r="Q38" s="16"/>
      <c r="R38" s="12" t="str">
        <f t="shared" si="5"/>
        <v/>
      </c>
      <c r="S38" s="15" t="str">
        <f t="shared" si="6"/>
        <v/>
      </c>
      <c r="V38" s="15" t="s">
        <v>31</v>
      </c>
      <c r="W38" s="16" t="str">
        <f t="shared" si="7"/>
        <v/>
      </c>
      <c r="X38" s="15" t="str">
        <f t="shared" si="8"/>
        <v/>
      </c>
    </row>
    <row r="39" spans="1:24" hidden="1" x14ac:dyDescent="0.2">
      <c r="A39" s="22" t="s">
        <v>106</v>
      </c>
      <c r="B39" s="22" t="s">
        <v>114</v>
      </c>
      <c r="C39" s="44">
        <v>100021671</v>
      </c>
      <c r="D39" s="24" t="s">
        <v>117</v>
      </c>
      <c r="E39" s="49">
        <v>8480017241399</v>
      </c>
      <c r="F39" s="15">
        <v>9.9600000000000009</v>
      </c>
      <c r="G39" s="19">
        <v>6</v>
      </c>
      <c r="I39" s="15" t="e">
        <f t="shared" si="0"/>
        <v>#VALUE!</v>
      </c>
      <c r="J39" s="15">
        <v>0</v>
      </c>
      <c r="K39" s="47"/>
      <c r="L39" s="15" t="str">
        <f t="shared" si="2"/>
        <v/>
      </c>
      <c r="M39" s="15" t="str">
        <f t="shared" si="10"/>
        <v/>
      </c>
      <c r="N39" s="40" t="e">
        <v>#VALUE!</v>
      </c>
      <c r="O39" s="16"/>
      <c r="P39" s="12" t="str">
        <f t="shared" si="4"/>
        <v/>
      </c>
      <c r="Q39" s="16"/>
      <c r="R39" s="12" t="str">
        <f t="shared" si="5"/>
        <v/>
      </c>
      <c r="S39" s="15" t="str">
        <f t="shared" si="6"/>
        <v/>
      </c>
      <c r="V39" s="15" t="s">
        <v>31</v>
      </c>
      <c r="W39" s="16" t="str">
        <f t="shared" si="7"/>
        <v/>
      </c>
      <c r="X39" s="15" t="str">
        <f t="shared" si="8"/>
        <v/>
      </c>
    </row>
    <row r="40" spans="1:24" hidden="1" x14ac:dyDescent="0.2">
      <c r="A40" s="22" t="s">
        <v>106</v>
      </c>
      <c r="B40" s="22" t="s">
        <v>114</v>
      </c>
      <c r="C40" s="44">
        <v>100021647</v>
      </c>
      <c r="D40" s="24" t="s">
        <v>116</v>
      </c>
      <c r="E40" s="49">
        <v>7798158708925</v>
      </c>
      <c r="F40" s="15">
        <v>5.76</v>
      </c>
      <c r="G40" s="19">
        <v>18</v>
      </c>
      <c r="I40" s="15" t="e">
        <f t="shared" si="0"/>
        <v>#VALUE!</v>
      </c>
      <c r="J40" s="15">
        <v>0</v>
      </c>
      <c r="K40" s="47"/>
      <c r="L40" s="15" t="str">
        <f t="shared" si="2"/>
        <v/>
      </c>
      <c r="M40" s="15" t="str">
        <f t="shared" si="10"/>
        <v/>
      </c>
      <c r="N40" s="40" t="e">
        <v>#VALUE!</v>
      </c>
      <c r="O40" s="16"/>
      <c r="P40" s="12" t="str">
        <f t="shared" si="4"/>
        <v/>
      </c>
      <c r="Q40" s="16"/>
      <c r="R40" s="12" t="str">
        <f t="shared" si="5"/>
        <v/>
      </c>
      <c r="S40" s="15" t="str">
        <f t="shared" si="6"/>
        <v/>
      </c>
      <c r="V40" s="15" t="s">
        <v>31</v>
      </c>
      <c r="W40" s="16" t="str">
        <f t="shared" si="7"/>
        <v/>
      </c>
      <c r="X40" s="15" t="str">
        <f t="shared" si="8"/>
        <v/>
      </c>
    </row>
    <row r="41" spans="1:24" hidden="1" x14ac:dyDescent="0.2">
      <c r="A41" s="22" t="s">
        <v>106</v>
      </c>
      <c r="B41" s="22" t="s">
        <v>114</v>
      </c>
      <c r="C41" s="44">
        <v>100021648</v>
      </c>
      <c r="D41" s="24" t="s">
        <v>115</v>
      </c>
      <c r="E41" s="49">
        <v>7798158708932</v>
      </c>
      <c r="F41" s="15">
        <v>7.68</v>
      </c>
      <c r="G41" s="19">
        <v>8</v>
      </c>
      <c r="I41" s="15" t="e">
        <f t="shared" si="0"/>
        <v>#VALUE!</v>
      </c>
      <c r="J41" s="15">
        <v>0</v>
      </c>
      <c r="K41" s="47"/>
      <c r="L41" s="15" t="str">
        <f t="shared" si="2"/>
        <v/>
      </c>
      <c r="M41" s="15" t="str">
        <f t="shared" si="10"/>
        <v/>
      </c>
      <c r="N41" s="40" t="e">
        <v>#VALUE!</v>
      </c>
      <c r="O41" s="16"/>
      <c r="P41" s="12" t="str">
        <f t="shared" si="4"/>
        <v/>
      </c>
      <c r="Q41" s="16"/>
      <c r="R41" s="12" t="str">
        <f t="shared" si="5"/>
        <v/>
      </c>
      <c r="S41" s="15" t="str">
        <f t="shared" si="6"/>
        <v/>
      </c>
      <c r="V41" s="15" t="s">
        <v>31</v>
      </c>
      <c r="W41" s="16" t="str">
        <f t="shared" si="7"/>
        <v/>
      </c>
      <c r="X41" s="15" t="str">
        <f t="shared" si="8"/>
        <v/>
      </c>
    </row>
    <row r="42" spans="1:24" hidden="1" x14ac:dyDescent="0.2">
      <c r="A42" s="22" t="s">
        <v>106</v>
      </c>
      <c r="B42" s="22" t="s">
        <v>114</v>
      </c>
      <c r="C42" s="44">
        <v>100021649</v>
      </c>
      <c r="D42" s="24" t="s">
        <v>113</v>
      </c>
      <c r="E42" s="49">
        <v>7798158708949</v>
      </c>
      <c r="F42" s="15">
        <v>9.6</v>
      </c>
      <c r="G42" s="19">
        <v>6</v>
      </c>
      <c r="I42" s="15" t="e">
        <f t="shared" si="0"/>
        <v>#VALUE!</v>
      </c>
      <c r="J42" s="15">
        <v>0</v>
      </c>
      <c r="K42" s="47"/>
      <c r="L42" s="15" t="str">
        <f t="shared" si="2"/>
        <v/>
      </c>
      <c r="M42" s="15" t="str">
        <f t="shared" si="10"/>
        <v/>
      </c>
      <c r="N42" s="40" t="e">
        <v>#VALUE!</v>
      </c>
      <c r="O42" s="16"/>
      <c r="P42" s="12" t="str">
        <f t="shared" si="4"/>
        <v/>
      </c>
      <c r="Q42" s="16"/>
      <c r="R42" s="12" t="str">
        <f t="shared" si="5"/>
        <v/>
      </c>
      <c r="S42" s="15" t="str">
        <f t="shared" si="6"/>
        <v/>
      </c>
      <c r="V42" s="15" t="s">
        <v>31</v>
      </c>
      <c r="W42" s="16" t="str">
        <f t="shared" si="7"/>
        <v/>
      </c>
      <c r="X42" s="15" t="str">
        <f t="shared" si="8"/>
        <v/>
      </c>
    </row>
    <row r="43" spans="1:24" x14ac:dyDescent="0.2">
      <c r="A43" s="22" t="s">
        <v>106</v>
      </c>
      <c r="B43" s="22" t="s">
        <v>110</v>
      </c>
      <c r="C43" s="44">
        <v>100518095</v>
      </c>
      <c r="D43" s="24" t="s">
        <v>112</v>
      </c>
      <c r="E43" s="49">
        <v>7790360974785</v>
      </c>
      <c r="F43" s="15">
        <v>6.66</v>
      </c>
      <c r="G43" s="19">
        <v>36</v>
      </c>
      <c r="I43" s="15">
        <f t="shared" si="0"/>
        <v>4255.4906395916905</v>
      </c>
      <c r="J43" s="15">
        <v>0</v>
      </c>
      <c r="K43" s="47"/>
      <c r="L43" s="15">
        <f t="shared" si="2"/>
        <v>2268.9899437972226</v>
      </c>
      <c r="M43" s="15">
        <f t="shared" si="10"/>
        <v>12264.810507012015</v>
      </c>
      <c r="N43" s="40">
        <v>81683.637976700018</v>
      </c>
      <c r="O43" s="16"/>
      <c r="P43" s="12">
        <f t="shared" si="4"/>
        <v>81683.637976700018</v>
      </c>
      <c r="Q43" s="16"/>
      <c r="R43" s="12">
        <f t="shared" si="5"/>
        <v>81683.637976700018</v>
      </c>
      <c r="S43" s="15">
        <f t="shared" si="6"/>
        <v>2268.9899437972226</v>
      </c>
      <c r="V43" s="15">
        <v>79304.5</v>
      </c>
      <c r="W43" s="109">
        <f t="shared" si="7"/>
        <v>3.0000037535070856E-2</v>
      </c>
      <c r="X43" s="15">
        <f t="shared" si="8"/>
        <v>79304.5</v>
      </c>
    </row>
    <row r="44" spans="1:24" ht="12.6" hidden="1" customHeight="1" x14ac:dyDescent="0.2">
      <c r="A44" s="22" t="s">
        <v>106</v>
      </c>
      <c r="B44" s="22" t="s">
        <v>110</v>
      </c>
      <c r="C44" s="44">
        <v>100518163</v>
      </c>
      <c r="D44" s="24" t="s">
        <v>111</v>
      </c>
      <c r="E44" s="49"/>
      <c r="F44" s="15">
        <v>4.8</v>
      </c>
      <c r="G44" s="19">
        <v>30</v>
      </c>
      <c r="I44" s="15">
        <f t="shared" si="0"/>
        <v>0</v>
      </c>
      <c r="J44" s="15">
        <v>0</v>
      </c>
      <c r="K44" s="47"/>
      <c r="L44" s="15">
        <f t="shared" si="2"/>
        <v>0</v>
      </c>
      <c r="M44" s="15">
        <f t="shared" si="10"/>
        <v>0</v>
      </c>
      <c r="N44" s="40">
        <v>0</v>
      </c>
      <c r="O44" s="16"/>
      <c r="P44" s="12">
        <f t="shared" si="4"/>
        <v>0</v>
      </c>
      <c r="Q44" s="16"/>
      <c r="R44" s="12">
        <f t="shared" si="5"/>
        <v>0</v>
      </c>
      <c r="S44" s="15">
        <f t="shared" si="6"/>
        <v>0</v>
      </c>
      <c r="V44" s="15" t="s">
        <v>31</v>
      </c>
      <c r="W44" s="16" t="str">
        <f t="shared" si="7"/>
        <v/>
      </c>
      <c r="X44" s="15" t="str">
        <f t="shared" si="8"/>
        <v/>
      </c>
    </row>
    <row r="45" spans="1:24" ht="12.6" hidden="1" customHeight="1" x14ac:dyDescent="0.2">
      <c r="A45" s="63" t="s">
        <v>106</v>
      </c>
      <c r="B45" s="62" t="s">
        <v>110</v>
      </c>
      <c r="C45" s="61">
        <v>100520851</v>
      </c>
      <c r="D45" s="60" t="s">
        <v>109</v>
      </c>
      <c r="E45" s="59"/>
      <c r="F45" s="54">
        <v>15.18</v>
      </c>
      <c r="G45" s="58">
        <v>276</v>
      </c>
      <c r="I45" s="57"/>
      <c r="J45" s="52"/>
      <c r="K45" s="47"/>
      <c r="L45" s="57"/>
      <c r="M45" s="54"/>
      <c r="N45" s="56"/>
      <c r="O45" s="53"/>
      <c r="P45" s="55"/>
      <c r="Q45" s="53"/>
      <c r="R45" s="55"/>
      <c r="S45" s="52"/>
      <c r="V45" s="54"/>
      <c r="W45" s="53"/>
      <c r="X45" s="52"/>
    </row>
    <row r="46" spans="1:24" ht="12.6" hidden="1" customHeight="1" x14ac:dyDescent="0.2">
      <c r="A46" s="22" t="s">
        <v>106</v>
      </c>
      <c r="B46" s="22" t="s">
        <v>105</v>
      </c>
      <c r="C46" s="61">
        <v>100521169</v>
      </c>
      <c r="D46" s="60" t="s">
        <v>108</v>
      </c>
      <c r="E46" s="59"/>
      <c r="F46" s="54">
        <f>30*0.08</f>
        <v>2.4</v>
      </c>
      <c r="G46" s="58">
        <v>30</v>
      </c>
      <c r="I46" s="15">
        <f>+L46*1.55*1.21</f>
        <v>0</v>
      </c>
      <c r="J46" s="15">
        <v>0</v>
      </c>
      <c r="K46" s="47"/>
      <c r="L46" s="15">
        <f>+IF(ISERROR(N46/G46),"",(N46/G46))</f>
        <v>0</v>
      </c>
      <c r="M46" s="15">
        <f>+IF(ISERROR(N46/F46),"",(N46/F46))</f>
        <v>0</v>
      </c>
      <c r="N46" s="40"/>
      <c r="O46" s="16"/>
      <c r="P46" s="12">
        <f>+IF(ISERROR(N46/(1-O46)),"",(N46/(1-O46)))</f>
        <v>0</v>
      </c>
      <c r="Q46" s="16"/>
      <c r="R46" s="12">
        <f>+IF(ISERROR(P46/(1-Q46)),"",(P46/(1-Q46)))</f>
        <v>0</v>
      </c>
      <c r="S46" s="15">
        <f>+IF(ISERROR(R46/G46),"",(R46/G46))</f>
        <v>0</v>
      </c>
      <c r="V46" s="15" t="s">
        <v>31</v>
      </c>
      <c r="W46" s="16" t="str">
        <f>+IF(ISERROR(N46/V46-1),"",(N46/V46-1))</f>
        <v/>
      </c>
      <c r="X46" s="15" t="str">
        <f>+IF(ISERROR(V46*(1-O46)),"",(V46*(1-O46)))</f>
        <v/>
      </c>
    </row>
    <row r="47" spans="1:24" ht="12.6" hidden="1" customHeight="1" x14ac:dyDescent="0.2">
      <c r="A47" s="22" t="s">
        <v>106</v>
      </c>
      <c r="B47" s="22" t="s">
        <v>105</v>
      </c>
      <c r="C47" s="61">
        <v>100521173</v>
      </c>
      <c r="D47" s="60" t="s">
        <v>107</v>
      </c>
      <c r="E47" s="59"/>
      <c r="F47" s="54">
        <f>30*0.08</f>
        <v>2.4</v>
      </c>
      <c r="G47" s="58">
        <v>30</v>
      </c>
      <c r="I47" s="15">
        <f>+L47*1.55*1.21</f>
        <v>0</v>
      </c>
      <c r="J47" s="15">
        <v>0</v>
      </c>
      <c r="K47" s="47"/>
      <c r="L47" s="15">
        <f>+IF(ISERROR(N47/G47),"",(N47/G47))</f>
        <v>0</v>
      </c>
      <c r="M47" s="15">
        <f>+IF(ISERROR(N47/F47),"",(N47/F47))</f>
        <v>0</v>
      </c>
      <c r="N47" s="40"/>
      <c r="O47" s="16"/>
      <c r="P47" s="12">
        <f>+IF(ISERROR(N47/(1-O47)),"",(N47/(1-O47)))</f>
        <v>0</v>
      </c>
      <c r="Q47" s="16"/>
      <c r="R47" s="12">
        <f>+IF(ISERROR(P47/(1-Q47)),"",(P47/(1-Q47)))</f>
        <v>0</v>
      </c>
      <c r="S47" s="15">
        <f>+IF(ISERROR(R47/G47),"",(R47/G47))</f>
        <v>0</v>
      </c>
      <c r="V47" s="15" t="s">
        <v>31</v>
      </c>
      <c r="W47" s="16" t="str">
        <f>+IF(ISERROR(N47/V47-1),"",(N47/V47-1))</f>
        <v/>
      </c>
      <c r="X47" s="15" t="str">
        <f>+IF(ISERROR(V47*(1-O47)),"",(V47*(1-O47)))</f>
        <v/>
      </c>
    </row>
    <row r="48" spans="1:24" ht="12.6" hidden="1" customHeight="1" x14ac:dyDescent="0.2">
      <c r="A48" s="22" t="s">
        <v>106</v>
      </c>
      <c r="B48" s="22" t="s">
        <v>105</v>
      </c>
      <c r="C48" s="61">
        <v>100522168</v>
      </c>
      <c r="D48" s="60" t="s">
        <v>104</v>
      </c>
      <c r="E48" s="59"/>
      <c r="F48" s="54">
        <v>4.62</v>
      </c>
      <c r="G48" s="58">
        <v>48</v>
      </c>
      <c r="I48" s="57"/>
      <c r="J48" s="52"/>
      <c r="K48" s="47"/>
      <c r="L48" s="57"/>
      <c r="M48" s="54"/>
      <c r="N48" s="56"/>
      <c r="O48" s="53"/>
      <c r="P48" s="55"/>
      <c r="Q48" s="53"/>
      <c r="R48" s="55"/>
      <c r="S48" s="52"/>
      <c r="V48" s="54"/>
      <c r="W48" s="53"/>
      <c r="X48" s="52"/>
    </row>
    <row r="49" spans="1:24" x14ac:dyDescent="0.2">
      <c r="A49" s="37"/>
      <c r="B49" s="36"/>
      <c r="C49" s="35"/>
      <c r="D49" s="27"/>
      <c r="E49" s="35"/>
      <c r="F49" s="27"/>
      <c r="G49" s="34"/>
      <c r="I49" s="32"/>
      <c r="J49" s="33"/>
      <c r="K49" s="47"/>
      <c r="L49" s="32"/>
      <c r="M49" s="27"/>
      <c r="N49" s="30"/>
      <c r="O49" s="30"/>
      <c r="P49" s="27"/>
      <c r="Q49" s="30"/>
      <c r="R49" s="27"/>
      <c r="S49" s="25"/>
      <c r="V49" s="27"/>
      <c r="W49" s="45"/>
      <c r="X49" s="25"/>
    </row>
    <row r="50" spans="1:24" x14ac:dyDescent="0.2">
      <c r="A50" s="24" t="s">
        <v>86</v>
      </c>
      <c r="B50" s="22" t="s">
        <v>100</v>
      </c>
      <c r="C50" s="44">
        <v>100022085</v>
      </c>
      <c r="D50" s="24" t="s">
        <v>103</v>
      </c>
      <c r="E50" s="49">
        <v>7790360000132</v>
      </c>
      <c r="F50" s="15">
        <v>5.4</v>
      </c>
      <c r="G50" s="19">
        <v>24</v>
      </c>
      <c r="H50" s="51"/>
      <c r="I50" s="15">
        <f t="shared" ref="I50:I57" si="11">+L50*1.55*1.21</f>
        <v>3215.8467019248283</v>
      </c>
      <c r="J50" s="15">
        <f t="shared" ref="J50:J57" si="12">+I50*0.8</f>
        <v>2572.6773615398629</v>
      </c>
      <c r="K50" s="47"/>
      <c r="L50" s="15">
        <f t="shared" ref="L50:L61" si="13">+IF(ISERROR(N50/G50),"",(N50/G50))</f>
        <v>1714.6609980937501</v>
      </c>
      <c r="M50" s="15">
        <f t="shared" ref="M50:M67" si="14">+IF(ISERROR(N50/F50),"",(N50/F50))</f>
        <v>7620.7155470833331</v>
      </c>
      <c r="N50" s="40">
        <v>41151.863954250002</v>
      </c>
      <c r="O50" s="65"/>
      <c r="P50" s="15">
        <f t="shared" ref="P50:P67" si="15">+IF(ISERROR(N50/(1-O50)),"",(N50/(1-O50)))</f>
        <v>41151.863954250002</v>
      </c>
      <c r="Q50" s="16"/>
      <c r="R50" s="15">
        <f t="shared" ref="R50:R67" si="16">+IF(ISERROR(P50/(1-Q50)),"",(P50/(1-Q50)))</f>
        <v>41151.863954250002</v>
      </c>
      <c r="S50" s="15">
        <f t="shared" ref="S50:S67" si="17">+IF(ISERROR(R50/G50),"",(R50/G50))</f>
        <v>1714.6609980937501</v>
      </c>
      <c r="V50" s="12">
        <v>39192.25</v>
      </c>
      <c r="W50" s="16">
        <f t="shared" ref="W50:W67" si="18">+IF(ISERROR(N50/V50-1),"",(N50/V50-1))</f>
        <v>5.0000037105550232E-2</v>
      </c>
      <c r="X50" s="15">
        <f t="shared" ref="X50:X67" si="19">+IF(ISERROR(V50*(1-O50)),"",(V50*(1-O50)))</f>
        <v>39192.25</v>
      </c>
    </row>
    <row r="51" spans="1:24" x14ac:dyDescent="0.2">
      <c r="A51" s="24" t="s">
        <v>86</v>
      </c>
      <c r="B51" s="22" t="s">
        <v>100</v>
      </c>
      <c r="C51" s="44">
        <v>100522204</v>
      </c>
      <c r="D51" s="24" t="s">
        <v>103</v>
      </c>
      <c r="E51" s="49">
        <v>7790360983947</v>
      </c>
      <c r="F51" s="15">
        <v>5.4</v>
      </c>
      <c r="G51" s="19">
        <v>24</v>
      </c>
      <c r="H51" s="51"/>
      <c r="I51" s="15">
        <f t="shared" si="11"/>
        <v>3215.8458145202812</v>
      </c>
      <c r="J51" s="15">
        <f t="shared" si="12"/>
        <v>2572.6766516162252</v>
      </c>
      <c r="K51" s="47"/>
      <c r="L51" s="15">
        <f t="shared" si="13"/>
        <v>1714.6605249375</v>
      </c>
      <c r="M51" s="15">
        <f t="shared" si="14"/>
        <v>7620.7134441666667</v>
      </c>
      <c r="N51" s="40">
        <v>41151.852598500001</v>
      </c>
      <c r="O51" s="65"/>
      <c r="P51" s="15">
        <f t="shared" si="15"/>
        <v>41151.852598500001</v>
      </c>
      <c r="Q51" s="16"/>
      <c r="R51" s="15">
        <f t="shared" si="16"/>
        <v>41151.852598500001</v>
      </c>
      <c r="S51" s="15">
        <f t="shared" si="17"/>
        <v>1714.6605249375</v>
      </c>
      <c r="V51" s="12">
        <v>39192.239999999998</v>
      </c>
      <c r="W51" s="16">
        <f t="shared" si="18"/>
        <v>5.000001527088016E-2</v>
      </c>
      <c r="X51" s="15">
        <f t="shared" si="19"/>
        <v>39192.239999999998</v>
      </c>
    </row>
    <row r="52" spans="1:24" x14ac:dyDescent="0.2">
      <c r="A52" s="24" t="s">
        <v>86</v>
      </c>
      <c r="B52" s="22" t="s">
        <v>100</v>
      </c>
      <c r="C52" s="44">
        <v>100022072</v>
      </c>
      <c r="D52" s="24" t="s">
        <v>102</v>
      </c>
      <c r="E52" s="49">
        <v>7790360024541</v>
      </c>
      <c r="F52" s="15">
        <v>5.4</v>
      </c>
      <c r="G52" s="19">
        <v>12</v>
      </c>
      <c r="H52" s="51"/>
      <c r="I52" s="15">
        <f t="shared" si="11"/>
        <v>5687.2444050489376</v>
      </c>
      <c r="J52" s="15">
        <f t="shared" si="12"/>
        <v>4549.7955240391502</v>
      </c>
      <c r="K52" s="47"/>
      <c r="L52" s="15">
        <f t="shared" si="13"/>
        <v>3032.3883791249996</v>
      </c>
      <c r="M52" s="15">
        <f t="shared" si="14"/>
        <v>6738.6408424999991</v>
      </c>
      <c r="N52" s="40">
        <v>36388.660549499997</v>
      </c>
      <c r="O52" s="65"/>
      <c r="P52" s="15">
        <f t="shared" si="15"/>
        <v>36388.660549499997</v>
      </c>
      <c r="Q52" s="16"/>
      <c r="R52" s="15">
        <f t="shared" si="16"/>
        <v>36388.660549499997</v>
      </c>
      <c r="S52" s="15">
        <f t="shared" si="17"/>
        <v>3032.3883791249996</v>
      </c>
      <c r="V52" s="12">
        <v>34655.870000000003</v>
      </c>
      <c r="W52" s="16">
        <f t="shared" si="18"/>
        <v>4.9999914862907557E-2</v>
      </c>
      <c r="X52" s="15">
        <f t="shared" si="19"/>
        <v>34655.870000000003</v>
      </c>
    </row>
    <row r="53" spans="1:24" x14ac:dyDescent="0.2">
      <c r="A53" s="24" t="s">
        <v>86</v>
      </c>
      <c r="B53" s="22" t="s">
        <v>100</v>
      </c>
      <c r="C53" s="44">
        <v>100522205</v>
      </c>
      <c r="D53" s="24" t="s">
        <v>102</v>
      </c>
      <c r="E53" s="49">
        <v>7790360983954</v>
      </c>
      <c r="F53" s="15">
        <v>5.4</v>
      </c>
      <c r="G53" s="19">
        <v>12</v>
      </c>
      <c r="H53" s="51"/>
      <c r="I53" s="15">
        <f t="shared" si="11"/>
        <v>5687.2444050489376</v>
      </c>
      <c r="J53" s="15">
        <f t="shared" si="12"/>
        <v>4549.7955240391502</v>
      </c>
      <c r="K53" s="47"/>
      <c r="L53" s="15">
        <f t="shared" si="13"/>
        <v>3032.3883791249996</v>
      </c>
      <c r="M53" s="15">
        <f t="shared" si="14"/>
        <v>6738.6408424999991</v>
      </c>
      <c r="N53" s="40">
        <v>36388.660549499997</v>
      </c>
      <c r="O53" s="65"/>
      <c r="P53" s="15">
        <f t="shared" si="15"/>
        <v>36388.660549499997</v>
      </c>
      <c r="Q53" s="16"/>
      <c r="R53" s="15">
        <f t="shared" si="16"/>
        <v>36388.660549499997</v>
      </c>
      <c r="S53" s="15">
        <f t="shared" si="17"/>
        <v>3032.3883791249996</v>
      </c>
      <c r="V53" s="12" t="s">
        <v>31</v>
      </c>
      <c r="W53" s="16" t="str">
        <f t="shared" si="18"/>
        <v/>
      </c>
      <c r="X53" s="15" t="str">
        <f t="shared" si="19"/>
        <v/>
      </c>
    </row>
    <row r="54" spans="1:24" hidden="1" x14ac:dyDescent="0.2">
      <c r="A54" s="24" t="s">
        <v>86</v>
      </c>
      <c r="B54" s="22" t="s">
        <v>100</v>
      </c>
      <c r="C54" s="44">
        <v>100022073</v>
      </c>
      <c r="D54" s="24" t="s">
        <v>101</v>
      </c>
      <c r="E54" s="49">
        <v>7790360024558</v>
      </c>
      <c r="F54" s="15">
        <v>5.4</v>
      </c>
      <c r="G54" s="19">
        <v>6</v>
      </c>
      <c r="H54" s="51"/>
      <c r="I54" s="15">
        <f t="shared" si="11"/>
        <v>11374.488810097875</v>
      </c>
      <c r="J54" s="15">
        <f t="shared" si="12"/>
        <v>9099.5910480783004</v>
      </c>
      <c r="K54" s="47"/>
      <c r="L54" s="15">
        <f t="shared" si="13"/>
        <v>6064.7767582499991</v>
      </c>
      <c r="M54" s="15">
        <f t="shared" si="14"/>
        <v>6738.6408424999991</v>
      </c>
      <c r="N54" s="40">
        <v>36388.660549499997</v>
      </c>
      <c r="O54" s="65"/>
      <c r="P54" s="15">
        <f t="shared" si="15"/>
        <v>36388.660549499997</v>
      </c>
      <c r="Q54" s="16"/>
      <c r="R54" s="15">
        <f t="shared" si="16"/>
        <v>36388.660549499997</v>
      </c>
      <c r="S54" s="15">
        <f t="shared" si="17"/>
        <v>6064.7767582499991</v>
      </c>
      <c r="V54" s="12" t="s">
        <v>31</v>
      </c>
      <c r="W54" s="16" t="str">
        <f t="shared" si="18"/>
        <v/>
      </c>
      <c r="X54" s="15" t="str">
        <f t="shared" si="19"/>
        <v/>
      </c>
    </row>
    <row r="55" spans="1:24" x14ac:dyDescent="0.2">
      <c r="A55" s="24" t="s">
        <v>86</v>
      </c>
      <c r="B55" s="22" t="s">
        <v>100</v>
      </c>
      <c r="C55" s="44">
        <v>100516849</v>
      </c>
      <c r="D55" s="24" t="s">
        <v>99</v>
      </c>
      <c r="E55" s="49">
        <v>7790360970053</v>
      </c>
      <c r="F55" s="15">
        <v>4.5599999990400004</v>
      </c>
      <c r="G55" s="19">
        <v>24</v>
      </c>
      <c r="H55" s="51"/>
      <c r="I55" s="15">
        <f t="shared" si="11"/>
        <v>2686.6926950505467</v>
      </c>
      <c r="J55" s="15">
        <f t="shared" si="12"/>
        <v>2149.3541560404374</v>
      </c>
      <c r="K55" s="47"/>
      <c r="L55" s="15">
        <f t="shared" si="13"/>
        <v>1432.5207651562498</v>
      </c>
      <c r="M55" s="15">
        <f t="shared" si="14"/>
        <v>7539.5829760938586</v>
      </c>
      <c r="N55" s="40">
        <v>34380.498363749997</v>
      </c>
      <c r="O55" s="65"/>
      <c r="P55" s="15">
        <f t="shared" si="15"/>
        <v>34380.498363749997</v>
      </c>
      <c r="Q55" s="16"/>
      <c r="R55" s="15">
        <f t="shared" si="16"/>
        <v>34380.498363749997</v>
      </c>
      <c r="S55" s="15">
        <f t="shared" si="17"/>
        <v>1432.5207651562498</v>
      </c>
      <c r="V55" s="12">
        <v>32743.33</v>
      </c>
      <c r="W55" s="16">
        <f t="shared" si="18"/>
        <v>5.0000056919989433E-2</v>
      </c>
      <c r="X55" s="15">
        <f t="shared" si="19"/>
        <v>32743.33</v>
      </c>
    </row>
    <row r="56" spans="1:24" x14ac:dyDescent="0.2">
      <c r="A56" s="24" t="s">
        <v>86</v>
      </c>
      <c r="B56" s="22" t="s">
        <v>95</v>
      </c>
      <c r="C56" s="44">
        <v>100022039</v>
      </c>
      <c r="D56" s="24" t="s">
        <v>98</v>
      </c>
      <c r="E56" s="49">
        <v>7790360007063</v>
      </c>
      <c r="F56" s="15">
        <v>8.6999999999999993</v>
      </c>
      <c r="G56" s="19">
        <v>10</v>
      </c>
      <c r="H56" s="51"/>
      <c r="I56" s="15">
        <f t="shared" si="11"/>
        <v>12553.406460544949</v>
      </c>
      <c r="J56" s="15">
        <f t="shared" si="12"/>
        <v>10042.72516843596</v>
      </c>
      <c r="K56" s="47"/>
      <c r="L56" s="15">
        <f t="shared" si="13"/>
        <v>6693.3652149</v>
      </c>
      <c r="M56" s="15">
        <f t="shared" si="14"/>
        <v>7693.523235517242</v>
      </c>
      <c r="N56" s="40">
        <v>66933.652149000001</v>
      </c>
      <c r="O56" s="65"/>
      <c r="P56" s="15">
        <f t="shared" si="15"/>
        <v>66933.652149000001</v>
      </c>
      <c r="Q56" s="16"/>
      <c r="R56" s="15">
        <f t="shared" si="16"/>
        <v>66933.652149000001</v>
      </c>
      <c r="S56" s="15">
        <f t="shared" si="17"/>
        <v>6693.3652149</v>
      </c>
      <c r="V56" s="12">
        <v>63746.34</v>
      </c>
      <c r="W56" s="16">
        <f t="shared" si="18"/>
        <v>4.9999923901513421E-2</v>
      </c>
      <c r="X56" s="15">
        <f t="shared" si="19"/>
        <v>63746.34</v>
      </c>
    </row>
    <row r="57" spans="1:24" x14ac:dyDescent="0.2">
      <c r="A57" s="24" t="s">
        <v>86</v>
      </c>
      <c r="B57" s="22" t="s">
        <v>95</v>
      </c>
      <c r="C57" s="44">
        <v>100522206</v>
      </c>
      <c r="D57" s="24" t="s">
        <v>98</v>
      </c>
      <c r="E57" s="49">
        <v>7790360983961</v>
      </c>
      <c r="F57" s="15">
        <v>8.6999999999999993</v>
      </c>
      <c r="G57" s="19">
        <v>10</v>
      </c>
      <c r="H57" s="51"/>
      <c r="I57" s="15">
        <f t="shared" si="11"/>
        <v>12553.406460544949</v>
      </c>
      <c r="J57" s="15">
        <f t="shared" si="12"/>
        <v>10042.72516843596</v>
      </c>
      <c r="K57" s="47"/>
      <c r="L57" s="15">
        <f t="shared" si="13"/>
        <v>6693.3652149</v>
      </c>
      <c r="M57" s="15">
        <f t="shared" si="14"/>
        <v>7693.523235517242</v>
      </c>
      <c r="N57" s="40">
        <v>66933.652149000001</v>
      </c>
      <c r="O57" s="65"/>
      <c r="P57" s="15">
        <f t="shared" si="15"/>
        <v>66933.652149000001</v>
      </c>
      <c r="Q57" s="16"/>
      <c r="R57" s="15">
        <f t="shared" si="16"/>
        <v>66933.652149000001</v>
      </c>
      <c r="S57" s="15">
        <f t="shared" si="17"/>
        <v>6693.3652149</v>
      </c>
      <c r="V57" s="12">
        <v>63746.34</v>
      </c>
      <c r="W57" s="16">
        <f t="shared" si="18"/>
        <v>4.9999923901513421E-2</v>
      </c>
      <c r="X57" s="15">
        <f t="shared" si="19"/>
        <v>63746.34</v>
      </c>
    </row>
    <row r="58" spans="1:24" x14ac:dyDescent="0.2">
      <c r="A58" s="24" t="s">
        <v>86</v>
      </c>
      <c r="B58" s="22" t="s">
        <v>95</v>
      </c>
      <c r="C58" s="44">
        <v>100518151</v>
      </c>
      <c r="D58" s="24" t="s">
        <v>97</v>
      </c>
      <c r="E58" s="49">
        <v>7790360974990</v>
      </c>
      <c r="F58" s="15">
        <v>10.44</v>
      </c>
      <c r="G58" s="19">
        <v>12</v>
      </c>
      <c r="H58" s="51"/>
      <c r="I58" s="15">
        <v>694.97196719705232</v>
      </c>
      <c r="J58" s="15">
        <v>555.97757375764184</v>
      </c>
      <c r="K58" s="47"/>
      <c r="L58" s="15">
        <f t="shared" si="13"/>
        <v>3457.4217995625008</v>
      </c>
      <c r="M58" s="15">
        <f t="shared" si="14"/>
        <v>3974.0480454741391</v>
      </c>
      <c r="N58" s="40">
        <v>41489.061594750012</v>
      </c>
      <c r="O58" s="65"/>
      <c r="P58" s="15">
        <f t="shared" si="15"/>
        <v>41489.061594750012</v>
      </c>
      <c r="Q58" s="16"/>
      <c r="R58" s="15">
        <f t="shared" si="16"/>
        <v>41489.061594750012</v>
      </c>
      <c r="S58" s="15">
        <f t="shared" si="17"/>
        <v>3457.4217995625008</v>
      </c>
      <c r="V58" s="12">
        <v>39513.39</v>
      </c>
      <c r="W58" s="16">
        <f t="shared" si="18"/>
        <v>5.0000053013674828E-2</v>
      </c>
      <c r="X58" s="15">
        <f t="shared" si="19"/>
        <v>39513.39</v>
      </c>
    </row>
    <row r="59" spans="1:24" hidden="1" x14ac:dyDescent="0.2">
      <c r="A59" s="24" t="s">
        <v>86</v>
      </c>
      <c r="B59" s="22" t="s">
        <v>95</v>
      </c>
      <c r="C59" s="44">
        <v>100022057</v>
      </c>
      <c r="D59" s="24" t="s">
        <v>96</v>
      </c>
      <c r="E59" s="49">
        <v>7790360025944</v>
      </c>
      <c r="F59" s="15">
        <v>7.1999999999999993</v>
      </c>
      <c r="G59" s="19">
        <v>10</v>
      </c>
      <c r="H59" s="51"/>
      <c r="I59" s="15" t="e">
        <f t="shared" ref="I59:I66" si="20">+L59*1.55*1.21</f>
        <v>#VALUE!</v>
      </c>
      <c r="J59" s="15" t="e">
        <f>+I59*0.8</f>
        <v>#VALUE!</v>
      </c>
      <c r="K59" s="47"/>
      <c r="L59" s="15" t="str">
        <f t="shared" si="13"/>
        <v/>
      </c>
      <c r="M59" s="15" t="str">
        <f t="shared" si="14"/>
        <v/>
      </c>
      <c r="N59" s="40" t="e">
        <v>#VALUE!</v>
      </c>
      <c r="O59" s="65"/>
      <c r="P59" s="15" t="str">
        <f t="shared" si="15"/>
        <v/>
      </c>
      <c r="Q59" s="16"/>
      <c r="R59" s="15" t="str">
        <f t="shared" si="16"/>
        <v/>
      </c>
      <c r="S59" s="15" t="str">
        <f t="shared" si="17"/>
        <v/>
      </c>
      <c r="V59" s="12" t="s">
        <v>31</v>
      </c>
      <c r="W59" s="16" t="str">
        <f t="shared" si="18"/>
        <v/>
      </c>
      <c r="X59" s="15" t="str">
        <f t="shared" si="19"/>
        <v/>
      </c>
    </row>
    <row r="60" spans="1:24" hidden="1" x14ac:dyDescent="0.2">
      <c r="A60" s="24" t="s">
        <v>86</v>
      </c>
      <c r="B60" s="22" t="s">
        <v>95</v>
      </c>
      <c r="C60" s="44">
        <v>100516731</v>
      </c>
      <c r="D60" s="24" t="s">
        <v>94</v>
      </c>
      <c r="E60" s="49"/>
      <c r="F60" s="15">
        <v>10.44</v>
      </c>
      <c r="G60" s="19">
        <v>12</v>
      </c>
      <c r="H60" s="51"/>
      <c r="I60" s="15" t="e">
        <f t="shared" si="20"/>
        <v>#VALUE!</v>
      </c>
      <c r="J60" s="15" t="e">
        <f>+I60*0.8</f>
        <v>#VALUE!</v>
      </c>
      <c r="K60" s="47"/>
      <c r="L60" s="15" t="str">
        <f t="shared" si="13"/>
        <v/>
      </c>
      <c r="M60" s="15" t="str">
        <f t="shared" si="14"/>
        <v/>
      </c>
      <c r="N60" s="40" t="e">
        <v>#VALUE!</v>
      </c>
      <c r="O60" s="65"/>
      <c r="P60" s="15" t="str">
        <f t="shared" si="15"/>
        <v/>
      </c>
      <c r="Q60" s="16"/>
      <c r="R60" s="15" t="str">
        <f t="shared" si="16"/>
        <v/>
      </c>
      <c r="S60" s="15" t="str">
        <f t="shared" si="17"/>
        <v/>
      </c>
      <c r="V60" s="12" t="s">
        <v>31</v>
      </c>
      <c r="W60" s="16" t="str">
        <f t="shared" si="18"/>
        <v/>
      </c>
      <c r="X60" s="15" t="str">
        <f t="shared" si="19"/>
        <v/>
      </c>
    </row>
    <row r="61" spans="1:24" x14ac:dyDescent="0.2">
      <c r="A61" s="24" t="s">
        <v>86</v>
      </c>
      <c r="B61" s="22" t="s">
        <v>93</v>
      </c>
      <c r="C61" s="44">
        <v>100022058</v>
      </c>
      <c r="D61" s="24" t="s">
        <v>92</v>
      </c>
      <c r="E61" s="49">
        <v>7790360026002</v>
      </c>
      <c r="F61" s="15">
        <v>4.5599999990400004</v>
      </c>
      <c r="G61" s="19">
        <v>24</v>
      </c>
      <c r="H61" s="51"/>
      <c r="I61" s="15">
        <f t="shared" si="20"/>
        <v>1701.1385430775315</v>
      </c>
      <c r="J61" s="15">
        <f>+I61*0.8</f>
        <v>1360.9108344620254</v>
      </c>
      <c r="K61" s="47"/>
      <c r="L61" s="15">
        <f t="shared" si="13"/>
        <v>907.03201443750015</v>
      </c>
      <c r="M61" s="15">
        <f t="shared" si="14"/>
        <v>4773.852708570812</v>
      </c>
      <c r="N61" s="40">
        <v>21768.768346500005</v>
      </c>
      <c r="O61" s="65"/>
      <c r="P61" s="15">
        <f t="shared" si="15"/>
        <v>21768.768346500005</v>
      </c>
      <c r="Q61" s="16"/>
      <c r="R61" s="15">
        <f t="shared" si="16"/>
        <v>21768.768346500005</v>
      </c>
      <c r="S61" s="15">
        <f t="shared" si="17"/>
        <v>907.03201443750015</v>
      </c>
      <c r="V61" s="12">
        <v>20732.16</v>
      </c>
      <c r="W61" s="16">
        <f t="shared" si="18"/>
        <v>5.0000016713164674E-2</v>
      </c>
      <c r="X61" s="15">
        <f t="shared" si="19"/>
        <v>20732.16</v>
      </c>
    </row>
    <row r="62" spans="1:24" hidden="1" x14ac:dyDescent="0.2">
      <c r="A62" s="24" t="s">
        <v>86</v>
      </c>
      <c r="B62" s="22" t="s">
        <v>85</v>
      </c>
      <c r="C62" s="44">
        <v>100022089</v>
      </c>
      <c r="D62" s="24" t="s">
        <v>91</v>
      </c>
      <c r="E62" s="49">
        <v>7798024390315</v>
      </c>
      <c r="F62" s="15">
        <v>5.4</v>
      </c>
      <c r="G62" s="19">
        <v>24</v>
      </c>
      <c r="I62" s="15">
        <f t="shared" si="20"/>
        <v>0</v>
      </c>
      <c r="J62" s="15">
        <v>0</v>
      </c>
      <c r="K62" s="47"/>
      <c r="L62" s="15">
        <f>+IF(ISERROR(P62/G62),"",(P62/G62))</f>
        <v>0</v>
      </c>
      <c r="M62" s="15">
        <f t="shared" si="14"/>
        <v>0</v>
      </c>
      <c r="N62" s="40">
        <v>0</v>
      </c>
      <c r="O62" s="16"/>
      <c r="P62" s="15">
        <f t="shared" si="15"/>
        <v>0</v>
      </c>
      <c r="Q62" s="16"/>
      <c r="R62" s="15">
        <f t="shared" si="16"/>
        <v>0</v>
      </c>
      <c r="S62" s="15">
        <f t="shared" si="17"/>
        <v>0</v>
      </c>
      <c r="V62" s="15" t="s">
        <v>31</v>
      </c>
      <c r="W62" s="16" t="str">
        <f t="shared" si="18"/>
        <v/>
      </c>
      <c r="X62" s="15" t="str">
        <f t="shared" si="19"/>
        <v/>
      </c>
    </row>
    <row r="63" spans="1:24" hidden="1" x14ac:dyDescent="0.2">
      <c r="A63" s="24" t="s">
        <v>86</v>
      </c>
      <c r="B63" s="22" t="s">
        <v>85</v>
      </c>
      <c r="C63" s="44">
        <v>100022080</v>
      </c>
      <c r="D63" s="24" t="s">
        <v>90</v>
      </c>
      <c r="E63" s="49">
        <v>7798158706778</v>
      </c>
      <c r="F63" s="15">
        <v>5.4</v>
      </c>
      <c r="G63" s="19">
        <v>12</v>
      </c>
      <c r="I63" s="15">
        <f t="shared" si="20"/>
        <v>0</v>
      </c>
      <c r="J63" s="15">
        <v>0</v>
      </c>
      <c r="K63" s="47"/>
      <c r="L63" s="15">
        <f>+IF(ISERROR(P63/G63),"",(P63/G63))</f>
        <v>0</v>
      </c>
      <c r="M63" s="15">
        <f t="shared" si="14"/>
        <v>0</v>
      </c>
      <c r="N63" s="40">
        <v>0</v>
      </c>
      <c r="O63" s="16"/>
      <c r="P63" s="15">
        <f t="shared" si="15"/>
        <v>0</v>
      </c>
      <c r="Q63" s="16"/>
      <c r="R63" s="15">
        <f t="shared" si="16"/>
        <v>0</v>
      </c>
      <c r="S63" s="15">
        <f t="shared" si="17"/>
        <v>0</v>
      </c>
      <c r="V63" s="15" t="s">
        <v>31</v>
      </c>
      <c r="W63" s="16" t="str">
        <f t="shared" si="18"/>
        <v/>
      </c>
      <c r="X63" s="15" t="str">
        <f t="shared" si="19"/>
        <v/>
      </c>
    </row>
    <row r="64" spans="1:24" hidden="1" x14ac:dyDescent="0.2">
      <c r="A64" s="24" t="s">
        <v>86</v>
      </c>
      <c r="B64" s="22" t="s">
        <v>85</v>
      </c>
      <c r="C64" s="44">
        <v>100022081</v>
      </c>
      <c r="D64" s="24" t="s">
        <v>89</v>
      </c>
      <c r="E64" s="49">
        <v>7798158706785</v>
      </c>
      <c r="F64" s="15">
        <v>5.4</v>
      </c>
      <c r="G64" s="19">
        <v>6</v>
      </c>
      <c r="I64" s="15">
        <f t="shared" si="20"/>
        <v>0</v>
      </c>
      <c r="J64" s="15">
        <v>0</v>
      </c>
      <c r="K64" s="47"/>
      <c r="L64" s="15">
        <f>+IF(ISERROR(P64/G64),"",(P64/G64))</f>
        <v>0</v>
      </c>
      <c r="M64" s="15">
        <f t="shared" si="14"/>
        <v>0</v>
      </c>
      <c r="N64" s="40">
        <v>0</v>
      </c>
      <c r="O64" s="16"/>
      <c r="P64" s="15">
        <f t="shared" si="15"/>
        <v>0</v>
      </c>
      <c r="Q64" s="16"/>
      <c r="R64" s="15">
        <f t="shared" si="16"/>
        <v>0</v>
      </c>
      <c r="S64" s="15">
        <f t="shared" si="17"/>
        <v>0</v>
      </c>
      <c r="V64" s="15" t="s">
        <v>31</v>
      </c>
      <c r="W64" s="16" t="str">
        <f t="shared" si="18"/>
        <v/>
      </c>
      <c r="X64" s="15" t="str">
        <f t="shared" si="19"/>
        <v/>
      </c>
    </row>
    <row r="65" spans="1:24" hidden="1" x14ac:dyDescent="0.2">
      <c r="A65" s="24" t="s">
        <v>86</v>
      </c>
      <c r="B65" s="22" t="s">
        <v>85</v>
      </c>
      <c r="C65" s="44">
        <v>100022014</v>
      </c>
      <c r="D65" s="24" t="s">
        <v>88</v>
      </c>
      <c r="E65" s="49">
        <v>8480017244512</v>
      </c>
      <c r="F65" s="15">
        <v>4.5</v>
      </c>
      <c r="G65" s="19">
        <v>20</v>
      </c>
      <c r="I65" s="15">
        <f t="shared" si="20"/>
        <v>0</v>
      </c>
      <c r="J65" s="15">
        <v>0</v>
      </c>
      <c r="K65" s="47"/>
      <c r="L65" s="15">
        <f>+IF(ISERROR(P65/G65),"",(P65/G65))</f>
        <v>0</v>
      </c>
      <c r="M65" s="15">
        <f t="shared" si="14"/>
        <v>0</v>
      </c>
      <c r="N65" s="40">
        <v>0</v>
      </c>
      <c r="O65" s="16"/>
      <c r="P65" s="15">
        <f t="shared" si="15"/>
        <v>0</v>
      </c>
      <c r="Q65" s="16"/>
      <c r="R65" s="15">
        <f t="shared" si="16"/>
        <v>0</v>
      </c>
      <c r="S65" s="15">
        <f t="shared" si="17"/>
        <v>0</v>
      </c>
      <c r="V65" s="15" t="s">
        <v>31</v>
      </c>
      <c r="W65" s="16" t="str">
        <f t="shared" si="18"/>
        <v/>
      </c>
      <c r="X65" s="15" t="str">
        <f t="shared" si="19"/>
        <v/>
      </c>
    </row>
    <row r="66" spans="1:24" hidden="1" x14ac:dyDescent="0.2">
      <c r="A66" s="24" t="s">
        <v>86</v>
      </c>
      <c r="B66" s="22" t="s">
        <v>85</v>
      </c>
      <c r="C66" s="44">
        <v>100022086</v>
      </c>
      <c r="D66" s="24" t="s">
        <v>87</v>
      </c>
      <c r="E66" s="49">
        <v>8480017090058</v>
      </c>
      <c r="F66" s="15">
        <v>5.4</v>
      </c>
      <c r="G66" s="19">
        <v>12</v>
      </c>
      <c r="I66" s="15">
        <f t="shared" si="20"/>
        <v>0</v>
      </c>
      <c r="J66" s="15">
        <v>0</v>
      </c>
      <c r="K66" s="47"/>
      <c r="L66" s="15">
        <f>+IF(ISERROR(P66/G66),"",(P66/G66))</f>
        <v>0</v>
      </c>
      <c r="M66" s="15">
        <f t="shared" si="14"/>
        <v>0</v>
      </c>
      <c r="N66" s="40">
        <v>0</v>
      </c>
      <c r="O66" s="16"/>
      <c r="P66" s="15">
        <f t="shared" si="15"/>
        <v>0</v>
      </c>
      <c r="Q66" s="16"/>
      <c r="R66" s="15">
        <f t="shared" si="16"/>
        <v>0</v>
      </c>
      <c r="S66" s="50">
        <f t="shared" si="17"/>
        <v>0</v>
      </c>
      <c r="V66" s="15" t="s">
        <v>31</v>
      </c>
      <c r="W66" s="16" t="str">
        <f t="shared" si="18"/>
        <v/>
      </c>
      <c r="X66" s="15" t="str">
        <f t="shared" si="19"/>
        <v/>
      </c>
    </row>
    <row r="67" spans="1:24" hidden="1" x14ac:dyDescent="0.2">
      <c r="A67" s="24" t="s">
        <v>86</v>
      </c>
      <c r="B67" s="22" t="s">
        <v>85</v>
      </c>
      <c r="C67" s="44">
        <v>100022087</v>
      </c>
      <c r="D67" s="24" t="s">
        <v>84</v>
      </c>
      <c r="E67" s="49">
        <v>8480017048141</v>
      </c>
      <c r="F67" s="15">
        <v>5.4</v>
      </c>
      <c r="G67" s="19">
        <v>6</v>
      </c>
      <c r="I67" s="15"/>
      <c r="J67" s="15"/>
      <c r="K67" s="47"/>
      <c r="L67" s="15">
        <f>+IF(ISERROR(N67/G67),"",(N67/G67))</f>
        <v>0</v>
      </c>
      <c r="M67" s="15">
        <f t="shared" si="14"/>
        <v>0</v>
      </c>
      <c r="N67" s="40">
        <v>0</v>
      </c>
      <c r="O67" s="16"/>
      <c r="P67" s="15">
        <f t="shared" si="15"/>
        <v>0</v>
      </c>
      <c r="Q67" s="16"/>
      <c r="R67" s="15">
        <f t="shared" si="16"/>
        <v>0</v>
      </c>
      <c r="S67" s="50">
        <f t="shared" si="17"/>
        <v>0</v>
      </c>
      <c r="V67" s="15" t="s">
        <v>31</v>
      </c>
      <c r="W67" s="16" t="str">
        <f t="shared" si="18"/>
        <v/>
      </c>
      <c r="X67" s="15" t="str">
        <f t="shared" si="19"/>
        <v/>
      </c>
    </row>
    <row r="68" spans="1:24" x14ac:dyDescent="0.2">
      <c r="A68" s="37"/>
      <c r="B68" s="36"/>
      <c r="C68" s="35"/>
      <c r="D68" s="27"/>
      <c r="E68" s="35"/>
      <c r="F68" s="27"/>
      <c r="G68" s="34"/>
      <c r="I68" s="32"/>
      <c r="J68" s="33"/>
      <c r="K68" s="47"/>
      <c r="L68" s="32"/>
      <c r="M68" s="27"/>
      <c r="N68" s="30"/>
      <c r="O68" s="30"/>
      <c r="P68" s="27"/>
      <c r="Q68" s="30"/>
      <c r="R68" s="27"/>
      <c r="S68" s="25"/>
      <c r="V68" s="27"/>
      <c r="W68" s="45"/>
      <c r="X68" s="25"/>
    </row>
    <row r="69" spans="1:24" x14ac:dyDescent="0.2">
      <c r="A69" s="24" t="s">
        <v>62</v>
      </c>
      <c r="B69" s="22" t="s">
        <v>79</v>
      </c>
      <c r="C69" s="44">
        <v>100021000</v>
      </c>
      <c r="D69" s="24" t="s">
        <v>83</v>
      </c>
      <c r="E69" s="49">
        <v>7790360720382</v>
      </c>
      <c r="F69" s="15">
        <v>2.16</v>
      </c>
      <c r="G69" s="19">
        <v>24</v>
      </c>
      <c r="I69" s="15">
        <f t="shared" ref="I69:I86" si="21">+L69*1.45*1.21</f>
        <v>1362.4055739912992</v>
      </c>
      <c r="J69" s="15">
        <f t="shared" ref="J69:J86" si="22">+I69*0.8</f>
        <v>1089.9244591930394</v>
      </c>
      <c r="K69" s="47"/>
      <c r="L69" s="15">
        <f t="shared" ref="L69:L86" si="23">+IF(ISERROR(N69/G69),"",(N69/G69))</f>
        <v>776.52070332932419</v>
      </c>
      <c r="M69" s="15">
        <f t="shared" ref="M69:M86" si="24">+IF(ISERROR(N69/F69),"",(N69/F69))</f>
        <v>8628.0078147702679</v>
      </c>
      <c r="N69" s="40">
        <v>18636.496879903782</v>
      </c>
      <c r="O69" s="16"/>
      <c r="P69" s="15">
        <f t="shared" ref="P69:P86" si="25">+IF(ISERROR(N69/(1-O69)),"",(N69/(1-O69)))</f>
        <v>18636.496879903782</v>
      </c>
      <c r="Q69" s="16"/>
      <c r="R69" s="15">
        <f t="shared" ref="R69:R86" si="26">+IF(ISERROR(P69/(1-Q69)),"",(P69/(1-Q69)))</f>
        <v>18636.496879903782</v>
      </c>
      <c r="S69" s="15">
        <f t="shared" ref="S69:S86" si="27">+IF(ISERROR(P69/G69),"",(P69/G69))</f>
        <v>776.52070332932419</v>
      </c>
      <c r="V69" s="12">
        <v>18636.5</v>
      </c>
      <c r="W69" s="16">
        <f t="shared" ref="W69:W86" si="28">+IF(ISERROR(N69/V69-1),"",(N69/V69-1))</f>
        <v>-1.6741857211677313E-7</v>
      </c>
      <c r="X69" s="15">
        <f t="shared" ref="X69:X86" si="29">+IF(ISERROR(V69*(1-O69)),"",(V69*(1-O69)))</f>
        <v>18636.5</v>
      </c>
    </row>
    <row r="70" spans="1:24" x14ac:dyDescent="0.2">
      <c r="A70" s="24" t="s">
        <v>62</v>
      </c>
      <c r="B70" s="22" t="s">
        <v>79</v>
      </c>
      <c r="C70" s="44">
        <v>100021001</v>
      </c>
      <c r="D70" s="24" t="s">
        <v>82</v>
      </c>
      <c r="E70" s="49">
        <v>7790360720115</v>
      </c>
      <c r="F70" s="15">
        <v>2.16</v>
      </c>
      <c r="G70" s="19">
        <v>24</v>
      </c>
      <c r="I70" s="15">
        <f t="shared" si="21"/>
        <v>1362.4055739912992</v>
      </c>
      <c r="J70" s="15">
        <f t="shared" si="22"/>
        <v>1089.9244591930394</v>
      </c>
      <c r="K70" s="47"/>
      <c r="L70" s="15">
        <f t="shared" si="23"/>
        <v>776.52070332932419</v>
      </c>
      <c r="M70" s="15">
        <f t="shared" si="24"/>
        <v>8628.0078147702679</v>
      </c>
      <c r="N70" s="40">
        <v>18636.496879903782</v>
      </c>
      <c r="O70" s="16"/>
      <c r="P70" s="15">
        <f t="shared" si="25"/>
        <v>18636.496879903782</v>
      </c>
      <c r="Q70" s="16"/>
      <c r="R70" s="15">
        <f t="shared" si="26"/>
        <v>18636.496879903782</v>
      </c>
      <c r="S70" s="15">
        <f t="shared" si="27"/>
        <v>776.52070332932419</v>
      </c>
      <c r="V70" s="12">
        <v>18636.5</v>
      </c>
      <c r="W70" s="16">
        <f t="shared" si="28"/>
        <v>-1.6741857211677313E-7</v>
      </c>
      <c r="X70" s="15">
        <f t="shared" si="29"/>
        <v>18636.5</v>
      </c>
    </row>
    <row r="71" spans="1:24" x14ac:dyDescent="0.2">
      <c r="A71" s="24" t="s">
        <v>62</v>
      </c>
      <c r="B71" s="22" t="s">
        <v>79</v>
      </c>
      <c r="C71" s="44">
        <v>100522277</v>
      </c>
      <c r="D71" s="24" t="s">
        <v>81</v>
      </c>
      <c r="E71" s="49"/>
      <c r="F71" s="15">
        <v>2.16</v>
      </c>
      <c r="G71" s="19">
        <v>24</v>
      </c>
      <c r="I71" s="15">
        <f t="shared" si="21"/>
        <v>1362.4055739912992</v>
      </c>
      <c r="J71" s="15">
        <f t="shared" si="22"/>
        <v>1089.9244591930394</v>
      </c>
      <c r="K71" s="47"/>
      <c r="L71" s="15">
        <f t="shared" si="23"/>
        <v>776.52070332932419</v>
      </c>
      <c r="M71" s="15">
        <f t="shared" si="24"/>
        <v>8628.0078147702679</v>
      </c>
      <c r="N71" s="40">
        <v>18636.496879903782</v>
      </c>
      <c r="O71" s="16"/>
      <c r="P71" s="15">
        <f t="shared" si="25"/>
        <v>18636.496879903782</v>
      </c>
      <c r="Q71" s="16"/>
      <c r="R71" s="15">
        <f t="shared" si="26"/>
        <v>18636.496879903782</v>
      </c>
      <c r="S71" s="15">
        <f t="shared" si="27"/>
        <v>776.52070332932419</v>
      </c>
      <c r="V71" s="12">
        <v>18636.5</v>
      </c>
      <c r="W71" s="16">
        <f t="shared" si="28"/>
        <v>-1.6741857211677313E-7</v>
      </c>
      <c r="X71" s="15">
        <f t="shared" si="29"/>
        <v>18636.5</v>
      </c>
    </row>
    <row r="72" spans="1:24" x14ac:dyDescent="0.2">
      <c r="A72" s="24" t="s">
        <v>62</v>
      </c>
      <c r="B72" s="22" t="s">
        <v>79</v>
      </c>
      <c r="C72" s="44">
        <v>100522333</v>
      </c>
      <c r="D72" s="24" t="s">
        <v>80</v>
      </c>
      <c r="E72" s="49"/>
      <c r="F72" s="15">
        <v>2.16</v>
      </c>
      <c r="G72" s="19">
        <v>24</v>
      </c>
      <c r="I72" s="15">
        <f t="shared" si="21"/>
        <v>1362.4055739912992</v>
      </c>
      <c r="J72" s="15">
        <f t="shared" si="22"/>
        <v>1089.9244591930394</v>
      </c>
      <c r="K72" s="47"/>
      <c r="L72" s="15">
        <f t="shared" si="23"/>
        <v>776.52070332932419</v>
      </c>
      <c r="M72" s="15">
        <f t="shared" si="24"/>
        <v>8628.0078147702679</v>
      </c>
      <c r="N72" s="40">
        <v>18636.496879903782</v>
      </c>
      <c r="O72" s="16"/>
      <c r="P72" s="15">
        <f t="shared" si="25"/>
        <v>18636.496879903782</v>
      </c>
      <c r="Q72" s="16"/>
      <c r="R72" s="15">
        <f t="shared" si="26"/>
        <v>18636.496879903782</v>
      </c>
      <c r="S72" s="15">
        <f t="shared" si="27"/>
        <v>776.52070332932419</v>
      </c>
      <c r="V72" s="12">
        <v>18636.5</v>
      </c>
      <c r="W72" s="16">
        <f t="shared" si="28"/>
        <v>-1.6741857211677313E-7</v>
      </c>
      <c r="X72" s="15">
        <f t="shared" si="29"/>
        <v>18636.5</v>
      </c>
    </row>
    <row r="73" spans="1:24" x14ac:dyDescent="0.2">
      <c r="A73" s="24" t="s">
        <v>62</v>
      </c>
      <c r="B73" s="22" t="s">
        <v>79</v>
      </c>
      <c r="C73" s="44">
        <v>100021045</v>
      </c>
      <c r="D73" s="24" t="s">
        <v>78</v>
      </c>
      <c r="E73" s="49">
        <v>7790360966582</v>
      </c>
      <c r="F73" s="15">
        <v>2.16</v>
      </c>
      <c r="G73" s="19">
        <v>24</v>
      </c>
      <c r="I73" s="15">
        <f t="shared" si="21"/>
        <v>1362.4055739912992</v>
      </c>
      <c r="J73" s="15">
        <f t="shared" si="22"/>
        <v>1089.9244591930394</v>
      </c>
      <c r="K73" s="47"/>
      <c r="L73" s="15">
        <f t="shared" si="23"/>
        <v>776.52070332932419</v>
      </c>
      <c r="M73" s="15">
        <f t="shared" si="24"/>
        <v>8628.0078147702679</v>
      </c>
      <c r="N73" s="40">
        <v>18636.496879903782</v>
      </c>
      <c r="O73" s="16"/>
      <c r="P73" s="15">
        <f t="shared" si="25"/>
        <v>18636.496879903782</v>
      </c>
      <c r="Q73" s="16"/>
      <c r="R73" s="15">
        <f t="shared" si="26"/>
        <v>18636.496879903782</v>
      </c>
      <c r="S73" s="15">
        <f t="shared" si="27"/>
        <v>776.52070332932419</v>
      </c>
      <c r="V73" s="12">
        <v>18636.5</v>
      </c>
      <c r="W73" s="16">
        <f t="shared" si="28"/>
        <v>-1.6741857211677313E-7</v>
      </c>
      <c r="X73" s="15">
        <f t="shared" si="29"/>
        <v>18636.5</v>
      </c>
    </row>
    <row r="74" spans="1:24" x14ac:dyDescent="0.2">
      <c r="A74" s="24" t="s">
        <v>62</v>
      </c>
      <c r="B74" s="22" t="s">
        <v>75</v>
      </c>
      <c r="C74" s="44">
        <v>100021004</v>
      </c>
      <c r="D74" s="24" t="s">
        <v>77</v>
      </c>
      <c r="E74" s="49">
        <v>7790360964526</v>
      </c>
      <c r="F74" s="15">
        <v>2.1120000000000001</v>
      </c>
      <c r="G74" s="19">
        <v>24</v>
      </c>
      <c r="I74" s="15">
        <f t="shared" si="21"/>
        <v>1362.4055739912992</v>
      </c>
      <c r="J74" s="15">
        <f t="shared" si="22"/>
        <v>1089.9244591930394</v>
      </c>
      <c r="K74" s="47"/>
      <c r="L74" s="15">
        <f t="shared" si="23"/>
        <v>776.52070332932419</v>
      </c>
      <c r="M74" s="15">
        <f t="shared" si="24"/>
        <v>8824.0989014695933</v>
      </c>
      <c r="N74" s="40">
        <v>18636.496879903782</v>
      </c>
      <c r="O74" s="16"/>
      <c r="P74" s="15">
        <f t="shared" si="25"/>
        <v>18636.496879903782</v>
      </c>
      <c r="Q74" s="16"/>
      <c r="R74" s="15">
        <f t="shared" si="26"/>
        <v>18636.496879903782</v>
      </c>
      <c r="S74" s="15">
        <f t="shared" si="27"/>
        <v>776.52070332932419</v>
      </c>
      <c r="V74" s="12">
        <v>18636.5</v>
      </c>
      <c r="W74" s="16">
        <f t="shared" si="28"/>
        <v>-1.6741857211677313E-7</v>
      </c>
      <c r="X74" s="15">
        <f t="shared" si="29"/>
        <v>18636.5</v>
      </c>
    </row>
    <row r="75" spans="1:24" x14ac:dyDescent="0.2">
      <c r="A75" s="24" t="s">
        <v>62</v>
      </c>
      <c r="B75" s="22" t="s">
        <v>75</v>
      </c>
      <c r="C75" s="44">
        <v>100021006</v>
      </c>
      <c r="D75" s="24" t="s">
        <v>76</v>
      </c>
      <c r="E75" s="49">
        <v>7790360964557</v>
      </c>
      <c r="F75" s="15">
        <v>2.1120000000000001</v>
      </c>
      <c r="G75" s="19">
        <v>24</v>
      </c>
      <c r="I75" s="15">
        <f t="shared" si="21"/>
        <v>1362.4055739912992</v>
      </c>
      <c r="J75" s="15">
        <f t="shared" si="22"/>
        <v>1089.9244591930394</v>
      </c>
      <c r="K75" s="47"/>
      <c r="L75" s="15">
        <f t="shared" si="23"/>
        <v>776.52070332932419</v>
      </c>
      <c r="M75" s="15">
        <f t="shared" si="24"/>
        <v>8824.0989014695933</v>
      </c>
      <c r="N75" s="40">
        <v>18636.496879903782</v>
      </c>
      <c r="O75" s="16"/>
      <c r="P75" s="15">
        <f t="shared" si="25"/>
        <v>18636.496879903782</v>
      </c>
      <c r="Q75" s="16"/>
      <c r="R75" s="15">
        <f t="shared" si="26"/>
        <v>18636.496879903782</v>
      </c>
      <c r="S75" s="15">
        <f t="shared" si="27"/>
        <v>776.52070332932419</v>
      </c>
      <c r="V75" s="12">
        <v>18636.5</v>
      </c>
      <c r="W75" s="16">
        <f t="shared" si="28"/>
        <v>-1.6741857211677313E-7</v>
      </c>
      <c r="X75" s="15">
        <f t="shared" si="29"/>
        <v>18636.5</v>
      </c>
    </row>
    <row r="76" spans="1:24" x14ac:dyDescent="0.2">
      <c r="A76" s="24" t="s">
        <v>62</v>
      </c>
      <c r="B76" s="22" t="s">
        <v>75</v>
      </c>
      <c r="C76" s="44">
        <v>100021007</v>
      </c>
      <c r="D76" s="24" t="s">
        <v>74</v>
      </c>
      <c r="E76" s="49">
        <v>7790360964540</v>
      </c>
      <c r="F76" s="15">
        <v>2.04</v>
      </c>
      <c r="G76" s="19">
        <v>24</v>
      </c>
      <c r="I76" s="15">
        <f t="shared" si="21"/>
        <v>1768.4164394462734</v>
      </c>
      <c r="J76" s="15">
        <f t="shared" si="22"/>
        <v>1414.7331515570188</v>
      </c>
      <c r="K76" s="47"/>
      <c r="L76" s="15">
        <f t="shared" si="23"/>
        <v>1007.9318549138065</v>
      </c>
      <c r="M76" s="15">
        <f t="shared" si="24"/>
        <v>11858.021822515371</v>
      </c>
      <c r="N76" s="40">
        <v>24190.364517931357</v>
      </c>
      <c r="O76" s="16"/>
      <c r="P76" s="15">
        <f t="shared" si="25"/>
        <v>24190.364517931357</v>
      </c>
      <c r="Q76" s="16"/>
      <c r="R76" s="15">
        <f t="shared" si="26"/>
        <v>24190.364517931357</v>
      </c>
      <c r="S76" s="15">
        <f t="shared" si="27"/>
        <v>1007.9318549138065</v>
      </c>
      <c r="V76" s="12">
        <v>24190.37</v>
      </c>
      <c r="W76" s="16">
        <f t="shared" si="28"/>
        <v>-2.2662194265610225E-7</v>
      </c>
      <c r="X76" s="15">
        <f t="shared" si="29"/>
        <v>24190.37</v>
      </c>
    </row>
    <row r="77" spans="1:24" x14ac:dyDescent="0.2">
      <c r="A77" s="24" t="s">
        <v>62</v>
      </c>
      <c r="B77" s="22" t="s">
        <v>69</v>
      </c>
      <c r="C77" s="44">
        <v>100021013</v>
      </c>
      <c r="D77" s="24" t="s">
        <v>73</v>
      </c>
      <c r="E77" s="49">
        <v>7790360965714</v>
      </c>
      <c r="F77" s="15">
        <v>2.04</v>
      </c>
      <c r="G77" s="19">
        <v>24</v>
      </c>
      <c r="I77" s="15">
        <f t="shared" si="21"/>
        <v>1768.4164394462734</v>
      </c>
      <c r="J77" s="15">
        <f t="shared" si="22"/>
        <v>1414.7331515570188</v>
      </c>
      <c r="K77" s="47"/>
      <c r="L77" s="15">
        <f t="shared" si="23"/>
        <v>1007.9318549138065</v>
      </c>
      <c r="M77" s="15">
        <f t="shared" si="24"/>
        <v>11858.021822515371</v>
      </c>
      <c r="N77" s="40">
        <v>24190.364517931357</v>
      </c>
      <c r="O77" s="16"/>
      <c r="P77" s="15">
        <f t="shared" si="25"/>
        <v>24190.364517931357</v>
      </c>
      <c r="Q77" s="16"/>
      <c r="R77" s="15">
        <f t="shared" si="26"/>
        <v>24190.364517931357</v>
      </c>
      <c r="S77" s="15">
        <f t="shared" si="27"/>
        <v>1007.9318549138065</v>
      </c>
      <c r="V77" s="12">
        <v>24190.37</v>
      </c>
      <c r="W77" s="16">
        <f t="shared" si="28"/>
        <v>-2.2662194265610225E-7</v>
      </c>
      <c r="X77" s="15">
        <f t="shared" si="29"/>
        <v>24190.37</v>
      </c>
    </row>
    <row r="78" spans="1:24" x14ac:dyDescent="0.2">
      <c r="A78" s="24" t="s">
        <v>62</v>
      </c>
      <c r="B78" s="22" t="s">
        <v>69</v>
      </c>
      <c r="C78" s="44">
        <v>100021014</v>
      </c>
      <c r="D78" s="24" t="s">
        <v>72</v>
      </c>
      <c r="E78" s="49">
        <v>7790360965721</v>
      </c>
      <c r="F78" s="15">
        <v>2.04</v>
      </c>
      <c r="G78" s="19">
        <v>24</v>
      </c>
      <c r="I78" s="15">
        <f t="shared" si="21"/>
        <v>1768.4164394462734</v>
      </c>
      <c r="J78" s="15">
        <f t="shared" si="22"/>
        <v>1414.7331515570188</v>
      </c>
      <c r="K78" s="47"/>
      <c r="L78" s="15">
        <f t="shared" si="23"/>
        <v>1007.9318549138065</v>
      </c>
      <c r="M78" s="15">
        <f t="shared" si="24"/>
        <v>11858.021822515371</v>
      </c>
      <c r="N78" s="40">
        <v>24190.364517931357</v>
      </c>
      <c r="O78" s="16"/>
      <c r="P78" s="15">
        <f t="shared" si="25"/>
        <v>24190.364517931357</v>
      </c>
      <c r="Q78" s="16"/>
      <c r="R78" s="15">
        <f t="shared" si="26"/>
        <v>24190.364517931357</v>
      </c>
      <c r="S78" s="15">
        <f t="shared" si="27"/>
        <v>1007.9318549138065</v>
      </c>
      <c r="V78" s="12">
        <v>24190.37</v>
      </c>
      <c r="W78" s="16">
        <f t="shared" si="28"/>
        <v>-2.2662194265610225E-7</v>
      </c>
      <c r="X78" s="15">
        <f t="shared" si="29"/>
        <v>24190.37</v>
      </c>
    </row>
    <row r="79" spans="1:24" x14ac:dyDescent="0.2">
      <c r="A79" s="24" t="s">
        <v>62</v>
      </c>
      <c r="B79" s="22" t="s">
        <v>69</v>
      </c>
      <c r="C79" s="44">
        <v>100021054</v>
      </c>
      <c r="D79" s="24" t="s">
        <v>71</v>
      </c>
      <c r="E79" s="49">
        <v>7790360965707</v>
      </c>
      <c r="F79" s="15">
        <v>2.04</v>
      </c>
      <c r="G79" s="19">
        <v>24</v>
      </c>
      <c r="I79" s="15">
        <f t="shared" si="21"/>
        <v>1768.4164394462734</v>
      </c>
      <c r="J79" s="15">
        <f t="shared" si="22"/>
        <v>1414.7331515570188</v>
      </c>
      <c r="K79" s="47"/>
      <c r="L79" s="15">
        <f t="shared" si="23"/>
        <v>1007.9318549138065</v>
      </c>
      <c r="M79" s="15">
        <f t="shared" si="24"/>
        <v>11858.021822515371</v>
      </c>
      <c r="N79" s="40">
        <v>24190.364517931357</v>
      </c>
      <c r="O79" s="16"/>
      <c r="P79" s="15">
        <f t="shared" si="25"/>
        <v>24190.364517931357</v>
      </c>
      <c r="Q79" s="16"/>
      <c r="R79" s="15">
        <f t="shared" si="26"/>
        <v>24190.364517931357</v>
      </c>
      <c r="S79" s="15">
        <f t="shared" si="27"/>
        <v>1007.9318549138065</v>
      </c>
      <c r="V79" s="12">
        <v>24190.37</v>
      </c>
      <c r="W79" s="16">
        <f t="shared" si="28"/>
        <v>-2.2662194265610225E-7</v>
      </c>
      <c r="X79" s="15">
        <f t="shared" si="29"/>
        <v>24190.37</v>
      </c>
    </row>
    <row r="80" spans="1:24" x14ac:dyDescent="0.2">
      <c r="A80" s="24" t="s">
        <v>62</v>
      </c>
      <c r="B80" s="22" t="s">
        <v>69</v>
      </c>
      <c r="C80" s="44">
        <v>100021055</v>
      </c>
      <c r="D80" s="24" t="s">
        <v>70</v>
      </c>
      <c r="E80" s="49">
        <v>7790360965189</v>
      </c>
      <c r="F80" s="15">
        <v>2.04</v>
      </c>
      <c r="G80" s="19">
        <v>24</v>
      </c>
      <c r="I80" s="15">
        <f t="shared" si="21"/>
        <v>1768.4164394462734</v>
      </c>
      <c r="J80" s="15">
        <f t="shared" si="22"/>
        <v>1414.7331515570188</v>
      </c>
      <c r="K80" s="47"/>
      <c r="L80" s="15">
        <f t="shared" si="23"/>
        <v>1007.9318549138065</v>
      </c>
      <c r="M80" s="15">
        <f t="shared" si="24"/>
        <v>11858.021822515371</v>
      </c>
      <c r="N80" s="40">
        <v>24190.364517931357</v>
      </c>
      <c r="O80" s="16"/>
      <c r="P80" s="15">
        <f t="shared" si="25"/>
        <v>24190.364517931357</v>
      </c>
      <c r="Q80" s="16"/>
      <c r="R80" s="15">
        <f t="shared" si="26"/>
        <v>24190.364517931357</v>
      </c>
      <c r="S80" s="15">
        <f t="shared" si="27"/>
        <v>1007.9318549138065</v>
      </c>
      <c r="V80" s="12">
        <v>24190.37</v>
      </c>
      <c r="W80" s="16">
        <f t="shared" si="28"/>
        <v>-2.2662194265610225E-7</v>
      </c>
      <c r="X80" s="15">
        <f t="shared" si="29"/>
        <v>24190.37</v>
      </c>
    </row>
    <row r="81" spans="1:24" x14ac:dyDescent="0.2">
      <c r="A81" s="24" t="s">
        <v>62</v>
      </c>
      <c r="B81" s="22" t="s">
        <v>69</v>
      </c>
      <c r="C81" s="44">
        <v>100021015</v>
      </c>
      <c r="D81" s="24" t="s">
        <v>68</v>
      </c>
      <c r="E81" s="49">
        <v>7790360965202</v>
      </c>
      <c r="F81" s="15">
        <v>2.04</v>
      </c>
      <c r="G81" s="19">
        <v>24</v>
      </c>
      <c r="I81" s="15">
        <f t="shared" si="21"/>
        <v>1894.7318994067214</v>
      </c>
      <c r="J81" s="15">
        <f t="shared" si="22"/>
        <v>1515.7855195253771</v>
      </c>
      <c r="K81" s="47"/>
      <c r="L81" s="15">
        <f t="shared" si="23"/>
        <v>1079.9269874076497</v>
      </c>
      <c r="M81" s="15">
        <f t="shared" si="24"/>
        <v>12705.023381266468</v>
      </c>
      <c r="N81" s="40">
        <v>25918.247697783594</v>
      </c>
      <c r="O81" s="16"/>
      <c r="P81" s="15">
        <f t="shared" si="25"/>
        <v>25918.247697783594</v>
      </c>
      <c r="Q81" s="16"/>
      <c r="R81" s="15">
        <f t="shared" si="26"/>
        <v>25918.247697783594</v>
      </c>
      <c r="S81" s="15">
        <f t="shared" si="27"/>
        <v>1079.9269874076497</v>
      </c>
      <c r="V81" s="12">
        <v>25918.25</v>
      </c>
      <c r="W81" s="16">
        <f t="shared" si="28"/>
        <v>-8.8826074495784724E-8</v>
      </c>
      <c r="X81" s="15">
        <f t="shared" si="29"/>
        <v>25918.25</v>
      </c>
    </row>
    <row r="82" spans="1:24" x14ac:dyDescent="0.2">
      <c r="A82" s="24" t="s">
        <v>62</v>
      </c>
      <c r="B82" s="22" t="s">
        <v>66</v>
      </c>
      <c r="C82" s="44">
        <v>100021008</v>
      </c>
      <c r="D82" s="24" t="s">
        <v>67</v>
      </c>
      <c r="E82" s="49">
        <v>7790360720122</v>
      </c>
      <c r="F82" s="15">
        <v>2.16</v>
      </c>
      <c r="G82" s="19">
        <v>24</v>
      </c>
      <c r="I82" s="15">
        <f t="shared" si="21"/>
        <v>1073.1798189004699</v>
      </c>
      <c r="J82" s="15">
        <f t="shared" si="22"/>
        <v>858.54385512037595</v>
      </c>
      <c r="K82" s="47"/>
      <c r="L82" s="15">
        <f t="shared" si="23"/>
        <v>611.67273804529498</v>
      </c>
      <c r="M82" s="15">
        <f t="shared" si="24"/>
        <v>6796.3637560588331</v>
      </c>
      <c r="N82" s="40">
        <v>14680.14571308708</v>
      </c>
      <c r="O82" s="16"/>
      <c r="P82" s="15">
        <f t="shared" si="25"/>
        <v>14680.14571308708</v>
      </c>
      <c r="Q82" s="16"/>
      <c r="R82" s="15">
        <f t="shared" si="26"/>
        <v>14680.14571308708</v>
      </c>
      <c r="S82" s="15">
        <f t="shared" si="27"/>
        <v>611.67273804529498</v>
      </c>
      <c r="V82" s="12">
        <v>14680.15</v>
      </c>
      <c r="W82" s="16">
        <f t="shared" si="28"/>
        <v>-2.9202105700232295E-7</v>
      </c>
      <c r="X82" s="15">
        <f t="shared" si="29"/>
        <v>14680.15</v>
      </c>
    </row>
    <row r="83" spans="1:24" x14ac:dyDescent="0.2">
      <c r="A83" s="24" t="s">
        <v>62</v>
      </c>
      <c r="B83" s="22" t="s">
        <v>66</v>
      </c>
      <c r="C83" s="44">
        <v>100021009</v>
      </c>
      <c r="D83" s="24" t="s">
        <v>65</v>
      </c>
      <c r="E83" s="49">
        <v>7790360965127</v>
      </c>
      <c r="F83" s="15">
        <v>2.16</v>
      </c>
      <c r="G83" s="19">
        <v>24</v>
      </c>
      <c r="I83" s="15">
        <f t="shared" si="21"/>
        <v>1073.1798189004699</v>
      </c>
      <c r="J83" s="15">
        <f t="shared" si="22"/>
        <v>858.54385512037595</v>
      </c>
      <c r="K83" s="47"/>
      <c r="L83" s="15">
        <f t="shared" si="23"/>
        <v>611.67273804529498</v>
      </c>
      <c r="M83" s="15">
        <f t="shared" si="24"/>
        <v>6796.3637560588331</v>
      </c>
      <c r="N83" s="40">
        <v>14680.14571308708</v>
      </c>
      <c r="O83" s="16"/>
      <c r="P83" s="15">
        <f t="shared" si="25"/>
        <v>14680.14571308708</v>
      </c>
      <c r="Q83" s="16"/>
      <c r="R83" s="15">
        <f t="shared" si="26"/>
        <v>14680.14571308708</v>
      </c>
      <c r="S83" s="15">
        <f t="shared" si="27"/>
        <v>611.67273804529498</v>
      </c>
      <c r="V83" s="12">
        <v>14680.15</v>
      </c>
      <c r="W83" s="16">
        <f t="shared" si="28"/>
        <v>-2.9202105700232295E-7</v>
      </c>
      <c r="X83" s="15">
        <f t="shared" si="29"/>
        <v>14680.15</v>
      </c>
    </row>
    <row r="84" spans="1:24" x14ac:dyDescent="0.2">
      <c r="A84" s="24" t="s">
        <v>62</v>
      </c>
      <c r="B84" s="22" t="s">
        <v>61</v>
      </c>
      <c r="C84" s="44">
        <v>100021010</v>
      </c>
      <c r="D84" s="24" t="s">
        <v>64</v>
      </c>
      <c r="E84" s="49">
        <v>7790920008707</v>
      </c>
      <c r="F84" s="15">
        <v>2.16</v>
      </c>
      <c r="G84" s="19">
        <v>24</v>
      </c>
      <c r="I84" s="15">
        <f t="shared" si="21"/>
        <v>1073.1798189004699</v>
      </c>
      <c r="J84" s="15">
        <f t="shared" si="22"/>
        <v>858.54385512037595</v>
      </c>
      <c r="K84" s="47"/>
      <c r="L84" s="15">
        <f t="shared" si="23"/>
        <v>611.67273804529498</v>
      </c>
      <c r="M84" s="15">
        <f t="shared" si="24"/>
        <v>6796.3637560588331</v>
      </c>
      <c r="N84" s="40">
        <v>14680.14571308708</v>
      </c>
      <c r="O84" s="16"/>
      <c r="P84" s="15">
        <f t="shared" si="25"/>
        <v>14680.14571308708</v>
      </c>
      <c r="Q84" s="16"/>
      <c r="R84" s="15">
        <f t="shared" si="26"/>
        <v>14680.14571308708</v>
      </c>
      <c r="S84" s="15">
        <f t="shared" si="27"/>
        <v>611.67273804529498</v>
      </c>
      <c r="V84" s="12">
        <v>14680.15</v>
      </c>
      <c r="W84" s="16">
        <f t="shared" si="28"/>
        <v>-2.9202105700232295E-7</v>
      </c>
      <c r="X84" s="15">
        <f t="shared" si="29"/>
        <v>14680.15</v>
      </c>
    </row>
    <row r="85" spans="1:24" x14ac:dyDescent="0.2">
      <c r="A85" s="24" t="s">
        <v>62</v>
      </c>
      <c r="B85" s="22" t="s">
        <v>61</v>
      </c>
      <c r="C85" s="44">
        <v>100021011</v>
      </c>
      <c r="D85" s="24" t="s">
        <v>63</v>
      </c>
      <c r="E85" s="49">
        <v>7790920008714</v>
      </c>
      <c r="F85" s="15">
        <v>2.16</v>
      </c>
      <c r="G85" s="19">
        <v>24</v>
      </c>
      <c r="I85" s="15">
        <f t="shared" si="21"/>
        <v>1073.1798189004699</v>
      </c>
      <c r="J85" s="15">
        <f t="shared" si="22"/>
        <v>858.54385512037595</v>
      </c>
      <c r="K85" s="47"/>
      <c r="L85" s="15">
        <f t="shared" si="23"/>
        <v>611.67273804529498</v>
      </c>
      <c r="M85" s="15">
        <f t="shared" si="24"/>
        <v>6796.3637560588331</v>
      </c>
      <c r="N85" s="40">
        <v>14680.14571308708</v>
      </c>
      <c r="O85" s="16"/>
      <c r="P85" s="15">
        <f t="shared" si="25"/>
        <v>14680.14571308708</v>
      </c>
      <c r="Q85" s="16"/>
      <c r="R85" s="15">
        <f t="shared" si="26"/>
        <v>14680.14571308708</v>
      </c>
      <c r="S85" s="15">
        <f t="shared" si="27"/>
        <v>611.67273804529498</v>
      </c>
      <c r="V85" s="12">
        <v>14680.15</v>
      </c>
      <c r="W85" s="16">
        <f t="shared" si="28"/>
        <v>-2.9202105700232295E-7</v>
      </c>
      <c r="X85" s="15">
        <f t="shared" si="29"/>
        <v>14680.15</v>
      </c>
    </row>
    <row r="86" spans="1:24" hidden="1" x14ac:dyDescent="0.2">
      <c r="A86" s="24" t="s">
        <v>62</v>
      </c>
      <c r="B86" s="22" t="s">
        <v>61</v>
      </c>
      <c r="C86" s="44">
        <v>100021044</v>
      </c>
      <c r="D86" s="24" t="s">
        <v>60</v>
      </c>
      <c r="E86" s="49"/>
      <c r="F86" s="15">
        <v>2.16</v>
      </c>
      <c r="G86" s="19">
        <v>24</v>
      </c>
      <c r="I86" s="15">
        <f t="shared" si="21"/>
        <v>0</v>
      </c>
      <c r="J86" s="15">
        <f t="shared" si="22"/>
        <v>0</v>
      </c>
      <c r="K86" s="47"/>
      <c r="L86" s="15">
        <f t="shared" si="23"/>
        <v>0</v>
      </c>
      <c r="M86" s="15">
        <f t="shared" si="24"/>
        <v>0</v>
      </c>
      <c r="N86" s="40">
        <v>0</v>
      </c>
      <c r="O86" s="16"/>
      <c r="P86" s="15">
        <f t="shared" si="25"/>
        <v>0</v>
      </c>
      <c r="Q86" s="16"/>
      <c r="R86" s="15">
        <f t="shared" si="26"/>
        <v>0</v>
      </c>
      <c r="S86" s="15">
        <f t="shared" si="27"/>
        <v>0</v>
      </c>
      <c r="V86" s="12" t="s">
        <v>31</v>
      </c>
      <c r="W86" s="16" t="str">
        <f t="shared" si="28"/>
        <v/>
      </c>
      <c r="X86" s="15" t="str">
        <f t="shared" si="29"/>
        <v/>
      </c>
    </row>
    <row r="87" spans="1:24" x14ac:dyDescent="0.2">
      <c r="A87" s="37"/>
      <c r="B87" s="36"/>
      <c r="C87" s="35"/>
      <c r="D87" s="27"/>
      <c r="E87" s="35"/>
      <c r="F87" s="27"/>
      <c r="G87" s="34"/>
      <c r="I87" s="32"/>
      <c r="J87" s="33"/>
      <c r="K87" s="47"/>
      <c r="L87" s="32"/>
      <c r="M87" s="27"/>
      <c r="N87" s="30"/>
      <c r="O87" s="30"/>
      <c r="P87" s="27"/>
      <c r="Q87" s="30"/>
      <c r="R87" s="27"/>
      <c r="S87" s="25"/>
      <c r="V87" s="27"/>
      <c r="W87" s="45"/>
      <c r="X87" s="25"/>
    </row>
    <row r="88" spans="1:24" hidden="1" x14ac:dyDescent="0.2">
      <c r="A88" s="24" t="s">
        <v>7</v>
      </c>
      <c r="B88" s="22" t="s">
        <v>55</v>
      </c>
      <c r="C88" s="44">
        <v>100021701</v>
      </c>
      <c r="D88" s="24" t="s">
        <v>59</v>
      </c>
      <c r="E88" s="49">
        <v>7790360023889</v>
      </c>
      <c r="F88" s="15">
        <v>6.6</v>
      </c>
      <c r="G88" s="19">
        <v>20</v>
      </c>
      <c r="I88" s="15">
        <f>+L88*1.55*1.21</f>
        <v>0</v>
      </c>
      <c r="J88" s="15">
        <v>0</v>
      </c>
      <c r="K88" s="47"/>
      <c r="L88" s="15">
        <f>+IF(ISERROR(N88/G88),"",(N88/G88))</f>
        <v>0</v>
      </c>
      <c r="M88" s="15">
        <f>+IF(ISERROR(N88/F88),"",(N88/F88))</f>
        <v>0</v>
      </c>
      <c r="N88" s="40">
        <v>0</v>
      </c>
      <c r="O88" s="65"/>
      <c r="P88" s="15">
        <f>+IF(ISERROR(N88/(1-O88)),"",(N88/(1-O88)))</f>
        <v>0</v>
      </c>
      <c r="Q88" s="16"/>
      <c r="R88" s="15">
        <f>+IF(ISERROR(P88/(1-Q88)),"",(P88/(1-Q88)))</f>
        <v>0</v>
      </c>
      <c r="S88" s="15">
        <f>+IF(ISERROR(R88/G88),"",(R88/G88))</f>
        <v>0</v>
      </c>
      <c r="V88" s="12" t="s">
        <v>31</v>
      </c>
      <c r="W88" s="16" t="str">
        <f>+IF(ISERROR(N88/V88-1),"",(N88/V88-1))</f>
        <v/>
      </c>
      <c r="X88" s="15" t="str">
        <f>+IF(ISERROR(V88*(1-O88)),"",(V88*(1-O88)))</f>
        <v/>
      </c>
    </row>
    <row r="89" spans="1:24" x14ac:dyDescent="0.2">
      <c r="A89" s="24" t="s">
        <v>7</v>
      </c>
      <c r="B89" s="22" t="s">
        <v>55</v>
      </c>
      <c r="C89" s="44">
        <v>100516217</v>
      </c>
      <c r="D89" s="24" t="s">
        <v>58</v>
      </c>
      <c r="E89" s="49">
        <v>7790360967824</v>
      </c>
      <c r="F89" s="15">
        <v>5.8</v>
      </c>
      <c r="G89" s="19">
        <v>20</v>
      </c>
      <c r="I89" s="15">
        <f>+L89*1.55*1.21</f>
        <v>2751.6857614480164</v>
      </c>
      <c r="J89" s="15">
        <f>+I89*0.8</f>
        <v>2201.3486091584132</v>
      </c>
      <c r="K89" s="47"/>
      <c r="L89" s="15">
        <f>+IF(ISERROR(N89/G89),"",(N89/G89))</f>
        <v>1467.1744929075003</v>
      </c>
      <c r="M89" s="15">
        <f>+IF(ISERROR(N89/F89),"",(N89/F89))</f>
        <v>5059.2223893362079</v>
      </c>
      <c r="N89" s="40">
        <v>29343.489858150006</v>
      </c>
      <c r="O89" s="65"/>
      <c r="P89" s="15">
        <f>+IF(ISERROR(N89/(1-O89)),"",(N89/(1-O89)))</f>
        <v>29343.489858150006</v>
      </c>
      <c r="Q89" s="16"/>
      <c r="R89" s="15">
        <f>+IF(ISERROR(P89/(1-Q89)),"",(P89/(1-Q89)))</f>
        <v>29343.489858150006</v>
      </c>
      <c r="S89" s="15">
        <f>+IF(ISERROR(R89/G89),"",(R89/G89))</f>
        <v>1467.1744929075003</v>
      </c>
      <c r="V89" s="12">
        <v>28488.82</v>
      </c>
      <c r="W89" s="11">
        <f>+IF(ISERROR(N89/V89-1),"",(N89/V89-1))</f>
        <v>3.0000184568894195E-2</v>
      </c>
      <c r="X89" s="15">
        <f>+IF(ISERROR(V89*(1-O89)),"",(V89*(1-O89)))</f>
        <v>28488.82</v>
      </c>
    </row>
    <row r="90" spans="1:24" x14ac:dyDescent="0.2">
      <c r="A90" s="24" t="s">
        <v>7</v>
      </c>
      <c r="B90" s="22" t="s">
        <v>55</v>
      </c>
      <c r="C90" s="44">
        <v>100516214</v>
      </c>
      <c r="D90" s="24" t="s">
        <v>57</v>
      </c>
      <c r="E90" s="49">
        <v>7790360967794</v>
      </c>
      <c r="F90" s="15">
        <v>7</v>
      </c>
      <c r="G90" s="19">
        <v>20</v>
      </c>
      <c r="I90" s="15">
        <f>+L90*1.55*1.21</f>
        <v>3851.8870205332005</v>
      </c>
      <c r="J90" s="15">
        <f>+I90*0.8</f>
        <v>3081.5096164265606</v>
      </c>
      <c r="K90" s="42"/>
      <c r="L90" s="15">
        <f>+IF(ISERROR(N90/G90),"",(N90/G90))</f>
        <v>2053.7920664000003</v>
      </c>
      <c r="M90" s="15">
        <f>+IF(ISERROR(N90/F90),"",(N90/F90))</f>
        <v>5867.9773325714286</v>
      </c>
      <c r="N90" s="40">
        <v>41075.841328000002</v>
      </c>
      <c r="O90" s="65"/>
      <c r="P90" s="15">
        <f>+IF(ISERROR(N90/(1-O90)),"",(N90/(1-O90)))</f>
        <v>41075.841328000002</v>
      </c>
      <c r="Q90" s="16"/>
      <c r="R90" s="15">
        <f>+IF(ISERROR(P90/(1-Q90)),"",(P90/(1-Q90)))</f>
        <v>41075.841328000002</v>
      </c>
      <c r="S90" s="15">
        <f>+IF(ISERROR(R90/G90),"",(R90/G90))</f>
        <v>2053.7920664000003</v>
      </c>
      <c r="V90" s="12">
        <v>41075.839999999997</v>
      </c>
      <c r="W90" s="11">
        <f>+IF(ISERROR(N90/V90-1),"",(N90/V90-1))</f>
        <v>3.2330440546957107E-8</v>
      </c>
      <c r="X90" s="15">
        <f>+IF(ISERROR(V90*(1-O90)),"",(V90*(1-O90)))</f>
        <v>41075.839999999997</v>
      </c>
    </row>
    <row r="91" spans="1:24" x14ac:dyDescent="0.2">
      <c r="A91" s="24" t="s">
        <v>7</v>
      </c>
      <c r="B91" s="22" t="s">
        <v>55</v>
      </c>
      <c r="C91" s="44">
        <v>100516215</v>
      </c>
      <c r="D91" s="24" t="s">
        <v>56</v>
      </c>
      <c r="E91" s="49">
        <v>7790360967800</v>
      </c>
      <c r="F91" s="15">
        <v>7</v>
      </c>
      <c r="G91" s="19">
        <v>20</v>
      </c>
      <c r="I91" s="15">
        <f>+L91*1.55*1.21</f>
        <v>3851.8870205332005</v>
      </c>
      <c r="J91" s="15">
        <f>+I91*0.8</f>
        <v>3081.5096164265606</v>
      </c>
      <c r="K91" s="42"/>
      <c r="L91" s="15">
        <f>+IF(ISERROR(N91/G91),"",(N91/G91))</f>
        <v>2053.7920664000003</v>
      </c>
      <c r="M91" s="15">
        <f>+IF(ISERROR(N91/F91),"",(N91/F91))</f>
        <v>5867.9773325714286</v>
      </c>
      <c r="N91" s="40">
        <v>41075.841328000002</v>
      </c>
      <c r="O91" s="65"/>
      <c r="P91" s="15">
        <f>+IF(ISERROR(N91/(1-O91)),"",(N91/(1-O91)))</f>
        <v>41075.841328000002</v>
      </c>
      <c r="Q91" s="16"/>
      <c r="R91" s="15">
        <f>+IF(ISERROR(P91/(1-Q91)),"",(P91/(1-Q91)))</f>
        <v>41075.841328000002</v>
      </c>
      <c r="S91" s="15">
        <f>+IF(ISERROR(R91/G91),"",(R91/G91))</f>
        <v>2053.7920664000003</v>
      </c>
      <c r="V91" s="12">
        <v>41075.839999999997</v>
      </c>
      <c r="W91" s="11">
        <f>+IF(ISERROR(N91/V91-1),"",(N91/V91-1))</f>
        <v>3.2330440546957107E-8</v>
      </c>
      <c r="X91" s="15">
        <f>+IF(ISERROR(V91*(1-O91)),"",(V91*(1-O91)))</f>
        <v>41075.839999999997</v>
      </c>
    </row>
    <row r="92" spans="1:24" x14ac:dyDescent="0.2">
      <c r="A92" s="24" t="s">
        <v>7</v>
      </c>
      <c r="B92" s="22" t="s">
        <v>55</v>
      </c>
      <c r="C92" s="44">
        <v>100516216</v>
      </c>
      <c r="D92" s="24" t="s">
        <v>54</v>
      </c>
      <c r="E92" s="49">
        <v>7790360967817</v>
      </c>
      <c r="F92" s="15">
        <v>7</v>
      </c>
      <c r="G92" s="19">
        <v>20</v>
      </c>
      <c r="I92" s="15">
        <f>+L92*1.55*1.21</f>
        <v>3851.8870205332005</v>
      </c>
      <c r="J92" s="15">
        <f>+I92*0.8</f>
        <v>3081.5096164265606</v>
      </c>
      <c r="K92" s="42"/>
      <c r="L92" s="15">
        <f>+IF(ISERROR(N92/G92),"",(N92/G92))</f>
        <v>2053.7920664000003</v>
      </c>
      <c r="M92" s="15">
        <f>+IF(ISERROR(N92/F92),"",(N92/F92))</f>
        <v>5867.9773325714286</v>
      </c>
      <c r="N92" s="40">
        <v>41075.841328000002</v>
      </c>
      <c r="O92" s="65"/>
      <c r="P92" s="15">
        <f>+IF(ISERROR(N92/(1-O92)),"",(N92/(1-O92)))</f>
        <v>41075.841328000002</v>
      </c>
      <c r="Q92" s="16"/>
      <c r="R92" s="15">
        <f>+IF(ISERROR(P92/(1-Q92)),"",(P92/(1-Q92)))</f>
        <v>41075.841328000002</v>
      </c>
      <c r="S92" s="15">
        <f>+IF(ISERROR(R92/G92),"",(R92/G92))</f>
        <v>2053.7920664000003</v>
      </c>
      <c r="V92" s="12">
        <v>41075.839999999997</v>
      </c>
      <c r="W92" s="11">
        <f>+IF(ISERROR(N92/V92-1),"",(N92/V92-1))</f>
        <v>3.2330440546957107E-8</v>
      </c>
      <c r="X92" s="15">
        <f>+IF(ISERROR(V92*(1-O92)),"",(V92*(1-O92)))</f>
        <v>41075.839999999997</v>
      </c>
    </row>
    <row r="93" spans="1:24" x14ac:dyDescent="0.2">
      <c r="A93" s="37"/>
      <c r="B93" s="36"/>
      <c r="C93" s="35"/>
      <c r="D93" s="27"/>
      <c r="E93" s="35"/>
      <c r="F93" s="27"/>
      <c r="G93" s="34"/>
      <c r="I93" s="32"/>
      <c r="J93" s="33"/>
      <c r="K93" s="47"/>
      <c r="L93" s="32"/>
      <c r="M93" s="27"/>
      <c r="N93" s="30"/>
      <c r="O93" s="30"/>
      <c r="P93" s="27"/>
      <c r="Q93" s="30"/>
      <c r="R93" s="27"/>
      <c r="S93" s="25"/>
      <c r="V93" s="27"/>
      <c r="W93" s="45"/>
      <c r="X93" s="25"/>
    </row>
    <row r="94" spans="1:24" x14ac:dyDescent="0.2">
      <c r="A94" s="24" t="s">
        <v>41</v>
      </c>
      <c r="B94" s="22" t="s">
        <v>53</v>
      </c>
      <c r="C94" s="44">
        <v>100021704</v>
      </c>
      <c r="D94" s="24" t="s">
        <v>52</v>
      </c>
      <c r="E94" s="49">
        <v>7790360023902</v>
      </c>
      <c r="F94" s="15">
        <f>12*0.38</f>
        <v>4.5600000000000005</v>
      </c>
      <c r="G94" s="19">
        <v>12</v>
      </c>
      <c r="I94" s="15">
        <f t="shared" ref="I94:I105" si="30">+L94*1.55*1.21</f>
        <v>6895.6141905071336</v>
      </c>
      <c r="J94" s="15">
        <f t="shared" ref="J94:J105" si="31">+I94*0.8</f>
        <v>5516.4913524057074</v>
      </c>
      <c r="K94" s="47"/>
      <c r="L94" s="15">
        <f t="shared" ref="L94:L105" si="32">+IF(ISERROR(N94/G94),"",(N94/G94))</f>
        <v>3676.6804534828757</v>
      </c>
      <c r="M94" s="15">
        <f t="shared" ref="M94:M105" si="33">+IF(ISERROR(N94/F94),"",(N94/F94))</f>
        <v>9675.4748775865137</v>
      </c>
      <c r="N94" s="40">
        <v>44120.16544179451</v>
      </c>
      <c r="O94" s="65"/>
      <c r="P94" s="15">
        <f t="shared" ref="P94:P107" si="34">+IF(ISERROR(N94/(1-O94)),"",(N94/(1-O94)))</f>
        <v>44120.16544179451</v>
      </c>
      <c r="Q94" s="16"/>
      <c r="R94" s="15">
        <f t="shared" ref="R94:R107" si="35">+IF(ISERROR(P94/(1-Q94)),"",(P94/(1-Q94)))</f>
        <v>44120.16544179451</v>
      </c>
      <c r="S94" s="15">
        <f t="shared" ref="S94:S105" si="36">+IF(ISERROR(R94/G94),"",(R94/G94))</f>
        <v>3676.6804534828757</v>
      </c>
      <c r="V94" s="12">
        <v>44120.160000000003</v>
      </c>
      <c r="W94" s="16">
        <f t="shared" ref="W94:W105" si="37">+IF(ISERROR(N94/V94-1),"",(N94/V94-1))</f>
        <v>1.2334031662675216E-7</v>
      </c>
      <c r="X94" s="15">
        <f t="shared" ref="X94:X100" si="38">+IF(ISERROR(V94*(1-O94)),"",(V94*(1-O94)))</f>
        <v>44120.160000000003</v>
      </c>
    </row>
    <row r="95" spans="1:24" x14ac:dyDescent="0.2">
      <c r="A95" s="24" t="s">
        <v>41</v>
      </c>
      <c r="B95" s="22" t="s">
        <v>40</v>
      </c>
      <c r="C95" s="44">
        <v>100021705</v>
      </c>
      <c r="D95" s="24" t="s">
        <v>51</v>
      </c>
      <c r="E95" s="49">
        <v>7790360024336</v>
      </c>
      <c r="F95" s="15">
        <f>12*0.38</f>
        <v>4.5600000000000005</v>
      </c>
      <c r="G95" s="19">
        <v>12</v>
      </c>
      <c r="I95" s="15">
        <f t="shared" si="30"/>
        <v>6268.2732492408932</v>
      </c>
      <c r="J95" s="15">
        <f t="shared" si="31"/>
        <v>5014.6185993927147</v>
      </c>
      <c r="K95" s="47"/>
      <c r="L95" s="15">
        <f t="shared" si="32"/>
        <v>3342.1878161774953</v>
      </c>
      <c r="M95" s="15">
        <f t="shared" si="33"/>
        <v>8795.2310952039352</v>
      </c>
      <c r="N95" s="40">
        <v>40106.253794129945</v>
      </c>
      <c r="O95" s="65"/>
      <c r="P95" s="15">
        <f t="shared" si="34"/>
        <v>40106.253794129945</v>
      </c>
      <c r="Q95" s="16"/>
      <c r="R95" s="15">
        <f t="shared" si="35"/>
        <v>40106.253794129945</v>
      </c>
      <c r="S95" s="15">
        <f t="shared" si="36"/>
        <v>3342.1878161774953</v>
      </c>
      <c r="V95" s="12">
        <v>40106.25</v>
      </c>
      <c r="W95" s="16">
        <f t="shared" si="37"/>
        <v>9.4601962263851647E-8</v>
      </c>
      <c r="X95" s="15">
        <f t="shared" si="38"/>
        <v>40106.25</v>
      </c>
    </row>
    <row r="96" spans="1:24" x14ac:dyDescent="0.2">
      <c r="A96" s="24" t="s">
        <v>41</v>
      </c>
      <c r="B96" s="22" t="s">
        <v>40</v>
      </c>
      <c r="C96" s="44">
        <v>100021709</v>
      </c>
      <c r="D96" s="24" t="s">
        <v>50</v>
      </c>
      <c r="E96" s="49">
        <v>7790360024701</v>
      </c>
      <c r="F96" s="15">
        <v>7.6</v>
      </c>
      <c r="G96" s="19">
        <v>10</v>
      </c>
      <c r="I96" s="15">
        <f t="shared" si="30"/>
        <v>12070.070195577639</v>
      </c>
      <c r="J96" s="15">
        <f t="shared" si="31"/>
        <v>9656.0561564621112</v>
      </c>
      <c r="K96" s="18"/>
      <c r="L96" s="15">
        <f t="shared" si="32"/>
        <v>6435.6545964156958</v>
      </c>
      <c r="M96" s="15">
        <f t="shared" si="33"/>
        <v>8467.966574231179</v>
      </c>
      <c r="N96" s="40">
        <v>64356.545964156961</v>
      </c>
      <c r="O96" s="65"/>
      <c r="P96" s="15">
        <f t="shared" si="34"/>
        <v>64356.545964156961</v>
      </c>
      <c r="Q96" s="16"/>
      <c r="R96" s="15">
        <f t="shared" si="35"/>
        <v>64356.545964156961</v>
      </c>
      <c r="S96" s="15">
        <f t="shared" si="36"/>
        <v>6435.6545964156958</v>
      </c>
      <c r="V96" s="12">
        <v>64356.55</v>
      </c>
      <c r="W96" s="16">
        <f t="shared" si="37"/>
        <v>-6.2710680426292242E-8</v>
      </c>
      <c r="X96" s="15">
        <f t="shared" si="38"/>
        <v>64356.55</v>
      </c>
    </row>
    <row r="97" spans="1:24" x14ac:dyDescent="0.2">
      <c r="A97" s="24" t="s">
        <v>41</v>
      </c>
      <c r="B97" s="22" t="s">
        <v>40</v>
      </c>
      <c r="C97" s="44">
        <v>100521357</v>
      </c>
      <c r="D97" s="24" t="s">
        <v>49</v>
      </c>
      <c r="E97" s="49">
        <v>7790360982018</v>
      </c>
      <c r="F97" s="15">
        <v>4.5599999999999996</v>
      </c>
      <c r="G97" s="19">
        <v>12</v>
      </c>
      <c r="I97" s="15">
        <f t="shared" si="30"/>
        <v>7593.4827774035994</v>
      </c>
      <c r="J97" s="15">
        <f t="shared" si="31"/>
        <v>6074.78622192288</v>
      </c>
      <c r="K97" s="18"/>
      <c r="L97" s="15">
        <f t="shared" si="32"/>
        <v>4048.7778071999996</v>
      </c>
      <c r="M97" s="15">
        <f t="shared" si="33"/>
        <v>10654.67844</v>
      </c>
      <c r="N97" s="40">
        <v>48585.333686399994</v>
      </c>
      <c r="O97" s="65"/>
      <c r="P97" s="15">
        <f t="shared" si="34"/>
        <v>48585.333686399994</v>
      </c>
      <c r="Q97" s="16"/>
      <c r="R97" s="15">
        <f t="shared" si="35"/>
        <v>48585.333686399994</v>
      </c>
      <c r="S97" s="15">
        <f t="shared" si="36"/>
        <v>4048.7778071999996</v>
      </c>
      <c r="V97" s="12">
        <v>48585.33</v>
      </c>
      <c r="W97" s="16">
        <f t="shared" si="37"/>
        <v>7.5874754701388269E-8</v>
      </c>
      <c r="X97" s="15">
        <f t="shared" si="38"/>
        <v>48585.33</v>
      </c>
    </row>
    <row r="98" spans="1:24" x14ac:dyDescent="0.2">
      <c r="A98" s="24" t="s">
        <v>41</v>
      </c>
      <c r="B98" s="22" t="s">
        <v>40</v>
      </c>
      <c r="C98" s="44">
        <v>100521358</v>
      </c>
      <c r="D98" s="24" t="s">
        <v>48</v>
      </c>
      <c r="E98" s="49">
        <v>7790360982025</v>
      </c>
      <c r="F98" s="15">
        <v>7.6</v>
      </c>
      <c r="G98" s="19">
        <v>10</v>
      </c>
      <c r="I98" s="15">
        <f t="shared" si="30"/>
        <v>13668.268999326481</v>
      </c>
      <c r="J98" s="15">
        <f t="shared" si="31"/>
        <v>10934.615199461186</v>
      </c>
      <c r="K98" s="18"/>
      <c r="L98" s="15">
        <f t="shared" si="32"/>
        <v>7287.8000529600004</v>
      </c>
      <c r="M98" s="15">
        <f t="shared" si="33"/>
        <v>9589.2105960000008</v>
      </c>
      <c r="N98" s="40">
        <v>72878.000529600002</v>
      </c>
      <c r="O98" s="65"/>
      <c r="P98" s="15">
        <f t="shared" si="34"/>
        <v>72878.000529600002</v>
      </c>
      <c r="Q98" s="16"/>
      <c r="R98" s="15">
        <f t="shared" si="35"/>
        <v>72878.000529600002</v>
      </c>
      <c r="S98" s="15">
        <f t="shared" si="36"/>
        <v>7287.8000529600004</v>
      </c>
      <c r="V98" s="12">
        <v>72878</v>
      </c>
      <c r="W98" s="16">
        <f t="shared" si="37"/>
        <v>7.2669392725543958E-9</v>
      </c>
      <c r="X98" s="15">
        <f t="shared" si="38"/>
        <v>72878</v>
      </c>
    </row>
    <row r="99" spans="1:24" x14ac:dyDescent="0.2">
      <c r="A99" s="24" t="s">
        <v>41</v>
      </c>
      <c r="B99" s="22" t="s">
        <v>40</v>
      </c>
      <c r="C99" s="44">
        <v>100522130</v>
      </c>
      <c r="D99" s="24" t="s">
        <v>47</v>
      </c>
      <c r="E99" s="49">
        <v>7790360982445</v>
      </c>
      <c r="F99" s="15">
        <v>4.8</v>
      </c>
      <c r="G99" s="19">
        <v>12</v>
      </c>
      <c r="I99" s="15">
        <f t="shared" si="30"/>
        <v>5678.0665441374622</v>
      </c>
      <c r="J99" s="15">
        <f t="shared" si="31"/>
        <v>4542.4532353099703</v>
      </c>
      <c r="K99" s="18"/>
      <c r="L99" s="15">
        <f t="shared" si="32"/>
        <v>3027.4948249200011</v>
      </c>
      <c r="M99" s="15">
        <f t="shared" si="33"/>
        <v>7568.7370623000033</v>
      </c>
      <c r="N99" s="40">
        <v>36329.937899040015</v>
      </c>
      <c r="O99" s="65"/>
      <c r="P99" s="15">
        <f t="shared" si="34"/>
        <v>36329.937899040015</v>
      </c>
      <c r="Q99" s="16"/>
      <c r="R99" s="15">
        <f t="shared" si="35"/>
        <v>36329.937899040015</v>
      </c>
      <c r="S99" s="15">
        <f t="shared" si="36"/>
        <v>3027.4948249200011</v>
      </c>
      <c r="V99" s="12">
        <v>36329.94</v>
      </c>
      <c r="W99" s="16">
        <f t="shared" si="37"/>
        <v>-5.7829987798463378E-8</v>
      </c>
      <c r="X99" s="15">
        <f t="shared" si="38"/>
        <v>36329.94</v>
      </c>
    </row>
    <row r="100" spans="1:24" s="38" customFormat="1" x14ac:dyDescent="0.2">
      <c r="A100" s="24" t="s">
        <v>41</v>
      </c>
      <c r="B100" s="22" t="s">
        <v>40</v>
      </c>
      <c r="C100" s="23">
        <v>100021725</v>
      </c>
      <c r="D100" s="22" t="s">
        <v>46</v>
      </c>
      <c r="E100" s="21">
        <v>7790360027009</v>
      </c>
      <c r="F100" s="10">
        <v>6</v>
      </c>
      <c r="G100" s="48">
        <v>4</v>
      </c>
      <c r="I100" s="15">
        <f t="shared" si="30"/>
        <v>15597.020598676132</v>
      </c>
      <c r="J100" s="15">
        <f t="shared" si="31"/>
        <v>12477.616478940907</v>
      </c>
      <c r="K100" s="18"/>
      <c r="L100" s="10">
        <f t="shared" si="32"/>
        <v>8316.1933344047629</v>
      </c>
      <c r="M100" s="10">
        <f t="shared" si="33"/>
        <v>5544.1288896031756</v>
      </c>
      <c r="N100" s="40">
        <v>33264.773337619052</v>
      </c>
      <c r="O100" s="65"/>
      <c r="P100" s="15">
        <f t="shared" si="34"/>
        <v>33264.773337619052</v>
      </c>
      <c r="Q100" s="16"/>
      <c r="R100" s="15">
        <f t="shared" si="35"/>
        <v>33264.773337619052</v>
      </c>
      <c r="S100" s="15">
        <f t="shared" si="36"/>
        <v>8316.1933344047629</v>
      </c>
      <c r="V100" s="12">
        <v>33264.769999999997</v>
      </c>
      <c r="W100" s="11">
        <f t="shared" si="37"/>
        <v>1.0033495057015784E-7</v>
      </c>
      <c r="X100" s="10">
        <f t="shared" si="38"/>
        <v>33264.769999999997</v>
      </c>
    </row>
    <row r="101" spans="1:24" x14ac:dyDescent="0.2">
      <c r="A101" s="24" t="s">
        <v>41</v>
      </c>
      <c r="B101" s="22" t="s">
        <v>40</v>
      </c>
      <c r="C101" s="44">
        <v>100517055</v>
      </c>
      <c r="D101" s="24" t="s">
        <v>45</v>
      </c>
      <c r="E101" s="49">
        <v>7790360971135</v>
      </c>
      <c r="F101" s="15">
        <v>3.12</v>
      </c>
      <c r="G101" s="19">
        <v>12</v>
      </c>
      <c r="I101" s="15">
        <f t="shared" si="30"/>
        <v>5192.0261021772021</v>
      </c>
      <c r="J101" s="15">
        <f t="shared" si="31"/>
        <v>4153.6208817417619</v>
      </c>
      <c r="K101" s="18"/>
      <c r="L101" s="10">
        <f t="shared" si="32"/>
        <v>2768.3423631976548</v>
      </c>
      <c r="M101" s="10">
        <f t="shared" si="33"/>
        <v>10647.470627683288</v>
      </c>
      <c r="N101" s="40">
        <v>33220.108358371857</v>
      </c>
      <c r="O101" s="65"/>
      <c r="P101" s="15">
        <f t="shared" si="34"/>
        <v>33220.108358371857</v>
      </c>
      <c r="Q101" s="16"/>
      <c r="R101" s="15">
        <f t="shared" si="35"/>
        <v>33220.108358371857</v>
      </c>
      <c r="S101" s="15">
        <f t="shared" si="36"/>
        <v>2768.3423631976548</v>
      </c>
      <c r="V101" s="12">
        <v>33220.11</v>
      </c>
      <c r="W101" s="11">
        <f t="shared" si="37"/>
        <v>-4.9416697955884104E-8</v>
      </c>
      <c r="X101" s="15"/>
    </row>
    <row r="102" spans="1:24" x14ac:dyDescent="0.2">
      <c r="A102" s="24" t="s">
        <v>41</v>
      </c>
      <c r="B102" s="22" t="s">
        <v>40</v>
      </c>
      <c r="C102" s="44">
        <v>100517186</v>
      </c>
      <c r="D102" s="24" t="s">
        <v>44</v>
      </c>
      <c r="E102" s="49">
        <v>7790360971395</v>
      </c>
      <c r="F102" s="15">
        <v>8</v>
      </c>
      <c r="G102" s="19">
        <v>8</v>
      </c>
      <c r="I102" s="15">
        <f t="shared" si="30"/>
        <v>19679.048608940418</v>
      </c>
      <c r="J102" s="15">
        <f t="shared" si="31"/>
        <v>15743.238887152336</v>
      </c>
      <c r="K102" s="18"/>
      <c r="L102" s="10">
        <f t="shared" si="32"/>
        <v>10492.694539557675</v>
      </c>
      <c r="M102" s="10">
        <f t="shared" si="33"/>
        <v>10492.694539557675</v>
      </c>
      <c r="N102" s="40">
        <v>83941.5563164614</v>
      </c>
      <c r="O102" s="65"/>
      <c r="P102" s="15">
        <f t="shared" si="34"/>
        <v>83941.5563164614</v>
      </c>
      <c r="Q102" s="16"/>
      <c r="R102" s="15">
        <f t="shared" si="35"/>
        <v>83941.5563164614</v>
      </c>
      <c r="S102" s="15">
        <f t="shared" si="36"/>
        <v>10492.694539557675</v>
      </c>
      <c r="V102" s="12">
        <v>83941.55</v>
      </c>
      <c r="W102" s="11">
        <f t="shared" si="37"/>
        <v>7.5248329345356524E-8</v>
      </c>
      <c r="X102" s="15"/>
    </row>
    <row r="103" spans="1:24" x14ac:dyDescent="0.2">
      <c r="A103" s="24" t="s">
        <v>41</v>
      </c>
      <c r="B103" s="22" t="s">
        <v>40</v>
      </c>
      <c r="C103" s="44">
        <v>100521663</v>
      </c>
      <c r="D103" s="24" t="s">
        <v>43</v>
      </c>
      <c r="E103" s="49">
        <v>7790360982537</v>
      </c>
      <c r="F103" s="15">
        <v>4.8</v>
      </c>
      <c r="G103" s="19">
        <v>12</v>
      </c>
      <c r="I103" s="15">
        <f t="shared" si="30"/>
        <v>7714.7528459203131</v>
      </c>
      <c r="J103" s="15">
        <f t="shared" si="31"/>
        <v>6171.8022767362509</v>
      </c>
      <c r="K103" s="18"/>
      <c r="L103" s="15">
        <f t="shared" si="32"/>
        <v>4113.4379343750006</v>
      </c>
      <c r="M103" s="15">
        <f t="shared" si="33"/>
        <v>10283.594835937502</v>
      </c>
      <c r="N103" s="40">
        <v>49361.255212500007</v>
      </c>
      <c r="O103" s="65"/>
      <c r="P103" s="15">
        <f t="shared" si="34"/>
        <v>49361.255212500007</v>
      </c>
      <c r="Q103" s="16"/>
      <c r="R103" s="15">
        <f t="shared" si="35"/>
        <v>49361.255212500007</v>
      </c>
      <c r="S103" s="15">
        <f t="shared" si="36"/>
        <v>4113.4379343750006</v>
      </c>
      <c r="V103" s="12">
        <v>49361.25</v>
      </c>
      <c r="W103" s="16">
        <f t="shared" si="37"/>
        <v>1.0559902774431862E-7</v>
      </c>
      <c r="X103" s="15">
        <f>+IF(ISERROR(V103*(1-O103)),"",(V103*(1-O103)))</f>
        <v>49361.25</v>
      </c>
    </row>
    <row r="104" spans="1:24" s="38" customFormat="1" x14ac:dyDescent="0.2">
      <c r="A104" s="24" t="s">
        <v>41</v>
      </c>
      <c r="B104" s="22" t="s">
        <v>40</v>
      </c>
      <c r="C104" s="23">
        <v>100021728</v>
      </c>
      <c r="D104" s="22" t="s">
        <v>42</v>
      </c>
      <c r="E104" s="21">
        <v>7790360967558</v>
      </c>
      <c r="F104" s="10">
        <v>3.84</v>
      </c>
      <c r="G104" s="48">
        <v>12</v>
      </c>
      <c r="I104" s="15">
        <f t="shared" si="30"/>
        <v>6526.6001783180154</v>
      </c>
      <c r="J104" s="15">
        <f t="shared" si="31"/>
        <v>5221.2801426544129</v>
      </c>
      <c r="K104" s="47"/>
      <c r="L104" s="10">
        <f t="shared" si="32"/>
        <v>3479.9254483167238</v>
      </c>
      <c r="M104" s="10">
        <f t="shared" si="33"/>
        <v>10874.767025989762</v>
      </c>
      <c r="N104" s="40">
        <v>41759.105379800683</v>
      </c>
      <c r="O104" s="65"/>
      <c r="P104" s="15">
        <f t="shared" si="34"/>
        <v>41759.105379800683</v>
      </c>
      <c r="Q104" s="16"/>
      <c r="R104" s="15">
        <f t="shared" si="35"/>
        <v>41759.105379800683</v>
      </c>
      <c r="S104" s="15">
        <f t="shared" si="36"/>
        <v>3479.9254483167238</v>
      </c>
      <c r="V104" s="12">
        <v>41759.11</v>
      </c>
      <c r="W104" s="11">
        <f t="shared" si="37"/>
        <v>-1.1063931482091505E-7</v>
      </c>
      <c r="X104" s="10">
        <f>+IF(ISERROR(V104*(1-O104)),"",(V104*(1-O104)))</f>
        <v>41759.11</v>
      </c>
    </row>
    <row r="105" spans="1:24" s="38" customFormat="1" x14ac:dyDescent="0.2">
      <c r="A105" s="24" t="s">
        <v>41</v>
      </c>
      <c r="B105" s="22" t="s">
        <v>40</v>
      </c>
      <c r="C105" s="23">
        <v>100517679</v>
      </c>
      <c r="D105" s="22" t="s">
        <v>39</v>
      </c>
      <c r="E105" s="21">
        <v>7790360973498</v>
      </c>
      <c r="F105" s="10">
        <v>7.68</v>
      </c>
      <c r="G105" s="48">
        <v>8</v>
      </c>
      <c r="I105" s="15">
        <f t="shared" si="30"/>
        <v>9834.000857758434</v>
      </c>
      <c r="J105" s="15">
        <f t="shared" si="31"/>
        <v>7867.2006862067474</v>
      </c>
      <c r="K105" s="47"/>
      <c r="L105" s="10">
        <f t="shared" si="32"/>
        <v>5243.4022168799975</v>
      </c>
      <c r="M105" s="10">
        <f t="shared" si="33"/>
        <v>5461.8773092499978</v>
      </c>
      <c r="N105" s="40">
        <v>41947.21773503998</v>
      </c>
      <c r="O105" s="65"/>
      <c r="P105" s="15">
        <f t="shared" si="34"/>
        <v>41947.21773503998</v>
      </c>
      <c r="Q105" s="16"/>
      <c r="R105" s="15">
        <f t="shared" si="35"/>
        <v>41947.21773503998</v>
      </c>
      <c r="S105" s="15">
        <f t="shared" si="36"/>
        <v>5243.4022168799975</v>
      </c>
      <c r="V105" s="12">
        <v>41947.22</v>
      </c>
      <c r="W105" s="11">
        <f t="shared" si="37"/>
        <v>-5.3995473869861144E-8</v>
      </c>
      <c r="X105" s="10">
        <f>+IF(ISERROR(V105*(1-O105)),"",(V105*(1-O105)))</f>
        <v>41947.22</v>
      </c>
    </row>
    <row r="106" spans="1:24" hidden="1" x14ac:dyDescent="0.2">
      <c r="A106" s="37"/>
      <c r="B106" s="36"/>
      <c r="C106" s="35"/>
      <c r="D106" s="27"/>
      <c r="E106" s="35"/>
      <c r="F106" s="27"/>
      <c r="G106" s="34"/>
      <c r="I106" s="32"/>
      <c r="J106" s="33"/>
      <c r="K106" s="47"/>
      <c r="L106" s="32"/>
      <c r="M106" s="27"/>
      <c r="N106" s="40" t="e">
        <v>#VALUE!</v>
      </c>
      <c r="O106" s="30"/>
      <c r="P106" s="15" t="str">
        <f t="shared" si="34"/>
        <v/>
      </c>
      <c r="Q106" s="30"/>
      <c r="R106" s="15" t="str">
        <f t="shared" si="35"/>
        <v/>
      </c>
      <c r="S106" s="25"/>
      <c r="V106" s="27"/>
      <c r="W106" s="45"/>
      <c r="X106" s="25"/>
    </row>
    <row r="107" spans="1:24" hidden="1" x14ac:dyDescent="0.2">
      <c r="A107" s="24" t="s">
        <v>38</v>
      </c>
      <c r="B107" s="24" t="s">
        <v>37</v>
      </c>
      <c r="C107" s="44">
        <v>100022200</v>
      </c>
      <c r="D107" s="24" t="s">
        <v>36</v>
      </c>
      <c r="E107" s="43">
        <v>7790360027085</v>
      </c>
      <c r="F107" s="15">
        <v>3</v>
      </c>
      <c r="G107" s="19">
        <v>10</v>
      </c>
      <c r="I107" s="15">
        <f>+L107*1.55*1.21</f>
        <v>0</v>
      </c>
      <c r="J107" s="15">
        <f>+I107*0.8</f>
        <v>0</v>
      </c>
      <c r="K107" s="47"/>
      <c r="L107" s="15">
        <f>+IF(ISERROR(N107/G107),"",(N107/G107))</f>
        <v>0</v>
      </c>
      <c r="M107" s="15">
        <f>+IF(ISERROR(N107/F107),"",(N107/F107))</f>
        <v>0</v>
      </c>
      <c r="N107" s="40">
        <v>0</v>
      </c>
      <c r="O107" s="65"/>
      <c r="P107" s="15">
        <f t="shared" si="34"/>
        <v>0</v>
      </c>
      <c r="Q107" s="16"/>
      <c r="R107" s="15">
        <f t="shared" si="35"/>
        <v>0</v>
      </c>
      <c r="S107" s="15">
        <f>+IF(ISERROR(R107/G107),"",(R107/G107))</f>
        <v>0</v>
      </c>
      <c r="V107" s="12" t="s">
        <v>31</v>
      </c>
      <c r="W107" s="11" t="str">
        <f>+IF(ISERROR(N107/V107-1),"",(N107/V107-1))</f>
        <v/>
      </c>
      <c r="X107" s="15"/>
    </row>
    <row r="108" spans="1:24" x14ac:dyDescent="0.2">
      <c r="A108" s="37"/>
      <c r="B108" s="36"/>
      <c r="C108" s="35"/>
      <c r="D108" s="27"/>
      <c r="E108" s="35"/>
      <c r="F108" s="27"/>
      <c r="G108" s="34"/>
      <c r="I108" s="32"/>
      <c r="J108" s="33"/>
      <c r="K108" s="18"/>
      <c r="L108" s="32"/>
      <c r="M108" s="27"/>
      <c r="N108" s="30"/>
      <c r="O108" s="30"/>
      <c r="P108" s="27"/>
      <c r="Q108" s="30"/>
      <c r="R108" s="27"/>
      <c r="S108" s="25"/>
      <c r="V108" s="27" t="s">
        <v>31</v>
      </c>
      <c r="W108" s="45"/>
      <c r="X108" s="25" t="str">
        <f>+IF(ISERROR(V108*(1-O108)),"",(V108*(1-O108)))</f>
        <v/>
      </c>
    </row>
    <row r="109" spans="1:24" hidden="1" x14ac:dyDescent="0.2">
      <c r="A109" s="24" t="s">
        <v>34</v>
      </c>
      <c r="B109" s="22" t="s">
        <v>33</v>
      </c>
      <c r="C109" s="44">
        <v>100516219</v>
      </c>
      <c r="D109" s="24" t="s">
        <v>35</v>
      </c>
      <c r="E109" s="49">
        <v>7790360967770</v>
      </c>
      <c r="F109" s="15">
        <v>10</v>
      </c>
      <c r="G109" s="19">
        <v>25</v>
      </c>
      <c r="I109" s="15">
        <f>+L109*1.55*1.21</f>
        <v>0</v>
      </c>
      <c r="J109" s="15">
        <f>+I109*0.8</f>
        <v>0</v>
      </c>
      <c r="K109" s="18"/>
      <c r="L109" s="15">
        <f>+IF(ISERROR(N109/G109),"",(N109/G109))</f>
        <v>0</v>
      </c>
      <c r="M109" s="15">
        <f>+IF(ISERROR(N109/F109),"",(N109/F109))</f>
        <v>0</v>
      </c>
      <c r="N109" s="40">
        <v>0</v>
      </c>
      <c r="O109" s="65"/>
      <c r="P109" s="15">
        <f>+IF(ISERROR(N109/(1-O109)),"",(N109/(1-O109)))</f>
        <v>0</v>
      </c>
      <c r="Q109" s="16"/>
      <c r="R109" s="15">
        <f>+IF(ISERROR(P109/(1-Q109)),"",(P109/(1-Q109)))</f>
        <v>0</v>
      </c>
      <c r="S109" s="15">
        <f>+IF(ISERROR(R109/G109),"",(R109/G109))</f>
        <v>0</v>
      </c>
      <c r="V109" s="12" t="s">
        <v>31</v>
      </c>
      <c r="W109" s="16" t="str">
        <f>+IF(ISERROR(N109/V109-1),"",(N109/V109-1))</f>
        <v/>
      </c>
      <c r="X109" s="15" t="str">
        <f>+IF(ISERROR(V109*(1-O109)),"",(V109*(1-O109)))</f>
        <v/>
      </c>
    </row>
    <row r="110" spans="1:24" hidden="1" x14ac:dyDescent="0.2">
      <c r="A110" s="24" t="s">
        <v>34</v>
      </c>
      <c r="B110" s="22" t="s">
        <v>33</v>
      </c>
      <c r="C110" s="44">
        <v>100516220</v>
      </c>
      <c r="D110" s="24" t="s">
        <v>32</v>
      </c>
      <c r="E110" s="49">
        <v>7790360967787</v>
      </c>
      <c r="F110" s="15">
        <v>12</v>
      </c>
      <c r="G110" s="19">
        <v>6</v>
      </c>
      <c r="I110" s="15">
        <f>+L110*1.55*1.21</f>
        <v>0</v>
      </c>
      <c r="J110" s="15">
        <f>+I110*0.8</f>
        <v>0</v>
      </c>
      <c r="K110" s="18"/>
      <c r="L110" s="15">
        <f>+IF(ISERROR(N110/G110),"",(N110/G110))</f>
        <v>0</v>
      </c>
      <c r="M110" s="15">
        <f>+IF(ISERROR(N110/F110),"",(N110/F110))</f>
        <v>0</v>
      </c>
      <c r="N110" s="40">
        <v>0</v>
      </c>
      <c r="O110" s="65"/>
      <c r="P110" s="15">
        <f>+IF(ISERROR(N110/(1-O110)),"",(N110/(1-O110)))</f>
        <v>0</v>
      </c>
      <c r="Q110" s="16"/>
      <c r="R110" s="15">
        <f>+IF(ISERROR(P110/(1-Q110)),"",(P110/(1-Q110)))</f>
        <v>0</v>
      </c>
      <c r="S110" s="15">
        <f>+IF(ISERROR(R110/G110),"",(R110/G110))</f>
        <v>0</v>
      </c>
      <c r="V110" s="12" t="s">
        <v>31</v>
      </c>
      <c r="W110" s="16" t="str">
        <f>+IF(ISERROR(N110/V110-1),"",(N110/V110-1))</f>
        <v/>
      </c>
      <c r="X110" s="15" t="str">
        <f>+IF(ISERROR(V110*(1-O110)),"",(V110*(1-O110)))</f>
        <v/>
      </c>
    </row>
    <row r="111" spans="1:24" hidden="1" x14ac:dyDescent="0.2">
      <c r="A111" s="37"/>
      <c r="B111" s="36"/>
      <c r="C111" s="35"/>
      <c r="D111" s="27"/>
      <c r="E111" s="35"/>
      <c r="F111" s="27"/>
      <c r="G111" s="34"/>
      <c r="I111" s="32"/>
      <c r="J111" s="33"/>
      <c r="K111" s="18"/>
      <c r="L111" s="32"/>
      <c r="M111" s="27"/>
      <c r="N111" s="40" t="e">
        <v>#VALUE!</v>
      </c>
      <c r="O111" s="30"/>
      <c r="P111" s="27"/>
      <c r="Q111" s="30"/>
      <c r="R111" s="27"/>
      <c r="S111" s="25"/>
      <c r="V111" s="27"/>
      <c r="W111" s="45"/>
      <c r="X111" s="25"/>
    </row>
    <row r="112" spans="1:24" x14ac:dyDescent="0.2">
      <c r="A112" s="24" t="s">
        <v>28</v>
      </c>
      <c r="B112" s="22" t="s">
        <v>28</v>
      </c>
      <c r="C112" s="44">
        <v>100518158</v>
      </c>
      <c r="D112" s="24" t="s">
        <v>30</v>
      </c>
      <c r="E112" s="49">
        <v>7790360974280</v>
      </c>
      <c r="F112" s="15">
        <v>12</v>
      </c>
      <c r="G112" s="19">
        <v>24</v>
      </c>
      <c r="I112" s="15">
        <f>+L112*1.55*1.21</f>
        <v>6265.940625000002</v>
      </c>
      <c r="J112" s="15">
        <f>+I112*0.8</f>
        <v>5012.7525000000023</v>
      </c>
      <c r="K112" s="18"/>
      <c r="L112" s="15">
        <f>+IF(ISERROR(N112/G112),"",(N112/G112))</f>
        <v>3340.9440815782468</v>
      </c>
      <c r="M112" s="15">
        <f>+IF(ISERROR(N112/F112),"",(N112/F112))</f>
        <v>6681.8881631564936</v>
      </c>
      <c r="N112" s="40">
        <v>80182.65795787792</v>
      </c>
      <c r="O112" s="65"/>
      <c r="P112" s="15">
        <f>+IF(ISERROR(N112/(1-O112)),"",(N112/(1-O112)))</f>
        <v>80182.65795787792</v>
      </c>
      <c r="Q112" s="16"/>
      <c r="R112" s="15">
        <f>+IF(ISERROR(P112/(1-Q112)),"",(P112/(1-Q112)))</f>
        <v>80182.65795787792</v>
      </c>
      <c r="S112" s="15">
        <f>+IF(ISERROR(R112/G112),"",(R112/G112))</f>
        <v>3340.9440815782468</v>
      </c>
      <c r="V112" s="12">
        <v>80182.66</v>
      </c>
      <c r="W112" s="16">
        <f>+IF(ISERROR(N112/V112-1),"",(N112/V112-1))</f>
        <v>-2.5468375408621569E-8</v>
      </c>
      <c r="X112" s="15">
        <f>+IF(ISERROR(V112*(1-O112)),"",(V112*(1-O112)))</f>
        <v>80182.66</v>
      </c>
    </row>
    <row r="113" spans="1:24" x14ac:dyDescent="0.2">
      <c r="A113" s="24" t="s">
        <v>28</v>
      </c>
      <c r="B113" s="22" t="s">
        <v>28</v>
      </c>
      <c r="C113" s="44">
        <v>100518160</v>
      </c>
      <c r="D113" s="24" t="s">
        <v>29</v>
      </c>
      <c r="E113" s="49">
        <v>7790360974686</v>
      </c>
      <c r="F113" s="15">
        <v>12</v>
      </c>
      <c r="G113" s="19">
        <v>12</v>
      </c>
      <c r="I113" s="15">
        <f>+L113*1.55*1.21</f>
        <v>12531.881250000004</v>
      </c>
      <c r="J113" s="15">
        <f>+I113*0.8</f>
        <v>10025.505000000005</v>
      </c>
      <c r="K113" s="18"/>
      <c r="L113" s="15">
        <f>+IF(ISERROR(N113/G113),"",(N113/G113))</f>
        <v>6681.8881631564936</v>
      </c>
      <c r="M113" s="15">
        <f>+IF(ISERROR(N113/F113),"",(N113/F113))</f>
        <v>6681.8881631564936</v>
      </c>
      <c r="N113" s="40">
        <v>80182.65795787792</v>
      </c>
      <c r="O113" s="65"/>
      <c r="P113" s="15">
        <f>+IF(ISERROR(N113/(1-O113)),"",(N113/(1-O113)))</f>
        <v>80182.65795787792</v>
      </c>
      <c r="Q113" s="16"/>
      <c r="R113" s="15">
        <f>+IF(ISERROR(P113/(1-Q113)),"",(P113/(1-Q113)))</f>
        <v>80182.65795787792</v>
      </c>
      <c r="S113" s="15">
        <f>+IF(ISERROR(R113/G113),"",(R113/G113))</f>
        <v>6681.8881631564936</v>
      </c>
      <c r="V113" s="12">
        <v>80182.66</v>
      </c>
      <c r="W113" s="16">
        <f>+IF(ISERROR(N113/V113-1),"",(N113/V113-1))</f>
        <v>-2.5468375408621569E-8</v>
      </c>
      <c r="X113" s="15">
        <f>+IF(ISERROR(V113*(1-O113)),"",(V113*(1-O113)))</f>
        <v>80182.66</v>
      </c>
    </row>
    <row r="114" spans="1:24" x14ac:dyDescent="0.2">
      <c r="A114" s="24" t="s">
        <v>28</v>
      </c>
      <c r="B114" s="22" t="s">
        <v>28</v>
      </c>
      <c r="C114" s="44">
        <v>100518463</v>
      </c>
      <c r="D114" s="24" t="s">
        <v>27</v>
      </c>
      <c r="E114" s="49">
        <v>7790360975188</v>
      </c>
      <c r="F114" s="15">
        <v>5</v>
      </c>
      <c r="G114" s="19">
        <v>1</v>
      </c>
      <c r="I114" s="15">
        <f>+L114*1.55*1.21</f>
        <v>73242.063808766034</v>
      </c>
      <c r="J114" s="15">
        <f>+I114*0.8</f>
        <v>58593.651047012827</v>
      </c>
      <c r="K114" s="18"/>
      <c r="L114" s="15">
        <f>+IF(ISERROR(N114/G114),"",(N114/G114))</f>
        <v>39052.020159299405</v>
      </c>
      <c r="M114" s="15">
        <f>+IF(ISERROR(N114/F114),"",(N114/F114))</f>
        <v>7810.4040318598809</v>
      </c>
      <c r="N114" s="40">
        <v>39052.020159299405</v>
      </c>
      <c r="O114" s="65"/>
      <c r="P114" s="15">
        <f>+IF(ISERROR(N114/(1-O114)),"",(N114/(1-O114)))</f>
        <v>39052.020159299405</v>
      </c>
      <c r="Q114" s="16"/>
      <c r="R114" s="15">
        <f>+IF(ISERROR(P114/(1-Q114)),"",(P114/(1-Q114)))</f>
        <v>39052.020159299405</v>
      </c>
      <c r="S114" s="15">
        <f>+IF(ISERROR(R114/G114),"",(R114/G114))</f>
        <v>39052.020159299405</v>
      </c>
      <c r="V114" s="12">
        <v>39052.019999999997</v>
      </c>
      <c r="W114" s="16">
        <f>+IF(ISERROR(N114/V114-1),"",(N114/V114-1))</f>
        <v>4.0791592326172577E-9</v>
      </c>
      <c r="X114" s="15">
        <f>+IF(ISERROR(V114*(1-O114)),"",(V114*(1-O114)))</f>
        <v>39052.019999999997</v>
      </c>
    </row>
    <row r="115" spans="1:24" x14ac:dyDescent="0.2">
      <c r="A115" s="37"/>
      <c r="B115" s="36"/>
      <c r="C115" s="35"/>
      <c r="D115" s="27"/>
      <c r="E115" s="35"/>
      <c r="F115" s="27"/>
      <c r="G115" s="34"/>
      <c r="I115" s="32"/>
      <c r="J115" s="33"/>
      <c r="K115" s="18"/>
      <c r="L115" s="32"/>
      <c r="M115" s="27"/>
      <c r="N115" s="30"/>
      <c r="O115" s="30"/>
      <c r="P115" s="27"/>
      <c r="Q115" s="30"/>
      <c r="R115" s="27"/>
      <c r="S115" s="25"/>
      <c r="V115" s="27"/>
      <c r="W115" s="45"/>
      <c r="X115" s="25"/>
    </row>
    <row r="116" spans="1:24" x14ac:dyDescent="0.2">
      <c r="A116" s="24"/>
      <c r="B116" s="22"/>
      <c r="C116" s="44">
        <v>100518291</v>
      </c>
      <c r="D116" s="24" t="s">
        <v>26</v>
      </c>
      <c r="E116" s="49">
        <v>7790360975195</v>
      </c>
      <c r="F116" s="15">
        <v>5</v>
      </c>
      <c r="G116" s="19">
        <v>10</v>
      </c>
      <c r="I116" s="15">
        <f>+L116*1.55*1.21</f>
        <v>3017.6144495357394</v>
      </c>
      <c r="J116" s="15">
        <f>+I116*0.8</f>
        <v>2414.0915596285918</v>
      </c>
      <c r="K116" s="18"/>
      <c r="L116" s="15">
        <f>+IF(ISERROR(N116/G116),"",(N116/G116))</f>
        <v>1608.9653156682161</v>
      </c>
      <c r="M116" s="15">
        <f>+IF(ISERROR(N116/F116),"",(N116/F116))</f>
        <v>3217.9306313364323</v>
      </c>
      <c r="N116" s="40">
        <v>16089.653156682161</v>
      </c>
      <c r="O116" s="65"/>
      <c r="P116" s="15">
        <f>+IF(ISERROR(N116/(1-O116)),"",(N116/(1-O116)))</f>
        <v>16089.653156682161</v>
      </c>
      <c r="Q116" s="16"/>
      <c r="R116" s="15">
        <f>+IF(ISERROR(P116/(1-Q116)),"",(P116/(1-Q116)))</f>
        <v>16089.653156682161</v>
      </c>
      <c r="S116" s="15">
        <f>+IF(ISERROR(R116/G116),"",(R116/G116))</f>
        <v>1608.9653156682161</v>
      </c>
      <c r="V116" s="12">
        <v>16089.65</v>
      </c>
      <c r="W116" s="16">
        <f>+IF(ISERROR(N116/V116-1),"",(N116/V116-1))</f>
        <v>1.9619333935239069E-7</v>
      </c>
      <c r="X116" s="15">
        <f>+IF(ISERROR(V116*(1-O116)),"",(V116*(1-O116)))</f>
        <v>16089.65</v>
      </c>
    </row>
    <row r="117" spans="1:24" x14ac:dyDescent="0.2">
      <c r="A117" s="24"/>
      <c r="B117" s="22"/>
      <c r="C117" s="44">
        <v>100518292</v>
      </c>
      <c r="D117" s="24" t="s">
        <v>25</v>
      </c>
      <c r="E117" s="49">
        <v>7790360975201</v>
      </c>
      <c r="F117" s="15">
        <v>12</v>
      </c>
      <c r="G117" s="19">
        <v>12</v>
      </c>
      <c r="I117" s="15">
        <f>+L117*1.55*1.21</f>
        <v>5933.7444495257678</v>
      </c>
      <c r="J117" s="15">
        <f>+I117*0.8</f>
        <v>4746.9955596206146</v>
      </c>
      <c r="K117" s="42"/>
      <c r="L117" s="15">
        <f>+IF(ISERROR(N117/G117),"",(N117/G117))</f>
        <v>3163.8200210747896</v>
      </c>
      <c r="M117" s="15">
        <f>+IF(ISERROR(N117/F117),"",(N117/F117))</f>
        <v>3163.8200210747896</v>
      </c>
      <c r="N117" s="40">
        <v>37965.840252897477</v>
      </c>
      <c r="O117" s="65"/>
      <c r="P117" s="15">
        <f>+IF(ISERROR(N117/(1-O117)),"",(N117/(1-O117)))</f>
        <v>37965.840252897477</v>
      </c>
      <c r="Q117" s="16"/>
      <c r="R117" s="15">
        <f>+IF(ISERROR(P117/(1-Q117)),"",(P117/(1-Q117)))</f>
        <v>37965.840252897477</v>
      </c>
      <c r="S117" s="15">
        <f>+IF(ISERROR(R117/G117),"",(R117/G117))</f>
        <v>3163.8200210747896</v>
      </c>
      <c r="V117" s="12">
        <v>37965.839999999997</v>
      </c>
      <c r="W117" s="16">
        <f>+IF(ISERROR(N117/V117-1),"",(N117/V117-1))</f>
        <v>6.661184936973541E-9</v>
      </c>
      <c r="X117" s="15">
        <f>+IF(ISERROR(V117*(1-O117)),"",(V117*(1-O117)))</f>
        <v>37965.839999999997</v>
      </c>
    </row>
    <row r="118" spans="1:24" x14ac:dyDescent="0.2">
      <c r="A118" s="37"/>
      <c r="B118" s="36"/>
      <c r="C118" s="35"/>
      <c r="D118" s="27"/>
      <c r="E118" s="35"/>
      <c r="F118" s="27"/>
      <c r="G118" s="34"/>
      <c r="I118" s="32"/>
      <c r="J118" s="33"/>
      <c r="K118" s="47"/>
      <c r="L118" s="32"/>
      <c r="M118" s="27"/>
      <c r="N118" s="46"/>
      <c r="O118" s="30"/>
      <c r="P118" s="27"/>
      <c r="Q118" s="30"/>
      <c r="R118" s="27"/>
      <c r="S118" s="25"/>
      <c r="V118" s="27"/>
      <c r="W118" s="45"/>
      <c r="X118" s="25"/>
    </row>
    <row r="119" spans="1:24" x14ac:dyDescent="0.2">
      <c r="A119" s="24" t="s">
        <v>23</v>
      </c>
      <c r="B119" s="24" t="s">
        <v>23</v>
      </c>
      <c r="C119" s="44">
        <v>100517915</v>
      </c>
      <c r="D119" s="24" t="s">
        <v>24</v>
      </c>
      <c r="E119" s="43">
        <v>7790360974020</v>
      </c>
      <c r="F119" s="15">
        <v>18</v>
      </c>
      <c r="G119" s="19">
        <v>36</v>
      </c>
      <c r="I119" s="15">
        <f>L119*1.21*1.45*1.08</f>
        <v>8987.9657784060146</v>
      </c>
      <c r="J119" s="15">
        <f>+I119*0.8</f>
        <v>7190.3726227248117</v>
      </c>
      <c r="K119" s="18"/>
      <c r="L119" s="15">
        <f>+IF(ISERROR(N119/G119),"",(N119/G119))</f>
        <v>4743.3402881511111</v>
      </c>
      <c r="M119" s="15">
        <f>+IF(ISERROR(N119/F119),"",(N119/F119))</f>
        <v>9486.6805763022221</v>
      </c>
      <c r="N119" s="40">
        <v>170760.25037344001</v>
      </c>
      <c r="O119" s="65"/>
      <c r="P119" s="15">
        <f>+IF(ISERROR(N119/(1-O119)),"",(N119/(1-O119)))</f>
        <v>170760.25037344001</v>
      </c>
      <c r="Q119" s="16"/>
      <c r="R119" s="15">
        <f>+IF(ISERROR(P119/(1-Q119)),"",(P119/(1-Q119)))</f>
        <v>170760.25037344001</v>
      </c>
      <c r="S119" s="15">
        <f>+IF(ISERROR(R119/G119),"",(R119/G119))</f>
        <v>4743.3402881511111</v>
      </c>
      <c r="V119" s="12">
        <v>164192.54999999999</v>
      </c>
      <c r="W119" s="16">
        <f>+IF(ISERROR(N119/V119-1),"",(N119/V119-1))</f>
        <v>3.9999990093582349E-2</v>
      </c>
      <c r="X119" s="15">
        <f>+IF(ISERROR(V119*(1-O119)),"",(V119*(1-O119)))</f>
        <v>164192.54999999999</v>
      </c>
    </row>
    <row r="120" spans="1:24" x14ac:dyDescent="0.2">
      <c r="A120" s="24" t="s">
        <v>23</v>
      </c>
      <c r="B120" s="24" t="s">
        <v>23</v>
      </c>
      <c r="C120" s="44">
        <v>100517914</v>
      </c>
      <c r="D120" s="24" t="s">
        <v>22</v>
      </c>
      <c r="E120" s="43">
        <v>7790360974037</v>
      </c>
      <c r="F120" s="15">
        <v>20</v>
      </c>
      <c r="G120" s="19">
        <v>20</v>
      </c>
      <c r="I120" s="15">
        <f>+L120*1.55*1.105</f>
        <v>15957.467548586046</v>
      </c>
      <c r="J120" s="15">
        <f>+I120*0.8</f>
        <v>12765.974038868837</v>
      </c>
      <c r="K120" s="18"/>
      <c r="L120" s="15">
        <f>+IF(ISERROR(N120/G120),"",(N120/G120))</f>
        <v>9316.8690985760004</v>
      </c>
      <c r="M120" s="15">
        <f>+IF(ISERROR(N120/F120),"",(N120/F120))</f>
        <v>9316.8690985760004</v>
      </c>
      <c r="N120" s="40">
        <v>186337.38197152002</v>
      </c>
      <c r="O120" s="65"/>
      <c r="P120" s="15">
        <f>+IF(ISERROR(N120/(1-O120)),"",(N120/(1-O120)))</f>
        <v>186337.38197152002</v>
      </c>
      <c r="Q120" s="16"/>
      <c r="R120" s="15">
        <f>+IF(ISERROR(P120/(1-Q120)),"",(P120/(1-Q120)))</f>
        <v>186337.38197152002</v>
      </c>
      <c r="S120" s="15">
        <f>+IF(ISERROR(R120/G120),"",(R120/G120))</f>
        <v>9316.8690985760004</v>
      </c>
      <c r="V120" s="12">
        <v>179170.56</v>
      </c>
      <c r="W120" s="16">
        <f>+IF(ISERROR(N120/V120-1),"",(N120/V120-1))</f>
        <v>3.9999997608535898E-2</v>
      </c>
      <c r="X120" s="15">
        <f>+IF(ISERROR(V120*(1-O120)),"",(V120*(1-O120)))</f>
        <v>179170.56</v>
      </c>
    </row>
    <row r="121" spans="1:24" x14ac:dyDescent="0.2">
      <c r="A121" s="37"/>
      <c r="B121" s="36"/>
      <c r="C121" s="35"/>
      <c r="D121" s="27"/>
      <c r="E121" s="35"/>
      <c r="F121" s="27"/>
      <c r="G121" s="34"/>
      <c r="I121" s="32"/>
      <c r="J121" s="33"/>
      <c r="K121" s="42"/>
      <c r="L121" s="32"/>
      <c r="M121" s="27"/>
      <c r="N121" s="31"/>
      <c r="O121" s="30"/>
      <c r="P121" s="27"/>
      <c r="Q121" s="30"/>
      <c r="R121" s="27"/>
      <c r="S121" s="25"/>
      <c r="T121" s="41"/>
      <c r="U121" s="28"/>
      <c r="V121" s="27"/>
      <c r="W121" s="26"/>
      <c r="X121" s="25"/>
    </row>
    <row r="122" spans="1:24" x14ac:dyDescent="0.2">
      <c r="A122" s="24"/>
      <c r="B122" s="22"/>
      <c r="C122" s="23">
        <v>100010689</v>
      </c>
      <c r="D122" s="22" t="s">
        <v>21</v>
      </c>
      <c r="E122" s="21"/>
      <c r="F122" s="20">
        <v>22</v>
      </c>
      <c r="G122" s="19">
        <v>1</v>
      </c>
      <c r="H122" s="38"/>
      <c r="I122" s="15">
        <f t="shared" ref="I122:I127" si="39">+L122*1.33333333333333*1.105</f>
        <v>25801.59214285708</v>
      </c>
      <c r="J122" s="15">
        <f t="shared" ref="J122:J127" si="40">+I122*0.9</f>
        <v>23221.432928571372</v>
      </c>
      <c r="K122" s="18"/>
      <c r="L122" s="15">
        <f t="shared" ref="L122:L127" si="41">+IF(ISERROR(N122/G122),"",(N122/G122))</f>
        <v>17512.392857142859</v>
      </c>
      <c r="M122" s="15">
        <f t="shared" ref="M122:M127" si="42">+IF(ISERROR(N122/G122),"",(N122/G122))</f>
        <v>17512.392857142859</v>
      </c>
      <c r="N122" s="17">
        <v>17512.392857142859</v>
      </c>
      <c r="O122" s="16"/>
      <c r="P122" s="15">
        <f t="shared" ref="P122:P127" si="43">+IF(ISERROR(N122/(1-O122)),"",(N122/(1-O122)))</f>
        <v>17512.392857142859</v>
      </c>
      <c r="Q122" s="16"/>
      <c r="R122" s="15">
        <f t="shared" ref="R122:R127" si="44">+IF(ISERROR(P122/(1-Q122)),"",(P122/(1-Q122)))</f>
        <v>17512.392857142859</v>
      </c>
      <c r="S122" s="15">
        <f t="shared" ref="S122:S127" si="45">+IF(ISERROR(R122/G122),"",(R122/G122))</f>
        <v>17512.392857142859</v>
      </c>
      <c r="T122" s="39"/>
      <c r="U122" s="28"/>
      <c r="V122" s="12">
        <v>17512.39</v>
      </c>
      <c r="W122" s="11">
        <f t="shared" ref="W122:W127" si="46">+IF(ISERROR(P122/V122-1),"",(P122/V122-1))</f>
        <v>1.6314979611742331E-7</v>
      </c>
      <c r="X122" s="10">
        <f t="shared" ref="X122:X127" si="47">+IF(ISERROR(V122*(1-O122)),"",(V122*(1-O122)))</f>
        <v>17512.39</v>
      </c>
    </row>
    <row r="123" spans="1:24" x14ac:dyDescent="0.2">
      <c r="A123" s="24"/>
      <c r="B123" s="22"/>
      <c r="C123" s="23">
        <v>100518335</v>
      </c>
      <c r="D123" s="22" t="s">
        <v>20</v>
      </c>
      <c r="E123" s="21"/>
      <c r="F123" s="20">
        <v>22.5</v>
      </c>
      <c r="G123" s="19">
        <v>1</v>
      </c>
      <c r="H123" s="38"/>
      <c r="I123" s="15">
        <f t="shared" si="39"/>
        <v>16343.470928571385</v>
      </c>
      <c r="J123" s="15">
        <f t="shared" si="40"/>
        <v>14709.123835714247</v>
      </c>
      <c r="K123" s="18"/>
      <c r="L123" s="15">
        <f t="shared" si="41"/>
        <v>11092.85357142857</v>
      </c>
      <c r="M123" s="15">
        <f t="shared" si="42"/>
        <v>11092.85357142857</v>
      </c>
      <c r="N123" s="17">
        <v>11092.85357142857</v>
      </c>
      <c r="O123" s="16"/>
      <c r="P123" s="15">
        <f t="shared" si="43"/>
        <v>11092.85357142857</v>
      </c>
      <c r="Q123" s="16"/>
      <c r="R123" s="15">
        <f t="shared" si="44"/>
        <v>11092.85357142857</v>
      </c>
      <c r="S123" s="15">
        <f t="shared" si="45"/>
        <v>11092.85357142857</v>
      </c>
      <c r="T123" s="39"/>
      <c r="U123" s="28"/>
      <c r="V123" s="12">
        <v>11092.85</v>
      </c>
      <c r="W123" s="11">
        <f t="shared" si="46"/>
        <v>3.2195770871545903E-7</v>
      </c>
      <c r="X123" s="10">
        <f t="shared" si="47"/>
        <v>11092.85</v>
      </c>
    </row>
    <row r="124" spans="1:24" x14ac:dyDescent="0.2">
      <c r="A124" s="24"/>
      <c r="B124" s="22"/>
      <c r="C124" s="23">
        <v>100518332</v>
      </c>
      <c r="D124" s="22" t="s">
        <v>19</v>
      </c>
      <c r="E124" s="21"/>
      <c r="F124" s="20">
        <v>21.5</v>
      </c>
      <c r="G124" s="19">
        <v>1</v>
      </c>
      <c r="H124" s="38"/>
      <c r="I124" s="15">
        <f t="shared" si="39"/>
        <v>17588.300785714244</v>
      </c>
      <c r="J124" s="15">
        <f t="shared" si="40"/>
        <v>15829.47070714282</v>
      </c>
      <c r="K124" s="18"/>
      <c r="L124" s="15">
        <f t="shared" si="41"/>
        <v>11937.760714285716</v>
      </c>
      <c r="M124" s="15">
        <f t="shared" si="42"/>
        <v>11937.760714285716</v>
      </c>
      <c r="N124" s="17">
        <v>11937.760714285716</v>
      </c>
      <c r="O124" s="16"/>
      <c r="P124" s="15">
        <f t="shared" si="43"/>
        <v>11937.760714285716</v>
      </c>
      <c r="Q124" s="16"/>
      <c r="R124" s="15">
        <f t="shared" si="44"/>
        <v>11937.760714285716</v>
      </c>
      <c r="S124" s="15">
        <f t="shared" si="45"/>
        <v>11937.760714285716</v>
      </c>
      <c r="T124" s="39"/>
      <c r="U124" s="28"/>
      <c r="V124" s="12">
        <v>11937.76</v>
      </c>
      <c r="W124" s="11">
        <f t="shared" si="46"/>
        <v>5.9834149412907323E-8</v>
      </c>
      <c r="X124" s="10">
        <f t="shared" si="47"/>
        <v>11937.76</v>
      </c>
    </row>
    <row r="125" spans="1:24" x14ac:dyDescent="0.2">
      <c r="A125" s="24"/>
      <c r="B125" s="22"/>
      <c r="C125" s="23">
        <v>100518334</v>
      </c>
      <c r="D125" s="22" t="s">
        <v>18</v>
      </c>
      <c r="E125" s="21"/>
      <c r="F125" s="20">
        <v>22.5</v>
      </c>
      <c r="G125" s="19">
        <v>1</v>
      </c>
      <c r="H125" s="38"/>
      <c r="I125" s="15">
        <f t="shared" si="39"/>
        <v>14476.226142857106</v>
      </c>
      <c r="J125" s="15">
        <f t="shared" si="40"/>
        <v>13028.603528571395</v>
      </c>
      <c r="K125" s="18"/>
      <c r="L125" s="15">
        <f t="shared" si="41"/>
        <v>9825.4928571428572</v>
      </c>
      <c r="M125" s="15">
        <f t="shared" si="42"/>
        <v>9825.4928571428572</v>
      </c>
      <c r="N125" s="17">
        <v>9825.4928571428572</v>
      </c>
      <c r="O125" s="16"/>
      <c r="P125" s="15">
        <f t="shared" si="43"/>
        <v>9825.4928571428572</v>
      </c>
      <c r="Q125" s="16"/>
      <c r="R125" s="15">
        <f t="shared" si="44"/>
        <v>9825.4928571428572</v>
      </c>
      <c r="S125" s="15">
        <f t="shared" si="45"/>
        <v>9825.4928571428572</v>
      </c>
      <c r="T125" s="39"/>
      <c r="U125" s="28"/>
      <c r="V125" s="12">
        <v>9825.49</v>
      </c>
      <c r="W125" s="11">
        <f t="shared" si="46"/>
        <v>2.9078884189459586E-7</v>
      </c>
      <c r="X125" s="10">
        <f t="shared" si="47"/>
        <v>9825.49</v>
      </c>
    </row>
    <row r="126" spans="1:24" x14ac:dyDescent="0.2">
      <c r="A126" s="24"/>
      <c r="B126" s="22"/>
      <c r="C126" s="23">
        <v>100518227</v>
      </c>
      <c r="D126" s="22" t="s">
        <v>17</v>
      </c>
      <c r="E126" s="21"/>
      <c r="F126" s="20">
        <v>22.5</v>
      </c>
      <c r="G126" s="19">
        <v>1</v>
      </c>
      <c r="H126" s="38"/>
      <c r="I126" s="15">
        <f t="shared" si="39"/>
        <v>14476.226142857106</v>
      </c>
      <c r="J126" s="15">
        <f t="shared" si="40"/>
        <v>13028.603528571395</v>
      </c>
      <c r="K126" s="18"/>
      <c r="L126" s="15">
        <f t="shared" si="41"/>
        <v>9825.4928571428572</v>
      </c>
      <c r="M126" s="15">
        <f t="shared" si="42"/>
        <v>9825.4928571428572</v>
      </c>
      <c r="N126" s="17">
        <v>9825.4928571428572</v>
      </c>
      <c r="O126" s="16"/>
      <c r="P126" s="15">
        <f t="shared" si="43"/>
        <v>9825.4928571428572</v>
      </c>
      <c r="Q126" s="16"/>
      <c r="R126" s="15">
        <f t="shared" si="44"/>
        <v>9825.4928571428572</v>
      </c>
      <c r="S126" s="15">
        <f t="shared" si="45"/>
        <v>9825.4928571428572</v>
      </c>
      <c r="T126" s="39"/>
      <c r="U126" s="28"/>
      <c r="V126" s="12">
        <v>9825.49</v>
      </c>
      <c r="W126" s="11">
        <f t="shared" si="46"/>
        <v>2.9078884189459586E-7</v>
      </c>
      <c r="X126" s="10">
        <f t="shared" si="47"/>
        <v>9825.49</v>
      </c>
    </row>
    <row r="127" spans="1:24" x14ac:dyDescent="0.2">
      <c r="A127" s="24"/>
      <c r="B127" s="22"/>
      <c r="C127" s="23">
        <v>100027726</v>
      </c>
      <c r="D127" s="22" t="s">
        <v>176</v>
      </c>
      <c r="E127" s="21"/>
      <c r="F127" s="20">
        <v>22.5</v>
      </c>
      <c r="G127" s="19">
        <v>1</v>
      </c>
      <c r="H127" s="38"/>
      <c r="I127" s="15">
        <f t="shared" si="39"/>
        <v>0</v>
      </c>
      <c r="J127" s="15">
        <f t="shared" si="40"/>
        <v>0</v>
      </c>
      <c r="K127" s="18"/>
      <c r="L127" s="15">
        <f t="shared" si="41"/>
        <v>0</v>
      </c>
      <c r="M127" s="15">
        <f t="shared" si="42"/>
        <v>0</v>
      </c>
      <c r="N127" s="17"/>
      <c r="O127" s="16"/>
      <c r="P127" s="15">
        <f t="shared" si="43"/>
        <v>0</v>
      </c>
      <c r="Q127" s="16"/>
      <c r="R127" s="15">
        <f t="shared" si="44"/>
        <v>0</v>
      </c>
      <c r="S127" s="15">
        <f t="shared" si="45"/>
        <v>0</v>
      </c>
      <c r="T127" s="39"/>
      <c r="U127" s="28"/>
      <c r="V127" s="12" t="s">
        <v>31</v>
      </c>
      <c r="W127" s="11" t="str">
        <f t="shared" si="46"/>
        <v/>
      </c>
      <c r="X127" s="10" t="str">
        <f t="shared" si="47"/>
        <v/>
      </c>
    </row>
    <row r="128" spans="1:24" x14ac:dyDescent="0.2">
      <c r="A128" s="37"/>
      <c r="B128" s="36"/>
      <c r="C128" s="35"/>
      <c r="D128" s="27"/>
      <c r="E128" s="35"/>
      <c r="F128" s="27"/>
      <c r="G128" s="34"/>
      <c r="I128" s="32"/>
      <c r="J128" s="33"/>
      <c r="K128" s="42"/>
      <c r="L128" s="32"/>
      <c r="M128" s="27"/>
      <c r="N128" s="31"/>
      <c r="O128" s="30"/>
      <c r="P128" s="27"/>
      <c r="Q128" s="30"/>
      <c r="R128" s="27"/>
      <c r="S128" s="25"/>
      <c r="T128" s="41"/>
      <c r="U128" s="28"/>
      <c r="V128" s="27"/>
      <c r="W128" s="26"/>
      <c r="X128" s="25"/>
    </row>
    <row r="129" spans="1:24" x14ac:dyDescent="0.2">
      <c r="A129" s="24" t="s">
        <v>15</v>
      </c>
      <c r="B129" s="22" t="s">
        <v>14</v>
      </c>
      <c r="C129" s="23">
        <v>100520837</v>
      </c>
      <c r="D129" s="22" t="s">
        <v>16</v>
      </c>
      <c r="E129" s="21">
        <v>7790360980625</v>
      </c>
      <c r="F129" s="20">
        <v>4.8</v>
      </c>
      <c r="G129" s="19">
        <v>12</v>
      </c>
      <c r="H129" s="38"/>
      <c r="I129" s="15">
        <f>+L129*1.55*1.21</f>
        <v>5947.6308412499993</v>
      </c>
      <c r="J129" s="15">
        <f>+I129*0.8</f>
        <v>4758.1046729999998</v>
      </c>
      <c r="K129" s="18"/>
      <c r="L129" s="15">
        <f>+IF(ISERROR(N129/G129),"",(N129/G129))</f>
        <v>3171.2241222340708</v>
      </c>
      <c r="M129" s="15">
        <f>+IF(ISERROR(N129/F129),"",(N129/F129))</f>
        <v>7928.060305585177</v>
      </c>
      <c r="N129" s="40">
        <v>38054.68946680885</v>
      </c>
      <c r="O129" s="16"/>
      <c r="P129" s="15">
        <f>+IF(ISERROR(N129/(1-O129)),"",(N129/(1-O129)))</f>
        <v>38054.68946680885</v>
      </c>
      <c r="Q129" s="16"/>
      <c r="R129" s="15">
        <f>+IF(ISERROR(P129/(1-Q129)),"",(P129/(1-Q129)))</f>
        <v>38054.68946680885</v>
      </c>
      <c r="S129" s="15">
        <f>+IF(ISERROR(R129/G129),"",(R129/G129))</f>
        <v>3171.2241222340708</v>
      </c>
      <c r="T129" s="39"/>
      <c r="U129" s="28"/>
      <c r="V129" s="12">
        <v>38054.69</v>
      </c>
      <c r="W129" s="11">
        <f>+IF(ISERROR(N129/V129-1),"",(N129/V129-1))</f>
        <v>-1.4011181104223169E-8</v>
      </c>
      <c r="X129" s="10">
        <f>+IF(ISERROR(V129*(1-O129)),"",(V129*(1-O129)))</f>
        <v>38054.69</v>
      </c>
    </row>
    <row r="130" spans="1:24" x14ac:dyDescent="0.2">
      <c r="A130" s="24" t="s">
        <v>15</v>
      </c>
      <c r="B130" s="22" t="s">
        <v>14</v>
      </c>
      <c r="C130" s="23">
        <v>100522395</v>
      </c>
      <c r="D130" s="22" t="s">
        <v>13</v>
      </c>
      <c r="E130" s="21">
        <v>7790360985101</v>
      </c>
      <c r="F130" s="20">
        <v>4.8</v>
      </c>
      <c r="G130" s="19">
        <v>12</v>
      </c>
      <c r="H130" s="38"/>
      <c r="I130" s="15">
        <f>+L130*1.55*1.21</f>
        <v>6066.5834580749997</v>
      </c>
      <c r="J130" s="15">
        <f>+I130*0.8</f>
        <v>4853.2667664600003</v>
      </c>
      <c r="K130" s="18"/>
      <c r="L130" s="15">
        <f>+IF(ISERROR(N130/G130),"",(N130/G130))</f>
        <v>3234.6486046787522</v>
      </c>
      <c r="M130" s="15">
        <f>+IF(ISERROR(N130/F130),"",(N130/F130))</f>
        <v>8086.6215116968806</v>
      </c>
      <c r="N130" s="17">
        <f>+N129*1.02</f>
        <v>38815.783256145027</v>
      </c>
      <c r="O130" s="16"/>
      <c r="P130" s="15">
        <f>+IF(ISERROR(N130/(1-O130)),"",(N130/(1-O130)))</f>
        <v>38815.783256145027</v>
      </c>
      <c r="Q130" s="16"/>
      <c r="R130" s="15">
        <f>+IF(ISERROR(P130/(1-Q130)),"",(P130/(1-Q130)))</f>
        <v>38815.783256145027</v>
      </c>
      <c r="S130" s="15">
        <f>+IF(ISERROR(R130/G130),"",(R130/G130))</f>
        <v>3234.6486046787522</v>
      </c>
      <c r="V130" s="12">
        <v>38815.79</v>
      </c>
      <c r="W130" s="11">
        <f>+IF(ISERROR(N130/V130-1),"",(N130/V130-1))</f>
        <v>-1.7373999017245012E-7</v>
      </c>
      <c r="X130" s="10">
        <f>+IF(ISERROR(V130*(1-O130)),"",(V130*(1-O130)))</f>
        <v>38815.79</v>
      </c>
    </row>
    <row r="131" spans="1:24" x14ac:dyDescent="0.2">
      <c r="A131" s="37"/>
      <c r="B131" s="36"/>
      <c r="C131" s="35"/>
      <c r="D131" s="27"/>
      <c r="E131" s="35"/>
      <c r="F131" s="27"/>
      <c r="G131" s="34"/>
      <c r="I131" s="32"/>
      <c r="J131" s="33"/>
      <c r="K131" s="42"/>
      <c r="L131" s="32"/>
      <c r="M131" s="27"/>
      <c r="N131" s="31"/>
      <c r="O131" s="30"/>
      <c r="P131" s="27"/>
      <c r="Q131" s="30"/>
      <c r="R131" s="27"/>
      <c r="S131" s="25"/>
      <c r="T131" s="41"/>
      <c r="U131" s="28"/>
      <c r="V131" s="27"/>
      <c r="W131" s="26"/>
      <c r="X131" s="25"/>
    </row>
    <row r="132" spans="1:24" x14ac:dyDescent="0.2">
      <c r="A132" s="24"/>
      <c r="B132" s="22"/>
      <c r="C132" s="23">
        <v>100520902</v>
      </c>
      <c r="D132" s="22" t="s">
        <v>12</v>
      </c>
      <c r="E132" s="21">
        <v>7790360981042</v>
      </c>
      <c r="F132" s="20">
        <v>9.8000000000000007</v>
      </c>
      <c r="G132" s="19">
        <v>14</v>
      </c>
      <c r="H132" s="38"/>
      <c r="I132" s="15">
        <f>+L132*1.55*1.21</f>
        <v>4611.6799460076654</v>
      </c>
      <c r="J132" s="15">
        <f>+I132*0.8</f>
        <v>3689.3439568061326</v>
      </c>
      <c r="K132" s="18"/>
      <c r="L132" s="15">
        <f>+IF(ISERROR(N132/G132),"",(N132/G132))</f>
        <v>2458.9069293562598</v>
      </c>
      <c r="M132" s="15">
        <f>+IF(ISERROR(N132/F132),"",(N132/F132))</f>
        <v>3512.7241847946561</v>
      </c>
      <c r="N132" s="40">
        <v>34424.697010987635</v>
      </c>
      <c r="O132" s="16"/>
      <c r="P132" s="15">
        <f>+IF(ISERROR(N132/(1-O132)),"",(N132/(1-O132)))</f>
        <v>34424.697010987635</v>
      </c>
      <c r="Q132" s="16"/>
      <c r="R132" s="15">
        <f>+IF(ISERROR(P132/(1-Q132)),"",(P132/(1-Q132)))</f>
        <v>34424.697010987635</v>
      </c>
      <c r="S132" s="15">
        <f>+IF(ISERROR(R132/G132),"",(R132/G132))</f>
        <v>2458.9069293562598</v>
      </c>
      <c r="T132" s="39"/>
      <c r="U132" s="28"/>
      <c r="V132" s="12">
        <v>34424.699999999997</v>
      </c>
      <c r="W132" s="11">
        <f>+IF(ISERROR(N132/V132-1),"",(N132/V132-1))</f>
        <v>-8.6827550038748313E-8</v>
      </c>
      <c r="X132" s="10">
        <f>+IF(ISERROR(V132*(1-O132)),"",(V132*(1-O132)))</f>
        <v>34424.699999999997</v>
      </c>
    </row>
    <row r="133" spans="1:24" x14ac:dyDescent="0.2">
      <c r="A133" s="37"/>
      <c r="B133" s="36"/>
      <c r="C133" s="35"/>
      <c r="D133" s="27"/>
      <c r="E133" s="35"/>
      <c r="F133" s="27"/>
      <c r="G133" s="34"/>
      <c r="I133" s="32"/>
      <c r="J133" s="33"/>
      <c r="K133" s="42"/>
      <c r="L133" s="32"/>
      <c r="M133" s="27"/>
      <c r="N133" s="31"/>
      <c r="O133" s="30"/>
      <c r="P133" s="27"/>
      <c r="Q133" s="30"/>
      <c r="R133" s="27"/>
      <c r="S133" s="25"/>
      <c r="T133" s="29"/>
      <c r="U133" s="28"/>
      <c r="V133" s="27"/>
      <c r="W133" s="26"/>
      <c r="X133" s="25"/>
    </row>
    <row r="134" spans="1:24" x14ac:dyDescent="0.2">
      <c r="A134" s="24" t="s">
        <v>7</v>
      </c>
      <c r="B134" s="24" t="s">
        <v>10</v>
      </c>
      <c r="C134" s="23">
        <v>100521457</v>
      </c>
      <c r="D134" s="22" t="s">
        <v>11</v>
      </c>
      <c r="E134" s="21">
        <v>7790360982254</v>
      </c>
      <c r="F134" s="20">
        <v>4.8</v>
      </c>
      <c r="G134" s="19">
        <v>16</v>
      </c>
      <c r="H134" s="38"/>
      <c r="I134" s="15">
        <f>+L134*1.55*1.21</f>
        <v>4505.9702645048446</v>
      </c>
      <c r="J134" s="15">
        <f>+I134*0.8</f>
        <v>3604.7762116038757</v>
      </c>
      <c r="K134" s="18"/>
      <c r="L134" s="15">
        <f>+IF(ISERROR(N134/G134),"",(N134/G134))</f>
        <v>2402.5434628125004</v>
      </c>
      <c r="M134" s="15">
        <f>+IF(ISERROR(N134/F134),"",(N134/F134))</f>
        <v>8008.4782093750018</v>
      </c>
      <c r="N134" s="17">
        <v>38440.695405000006</v>
      </c>
      <c r="O134" s="16"/>
      <c r="P134" s="15">
        <f>+IF(ISERROR(N134/(1-O134)),"",(N134/(1-O134)))</f>
        <v>38440.695405000006</v>
      </c>
      <c r="Q134" s="16"/>
      <c r="R134" s="15">
        <f>+IF(ISERROR(P134/(1-Q134)),"",(P134/(1-Q134)))</f>
        <v>38440.695405000006</v>
      </c>
      <c r="S134" s="15">
        <f>+IF(ISERROR(R134/G134),"",(R134/G134))</f>
        <v>2402.5434628125004</v>
      </c>
      <c r="T134" s="14"/>
      <c r="U134" s="13"/>
      <c r="V134" s="12">
        <v>38440.699999999997</v>
      </c>
      <c r="W134" s="11">
        <f>+IF(ISERROR(N134/V134-1),"",(N134/V134-1))</f>
        <v>-1.1953476375392569E-7</v>
      </c>
      <c r="X134" s="10">
        <f>+IF(ISERROR(V134*(1-O134)),"",(V134*(1-O134)))</f>
        <v>38440.699999999997</v>
      </c>
    </row>
    <row r="135" spans="1:24" x14ac:dyDescent="0.2">
      <c r="A135" s="24" t="s">
        <v>7</v>
      </c>
      <c r="B135" s="24" t="s">
        <v>10</v>
      </c>
      <c r="C135" s="23">
        <v>100521455</v>
      </c>
      <c r="D135" s="22" t="s">
        <v>9</v>
      </c>
      <c r="E135" s="21">
        <v>7790360982247</v>
      </c>
      <c r="F135" s="20">
        <v>4.8</v>
      </c>
      <c r="G135" s="19">
        <v>16</v>
      </c>
      <c r="H135" s="38"/>
      <c r="I135" s="15">
        <f>+L135*1.55*1.21</f>
        <v>4505.9702645048446</v>
      </c>
      <c r="J135" s="15">
        <f>+I135*0.8</f>
        <v>3604.7762116038757</v>
      </c>
      <c r="K135" s="18"/>
      <c r="L135" s="15">
        <f>+IF(ISERROR(N135/G135),"",(N135/G135))</f>
        <v>2402.5434628125004</v>
      </c>
      <c r="M135" s="15">
        <f>+IF(ISERROR(N135/F135),"",(N135/F135))</f>
        <v>8008.4782093750018</v>
      </c>
      <c r="N135" s="17">
        <v>38440.695405000006</v>
      </c>
      <c r="O135" s="16"/>
      <c r="P135" s="15">
        <f>+IF(ISERROR(N135/(1-O135)),"",(N135/(1-O135)))</f>
        <v>38440.695405000006</v>
      </c>
      <c r="Q135" s="16"/>
      <c r="R135" s="15">
        <f>+IF(ISERROR(P135/(1-Q135)),"",(P135/(1-Q135)))</f>
        <v>38440.695405000006</v>
      </c>
      <c r="S135" s="15">
        <f>+IF(ISERROR(R135/G135),"",(R135/G135))</f>
        <v>2402.5434628125004</v>
      </c>
      <c r="T135" s="14"/>
      <c r="U135" s="13"/>
      <c r="V135" s="12">
        <v>38440.699999999997</v>
      </c>
      <c r="W135" s="11">
        <f>+IF(ISERROR(N135/V135-1),"",(N135/V135-1))</f>
        <v>-1.1953476375392569E-7</v>
      </c>
      <c r="X135" s="10">
        <f>+IF(ISERROR(V135*(1-O135)),"",(V135*(1-O135)))</f>
        <v>38440.699999999997</v>
      </c>
    </row>
    <row r="136" spans="1:24" x14ac:dyDescent="0.2">
      <c r="A136" s="24" t="s">
        <v>7</v>
      </c>
      <c r="B136" s="24" t="s">
        <v>6</v>
      </c>
      <c r="C136" s="23">
        <v>100521453</v>
      </c>
      <c r="D136" s="22" t="s">
        <v>8</v>
      </c>
      <c r="E136" s="21">
        <v>7790360982223</v>
      </c>
      <c r="F136" s="20">
        <v>5.4</v>
      </c>
      <c r="G136" s="19">
        <v>18</v>
      </c>
      <c r="H136" s="38"/>
      <c r="I136" s="15">
        <f>+L136*1.55*1.21</f>
        <v>3943.7103210312512</v>
      </c>
      <c r="J136" s="15">
        <f>+I136*0.8</f>
        <v>3154.9682568250009</v>
      </c>
      <c r="K136" s="18"/>
      <c r="L136" s="15">
        <f>+IF(ISERROR(N136/G136),"",(N136/G136))</f>
        <v>2102.7514375000005</v>
      </c>
      <c r="M136" s="15">
        <f>+IF(ISERROR(N136/F136),"",(N136/F136))</f>
        <v>7009.1714583333342</v>
      </c>
      <c r="N136" s="17">
        <v>37849.525875000007</v>
      </c>
      <c r="O136" s="16"/>
      <c r="P136" s="15">
        <f>+IF(ISERROR(N136/(1-O136)),"",(N136/(1-O136)))</f>
        <v>37849.525875000007</v>
      </c>
      <c r="Q136" s="16"/>
      <c r="R136" s="15">
        <f>+IF(ISERROR(P136/(1-Q136)),"",(P136/(1-Q136)))</f>
        <v>37849.525875000007</v>
      </c>
      <c r="S136" s="15">
        <f>+IF(ISERROR(R136/G136),"",(R136/G136))</f>
        <v>2102.7514375000005</v>
      </c>
      <c r="T136" s="14"/>
      <c r="U136" s="13"/>
      <c r="V136" s="12">
        <v>37849.53</v>
      </c>
      <c r="W136" s="11">
        <f>+IF(ISERROR(N136/V136-1),"",(N136/V136-1))</f>
        <v>-1.0898418001392685E-7</v>
      </c>
      <c r="X136" s="10">
        <f>+IF(ISERROR(V136*(1-O136)),"",(V136*(1-O136)))</f>
        <v>37849.53</v>
      </c>
    </row>
    <row r="137" spans="1:24" x14ac:dyDescent="0.2">
      <c r="A137" s="24" t="s">
        <v>7</v>
      </c>
      <c r="B137" s="24" t="s">
        <v>6</v>
      </c>
      <c r="C137" s="23">
        <v>100521454</v>
      </c>
      <c r="D137" s="22" t="s">
        <v>5</v>
      </c>
      <c r="E137" s="21">
        <v>7790360982230</v>
      </c>
      <c r="F137" s="20">
        <v>5.3999999999999995</v>
      </c>
      <c r="G137" s="19">
        <v>18</v>
      </c>
      <c r="H137" s="38"/>
      <c r="I137" s="15">
        <f>+L137*1.55*1.21</f>
        <v>3943.7103210312512</v>
      </c>
      <c r="J137" s="15">
        <f>+I137*0.8</f>
        <v>3154.9682568250009</v>
      </c>
      <c r="K137" s="18"/>
      <c r="L137" s="15">
        <f>+IF(ISERROR(N137/G137),"",(N137/G137))</f>
        <v>2102.7514375000005</v>
      </c>
      <c r="M137" s="15">
        <f>+IF(ISERROR(N137/F137),"",(N137/F137))</f>
        <v>7009.1714583333351</v>
      </c>
      <c r="N137" s="17">
        <v>37849.525875000007</v>
      </c>
      <c r="O137" s="16"/>
      <c r="P137" s="15">
        <f>+IF(ISERROR(N137/(1-O137)),"",(N137/(1-O137)))</f>
        <v>37849.525875000007</v>
      </c>
      <c r="Q137" s="16"/>
      <c r="R137" s="15">
        <f>+IF(ISERROR(P137/(1-Q137)),"",(P137/(1-Q137)))</f>
        <v>37849.525875000007</v>
      </c>
      <c r="S137" s="15">
        <f>+IF(ISERROR(R137/G137),"",(R137/G137))</f>
        <v>2102.7514375000005</v>
      </c>
      <c r="T137" s="14"/>
      <c r="U137" s="13"/>
      <c r="V137" s="12">
        <v>37849.53</v>
      </c>
      <c r="W137" s="11">
        <f>+IF(ISERROR(N137/V137-1),"",(N137/V137-1))</f>
        <v>-1.0898418001392685E-7</v>
      </c>
      <c r="X137" s="10">
        <f>+IF(ISERROR(V137*(1-O137)),"",(V137*(1-O137)))</f>
        <v>37849.53</v>
      </c>
    </row>
    <row r="138" spans="1:24" x14ac:dyDescent="0.2">
      <c r="A138" s="37"/>
      <c r="B138" s="36"/>
      <c r="C138" s="35"/>
      <c r="D138" s="27"/>
      <c r="E138" s="35"/>
      <c r="F138" s="27"/>
      <c r="G138" s="34"/>
      <c r="I138" s="32"/>
      <c r="J138" s="33"/>
      <c r="K138" s="42"/>
      <c r="L138" s="32"/>
      <c r="M138" s="27"/>
      <c r="N138" s="31"/>
      <c r="O138" s="30"/>
      <c r="P138" s="27"/>
      <c r="Q138" s="30"/>
      <c r="R138" s="27"/>
      <c r="S138" s="25"/>
      <c r="T138" s="29"/>
      <c r="U138" s="28"/>
      <c r="V138" s="27"/>
      <c r="W138" s="26"/>
      <c r="X138" s="25"/>
    </row>
    <row r="139" spans="1:24" x14ac:dyDescent="0.2">
      <c r="A139" s="24" t="s">
        <v>2</v>
      </c>
      <c r="B139" s="22" t="s">
        <v>4</v>
      </c>
      <c r="C139" s="23">
        <v>100522246</v>
      </c>
      <c r="D139" s="22" t="s">
        <v>3</v>
      </c>
      <c r="E139" s="21">
        <v>7790360984234</v>
      </c>
      <c r="F139" s="20">
        <v>8.16</v>
      </c>
      <c r="G139" s="19">
        <v>48</v>
      </c>
      <c r="I139" s="15">
        <f>+L139*1.55*1.21</f>
        <v>3591.2697321428577</v>
      </c>
      <c r="J139" s="15">
        <f>+I139*0.8</f>
        <v>2873.0157857142863</v>
      </c>
      <c r="K139" s="18"/>
      <c r="L139" s="15">
        <f>+IF(ISERROR(N139/G139),"",(N139/G139))</f>
        <v>1914.8332349468717</v>
      </c>
      <c r="M139" s="15">
        <f>+IF(ISERROR(N139/F139),"",(N139/F139))</f>
        <v>11263.724911452186</v>
      </c>
      <c r="N139" s="17">
        <v>91911.995277449838</v>
      </c>
      <c r="O139" s="16"/>
      <c r="P139" s="15">
        <f>+IF(ISERROR(N139/(1-O139)),"",(N139/(1-O139)))</f>
        <v>91911.995277449838</v>
      </c>
      <c r="Q139" s="16"/>
      <c r="R139" s="15">
        <f>+IF(ISERROR(P139/(1-Q139)),"",(P139/(1-Q139)))</f>
        <v>91911.995277449838</v>
      </c>
      <c r="S139" s="15">
        <f>+IF(ISERROR(R139/G139),"",(R139/G139))</f>
        <v>1914.8332349468717</v>
      </c>
      <c r="T139" s="14"/>
      <c r="U139" s="13"/>
      <c r="V139" s="12">
        <v>91911.99</v>
      </c>
      <c r="W139" s="11">
        <f>+IF(ISERROR(N139/V139-1),"",(N139/V139-1))</f>
        <v>5.7418513499385426E-8</v>
      </c>
      <c r="X139" s="10">
        <f>+IF(ISERROR(V139*(1-O139)),"",(V139*(1-O139)))</f>
        <v>91911.99</v>
      </c>
    </row>
    <row r="140" spans="1:24" x14ac:dyDescent="0.2">
      <c r="A140" s="24" t="s">
        <v>2</v>
      </c>
      <c r="B140" s="22" t="s">
        <v>1</v>
      </c>
      <c r="C140" s="23">
        <v>100522247</v>
      </c>
      <c r="D140" s="22" t="s">
        <v>0</v>
      </c>
      <c r="E140" s="21">
        <v>7790360984241</v>
      </c>
      <c r="F140" s="20">
        <v>8.16</v>
      </c>
      <c r="G140" s="19">
        <v>48</v>
      </c>
      <c r="I140" s="15">
        <f>+L140*1.55*1.21</f>
        <v>3591.2697321428577</v>
      </c>
      <c r="J140" s="15">
        <f>+I140*0.8</f>
        <v>2873.0157857142863</v>
      </c>
      <c r="K140" s="18"/>
      <c r="L140" s="15">
        <f>+IF(ISERROR(N140/G140),"",(N140/G140))</f>
        <v>1914.8332349468717</v>
      </c>
      <c r="M140" s="15">
        <f>+IF(ISERROR(N140/F140),"",(N140/F140))</f>
        <v>11263.724911452186</v>
      </c>
      <c r="N140" s="17">
        <v>91911.995277449838</v>
      </c>
      <c r="O140" s="16"/>
      <c r="P140" s="15">
        <f>+IF(ISERROR(N140/(1-O140)),"",(N140/(1-O140)))</f>
        <v>91911.995277449838</v>
      </c>
      <c r="Q140" s="16"/>
      <c r="R140" s="15">
        <f>+IF(ISERROR(P140/(1-Q140)),"",(P140/(1-Q140)))</f>
        <v>91911.995277449838</v>
      </c>
      <c r="S140" s="15">
        <f>+IF(ISERROR(R140/G140),"",(R140/G140))</f>
        <v>1914.8332349468717</v>
      </c>
      <c r="T140" s="14"/>
      <c r="U140" s="13"/>
      <c r="V140" s="12">
        <v>91911.99</v>
      </c>
      <c r="W140" s="11">
        <f>+IF(ISERROR(N140/V140-1),"",(N140/V140-1))</f>
        <v>5.7418513499385426E-8</v>
      </c>
      <c r="X140" s="10">
        <f>+IF(ISERROR(V140*(1-O140)),"",(V140*(1-O140)))</f>
        <v>91911.99</v>
      </c>
    </row>
    <row r="141" spans="1:24" x14ac:dyDescent="0.2">
      <c r="N141" s="9"/>
    </row>
    <row r="142" spans="1:24" x14ac:dyDescent="0.2">
      <c r="N142" s="9"/>
    </row>
    <row r="143" spans="1:24" x14ac:dyDescent="0.2">
      <c r="N143" s="9"/>
    </row>
    <row r="144" spans="1:24" x14ac:dyDescent="0.2">
      <c r="N144" s="9"/>
    </row>
    <row r="145" spans="1:45" x14ac:dyDescent="0.2">
      <c r="N145" s="9"/>
    </row>
    <row r="146" spans="1:45" s="3" customFormat="1" x14ac:dyDescent="0.2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N146" s="9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s="3" customFormat="1" x14ac:dyDescent="0.2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N147" s="9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s="3" customFormat="1" x14ac:dyDescent="0.2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N148" s="9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s="3" customFormat="1" x14ac:dyDescent="0.2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N149" s="9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s="3" customFormat="1" x14ac:dyDescent="0.2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N150" s="9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s="3" customFormat="1" x14ac:dyDescent="0.2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N151" s="9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s="3" customFormat="1" x14ac:dyDescent="0.2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N152" s="9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s="3" customFormat="1" x14ac:dyDescent="0.2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N153" s="9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s="3" customFormat="1" x14ac:dyDescent="0.2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N154" s="9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s="3" customFormat="1" x14ac:dyDescent="0.2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N155" s="9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s="3" customFormat="1" x14ac:dyDescent="0.2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N156" s="9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s="3" customFormat="1" x14ac:dyDescent="0.2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N157" s="9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s="3" customFormat="1" x14ac:dyDescent="0.2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N158" s="9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s="3" customFormat="1" x14ac:dyDescent="0.2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N159" s="9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s="3" customFormat="1" x14ac:dyDescent="0.2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N160" s="9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s="3" customFormat="1" x14ac:dyDescent="0.2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N161" s="9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s="3" customFormat="1" x14ac:dyDescent="0.2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N162" s="9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s="3" customFormat="1" x14ac:dyDescent="0.2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N163" s="9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s="3" customFormat="1" x14ac:dyDescent="0.2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N164" s="9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s="3" customFormat="1" x14ac:dyDescent="0.2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N165" s="9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s="3" customFormat="1" x14ac:dyDescent="0.2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N166" s="9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s="3" customFormat="1" x14ac:dyDescent="0.2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N167" s="9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s="3" customFormat="1" x14ac:dyDescent="0.2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N168" s="9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s="3" customFormat="1" x14ac:dyDescent="0.2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N169" s="9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s="3" customFormat="1" x14ac:dyDescent="0.2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N170" s="9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s="3" customFormat="1" x14ac:dyDescent="0.2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N171" s="9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s="3" customFormat="1" x14ac:dyDescent="0.2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N172" s="9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s="3" customFormat="1" x14ac:dyDescent="0.2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N173" s="9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s="3" customFormat="1" x14ac:dyDescent="0.2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N174" s="9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s="3" customFormat="1" x14ac:dyDescent="0.2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N175" s="9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s="3" customFormat="1" x14ac:dyDescent="0.2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N176" s="9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s="3" customFormat="1" x14ac:dyDescent="0.2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N177" s="9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s="3" customFormat="1" x14ac:dyDescent="0.2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N178" s="9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s="3" customFormat="1" x14ac:dyDescent="0.2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N179" s="9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s="3" customFormat="1" x14ac:dyDescent="0.2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N180" s="9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s="3" customFormat="1" x14ac:dyDescent="0.2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N181" s="9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s="3" customFormat="1" x14ac:dyDescent="0.2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N182" s="9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s="3" customFormat="1" x14ac:dyDescent="0.2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N183" s="9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s="3" customFormat="1" x14ac:dyDescent="0.2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N184" s="9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s="3" customFormat="1" x14ac:dyDescent="0.2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N185" s="9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s="3" customFormat="1" x14ac:dyDescent="0.2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N186" s="9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s="3" customFormat="1" x14ac:dyDescent="0.2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N187" s="9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s="3" customFormat="1" x14ac:dyDescent="0.2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N188" s="9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s="3" customFormat="1" x14ac:dyDescent="0.2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N189" s="9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s="3" customFormat="1" x14ac:dyDescent="0.2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N190" s="9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s="3" customFormat="1" x14ac:dyDescent="0.2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N191" s="9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s="3" customFormat="1" x14ac:dyDescent="0.2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N192" s="9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s="3" customFormat="1" x14ac:dyDescent="0.2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N193" s="9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s="3" customFormat="1" x14ac:dyDescent="0.2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N194" s="9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s="3" customFormat="1" x14ac:dyDescent="0.2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N195" s="9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s="3" customFormat="1" x14ac:dyDescent="0.2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N196" s="9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s="3" customFormat="1" x14ac:dyDescent="0.2">
      <c r="A197" s="8"/>
      <c r="B197" s="8"/>
      <c r="C197" s="7"/>
      <c r="D197" s="1"/>
      <c r="E197" s="7"/>
      <c r="F197" s="1"/>
      <c r="G197" s="1"/>
      <c r="H197" s="1"/>
      <c r="I197" s="1"/>
      <c r="J197" s="6"/>
      <c r="K197" s="5"/>
      <c r="L197" s="1"/>
      <c r="M197" s="1"/>
      <c r="N197" s="9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s="3" customFormat="1" x14ac:dyDescent="0.2">
      <c r="A198" s="8"/>
      <c r="B198" s="8"/>
      <c r="C198" s="7"/>
      <c r="D198" s="1"/>
      <c r="E198" s="7"/>
      <c r="F198" s="1"/>
      <c r="G198" s="1"/>
      <c r="H198" s="1"/>
      <c r="I198" s="1"/>
      <c r="J198" s="6"/>
      <c r="K198" s="5"/>
      <c r="L198" s="1"/>
      <c r="M198" s="1"/>
      <c r="N198" s="9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s="3" customFormat="1" x14ac:dyDescent="0.2">
      <c r="A199" s="8"/>
      <c r="B199" s="8"/>
      <c r="C199" s="7"/>
      <c r="D199" s="1"/>
      <c r="E199" s="7"/>
      <c r="F199" s="1"/>
      <c r="G199" s="1"/>
      <c r="H199" s="1"/>
      <c r="I199" s="1"/>
      <c r="J199" s="6"/>
      <c r="K199" s="5"/>
      <c r="L199" s="1"/>
      <c r="M199" s="1"/>
      <c r="N199" s="9"/>
      <c r="P199" s="1"/>
      <c r="R199" s="1"/>
      <c r="S199" s="1"/>
      <c r="T199" s="1"/>
      <c r="U199" s="1"/>
      <c r="V199" s="1"/>
      <c r="W199" s="2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</sheetData>
  <mergeCells count="3">
    <mergeCell ref="A1:S1"/>
    <mergeCell ref="B3:C3"/>
    <mergeCell ref="B7:C7"/>
  </mergeCells>
  <conditionalFormatting sqref="A30:D30">
    <cfRule type="cellIs" dxfId="183" priority="397" stopIfTrue="1" operator="equal">
      <formula>0</formula>
    </cfRule>
  </conditionalFormatting>
  <conditionalFormatting sqref="A104:D105 T104:X105">
    <cfRule type="cellIs" dxfId="182" priority="264" stopIfTrue="1" operator="equal">
      <formula>0</formula>
    </cfRule>
  </conditionalFormatting>
  <conditionalFormatting sqref="A139:G140">
    <cfRule type="cellIs" dxfId="181" priority="14" stopIfTrue="1" operator="equal">
      <formula>0</formula>
    </cfRule>
  </conditionalFormatting>
  <conditionalFormatting sqref="A134:H137">
    <cfRule type="cellIs" dxfId="180" priority="70" stopIfTrue="1" operator="equal">
      <formula>0</formula>
    </cfRule>
  </conditionalFormatting>
  <conditionalFormatting sqref="A122:I127">
    <cfRule type="cellIs" dxfId="179" priority="47" stopIfTrue="1" operator="equal">
      <formula>0</formula>
    </cfRule>
  </conditionalFormatting>
  <conditionalFormatting sqref="A129:I130">
    <cfRule type="cellIs" dxfId="178" priority="32" stopIfTrue="1" operator="equal">
      <formula>0</formula>
    </cfRule>
  </conditionalFormatting>
  <conditionalFormatting sqref="A132:I132">
    <cfRule type="cellIs" dxfId="177" priority="99" stopIfTrue="1" operator="equal">
      <formula>0</formula>
    </cfRule>
  </conditionalFormatting>
  <conditionalFormatting sqref="A109:J110">
    <cfRule type="cellIs" dxfId="176" priority="268" stopIfTrue="1" operator="equal">
      <formula>0</formula>
    </cfRule>
  </conditionalFormatting>
  <conditionalFormatting sqref="A112:J114">
    <cfRule type="cellIs" dxfId="175" priority="220" stopIfTrue="1" operator="equal">
      <formula>0</formula>
    </cfRule>
  </conditionalFormatting>
  <conditionalFormatting sqref="A116:J117">
    <cfRule type="cellIs" dxfId="174" priority="203" stopIfTrue="1" operator="equal">
      <formula>0</formula>
    </cfRule>
  </conditionalFormatting>
  <conditionalFormatting sqref="B43:D43">
    <cfRule type="cellIs" dxfId="173" priority="244" stopIfTrue="1" operator="equal">
      <formula>0</formula>
    </cfRule>
  </conditionalFormatting>
  <conditionalFormatting sqref="B28:G29">
    <cfRule type="cellIs" dxfId="172" priority="394" stopIfTrue="1" operator="equal">
      <formula>0</formula>
    </cfRule>
  </conditionalFormatting>
  <conditionalFormatting sqref="C94:D94">
    <cfRule type="cellIs" dxfId="171" priority="392" stopIfTrue="1" operator="equal">
      <formula>0</formula>
    </cfRule>
  </conditionalFormatting>
  <conditionalFormatting sqref="C105:D105">
    <cfRule type="cellIs" dxfId="170" priority="262" stopIfTrue="1" operator="equal">
      <formula>0</formula>
    </cfRule>
  </conditionalFormatting>
  <conditionalFormatting sqref="C89:E89">
    <cfRule type="cellIs" dxfId="169" priority="351" stopIfTrue="1" operator="equal">
      <formula>0</formula>
    </cfRule>
  </conditionalFormatting>
  <conditionalFormatting sqref="C25:G27">
    <cfRule type="cellIs" dxfId="168" priority="393" stopIfTrue="1" operator="equal">
      <formula>0</formula>
    </cfRule>
  </conditionalFormatting>
  <conditionalFormatting sqref="E94:E105 A100:D100 T100:X100">
    <cfRule type="cellIs" dxfId="167" priority="435" stopIfTrue="1" operator="equal">
      <formula>0</formula>
    </cfRule>
  </conditionalFormatting>
  <conditionalFormatting sqref="F30:G30">
    <cfRule type="cellIs" dxfId="166" priority="396" stopIfTrue="1" operator="equal">
      <formula>0</formula>
    </cfRule>
  </conditionalFormatting>
  <conditionalFormatting sqref="F43:G43">
    <cfRule type="cellIs" dxfId="165" priority="252" stopIfTrue="1" operator="equal">
      <formula>0</formula>
    </cfRule>
  </conditionalFormatting>
  <conditionalFormatting sqref="F100:J100">
    <cfRule type="cellIs" dxfId="164" priority="276" stopIfTrue="1" operator="equal">
      <formula>0</formula>
    </cfRule>
  </conditionalFormatting>
  <conditionalFormatting sqref="F104:M105">
    <cfRule type="cellIs" dxfId="163" priority="260" stopIfTrue="1" operator="equal">
      <formula>0</formula>
    </cfRule>
  </conditionalFormatting>
  <conditionalFormatting sqref="H119:J120">
    <cfRule type="cellIs" dxfId="162" priority="165" stopIfTrue="1" operator="equal">
      <formula>0</formula>
    </cfRule>
  </conditionalFormatting>
  <conditionalFormatting sqref="I29:I30">
    <cfRule type="cellIs" dxfId="161" priority="272" stopIfTrue="1" operator="equal">
      <formula>0</formula>
    </cfRule>
  </conditionalFormatting>
  <conditionalFormatting sqref="I19:J32">
    <cfRule type="cellIs" dxfId="160" priority="245" stopIfTrue="1" operator="equal">
      <formula>0</formula>
    </cfRule>
  </conditionalFormatting>
  <conditionalFormatting sqref="I107:K107">
    <cfRule type="cellIs" dxfId="159" priority="270" stopIfTrue="1" operator="equal">
      <formula>0</formula>
    </cfRule>
  </conditionalFormatting>
  <conditionalFormatting sqref="K10:K30">
    <cfRule type="cellIs" dxfId="158" priority="131" stopIfTrue="1" operator="equal">
      <formula>0</formula>
    </cfRule>
  </conditionalFormatting>
  <conditionalFormatting sqref="K50:K61">
    <cfRule type="cellIs" dxfId="157" priority="7" stopIfTrue="1" operator="equal">
      <formula>0</formula>
    </cfRule>
  </conditionalFormatting>
  <conditionalFormatting sqref="K69:K86">
    <cfRule type="cellIs" dxfId="156" priority="330" stopIfTrue="1" operator="equal">
      <formula>0</formula>
    </cfRule>
  </conditionalFormatting>
  <conditionalFormatting sqref="K88:K92">
    <cfRule type="cellIs" dxfId="155" priority="352" stopIfTrue="1" operator="equal">
      <formula>0</formula>
    </cfRule>
  </conditionalFormatting>
  <conditionalFormatting sqref="K94:K99">
    <cfRule type="cellIs" dxfId="154" priority="69" stopIfTrue="1" operator="equal">
      <formula>0</formula>
    </cfRule>
  </conditionalFormatting>
  <conditionalFormatting sqref="K103">
    <cfRule type="cellIs" dxfId="153" priority="68" stopIfTrue="1" operator="equal">
      <formula>0</formula>
    </cfRule>
  </conditionalFormatting>
  <conditionalFormatting sqref="K108:K117">
    <cfRule type="cellIs" dxfId="152" priority="95" stopIfTrue="1" operator="equal">
      <formula>0</formula>
    </cfRule>
  </conditionalFormatting>
  <conditionalFormatting sqref="K119:K140">
    <cfRule type="cellIs" dxfId="151" priority="34" stopIfTrue="1" operator="equal">
      <formula>0</formula>
    </cfRule>
  </conditionalFormatting>
  <conditionalFormatting sqref="K100:M102">
    <cfRule type="cellIs" dxfId="150" priority="94" stopIfTrue="1" operator="equal">
      <formula>0</formula>
    </cfRule>
  </conditionalFormatting>
  <conditionalFormatting sqref="L25:M30">
    <cfRule type="cellIs" dxfId="149" priority="388" stopIfTrue="1" operator="equal">
      <formula>0</formula>
    </cfRule>
  </conditionalFormatting>
  <conditionalFormatting sqref="L109:M110">
    <cfRule type="cellIs" dxfId="148" priority="362" stopIfTrue="1" operator="equal">
      <formula>0</formula>
    </cfRule>
  </conditionalFormatting>
  <conditionalFormatting sqref="L112:M114">
    <cfRule type="cellIs" dxfId="147" priority="224" stopIfTrue="1" operator="equal">
      <formula>0</formula>
    </cfRule>
  </conditionalFormatting>
  <conditionalFormatting sqref="L116:M117">
    <cfRule type="cellIs" dxfId="146" priority="207" stopIfTrue="1" operator="equal">
      <formula>0</formula>
    </cfRule>
  </conditionalFormatting>
  <conditionalFormatting sqref="L119:M120">
    <cfRule type="cellIs" dxfId="145" priority="180" stopIfTrue="1" operator="equal">
      <formula>0</formula>
    </cfRule>
  </conditionalFormatting>
  <conditionalFormatting sqref="M29">
    <cfRule type="cellIs" dxfId="144" priority="387" stopIfTrue="1" operator="lessThan">
      <formula>30</formula>
    </cfRule>
  </conditionalFormatting>
  <conditionalFormatting sqref="M49 M55 M68 M87 M93">
    <cfRule type="cellIs" dxfId="143" priority="391" stopIfTrue="1" operator="lessThan">
      <formula>30</formula>
    </cfRule>
  </conditionalFormatting>
  <conditionalFormatting sqref="M60:M61">
    <cfRule type="cellIs" dxfId="142" priority="335" stopIfTrue="1" operator="lessThan">
      <formula>30</formula>
    </cfRule>
  </conditionalFormatting>
  <conditionalFormatting sqref="N11:N48">
    <cfRule type="cellIs" dxfId="141" priority="86" stopIfTrue="1" operator="equal">
      <formula>0</formula>
    </cfRule>
  </conditionalFormatting>
  <conditionalFormatting sqref="N50:N67">
    <cfRule type="cellIs" dxfId="140" priority="1" stopIfTrue="1" operator="equal">
      <formula>0</formula>
    </cfRule>
  </conditionalFormatting>
  <conditionalFormatting sqref="N69:N86 N88:N92 N109:N114 N116:N117">
    <cfRule type="cellIs" dxfId="139" priority="189" stopIfTrue="1" operator="equal">
      <formula>0</formula>
    </cfRule>
  </conditionalFormatting>
  <conditionalFormatting sqref="N94:N107">
    <cfRule type="cellIs" dxfId="138" priority="190" stopIfTrue="1" operator="equal">
      <formula>0</formula>
    </cfRule>
  </conditionalFormatting>
  <conditionalFormatting sqref="N97">
    <cfRule type="cellIs" dxfId="137" priority="59" stopIfTrue="1" operator="equal">
      <formula>0</formula>
    </cfRule>
  </conditionalFormatting>
  <conditionalFormatting sqref="N119:N120">
    <cfRule type="cellIs" dxfId="136" priority="166" stopIfTrue="1" operator="equal">
      <formula>0</formula>
    </cfRule>
  </conditionalFormatting>
  <conditionalFormatting sqref="N129">
    <cfRule type="cellIs" dxfId="135" priority="113" stopIfTrue="1" operator="equal">
      <formula>0</formula>
    </cfRule>
  </conditionalFormatting>
  <conditionalFormatting sqref="N130">
    <cfRule type="cellIs" dxfId="134" priority="35" stopIfTrue="1" operator="equal">
      <formula>0</formula>
    </cfRule>
  </conditionalFormatting>
  <conditionalFormatting sqref="N132">
    <cfRule type="cellIs" dxfId="133" priority="98" stopIfTrue="1" operator="equal">
      <formula>0</formula>
    </cfRule>
  </conditionalFormatting>
  <conditionalFormatting sqref="N122:O127">
    <cfRule type="cellIs" dxfId="132" priority="46" stopIfTrue="1" operator="equal">
      <formula>0</formula>
    </cfRule>
  </conditionalFormatting>
  <conditionalFormatting sqref="N134:O137">
    <cfRule type="cellIs" dxfId="131" priority="74" stopIfTrue="1" operator="equal">
      <formula>0</formula>
    </cfRule>
  </conditionalFormatting>
  <conditionalFormatting sqref="N139:O140">
    <cfRule type="cellIs" dxfId="130" priority="8" stopIfTrue="1" operator="equal">
      <formula>0</formula>
    </cfRule>
  </conditionalFormatting>
  <conditionalFormatting sqref="O11:O48">
    <cfRule type="cellIs" dxfId="129" priority="87" stopIfTrue="1" operator="equal">
      <formula>0</formula>
    </cfRule>
  </conditionalFormatting>
  <conditionalFormatting sqref="O50:O130">
    <cfRule type="cellIs" dxfId="128" priority="5" stopIfTrue="1" operator="equal">
      <formula>0</formula>
    </cfRule>
  </conditionalFormatting>
  <conditionalFormatting sqref="O129:O130">
    <cfRule type="cellIs" dxfId="127" priority="43" stopIfTrue="1" operator="equal">
      <formula>0</formula>
    </cfRule>
  </conditionalFormatting>
  <conditionalFormatting sqref="O131:O140">
    <cfRule type="cellIs" dxfId="126" priority="82" stopIfTrue="1" operator="equal">
      <formula>0</formula>
    </cfRule>
  </conditionalFormatting>
  <conditionalFormatting sqref="O132">
    <cfRule type="cellIs" dxfId="125" priority="106" stopIfTrue="1" operator="equal">
      <formula>0</formula>
    </cfRule>
  </conditionalFormatting>
  <conditionalFormatting sqref="Q25:Q30 S25:S30">
    <cfRule type="cellIs" dxfId="124" priority="383" stopIfTrue="1" operator="equal">
      <formula>0</formula>
    </cfRule>
  </conditionalFormatting>
  <conditionalFormatting sqref="Q109:Q110 S109:U110">
    <cfRule type="cellIs" dxfId="123" priority="361" stopIfTrue="1" operator="equal">
      <formula>0</formula>
    </cfRule>
  </conditionalFormatting>
  <conditionalFormatting sqref="S112:U114">
    <cfRule type="cellIs" dxfId="122" priority="223" stopIfTrue="1" operator="equal">
      <formula>0</formula>
    </cfRule>
  </conditionalFormatting>
  <conditionalFormatting sqref="S116:U117">
    <cfRule type="cellIs" dxfId="121" priority="206" stopIfTrue="1" operator="equal">
      <formula>0</formula>
    </cfRule>
  </conditionalFormatting>
  <conditionalFormatting sqref="S119:U120">
    <cfRule type="cellIs" dxfId="120" priority="179" stopIfTrue="1" operator="equal">
      <formula>0</formula>
    </cfRule>
  </conditionalFormatting>
  <conditionalFormatting sqref="T25:X30 H25:H29">
    <cfRule type="cellIs" dxfId="119" priority="422" stopIfTrue="1" operator="equal">
      <formula>0</formula>
    </cfRule>
  </conditionalFormatting>
  <conditionalFormatting sqref="V68:V99">
    <cfRule type="cellIs" dxfId="118" priority="64" stopIfTrue="1" operator="equal">
      <formula>0</formula>
    </cfRule>
  </conditionalFormatting>
  <conditionalFormatting sqref="V103">
    <cfRule type="cellIs" dxfId="117" priority="60" stopIfTrue="1" operator="equal">
      <formula>0</formula>
    </cfRule>
  </conditionalFormatting>
  <conditionalFormatting sqref="V105:V140">
    <cfRule type="cellIs" dxfId="116" priority="37" stopIfTrue="1" operator="equal">
      <formula>0</formula>
    </cfRule>
  </conditionalFormatting>
  <conditionalFormatting sqref="V101:W102">
    <cfRule type="cellIs" dxfId="115" priority="282" stopIfTrue="1" operator="equal">
      <formula>0</formula>
    </cfRule>
  </conditionalFormatting>
  <conditionalFormatting sqref="W1:W23">
    <cfRule type="cellIs" dxfId="114" priority="138" stopIfTrue="1" operator="between">
      <formula>-0.0001</formula>
      <formula>0.0001</formula>
    </cfRule>
    <cfRule type="cellIs" dxfId="113" priority="139" stopIfTrue="1" operator="between">
      <formula>-0.01</formula>
      <formula>0.01</formula>
    </cfRule>
  </conditionalFormatting>
  <conditionalFormatting sqref="W11:W23">
    <cfRule type="cellIs" dxfId="112" priority="140" stopIfTrue="1" operator="notBetween">
      <formula>-0.001</formula>
      <formula>0.001</formula>
    </cfRule>
  </conditionalFormatting>
  <conditionalFormatting sqref="W17">
    <cfRule type="cellIs" dxfId="111" priority="134" stopIfTrue="1" operator="notBetween">
      <formula>-0.001</formula>
      <formula>0.001</formula>
    </cfRule>
    <cfRule type="cellIs" dxfId="110" priority="133" stopIfTrue="1" operator="between">
      <formula>-0.01</formula>
      <formula>0.01</formula>
    </cfRule>
    <cfRule type="cellIs" dxfId="109" priority="132" stopIfTrue="1" operator="between">
      <formula>-0.0001</formula>
      <formula>0.0001</formula>
    </cfRule>
  </conditionalFormatting>
  <conditionalFormatting sqref="W18 W30:W33 W55 W60 W68:W88 W93:W95 W100">
    <cfRule type="cellIs" dxfId="108" priority="437" stopIfTrue="1" operator="between">
      <formula>-0.01</formula>
      <formula>0.01</formula>
    </cfRule>
  </conditionalFormatting>
  <conditionalFormatting sqref="W18 W30:W33 W55 W60 W69:W86 W88 W94:W95 W100 W8">
    <cfRule type="cellIs" dxfId="107" priority="439" stopIfTrue="1" operator="notBetween">
      <formula>-0.001</formula>
      <formula>0.001</formula>
    </cfRule>
  </conditionalFormatting>
  <conditionalFormatting sqref="W24:W30">
    <cfRule type="cellIs" dxfId="106" priority="420" stopIfTrue="1" operator="between">
      <formula>-0.0001</formula>
      <formula>0.0001</formula>
    </cfRule>
    <cfRule type="cellIs" dxfId="105" priority="421" stopIfTrue="1" operator="between">
      <formula>-0.01</formula>
      <formula>0.01</formula>
    </cfRule>
    <cfRule type="cellIs" dxfId="104" priority="423" stopIfTrue="1" operator="notBetween">
      <formula>-0.001</formula>
      <formula>0.001</formula>
    </cfRule>
  </conditionalFormatting>
  <conditionalFormatting sqref="W29">
    <cfRule type="cellIs" dxfId="103" priority="405" stopIfTrue="1" operator="notBetween">
      <formula>-0.001</formula>
      <formula>0.001</formula>
    </cfRule>
    <cfRule type="cellIs" dxfId="102" priority="403" stopIfTrue="1" operator="between">
      <formula>-0.0001</formula>
      <formula>0.0001</formula>
    </cfRule>
    <cfRule type="cellIs" dxfId="101" priority="404" stopIfTrue="1" operator="between">
      <formula>-0.01</formula>
      <formula>0.01</formula>
    </cfRule>
  </conditionalFormatting>
  <conditionalFormatting sqref="W34:W46">
    <cfRule type="cellIs" dxfId="100" priority="93" stopIfTrue="1" operator="notBetween">
      <formula>-0.001</formula>
      <formula>0.001</formula>
    </cfRule>
  </conditionalFormatting>
  <conditionalFormatting sqref="W34:W50">
    <cfRule type="cellIs" dxfId="99" priority="91" stopIfTrue="1" operator="between">
      <formula>-0.0001</formula>
      <formula>0.0001</formula>
    </cfRule>
    <cfRule type="cellIs" dxfId="98" priority="92" stopIfTrue="1" operator="between">
      <formula>-0.01</formula>
      <formula>0.01</formula>
    </cfRule>
  </conditionalFormatting>
  <conditionalFormatting sqref="W47:W48">
    <cfRule type="cellIs" dxfId="97" priority="88" stopIfTrue="1" operator="notBetween">
      <formula>-0.001</formula>
      <formula>0.001</formula>
    </cfRule>
  </conditionalFormatting>
  <conditionalFormatting sqref="W51:W59">
    <cfRule type="cellIs" dxfId="96" priority="2" stopIfTrue="1" operator="between">
      <formula>-0.0001</formula>
      <formula>0.0001</formula>
    </cfRule>
    <cfRule type="cellIs" dxfId="95" priority="4" stopIfTrue="1" operator="notBetween">
      <formula>-0.001</formula>
      <formula>0.001</formula>
    </cfRule>
    <cfRule type="cellIs" dxfId="94" priority="3" stopIfTrue="1" operator="between">
      <formula>-0.01</formula>
      <formula>0.01</formula>
    </cfRule>
  </conditionalFormatting>
  <conditionalFormatting sqref="W59:W67 W50">
    <cfRule type="cellIs" dxfId="93" priority="328" stopIfTrue="1" operator="notBetween">
      <formula>-0.001</formula>
      <formula>0.001</formula>
    </cfRule>
  </conditionalFormatting>
  <conditionalFormatting sqref="W59:W67">
    <cfRule type="cellIs" dxfId="92" priority="326" stopIfTrue="1" operator="between">
      <formula>-0.0001</formula>
      <formula>0.0001</formula>
    </cfRule>
    <cfRule type="cellIs" dxfId="91" priority="327" stopIfTrue="1" operator="between">
      <formula>-0.01</formula>
      <formula>0.01</formula>
    </cfRule>
  </conditionalFormatting>
  <conditionalFormatting sqref="W61">
    <cfRule type="cellIs" dxfId="90" priority="323" stopIfTrue="1" operator="between">
      <formula>-0.0001</formula>
      <formula>0.0001</formula>
    </cfRule>
    <cfRule type="cellIs" dxfId="89" priority="325" stopIfTrue="1" operator="notBetween">
      <formula>-0.001</formula>
      <formula>0.001</formula>
    </cfRule>
    <cfRule type="cellIs" dxfId="88" priority="324" stopIfTrue="1" operator="between">
      <formula>-0.01</formula>
      <formula>0.01</formula>
    </cfRule>
  </conditionalFormatting>
  <conditionalFormatting sqref="W68 W87 W93 W106 W10 W49">
    <cfRule type="cellIs" dxfId="87" priority="438" stopIfTrue="1" operator="notBetween">
      <formula>-0.001</formula>
      <formula>0.001</formula>
    </cfRule>
  </conditionalFormatting>
  <conditionalFormatting sqref="W83:W86">
    <cfRule type="cellIs" dxfId="86" priority="332" stopIfTrue="1" operator="between">
      <formula>-0.01</formula>
      <formula>0.01</formula>
    </cfRule>
    <cfRule type="cellIs" dxfId="85" priority="333" stopIfTrue="1" operator="notBetween">
      <formula>-0.001</formula>
      <formula>0.001</formula>
    </cfRule>
    <cfRule type="cellIs" dxfId="84" priority="331" stopIfTrue="1" operator="between">
      <formula>-0.0001</formula>
      <formula>0.0001</formula>
    </cfRule>
  </conditionalFormatting>
  <conditionalFormatting sqref="W89:W92">
    <cfRule type="cellIs" dxfId="83" priority="320" stopIfTrue="1" operator="between">
      <formula>-0.01</formula>
      <formula>0.01</formula>
    </cfRule>
    <cfRule type="cellIs" dxfId="82" priority="321" stopIfTrue="1" operator="equal">
      <formula>0</formula>
    </cfRule>
    <cfRule type="cellIs" dxfId="81" priority="322" stopIfTrue="1" operator="notBetween">
      <formula>-0.001</formula>
      <formula>0.001</formula>
    </cfRule>
    <cfRule type="cellIs" dxfId="80" priority="319" stopIfTrue="1" operator="between">
      <formula>-0.0001</formula>
      <formula>0.0001</formula>
    </cfRule>
  </conditionalFormatting>
  <conditionalFormatting sqref="W94">
    <cfRule type="cellIs" dxfId="79" priority="408" stopIfTrue="1" operator="between">
      <formula>-0.0001</formula>
      <formula>0.0001</formula>
    </cfRule>
    <cfRule type="cellIs" dxfId="78" priority="409" stopIfTrue="1" operator="between">
      <formula>-0.01</formula>
      <formula>0.01</formula>
    </cfRule>
    <cfRule type="cellIs" dxfId="77" priority="410" stopIfTrue="1" operator="notBetween">
      <formula>-0.001</formula>
      <formula>0.001</formula>
    </cfRule>
  </conditionalFormatting>
  <conditionalFormatting sqref="W96:W99">
    <cfRule type="cellIs" dxfId="76" priority="66" stopIfTrue="1" operator="between">
      <formula>-0.01</formula>
      <formula>0.01</formula>
    </cfRule>
    <cfRule type="cellIs" dxfId="75" priority="67" stopIfTrue="1" operator="notBetween">
      <formula>-0.001</formula>
      <formula>0.001</formula>
    </cfRule>
    <cfRule type="cellIs" dxfId="74" priority="65" stopIfTrue="1" operator="between">
      <formula>-0.0001</formula>
      <formula>0.0001</formula>
    </cfRule>
  </conditionalFormatting>
  <conditionalFormatting sqref="W100 W30:W33 W93:W95 W68:W88 W60 W18 W55">
    <cfRule type="cellIs" dxfId="73" priority="436" stopIfTrue="1" operator="between">
      <formula>-0.0001</formula>
      <formula>0.0001</formula>
    </cfRule>
  </conditionalFormatting>
  <conditionalFormatting sqref="W101:W102">
    <cfRule type="cellIs" dxfId="72" priority="284" stopIfTrue="1" operator="between">
      <formula>-0.01</formula>
      <formula>0.01</formula>
    </cfRule>
    <cfRule type="cellIs" dxfId="71" priority="285" stopIfTrue="1" operator="notBetween">
      <formula>-0.001</formula>
      <formula>0.001</formula>
    </cfRule>
    <cfRule type="cellIs" dxfId="70" priority="283" stopIfTrue="1" operator="between">
      <formula>-0.0001</formula>
      <formula>0.0001</formula>
    </cfRule>
  </conditionalFormatting>
  <conditionalFormatting sqref="W103">
    <cfRule type="cellIs" dxfId="69" priority="62" stopIfTrue="1" operator="between">
      <formula>-0.01</formula>
      <formula>0.01</formula>
    </cfRule>
    <cfRule type="cellIs" dxfId="68" priority="63" stopIfTrue="1" operator="notBetween">
      <formula>-0.001</formula>
      <formula>0.001</formula>
    </cfRule>
    <cfRule type="cellIs" dxfId="67" priority="61" stopIfTrue="1" operator="between">
      <formula>-0.0001</formula>
      <formula>0.0001</formula>
    </cfRule>
  </conditionalFormatting>
  <conditionalFormatting sqref="W104:W105">
    <cfRule type="cellIs" dxfId="66" priority="266" stopIfTrue="1" operator="between">
      <formula>-0.01</formula>
      <formula>0.01</formula>
    </cfRule>
    <cfRule type="cellIs" dxfId="65" priority="265" stopIfTrue="1" operator="between">
      <formula>-0.0001</formula>
      <formula>0.0001</formula>
    </cfRule>
    <cfRule type="cellIs" dxfId="64" priority="267" stopIfTrue="1" operator="notBetween">
      <formula>-0.001</formula>
      <formula>0.001</formula>
    </cfRule>
  </conditionalFormatting>
  <conditionalFormatting sqref="W106:W107">
    <cfRule type="cellIs" dxfId="63" priority="303" stopIfTrue="1" operator="between">
      <formula>-0.01</formula>
      <formula>0.01</formula>
    </cfRule>
    <cfRule type="cellIs" dxfId="62" priority="302" stopIfTrue="1" operator="between">
      <formula>-0.0001</formula>
      <formula>0.0001</formula>
    </cfRule>
  </conditionalFormatting>
  <conditionalFormatting sqref="W107">
    <cfRule type="cellIs" dxfId="61" priority="300" stopIfTrue="1" operator="notBetween">
      <formula>-0.001</formula>
      <formula>0.001</formula>
    </cfRule>
    <cfRule type="cellIs" dxfId="60" priority="299" stopIfTrue="1" operator="equal">
      <formula>0</formula>
    </cfRule>
    <cfRule type="cellIs" dxfId="59" priority="298" stopIfTrue="1" operator="between">
      <formula>-0.01</formula>
      <formula>0.01</formula>
    </cfRule>
    <cfRule type="cellIs" dxfId="58" priority="297" stopIfTrue="1" operator="between">
      <formula>-0.0001</formula>
      <formula>0.0001</formula>
    </cfRule>
    <cfRule type="cellIs" dxfId="57" priority="304" stopIfTrue="1" operator="notBetween">
      <formula>-0.001</formula>
      <formula>0.001</formula>
    </cfRule>
  </conditionalFormatting>
  <conditionalFormatting sqref="W108">
    <cfRule type="cellIs" dxfId="56" priority="414" stopIfTrue="1" operator="notBetween">
      <formula>-0.001</formula>
      <formula>0.001</formula>
    </cfRule>
  </conditionalFormatting>
  <conditionalFormatting sqref="W108:W110">
    <cfRule type="cellIs" dxfId="55" priority="371" stopIfTrue="1" operator="between">
      <formula>-0.01</formula>
      <formula>0.01</formula>
    </cfRule>
    <cfRule type="cellIs" dxfId="54" priority="370" stopIfTrue="1" operator="between">
      <formula>-0.0001</formula>
      <formula>0.0001</formula>
    </cfRule>
  </conditionalFormatting>
  <conditionalFormatting sqref="W109:W110">
    <cfRule type="cellIs" dxfId="53" priority="372" stopIfTrue="1" operator="notBetween">
      <formula>-0.001</formula>
      <formula>0.001</formula>
    </cfRule>
    <cfRule type="cellIs" dxfId="52" priority="369" stopIfTrue="1" operator="notBetween">
      <formula>-0.001</formula>
      <formula>0.001</formula>
    </cfRule>
    <cfRule type="cellIs" dxfId="51" priority="367" stopIfTrue="1" operator="between">
      <formula>-0.01</formula>
      <formula>0.01</formula>
    </cfRule>
    <cfRule type="cellIs" dxfId="50" priority="366" stopIfTrue="1" operator="between">
      <formula>-0.0001</formula>
      <formula>0.0001</formula>
    </cfRule>
  </conditionalFormatting>
  <conditionalFormatting sqref="W111">
    <cfRule type="cellIs" dxfId="49" priority="311" operator="lessThanOrEqual">
      <formula>0.1</formula>
    </cfRule>
  </conditionalFormatting>
  <conditionalFormatting sqref="W112:W114">
    <cfRule type="cellIs" dxfId="48" priority="233" stopIfTrue="1" operator="notBetween">
      <formula>-0.001</formula>
      <formula>0.001</formula>
    </cfRule>
    <cfRule type="cellIs" dxfId="47" priority="227" stopIfTrue="1" operator="between">
      <formula>-0.0001</formula>
      <formula>0.0001</formula>
    </cfRule>
    <cfRule type="cellIs" dxfId="46" priority="231" stopIfTrue="1" operator="between">
      <formula>-0.0001</formula>
      <formula>0.0001</formula>
    </cfRule>
    <cfRule type="cellIs" dxfId="45" priority="230" stopIfTrue="1" operator="notBetween">
      <formula>-0.001</formula>
      <formula>0.001</formula>
    </cfRule>
    <cfRule type="cellIs" dxfId="44" priority="228" stopIfTrue="1" operator="between">
      <formula>-0.01</formula>
      <formula>0.01</formula>
    </cfRule>
    <cfRule type="cellIs" dxfId="43" priority="232" stopIfTrue="1" operator="between">
      <formula>-0.01</formula>
      <formula>0.01</formula>
    </cfRule>
  </conditionalFormatting>
  <conditionalFormatting sqref="W115">
    <cfRule type="cellIs" dxfId="42" priority="217" operator="lessThanOrEqual">
      <formula>0.1</formula>
    </cfRule>
  </conditionalFormatting>
  <conditionalFormatting sqref="W116:W117">
    <cfRule type="cellIs" dxfId="41" priority="197" stopIfTrue="1" operator="between">
      <formula>-0.0001</formula>
      <formula>0.0001</formula>
    </cfRule>
    <cfRule type="cellIs" dxfId="40" priority="196" stopIfTrue="1" operator="notBetween">
      <formula>-0.001</formula>
      <formula>0.001</formula>
    </cfRule>
    <cfRule type="cellIs" dxfId="39" priority="193" stopIfTrue="1" operator="between">
      <formula>-0.0001</formula>
      <formula>0.0001</formula>
    </cfRule>
    <cfRule type="cellIs" dxfId="38" priority="194" stopIfTrue="1" operator="between">
      <formula>-0.01</formula>
      <formula>0.01</formula>
    </cfRule>
    <cfRule type="cellIs" dxfId="37" priority="199" stopIfTrue="1" operator="notBetween">
      <formula>-0.001</formula>
      <formula>0.001</formula>
    </cfRule>
    <cfRule type="cellIs" dxfId="36" priority="198" stopIfTrue="1" operator="between">
      <formula>-0.01</formula>
      <formula>0.01</formula>
    </cfRule>
  </conditionalFormatting>
  <conditionalFormatting sqref="W118">
    <cfRule type="cellIs" dxfId="35" priority="200" operator="lessThanOrEqual">
      <formula>0.1</formula>
    </cfRule>
  </conditionalFormatting>
  <conditionalFormatting sqref="W119:W120">
    <cfRule type="cellIs" dxfId="34" priority="169" stopIfTrue="1" operator="between">
      <formula>-0.0001</formula>
      <formula>0.0001</formula>
    </cfRule>
    <cfRule type="cellIs" dxfId="33" priority="175" stopIfTrue="1" operator="notBetween">
      <formula>-0.001</formula>
      <formula>0.001</formula>
    </cfRule>
    <cfRule type="cellIs" dxfId="32" priority="174" stopIfTrue="1" operator="between">
      <formula>-0.01</formula>
      <formula>0.01</formula>
    </cfRule>
    <cfRule type="cellIs" dxfId="31" priority="173" stopIfTrue="1" operator="between">
      <formula>-0.0001</formula>
      <formula>0.0001</formula>
    </cfRule>
    <cfRule type="cellIs" dxfId="30" priority="172" stopIfTrue="1" operator="notBetween">
      <formula>-0.001</formula>
      <formula>0.001</formula>
    </cfRule>
    <cfRule type="cellIs" dxfId="29" priority="170" stopIfTrue="1" operator="between">
      <formula>-0.01</formula>
      <formula>0.01</formula>
    </cfRule>
  </conditionalFormatting>
  <conditionalFormatting sqref="W121">
    <cfRule type="cellIs" dxfId="28" priority="163" operator="lessThanOrEqual">
      <formula>0.1</formula>
    </cfRule>
  </conditionalFormatting>
  <conditionalFormatting sqref="W122:W127">
    <cfRule type="cellIs" dxfId="27" priority="52" stopIfTrue="1" operator="notBetween">
      <formula>-0.001</formula>
      <formula>0.001</formula>
    </cfRule>
    <cfRule type="cellIs" dxfId="26" priority="51" stopIfTrue="1" operator="between">
      <formula>-0.01</formula>
      <formula>0.01</formula>
    </cfRule>
    <cfRule type="cellIs" dxfId="25" priority="50" stopIfTrue="1" operator="between">
      <formula>-0.0001</formula>
      <formula>0.0001</formula>
    </cfRule>
  </conditionalFormatting>
  <conditionalFormatting sqref="W128">
    <cfRule type="cellIs" dxfId="24" priority="126" operator="lessThanOrEqual">
      <formula>0.1</formula>
    </cfRule>
  </conditionalFormatting>
  <conditionalFormatting sqref="W129:W130">
    <cfRule type="cellIs" dxfId="23" priority="39" stopIfTrue="1" operator="between">
      <formula>-0.0001</formula>
      <formula>0.0001</formula>
    </cfRule>
    <cfRule type="cellIs" dxfId="22" priority="41" stopIfTrue="1" operator="notBetween">
      <formula>-0.001</formula>
      <formula>0.001</formula>
    </cfRule>
    <cfRule type="cellIs" dxfId="21" priority="40" stopIfTrue="1" operator="between">
      <formula>-0.01</formula>
      <formula>0.01</formula>
    </cfRule>
  </conditionalFormatting>
  <conditionalFormatting sqref="W131">
    <cfRule type="cellIs" dxfId="20" priority="111" operator="lessThanOrEqual">
      <formula>0.1</formula>
    </cfRule>
  </conditionalFormatting>
  <conditionalFormatting sqref="W132">
    <cfRule type="cellIs" dxfId="19" priority="104" stopIfTrue="1" operator="notBetween">
      <formula>-0.001</formula>
      <formula>0.001</formula>
    </cfRule>
    <cfRule type="cellIs" dxfId="18" priority="103" stopIfTrue="1" operator="between">
      <formula>-0.01</formula>
      <formula>0.01</formula>
    </cfRule>
    <cfRule type="cellIs" dxfId="17" priority="102" stopIfTrue="1" operator="between">
      <formula>-0.0001</formula>
      <formula>0.0001</formula>
    </cfRule>
  </conditionalFormatting>
  <conditionalFormatting sqref="W133">
    <cfRule type="cellIs" dxfId="16" priority="80" operator="lessThanOrEqual">
      <formula>0.1</formula>
    </cfRule>
  </conditionalFormatting>
  <conditionalFormatting sqref="W134:W137">
    <cfRule type="cellIs" dxfId="15" priority="85" stopIfTrue="1" operator="between">
      <formula>-0.01</formula>
      <formula>0.01</formula>
    </cfRule>
    <cfRule type="cellIs" dxfId="14" priority="84" stopIfTrue="1" operator="between">
      <formula>-0.0001</formula>
      <formula>0.0001</formula>
    </cfRule>
    <cfRule type="cellIs" dxfId="13" priority="79" stopIfTrue="1" operator="notBetween">
      <formula>-0.001</formula>
      <formula>0.001</formula>
    </cfRule>
  </conditionalFormatting>
  <conditionalFormatting sqref="W138">
    <cfRule type="cellIs" dxfId="12" priority="17" operator="lessThanOrEqual">
      <formula>0.1</formula>
    </cfRule>
  </conditionalFormatting>
  <conditionalFormatting sqref="W139:W140">
    <cfRule type="cellIs" dxfId="11" priority="11" stopIfTrue="1" operator="notBetween">
      <formula>-0.001</formula>
      <formula>0.001</formula>
    </cfRule>
  </conditionalFormatting>
  <conditionalFormatting sqref="W139:W65536">
    <cfRule type="cellIs" dxfId="10" priority="12" stopIfTrue="1" operator="between">
      <formula>-0.0001</formula>
      <formula>0.0001</formula>
    </cfRule>
    <cfRule type="cellIs" dxfId="9" priority="13" stopIfTrue="1" operator="between">
      <formula>-0.01</formula>
      <formula>0.01</formula>
    </cfRule>
  </conditionalFormatting>
  <conditionalFormatting sqref="W109:X110">
    <cfRule type="cellIs" dxfId="8" priority="368" stopIfTrue="1" operator="equal">
      <formula>0</formula>
    </cfRule>
  </conditionalFormatting>
  <conditionalFormatting sqref="W112:X114">
    <cfRule type="cellIs" dxfId="7" priority="229" stopIfTrue="1" operator="equal">
      <formula>0</formula>
    </cfRule>
  </conditionalFormatting>
  <conditionalFormatting sqref="W116:X117">
    <cfRule type="cellIs" dxfId="6" priority="195" stopIfTrue="1" operator="equal">
      <formula>0</formula>
    </cfRule>
  </conditionalFormatting>
  <conditionalFormatting sqref="W119:X120">
    <cfRule type="cellIs" dxfId="5" priority="171" stopIfTrue="1" operator="equal">
      <formula>0</formula>
    </cfRule>
  </conditionalFormatting>
  <conditionalFormatting sqref="W122:X127">
    <cfRule type="cellIs" dxfId="4" priority="49" stopIfTrue="1" operator="equal">
      <formula>0</formula>
    </cfRule>
  </conditionalFormatting>
  <conditionalFormatting sqref="W129:X130">
    <cfRule type="cellIs" dxfId="3" priority="38" stopIfTrue="1" operator="equal">
      <formula>0</formula>
    </cfRule>
  </conditionalFormatting>
  <conditionalFormatting sqref="W132:X132">
    <cfRule type="cellIs" dxfId="2" priority="101" stopIfTrue="1" operator="equal">
      <formula>0</formula>
    </cfRule>
  </conditionalFormatting>
  <conditionalFormatting sqref="W134:X137">
    <cfRule type="cellIs" dxfId="1" priority="75" stopIfTrue="1" operator="equal">
      <formula>0</formula>
    </cfRule>
  </conditionalFormatting>
  <conditionalFormatting sqref="W139:X140">
    <cfRule type="cellIs" dxfId="0" priority="10" stopIfTrue="1" operator="equal">
      <formula>0</formula>
    </cfRule>
  </conditionalFormatting>
  <pageMargins left="0" right="0" top="0.98425196850393704" bottom="0.98425196850393704" header="0" footer="0"/>
  <pageSetup paperSize="9" scale="40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PAJARITO</vt:lpstr>
      <vt:lpstr>ALBERDI</vt:lpstr>
      <vt:lpstr>ALMACOR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2026-01-02T15:42:59Z</dcterms:created>
  <dcterms:modified xsi:type="dcterms:W3CDTF">2026-01-23T14:45:25Z</dcterms:modified>
</cp:coreProperties>
</file>