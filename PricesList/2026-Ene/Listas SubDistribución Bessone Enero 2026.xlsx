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6" documentId="8_{FCF02F6C-22CF-41F2-8D69-4AC8ABA530AC}" xr6:coauthVersionLast="47" xr6:coauthVersionMax="47" xr10:uidLastSave="{1796AABE-2CFE-4F6E-80C4-57DA2A1AD2D0}"/>
  <bookViews>
    <workbookView xWindow="-120" yWindow="-120" windowWidth="20730" windowHeight="11040" activeTab="2" xr2:uid="{00000000-000D-0000-FFFF-FFFF00000000}"/>
  </bookViews>
  <sheets>
    <sheet name="SubPatagonia" sheetId="2" r:id="rId1"/>
    <sheet name="SubCuyo" sheetId="4" r:id="rId2"/>
    <sheet name="Sub Litoral" sheetId="6" r:id="rId3"/>
    <sheet name="Sub NEA" sheetId="8" r:id="rId4"/>
    <sheet name="Sub CBA" sheetId="10" r:id="rId5"/>
    <sheet name="Sub NOA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2" l="1"/>
  <c r="H105" i="12"/>
  <c r="H84" i="12"/>
  <c r="H81" i="12"/>
  <c r="H77" i="12"/>
  <c r="E63" i="12"/>
  <c r="H62" i="12"/>
  <c r="H39" i="12"/>
  <c r="H31" i="12"/>
  <c r="I31" i="12" s="1"/>
  <c r="J31" i="12" s="1"/>
  <c r="K31" i="12" s="1"/>
  <c r="E28" i="12"/>
  <c r="H27" i="12"/>
  <c r="E24" i="12"/>
  <c r="H106" i="10"/>
  <c r="H105" i="10"/>
  <c r="H102" i="10"/>
  <c r="H100" i="10"/>
  <c r="H84" i="10"/>
  <c r="H83" i="10"/>
  <c r="H82" i="10"/>
  <c r="H81" i="10"/>
  <c r="H77" i="10"/>
  <c r="H74" i="10"/>
  <c r="H63" i="10"/>
  <c r="I63" i="10" s="1"/>
  <c r="E63" i="10"/>
  <c r="H62" i="10"/>
  <c r="H57" i="10"/>
  <c r="H55" i="10"/>
  <c r="I55" i="10" s="1"/>
  <c r="H51" i="10"/>
  <c r="H47" i="10"/>
  <c r="H43" i="10"/>
  <c r="H39" i="10"/>
  <c r="H32" i="10"/>
  <c r="I32" i="10" s="1"/>
  <c r="H31" i="10"/>
  <c r="I31" i="10" s="1"/>
  <c r="J31" i="10" s="1"/>
  <c r="K31" i="10" s="1"/>
  <c r="H29" i="10"/>
  <c r="E28" i="10"/>
  <c r="H27" i="10"/>
  <c r="I27" i="10" s="1"/>
  <c r="J27" i="10" s="1"/>
  <c r="H26" i="10"/>
  <c r="I26" i="10" s="1"/>
  <c r="H24" i="10"/>
  <c r="E24" i="10"/>
  <c r="H21" i="10"/>
  <c r="H18" i="10"/>
  <c r="I18" i="10" s="1"/>
  <c r="J18" i="10" s="1"/>
  <c r="H17" i="10"/>
  <c r="H10" i="10"/>
  <c r="I10" i="10" s="1"/>
  <c r="J10" i="10" s="1"/>
  <c r="H4" i="10"/>
  <c r="H106" i="8"/>
  <c r="I106" i="8" s="1"/>
  <c r="J106" i="8" s="1"/>
  <c r="H105" i="8"/>
  <c r="I105" i="8" s="1"/>
  <c r="H84" i="8"/>
  <c r="H81" i="8"/>
  <c r="H79" i="8"/>
  <c r="H77" i="8"/>
  <c r="H74" i="8"/>
  <c r="H68" i="8"/>
  <c r="H64" i="8"/>
  <c r="E63" i="8"/>
  <c r="H62" i="8"/>
  <c r="H60" i="8"/>
  <c r="H58" i="8"/>
  <c r="I58" i="8" s="1"/>
  <c r="H57" i="8"/>
  <c r="H45" i="8"/>
  <c r="H39" i="8"/>
  <c r="H29" i="8"/>
  <c r="E28" i="8"/>
  <c r="H25" i="8"/>
  <c r="E24" i="8"/>
  <c r="H22" i="8"/>
  <c r="H20" i="8"/>
  <c r="H13" i="8"/>
  <c r="H9" i="8"/>
  <c r="H7" i="8"/>
  <c r="H4" i="8"/>
  <c r="I4" i="8" s="1"/>
  <c r="H107" i="6"/>
  <c r="H106" i="6"/>
  <c r="H91" i="6"/>
  <c r="H89" i="6"/>
  <c r="H85" i="6"/>
  <c r="H82" i="6"/>
  <c r="H81" i="6"/>
  <c r="H78" i="6"/>
  <c r="H76" i="6"/>
  <c r="H75" i="6"/>
  <c r="E64" i="6"/>
  <c r="H63" i="6"/>
  <c r="E63" i="6"/>
  <c r="H62" i="6"/>
  <c r="H60" i="6"/>
  <c r="H58" i="6"/>
  <c r="H57" i="6"/>
  <c r="H49" i="6"/>
  <c r="I49" i="6" s="1"/>
  <c r="J49" i="6" s="1"/>
  <c r="H47" i="6"/>
  <c r="H43" i="6"/>
  <c r="I43" i="6" s="1"/>
  <c r="J43" i="6" s="1"/>
  <c r="H39" i="6"/>
  <c r="H29" i="6"/>
  <c r="E28" i="6"/>
  <c r="H26" i="6"/>
  <c r="I26" i="6" s="1"/>
  <c r="J26" i="6" s="1"/>
  <c r="E24" i="6"/>
  <c r="H20" i="6"/>
  <c r="H15" i="6"/>
  <c r="H14" i="6"/>
  <c r="H10" i="6"/>
  <c r="H9" i="6"/>
  <c r="H8" i="6"/>
  <c r="H6" i="6"/>
  <c r="H5" i="6"/>
  <c r="H107" i="4"/>
  <c r="H106" i="4"/>
  <c r="H104" i="4"/>
  <c r="I104" i="4" s="1"/>
  <c r="J104" i="4" s="1"/>
  <c r="K104" i="4" s="1"/>
  <c r="H102" i="4"/>
  <c r="I102" i="4" s="1"/>
  <c r="J102" i="4" s="1"/>
  <c r="K102" i="4" s="1"/>
  <c r="H85" i="4"/>
  <c r="H82" i="4"/>
  <c r="H78" i="4"/>
  <c r="H75" i="4"/>
  <c r="H71" i="4"/>
  <c r="I71" i="4" s="1"/>
  <c r="J71" i="4" s="1"/>
  <c r="H67" i="4"/>
  <c r="H64" i="4"/>
  <c r="I64" i="4" s="1"/>
  <c r="J64" i="4" s="1"/>
  <c r="E64" i="4"/>
  <c r="E63" i="4"/>
  <c r="H62" i="4"/>
  <c r="H60" i="4"/>
  <c r="H57" i="4"/>
  <c r="H56" i="4"/>
  <c r="I56" i="4" s="1"/>
  <c r="J56" i="4" s="1"/>
  <c r="H55" i="4"/>
  <c r="H54" i="4"/>
  <c r="H51" i="4"/>
  <c r="H49" i="4"/>
  <c r="H48" i="4"/>
  <c r="I48" i="4" s="1"/>
  <c r="H45" i="4"/>
  <c r="H44" i="4"/>
  <c r="H40" i="4"/>
  <c r="I40" i="4" s="1"/>
  <c r="H39" i="4"/>
  <c r="H36" i="4"/>
  <c r="I36" i="4" s="1"/>
  <c r="H35" i="4"/>
  <c r="H30" i="4"/>
  <c r="I30" i="4" s="1"/>
  <c r="H29" i="4"/>
  <c r="H28" i="4"/>
  <c r="I28" i="4" s="1"/>
  <c r="E28" i="4"/>
  <c r="H26" i="4"/>
  <c r="E24" i="4"/>
  <c r="H107" i="2"/>
  <c r="H106" i="2"/>
  <c r="H99" i="2"/>
  <c r="H94" i="2"/>
  <c r="H85" i="2"/>
  <c r="H82" i="2"/>
  <c r="H78" i="2"/>
  <c r="H75" i="2"/>
  <c r="E64" i="2"/>
  <c r="E63" i="2"/>
  <c r="H62" i="2"/>
  <c r="H57" i="2"/>
  <c r="H45" i="2"/>
  <c r="H41" i="2"/>
  <c r="I41" i="2" s="1"/>
  <c r="J41" i="2" s="1"/>
  <c r="H39" i="2"/>
  <c r="H35" i="2"/>
  <c r="I35" i="2" s="1"/>
  <c r="J35" i="2" s="1"/>
  <c r="H31" i="2"/>
  <c r="H29" i="2"/>
  <c r="E28" i="2"/>
  <c r="H27" i="2"/>
  <c r="H24" i="2"/>
  <c r="E24" i="2"/>
  <c r="H76" i="12" l="1"/>
  <c r="I76" i="12" s="1"/>
  <c r="H53" i="2"/>
  <c r="I53" i="2" s="1"/>
  <c r="J53" i="2" s="1"/>
  <c r="H32" i="12"/>
  <c r="I32" i="12" s="1"/>
  <c r="J32" i="12" s="1"/>
  <c r="H80" i="12"/>
  <c r="I80" i="12" s="1"/>
  <c r="J80" i="12" s="1"/>
  <c r="H69" i="6"/>
  <c r="I69" i="6" s="1"/>
  <c r="J69" i="6" s="1"/>
  <c r="I54" i="4"/>
  <c r="J54" i="4" s="1"/>
  <c r="H38" i="4"/>
  <c r="I38" i="4" s="1"/>
  <c r="H58" i="4"/>
  <c r="I58" i="4" s="1"/>
  <c r="J58" i="4" s="1"/>
  <c r="H16" i="8"/>
  <c r="I16" i="8" s="1"/>
  <c r="J16" i="8" s="1"/>
  <c r="H15" i="8"/>
  <c r="I15" i="8" s="1"/>
  <c r="J15" i="8" s="1"/>
  <c r="H56" i="8"/>
  <c r="I56" i="8" s="1"/>
  <c r="J56" i="8" s="1"/>
  <c r="H72" i="8"/>
  <c r="I72" i="8" s="1"/>
  <c r="J72" i="8" s="1"/>
  <c r="H78" i="8"/>
  <c r="I78" i="8" s="1"/>
  <c r="J78" i="8" s="1"/>
  <c r="K78" i="8" s="1"/>
  <c r="L78" i="8" s="1"/>
  <c r="H16" i="6"/>
  <c r="I16" i="6" s="1"/>
  <c r="J16" i="6" s="1"/>
  <c r="H18" i="6"/>
  <c r="I18" i="6" s="1"/>
  <c r="J18" i="6" s="1"/>
  <c r="H61" i="8"/>
  <c r="I61" i="8" s="1"/>
  <c r="J61" i="8" s="1"/>
  <c r="H43" i="4"/>
  <c r="I43" i="4" s="1"/>
  <c r="J43" i="4" s="1"/>
  <c r="H69" i="4"/>
  <c r="I69" i="4" s="1"/>
  <c r="J69" i="4" s="1"/>
  <c r="K69" i="4" s="1"/>
  <c r="L69" i="4" s="1"/>
  <c r="H63" i="2"/>
  <c r="I63" i="2" s="1"/>
  <c r="J63" i="2" s="1"/>
  <c r="H52" i="4"/>
  <c r="I52" i="4" s="1"/>
  <c r="J52" i="4" s="1"/>
  <c r="K52" i="4" s="1"/>
  <c r="L52" i="4" s="1"/>
  <c r="H11" i="6"/>
  <c r="I11" i="6" s="1"/>
  <c r="J11" i="6" s="1"/>
  <c r="H41" i="6"/>
  <c r="I41" i="6" s="1"/>
  <c r="J41" i="6" s="1"/>
  <c r="K41" i="6" s="1"/>
  <c r="L41" i="6" s="1"/>
  <c r="H55" i="6"/>
  <c r="I55" i="6" s="1"/>
  <c r="J55" i="6" s="1"/>
  <c r="H73" i="6"/>
  <c r="I73" i="6" s="1"/>
  <c r="J73" i="6" s="1"/>
  <c r="I21" i="10"/>
  <c r="J21" i="10" s="1"/>
  <c r="K21" i="10" s="1"/>
  <c r="L21" i="10" s="1"/>
  <c r="H74" i="4"/>
  <c r="I74" i="4" s="1"/>
  <c r="J74" i="4" s="1"/>
  <c r="H19" i="6"/>
  <c r="I19" i="6" s="1"/>
  <c r="J19" i="6" s="1"/>
  <c r="H7" i="12"/>
  <c r="I7" i="12" s="1"/>
  <c r="J7" i="12" s="1"/>
  <c r="H22" i="12"/>
  <c r="I22" i="12" s="1"/>
  <c r="J22" i="12" s="1"/>
  <c r="K22" i="12" s="1"/>
  <c r="L22" i="12" s="1"/>
  <c r="H90" i="8"/>
  <c r="I90" i="8" s="1"/>
  <c r="J90" i="8" s="1"/>
  <c r="H19" i="10"/>
  <c r="I19" i="10" s="1"/>
  <c r="J19" i="10" s="1"/>
  <c r="H59" i="12"/>
  <c r="I59" i="12" s="1"/>
  <c r="J59" i="12" s="1"/>
  <c r="H21" i="12"/>
  <c r="I21" i="12" s="1"/>
  <c r="J21" i="12" s="1"/>
  <c r="H24" i="12"/>
  <c r="I24" i="12" s="1"/>
  <c r="J24" i="12" s="1"/>
  <c r="H82" i="12"/>
  <c r="I82" i="12" s="1"/>
  <c r="J82" i="12" s="1"/>
  <c r="H53" i="10"/>
  <c r="I53" i="10" s="1"/>
  <c r="H15" i="12"/>
  <c r="I15" i="12" s="1"/>
  <c r="J15" i="12" s="1"/>
  <c r="H92" i="12"/>
  <c r="I92" i="12" s="1"/>
  <c r="H80" i="8"/>
  <c r="I80" i="8" s="1"/>
  <c r="J80" i="8" s="1"/>
  <c r="H86" i="12"/>
  <c r="I86" i="12" s="1"/>
  <c r="J86" i="12" s="1"/>
  <c r="I44" i="4"/>
  <c r="J44" i="4" s="1"/>
  <c r="I60" i="4"/>
  <c r="J60" i="4" s="1"/>
  <c r="I67" i="4"/>
  <c r="J67" i="4" s="1"/>
  <c r="I81" i="6"/>
  <c r="J81" i="6" s="1"/>
  <c r="K81" i="6" s="1"/>
  <c r="L81" i="6" s="1"/>
  <c r="H49" i="2"/>
  <c r="I49" i="2" s="1"/>
  <c r="J49" i="2" s="1"/>
  <c r="K49" i="2" s="1"/>
  <c r="L49" i="2" s="1"/>
  <c r="H46" i="4"/>
  <c r="H47" i="4"/>
  <c r="I47" i="4" s="1"/>
  <c r="J47" i="4" s="1"/>
  <c r="H50" i="4"/>
  <c r="I50" i="4" s="1"/>
  <c r="J50" i="4" s="1"/>
  <c r="K50" i="4" s="1"/>
  <c r="L50" i="4" s="1"/>
  <c r="H66" i="4"/>
  <c r="I66" i="4" s="1"/>
  <c r="J66" i="4" s="1"/>
  <c r="H70" i="4"/>
  <c r="I70" i="4" s="1"/>
  <c r="J70" i="4" s="1"/>
  <c r="H81" i="4"/>
  <c r="I81" i="4" s="1"/>
  <c r="J81" i="4" s="1"/>
  <c r="H5" i="8"/>
  <c r="I5" i="8" s="1"/>
  <c r="J5" i="8" s="1"/>
  <c r="H98" i="10"/>
  <c r="I98" i="10" s="1"/>
  <c r="J98" i="10" s="1"/>
  <c r="H25" i="4"/>
  <c r="I25" i="4" s="1"/>
  <c r="J25" i="4" s="1"/>
  <c r="H42" i="4"/>
  <c r="I42" i="4" s="1"/>
  <c r="H53" i="4"/>
  <c r="I53" i="4" s="1"/>
  <c r="J53" i="4" s="1"/>
  <c r="H65" i="4"/>
  <c r="H73" i="4"/>
  <c r="I73" i="4" s="1"/>
  <c r="J73" i="4" s="1"/>
  <c r="K73" i="4" s="1"/>
  <c r="L73" i="4" s="1"/>
  <c r="H79" i="4"/>
  <c r="I79" i="4" s="1"/>
  <c r="J79" i="4" s="1"/>
  <c r="H80" i="4"/>
  <c r="H17" i="8"/>
  <c r="I17" i="8" s="1"/>
  <c r="H28" i="8"/>
  <c r="I28" i="8" s="1"/>
  <c r="J28" i="8" s="1"/>
  <c r="K28" i="8" s="1"/>
  <c r="L28" i="8" s="1"/>
  <c r="H7" i="6"/>
  <c r="I7" i="6" s="1"/>
  <c r="J7" i="6" s="1"/>
  <c r="H13" i="6"/>
  <c r="I13" i="6" s="1"/>
  <c r="J13" i="6" s="1"/>
  <c r="H22" i="6"/>
  <c r="I22" i="6" s="1"/>
  <c r="J22" i="6" s="1"/>
  <c r="H45" i="6"/>
  <c r="H65" i="6"/>
  <c r="I65" i="6" s="1"/>
  <c r="J65" i="6" s="1"/>
  <c r="H93" i="6"/>
  <c r="I93" i="6" s="1"/>
  <c r="J93" i="6" s="1"/>
  <c r="H41" i="8"/>
  <c r="I41" i="8" s="1"/>
  <c r="J41" i="8" s="1"/>
  <c r="H59" i="8"/>
  <c r="I59" i="8" s="1"/>
  <c r="J59" i="8" s="1"/>
  <c r="H70" i="8"/>
  <c r="I70" i="8" s="1"/>
  <c r="J70" i="8" s="1"/>
  <c r="H72" i="4"/>
  <c r="I72" i="4" s="1"/>
  <c r="J72" i="4" s="1"/>
  <c r="H67" i="6"/>
  <c r="I67" i="6" s="1"/>
  <c r="J67" i="6" s="1"/>
  <c r="K27" i="10"/>
  <c r="L27" i="10" s="1"/>
  <c r="H96" i="10"/>
  <c r="I96" i="10" s="1"/>
  <c r="J96" i="10" s="1"/>
  <c r="I27" i="12"/>
  <c r="J27" i="12" s="1"/>
  <c r="K27" i="12" s="1"/>
  <c r="L27" i="12" s="1"/>
  <c r="H41" i="4"/>
  <c r="I41" i="4" s="1"/>
  <c r="J41" i="4" s="1"/>
  <c r="H4" i="6"/>
  <c r="I4" i="6" s="1"/>
  <c r="J4" i="6" s="1"/>
  <c r="H51" i="6"/>
  <c r="I51" i="6" s="1"/>
  <c r="J51" i="6" s="1"/>
  <c r="K51" i="6" s="1"/>
  <c r="L51" i="6" s="1"/>
  <c r="H10" i="8"/>
  <c r="I10" i="8" s="1"/>
  <c r="H8" i="10"/>
  <c r="I8" i="10" s="1"/>
  <c r="J8" i="10" s="1"/>
  <c r="K8" i="10" s="1"/>
  <c r="L8" i="10" s="1"/>
  <c r="H23" i="10"/>
  <c r="I23" i="10" s="1"/>
  <c r="J23" i="10" s="1"/>
  <c r="H70" i="2"/>
  <c r="I70" i="2" s="1"/>
  <c r="J70" i="2" s="1"/>
  <c r="H68" i="4"/>
  <c r="I68" i="4" s="1"/>
  <c r="J68" i="4" s="1"/>
  <c r="H28" i="6"/>
  <c r="I28" i="6" s="1"/>
  <c r="J28" i="6" s="1"/>
  <c r="H53" i="6"/>
  <c r="I53" i="6" s="1"/>
  <c r="J53" i="6" s="1"/>
  <c r="H71" i="6"/>
  <c r="I71" i="6" s="1"/>
  <c r="J71" i="6" s="1"/>
  <c r="H79" i="6"/>
  <c r="I79" i="6" s="1"/>
  <c r="J79" i="6" s="1"/>
  <c r="H6" i="10"/>
  <c r="I6" i="10" s="1"/>
  <c r="J6" i="10" s="1"/>
  <c r="I60" i="8"/>
  <c r="J60" i="8" s="1"/>
  <c r="H86" i="6"/>
  <c r="I86" i="6" s="1"/>
  <c r="J86" i="6" s="1"/>
  <c r="H101" i="6"/>
  <c r="I101" i="6" s="1"/>
  <c r="H103" i="6"/>
  <c r="I103" i="6" s="1"/>
  <c r="H11" i="8"/>
  <c r="I11" i="8" s="1"/>
  <c r="J11" i="8" s="1"/>
  <c r="J26" i="10"/>
  <c r="K26" i="10" s="1"/>
  <c r="L26" i="10" s="1"/>
  <c r="H18" i="8"/>
  <c r="I18" i="8" s="1"/>
  <c r="J18" i="8" s="1"/>
  <c r="H63" i="8"/>
  <c r="I63" i="8" s="1"/>
  <c r="J63" i="8" s="1"/>
  <c r="H66" i="8"/>
  <c r="I66" i="8" s="1"/>
  <c r="J66" i="8" s="1"/>
  <c r="J105" i="8"/>
  <c r="K105" i="8" s="1"/>
  <c r="L105" i="8" s="1"/>
  <c r="H9" i="12"/>
  <c r="I9" i="12" s="1"/>
  <c r="H19" i="12"/>
  <c r="I19" i="12" s="1"/>
  <c r="J19" i="12" s="1"/>
  <c r="H53" i="12"/>
  <c r="I53" i="12" s="1"/>
  <c r="H69" i="12"/>
  <c r="I69" i="12" s="1"/>
  <c r="H90" i="12"/>
  <c r="H16" i="12"/>
  <c r="I16" i="12" s="1"/>
  <c r="J16" i="12" s="1"/>
  <c r="H29" i="12"/>
  <c r="H33" i="12"/>
  <c r="I33" i="12" s="1"/>
  <c r="H93" i="12"/>
  <c r="I93" i="12" s="1"/>
  <c r="J93" i="12" s="1"/>
  <c r="K93" i="12" s="1"/>
  <c r="L93" i="12" s="1"/>
  <c r="H85" i="8"/>
  <c r="I85" i="8" s="1"/>
  <c r="J85" i="8" s="1"/>
  <c r="H6" i="12"/>
  <c r="I6" i="12" s="1"/>
  <c r="H35" i="12"/>
  <c r="I35" i="12" s="1"/>
  <c r="J35" i="12" s="1"/>
  <c r="H51" i="12"/>
  <c r="I51" i="12" s="1"/>
  <c r="J51" i="12" s="1"/>
  <c r="H78" i="12"/>
  <c r="I78" i="12" s="1"/>
  <c r="J78" i="12" s="1"/>
  <c r="H23" i="8"/>
  <c r="I23" i="8" s="1"/>
  <c r="H46" i="8"/>
  <c r="I46" i="8" s="1"/>
  <c r="J46" i="8" s="1"/>
  <c r="H50" i="8"/>
  <c r="I50" i="8" s="1"/>
  <c r="J50" i="8" s="1"/>
  <c r="H54" i="8"/>
  <c r="I54" i="8" s="1"/>
  <c r="J54" i="8" s="1"/>
  <c r="I79" i="8"/>
  <c r="J79" i="8" s="1"/>
  <c r="K79" i="8" s="1"/>
  <c r="L79" i="8" s="1"/>
  <c r="H88" i="8"/>
  <c r="I88" i="8" s="1"/>
  <c r="J88" i="8" s="1"/>
  <c r="H61" i="10"/>
  <c r="I61" i="10" s="1"/>
  <c r="I27" i="2"/>
  <c r="J27" i="2" s="1"/>
  <c r="I24" i="2"/>
  <c r="J24" i="2" s="1"/>
  <c r="H42" i="2"/>
  <c r="H26" i="2"/>
  <c r="H36" i="2"/>
  <c r="H50" i="2"/>
  <c r="I31" i="2"/>
  <c r="J31" i="2" s="1"/>
  <c r="H43" i="2"/>
  <c r="H37" i="2"/>
  <c r="K41" i="2"/>
  <c r="L41" i="2" s="1"/>
  <c r="H51" i="2"/>
  <c r="K35" i="2"/>
  <c r="L35" i="2" s="1"/>
  <c r="H5" i="2"/>
  <c r="H7" i="2"/>
  <c r="H9" i="2"/>
  <c r="H11" i="2"/>
  <c r="H13" i="2"/>
  <c r="H15" i="2"/>
  <c r="H16" i="2"/>
  <c r="H18" i="2"/>
  <c r="H20" i="2"/>
  <c r="H22" i="2"/>
  <c r="H30" i="2"/>
  <c r="H38" i="2"/>
  <c r="H44" i="2"/>
  <c r="H52" i="2"/>
  <c r="H71" i="2"/>
  <c r="H72" i="2"/>
  <c r="I99" i="2"/>
  <c r="J99" i="2" s="1"/>
  <c r="K56" i="4"/>
  <c r="L56" i="4" s="1"/>
  <c r="H69" i="2"/>
  <c r="H77" i="2"/>
  <c r="H80" i="2"/>
  <c r="H81" i="2"/>
  <c r="H93" i="2"/>
  <c r="H96" i="2"/>
  <c r="H32" i="2"/>
  <c r="I45" i="2"/>
  <c r="J45" i="2" s="1"/>
  <c r="H46" i="2"/>
  <c r="H54" i="2"/>
  <c r="H67" i="2"/>
  <c r="H68" i="2"/>
  <c r="H76" i="2"/>
  <c r="H79" i="2"/>
  <c r="H84" i="2"/>
  <c r="H91" i="2"/>
  <c r="H92" i="2"/>
  <c r="I94" i="2"/>
  <c r="J94" i="2" s="1"/>
  <c r="I107" i="2"/>
  <c r="J107" i="2" s="1"/>
  <c r="H25" i="2"/>
  <c r="H33" i="2"/>
  <c r="H47" i="2"/>
  <c r="H55" i="2"/>
  <c r="H65" i="2"/>
  <c r="H66" i="2"/>
  <c r="H83" i="2"/>
  <c r="H89" i="2"/>
  <c r="H90" i="2"/>
  <c r="K71" i="4"/>
  <c r="L71" i="4" s="1"/>
  <c r="H4" i="2"/>
  <c r="H6" i="2"/>
  <c r="H8" i="2"/>
  <c r="H10" i="2"/>
  <c r="H12" i="2"/>
  <c r="H14" i="2"/>
  <c r="H17" i="2"/>
  <c r="H19" i="2"/>
  <c r="H21" i="2"/>
  <c r="H23" i="2"/>
  <c r="H28" i="2"/>
  <c r="H34" i="2"/>
  <c r="H40" i="2"/>
  <c r="H48" i="2"/>
  <c r="H56" i="2"/>
  <c r="H64" i="2"/>
  <c r="H86" i="2"/>
  <c r="H87" i="2"/>
  <c r="K64" i="4"/>
  <c r="L64" i="4" s="1"/>
  <c r="H61" i="2"/>
  <c r="H59" i="2"/>
  <c r="H60" i="2"/>
  <c r="H58" i="2"/>
  <c r="H73" i="2"/>
  <c r="H74" i="2"/>
  <c r="I106" i="2"/>
  <c r="J106" i="2" s="1"/>
  <c r="H87" i="4"/>
  <c r="H96" i="4"/>
  <c r="J30" i="4"/>
  <c r="H31" i="4"/>
  <c r="H32" i="4"/>
  <c r="H76" i="4"/>
  <c r="H90" i="4"/>
  <c r="H97" i="2"/>
  <c r="H102" i="2"/>
  <c r="H104" i="2"/>
  <c r="I26" i="4"/>
  <c r="J26" i="4" s="1"/>
  <c r="H27" i="4"/>
  <c r="H33" i="4"/>
  <c r="H34" i="4"/>
  <c r="J40" i="4"/>
  <c r="H92" i="4"/>
  <c r="L102" i="4"/>
  <c r="K49" i="6"/>
  <c r="L49" i="6" s="1"/>
  <c r="I35" i="4"/>
  <c r="J35" i="4" s="1"/>
  <c r="I51" i="4"/>
  <c r="J51" i="4" s="1"/>
  <c r="H61" i="4"/>
  <c r="H63" i="4"/>
  <c r="H94" i="4"/>
  <c r="I106" i="4"/>
  <c r="J106" i="4" s="1"/>
  <c r="J28" i="4"/>
  <c r="J36" i="4"/>
  <c r="H37" i="4"/>
  <c r="L10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I49" i="4"/>
  <c r="J49" i="4" s="1"/>
  <c r="H101" i="4"/>
  <c r="H101" i="2"/>
  <c r="H103" i="2"/>
  <c r="J48" i="4"/>
  <c r="I45" i="4"/>
  <c r="J45" i="4" s="1"/>
  <c r="I55" i="4"/>
  <c r="J55" i="4" s="1"/>
  <c r="H59" i="4"/>
  <c r="H83" i="4"/>
  <c r="H103" i="4"/>
  <c r="K26" i="6"/>
  <c r="L26" i="6" s="1"/>
  <c r="H77" i="6"/>
  <c r="H99" i="4"/>
  <c r="I107" i="4"/>
  <c r="J107" i="4" s="1"/>
  <c r="H17" i="6"/>
  <c r="H37" i="6"/>
  <c r="H24" i="4"/>
  <c r="H77" i="4"/>
  <c r="H97" i="4"/>
  <c r="K43" i="6"/>
  <c r="L43" i="6" s="1"/>
  <c r="I91" i="6"/>
  <c r="J91" i="6" s="1"/>
  <c r="H84" i="4"/>
  <c r="H86" i="4"/>
  <c r="H89" i="4"/>
  <c r="H91" i="4"/>
  <c r="H93" i="4"/>
  <c r="I47" i="6"/>
  <c r="J47" i="6" s="1"/>
  <c r="I58" i="6"/>
  <c r="J58" i="6" s="1"/>
  <c r="H84" i="6"/>
  <c r="H27" i="6"/>
  <c r="H31" i="6"/>
  <c r="I5" i="6"/>
  <c r="J5" i="6" s="1"/>
  <c r="I9" i="6"/>
  <c r="J9" i="6" s="1"/>
  <c r="H12" i="6"/>
  <c r="I14" i="6"/>
  <c r="J14" i="6" s="1"/>
  <c r="H25" i="6"/>
  <c r="H35" i="6"/>
  <c r="I89" i="6"/>
  <c r="J89" i="6" s="1"/>
  <c r="I60" i="6"/>
  <c r="J60" i="6" s="1"/>
  <c r="I6" i="6"/>
  <c r="J6" i="6" s="1"/>
  <c r="I8" i="6"/>
  <c r="J8" i="6" s="1"/>
  <c r="I10" i="6"/>
  <c r="J10" i="6" s="1"/>
  <c r="H23" i="6"/>
  <c r="H21" i="6"/>
  <c r="H33" i="6"/>
  <c r="H64" i="6"/>
  <c r="H96" i="6"/>
  <c r="H40" i="6"/>
  <c r="H42" i="6"/>
  <c r="H44" i="6"/>
  <c r="H46" i="6"/>
  <c r="H48" i="6"/>
  <c r="H50" i="6"/>
  <c r="H52" i="6"/>
  <c r="H54" i="6"/>
  <c r="H56" i="6"/>
  <c r="H80" i="6"/>
  <c r="H97" i="6"/>
  <c r="I107" i="6"/>
  <c r="J107" i="6" s="1"/>
  <c r="H52" i="8"/>
  <c r="I15" i="6"/>
  <c r="J15" i="6" s="1"/>
  <c r="I20" i="6"/>
  <c r="J20" i="6" s="1"/>
  <c r="H24" i="6"/>
  <c r="H30" i="6"/>
  <c r="H32" i="6"/>
  <c r="H34" i="6"/>
  <c r="H36" i="6"/>
  <c r="H38" i="6"/>
  <c r="H59" i="6"/>
  <c r="H61" i="6"/>
  <c r="I63" i="6"/>
  <c r="J63" i="6" s="1"/>
  <c r="H66" i="6"/>
  <c r="H68" i="6"/>
  <c r="H70" i="6"/>
  <c r="H72" i="6"/>
  <c r="H74" i="6"/>
  <c r="I76" i="6"/>
  <c r="J76" i="6" s="1"/>
  <c r="H87" i="6"/>
  <c r="H90" i="6"/>
  <c r="H92" i="6"/>
  <c r="H94" i="6"/>
  <c r="H8" i="8"/>
  <c r="H14" i="8"/>
  <c r="H21" i="8"/>
  <c r="H83" i="6"/>
  <c r="H99" i="6"/>
  <c r="H104" i="6"/>
  <c r="H102" i="6"/>
  <c r="I106" i="6"/>
  <c r="J106" i="6" s="1"/>
  <c r="H31" i="8"/>
  <c r="H27" i="8"/>
  <c r="H33" i="8"/>
  <c r="I64" i="8"/>
  <c r="J64" i="8" s="1"/>
  <c r="H6" i="8"/>
  <c r="H12" i="8"/>
  <c r="H19" i="8"/>
  <c r="H35" i="8"/>
  <c r="H43" i="8"/>
  <c r="H48" i="8"/>
  <c r="H83" i="8"/>
  <c r="J58" i="8"/>
  <c r="J4" i="8"/>
  <c r="I25" i="8"/>
  <c r="J25" i="8" s="1"/>
  <c r="H37" i="8"/>
  <c r="I68" i="8"/>
  <c r="J68" i="8" s="1"/>
  <c r="I45" i="8"/>
  <c r="J45" i="8" s="1"/>
  <c r="K106" i="8"/>
  <c r="L106" i="8" s="1"/>
  <c r="H95" i="8"/>
  <c r="H96" i="8"/>
  <c r="H100" i="8"/>
  <c r="H75" i="8"/>
  <c r="H91" i="8"/>
  <c r="H101" i="8"/>
  <c r="I7" i="8"/>
  <c r="J7" i="8" s="1"/>
  <c r="I9" i="8"/>
  <c r="J9" i="8" s="1"/>
  <c r="I13" i="8"/>
  <c r="J13" i="8" s="1"/>
  <c r="I20" i="8"/>
  <c r="J20" i="8" s="1"/>
  <c r="I22" i="8"/>
  <c r="J22" i="8" s="1"/>
  <c r="H24" i="8"/>
  <c r="H40" i="8"/>
  <c r="H42" i="8"/>
  <c r="H44" i="8"/>
  <c r="H47" i="8"/>
  <c r="H49" i="8"/>
  <c r="H51" i="8"/>
  <c r="H53" i="8"/>
  <c r="H55" i="8"/>
  <c r="H65" i="8"/>
  <c r="H67" i="8"/>
  <c r="H69" i="8"/>
  <c r="H71" i="8"/>
  <c r="H73" i="8"/>
  <c r="H86" i="8"/>
  <c r="H89" i="8"/>
  <c r="H92" i="8"/>
  <c r="H102" i="8"/>
  <c r="H26" i="8"/>
  <c r="H30" i="8"/>
  <c r="H32" i="8"/>
  <c r="H34" i="8"/>
  <c r="H36" i="8"/>
  <c r="H38" i="8"/>
  <c r="H82" i="8"/>
  <c r="H93" i="8"/>
  <c r="H103" i="8"/>
  <c r="H98" i="8"/>
  <c r="H76" i="8"/>
  <c r="I43" i="10"/>
  <c r="J43" i="10" s="1"/>
  <c r="H16" i="10"/>
  <c r="K18" i="10"/>
  <c r="L18" i="10" s="1"/>
  <c r="L31" i="10"/>
  <c r="K10" i="10"/>
  <c r="L10" i="10" s="1"/>
  <c r="H14" i="10"/>
  <c r="H11" i="10"/>
  <c r="H25" i="10"/>
  <c r="H35" i="10"/>
  <c r="H42" i="10"/>
  <c r="H46" i="10"/>
  <c r="H49" i="10"/>
  <c r="H52" i="10"/>
  <c r="H58" i="10"/>
  <c r="H73" i="10"/>
  <c r="I82" i="10"/>
  <c r="J82" i="10" s="1"/>
  <c r="I100" i="10"/>
  <c r="J100" i="10" s="1"/>
  <c r="H7" i="10"/>
  <c r="H20" i="10"/>
  <c r="I24" i="10"/>
  <c r="J24" i="10" s="1"/>
  <c r="H15" i="10"/>
  <c r="H34" i="10"/>
  <c r="H38" i="10"/>
  <c r="H41" i="10"/>
  <c r="H45" i="10"/>
  <c r="H60" i="10"/>
  <c r="H67" i="10"/>
  <c r="I4" i="10"/>
  <c r="J4" i="10" s="1"/>
  <c r="H12" i="10"/>
  <c r="I17" i="10"/>
  <c r="J17" i="10" s="1"/>
  <c r="H30" i="10"/>
  <c r="J63" i="10"/>
  <c r="H5" i="10"/>
  <c r="H33" i="10"/>
  <c r="H37" i="10"/>
  <c r="H40" i="10"/>
  <c r="I51" i="10"/>
  <c r="J51" i="10" s="1"/>
  <c r="H72" i="10"/>
  <c r="H13" i="10"/>
  <c r="H22" i="10"/>
  <c r="I83" i="10"/>
  <c r="J83" i="10" s="1"/>
  <c r="H9" i="10"/>
  <c r="H28" i="10"/>
  <c r="J32" i="10"/>
  <c r="H36" i="10"/>
  <c r="I47" i="10"/>
  <c r="J47" i="10" s="1"/>
  <c r="H50" i="10"/>
  <c r="H59" i="10"/>
  <c r="H66" i="10"/>
  <c r="H56" i="10"/>
  <c r="H54" i="10"/>
  <c r="J55" i="10"/>
  <c r="H70" i="10"/>
  <c r="H71" i="10"/>
  <c r="H76" i="10"/>
  <c r="H48" i="10"/>
  <c r="H68" i="10"/>
  <c r="H69" i="10"/>
  <c r="H75" i="10"/>
  <c r="H44" i="10"/>
  <c r="H64" i="10"/>
  <c r="H65" i="10"/>
  <c r="H78" i="10"/>
  <c r="H79" i="10"/>
  <c r="I102" i="10"/>
  <c r="J102" i="10" s="1"/>
  <c r="H88" i="10"/>
  <c r="H89" i="10"/>
  <c r="H95" i="10"/>
  <c r="H101" i="10"/>
  <c r="H103" i="10"/>
  <c r="I106" i="10"/>
  <c r="J106" i="10" s="1"/>
  <c r="H90" i="10"/>
  <c r="H85" i="10"/>
  <c r="H91" i="10"/>
  <c r="H80" i="10"/>
  <c r="H86" i="10"/>
  <c r="H92" i="10"/>
  <c r="I105" i="10"/>
  <c r="J105" i="10" s="1"/>
  <c r="H93" i="10"/>
  <c r="H5" i="12"/>
  <c r="H37" i="12"/>
  <c r="H12" i="12"/>
  <c r="L31" i="12"/>
  <c r="H49" i="12"/>
  <c r="H38" i="12"/>
  <c r="H25" i="12"/>
  <c r="H57" i="12"/>
  <c r="H67" i="12"/>
  <c r="H70" i="12"/>
  <c r="H8" i="12"/>
  <c r="H10" i="12"/>
  <c r="H28" i="12"/>
  <c r="H43" i="12"/>
  <c r="H61" i="12"/>
  <c r="H66" i="12"/>
  <c r="H4" i="12"/>
  <c r="H20" i="12"/>
  <c r="H26" i="12"/>
  <c r="H30" i="12"/>
  <c r="H36" i="12"/>
  <c r="H46" i="12"/>
  <c r="H47" i="12"/>
  <c r="H54" i="12"/>
  <c r="H55" i="12"/>
  <c r="H13" i="12"/>
  <c r="H23" i="12"/>
  <c r="H42" i="12"/>
  <c r="H63" i="12"/>
  <c r="H11" i="12"/>
  <c r="H14" i="12"/>
  <c r="H17" i="12"/>
  <c r="H40" i="12"/>
  <c r="H44" i="12"/>
  <c r="H52" i="12"/>
  <c r="H68" i="12"/>
  <c r="H103" i="12"/>
  <c r="H101" i="12"/>
  <c r="H50" i="12"/>
  <c r="H71" i="12"/>
  <c r="H34" i="12"/>
  <c r="H60" i="12"/>
  <c r="H64" i="12"/>
  <c r="H72" i="12"/>
  <c r="H75" i="12"/>
  <c r="H18" i="12"/>
  <c r="H41" i="12"/>
  <c r="H45" i="12"/>
  <c r="H48" i="12"/>
  <c r="H56" i="12"/>
  <c r="H58" i="12"/>
  <c r="H65" i="12"/>
  <c r="H73" i="12"/>
  <c r="I105" i="12"/>
  <c r="J105" i="12" s="1"/>
  <c r="H95" i="12"/>
  <c r="I106" i="12"/>
  <c r="J106" i="12" s="1"/>
  <c r="H79" i="12"/>
  <c r="H83" i="12"/>
  <c r="H89" i="12"/>
  <c r="H91" i="12"/>
  <c r="H74" i="12"/>
  <c r="H96" i="12"/>
  <c r="H98" i="12"/>
  <c r="H100" i="12"/>
  <c r="H102" i="12"/>
  <c r="H85" i="12"/>
  <c r="H88" i="12"/>
  <c r="J69" i="12" l="1"/>
  <c r="J33" i="12"/>
  <c r="K33" i="12" s="1"/>
  <c r="L33" i="12" s="1"/>
  <c r="J6" i="12"/>
  <c r="K6" i="12" s="1"/>
  <c r="L6" i="12" s="1"/>
  <c r="J42" i="4"/>
  <c r="K42" i="4" s="1"/>
  <c r="L42" i="4" s="1"/>
  <c r="J92" i="12"/>
  <c r="K92" i="12" s="1"/>
  <c r="L92" i="12" s="1"/>
  <c r="M92" i="12" s="1"/>
  <c r="N92" i="12" s="1"/>
  <c r="J53" i="12"/>
  <c r="K53" i="12" s="1"/>
  <c r="L53" i="12" s="1"/>
  <c r="J76" i="12"/>
  <c r="K76" i="12" s="1"/>
  <c r="L76" i="12" s="1"/>
  <c r="J9" i="12"/>
  <c r="K9" i="12" s="1"/>
  <c r="L9" i="12" s="1"/>
  <c r="J17" i="8"/>
  <c r="K17" i="8" s="1"/>
  <c r="L17" i="8" s="1"/>
  <c r="J53" i="10"/>
  <c r="K53" i="10" s="1"/>
  <c r="L53" i="10" s="1"/>
  <c r="J23" i="8"/>
  <c r="K23" i="8" s="1"/>
  <c r="L23" i="8" s="1"/>
  <c r="J61" i="10"/>
  <c r="K61" i="10" s="1"/>
  <c r="L61" i="10" s="1"/>
  <c r="J103" i="6"/>
  <c r="K103" i="6" s="1"/>
  <c r="L103" i="6" s="1"/>
  <c r="J10" i="8"/>
  <c r="K10" i="8" s="1"/>
  <c r="L10" i="8" s="1"/>
  <c r="J101" i="6"/>
  <c r="K101" i="6" s="1"/>
  <c r="L101" i="6" s="1"/>
  <c r="M21" i="10"/>
  <c r="N21" i="10" s="1"/>
  <c r="K54" i="4"/>
  <c r="L54" i="4" s="1"/>
  <c r="M54" i="4" s="1"/>
  <c r="N54" i="4" s="1"/>
  <c r="J38" i="4"/>
  <c r="K38" i="4" s="1"/>
  <c r="L38" i="4" s="1"/>
  <c r="M38" i="4" s="1"/>
  <c r="N38" i="4" s="1"/>
  <c r="K58" i="4"/>
  <c r="L58" i="4" s="1"/>
  <c r="M27" i="10"/>
  <c r="N27" i="10" s="1"/>
  <c r="K67" i="4"/>
  <c r="L67" i="4" s="1"/>
  <c r="M67" i="4" s="1"/>
  <c r="N67" i="4" s="1"/>
  <c r="K60" i="8"/>
  <c r="L60" i="8" s="1"/>
  <c r="K80" i="8"/>
  <c r="L80" i="8" s="1"/>
  <c r="K7" i="12"/>
  <c r="L7" i="12" s="1"/>
  <c r="M7" i="12" s="1"/>
  <c r="N7" i="12" s="1"/>
  <c r="K60" i="4"/>
  <c r="L60" i="4" s="1"/>
  <c r="M60" i="4" s="1"/>
  <c r="N60" i="4" s="1"/>
  <c r="K44" i="4"/>
  <c r="L44" i="4" s="1"/>
  <c r="M44" i="4" s="1"/>
  <c r="N44" i="4" s="1"/>
  <c r="I80" i="4"/>
  <c r="J80" i="4" s="1"/>
  <c r="K81" i="4"/>
  <c r="L81" i="4" s="1"/>
  <c r="K79" i="4"/>
  <c r="L79" i="4" s="1"/>
  <c r="I90" i="12"/>
  <c r="J90" i="12" s="1"/>
  <c r="K90" i="12" s="1"/>
  <c r="L90" i="12" s="1"/>
  <c r="M90" i="12" s="1"/>
  <c r="N90" i="12" s="1"/>
  <c r="I65" i="4"/>
  <c r="J65" i="4" s="1"/>
  <c r="I46" i="4"/>
  <c r="J46" i="4" s="1"/>
  <c r="I45" i="6"/>
  <c r="J45" i="6" s="1"/>
  <c r="K45" i="6" s="1"/>
  <c r="L45" i="6" s="1"/>
  <c r="M45" i="6" s="1"/>
  <c r="N45" i="6" s="1"/>
  <c r="K102" i="10"/>
  <c r="L102" i="10" s="1"/>
  <c r="K82" i="10"/>
  <c r="L82" i="10" s="1"/>
  <c r="K105" i="12"/>
  <c r="L105" i="12" s="1"/>
  <c r="K24" i="12"/>
  <c r="L24" i="12" s="1"/>
  <c r="K18" i="8"/>
  <c r="L18" i="8" s="1"/>
  <c r="K5" i="8"/>
  <c r="L5" i="8" s="1"/>
  <c r="K90" i="8"/>
  <c r="L90" i="8" s="1"/>
  <c r="K64" i="8"/>
  <c r="L64" i="8" s="1"/>
  <c r="K76" i="6"/>
  <c r="L76" i="6" s="1"/>
  <c r="K22" i="6"/>
  <c r="L22" i="6" s="1"/>
  <c r="K4" i="6"/>
  <c r="L4" i="6" s="1"/>
  <c r="K89" i="6"/>
  <c r="L89" i="6" s="1"/>
  <c r="K73" i="6"/>
  <c r="L73" i="6" s="1"/>
  <c r="K86" i="6"/>
  <c r="L86" i="6" s="1"/>
  <c r="K68" i="4"/>
  <c r="L68" i="4" s="1"/>
  <c r="K45" i="2"/>
  <c r="L45" i="2" s="1"/>
  <c r="M8" i="10"/>
  <c r="N8" i="10" s="1"/>
  <c r="K68" i="8"/>
  <c r="L68" i="8" s="1"/>
  <c r="M79" i="8"/>
  <c r="N79" i="8" s="1"/>
  <c r="M78" i="8"/>
  <c r="N78" i="8" s="1"/>
  <c r="K20" i="6"/>
  <c r="L20" i="6" s="1"/>
  <c r="K71" i="6"/>
  <c r="L71" i="6" s="1"/>
  <c r="K9" i="6"/>
  <c r="L9" i="6" s="1"/>
  <c r="K69" i="6"/>
  <c r="L69" i="6" s="1"/>
  <c r="K55" i="6"/>
  <c r="L55" i="6" s="1"/>
  <c r="K45" i="4"/>
  <c r="L45" i="4" s="1"/>
  <c r="M49" i="6"/>
  <c r="N49" i="6" s="1"/>
  <c r="K72" i="4"/>
  <c r="L72" i="4" s="1"/>
  <c r="K25" i="4"/>
  <c r="L25" i="4" s="1"/>
  <c r="M50" i="4"/>
  <c r="N50" i="4" s="1"/>
  <c r="M71" i="4"/>
  <c r="N71" i="4" s="1"/>
  <c r="K80" i="12"/>
  <c r="L80" i="12" s="1"/>
  <c r="K19" i="12"/>
  <c r="L19" i="12" s="1"/>
  <c r="K17" i="10"/>
  <c r="L17" i="10" s="1"/>
  <c r="K16" i="12"/>
  <c r="L16" i="12" s="1"/>
  <c r="M27" i="12"/>
  <c r="N27" i="12" s="1"/>
  <c r="K63" i="8"/>
  <c r="L63" i="8" s="1"/>
  <c r="K15" i="8"/>
  <c r="L15" i="8" s="1"/>
  <c r="K56" i="8"/>
  <c r="L56" i="8" s="1"/>
  <c r="K70" i="8"/>
  <c r="L70" i="8" s="1"/>
  <c r="K18" i="6"/>
  <c r="L18" i="6" s="1"/>
  <c r="K67" i="6"/>
  <c r="L67" i="6" s="1"/>
  <c r="K65" i="6"/>
  <c r="L65" i="6" s="1"/>
  <c r="K58" i="6"/>
  <c r="L58" i="6" s="1"/>
  <c r="M69" i="4"/>
  <c r="N69" i="4" s="1"/>
  <c r="K24" i="2"/>
  <c r="L24" i="2" s="1"/>
  <c r="K98" i="10"/>
  <c r="L98" i="10" s="1"/>
  <c r="K13" i="8"/>
  <c r="L13" i="8" s="1"/>
  <c r="K45" i="8"/>
  <c r="L45" i="8" s="1"/>
  <c r="K66" i="8"/>
  <c r="L66" i="8" s="1"/>
  <c r="K107" i="6"/>
  <c r="L107" i="6" s="1"/>
  <c r="K14" i="6"/>
  <c r="L14" i="6" s="1"/>
  <c r="K53" i="6"/>
  <c r="L53" i="6" s="1"/>
  <c r="K107" i="4"/>
  <c r="L107" i="4" s="1"/>
  <c r="M73" i="4"/>
  <c r="N73" i="4" s="1"/>
  <c r="K70" i="2"/>
  <c r="L70" i="2" s="1"/>
  <c r="M56" i="4"/>
  <c r="N56" i="4" s="1"/>
  <c r="K51" i="10"/>
  <c r="L51" i="10" s="1"/>
  <c r="K86" i="12"/>
  <c r="L86" i="12" s="1"/>
  <c r="K82" i="12"/>
  <c r="L82" i="12" s="1"/>
  <c r="K59" i="12"/>
  <c r="L59" i="12" s="1"/>
  <c r="K51" i="12"/>
  <c r="L51" i="12" s="1"/>
  <c r="M10" i="10"/>
  <c r="N10" i="10" s="1"/>
  <c r="K59" i="8"/>
  <c r="L59" i="8" s="1"/>
  <c r="K11" i="8"/>
  <c r="L11" i="8" s="1"/>
  <c r="K15" i="6"/>
  <c r="L15" i="6" s="1"/>
  <c r="K10" i="6"/>
  <c r="L10" i="6" s="1"/>
  <c r="K79" i="6"/>
  <c r="L79" i="6" s="1"/>
  <c r="K74" i="4"/>
  <c r="L74" i="4" s="1"/>
  <c r="K63" i="2"/>
  <c r="L63" i="2" s="1"/>
  <c r="K53" i="2"/>
  <c r="L53" i="2" s="1"/>
  <c r="K31" i="2"/>
  <c r="L31" i="2" s="1"/>
  <c r="K78" i="12"/>
  <c r="L78" i="12" s="1"/>
  <c r="K15" i="12"/>
  <c r="L15" i="12" s="1"/>
  <c r="K13" i="6"/>
  <c r="L13" i="6" s="1"/>
  <c r="M51" i="6"/>
  <c r="N51" i="6" s="1"/>
  <c r="M26" i="6"/>
  <c r="N26" i="6" s="1"/>
  <c r="K26" i="4"/>
  <c r="L26" i="4" s="1"/>
  <c r="K94" i="2"/>
  <c r="L94" i="2" s="1"/>
  <c r="K99" i="2"/>
  <c r="L99" i="2" s="1"/>
  <c r="K19" i="10"/>
  <c r="L19" i="10" s="1"/>
  <c r="K22" i="8"/>
  <c r="L22" i="8" s="1"/>
  <c r="K9" i="8"/>
  <c r="L9" i="8" s="1"/>
  <c r="K25" i="8"/>
  <c r="L25" i="8" s="1"/>
  <c r="K85" i="8"/>
  <c r="L85" i="8" s="1"/>
  <c r="K11" i="6"/>
  <c r="L11" i="6" s="1"/>
  <c r="K8" i="6"/>
  <c r="L8" i="6" s="1"/>
  <c r="M81" i="6"/>
  <c r="N81" i="6" s="1"/>
  <c r="M43" i="6"/>
  <c r="N43" i="6" s="1"/>
  <c r="K51" i="4"/>
  <c r="L51" i="4" s="1"/>
  <c r="K21" i="12"/>
  <c r="L21" i="12" s="1"/>
  <c r="M22" i="12"/>
  <c r="N22" i="12" s="1"/>
  <c r="K4" i="10"/>
  <c r="L4" i="10" s="1"/>
  <c r="K24" i="10"/>
  <c r="L24" i="10" s="1"/>
  <c r="K20" i="8"/>
  <c r="L20" i="8" s="1"/>
  <c r="K7" i="8"/>
  <c r="L7" i="8" s="1"/>
  <c r="M106" i="8"/>
  <c r="N106" i="8" s="1"/>
  <c r="M105" i="8"/>
  <c r="N105" i="8" s="1"/>
  <c r="K72" i="8"/>
  <c r="L72" i="8" s="1"/>
  <c r="K106" i="6"/>
  <c r="L106" i="6" s="1"/>
  <c r="K63" i="6"/>
  <c r="L63" i="6" s="1"/>
  <c r="K6" i="6"/>
  <c r="L6" i="6" s="1"/>
  <c r="K93" i="6"/>
  <c r="L93" i="6" s="1"/>
  <c r="K70" i="4"/>
  <c r="L70" i="4" s="1"/>
  <c r="K35" i="4"/>
  <c r="L35" i="4" s="1"/>
  <c r="I100" i="12"/>
  <c r="J100" i="12" s="1"/>
  <c r="I73" i="12"/>
  <c r="J73" i="12" s="1"/>
  <c r="K69" i="12"/>
  <c r="L69" i="12" s="1"/>
  <c r="I85" i="12"/>
  <c r="J85" i="12" s="1"/>
  <c r="I98" i="12"/>
  <c r="J98" i="12" s="1"/>
  <c r="I91" i="12"/>
  <c r="J91" i="12" s="1"/>
  <c r="I75" i="12"/>
  <c r="J75" i="12" s="1"/>
  <c r="I68" i="12"/>
  <c r="J68" i="12" s="1"/>
  <c r="I14" i="12"/>
  <c r="J14" i="12" s="1"/>
  <c r="I63" i="12"/>
  <c r="J63" i="12" s="1"/>
  <c r="M31" i="12"/>
  <c r="N31" i="12" s="1"/>
  <c r="I86" i="10"/>
  <c r="J86" i="10" s="1"/>
  <c r="I69" i="10"/>
  <c r="J69" i="10" s="1"/>
  <c r="I9" i="10"/>
  <c r="J9" i="10" s="1"/>
  <c r="K63" i="10"/>
  <c r="L63" i="10" s="1"/>
  <c r="I49" i="10"/>
  <c r="J49" i="10" s="1"/>
  <c r="I32" i="8"/>
  <c r="J32" i="8" s="1"/>
  <c r="I47" i="8"/>
  <c r="J47" i="8" s="1"/>
  <c r="I35" i="8"/>
  <c r="J35" i="8" s="1"/>
  <c r="I21" i="8"/>
  <c r="J21" i="8" s="1"/>
  <c r="I70" i="6"/>
  <c r="J70" i="6" s="1"/>
  <c r="I36" i="6"/>
  <c r="J36" i="6" s="1"/>
  <c r="I52" i="8"/>
  <c r="J52" i="8" s="1"/>
  <c r="I54" i="6"/>
  <c r="J54" i="6" s="1"/>
  <c r="I46" i="6"/>
  <c r="J46" i="6" s="1"/>
  <c r="I21" i="6"/>
  <c r="J21" i="6" s="1"/>
  <c r="I12" i="6"/>
  <c r="J12" i="6" s="1"/>
  <c r="I99" i="4"/>
  <c r="J99" i="4" s="1"/>
  <c r="I59" i="4"/>
  <c r="J59" i="4" s="1"/>
  <c r="I103" i="2"/>
  <c r="J103" i="2" s="1"/>
  <c r="I22" i="4"/>
  <c r="J22" i="4" s="1"/>
  <c r="I18" i="4"/>
  <c r="J18" i="4" s="1"/>
  <c r="I15" i="4"/>
  <c r="J15" i="4" s="1"/>
  <c r="I11" i="4"/>
  <c r="J11" i="4" s="1"/>
  <c r="I9" i="4"/>
  <c r="J9" i="4" s="1"/>
  <c r="I5" i="4"/>
  <c r="J5" i="4" s="1"/>
  <c r="K36" i="4"/>
  <c r="L36" i="4" s="1"/>
  <c r="I97" i="2"/>
  <c r="J97" i="2" s="1"/>
  <c r="I73" i="2"/>
  <c r="J73" i="2" s="1"/>
  <c r="I86" i="2"/>
  <c r="J86" i="2" s="1"/>
  <c r="I56" i="2"/>
  <c r="J56" i="2" s="1"/>
  <c r="I21" i="2"/>
  <c r="J21" i="2" s="1"/>
  <c r="I8" i="2"/>
  <c r="J8" i="2" s="1"/>
  <c r="I83" i="2"/>
  <c r="J83" i="2" s="1"/>
  <c r="I47" i="2"/>
  <c r="J47" i="2" s="1"/>
  <c r="I91" i="2"/>
  <c r="J91" i="2" s="1"/>
  <c r="I79" i="2"/>
  <c r="J79" i="2" s="1"/>
  <c r="I96" i="2"/>
  <c r="J96" i="2" s="1"/>
  <c r="I15" i="2"/>
  <c r="J15" i="2" s="1"/>
  <c r="I26" i="2"/>
  <c r="J26" i="2" s="1"/>
  <c r="I65" i="12"/>
  <c r="J65" i="12" s="1"/>
  <c r="I60" i="12"/>
  <c r="J60" i="12" s="1"/>
  <c r="I50" i="12"/>
  <c r="J50" i="12" s="1"/>
  <c r="I103" i="12"/>
  <c r="J103" i="12" s="1"/>
  <c r="I40" i="12"/>
  <c r="J40" i="12" s="1"/>
  <c r="K32" i="12"/>
  <c r="L32" i="12" s="1"/>
  <c r="I54" i="12"/>
  <c r="J54" i="12" s="1"/>
  <c r="I36" i="12"/>
  <c r="J36" i="12" s="1"/>
  <c r="I28" i="12"/>
  <c r="J28" i="12" s="1"/>
  <c r="I38" i="12"/>
  <c r="J38" i="12" s="1"/>
  <c r="I12" i="12"/>
  <c r="J12" i="12" s="1"/>
  <c r="I80" i="10"/>
  <c r="J80" i="10" s="1"/>
  <c r="I91" i="10"/>
  <c r="J91" i="10" s="1"/>
  <c r="I56" i="10"/>
  <c r="J56" i="10" s="1"/>
  <c r="K47" i="10"/>
  <c r="L47" i="10" s="1"/>
  <c r="I22" i="10"/>
  <c r="J22" i="10" s="1"/>
  <c r="I40" i="10"/>
  <c r="J40" i="10" s="1"/>
  <c r="I12" i="10"/>
  <c r="J12" i="10" s="1"/>
  <c r="I45" i="10"/>
  <c r="J45" i="10" s="1"/>
  <c r="I34" i="10"/>
  <c r="J34" i="10" s="1"/>
  <c r="I35" i="10"/>
  <c r="J35" i="10" s="1"/>
  <c r="I16" i="10"/>
  <c r="J16" i="10" s="1"/>
  <c r="K6" i="10"/>
  <c r="L6" i="10" s="1"/>
  <c r="K43" i="10"/>
  <c r="L43" i="10" s="1"/>
  <c r="I30" i="8"/>
  <c r="J30" i="8" s="1"/>
  <c r="I89" i="8"/>
  <c r="J89" i="8" s="1"/>
  <c r="I44" i="8"/>
  <c r="J44" i="8" s="1"/>
  <c r="I101" i="8"/>
  <c r="J101" i="8" s="1"/>
  <c r="K16" i="8"/>
  <c r="L16" i="8" s="1"/>
  <c r="I33" i="8"/>
  <c r="J33" i="8" s="1"/>
  <c r="K41" i="8"/>
  <c r="L41" i="8" s="1"/>
  <c r="I102" i="6"/>
  <c r="J102" i="6" s="1"/>
  <c r="I94" i="6"/>
  <c r="J94" i="6" s="1"/>
  <c r="I68" i="6"/>
  <c r="J68" i="6" s="1"/>
  <c r="I34" i="6"/>
  <c r="J34" i="6" s="1"/>
  <c r="M26" i="10"/>
  <c r="N26" i="10" s="1"/>
  <c r="I23" i="6"/>
  <c r="J23" i="6" s="1"/>
  <c r="K60" i="6"/>
  <c r="L60" i="6" s="1"/>
  <c r="K7" i="6"/>
  <c r="L7" i="6" s="1"/>
  <c r="I31" i="6"/>
  <c r="J31" i="6" s="1"/>
  <c r="K91" i="6"/>
  <c r="L91" i="6" s="1"/>
  <c r="I17" i="6"/>
  <c r="J17" i="6" s="1"/>
  <c r="I101" i="2"/>
  <c r="J101" i="2" s="1"/>
  <c r="K28" i="4"/>
  <c r="L28" i="4" s="1"/>
  <c r="I63" i="4"/>
  <c r="J63" i="4" s="1"/>
  <c r="I76" i="4"/>
  <c r="J76" i="4" s="1"/>
  <c r="I59" i="2"/>
  <c r="J59" i="2" s="1"/>
  <c r="M64" i="4"/>
  <c r="N64" i="4" s="1"/>
  <c r="I34" i="2"/>
  <c r="J34" i="2" s="1"/>
  <c r="I19" i="2"/>
  <c r="J19" i="2" s="1"/>
  <c r="I6" i="2"/>
  <c r="J6" i="2" s="1"/>
  <c r="I66" i="2"/>
  <c r="J66" i="2" s="1"/>
  <c r="I33" i="2"/>
  <c r="J33" i="2" s="1"/>
  <c r="I80" i="2"/>
  <c r="J80" i="2" s="1"/>
  <c r="I72" i="2"/>
  <c r="J72" i="2" s="1"/>
  <c r="I44" i="2"/>
  <c r="J44" i="2" s="1"/>
  <c r="I13" i="2"/>
  <c r="J13" i="2" s="1"/>
  <c r="M49" i="2"/>
  <c r="N49" i="2" s="1"/>
  <c r="M41" i="2"/>
  <c r="N41" i="2" s="1"/>
  <c r="I50" i="2"/>
  <c r="J50" i="2" s="1"/>
  <c r="K27" i="2"/>
  <c r="L27" i="2" s="1"/>
  <c r="I89" i="12"/>
  <c r="J89" i="12" s="1"/>
  <c r="I96" i="12"/>
  <c r="J96" i="12" s="1"/>
  <c r="I56" i="12"/>
  <c r="J56" i="12" s="1"/>
  <c r="I45" i="12"/>
  <c r="J45" i="12" s="1"/>
  <c r="I13" i="12"/>
  <c r="J13" i="12" s="1"/>
  <c r="I30" i="12"/>
  <c r="J30" i="12" s="1"/>
  <c r="I66" i="12"/>
  <c r="J66" i="12" s="1"/>
  <c r="I8" i="12"/>
  <c r="J8" i="12" s="1"/>
  <c r="I67" i="12"/>
  <c r="J67" i="12" s="1"/>
  <c r="I95" i="10"/>
  <c r="J95" i="10" s="1"/>
  <c r="I79" i="10"/>
  <c r="J79" i="10" s="1"/>
  <c r="I64" i="10"/>
  <c r="J64" i="10" s="1"/>
  <c r="I70" i="10"/>
  <c r="J70" i="10" s="1"/>
  <c r="I36" i="10"/>
  <c r="J36" i="10" s="1"/>
  <c r="I7" i="10"/>
  <c r="J7" i="10" s="1"/>
  <c r="I58" i="10"/>
  <c r="J58" i="10" s="1"/>
  <c r="I46" i="10"/>
  <c r="J46" i="10" s="1"/>
  <c r="I93" i="8"/>
  <c r="J93" i="8" s="1"/>
  <c r="I26" i="8"/>
  <c r="J26" i="8" s="1"/>
  <c r="I86" i="8"/>
  <c r="J86" i="8" s="1"/>
  <c r="I42" i="8"/>
  <c r="J42" i="8" s="1"/>
  <c r="I100" i="8"/>
  <c r="J100" i="8" s="1"/>
  <c r="I92" i="6"/>
  <c r="J92" i="6" s="1"/>
  <c r="I66" i="6"/>
  <c r="J66" i="6" s="1"/>
  <c r="I32" i="6"/>
  <c r="J32" i="6" s="1"/>
  <c r="I97" i="6"/>
  <c r="J97" i="6" s="1"/>
  <c r="I52" i="6"/>
  <c r="J52" i="6" s="1"/>
  <c r="I44" i="6"/>
  <c r="J44" i="6" s="1"/>
  <c r="I21" i="4"/>
  <c r="J21" i="4" s="1"/>
  <c r="I17" i="4"/>
  <c r="J17" i="4" s="1"/>
  <c r="I14" i="4"/>
  <c r="J14" i="4" s="1"/>
  <c r="I10" i="4"/>
  <c r="J10" i="4" s="1"/>
  <c r="I8" i="4"/>
  <c r="J8" i="4" s="1"/>
  <c r="I4" i="4"/>
  <c r="J4" i="4" s="1"/>
  <c r="I32" i="4"/>
  <c r="J32" i="4" s="1"/>
  <c r="I87" i="4"/>
  <c r="J87" i="4" s="1"/>
  <c r="I17" i="2"/>
  <c r="J17" i="2" s="1"/>
  <c r="I4" i="2"/>
  <c r="J4" i="2" s="1"/>
  <c r="I65" i="2"/>
  <c r="J65" i="2" s="1"/>
  <c r="I54" i="2"/>
  <c r="J54" i="2" s="1"/>
  <c r="I32" i="2"/>
  <c r="J32" i="2" s="1"/>
  <c r="I71" i="2"/>
  <c r="J71" i="2" s="1"/>
  <c r="I11" i="2"/>
  <c r="J11" i="2" s="1"/>
  <c r="I43" i="2"/>
  <c r="J43" i="2" s="1"/>
  <c r="I83" i="12"/>
  <c r="J83" i="12" s="1"/>
  <c r="K106" i="12"/>
  <c r="L106" i="12" s="1"/>
  <c r="I101" i="12"/>
  <c r="J101" i="12" s="1"/>
  <c r="I52" i="12"/>
  <c r="J52" i="12" s="1"/>
  <c r="I42" i="12"/>
  <c r="J42" i="12" s="1"/>
  <c r="I26" i="12"/>
  <c r="J26" i="12" s="1"/>
  <c r="I4" i="12"/>
  <c r="J4" i="12" s="1"/>
  <c r="I5" i="12"/>
  <c r="J5" i="12" s="1"/>
  <c r="K106" i="10"/>
  <c r="L106" i="10" s="1"/>
  <c r="I68" i="10"/>
  <c r="J68" i="10" s="1"/>
  <c r="I59" i="10"/>
  <c r="J59" i="10" s="1"/>
  <c r="K83" i="10"/>
  <c r="L83" i="10" s="1"/>
  <c r="I13" i="10"/>
  <c r="J13" i="10" s="1"/>
  <c r="I5" i="10"/>
  <c r="J5" i="10" s="1"/>
  <c r="I30" i="10"/>
  <c r="J30" i="10" s="1"/>
  <c r="I67" i="10"/>
  <c r="J67" i="10" s="1"/>
  <c r="K100" i="10"/>
  <c r="L100" i="10" s="1"/>
  <c r="I73" i="8"/>
  <c r="J73" i="8" s="1"/>
  <c r="I40" i="8"/>
  <c r="J40" i="8" s="1"/>
  <c r="K61" i="8"/>
  <c r="L61" i="8" s="1"/>
  <c r="I37" i="8"/>
  <c r="J37" i="8" s="1"/>
  <c r="I19" i="8"/>
  <c r="J19" i="8" s="1"/>
  <c r="I31" i="8"/>
  <c r="J31" i="8" s="1"/>
  <c r="I104" i="6"/>
  <c r="J104" i="6" s="1"/>
  <c r="I14" i="8"/>
  <c r="J14" i="8" s="1"/>
  <c r="I90" i="6"/>
  <c r="J90" i="6" s="1"/>
  <c r="I30" i="6"/>
  <c r="J30" i="6" s="1"/>
  <c r="K5" i="6"/>
  <c r="L5" i="6" s="1"/>
  <c r="I27" i="6"/>
  <c r="J27" i="6" s="1"/>
  <c r="I93" i="4"/>
  <c r="J93" i="4" s="1"/>
  <c r="K19" i="6"/>
  <c r="L19" i="6" s="1"/>
  <c r="K106" i="4"/>
  <c r="L106" i="4" s="1"/>
  <c r="K40" i="4"/>
  <c r="L40" i="4" s="1"/>
  <c r="K53" i="4"/>
  <c r="L53" i="4" s="1"/>
  <c r="I31" i="4"/>
  <c r="J31" i="4" s="1"/>
  <c r="K43" i="4"/>
  <c r="L43" i="4" s="1"/>
  <c r="K106" i="2"/>
  <c r="L106" i="2" s="1"/>
  <c r="I48" i="2"/>
  <c r="J48" i="2" s="1"/>
  <c r="I90" i="2"/>
  <c r="J90" i="2" s="1"/>
  <c r="I25" i="2"/>
  <c r="J25" i="2" s="1"/>
  <c r="I76" i="2"/>
  <c r="J76" i="2" s="1"/>
  <c r="I93" i="2"/>
  <c r="J93" i="2" s="1"/>
  <c r="I77" i="2"/>
  <c r="J77" i="2" s="1"/>
  <c r="M35" i="2"/>
  <c r="N35" i="2" s="1"/>
  <c r="I37" i="2"/>
  <c r="J37" i="2" s="1"/>
  <c r="I102" i="12"/>
  <c r="J102" i="12" s="1"/>
  <c r="I95" i="12"/>
  <c r="J95" i="12" s="1"/>
  <c r="I41" i="12"/>
  <c r="J41" i="12" s="1"/>
  <c r="I72" i="12"/>
  <c r="J72" i="12" s="1"/>
  <c r="I34" i="12"/>
  <c r="J34" i="12" s="1"/>
  <c r="I11" i="12"/>
  <c r="J11" i="12" s="1"/>
  <c r="I47" i="12"/>
  <c r="J47" i="12" s="1"/>
  <c r="I61" i="12"/>
  <c r="J61" i="12" s="1"/>
  <c r="I85" i="10"/>
  <c r="J85" i="10" s="1"/>
  <c r="I103" i="10"/>
  <c r="J103" i="10" s="1"/>
  <c r="I88" i="10"/>
  <c r="J88" i="10" s="1"/>
  <c r="K96" i="10"/>
  <c r="L96" i="10" s="1"/>
  <c r="I72" i="10"/>
  <c r="J72" i="10" s="1"/>
  <c r="I37" i="10"/>
  <c r="J37" i="10" s="1"/>
  <c r="I41" i="10"/>
  <c r="J41" i="10" s="1"/>
  <c r="I15" i="10"/>
  <c r="J15" i="10" s="1"/>
  <c r="I25" i="10"/>
  <c r="J25" i="10" s="1"/>
  <c r="I98" i="8"/>
  <c r="J98" i="8" s="1"/>
  <c r="I82" i="8"/>
  <c r="J82" i="8" s="1"/>
  <c r="I102" i="8"/>
  <c r="J102" i="8" s="1"/>
  <c r="I71" i="8"/>
  <c r="J71" i="8" s="1"/>
  <c r="I55" i="8"/>
  <c r="J55" i="8" s="1"/>
  <c r="I24" i="8"/>
  <c r="J24" i="8" s="1"/>
  <c r="I91" i="8"/>
  <c r="J91" i="8" s="1"/>
  <c r="K4" i="8"/>
  <c r="L4" i="8" s="1"/>
  <c r="I27" i="8"/>
  <c r="J27" i="8" s="1"/>
  <c r="I87" i="6"/>
  <c r="J87" i="6" s="1"/>
  <c r="I24" i="6"/>
  <c r="J24" i="6" s="1"/>
  <c r="I80" i="6"/>
  <c r="J80" i="6" s="1"/>
  <c r="I50" i="6"/>
  <c r="J50" i="6" s="1"/>
  <c r="I42" i="6"/>
  <c r="J42" i="6" s="1"/>
  <c r="I91" i="4"/>
  <c r="J91" i="4" s="1"/>
  <c r="K16" i="6"/>
  <c r="L16" i="6" s="1"/>
  <c r="I97" i="4"/>
  <c r="J97" i="4" s="1"/>
  <c r="I24" i="4"/>
  <c r="J24" i="4" s="1"/>
  <c r="I77" i="6"/>
  <c r="J77" i="6" s="1"/>
  <c r="I103" i="4"/>
  <c r="J103" i="4" s="1"/>
  <c r="K55" i="4"/>
  <c r="L55" i="4" s="1"/>
  <c r="M41" i="6"/>
  <c r="N41" i="6" s="1"/>
  <c r="K49" i="4"/>
  <c r="L49" i="4" s="1"/>
  <c r="I20" i="4"/>
  <c r="J20" i="4" s="1"/>
  <c r="I16" i="4"/>
  <c r="J16" i="4" s="1"/>
  <c r="I13" i="4"/>
  <c r="J13" i="4" s="1"/>
  <c r="I7" i="4"/>
  <c r="J7" i="4" s="1"/>
  <c r="I94" i="4"/>
  <c r="J94" i="4" s="1"/>
  <c r="I61" i="4"/>
  <c r="J61" i="4" s="1"/>
  <c r="I34" i="4"/>
  <c r="J34" i="4" s="1"/>
  <c r="I104" i="2"/>
  <c r="J104" i="2" s="1"/>
  <c r="K30" i="4"/>
  <c r="L30" i="4" s="1"/>
  <c r="I28" i="2"/>
  <c r="J28" i="2" s="1"/>
  <c r="I14" i="2"/>
  <c r="J14" i="2" s="1"/>
  <c r="I89" i="2"/>
  <c r="J89" i="2" s="1"/>
  <c r="I84" i="2"/>
  <c r="J84" i="2" s="1"/>
  <c r="I38" i="2"/>
  <c r="J38" i="2" s="1"/>
  <c r="I22" i="2"/>
  <c r="J22" i="2" s="1"/>
  <c r="I9" i="2"/>
  <c r="J9" i="2" s="1"/>
  <c r="I36" i="2"/>
  <c r="J36" i="2" s="1"/>
  <c r="I42" i="2"/>
  <c r="J42" i="2" s="1"/>
  <c r="I58" i="12"/>
  <c r="J58" i="12" s="1"/>
  <c r="I18" i="12"/>
  <c r="J18" i="12" s="1"/>
  <c r="I23" i="12"/>
  <c r="J23" i="12" s="1"/>
  <c r="I20" i="12"/>
  <c r="J20" i="12" s="1"/>
  <c r="I43" i="12"/>
  <c r="J43" i="12" s="1"/>
  <c r="I49" i="12"/>
  <c r="J49" i="12" s="1"/>
  <c r="I89" i="10"/>
  <c r="J89" i="10" s="1"/>
  <c r="I78" i="10"/>
  <c r="J78" i="10" s="1"/>
  <c r="I44" i="10"/>
  <c r="J44" i="10" s="1"/>
  <c r="I75" i="10"/>
  <c r="J75" i="10" s="1"/>
  <c r="I48" i="10"/>
  <c r="J48" i="10" s="1"/>
  <c r="I76" i="10"/>
  <c r="J76" i="10" s="1"/>
  <c r="K55" i="10"/>
  <c r="L55" i="10" s="1"/>
  <c r="I50" i="10"/>
  <c r="J50" i="10" s="1"/>
  <c r="K32" i="10"/>
  <c r="L32" i="10" s="1"/>
  <c r="I52" i="10"/>
  <c r="J52" i="10" s="1"/>
  <c r="I42" i="10"/>
  <c r="J42" i="10" s="1"/>
  <c r="I11" i="10"/>
  <c r="J11" i="10" s="1"/>
  <c r="I14" i="10"/>
  <c r="J14" i="10" s="1"/>
  <c r="M31" i="10"/>
  <c r="N31" i="10" s="1"/>
  <c r="I38" i="8"/>
  <c r="J38" i="8" s="1"/>
  <c r="I69" i="8"/>
  <c r="J69" i="8" s="1"/>
  <c r="I53" i="8"/>
  <c r="J53" i="8" s="1"/>
  <c r="I96" i="8"/>
  <c r="J96" i="8" s="1"/>
  <c r="K50" i="8"/>
  <c r="L50" i="8" s="1"/>
  <c r="K58" i="8"/>
  <c r="L58" i="8" s="1"/>
  <c r="K88" i="8"/>
  <c r="L88" i="8" s="1"/>
  <c r="K54" i="8"/>
  <c r="L54" i="8" s="1"/>
  <c r="I12" i="8"/>
  <c r="J12" i="8" s="1"/>
  <c r="M28" i="8"/>
  <c r="N28" i="8" s="1"/>
  <c r="I61" i="6"/>
  <c r="J61" i="6" s="1"/>
  <c r="I64" i="6"/>
  <c r="J64" i="6" s="1"/>
  <c r="I35" i="6"/>
  <c r="J35" i="6" s="1"/>
  <c r="I84" i="6"/>
  <c r="J84" i="6" s="1"/>
  <c r="I89" i="4"/>
  <c r="J89" i="4" s="1"/>
  <c r="K48" i="4"/>
  <c r="L48" i="4" s="1"/>
  <c r="M104" i="4"/>
  <c r="N104" i="4" s="1"/>
  <c r="I33" i="4"/>
  <c r="J33" i="4" s="1"/>
  <c r="I58" i="2"/>
  <c r="J58" i="2" s="1"/>
  <c r="I64" i="2"/>
  <c r="J64" i="2" s="1"/>
  <c r="I12" i="2"/>
  <c r="J12" i="2" s="1"/>
  <c r="K107" i="2"/>
  <c r="L107" i="2" s="1"/>
  <c r="I68" i="2"/>
  <c r="J68" i="2" s="1"/>
  <c r="M52" i="4"/>
  <c r="N52" i="4" s="1"/>
  <c r="I20" i="2"/>
  <c r="J20" i="2" s="1"/>
  <c r="I7" i="2"/>
  <c r="J7" i="2" s="1"/>
  <c r="I79" i="12"/>
  <c r="J79" i="12" s="1"/>
  <c r="I64" i="12"/>
  <c r="J64" i="12" s="1"/>
  <c r="I71" i="12"/>
  <c r="J71" i="12" s="1"/>
  <c r="I44" i="12"/>
  <c r="J44" i="12" s="1"/>
  <c r="I17" i="12"/>
  <c r="J17" i="12" s="1"/>
  <c r="M93" i="12"/>
  <c r="N93" i="12" s="1"/>
  <c r="I55" i="12"/>
  <c r="J55" i="12" s="1"/>
  <c r="I70" i="12"/>
  <c r="J70" i="12" s="1"/>
  <c r="K35" i="12"/>
  <c r="L35" i="12" s="1"/>
  <c r="I25" i="12"/>
  <c r="J25" i="12" s="1"/>
  <c r="I37" i="12"/>
  <c r="J37" i="12" s="1"/>
  <c r="K105" i="10"/>
  <c r="L105" i="10" s="1"/>
  <c r="I54" i="10"/>
  <c r="J54" i="10" s="1"/>
  <c r="I66" i="10"/>
  <c r="J66" i="10" s="1"/>
  <c r="I28" i="10"/>
  <c r="J28" i="10" s="1"/>
  <c r="I60" i="10"/>
  <c r="J60" i="10" s="1"/>
  <c r="I38" i="10"/>
  <c r="J38" i="10" s="1"/>
  <c r="I20" i="10"/>
  <c r="J20" i="10" s="1"/>
  <c r="I73" i="10"/>
  <c r="J73" i="10" s="1"/>
  <c r="K23" i="10"/>
  <c r="L23" i="10" s="1"/>
  <c r="I36" i="8"/>
  <c r="J36" i="8" s="1"/>
  <c r="I67" i="8"/>
  <c r="J67" i="8" s="1"/>
  <c r="I51" i="8"/>
  <c r="J51" i="8" s="1"/>
  <c r="I75" i="8"/>
  <c r="J75" i="8" s="1"/>
  <c r="I83" i="8"/>
  <c r="J83" i="8" s="1"/>
  <c r="I48" i="8"/>
  <c r="J48" i="8" s="1"/>
  <c r="I99" i="6"/>
  <c r="J99" i="6" s="1"/>
  <c r="I8" i="8"/>
  <c r="J8" i="8" s="1"/>
  <c r="I74" i="6"/>
  <c r="J74" i="6" s="1"/>
  <c r="I59" i="6"/>
  <c r="J59" i="6" s="1"/>
  <c r="K46" i="8"/>
  <c r="L46" i="8" s="1"/>
  <c r="I56" i="6"/>
  <c r="J56" i="6" s="1"/>
  <c r="I48" i="6"/>
  <c r="J48" i="6" s="1"/>
  <c r="I40" i="6"/>
  <c r="J40" i="6" s="1"/>
  <c r="I96" i="6"/>
  <c r="J96" i="6" s="1"/>
  <c r="I25" i="6"/>
  <c r="J25" i="6" s="1"/>
  <c r="I86" i="4"/>
  <c r="J86" i="4" s="1"/>
  <c r="I77" i="4"/>
  <c r="J77" i="4" s="1"/>
  <c r="I37" i="6"/>
  <c r="J37" i="6" s="1"/>
  <c r="K28" i="6"/>
  <c r="L28" i="6" s="1"/>
  <c r="I101" i="4"/>
  <c r="J101" i="4" s="1"/>
  <c r="I23" i="4"/>
  <c r="J23" i="4" s="1"/>
  <c r="I19" i="4"/>
  <c r="J19" i="4" s="1"/>
  <c r="I12" i="4"/>
  <c r="J12" i="4" s="1"/>
  <c r="I6" i="4"/>
  <c r="J6" i="4" s="1"/>
  <c r="M102" i="4"/>
  <c r="N102" i="4" s="1"/>
  <c r="I27" i="4"/>
  <c r="J27" i="4" s="1"/>
  <c r="I102" i="2"/>
  <c r="J102" i="2" s="1"/>
  <c r="I90" i="4"/>
  <c r="J90" i="4" s="1"/>
  <c r="I60" i="2"/>
  <c r="J60" i="2" s="1"/>
  <c r="I40" i="2"/>
  <c r="J40" i="2" s="1"/>
  <c r="I10" i="2"/>
  <c r="J10" i="2" s="1"/>
  <c r="I67" i="2"/>
  <c r="J67" i="2" s="1"/>
  <c r="I46" i="2"/>
  <c r="J46" i="2" s="1"/>
  <c r="I81" i="2"/>
  <c r="J81" i="2" s="1"/>
  <c r="I52" i="2"/>
  <c r="J52" i="2" s="1"/>
  <c r="I18" i="2"/>
  <c r="J18" i="2" s="1"/>
  <c r="I5" i="2"/>
  <c r="J5" i="2" s="1"/>
  <c r="I51" i="2"/>
  <c r="J51" i="2" s="1"/>
  <c r="I88" i="12"/>
  <c r="J88" i="12" s="1"/>
  <c r="I48" i="12"/>
  <c r="J48" i="12" s="1"/>
  <c r="I46" i="12"/>
  <c r="J46" i="12" s="1"/>
  <c r="I10" i="12"/>
  <c r="J10" i="12" s="1"/>
  <c r="I93" i="10"/>
  <c r="J93" i="10" s="1"/>
  <c r="I92" i="10"/>
  <c r="J92" i="10" s="1"/>
  <c r="I90" i="10"/>
  <c r="J90" i="10" s="1"/>
  <c r="I101" i="10"/>
  <c r="J101" i="10" s="1"/>
  <c r="I65" i="10"/>
  <c r="J65" i="10" s="1"/>
  <c r="I71" i="10"/>
  <c r="J71" i="10" s="1"/>
  <c r="I33" i="10"/>
  <c r="J33" i="10" s="1"/>
  <c r="M18" i="10"/>
  <c r="N18" i="10" s="1"/>
  <c r="I76" i="8"/>
  <c r="J76" i="8" s="1"/>
  <c r="I103" i="8"/>
  <c r="J103" i="8" s="1"/>
  <c r="I34" i="8"/>
  <c r="J34" i="8" s="1"/>
  <c r="I92" i="8"/>
  <c r="J92" i="8" s="1"/>
  <c r="I65" i="8"/>
  <c r="J65" i="8" s="1"/>
  <c r="I49" i="8"/>
  <c r="J49" i="8" s="1"/>
  <c r="I95" i="8"/>
  <c r="J95" i="8" s="1"/>
  <c r="I43" i="8"/>
  <c r="J43" i="8" s="1"/>
  <c r="I6" i="8"/>
  <c r="J6" i="8" s="1"/>
  <c r="I83" i="6"/>
  <c r="J83" i="6" s="1"/>
  <c r="I72" i="6"/>
  <c r="J72" i="6" s="1"/>
  <c r="I38" i="6"/>
  <c r="J38" i="6" s="1"/>
  <c r="I33" i="6"/>
  <c r="J33" i="6" s="1"/>
  <c r="K47" i="6"/>
  <c r="L47" i="6" s="1"/>
  <c r="I84" i="4"/>
  <c r="J84" i="4" s="1"/>
  <c r="I83" i="4"/>
  <c r="J83" i="4" s="1"/>
  <c r="K66" i="4"/>
  <c r="L66" i="4" s="1"/>
  <c r="K47" i="4"/>
  <c r="L47" i="4" s="1"/>
  <c r="I37" i="4"/>
  <c r="J37" i="4" s="1"/>
  <c r="I92" i="4"/>
  <c r="J92" i="4" s="1"/>
  <c r="K41" i="4"/>
  <c r="L41" i="4" s="1"/>
  <c r="I96" i="4"/>
  <c r="J96" i="4" s="1"/>
  <c r="I74" i="2"/>
  <c r="J74" i="2" s="1"/>
  <c r="I61" i="2"/>
  <c r="J61" i="2" s="1"/>
  <c r="I87" i="2"/>
  <c r="J87" i="2" s="1"/>
  <c r="I23" i="2"/>
  <c r="J23" i="2" s="1"/>
  <c r="I55" i="2"/>
  <c r="J55" i="2" s="1"/>
  <c r="I92" i="2"/>
  <c r="J92" i="2" s="1"/>
  <c r="I69" i="2"/>
  <c r="J69" i="2" s="1"/>
  <c r="I30" i="2"/>
  <c r="J30" i="2" s="1"/>
  <c r="I16" i="2"/>
  <c r="J16" i="2" s="1"/>
  <c r="M60" i="8" l="1"/>
  <c r="N60" i="8" s="1"/>
  <c r="M58" i="4"/>
  <c r="N58" i="4" s="1"/>
  <c r="M81" i="4"/>
  <c r="N81" i="4" s="1"/>
  <c r="K46" i="4"/>
  <c r="L46" i="4" s="1"/>
  <c r="M80" i="8"/>
  <c r="N80" i="8" s="1"/>
  <c r="K65" i="4"/>
  <c r="L65" i="4" s="1"/>
  <c r="M79" i="4"/>
  <c r="N79" i="4" s="1"/>
  <c r="K80" i="4"/>
  <c r="L80" i="4" s="1"/>
  <c r="M80" i="4" s="1"/>
  <c r="N80" i="4" s="1"/>
  <c r="K90" i="10"/>
  <c r="L90" i="10" s="1"/>
  <c r="M48" i="4"/>
  <c r="N48" i="4" s="1"/>
  <c r="K7" i="4"/>
  <c r="L7" i="4" s="1"/>
  <c r="K37" i="8"/>
  <c r="L37" i="8" s="1"/>
  <c r="K7" i="10"/>
  <c r="L7" i="10" s="1"/>
  <c r="K101" i="8"/>
  <c r="L101" i="8" s="1"/>
  <c r="K103" i="2"/>
  <c r="L103" i="2" s="1"/>
  <c r="K14" i="12"/>
  <c r="L14" i="12" s="1"/>
  <c r="K16" i="2"/>
  <c r="L16" i="2" s="1"/>
  <c r="K83" i="4"/>
  <c r="L83" i="4" s="1"/>
  <c r="K6" i="8"/>
  <c r="L6" i="8" s="1"/>
  <c r="M55" i="4"/>
  <c r="N55" i="4" s="1"/>
  <c r="K42" i="6"/>
  <c r="L42" i="6" s="1"/>
  <c r="K44" i="8"/>
  <c r="L44" i="8" s="1"/>
  <c r="K43" i="8"/>
  <c r="L43" i="8" s="1"/>
  <c r="M76" i="12"/>
  <c r="N76" i="12" s="1"/>
  <c r="K51" i="2"/>
  <c r="L51" i="2" s="1"/>
  <c r="K19" i="4"/>
  <c r="L19" i="4" s="1"/>
  <c r="K67" i="8"/>
  <c r="L67" i="8" s="1"/>
  <c r="K55" i="12"/>
  <c r="L55" i="12" s="1"/>
  <c r="K12" i="8"/>
  <c r="L12" i="8" s="1"/>
  <c r="M6" i="12"/>
  <c r="N6" i="12" s="1"/>
  <c r="K93" i="2"/>
  <c r="L93" i="2" s="1"/>
  <c r="K43" i="2"/>
  <c r="L43" i="2" s="1"/>
  <c r="K93" i="8"/>
  <c r="L93" i="8" s="1"/>
  <c r="K66" i="12"/>
  <c r="L66" i="12" s="1"/>
  <c r="K31" i="6"/>
  <c r="L31" i="6" s="1"/>
  <c r="K89" i="8"/>
  <c r="L89" i="8" s="1"/>
  <c r="K38" i="12"/>
  <c r="L38" i="12" s="1"/>
  <c r="K9" i="4"/>
  <c r="L9" i="4" s="1"/>
  <c r="K103" i="8"/>
  <c r="L103" i="8" s="1"/>
  <c r="K48" i="12"/>
  <c r="L48" i="12" s="1"/>
  <c r="K25" i="6"/>
  <c r="L25" i="6" s="1"/>
  <c r="K74" i="6"/>
  <c r="L74" i="6" s="1"/>
  <c r="K54" i="10"/>
  <c r="L54" i="10" s="1"/>
  <c r="K89" i="4"/>
  <c r="L89" i="4" s="1"/>
  <c r="K43" i="12"/>
  <c r="L43" i="12" s="1"/>
  <c r="K104" i="2"/>
  <c r="L104" i="2" s="1"/>
  <c r="K13" i="4"/>
  <c r="L13" i="4" s="1"/>
  <c r="K91" i="8"/>
  <c r="L91" i="8" s="1"/>
  <c r="K103" i="10"/>
  <c r="L103" i="10" s="1"/>
  <c r="K90" i="6"/>
  <c r="L90" i="6" s="1"/>
  <c r="K31" i="8"/>
  <c r="L31" i="8" s="1"/>
  <c r="K5" i="12"/>
  <c r="L5" i="12" s="1"/>
  <c r="K52" i="12"/>
  <c r="L52" i="12" s="1"/>
  <c r="K65" i="2"/>
  <c r="L65" i="2" s="1"/>
  <c r="K32" i="4"/>
  <c r="L32" i="4" s="1"/>
  <c r="K44" i="6"/>
  <c r="L44" i="6" s="1"/>
  <c r="K30" i="12"/>
  <c r="L30" i="12" s="1"/>
  <c r="M7" i="6"/>
  <c r="N7" i="6" s="1"/>
  <c r="M6" i="10"/>
  <c r="N6" i="10" s="1"/>
  <c r="K45" i="10"/>
  <c r="L45" i="10" s="1"/>
  <c r="K11" i="4"/>
  <c r="L11" i="4" s="1"/>
  <c r="K99" i="4"/>
  <c r="L99" i="4" s="1"/>
  <c r="K49" i="10"/>
  <c r="L49" i="10" s="1"/>
  <c r="K73" i="12"/>
  <c r="L73" i="12" s="1"/>
  <c r="M4" i="10"/>
  <c r="N4" i="10" s="1"/>
  <c r="M74" i="4"/>
  <c r="N74" i="4" s="1"/>
  <c r="M69" i="6"/>
  <c r="N69" i="6" s="1"/>
  <c r="M5" i="8"/>
  <c r="N5" i="8" s="1"/>
  <c r="K38" i="8"/>
  <c r="L38" i="8" s="1"/>
  <c r="M30" i="4"/>
  <c r="N30" i="4" s="1"/>
  <c r="K25" i="2"/>
  <c r="L25" i="2" s="1"/>
  <c r="K8" i="4"/>
  <c r="L8" i="4" s="1"/>
  <c r="K80" i="2"/>
  <c r="L80" i="2" s="1"/>
  <c r="M41" i="8"/>
  <c r="N41" i="8" s="1"/>
  <c r="K60" i="12"/>
  <c r="L60" i="12" s="1"/>
  <c r="K61" i="2"/>
  <c r="L61" i="2" s="1"/>
  <c r="K33" i="10"/>
  <c r="L33" i="10" s="1"/>
  <c r="K48" i="6"/>
  <c r="L48" i="6" s="1"/>
  <c r="K64" i="6"/>
  <c r="L64" i="6" s="1"/>
  <c r="K44" i="10"/>
  <c r="L44" i="10" s="1"/>
  <c r="K91" i="4"/>
  <c r="L91" i="4" s="1"/>
  <c r="K102" i="8"/>
  <c r="L102" i="8" s="1"/>
  <c r="K31" i="4"/>
  <c r="L31" i="4" s="1"/>
  <c r="K33" i="8"/>
  <c r="L33" i="8" s="1"/>
  <c r="K72" i="6"/>
  <c r="L72" i="6" s="1"/>
  <c r="K34" i="8"/>
  <c r="L34" i="8" s="1"/>
  <c r="K67" i="2"/>
  <c r="L67" i="2" s="1"/>
  <c r="K56" i="6"/>
  <c r="L56" i="6" s="1"/>
  <c r="M55" i="10"/>
  <c r="N55" i="10" s="1"/>
  <c r="K78" i="10"/>
  <c r="L78" i="10" s="1"/>
  <c r="K84" i="2"/>
  <c r="L84" i="2" s="1"/>
  <c r="K27" i="6"/>
  <c r="L27" i="6" s="1"/>
  <c r="M61" i="8"/>
  <c r="N61" i="8" s="1"/>
  <c r="K42" i="12"/>
  <c r="L42" i="12" s="1"/>
  <c r="M10" i="8"/>
  <c r="N10" i="8" s="1"/>
  <c r="K95" i="10"/>
  <c r="L95" i="10" s="1"/>
  <c r="K89" i="12"/>
  <c r="L89" i="12" s="1"/>
  <c r="K76" i="4"/>
  <c r="L76" i="4" s="1"/>
  <c r="K34" i="10"/>
  <c r="L34" i="10" s="1"/>
  <c r="K37" i="4"/>
  <c r="L37" i="4" s="1"/>
  <c r="K76" i="8"/>
  <c r="L76" i="8" s="1"/>
  <c r="K65" i="10"/>
  <c r="L65" i="10" s="1"/>
  <c r="K6" i="4"/>
  <c r="L6" i="4" s="1"/>
  <c r="K96" i="6"/>
  <c r="L96" i="6" s="1"/>
  <c r="K83" i="8"/>
  <c r="L83" i="8" s="1"/>
  <c r="K60" i="10"/>
  <c r="L60" i="10" s="1"/>
  <c r="K79" i="12"/>
  <c r="L79" i="12" s="1"/>
  <c r="K84" i="6"/>
  <c r="L84" i="6" s="1"/>
  <c r="K61" i="6"/>
  <c r="L61" i="6" s="1"/>
  <c r="K52" i="10"/>
  <c r="L52" i="10" s="1"/>
  <c r="K20" i="12"/>
  <c r="L20" i="12" s="1"/>
  <c r="K34" i="4"/>
  <c r="L34" i="4" s="1"/>
  <c r="K80" i="6"/>
  <c r="L80" i="6" s="1"/>
  <c r="K24" i="8"/>
  <c r="L24" i="8" s="1"/>
  <c r="M96" i="10"/>
  <c r="N96" i="10" s="1"/>
  <c r="M40" i="4"/>
  <c r="N40" i="4" s="1"/>
  <c r="M83" i="10"/>
  <c r="N83" i="10" s="1"/>
  <c r="K101" i="12"/>
  <c r="L101" i="12" s="1"/>
  <c r="K17" i="4"/>
  <c r="L17" i="4" s="1"/>
  <c r="K52" i="6"/>
  <c r="L52" i="6" s="1"/>
  <c r="K100" i="8"/>
  <c r="L100" i="8" s="1"/>
  <c r="K13" i="12"/>
  <c r="L13" i="12" s="1"/>
  <c r="K13" i="2"/>
  <c r="L13" i="2" s="1"/>
  <c r="M60" i="6"/>
  <c r="N60" i="6" s="1"/>
  <c r="K94" i="6"/>
  <c r="L94" i="6" s="1"/>
  <c r="K16" i="10"/>
  <c r="L16" i="10" s="1"/>
  <c r="K12" i="10"/>
  <c r="L12" i="10" s="1"/>
  <c r="K40" i="12"/>
  <c r="L40" i="12" s="1"/>
  <c r="K26" i="2"/>
  <c r="L26" i="2" s="1"/>
  <c r="K91" i="2"/>
  <c r="L91" i="2" s="1"/>
  <c r="K15" i="4"/>
  <c r="L15" i="4" s="1"/>
  <c r="K36" i="6"/>
  <c r="L36" i="6" s="1"/>
  <c r="M63" i="10"/>
  <c r="N63" i="10" s="1"/>
  <c r="K86" i="10"/>
  <c r="L86" i="10" s="1"/>
  <c r="M6" i="6"/>
  <c r="N6" i="6" s="1"/>
  <c r="M55" i="6"/>
  <c r="N55" i="6" s="1"/>
  <c r="M9" i="6"/>
  <c r="N9" i="6" s="1"/>
  <c r="M18" i="8"/>
  <c r="N18" i="8" s="1"/>
  <c r="K30" i="6"/>
  <c r="L30" i="6" s="1"/>
  <c r="M91" i="6"/>
  <c r="N91" i="6" s="1"/>
  <c r="M47" i="10"/>
  <c r="N47" i="10" s="1"/>
  <c r="K55" i="2"/>
  <c r="L55" i="2" s="1"/>
  <c r="K18" i="2"/>
  <c r="L18" i="2" s="1"/>
  <c r="K90" i="4"/>
  <c r="L90" i="4" s="1"/>
  <c r="K75" i="8"/>
  <c r="L75" i="8" s="1"/>
  <c r="K28" i="10"/>
  <c r="L28" i="10" s="1"/>
  <c r="M33" i="12"/>
  <c r="N33" i="12" s="1"/>
  <c r="M42" i="4"/>
  <c r="N42" i="4" s="1"/>
  <c r="K53" i="8"/>
  <c r="L53" i="8" s="1"/>
  <c r="K23" i="12"/>
  <c r="L23" i="12" s="1"/>
  <c r="K61" i="4"/>
  <c r="L61" i="4" s="1"/>
  <c r="K41" i="10"/>
  <c r="L41" i="10" s="1"/>
  <c r="M106" i="2"/>
  <c r="N106" i="2" s="1"/>
  <c r="M106" i="4"/>
  <c r="N106" i="4" s="1"/>
  <c r="K14" i="8"/>
  <c r="L14" i="8" s="1"/>
  <c r="K59" i="10"/>
  <c r="L59" i="10" s="1"/>
  <c r="M106" i="10"/>
  <c r="N106" i="10" s="1"/>
  <c r="K21" i="4"/>
  <c r="L21" i="4" s="1"/>
  <c r="K42" i="8"/>
  <c r="L42" i="8" s="1"/>
  <c r="K45" i="12"/>
  <c r="L45" i="12" s="1"/>
  <c r="M27" i="2"/>
  <c r="N27" i="2" s="1"/>
  <c r="K44" i="2"/>
  <c r="L44" i="2" s="1"/>
  <c r="K19" i="2"/>
  <c r="L19" i="2" s="1"/>
  <c r="K59" i="2"/>
  <c r="L59" i="2" s="1"/>
  <c r="K63" i="4"/>
  <c r="L63" i="4" s="1"/>
  <c r="K30" i="8"/>
  <c r="L30" i="8" s="1"/>
  <c r="K40" i="10"/>
  <c r="L40" i="10" s="1"/>
  <c r="K91" i="10"/>
  <c r="L91" i="10" s="1"/>
  <c r="K103" i="12"/>
  <c r="L103" i="12" s="1"/>
  <c r="K70" i="6"/>
  <c r="L70" i="6" s="1"/>
  <c r="M17" i="8"/>
  <c r="N17" i="8" s="1"/>
  <c r="K91" i="12"/>
  <c r="L91" i="12" s="1"/>
  <c r="M15" i="12"/>
  <c r="N15" i="12" s="1"/>
  <c r="M82" i="12"/>
  <c r="N82" i="12" s="1"/>
  <c r="M68" i="4"/>
  <c r="N68" i="4" s="1"/>
  <c r="K87" i="2"/>
  <c r="L87" i="2" s="1"/>
  <c r="K4" i="12"/>
  <c r="L4" i="12" s="1"/>
  <c r="K83" i="6"/>
  <c r="L83" i="6" s="1"/>
  <c r="K69" i="2"/>
  <c r="L69" i="2" s="1"/>
  <c r="M47" i="4"/>
  <c r="N47" i="4" s="1"/>
  <c r="K52" i="2"/>
  <c r="L52" i="2" s="1"/>
  <c r="K10" i="2"/>
  <c r="L10" i="2" s="1"/>
  <c r="K102" i="2"/>
  <c r="L102" i="2" s="1"/>
  <c r="K86" i="4"/>
  <c r="L86" i="4" s="1"/>
  <c r="K99" i="6"/>
  <c r="L99" i="6" s="1"/>
  <c r="K66" i="10"/>
  <c r="L66" i="10" s="1"/>
  <c r="M9" i="12"/>
  <c r="N9" i="12" s="1"/>
  <c r="K44" i="12"/>
  <c r="L44" i="12" s="1"/>
  <c r="K33" i="4"/>
  <c r="L33" i="4" s="1"/>
  <c r="K69" i="8"/>
  <c r="L69" i="8" s="1"/>
  <c r="K14" i="10"/>
  <c r="L14" i="10" s="1"/>
  <c r="K18" i="12"/>
  <c r="L18" i="12" s="1"/>
  <c r="K14" i="2"/>
  <c r="L14" i="2" s="1"/>
  <c r="K94" i="4"/>
  <c r="L94" i="4" s="1"/>
  <c r="K20" i="4"/>
  <c r="L20" i="4" s="1"/>
  <c r="K98" i="8"/>
  <c r="L98" i="8" s="1"/>
  <c r="K48" i="2"/>
  <c r="L48" i="2" s="1"/>
  <c r="M19" i="6"/>
  <c r="N19" i="6" s="1"/>
  <c r="M5" i="6"/>
  <c r="N5" i="6" s="1"/>
  <c r="K104" i="6"/>
  <c r="L104" i="6" s="1"/>
  <c r="K19" i="8"/>
  <c r="L19" i="8" s="1"/>
  <c r="K40" i="8"/>
  <c r="L40" i="8" s="1"/>
  <c r="K67" i="10"/>
  <c r="L67" i="10" s="1"/>
  <c r="M106" i="12"/>
  <c r="N106" i="12" s="1"/>
  <c r="K71" i="2"/>
  <c r="L71" i="2" s="1"/>
  <c r="K97" i="6"/>
  <c r="L97" i="6" s="1"/>
  <c r="K86" i="8"/>
  <c r="L86" i="8" s="1"/>
  <c r="K64" i="10"/>
  <c r="L64" i="10" s="1"/>
  <c r="K72" i="2"/>
  <c r="L72" i="2" s="1"/>
  <c r="K33" i="2"/>
  <c r="L33" i="2" s="1"/>
  <c r="K23" i="6"/>
  <c r="L23" i="6" s="1"/>
  <c r="K102" i="6"/>
  <c r="L102" i="6" s="1"/>
  <c r="M101" i="6"/>
  <c r="N101" i="6" s="1"/>
  <c r="M31" i="2"/>
  <c r="N31" i="2" s="1"/>
  <c r="M14" i="6"/>
  <c r="N14" i="6" s="1"/>
  <c r="M64" i="8"/>
  <c r="N64" i="8" s="1"/>
  <c r="M105" i="12"/>
  <c r="N105" i="12" s="1"/>
  <c r="K23" i="2"/>
  <c r="L23" i="2" s="1"/>
  <c r="K84" i="4"/>
  <c r="L84" i="4" s="1"/>
  <c r="K49" i="8"/>
  <c r="L49" i="8" s="1"/>
  <c r="K10" i="12"/>
  <c r="L10" i="12" s="1"/>
  <c r="K81" i="2"/>
  <c r="L81" i="2" s="1"/>
  <c r="K40" i="2"/>
  <c r="L40" i="2" s="1"/>
  <c r="M28" i="6"/>
  <c r="N28" i="6" s="1"/>
  <c r="K73" i="10"/>
  <c r="L73" i="10" s="1"/>
  <c r="K25" i="12"/>
  <c r="L25" i="12" s="1"/>
  <c r="K71" i="12"/>
  <c r="L71" i="12" s="1"/>
  <c r="K68" i="2"/>
  <c r="L68" i="2" s="1"/>
  <c r="M58" i="8"/>
  <c r="N58" i="8" s="1"/>
  <c r="K28" i="2"/>
  <c r="L28" i="2" s="1"/>
  <c r="M49" i="4"/>
  <c r="N49" i="4" s="1"/>
  <c r="M43" i="4"/>
  <c r="N43" i="4" s="1"/>
  <c r="K93" i="4"/>
  <c r="L93" i="4" s="1"/>
  <c r="K73" i="8"/>
  <c r="L73" i="8" s="1"/>
  <c r="K30" i="10"/>
  <c r="L30" i="10" s="1"/>
  <c r="K83" i="12"/>
  <c r="L83" i="12" s="1"/>
  <c r="K4" i="4"/>
  <c r="L4" i="4" s="1"/>
  <c r="K58" i="10"/>
  <c r="L58" i="10" s="1"/>
  <c r="K79" i="10"/>
  <c r="L79" i="10" s="1"/>
  <c r="K50" i="2"/>
  <c r="L50" i="2" s="1"/>
  <c r="K66" i="2"/>
  <c r="L66" i="2" s="1"/>
  <c r="M28" i="4"/>
  <c r="N28" i="4" s="1"/>
  <c r="K17" i="6"/>
  <c r="L17" i="6" s="1"/>
  <c r="K35" i="10"/>
  <c r="L35" i="10" s="1"/>
  <c r="K80" i="10"/>
  <c r="L80" i="10" s="1"/>
  <c r="K22" i="4"/>
  <c r="L22" i="4" s="1"/>
  <c r="M35" i="4"/>
  <c r="N35" i="4" s="1"/>
  <c r="M78" i="12"/>
  <c r="N78" i="12" s="1"/>
  <c r="M70" i="2"/>
  <c r="N70" i="2" s="1"/>
  <c r="M107" i="4"/>
  <c r="N107" i="4" s="1"/>
  <c r="M16" i="12"/>
  <c r="N16" i="12" s="1"/>
  <c r="M71" i="6"/>
  <c r="N71" i="6" s="1"/>
  <c r="M22" i="6"/>
  <c r="N22" i="6" s="1"/>
  <c r="M82" i="10"/>
  <c r="N82" i="10" s="1"/>
  <c r="M80" i="12"/>
  <c r="N80" i="12" s="1"/>
  <c r="M68" i="8"/>
  <c r="N68" i="8" s="1"/>
  <c r="M89" i="6"/>
  <c r="N89" i="6" s="1"/>
  <c r="M76" i="6"/>
  <c r="N76" i="6" s="1"/>
  <c r="M102" i="10"/>
  <c r="N102" i="10" s="1"/>
  <c r="K70" i="12"/>
  <c r="L70" i="12" s="1"/>
  <c r="K58" i="2"/>
  <c r="L58" i="2" s="1"/>
  <c r="K95" i="12"/>
  <c r="L95" i="12" s="1"/>
  <c r="K26" i="12"/>
  <c r="L26" i="12" s="1"/>
  <c r="K10" i="4"/>
  <c r="L10" i="4" s="1"/>
  <c r="K26" i="8"/>
  <c r="L26" i="8" s="1"/>
  <c r="K8" i="12"/>
  <c r="L8" i="12" s="1"/>
  <c r="K101" i="2"/>
  <c r="L101" i="2" s="1"/>
  <c r="K34" i="6"/>
  <c r="L34" i="6" s="1"/>
  <c r="M43" i="10"/>
  <c r="N43" i="10" s="1"/>
  <c r="K56" i="10"/>
  <c r="L56" i="10" s="1"/>
  <c r="K12" i="12"/>
  <c r="L12" i="12" s="1"/>
  <c r="K54" i="12"/>
  <c r="L54" i="12" s="1"/>
  <c r="K65" i="12"/>
  <c r="L65" i="12" s="1"/>
  <c r="K8" i="2"/>
  <c r="L8" i="2" s="1"/>
  <c r="K46" i="6"/>
  <c r="L46" i="6" s="1"/>
  <c r="K69" i="10"/>
  <c r="L69" i="10" s="1"/>
  <c r="M63" i="2"/>
  <c r="N63" i="2" s="1"/>
  <c r="M98" i="10"/>
  <c r="N98" i="10" s="1"/>
  <c r="M67" i="6"/>
  <c r="N67" i="6" s="1"/>
  <c r="M25" i="4"/>
  <c r="N25" i="4" s="1"/>
  <c r="M45" i="4"/>
  <c r="N45" i="4" s="1"/>
  <c r="M20" i="6"/>
  <c r="N20" i="6" s="1"/>
  <c r="M86" i="6"/>
  <c r="N86" i="6" s="1"/>
  <c r="M90" i="8"/>
  <c r="N90" i="8" s="1"/>
  <c r="K65" i="8"/>
  <c r="L65" i="8" s="1"/>
  <c r="K37" i="6"/>
  <c r="L37" i="6" s="1"/>
  <c r="M35" i="12"/>
  <c r="N35" i="12" s="1"/>
  <c r="M50" i="8"/>
  <c r="N50" i="8" s="1"/>
  <c r="M16" i="6"/>
  <c r="N16" i="6" s="1"/>
  <c r="K32" i="2"/>
  <c r="L32" i="2" s="1"/>
  <c r="K67" i="12"/>
  <c r="L67" i="12" s="1"/>
  <c r="M61" i="10"/>
  <c r="N61" i="10" s="1"/>
  <c r="K85" i="12"/>
  <c r="L85" i="12" s="1"/>
  <c r="K92" i="8"/>
  <c r="L92" i="8" s="1"/>
  <c r="K32" i="8"/>
  <c r="L32" i="8" s="1"/>
  <c r="M9" i="8"/>
  <c r="N9" i="8" s="1"/>
  <c r="M51" i="12"/>
  <c r="N51" i="12" s="1"/>
  <c r="M86" i="12"/>
  <c r="N86" i="12" s="1"/>
  <c r="M65" i="6"/>
  <c r="N65" i="6" s="1"/>
  <c r="M72" i="4"/>
  <c r="N72" i="4" s="1"/>
  <c r="K101" i="10"/>
  <c r="L101" i="10" s="1"/>
  <c r="K46" i="2"/>
  <c r="L46" i="2" s="1"/>
  <c r="K38" i="2"/>
  <c r="L38" i="2" s="1"/>
  <c r="K27" i="8"/>
  <c r="L27" i="8" s="1"/>
  <c r="K15" i="10"/>
  <c r="L15" i="10" s="1"/>
  <c r="K88" i="10"/>
  <c r="L88" i="10" s="1"/>
  <c r="M53" i="12"/>
  <c r="N53" i="12" s="1"/>
  <c r="K13" i="10"/>
  <c r="L13" i="10" s="1"/>
  <c r="M16" i="8"/>
  <c r="N16" i="8" s="1"/>
  <c r="K28" i="12"/>
  <c r="L28" i="12" s="1"/>
  <c r="M32" i="12"/>
  <c r="N32" i="12" s="1"/>
  <c r="K79" i="2"/>
  <c r="L79" i="2" s="1"/>
  <c r="M36" i="4"/>
  <c r="N36" i="4" s="1"/>
  <c r="K21" i="6"/>
  <c r="L21" i="6" s="1"/>
  <c r="M103" i="6"/>
  <c r="N103" i="6" s="1"/>
  <c r="M69" i="12"/>
  <c r="N69" i="12" s="1"/>
  <c r="M72" i="8"/>
  <c r="N72" i="8" s="1"/>
  <c r="K24" i="6"/>
  <c r="L24" i="6" s="1"/>
  <c r="K4" i="2"/>
  <c r="L4" i="2" s="1"/>
  <c r="K95" i="8"/>
  <c r="L95" i="8" s="1"/>
  <c r="K5" i="2"/>
  <c r="L5" i="2" s="1"/>
  <c r="M53" i="10"/>
  <c r="N53" i="10" s="1"/>
  <c r="K11" i="12"/>
  <c r="L11" i="12" s="1"/>
  <c r="K77" i="2"/>
  <c r="L77" i="2" s="1"/>
  <c r="K68" i="6"/>
  <c r="L68" i="6" s="1"/>
  <c r="K35" i="8"/>
  <c r="L35" i="8" s="1"/>
  <c r="K75" i="12"/>
  <c r="L75" i="12" s="1"/>
  <c r="M93" i="6"/>
  <c r="N93" i="6" s="1"/>
  <c r="M85" i="8"/>
  <c r="N85" i="8" s="1"/>
  <c r="K71" i="10"/>
  <c r="L71" i="10" s="1"/>
  <c r="K68" i="10"/>
  <c r="L68" i="10" s="1"/>
  <c r="K46" i="10"/>
  <c r="L46" i="10" s="1"/>
  <c r="K36" i="10"/>
  <c r="L36" i="10" s="1"/>
  <c r="K96" i="12"/>
  <c r="L96" i="12" s="1"/>
  <c r="M51" i="4"/>
  <c r="N51" i="4" s="1"/>
  <c r="K30" i="2"/>
  <c r="L30" i="2" s="1"/>
  <c r="M47" i="6"/>
  <c r="N47" i="6" s="1"/>
  <c r="K38" i="6"/>
  <c r="L38" i="6" s="1"/>
  <c r="K92" i="10"/>
  <c r="L92" i="10" s="1"/>
  <c r="K88" i="12"/>
  <c r="L88" i="12" s="1"/>
  <c r="K60" i="2"/>
  <c r="L60" i="2" s="1"/>
  <c r="K27" i="4"/>
  <c r="L27" i="4" s="1"/>
  <c r="K23" i="4"/>
  <c r="L23" i="4" s="1"/>
  <c r="M46" i="8"/>
  <c r="N46" i="8" s="1"/>
  <c r="M23" i="8"/>
  <c r="N23" i="8" s="1"/>
  <c r="K20" i="10"/>
  <c r="L20" i="10" s="1"/>
  <c r="K64" i="12"/>
  <c r="L64" i="12" s="1"/>
  <c r="K7" i="2"/>
  <c r="L7" i="2" s="1"/>
  <c r="M107" i="2"/>
  <c r="N107" i="2" s="1"/>
  <c r="K64" i="2"/>
  <c r="L64" i="2" s="1"/>
  <c r="M54" i="8"/>
  <c r="N54" i="8" s="1"/>
  <c r="K96" i="8"/>
  <c r="L96" i="8" s="1"/>
  <c r="K11" i="10"/>
  <c r="L11" i="10" s="1"/>
  <c r="M32" i="10"/>
  <c r="N32" i="10" s="1"/>
  <c r="K48" i="10"/>
  <c r="L48" i="10" s="1"/>
  <c r="K89" i="10"/>
  <c r="L89" i="10" s="1"/>
  <c r="K49" i="12"/>
  <c r="L49" i="12" s="1"/>
  <c r="K36" i="2"/>
  <c r="L36" i="2" s="1"/>
  <c r="K9" i="2"/>
  <c r="L9" i="2" s="1"/>
  <c r="K16" i="4"/>
  <c r="L16" i="4" s="1"/>
  <c r="K24" i="4"/>
  <c r="L24" i="4" s="1"/>
  <c r="K87" i="6"/>
  <c r="L87" i="6" s="1"/>
  <c r="K37" i="10"/>
  <c r="L37" i="10" s="1"/>
  <c r="K85" i="10"/>
  <c r="L85" i="10" s="1"/>
  <c r="K61" i="12"/>
  <c r="L61" i="12" s="1"/>
  <c r="K72" i="12"/>
  <c r="L72" i="12" s="1"/>
  <c r="K102" i="12"/>
  <c r="L102" i="12" s="1"/>
  <c r="K76" i="2"/>
  <c r="L76" i="2" s="1"/>
  <c r="K90" i="2"/>
  <c r="L90" i="2" s="1"/>
  <c r="M53" i="4"/>
  <c r="N53" i="4" s="1"/>
  <c r="K17" i="2"/>
  <c r="L17" i="2" s="1"/>
  <c r="K32" i="6"/>
  <c r="L32" i="6" s="1"/>
  <c r="K70" i="10"/>
  <c r="L70" i="10" s="1"/>
  <c r="K36" i="12"/>
  <c r="L36" i="12" s="1"/>
  <c r="K15" i="2"/>
  <c r="L15" i="2" s="1"/>
  <c r="K47" i="2"/>
  <c r="L47" i="2" s="1"/>
  <c r="K56" i="2"/>
  <c r="L56" i="2" s="1"/>
  <c r="K97" i="2"/>
  <c r="L97" i="2" s="1"/>
  <c r="K54" i="6"/>
  <c r="L54" i="6" s="1"/>
  <c r="K52" i="8"/>
  <c r="L52" i="8" s="1"/>
  <c r="K21" i="8"/>
  <c r="L21" i="8" s="1"/>
  <c r="K47" i="8"/>
  <c r="L47" i="8" s="1"/>
  <c r="K98" i="12"/>
  <c r="L98" i="12" s="1"/>
  <c r="K100" i="12"/>
  <c r="L100" i="12" s="1"/>
  <c r="M70" i="4"/>
  <c r="N70" i="4" s="1"/>
  <c r="M63" i="6"/>
  <c r="N63" i="6" s="1"/>
  <c r="M7" i="8"/>
  <c r="N7" i="8" s="1"/>
  <c r="M21" i="12"/>
  <c r="N21" i="12" s="1"/>
  <c r="M11" i="6"/>
  <c r="N11" i="6" s="1"/>
  <c r="M25" i="8"/>
  <c r="N25" i="8" s="1"/>
  <c r="M22" i="8"/>
  <c r="N22" i="8" s="1"/>
  <c r="M99" i="2"/>
  <c r="N99" i="2" s="1"/>
  <c r="M26" i="4"/>
  <c r="N26" i="4" s="1"/>
  <c r="M53" i="2"/>
  <c r="N53" i="2" s="1"/>
  <c r="M10" i="6"/>
  <c r="N10" i="6" s="1"/>
  <c r="M45" i="8"/>
  <c r="N45" i="8" s="1"/>
  <c r="M70" i="8"/>
  <c r="N70" i="8" s="1"/>
  <c r="M15" i="8"/>
  <c r="N15" i="8" s="1"/>
  <c r="M17" i="10"/>
  <c r="N17" i="10" s="1"/>
  <c r="M4" i="6"/>
  <c r="N4" i="6" s="1"/>
  <c r="M24" i="12"/>
  <c r="N24" i="12" s="1"/>
  <c r="K92" i="2"/>
  <c r="L92" i="2" s="1"/>
  <c r="K74" i="2"/>
  <c r="L74" i="2" s="1"/>
  <c r="K92" i="4"/>
  <c r="L92" i="4" s="1"/>
  <c r="K96" i="4"/>
  <c r="L96" i="4" s="1"/>
  <c r="M66" i="4"/>
  <c r="N66" i="4" s="1"/>
  <c r="K33" i="6"/>
  <c r="L33" i="6" s="1"/>
  <c r="K12" i="4"/>
  <c r="L12" i="4" s="1"/>
  <c r="K101" i="4"/>
  <c r="L101" i="4" s="1"/>
  <c r="K77" i="4"/>
  <c r="L77" i="4" s="1"/>
  <c r="K40" i="6"/>
  <c r="L40" i="6" s="1"/>
  <c r="K8" i="8"/>
  <c r="L8" i="8" s="1"/>
  <c r="K48" i="8"/>
  <c r="L48" i="8" s="1"/>
  <c r="K51" i="8"/>
  <c r="L51" i="8" s="1"/>
  <c r="M23" i="10"/>
  <c r="N23" i="10" s="1"/>
  <c r="K38" i="10"/>
  <c r="L38" i="10" s="1"/>
  <c r="K37" i="12"/>
  <c r="L37" i="12" s="1"/>
  <c r="K17" i="12"/>
  <c r="L17" i="12" s="1"/>
  <c r="K20" i="2"/>
  <c r="L20" i="2" s="1"/>
  <c r="K35" i="6"/>
  <c r="L35" i="6" s="1"/>
  <c r="M88" i="8"/>
  <c r="N88" i="8" s="1"/>
  <c r="K42" i="10"/>
  <c r="L42" i="10" s="1"/>
  <c r="K50" i="10"/>
  <c r="L50" i="10" s="1"/>
  <c r="K75" i="10"/>
  <c r="L75" i="10" s="1"/>
  <c r="K58" i="12"/>
  <c r="L58" i="12" s="1"/>
  <c r="K22" i="2"/>
  <c r="L22" i="2" s="1"/>
  <c r="K89" i="2"/>
  <c r="L89" i="2" s="1"/>
  <c r="M4" i="8"/>
  <c r="N4" i="8" s="1"/>
  <c r="K55" i="8"/>
  <c r="L55" i="8" s="1"/>
  <c r="K82" i="8"/>
  <c r="L82" i="8" s="1"/>
  <c r="K25" i="10"/>
  <c r="L25" i="10" s="1"/>
  <c r="K72" i="10"/>
  <c r="L72" i="10" s="1"/>
  <c r="K47" i="12"/>
  <c r="L47" i="12" s="1"/>
  <c r="K41" i="12"/>
  <c r="L41" i="12" s="1"/>
  <c r="K37" i="2"/>
  <c r="L37" i="2" s="1"/>
  <c r="K66" i="6"/>
  <c r="L66" i="6" s="1"/>
  <c r="K34" i="2"/>
  <c r="L34" i="2" s="1"/>
  <c r="K96" i="2"/>
  <c r="L96" i="2" s="1"/>
  <c r="K83" i="2"/>
  <c r="L83" i="2" s="1"/>
  <c r="K86" i="2"/>
  <c r="L86" i="2" s="1"/>
  <c r="K12" i="6"/>
  <c r="L12" i="6" s="1"/>
  <c r="K9" i="10"/>
  <c r="L9" i="10" s="1"/>
  <c r="K68" i="12"/>
  <c r="L68" i="12" s="1"/>
  <c r="M106" i="6"/>
  <c r="N106" i="6" s="1"/>
  <c r="M20" i="8"/>
  <c r="N20" i="8" s="1"/>
  <c r="M19" i="10"/>
  <c r="N19" i="10" s="1"/>
  <c r="M94" i="2"/>
  <c r="N94" i="2" s="1"/>
  <c r="M79" i="6"/>
  <c r="N79" i="6" s="1"/>
  <c r="M11" i="8"/>
  <c r="N11" i="8" s="1"/>
  <c r="M59" i="12"/>
  <c r="N59" i="12" s="1"/>
  <c r="M51" i="10"/>
  <c r="N51" i="10" s="1"/>
  <c r="M13" i="8"/>
  <c r="N13" i="8" s="1"/>
  <c r="M18" i="6"/>
  <c r="N18" i="6" s="1"/>
  <c r="M63" i="8"/>
  <c r="N63" i="8" s="1"/>
  <c r="M41" i="4"/>
  <c r="N41" i="4" s="1"/>
  <c r="K93" i="10"/>
  <c r="L93" i="10" s="1"/>
  <c r="K103" i="4"/>
  <c r="L103" i="4" s="1"/>
  <c r="K77" i="6"/>
  <c r="L77" i="6" s="1"/>
  <c r="K97" i="4"/>
  <c r="L97" i="4" s="1"/>
  <c r="K50" i="6"/>
  <c r="L50" i="6" s="1"/>
  <c r="M100" i="10"/>
  <c r="N100" i="10" s="1"/>
  <c r="K5" i="10"/>
  <c r="L5" i="10" s="1"/>
  <c r="K11" i="2"/>
  <c r="L11" i="2" s="1"/>
  <c r="K54" i="2"/>
  <c r="L54" i="2" s="1"/>
  <c r="K87" i="4"/>
  <c r="L87" i="4" s="1"/>
  <c r="K14" i="4"/>
  <c r="L14" i="4" s="1"/>
  <c r="K50" i="12"/>
  <c r="L50" i="12" s="1"/>
  <c r="M45" i="2"/>
  <c r="N45" i="2" s="1"/>
  <c r="M73" i="6"/>
  <c r="N73" i="6" s="1"/>
  <c r="K73" i="2"/>
  <c r="L73" i="2" s="1"/>
  <c r="M24" i="10"/>
  <c r="N24" i="10" s="1"/>
  <c r="M13" i="6"/>
  <c r="N13" i="6" s="1"/>
  <c r="M15" i="6"/>
  <c r="N15" i="6" s="1"/>
  <c r="M59" i="8"/>
  <c r="N59" i="8" s="1"/>
  <c r="M53" i="6"/>
  <c r="N53" i="6" s="1"/>
  <c r="M107" i="6"/>
  <c r="N107" i="6" s="1"/>
  <c r="M66" i="8"/>
  <c r="N66" i="8" s="1"/>
  <c r="M24" i="2"/>
  <c r="N24" i="2" s="1"/>
  <c r="M58" i="6"/>
  <c r="N58" i="6" s="1"/>
  <c r="M56" i="8"/>
  <c r="N56" i="8" s="1"/>
  <c r="M19" i="12"/>
  <c r="N19" i="12" s="1"/>
  <c r="K46" i="12"/>
  <c r="L46" i="12" s="1"/>
  <c r="K42" i="2"/>
  <c r="L42" i="2" s="1"/>
  <c r="K71" i="8"/>
  <c r="L71" i="8" s="1"/>
  <c r="K92" i="6"/>
  <c r="L92" i="6" s="1"/>
  <c r="K56" i="12"/>
  <c r="L56" i="12" s="1"/>
  <c r="K22" i="10"/>
  <c r="L22" i="10" s="1"/>
  <c r="K59" i="4"/>
  <c r="L59" i="4" s="1"/>
  <c r="K59" i="6"/>
  <c r="L59" i="6" s="1"/>
  <c r="K36" i="8"/>
  <c r="L36" i="8" s="1"/>
  <c r="M105" i="10"/>
  <c r="N105" i="10" s="1"/>
  <c r="K12" i="2"/>
  <c r="L12" i="2" s="1"/>
  <c r="K76" i="10"/>
  <c r="L76" i="10" s="1"/>
  <c r="K34" i="12"/>
  <c r="L34" i="12" s="1"/>
  <c r="K6" i="2"/>
  <c r="L6" i="2" s="1"/>
  <c r="K21" i="2"/>
  <c r="L21" i="2" s="1"/>
  <c r="K5" i="4"/>
  <c r="L5" i="4" s="1"/>
  <c r="K18" i="4"/>
  <c r="L18" i="4" s="1"/>
  <c r="K63" i="12"/>
  <c r="L63" i="12" s="1"/>
  <c r="M8" i="6"/>
  <c r="N8" i="6" s="1"/>
  <c r="M65" i="4" l="1"/>
  <c r="N65" i="4" s="1"/>
  <c r="M46" i="4"/>
  <c r="N46" i="4" s="1"/>
  <c r="M18" i="4"/>
  <c r="N18" i="4" s="1"/>
  <c r="M66" i="6"/>
  <c r="N66" i="6" s="1"/>
  <c r="M72" i="6"/>
  <c r="N72" i="6" s="1"/>
  <c r="M11" i="4"/>
  <c r="N11" i="4" s="1"/>
  <c r="M5" i="12"/>
  <c r="N5" i="12" s="1"/>
  <c r="M43" i="12"/>
  <c r="N43" i="12" s="1"/>
  <c r="M25" i="6"/>
  <c r="N25" i="6" s="1"/>
  <c r="M31" i="6"/>
  <c r="N31" i="6" s="1"/>
  <c r="M43" i="8"/>
  <c r="N43" i="8" s="1"/>
  <c r="M58" i="12"/>
  <c r="N58" i="12" s="1"/>
  <c r="M44" i="2"/>
  <c r="N44" i="2" s="1"/>
  <c r="M76" i="10"/>
  <c r="N76" i="10" s="1"/>
  <c r="M37" i="2"/>
  <c r="N37" i="2" s="1"/>
  <c r="M42" i="10"/>
  <c r="N42" i="10" s="1"/>
  <c r="M75" i="12"/>
  <c r="N75" i="12" s="1"/>
  <c r="M32" i="8"/>
  <c r="N32" i="8" s="1"/>
  <c r="M50" i="2"/>
  <c r="N50" i="2" s="1"/>
  <c r="M25" i="12"/>
  <c r="N25" i="12" s="1"/>
  <c r="M49" i="8"/>
  <c r="N49" i="8" s="1"/>
  <c r="M86" i="8"/>
  <c r="N86" i="8" s="1"/>
  <c r="M14" i="2"/>
  <c r="N14" i="2" s="1"/>
  <c r="M91" i="12"/>
  <c r="N91" i="12" s="1"/>
  <c r="M103" i="12"/>
  <c r="N103" i="12" s="1"/>
  <c r="M16" i="10"/>
  <c r="N16" i="10" s="1"/>
  <c r="M17" i="4"/>
  <c r="N17" i="4" s="1"/>
  <c r="M96" i="6"/>
  <c r="N96" i="6" s="1"/>
  <c r="M76" i="4"/>
  <c r="N76" i="4" s="1"/>
  <c r="M48" i="6"/>
  <c r="N48" i="6" s="1"/>
  <c r="M61" i="2"/>
  <c r="N61" i="2" s="1"/>
  <c r="M103" i="8"/>
  <c r="N103" i="8" s="1"/>
  <c r="M24" i="4"/>
  <c r="N24" i="4" s="1"/>
  <c r="M46" i="2"/>
  <c r="N46" i="2" s="1"/>
  <c r="M93" i="4"/>
  <c r="N93" i="4" s="1"/>
  <c r="M52" i="2"/>
  <c r="N52" i="2" s="1"/>
  <c r="M21" i="4"/>
  <c r="N21" i="4" s="1"/>
  <c r="M12" i="2"/>
  <c r="N12" i="2" s="1"/>
  <c r="M22" i="10"/>
  <c r="N22" i="10" s="1"/>
  <c r="M14" i="4"/>
  <c r="N14" i="4" s="1"/>
  <c r="M47" i="8"/>
  <c r="N47" i="8" s="1"/>
  <c r="M47" i="2"/>
  <c r="N47" i="2" s="1"/>
  <c r="M90" i="2"/>
  <c r="N90" i="2" s="1"/>
  <c r="M79" i="10"/>
  <c r="N79" i="10" s="1"/>
  <c r="M28" i="2"/>
  <c r="N28" i="2" s="1"/>
  <c r="M73" i="10"/>
  <c r="N73" i="10" s="1"/>
  <c r="M84" i="4"/>
  <c r="N84" i="4" s="1"/>
  <c r="M99" i="6"/>
  <c r="N99" i="6" s="1"/>
  <c r="M15" i="4"/>
  <c r="N15" i="4" s="1"/>
  <c r="M101" i="12"/>
  <c r="N101" i="12" s="1"/>
  <c r="M6" i="4"/>
  <c r="N6" i="4" s="1"/>
  <c r="M89" i="12"/>
  <c r="N89" i="12" s="1"/>
  <c r="M56" i="6"/>
  <c r="N56" i="6" s="1"/>
  <c r="M44" i="10"/>
  <c r="N44" i="10" s="1"/>
  <c r="M80" i="2"/>
  <c r="N80" i="2" s="1"/>
  <c r="M45" i="10"/>
  <c r="N45" i="10" s="1"/>
  <c r="M55" i="12"/>
  <c r="N55" i="12" s="1"/>
  <c r="M85" i="12"/>
  <c r="N85" i="12" s="1"/>
  <c r="M34" i="10"/>
  <c r="N34" i="10" s="1"/>
  <c r="M50" i="12"/>
  <c r="N50" i="12" s="1"/>
  <c r="M87" i="4"/>
  <c r="N87" i="4" s="1"/>
  <c r="M83" i="2"/>
  <c r="N83" i="2" s="1"/>
  <c r="M72" i="10"/>
  <c r="N72" i="10" s="1"/>
  <c r="M89" i="2"/>
  <c r="N89" i="2" s="1"/>
  <c r="M101" i="4"/>
  <c r="N101" i="4" s="1"/>
  <c r="M9" i="2"/>
  <c r="N9" i="2" s="1"/>
  <c r="M35" i="8"/>
  <c r="N35" i="8" s="1"/>
  <c r="M21" i="6"/>
  <c r="N21" i="6" s="1"/>
  <c r="M13" i="10"/>
  <c r="N13" i="10" s="1"/>
  <c r="M65" i="8"/>
  <c r="N65" i="8" s="1"/>
  <c r="M58" i="10"/>
  <c r="N58" i="10" s="1"/>
  <c r="M86" i="4"/>
  <c r="N86" i="4" s="1"/>
  <c r="M91" i="2"/>
  <c r="N91" i="2" s="1"/>
  <c r="M13" i="2"/>
  <c r="N13" i="2" s="1"/>
  <c r="M61" i="6"/>
  <c r="N61" i="6" s="1"/>
  <c r="M65" i="10"/>
  <c r="N65" i="10" s="1"/>
  <c r="M95" i="10"/>
  <c r="N95" i="10" s="1"/>
  <c r="M27" i="6"/>
  <c r="N27" i="6" s="1"/>
  <c r="M8" i="4"/>
  <c r="N8" i="4" s="1"/>
  <c r="M54" i="10"/>
  <c r="N54" i="10" s="1"/>
  <c r="M9" i="4"/>
  <c r="N9" i="4" s="1"/>
  <c r="M67" i="8"/>
  <c r="N67" i="8" s="1"/>
  <c r="M103" i="4"/>
  <c r="N103" i="4" s="1"/>
  <c r="M100" i="12"/>
  <c r="N100" i="12" s="1"/>
  <c r="M64" i="2"/>
  <c r="N64" i="2" s="1"/>
  <c r="M10" i="12"/>
  <c r="N10" i="12" s="1"/>
  <c r="M6" i="2"/>
  <c r="N6" i="2" s="1"/>
  <c r="M56" i="12"/>
  <c r="N56" i="12" s="1"/>
  <c r="M54" i="2"/>
  <c r="N54" i="2" s="1"/>
  <c r="M47" i="12"/>
  <c r="N47" i="12" s="1"/>
  <c r="M25" i="10"/>
  <c r="N25" i="10" s="1"/>
  <c r="M22" i="2"/>
  <c r="N22" i="2" s="1"/>
  <c r="M35" i="6"/>
  <c r="N35" i="6" s="1"/>
  <c r="M48" i="8"/>
  <c r="N48" i="8" s="1"/>
  <c r="M64" i="12"/>
  <c r="N64" i="12" s="1"/>
  <c r="M27" i="4"/>
  <c r="N27" i="4" s="1"/>
  <c r="M24" i="6"/>
  <c r="N24" i="6" s="1"/>
  <c r="M102" i="2"/>
  <c r="N102" i="2" s="1"/>
  <c r="M40" i="10"/>
  <c r="N40" i="10" s="1"/>
  <c r="M63" i="4"/>
  <c r="N63" i="4" s="1"/>
  <c r="M59" i="10"/>
  <c r="N59" i="10" s="1"/>
  <c r="M84" i="6"/>
  <c r="N84" i="6" s="1"/>
  <c r="M76" i="8"/>
  <c r="N76" i="8" s="1"/>
  <c r="M84" i="2"/>
  <c r="N84" i="2" s="1"/>
  <c r="M60" i="12"/>
  <c r="N60" i="12" s="1"/>
  <c r="M25" i="2"/>
  <c r="N25" i="2" s="1"/>
  <c r="M73" i="12"/>
  <c r="N73" i="12" s="1"/>
  <c r="M90" i="6"/>
  <c r="N90" i="6" s="1"/>
  <c r="M38" i="12"/>
  <c r="N38" i="12" s="1"/>
  <c r="M19" i="4"/>
  <c r="N19" i="4" s="1"/>
  <c r="M16" i="2"/>
  <c r="N16" i="2" s="1"/>
  <c r="M92" i="6"/>
  <c r="N92" i="6" s="1"/>
  <c r="M97" i="4"/>
  <c r="N97" i="4" s="1"/>
  <c r="M92" i="4"/>
  <c r="N92" i="4" s="1"/>
  <c r="M52" i="8"/>
  <c r="N52" i="8" s="1"/>
  <c r="M36" i="12"/>
  <c r="N36" i="12" s="1"/>
  <c r="M70" i="10"/>
  <c r="N70" i="10" s="1"/>
  <c r="M11" i="10"/>
  <c r="N11" i="10" s="1"/>
  <c r="M79" i="2"/>
  <c r="N79" i="2" s="1"/>
  <c r="M46" i="6"/>
  <c r="N46" i="6" s="1"/>
  <c r="M4" i="4"/>
  <c r="N4" i="4" s="1"/>
  <c r="M40" i="2"/>
  <c r="N40" i="2" s="1"/>
  <c r="M30" i="8"/>
  <c r="N30" i="8" s="1"/>
  <c r="M59" i="2"/>
  <c r="N59" i="2" s="1"/>
  <c r="M42" i="8"/>
  <c r="N42" i="8" s="1"/>
  <c r="M53" i="8"/>
  <c r="N53" i="8" s="1"/>
  <c r="M86" i="10"/>
  <c r="N86" i="10" s="1"/>
  <c r="M34" i="4"/>
  <c r="N34" i="4" s="1"/>
  <c r="M79" i="12"/>
  <c r="N79" i="12" s="1"/>
  <c r="M42" i="12"/>
  <c r="N42" i="12" s="1"/>
  <c r="M78" i="10"/>
  <c r="N78" i="10" s="1"/>
  <c r="M49" i="10"/>
  <c r="N49" i="10" s="1"/>
  <c r="M103" i="10"/>
  <c r="N103" i="10" s="1"/>
  <c r="M93" i="8"/>
  <c r="N93" i="8" s="1"/>
  <c r="M12" i="8"/>
  <c r="N12" i="8" s="1"/>
  <c r="M51" i="2"/>
  <c r="N51" i="2" s="1"/>
  <c r="M42" i="2"/>
  <c r="N42" i="2" s="1"/>
  <c r="M77" i="6"/>
  <c r="N77" i="6" s="1"/>
  <c r="M34" i="2"/>
  <c r="N34" i="2" s="1"/>
  <c r="M82" i="8"/>
  <c r="N82" i="8" s="1"/>
  <c r="M75" i="10"/>
  <c r="N75" i="10" s="1"/>
  <c r="M33" i="6"/>
  <c r="N33" i="6" s="1"/>
  <c r="M74" i="2"/>
  <c r="N74" i="2" s="1"/>
  <c r="M54" i="6"/>
  <c r="N54" i="6" s="1"/>
  <c r="M32" i="6"/>
  <c r="N32" i="6" s="1"/>
  <c r="M49" i="12"/>
  <c r="N49" i="12" s="1"/>
  <c r="M92" i="8"/>
  <c r="N92" i="8" s="1"/>
  <c r="M8" i="2"/>
  <c r="N8" i="2" s="1"/>
  <c r="M81" i="2"/>
  <c r="N81" i="2" s="1"/>
  <c r="M104" i="6"/>
  <c r="N104" i="6" s="1"/>
  <c r="M69" i="8"/>
  <c r="N69" i="8" s="1"/>
  <c r="M69" i="2"/>
  <c r="N69" i="2" s="1"/>
  <c r="M40" i="12"/>
  <c r="N40" i="12" s="1"/>
  <c r="M100" i="8"/>
  <c r="N100" i="8" s="1"/>
  <c r="M37" i="4"/>
  <c r="N37" i="4" s="1"/>
  <c r="M38" i="8"/>
  <c r="N38" i="8" s="1"/>
  <c r="M99" i="4"/>
  <c r="N99" i="4" s="1"/>
  <c r="M89" i="4"/>
  <c r="N89" i="4" s="1"/>
  <c r="M93" i="2"/>
  <c r="N93" i="2" s="1"/>
  <c r="M42" i="6"/>
  <c r="N42" i="6" s="1"/>
  <c r="M28" i="12"/>
  <c r="N28" i="12" s="1"/>
  <c r="M20" i="12"/>
  <c r="N20" i="12" s="1"/>
  <c r="M43" i="2"/>
  <c r="N43" i="2" s="1"/>
  <c r="M5" i="10"/>
  <c r="N5" i="10" s="1"/>
  <c r="M20" i="2"/>
  <c r="N20" i="2" s="1"/>
  <c r="M92" i="2"/>
  <c r="N92" i="2" s="1"/>
  <c r="M97" i="2"/>
  <c r="N97" i="2" s="1"/>
  <c r="M68" i="2"/>
  <c r="N68" i="2" s="1"/>
  <c r="M12" i="6"/>
  <c r="N12" i="6" s="1"/>
  <c r="M16" i="4"/>
  <c r="N16" i="4" s="1"/>
  <c r="M101" i="10"/>
  <c r="N101" i="10" s="1"/>
  <c r="M83" i="12"/>
  <c r="N83" i="12" s="1"/>
  <c r="M71" i="12"/>
  <c r="N71" i="12" s="1"/>
  <c r="M83" i="6"/>
  <c r="N83" i="6" s="1"/>
  <c r="M36" i="6"/>
  <c r="N36" i="6" s="1"/>
  <c r="M12" i="10"/>
  <c r="N12" i="10" s="1"/>
  <c r="M83" i="8"/>
  <c r="N83" i="8" s="1"/>
  <c r="M48" i="12"/>
  <c r="N48" i="12" s="1"/>
  <c r="M44" i="8"/>
  <c r="N44" i="8" s="1"/>
  <c r="M46" i="10"/>
  <c r="N46" i="10" s="1"/>
  <c r="M15" i="10"/>
  <c r="N15" i="10" s="1"/>
  <c r="M67" i="12"/>
  <c r="N67" i="12" s="1"/>
  <c r="M69" i="10"/>
  <c r="N69" i="10" s="1"/>
  <c r="M70" i="12"/>
  <c r="N70" i="12" s="1"/>
  <c r="M73" i="2"/>
  <c r="N73" i="2" s="1"/>
  <c r="M59" i="4"/>
  <c r="N59" i="4" s="1"/>
  <c r="M71" i="8"/>
  <c r="N71" i="8" s="1"/>
  <c r="M68" i="12"/>
  <c r="N68" i="12" s="1"/>
  <c r="M96" i="2"/>
  <c r="N96" i="2" s="1"/>
  <c r="M41" i="12"/>
  <c r="N41" i="12" s="1"/>
  <c r="M50" i="10"/>
  <c r="N50" i="10" s="1"/>
  <c r="M17" i="12"/>
  <c r="N17" i="12" s="1"/>
  <c r="M51" i="8"/>
  <c r="N51" i="8" s="1"/>
  <c r="M77" i="4"/>
  <c r="N77" i="4" s="1"/>
  <c r="M21" i="8"/>
  <c r="N21" i="8" s="1"/>
  <c r="M56" i="2"/>
  <c r="N56" i="2" s="1"/>
  <c r="M76" i="2"/>
  <c r="N76" i="2" s="1"/>
  <c r="M102" i="12"/>
  <c r="N102" i="12" s="1"/>
  <c r="M36" i="2"/>
  <c r="N36" i="2" s="1"/>
  <c r="M60" i="2"/>
  <c r="N60" i="2" s="1"/>
  <c r="M38" i="6"/>
  <c r="N38" i="6" s="1"/>
  <c r="M30" i="2"/>
  <c r="N30" i="2" s="1"/>
  <c r="M96" i="12"/>
  <c r="N96" i="12" s="1"/>
  <c r="M68" i="6"/>
  <c r="N68" i="6" s="1"/>
  <c r="M11" i="12"/>
  <c r="N11" i="12" s="1"/>
  <c r="M27" i="8"/>
  <c r="N27" i="8" s="1"/>
  <c r="M32" i="2"/>
  <c r="N32" i="2" s="1"/>
  <c r="M12" i="12"/>
  <c r="N12" i="12" s="1"/>
  <c r="M34" i="6"/>
  <c r="N34" i="6" s="1"/>
  <c r="M26" i="8"/>
  <c r="N26" i="8" s="1"/>
  <c r="M26" i="12"/>
  <c r="N26" i="12" s="1"/>
  <c r="M66" i="2"/>
  <c r="N66" i="2" s="1"/>
  <c r="M72" i="2"/>
  <c r="N72" i="2" s="1"/>
  <c r="M19" i="8"/>
  <c r="N19" i="8" s="1"/>
  <c r="M48" i="2"/>
  <c r="N48" i="2" s="1"/>
  <c r="M20" i="4"/>
  <c r="N20" i="4" s="1"/>
  <c r="M18" i="12"/>
  <c r="N18" i="12" s="1"/>
  <c r="M44" i="12"/>
  <c r="N44" i="12" s="1"/>
  <c r="M14" i="8"/>
  <c r="N14" i="8" s="1"/>
  <c r="M75" i="8"/>
  <c r="N75" i="8" s="1"/>
  <c r="M55" i="2"/>
  <c r="N55" i="2" s="1"/>
  <c r="M94" i="6"/>
  <c r="N94" i="6" s="1"/>
  <c r="M13" i="12"/>
  <c r="N13" i="12" s="1"/>
  <c r="M24" i="8"/>
  <c r="N24" i="8" s="1"/>
  <c r="M52" i="10"/>
  <c r="N52" i="10" s="1"/>
  <c r="M102" i="8"/>
  <c r="N102" i="8" s="1"/>
  <c r="M30" i="12"/>
  <c r="N30" i="12" s="1"/>
  <c r="M32" i="4"/>
  <c r="N32" i="4" s="1"/>
  <c r="M91" i="8"/>
  <c r="N91" i="8" s="1"/>
  <c r="M89" i="8"/>
  <c r="N89" i="8" s="1"/>
  <c r="M66" i="12"/>
  <c r="N66" i="12" s="1"/>
  <c r="M83" i="4"/>
  <c r="N83" i="4" s="1"/>
  <c r="M101" i="8"/>
  <c r="N101" i="8" s="1"/>
  <c r="M7" i="10"/>
  <c r="N7" i="10" s="1"/>
  <c r="M37" i="12"/>
  <c r="N37" i="12" s="1"/>
  <c r="M72" i="12"/>
  <c r="N72" i="12" s="1"/>
  <c r="M23" i="4"/>
  <c r="N23" i="4" s="1"/>
  <c r="M68" i="10"/>
  <c r="N68" i="10" s="1"/>
  <c r="M4" i="2"/>
  <c r="N4" i="2" s="1"/>
  <c r="M38" i="2"/>
  <c r="N38" i="2" s="1"/>
  <c r="M56" i="10"/>
  <c r="N56" i="10" s="1"/>
  <c r="M101" i="2"/>
  <c r="N101" i="2" s="1"/>
  <c r="M95" i="12"/>
  <c r="N95" i="12" s="1"/>
  <c r="M22" i="4"/>
  <c r="N22" i="4" s="1"/>
  <c r="M30" i="10"/>
  <c r="N30" i="10" s="1"/>
  <c r="M102" i="6"/>
  <c r="N102" i="6" s="1"/>
  <c r="M64" i="10"/>
  <c r="N64" i="10" s="1"/>
  <c r="M71" i="2"/>
  <c r="N71" i="2" s="1"/>
  <c r="M94" i="4"/>
  <c r="N94" i="4" s="1"/>
  <c r="M14" i="10"/>
  <c r="N14" i="10" s="1"/>
  <c r="M91" i="10"/>
  <c r="N91" i="10" s="1"/>
  <c r="M45" i="12"/>
  <c r="N45" i="12" s="1"/>
  <c r="M23" i="12"/>
  <c r="N23" i="12" s="1"/>
  <c r="M26" i="2"/>
  <c r="N26" i="2" s="1"/>
  <c r="M60" i="10"/>
  <c r="N60" i="10" s="1"/>
  <c r="M91" i="4"/>
  <c r="N91" i="4" s="1"/>
  <c r="M64" i="6"/>
  <c r="N64" i="6" s="1"/>
  <c r="M65" i="2"/>
  <c r="N65" i="2" s="1"/>
  <c r="M31" i="8"/>
  <c r="N31" i="8" s="1"/>
  <c r="M13" i="4"/>
  <c r="N13" i="4" s="1"/>
  <c r="M74" i="6"/>
  <c r="N74" i="6" s="1"/>
  <c r="M50" i="6"/>
  <c r="N50" i="6" s="1"/>
  <c r="M55" i="8"/>
  <c r="N55" i="8" s="1"/>
  <c r="M17" i="2"/>
  <c r="N17" i="2" s="1"/>
  <c r="M7" i="2"/>
  <c r="N7" i="2" s="1"/>
  <c r="M88" i="12"/>
  <c r="N88" i="12" s="1"/>
  <c r="M5" i="2"/>
  <c r="N5" i="2" s="1"/>
  <c r="M63" i="12"/>
  <c r="N63" i="12" s="1"/>
  <c r="M5" i="4"/>
  <c r="N5" i="4" s="1"/>
  <c r="M34" i="12"/>
  <c r="N34" i="12" s="1"/>
  <c r="M36" i="8"/>
  <c r="N36" i="8" s="1"/>
  <c r="M9" i="10"/>
  <c r="N9" i="10" s="1"/>
  <c r="M86" i="2"/>
  <c r="N86" i="2" s="1"/>
  <c r="M38" i="10"/>
  <c r="N38" i="10" s="1"/>
  <c r="M8" i="8"/>
  <c r="N8" i="8" s="1"/>
  <c r="M12" i="4"/>
  <c r="N12" i="4" s="1"/>
  <c r="M96" i="4"/>
  <c r="N96" i="4" s="1"/>
  <c r="M98" i="12"/>
  <c r="N98" i="12" s="1"/>
  <c r="M15" i="2"/>
  <c r="N15" i="2" s="1"/>
  <c r="M61" i="12"/>
  <c r="N61" i="12" s="1"/>
  <c r="M37" i="10"/>
  <c r="N37" i="10" s="1"/>
  <c r="M89" i="10"/>
  <c r="N89" i="10" s="1"/>
  <c r="M96" i="8"/>
  <c r="N96" i="8" s="1"/>
  <c r="M20" i="10"/>
  <c r="N20" i="10" s="1"/>
  <c r="M92" i="10"/>
  <c r="N92" i="10" s="1"/>
  <c r="M36" i="10"/>
  <c r="N36" i="10" s="1"/>
  <c r="M95" i="8"/>
  <c r="N95" i="8" s="1"/>
  <c r="M88" i="10"/>
  <c r="N88" i="10" s="1"/>
  <c r="M37" i="6"/>
  <c r="N37" i="6" s="1"/>
  <c r="M65" i="12"/>
  <c r="N65" i="12" s="1"/>
  <c r="M8" i="12"/>
  <c r="N8" i="12" s="1"/>
  <c r="M58" i="2"/>
  <c r="N58" i="2" s="1"/>
  <c r="M80" i="10"/>
  <c r="N80" i="10" s="1"/>
  <c r="M17" i="6"/>
  <c r="N17" i="6" s="1"/>
  <c r="M73" i="8"/>
  <c r="N73" i="8" s="1"/>
  <c r="M23" i="2"/>
  <c r="N23" i="2" s="1"/>
  <c r="M23" i="6"/>
  <c r="N23" i="6" s="1"/>
  <c r="M67" i="10"/>
  <c r="N67" i="10" s="1"/>
  <c r="M66" i="10"/>
  <c r="N66" i="10" s="1"/>
  <c r="M4" i="12"/>
  <c r="N4" i="12" s="1"/>
  <c r="M87" i="2"/>
  <c r="N87" i="2" s="1"/>
  <c r="M70" i="6"/>
  <c r="N70" i="6" s="1"/>
  <c r="M19" i="2"/>
  <c r="N19" i="2" s="1"/>
  <c r="M41" i="10"/>
  <c r="N41" i="10" s="1"/>
  <c r="M90" i="4"/>
  <c r="N90" i="4" s="1"/>
  <c r="M52" i="6"/>
  <c r="N52" i="6" s="1"/>
  <c r="M80" i="6"/>
  <c r="N80" i="6" s="1"/>
  <c r="M67" i="2"/>
  <c r="N67" i="2" s="1"/>
  <c r="M33" i="8"/>
  <c r="N33" i="8" s="1"/>
  <c r="M52" i="12"/>
  <c r="N52" i="12" s="1"/>
  <c r="M104" i="2"/>
  <c r="N104" i="2" s="1"/>
  <c r="M14" i="12"/>
  <c r="N14" i="12" s="1"/>
  <c r="M37" i="8"/>
  <c r="N37" i="8" s="1"/>
  <c r="M93" i="10"/>
  <c r="N93" i="10" s="1"/>
  <c r="M40" i="6"/>
  <c r="N40" i="6" s="1"/>
  <c r="M85" i="10"/>
  <c r="N85" i="10" s="1"/>
  <c r="M87" i="6"/>
  <c r="N87" i="6" s="1"/>
  <c r="M48" i="10"/>
  <c r="N48" i="10" s="1"/>
  <c r="M44" i="6"/>
  <c r="N44" i="6" s="1"/>
  <c r="M21" i="2"/>
  <c r="N21" i="2" s="1"/>
  <c r="M59" i="6"/>
  <c r="N59" i="6" s="1"/>
  <c r="M46" i="12"/>
  <c r="N46" i="12" s="1"/>
  <c r="M11" i="2"/>
  <c r="N11" i="2" s="1"/>
  <c r="M71" i="10"/>
  <c r="N71" i="10" s="1"/>
  <c r="M77" i="2"/>
  <c r="N77" i="2" s="1"/>
  <c r="M54" i="12"/>
  <c r="N54" i="12" s="1"/>
  <c r="M10" i="4"/>
  <c r="N10" i="4" s="1"/>
  <c r="M35" i="10"/>
  <c r="N35" i="10" s="1"/>
  <c r="M33" i="2"/>
  <c r="N33" i="2" s="1"/>
  <c r="M97" i="6"/>
  <c r="N97" i="6" s="1"/>
  <c r="M40" i="8"/>
  <c r="N40" i="8" s="1"/>
  <c r="M98" i="8"/>
  <c r="N98" i="8" s="1"/>
  <c r="M33" i="4"/>
  <c r="N33" i="4" s="1"/>
  <c r="M10" i="2"/>
  <c r="N10" i="2" s="1"/>
  <c r="M61" i="4"/>
  <c r="N61" i="4" s="1"/>
  <c r="M28" i="10"/>
  <c r="N28" i="10" s="1"/>
  <c r="M18" i="2"/>
  <c r="N18" i="2" s="1"/>
  <c r="M30" i="6"/>
  <c r="N30" i="6" s="1"/>
  <c r="M34" i="8"/>
  <c r="N34" i="8" s="1"/>
  <c r="M31" i="4"/>
  <c r="N31" i="4" s="1"/>
  <c r="M33" i="10"/>
  <c r="N33" i="10" s="1"/>
  <c r="M6" i="8"/>
  <c r="N6" i="8" s="1"/>
  <c r="M103" i="2"/>
  <c r="N103" i="2" s="1"/>
  <c r="M7" i="4"/>
  <c r="N7" i="4" s="1"/>
  <c r="M90" i="10"/>
  <c r="N90" i="10" s="1"/>
</calcChain>
</file>

<file path=xl/sharedStrings.xml><?xml version="1.0" encoding="utf-8"?>
<sst xmlns="http://schemas.openxmlformats.org/spreadsheetml/2006/main" count="624" uniqueCount="103">
  <si>
    <t xml:space="preserve">                   </t>
  </si>
  <si>
    <t>Código</t>
  </si>
  <si>
    <t>Descripción</t>
  </si>
  <si>
    <t>EAN</t>
  </si>
  <si>
    <t>Kg. x Caja</t>
  </si>
  <si>
    <t>Cant. X Caja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</si>
  <si>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</si>
  <si>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</si>
  <si>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</si>
  <si>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</si>
  <si>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</si>
  <si>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</si>
  <si>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</si>
  <si>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</si>
  <si>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</si>
  <si>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</si>
  <si>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</si>
  <si>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</si>
  <si>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</si>
  <si>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</si>
  <si>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</si>
  <si>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</si>
  <si>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</si>
  <si>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</si>
  <si>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</si>
  <si>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</si>
  <si>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</si>
  <si>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</si>
  <si>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</si>
  <si>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</si>
  <si>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</si>
  <si>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</si>
  <si>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</si>
  <si>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</si>
  <si>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</si>
  <si>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</si>
  <si>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</si>
  <si>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</si>
  <si>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</si>
  <si>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</si>
  <si>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</si>
  <si>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</si>
  <si>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</si>
  <si>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</si>
  <si>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</si>
  <si>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</si>
  <si>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</si>
  <si>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</si>
  <si>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</si>
  <si>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</si>
  <si>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</si>
  <si>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</si>
  <si>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</si>
  <si>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</si>
  <si>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</si>
  <si>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</si>
  <si>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</si>
  <si>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</si>
  <si>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</si>
  <si>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</si>
  <si>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</si>
  <si>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</si>
  <si>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</si>
  <si>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</si>
  <si>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</si>
  <si>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</si>
  <si>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</si>
  <si>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</si>
  <si>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</si>
  <si>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</si>
  <si>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</si>
  <si>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</si>
  <si>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</si>
  <si>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</si>
  <si>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</si>
  <si>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</si>
  <si>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</si>
  <si>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</si>
  <si>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</si>
  <si>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</si>
  <si>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</si>
  <si>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</si>
  <si>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</si>
  <si>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</si>
  <si>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</si>
  <si>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</si>
  <si>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</si>
  <si>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</si>
  <si>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</si>
  <si>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</si>
  <si>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</si>
  <si>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</si>
  <si>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CONGELADOS DE CERDO LIBRE DE GLUTEN</t>
  </si>
  <si>
    <t>PAPAS PRE COCIDAS SUPERCONGELADAS LIBRES DE GLUTEN 700G</t>
  </si>
  <si>
    <t>NUGGETS DE ESPINACA 300GR</t>
  </si>
  <si>
    <t>NUGGETS DE BRÓCOLI 300GR</t>
  </si>
  <si>
    <t>MEDALLÓN DE CALABAZA Y CHOCLO 300GR</t>
  </si>
  <si>
    <t>MEDALLÓN DE ESPINACA 300GR</t>
  </si>
  <si>
    <t>LOMO DE ATUN AL NATURAL SWIFT 170g</t>
  </si>
  <si>
    <t>LOMO DE ATUN EN ACEITE SWIFT 170g</t>
  </si>
  <si>
    <t>Precio de Lista</t>
  </si>
  <si>
    <t>&lt;&lt;</t>
  </si>
  <si>
    <t>MILANESAS DE CARNE VACUNA CONG GRANEL 5 kg (CAL 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</si>
</sst>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0.0%"/>
    <numFmt numFmtId="165" formatCode="#,##0.00_ ;[Red]\-#,##0.00\ "/>
    <numFmt numFmtId="166" formatCode="#,##0_ ;[Red]\-#,##0\ "/>
    <numFmt numFmtId="167" formatCode="#,##0.0_ ;[Red]\-#,##0.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ill="0" applyBorder="0" applyAlignment="0" applyProtection="0"/>
    <xf numFmtId="0" fontId="4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90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44" fontId="0" fillId="0" borderId="0" xfId="1" applyFont="1"/>
    <xf numFmtId="0" fontId="5" fillId="2" borderId="1" xfId="3" applyFont="1" applyFill="1" applyBorder="1" applyAlignment="1">
      <alignment horizontal="center" vertical="distributed"/>
    </xf>
    <xf numFmtId="0" fontId="5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distributed"/>
    </xf>
    <xf numFmtId="0" fontId="5" fillId="2" borderId="2" xfId="3" applyFont="1" applyFill="1" applyBorder="1" applyAlignment="1">
      <alignment horizontal="center" vertical="center" wrapText="1"/>
    </xf>
    <xf numFmtId="1" fontId="5" fillId="2" borderId="3" xfId="3" applyNumberFormat="1" applyFont="1" applyFill="1" applyBorder="1" applyAlignment="1">
      <alignment horizontal="center" vertical="center" wrapText="1"/>
    </xf>
    <xf numFmtId="0" fontId="6" fillId="4" borderId="5" xfId="3" applyFont="1" applyFill="1" applyBorder="1" applyAlignment="1" applyProtection="1">
      <alignment horizontal="center" vertical="center"/>
      <protection hidden="1"/>
    </xf>
    <xf numFmtId="0" fontId="6" fillId="4" borderId="6" xfId="3" applyFont="1" applyFill="1" applyBorder="1" applyAlignment="1" applyProtection="1">
      <alignment vertical="center"/>
      <protection hidden="1"/>
    </xf>
    <xf numFmtId="0" fontId="6" fillId="4" borderId="6" xfId="3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/>
    <xf numFmtId="9" fontId="2" fillId="3" borderId="6" xfId="0" applyNumberFormat="1" applyFont="1" applyFill="1" applyBorder="1"/>
    <xf numFmtId="1" fontId="2" fillId="3" borderId="7" xfId="0" applyNumberFormat="1" applyFont="1" applyFill="1" applyBorder="1"/>
    <xf numFmtId="0" fontId="3" fillId="0" borderId="8" xfId="5" applyFont="1" applyBorder="1" applyAlignment="1">
      <alignment horizontal="center"/>
    </xf>
    <xf numFmtId="0" fontId="3" fillId="0" borderId="4" xfId="5" applyFont="1" applyBorder="1"/>
    <xf numFmtId="1" fontId="3" fillId="0" borderId="4" xfId="3" applyNumberFormat="1" applyFont="1" applyBorder="1" applyAlignment="1">
      <alignment horizontal="center"/>
    </xf>
    <xf numFmtId="165" fontId="6" fillId="0" borderId="4" xfId="3" applyNumberFormat="1" applyFont="1" applyBorder="1" applyAlignment="1">
      <alignment horizontal="center"/>
    </xf>
    <xf numFmtId="166" fontId="6" fillId="0" borderId="4" xfId="3" applyNumberFormat="1" applyFont="1" applyBorder="1" applyAlignment="1">
      <alignment horizontal="center"/>
    </xf>
    <xf numFmtId="2" fontId="3" fillId="0" borderId="4" xfId="3" applyNumberFormat="1" applyFont="1" applyBorder="1" applyAlignment="1">
      <alignment horizontal="center"/>
    </xf>
    <xf numFmtId="1" fontId="3" fillId="0" borderId="9" xfId="3" applyNumberFormat="1" applyFont="1" applyBorder="1" applyAlignment="1">
      <alignment horizontal="center"/>
    </xf>
    <xf numFmtId="0" fontId="3" fillId="0" borderId="8" xfId="5" applyFont="1" applyFill="1" applyBorder="1" applyAlignment="1">
      <alignment horizontal="center"/>
    </xf>
    <xf numFmtId="0" fontId="3" fillId="0" borderId="8" xfId="3" applyFont="1" applyBorder="1" applyAlignment="1">
      <alignment horizontal="center"/>
    </xf>
    <xf numFmtId="0" fontId="3" fillId="0" borderId="4" xfId="3" applyFont="1" applyBorder="1" applyAlignment="1">
      <alignment horizontal="left"/>
    </xf>
    <xf numFmtId="2" fontId="3" fillId="5" borderId="4" xfId="3" applyNumberFormat="1" applyFont="1" applyFill="1" applyBorder="1" applyAlignment="1">
      <alignment horizontal="center"/>
    </xf>
    <xf numFmtId="0" fontId="3" fillId="0" borderId="4" xfId="5" applyFont="1" applyFill="1" applyBorder="1"/>
    <xf numFmtId="1" fontId="3" fillId="0" borderId="4" xfId="5" applyNumberFormat="1" applyFont="1" applyFill="1" applyBorder="1" applyAlignment="1">
      <alignment horizontal="center"/>
    </xf>
    <xf numFmtId="0" fontId="3" fillId="0" borderId="4" xfId="3" applyFont="1" applyBorder="1" applyAlignment="1">
      <alignment horizontal="center"/>
    </xf>
    <xf numFmtId="0" fontId="6" fillId="4" borderId="8" xfId="3" applyFont="1" applyFill="1" applyBorder="1" applyAlignment="1" applyProtection="1">
      <alignment horizontal="center" vertical="center"/>
      <protection hidden="1"/>
    </xf>
    <xf numFmtId="0" fontId="6" fillId="4" borderId="4" xfId="3" applyFont="1" applyFill="1" applyBorder="1" applyAlignment="1" applyProtection="1">
      <alignment vertical="center"/>
      <protection hidden="1"/>
    </xf>
    <xf numFmtId="0" fontId="6" fillId="4" borderId="4" xfId="3" applyFont="1" applyFill="1" applyBorder="1" applyAlignment="1" applyProtection="1">
      <alignment horizontal="center" vertical="center"/>
      <protection hidden="1"/>
    </xf>
    <xf numFmtId="166" fontId="6" fillId="4" borderId="4" xfId="3" applyNumberFormat="1" applyFont="1" applyFill="1" applyBorder="1" applyAlignment="1" applyProtection="1">
      <alignment vertical="center"/>
      <protection hidden="1"/>
    </xf>
    <xf numFmtId="2" fontId="3" fillId="4" borderId="4" xfId="3" applyNumberFormat="1" applyFont="1" applyFill="1" applyBorder="1" applyAlignment="1" applyProtection="1">
      <alignment vertical="center"/>
      <protection hidden="1"/>
    </xf>
    <xf numFmtId="0" fontId="2" fillId="3" borderId="4" xfId="0" applyFont="1" applyFill="1" applyBorder="1"/>
    <xf numFmtId="9" fontId="2" fillId="3" borderId="4" xfId="0" applyNumberFormat="1" applyFont="1" applyFill="1" applyBorder="1"/>
    <xf numFmtId="1" fontId="2" fillId="3" borderId="9" xfId="0" applyNumberFormat="1" applyFont="1" applyFill="1" applyBorder="1"/>
    <xf numFmtId="1" fontId="7" fillId="0" borderId="4" xfId="3" applyNumberFormat="1" applyFont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7" fillId="0" borderId="4" xfId="3" applyFont="1" applyBorder="1" applyAlignment="1">
      <alignment horizontal="left"/>
    </xf>
    <xf numFmtId="0" fontId="7" fillId="0" borderId="8" xfId="3" applyFont="1" applyBorder="1" applyAlignment="1">
      <alignment horizontal="center"/>
    </xf>
    <xf numFmtId="165" fontId="8" fillId="0" borderId="4" xfId="3" applyNumberFormat="1" applyFont="1" applyBorder="1" applyAlignment="1">
      <alignment horizontal="center"/>
    </xf>
    <xf numFmtId="166" fontId="8" fillId="0" borderId="4" xfId="3" applyNumberFormat="1" applyFont="1" applyBorder="1" applyAlignment="1">
      <alignment horizontal="center"/>
    </xf>
    <xf numFmtId="2" fontId="7" fillId="0" borderId="4" xfId="3" applyNumberFormat="1" applyFont="1" applyBorder="1" applyAlignment="1">
      <alignment horizontal="center"/>
    </xf>
    <xf numFmtId="1" fontId="7" fillId="0" borderId="9" xfId="3" applyNumberFormat="1" applyFont="1" applyBorder="1" applyAlignment="1">
      <alignment horizontal="center"/>
    </xf>
    <xf numFmtId="1" fontId="7" fillId="0" borderId="4" xfId="3" applyNumberFormat="1" applyFont="1" applyBorder="1" applyAlignment="1">
      <alignment horizontal="left"/>
    </xf>
    <xf numFmtId="1" fontId="7" fillId="0" borderId="12" xfId="3" applyNumberFormat="1" applyFont="1" applyBorder="1" applyAlignment="1">
      <alignment horizontal="left"/>
    </xf>
    <xf numFmtId="2" fontId="3" fillId="0" borderId="11" xfId="3" applyNumberFormat="1" applyFont="1" applyBorder="1" applyAlignment="1">
      <alignment horizontal="center"/>
    </xf>
    <xf numFmtId="1" fontId="3" fillId="0" borderId="13" xfId="3" applyNumberFormat="1" applyFont="1" applyBorder="1" applyAlignment="1">
      <alignment horizontal="center"/>
    </xf>
    <xf numFmtId="1" fontId="7" fillId="0" borderId="14" xfId="3" applyNumberFormat="1" applyFont="1" applyBorder="1" applyAlignment="1">
      <alignment horizontal="left"/>
    </xf>
    <xf numFmtId="1" fontId="7" fillId="0" borderId="17" xfId="3" applyNumberFormat="1" applyFont="1" applyBorder="1" applyAlignment="1">
      <alignment horizontal="left"/>
    </xf>
    <xf numFmtId="2" fontId="3" fillId="0" borderId="16" xfId="3" applyNumberFormat="1" applyFont="1" applyBorder="1" applyAlignment="1">
      <alignment horizontal="center"/>
    </xf>
    <xf numFmtId="1" fontId="3" fillId="0" borderId="18" xfId="3" applyNumberFormat="1" applyFont="1" applyBorder="1" applyAlignment="1">
      <alignment horizontal="center"/>
    </xf>
    <xf numFmtId="0" fontId="6" fillId="4" borderId="19" xfId="3" applyFont="1" applyFill="1" applyBorder="1" applyAlignment="1" applyProtection="1">
      <alignment horizontal="center" vertical="center"/>
      <protection hidden="1"/>
    </xf>
    <xf numFmtId="0" fontId="6" fillId="4" borderId="20" xfId="3" applyFont="1" applyFill="1" applyBorder="1" applyAlignment="1" applyProtection="1">
      <alignment vertical="center"/>
      <protection hidden="1"/>
    </xf>
    <xf numFmtId="0" fontId="6" fillId="4" borderId="20" xfId="3" applyFont="1" applyFill="1" applyBorder="1" applyAlignment="1" applyProtection="1">
      <alignment horizontal="center" vertical="center"/>
      <protection hidden="1"/>
    </xf>
    <xf numFmtId="166" fontId="6" fillId="4" borderId="20" xfId="3" applyNumberFormat="1" applyFont="1" applyFill="1" applyBorder="1" applyAlignment="1" applyProtection="1">
      <alignment vertical="center"/>
      <protection hidden="1"/>
    </xf>
    <xf numFmtId="2" fontId="3" fillId="4" borderId="20" xfId="3" applyNumberFormat="1" applyFont="1" applyFill="1" applyBorder="1" applyAlignment="1" applyProtection="1">
      <alignment vertical="center"/>
      <protection hidden="1"/>
    </xf>
    <xf numFmtId="0" fontId="2" fillId="3" borderId="20" xfId="0" applyFont="1" applyFill="1" applyBorder="1"/>
    <xf numFmtId="9" fontId="2" fillId="3" borderId="20" xfId="0" applyNumberFormat="1" applyFont="1" applyFill="1" applyBorder="1"/>
    <xf numFmtId="1" fontId="2" fillId="3" borderId="21" xfId="0" applyNumberFormat="1" applyFont="1" applyFill="1" applyBorder="1"/>
    <xf numFmtId="1" fontId="0" fillId="0" borderId="0" xfId="0" applyNumberFormat="1"/>
    <xf numFmtId="0" fontId="9" fillId="0" borderId="10" xfId="7" applyFont="1" applyBorder="1" applyAlignment="1">
      <alignment horizontal="center"/>
    </xf>
    <xf numFmtId="0" fontId="9" fillId="0" borderId="11" xfId="7" applyFont="1" applyBorder="1"/>
    <xf numFmtId="0" fontId="10" fillId="0" borderId="11" xfId="7" applyFont="1" applyBorder="1"/>
    <xf numFmtId="0" fontId="9" fillId="0" borderId="15" xfId="7" applyFont="1" applyBorder="1" applyAlignment="1">
      <alignment horizontal="center"/>
    </xf>
    <xf numFmtId="0" fontId="9" fillId="0" borderId="16" xfId="7" applyFont="1" applyBorder="1"/>
    <xf numFmtId="0" fontId="10" fillId="0" borderId="16" xfId="7" applyFont="1" applyBorder="1"/>
    <xf numFmtId="2" fontId="0" fillId="0" borderId="0" xfId="0" applyNumberFormat="1"/>
    <xf numFmtId="164" fontId="2" fillId="3" borderId="20" xfId="0" applyNumberFormat="1" applyFont="1" applyFill="1" applyBorder="1"/>
    <xf numFmtId="167" fontId="6" fillId="0" borderId="4" xfId="3" applyNumberFormat="1" applyFont="1" applyBorder="1" applyAlignment="1">
      <alignment horizontal="center"/>
    </xf>
    <xf numFmtId="0" fontId="3" fillId="0" borderId="19" xfId="3" applyFont="1" applyBorder="1" applyAlignment="1">
      <alignment horizontal="center"/>
    </xf>
    <xf numFmtId="0" fontId="3" fillId="0" borderId="20" xfId="3" applyFont="1" applyBorder="1" applyAlignment="1">
      <alignment horizontal="left"/>
    </xf>
    <xf numFmtId="1" fontId="3" fillId="0" borderId="20" xfId="3" applyNumberFormat="1" applyFont="1" applyBorder="1" applyAlignment="1">
      <alignment horizontal="center"/>
    </xf>
    <xf numFmtId="44" fontId="5" fillId="2" borderId="2" xfId="1" applyFont="1" applyFill="1" applyBorder="1" applyAlignment="1">
      <alignment horizontal="center" vertical="distributed"/>
    </xf>
    <xf numFmtId="44" fontId="6" fillId="4" borderId="6" xfId="1" applyFont="1" applyFill="1" applyBorder="1" applyAlignment="1" applyProtection="1">
      <alignment vertical="center"/>
      <protection hidden="1"/>
    </xf>
    <xf numFmtId="44" fontId="3" fillId="0" borderId="4" xfId="1" applyFont="1" applyFill="1" applyBorder="1" applyAlignment="1">
      <alignment horizontal="center"/>
    </xf>
    <xf numFmtId="44" fontId="3" fillId="4" borderId="4" xfId="1" applyFont="1" applyFill="1" applyBorder="1" applyAlignment="1" applyProtection="1">
      <alignment vertical="center"/>
      <protection hidden="1"/>
    </xf>
    <xf numFmtId="44" fontId="7" fillId="0" borderId="4" xfId="1" applyFont="1" applyFill="1" applyBorder="1" applyAlignment="1">
      <alignment horizontal="center"/>
    </xf>
    <xf numFmtId="0" fontId="6" fillId="4" borderId="15" xfId="3" applyFont="1" applyFill="1" applyBorder="1" applyAlignment="1" applyProtection="1">
      <alignment horizontal="center" vertical="center"/>
      <protection hidden="1"/>
    </xf>
    <xf numFmtId="0" fontId="6" fillId="4" borderId="16" xfId="3" applyFont="1" applyFill="1" applyBorder="1" applyAlignment="1" applyProtection="1">
      <alignment vertical="center"/>
      <protection hidden="1"/>
    </xf>
    <xf numFmtId="0" fontId="6" fillId="4" borderId="16" xfId="3" applyFont="1" applyFill="1" applyBorder="1" applyAlignment="1" applyProtection="1">
      <alignment horizontal="center" vertical="center"/>
      <protection hidden="1"/>
    </xf>
    <xf numFmtId="166" fontId="6" fillId="4" borderId="16" xfId="3" applyNumberFormat="1" applyFont="1" applyFill="1" applyBorder="1" applyAlignment="1" applyProtection="1">
      <alignment vertical="center"/>
      <protection hidden="1"/>
    </xf>
    <xf numFmtId="44" fontId="3" fillId="4" borderId="16" xfId="1" applyFont="1" applyFill="1" applyBorder="1" applyAlignment="1" applyProtection="1">
      <alignment vertical="center"/>
      <protection hidden="1"/>
    </xf>
    <xf numFmtId="44" fontId="3" fillId="0" borderId="11" xfId="1" applyFont="1" applyFill="1" applyBorder="1" applyAlignment="1">
      <alignment horizontal="center"/>
    </xf>
    <xf numFmtId="44" fontId="3" fillId="0" borderId="16" xfId="1" applyFont="1" applyFill="1" applyBorder="1" applyAlignment="1">
      <alignment horizontal="center"/>
    </xf>
    <xf numFmtId="2" fontId="5" fillId="2" borderId="2" xfId="3" applyNumberFormat="1" applyFont="1" applyFill="1" applyBorder="1" applyAlignment="1">
      <alignment horizontal="center" vertical="distributed"/>
    </xf>
    <xf numFmtId="2" fontId="6" fillId="4" borderId="6" xfId="3" applyNumberFormat="1" applyFont="1" applyFill="1" applyBorder="1" applyAlignment="1" applyProtection="1">
      <alignment vertical="center"/>
      <protection hidden="1"/>
    </xf>
    <xf numFmtId="2" fontId="3" fillId="4" borderId="16" xfId="3" applyNumberFormat="1" applyFont="1" applyFill="1" applyBorder="1" applyAlignment="1" applyProtection="1">
      <alignment vertical="center"/>
      <protection hidden="1"/>
    </xf>
  </cellXfs>
  <cellStyles count="8">
    <cellStyle name="Moneda" xfId="1" builtinId="4"/>
    <cellStyle name="Normal" xfId="0" builtinId="0"/>
    <cellStyle name="Normal 2 2" xfId="2" xr:uid="{00000000-0005-0000-0000-000002000000}"/>
    <cellStyle name="Normal 3" xfId="5" xr:uid="{00000000-0005-0000-0000-000003000000}"/>
    <cellStyle name="Normal_ARQUITECTURA DE PRECIOS 1 0" xfId="3" xr:uid="{00000000-0005-0000-0000-000004000000}"/>
    <cellStyle name="Normal_Precio públicos al 01-03" xfId="7" xr:uid="{00000000-0005-0000-0000-000005000000}"/>
    <cellStyle name="Porcentaje 2" xfId="6" xr:uid="{00000000-0005-0000-0000-000006000000}"/>
    <cellStyle name="Porcentaje 3" xfId="4" xr:uid="{00000000-0005-0000-0000-000007000000}"/>
  </cellStyles>
  <dxfs count="13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zoomScale="90" zoomScaleNormal="90" workbookViewId="0">
      <pane xSplit="2" ySplit="2" topLeftCell="C3" activePane="bottomRight" state="frozen"/>
      <selection activeCell="C127" sqref="C127"/>
      <selection pane="topRight" activeCell="C127" sqref="C127"/>
      <selection pane="bottomLeft" activeCell="C127" sqref="C127"/>
      <selection pane="bottomRight" activeCell="G4" sqref="G4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31.28515625" customWidth="1"/>
    <col min="4" max="4" width="12.140625" customWidth="1"/>
    <col min="5" max="6" width="6.42578125" customWidth="1"/>
    <col min="7" max="7" width="11" style="4" bestFit="1" customWidth="1"/>
    <col min="8" max="13" width="8.7109375" customWidth="1" outlineLevel="1"/>
    <col min="14" max="14" width="8.7109375" style="62" customWidth="1"/>
  </cols>
  <sheetData>
    <row r="1" spans="1:14" s="1" customFormat="1" ht="21.75" customHeight="1" thickBot="1" x14ac:dyDescent="0.25">
      <c r="A1" s="1" t="s">
        <v>0</v>
      </c>
      <c r="N1" s="3"/>
    </row>
    <row r="2" spans="1:14" s="1" customFormat="1" ht="48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5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1:14" s="1" customFormat="1" ht="12" x14ac:dyDescent="0.2">
      <c r="B3" s="10"/>
      <c r="C3" s="11"/>
      <c r="D3" s="12"/>
      <c r="E3" s="11"/>
      <c r="F3" s="11"/>
      <c r="G3" s="76"/>
      <c r="H3" s="13"/>
      <c r="I3" s="14">
        <v>0.21</v>
      </c>
      <c r="J3" s="13"/>
      <c r="K3" s="14">
        <v>0.35</v>
      </c>
      <c r="L3" s="13"/>
      <c r="M3" s="14">
        <v>0.45</v>
      </c>
      <c r="N3" s="15"/>
    </row>
    <row r="4" spans="1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77">
        <v>53576.661442006276</v>
      </c>
      <c r="H4" s="21">
        <f>G4/F4</f>
        <v>1785.8887147335424</v>
      </c>
      <c r="I4" s="21">
        <f>+H4*I$3</f>
        <v>375.03663009404391</v>
      </c>
      <c r="J4" s="21">
        <f>+H4+I4</f>
        <v>2160.9253448275863</v>
      </c>
      <c r="K4" s="21">
        <f>+J4*K$3</f>
        <v>756.32387068965511</v>
      </c>
      <c r="L4" s="21">
        <f>+J4+K4</f>
        <v>2917.2492155172413</v>
      </c>
      <c r="M4" s="21">
        <f>+L4*M$3</f>
        <v>1312.7621469827586</v>
      </c>
      <c r="N4" s="22">
        <f>+L4+M4</f>
        <v>4230.0113624999994</v>
      </c>
    </row>
    <row r="5" spans="1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77">
        <v>61840.503761755492</v>
      </c>
      <c r="H5" s="21">
        <f t="shared" ref="H5:H75" si="0">G5/F5</f>
        <v>3435.5835423197495</v>
      </c>
      <c r="I5" s="21">
        <f t="shared" ref="I5:I77" si="1">+H5*I$3</f>
        <v>721.47254388714737</v>
      </c>
      <c r="J5" s="21">
        <f t="shared" ref="J5:J77" si="2">+H5+I5</f>
        <v>4157.0560862068969</v>
      </c>
      <c r="K5" s="21">
        <f t="shared" ref="K5:K77" si="3">+J5*K$3</f>
        <v>1454.9696301724139</v>
      </c>
      <c r="L5" s="21">
        <f t="shared" ref="L5:L77" si="4">+J5+K5</f>
        <v>5612.0257163793103</v>
      </c>
      <c r="M5" s="21">
        <f t="shared" ref="M5:M77" si="5">+L5*M$3</f>
        <v>2525.4115723706896</v>
      </c>
      <c r="N5" s="22">
        <f t="shared" ref="N5:N77" si="6">+L5+M5</f>
        <v>8137.4372887499994</v>
      </c>
    </row>
    <row r="6" spans="1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77">
        <v>78331.304764890272</v>
      </c>
      <c r="H6" s="21">
        <f t="shared" si="0"/>
        <v>9791.413095611284</v>
      </c>
      <c r="I6" s="21">
        <f t="shared" si="1"/>
        <v>2056.1967500783694</v>
      </c>
      <c r="J6" s="21">
        <f t="shared" si="2"/>
        <v>11847.609845689654</v>
      </c>
      <c r="K6" s="21">
        <f t="shared" si="3"/>
        <v>4146.6634459913785</v>
      </c>
      <c r="L6" s="21">
        <f t="shared" si="4"/>
        <v>15994.273291681033</v>
      </c>
      <c r="M6" s="21">
        <f t="shared" si="5"/>
        <v>7197.4229812564645</v>
      </c>
      <c r="N6" s="22">
        <f t="shared" si="6"/>
        <v>23191.696272937497</v>
      </c>
    </row>
    <row r="7" spans="1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77">
        <v>95852.780830721007</v>
      </c>
      <c r="H7" s="21">
        <f t="shared" si="0"/>
        <v>15975.463471786834</v>
      </c>
      <c r="I7" s="21">
        <f t="shared" si="1"/>
        <v>3354.8473290752349</v>
      </c>
      <c r="J7" s="21">
        <f t="shared" si="2"/>
        <v>19330.310800862069</v>
      </c>
      <c r="K7" s="21">
        <f t="shared" si="3"/>
        <v>6765.6087803017235</v>
      </c>
      <c r="L7" s="21">
        <f t="shared" si="4"/>
        <v>26095.919581163791</v>
      </c>
      <c r="M7" s="21">
        <f t="shared" si="5"/>
        <v>11743.163811523706</v>
      </c>
      <c r="N7" s="22">
        <f t="shared" si="6"/>
        <v>37839.083392687498</v>
      </c>
    </row>
    <row r="8" spans="1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77">
        <v>68024.554137931045</v>
      </c>
      <c r="H8" s="21">
        <f t="shared" si="0"/>
        <v>3779.1418965517246</v>
      </c>
      <c r="I8" s="21">
        <f t="shared" si="1"/>
        <v>793.61979827586208</v>
      </c>
      <c r="J8" s="21">
        <f t="shared" si="2"/>
        <v>4572.7616948275863</v>
      </c>
      <c r="K8" s="21">
        <f t="shared" si="3"/>
        <v>1600.4665931896552</v>
      </c>
      <c r="L8" s="21">
        <f t="shared" si="4"/>
        <v>6173.2282880172415</v>
      </c>
      <c r="M8" s="21">
        <f t="shared" si="5"/>
        <v>2777.9527296077586</v>
      </c>
      <c r="N8" s="22">
        <f t="shared" si="6"/>
        <v>8951.1810176250001</v>
      </c>
    </row>
    <row r="9" spans="1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77">
        <v>47534.511197250016</v>
      </c>
      <c r="H9" s="21">
        <f t="shared" si="0"/>
        <v>2640.8061776250011</v>
      </c>
      <c r="I9" s="21">
        <f t="shared" si="1"/>
        <v>554.56929730125023</v>
      </c>
      <c r="J9" s="21">
        <f t="shared" si="2"/>
        <v>3195.3754749262512</v>
      </c>
      <c r="K9" s="21">
        <f t="shared" si="3"/>
        <v>1118.3814162241879</v>
      </c>
      <c r="L9" s="21">
        <f t="shared" si="4"/>
        <v>4313.7568911504386</v>
      </c>
      <c r="M9" s="21">
        <f t="shared" si="5"/>
        <v>1941.1906010176974</v>
      </c>
      <c r="N9" s="22">
        <f t="shared" si="6"/>
        <v>6254.9474921681358</v>
      </c>
    </row>
    <row r="10" spans="1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77">
        <v>41580.148119122263</v>
      </c>
      <c r="H10" s="21">
        <f>G10/F10</f>
        <v>1386.0049373040754</v>
      </c>
      <c r="I10" s="21">
        <f>+H10*I$3</f>
        <v>291.06103683385584</v>
      </c>
      <c r="J10" s="21">
        <f>+H10+I10</f>
        <v>1677.0659741379313</v>
      </c>
      <c r="K10" s="21">
        <f>+J10*K$3</f>
        <v>586.97309094827597</v>
      </c>
      <c r="L10" s="21">
        <f>+J10+K10</f>
        <v>2264.0390650862073</v>
      </c>
      <c r="M10" s="21">
        <f>+L10*M$3</f>
        <v>1018.8175792887934</v>
      </c>
      <c r="N10" s="22">
        <f>+L10+M10</f>
        <v>3282.8566443750005</v>
      </c>
    </row>
    <row r="11" spans="1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77">
        <v>28260.496551724144</v>
      </c>
      <c r="H11" s="21">
        <f t="shared" si="0"/>
        <v>2355.0413793103453</v>
      </c>
      <c r="I11" s="21">
        <f t="shared" si="1"/>
        <v>494.55868965517249</v>
      </c>
      <c r="J11" s="21">
        <f t="shared" si="2"/>
        <v>2849.6000689655179</v>
      </c>
      <c r="K11" s="21">
        <f t="shared" si="3"/>
        <v>997.36002413793119</v>
      </c>
      <c r="L11" s="21">
        <f t="shared" si="4"/>
        <v>3846.9600931034493</v>
      </c>
      <c r="M11" s="21">
        <f t="shared" si="5"/>
        <v>1731.1320418965522</v>
      </c>
      <c r="N11" s="22">
        <f t="shared" si="6"/>
        <v>5578.0921350000017</v>
      </c>
    </row>
    <row r="12" spans="1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77">
        <v>44362.064620507357</v>
      </c>
      <c r="H12" s="21">
        <f t="shared" si="0"/>
        <v>5545.2580775634196</v>
      </c>
      <c r="I12" s="21">
        <f t="shared" si="1"/>
        <v>1164.5041962883181</v>
      </c>
      <c r="J12" s="21">
        <f t="shared" si="2"/>
        <v>6709.7622738517375</v>
      </c>
      <c r="K12" s="21">
        <f t="shared" si="3"/>
        <v>2348.416795848108</v>
      </c>
      <c r="L12" s="21">
        <f t="shared" si="4"/>
        <v>9058.1790696998451</v>
      </c>
      <c r="M12" s="21">
        <f t="shared" si="5"/>
        <v>4076.1805813649303</v>
      </c>
      <c r="N12" s="22">
        <f t="shared" si="6"/>
        <v>13134.359651064775</v>
      </c>
    </row>
    <row r="13" spans="1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77">
        <v>33869.90595611286</v>
      </c>
      <c r="H13" s="21">
        <f t="shared" si="0"/>
        <v>806.42633228840145</v>
      </c>
      <c r="I13" s="21">
        <f t="shared" si="1"/>
        <v>169.3495297805643</v>
      </c>
      <c r="J13" s="21">
        <f t="shared" si="2"/>
        <v>975.77586206896581</v>
      </c>
      <c r="K13" s="21">
        <f t="shared" si="3"/>
        <v>341.52155172413802</v>
      </c>
      <c r="L13" s="21">
        <f t="shared" si="4"/>
        <v>1317.2974137931037</v>
      </c>
      <c r="M13" s="21">
        <f t="shared" si="5"/>
        <v>592.78383620689669</v>
      </c>
      <c r="N13" s="22">
        <f t="shared" si="6"/>
        <v>1910.0812500000004</v>
      </c>
    </row>
    <row r="14" spans="1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77">
        <v>27955.957965876634</v>
      </c>
      <c r="H14" s="21">
        <f t="shared" si="0"/>
        <v>1331.2360936131731</v>
      </c>
      <c r="I14" s="21">
        <f t="shared" si="1"/>
        <v>279.55957965876632</v>
      </c>
      <c r="J14" s="21">
        <f t="shared" si="2"/>
        <v>1610.7956732719394</v>
      </c>
      <c r="K14" s="21">
        <f t="shared" si="3"/>
        <v>563.77848564517876</v>
      </c>
      <c r="L14" s="21">
        <f t="shared" si="4"/>
        <v>2174.5741589171184</v>
      </c>
      <c r="M14" s="21">
        <f t="shared" si="5"/>
        <v>978.55837151270327</v>
      </c>
      <c r="N14" s="22">
        <f t="shared" si="6"/>
        <v>3153.1325304298216</v>
      </c>
    </row>
    <row r="15" spans="1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77">
        <v>80611.758620689681</v>
      </c>
      <c r="H15" s="21">
        <f t="shared" si="0"/>
        <v>2687.058620689656</v>
      </c>
      <c r="I15" s="21">
        <f t="shared" si="1"/>
        <v>564.28231034482769</v>
      </c>
      <c r="J15" s="21">
        <f t="shared" si="2"/>
        <v>3251.3409310344837</v>
      </c>
      <c r="K15" s="21">
        <f t="shared" si="3"/>
        <v>1137.9693258620691</v>
      </c>
      <c r="L15" s="21">
        <f t="shared" si="4"/>
        <v>4389.3102568965533</v>
      </c>
      <c r="M15" s="21">
        <f t="shared" si="5"/>
        <v>1975.1896156034491</v>
      </c>
      <c r="N15" s="22">
        <f t="shared" si="6"/>
        <v>6364.4998725000023</v>
      </c>
    </row>
    <row r="16" spans="1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77">
        <v>67790.910359241389</v>
      </c>
      <c r="H16" s="21">
        <f t="shared" si="0"/>
        <v>2824.6212649683912</v>
      </c>
      <c r="I16" s="21">
        <f t="shared" si="1"/>
        <v>593.17046564336215</v>
      </c>
      <c r="J16" s="21">
        <f t="shared" si="2"/>
        <v>3417.7917306117533</v>
      </c>
      <c r="K16" s="21">
        <f t="shared" si="3"/>
        <v>1196.2271057141136</v>
      </c>
      <c r="L16" s="21">
        <f t="shared" si="4"/>
        <v>4614.0188363258667</v>
      </c>
      <c r="M16" s="21">
        <f t="shared" si="5"/>
        <v>2076.30847634664</v>
      </c>
      <c r="N16" s="22">
        <f t="shared" si="6"/>
        <v>6690.3273126725071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77">
        <v>78383.240102872864</v>
      </c>
      <c r="H17" s="21">
        <f>G17/F17</f>
        <v>2177.3122250798019</v>
      </c>
      <c r="I17" s="21">
        <f>+H17*I$3</f>
        <v>457.23556726675838</v>
      </c>
      <c r="J17" s="21">
        <f>+H17+I17</f>
        <v>2634.5477923465605</v>
      </c>
      <c r="K17" s="21">
        <f>+J17*K$3</f>
        <v>922.09172732129616</v>
      </c>
      <c r="L17" s="21">
        <f>+J17+K17</f>
        <v>3556.6395196678568</v>
      </c>
      <c r="M17" s="21">
        <f>+L17*M$3</f>
        <v>1600.4877838505356</v>
      </c>
      <c r="N17" s="22">
        <f>+L17+M17</f>
        <v>5157.1273035183922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77">
        <v>50395.991108612376</v>
      </c>
      <c r="H18" s="21">
        <f t="shared" si="0"/>
        <v>2799.7772838117985</v>
      </c>
      <c r="I18" s="21">
        <f t="shared" si="1"/>
        <v>587.9532296004777</v>
      </c>
      <c r="J18" s="21">
        <f t="shared" si="2"/>
        <v>3387.7305134122762</v>
      </c>
      <c r="K18" s="21">
        <f t="shared" si="3"/>
        <v>1185.7056796942966</v>
      </c>
      <c r="L18" s="21">
        <f t="shared" si="4"/>
        <v>4573.4361931065723</v>
      </c>
      <c r="M18" s="21">
        <f t="shared" si="5"/>
        <v>2058.0462868979575</v>
      </c>
      <c r="N18" s="22">
        <f t="shared" si="6"/>
        <v>6631.4824800045299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 t="s">
        <v>101</v>
      </c>
      <c r="F19" s="20">
        <v>42</v>
      </c>
      <c r="G19" s="77">
        <v>26462.152233235414</v>
      </c>
      <c r="H19" s="21">
        <f t="shared" si="0"/>
        <v>630.05124364846222</v>
      </c>
      <c r="I19" s="21">
        <f t="shared" si="1"/>
        <v>132.31076116617706</v>
      </c>
      <c r="J19" s="21">
        <f t="shared" si="2"/>
        <v>762.36200481463925</v>
      </c>
      <c r="K19" s="26">
        <f>+J19*0.33</f>
        <v>251.57946158883095</v>
      </c>
      <c r="L19" s="21">
        <f t="shared" si="4"/>
        <v>1013.9414664034703</v>
      </c>
      <c r="M19" s="21">
        <f t="shared" si="5"/>
        <v>456.27365988156163</v>
      </c>
      <c r="N19" s="22">
        <f t="shared" si="6"/>
        <v>1470.2151262850318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77">
        <v>20396.825062461747</v>
      </c>
      <c r="H20" s="21">
        <f t="shared" si="0"/>
        <v>1699.7354218718122</v>
      </c>
      <c r="I20" s="21">
        <f t="shared" si="1"/>
        <v>356.94443859308052</v>
      </c>
      <c r="J20" s="21">
        <f t="shared" si="2"/>
        <v>2056.6798604648925</v>
      </c>
      <c r="K20" s="26">
        <f>+J20*0.3</f>
        <v>617.00395813946773</v>
      </c>
      <c r="L20" s="21">
        <f t="shared" si="4"/>
        <v>2673.6838186043601</v>
      </c>
      <c r="M20" s="21">
        <f t="shared" si="5"/>
        <v>1203.1577183719621</v>
      </c>
      <c r="N20" s="22">
        <f t="shared" si="6"/>
        <v>3876.8415369763225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77">
        <v>49770.462944171704</v>
      </c>
      <c r="H21" s="21">
        <f t="shared" si="0"/>
        <v>829.50771573619511</v>
      </c>
      <c r="I21" s="21">
        <f t="shared" si="1"/>
        <v>174.19662030460097</v>
      </c>
      <c r="J21" s="21">
        <f t="shared" si="2"/>
        <v>1003.7043360407961</v>
      </c>
      <c r="K21" s="21">
        <f t="shared" si="3"/>
        <v>351.29651761427863</v>
      </c>
      <c r="L21" s="21">
        <f t="shared" si="4"/>
        <v>1355.0008536550747</v>
      </c>
      <c r="M21" s="21">
        <f t="shared" si="5"/>
        <v>609.75038414478365</v>
      </c>
      <c r="N21" s="22">
        <f t="shared" si="6"/>
        <v>1964.7512377998582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77">
        <v>40819.691017110214</v>
      </c>
      <c r="H22" s="21">
        <f t="shared" si="0"/>
        <v>680.32818361850354</v>
      </c>
      <c r="I22" s="21">
        <f t="shared" si="1"/>
        <v>142.86891855988574</v>
      </c>
      <c r="J22" s="21">
        <f t="shared" si="2"/>
        <v>823.19710217838929</v>
      </c>
      <c r="K22" s="21">
        <f t="shared" si="3"/>
        <v>288.11898576243624</v>
      </c>
      <c r="L22" s="21">
        <f t="shared" si="4"/>
        <v>1111.3160879408256</v>
      </c>
      <c r="M22" s="21">
        <f t="shared" si="5"/>
        <v>500.0922395733715</v>
      </c>
      <c r="N22" s="22">
        <f t="shared" si="6"/>
        <v>1611.408327514197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77">
        <v>37145.687394326778</v>
      </c>
      <c r="H23" s="21">
        <f t="shared" si="0"/>
        <v>619.09478990544631</v>
      </c>
      <c r="I23" s="21">
        <f t="shared" si="1"/>
        <v>130.00990588014372</v>
      </c>
      <c r="J23" s="21">
        <f t="shared" si="2"/>
        <v>749.10469578559002</v>
      </c>
      <c r="K23" s="21">
        <f t="shared" si="3"/>
        <v>262.18664352495648</v>
      </c>
      <c r="L23" s="21">
        <f t="shared" si="4"/>
        <v>1011.2913393105465</v>
      </c>
      <c r="M23" s="21">
        <f t="shared" si="5"/>
        <v>455.08110268974593</v>
      </c>
      <c r="N23" s="22">
        <f t="shared" si="6"/>
        <v>1466.3724420002925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77">
        <v>43294.157345087529</v>
      </c>
      <c r="H24" s="21">
        <f t="shared" si="0"/>
        <v>721.5692890847921</v>
      </c>
      <c r="I24" s="21">
        <f t="shared" si="1"/>
        <v>151.52955070780632</v>
      </c>
      <c r="J24" s="21">
        <f t="shared" si="2"/>
        <v>873.09883979259848</v>
      </c>
      <c r="K24" s="21">
        <f t="shared" si="3"/>
        <v>305.58459392740946</v>
      </c>
      <c r="L24" s="21">
        <f t="shared" si="4"/>
        <v>1178.683433720008</v>
      </c>
      <c r="M24" s="21">
        <f t="shared" si="5"/>
        <v>530.40754517400364</v>
      </c>
      <c r="N24" s="22">
        <f t="shared" si="6"/>
        <v>1709.0909788940116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77">
        <v>61879.892922501778</v>
      </c>
      <c r="H25" s="21">
        <f t="shared" si="0"/>
        <v>1031.331548708363</v>
      </c>
      <c r="I25" s="21">
        <f>+H25*I$3</f>
        <v>216.57962522875621</v>
      </c>
      <c r="J25" s="21">
        <f>+H25+I25</f>
        <v>1247.9111739371192</v>
      </c>
      <c r="K25" s="21">
        <f>+J25*K$3</f>
        <v>436.76891087799169</v>
      </c>
      <c r="L25" s="21">
        <f>+J25+K25</f>
        <v>1684.6800848151108</v>
      </c>
      <c r="M25" s="21">
        <f>+L25*M$3</f>
        <v>758.10603816679986</v>
      </c>
      <c r="N25" s="22">
        <f>+L25+M25</f>
        <v>2442.7861229819109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77">
        <v>145269.69177919411</v>
      </c>
      <c r="H26" s="21">
        <f t="shared" si="0"/>
        <v>3026.4519120665441</v>
      </c>
      <c r="I26" s="21">
        <f t="shared" si="1"/>
        <v>635.5549015339742</v>
      </c>
      <c r="J26" s="21">
        <f t="shared" si="2"/>
        <v>3662.0068136005184</v>
      </c>
      <c r="K26" s="21">
        <f t="shared" si="3"/>
        <v>1281.7023847601813</v>
      </c>
      <c r="L26" s="21">
        <f t="shared" si="4"/>
        <v>4943.7091983606997</v>
      </c>
      <c r="M26" s="21">
        <f t="shared" si="5"/>
        <v>2224.6691392623147</v>
      </c>
      <c r="N26" s="22">
        <f t="shared" si="6"/>
        <v>7168.3783376230149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77">
        <v>70960.925217472512</v>
      </c>
      <c r="H27" s="21">
        <f t="shared" si="0"/>
        <v>1971.1368115964588</v>
      </c>
      <c r="I27" s="21">
        <f>+H27*I$3</f>
        <v>413.93873043525633</v>
      </c>
      <c r="J27" s="21">
        <f>+H27+I27</f>
        <v>2385.075542031715</v>
      </c>
      <c r="K27" s="21">
        <f>+J27*K$3</f>
        <v>834.77643971110024</v>
      </c>
      <c r="L27" s="21">
        <f>+J27+K27</f>
        <v>3219.851981742815</v>
      </c>
      <c r="M27" s="21">
        <f>+L27*M$3</f>
        <v>1448.9333917842669</v>
      </c>
      <c r="N27" s="22">
        <f>+L27+M27</f>
        <v>4668.7853735270819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77">
        <v>55247.02390160058</v>
      </c>
      <c r="H28" s="21">
        <f t="shared" si="0"/>
        <v>1841.5674633866861</v>
      </c>
      <c r="I28" s="21">
        <f>+H28*I$3</f>
        <v>386.72916731120404</v>
      </c>
      <c r="J28" s="21">
        <f>+H28+I28</f>
        <v>2228.2966306978901</v>
      </c>
      <c r="K28" s="21">
        <f>+J28*K$3</f>
        <v>779.90382074426145</v>
      </c>
      <c r="L28" s="21">
        <f>+J28+K28</f>
        <v>3008.2004514421515</v>
      </c>
      <c r="M28" s="21">
        <f>+L28*M$3</f>
        <v>1353.6902031489683</v>
      </c>
      <c r="N28" s="22">
        <f>+L28+M28</f>
        <v>4361.8906545911195</v>
      </c>
    </row>
    <row r="29" spans="2:14" x14ac:dyDescent="0.25">
      <c r="B29" s="30"/>
      <c r="C29" s="31"/>
      <c r="D29" s="32"/>
      <c r="E29" s="31"/>
      <c r="F29" s="33"/>
      <c r="G29" s="78" t="e">
        <v>#VALUE!</v>
      </c>
      <c r="H29" s="35" t="e">
        <f t="shared" si="0"/>
        <v>#VALUE!</v>
      </c>
      <c r="I29" s="36">
        <v>0.21</v>
      </c>
      <c r="J29" s="35"/>
      <c r="K29" s="36">
        <v>0.35</v>
      </c>
      <c r="L29" s="35"/>
      <c r="M29" s="36">
        <v>0.45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77">
        <v>25917.655921596583</v>
      </c>
      <c r="H30" s="21">
        <f t="shared" si="0"/>
        <v>1079.9023300665242</v>
      </c>
      <c r="I30" s="21">
        <f t="shared" si="1"/>
        <v>226.77948931397006</v>
      </c>
      <c r="J30" s="21">
        <f t="shared" si="2"/>
        <v>1306.6818193804943</v>
      </c>
      <c r="K30" s="21">
        <f t="shared" si="3"/>
        <v>457.33863678317294</v>
      </c>
      <c r="L30" s="21">
        <f t="shared" si="4"/>
        <v>1764.0204561636672</v>
      </c>
      <c r="M30" s="21">
        <f t="shared" si="5"/>
        <v>793.80920527365026</v>
      </c>
      <c r="N30" s="22">
        <f t="shared" si="6"/>
        <v>2557.8296614373176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77">
        <v>25917.655921596583</v>
      </c>
      <c r="H31" s="21">
        <f t="shared" si="0"/>
        <v>1079.9023300665242</v>
      </c>
      <c r="I31" s="21">
        <f t="shared" si="1"/>
        <v>226.77948931397006</v>
      </c>
      <c r="J31" s="21">
        <f t="shared" si="2"/>
        <v>1306.6818193804943</v>
      </c>
      <c r="K31" s="21">
        <f t="shared" si="3"/>
        <v>457.33863678317294</v>
      </c>
      <c r="L31" s="21">
        <f t="shared" si="4"/>
        <v>1764.0204561636672</v>
      </c>
      <c r="M31" s="21">
        <f t="shared" si="5"/>
        <v>793.80920527365026</v>
      </c>
      <c r="N31" s="22">
        <f t="shared" si="6"/>
        <v>2557.8296614373176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77">
        <v>24621.773125516749</v>
      </c>
      <c r="H32" s="21">
        <f t="shared" si="0"/>
        <v>2051.8144271263959</v>
      </c>
      <c r="I32" s="21">
        <f t="shared" si="1"/>
        <v>430.88102969654312</v>
      </c>
      <c r="J32" s="21">
        <f t="shared" si="2"/>
        <v>2482.6954568229389</v>
      </c>
      <c r="K32" s="21">
        <f t="shared" si="3"/>
        <v>868.94340988802855</v>
      </c>
      <c r="L32" s="21">
        <f t="shared" si="4"/>
        <v>3351.6388667109677</v>
      </c>
      <c r="M32" s="21">
        <f t="shared" si="5"/>
        <v>1508.2374900199354</v>
      </c>
      <c r="N32" s="22">
        <f t="shared" si="6"/>
        <v>4859.8763567309034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77">
        <v>24621.773125516749</v>
      </c>
      <c r="H33" s="21">
        <f t="shared" si="0"/>
        <v>2051.8144271263959</v>
      </c>
      <c r="I33" s="21">
        <f t="shared" si="1"/>
        <v>430.88102969654312</v>
      </c>
      <c r="J33" s="21">
        <f t="shared" si="2"/>
        <v>2482.6954568229389</v>
      </c>
      <c r="K33" s="21">
        <f t="shared" si="3"/>
        <v>868.94340988802855</v>
      </c>
      <c r="L33" s="21">
        <f t="shared" si="4"/>
        <v>3351.6388667109677</v>
      </c>
      <c r="M33" s="21">
        <f t="shared" si="5"/>
        <v>1508.2374900199354</v>
      </c>
      <c r="N33" s="22">
        <f t="shared" si="6"/>
        <v>4859.8763567309034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77">
        <v>20734.124737277267</v>
      </c>
      <c r="H34" s="21">
        <f t="shared" si="0"/>
        <v>863.92186405321945</v>
      </c>
      <c r="I34" s="21">
        <f t="shared" si="1"/>
        <v>181.42359145117607</v>
      </c>
      <c r="J34" s="21">
        <f t="shared" si="2"/>
        <v>1045.3454555043954</v>
      </c>
      <c r="K34" s="21">
        <f t="shared" si="3"/>
        <v>365.87090942653839</v>
      </c>
      <c r="L34" s="21">
        <f t="shared" si="4"/>
        <v>1411.2163649309339</v>
      </c>
      <c r="M34" s="21">
        <f t="shared" si="5"/>
        <v>635.04736421892028</v>
      </c>
      <c r="N34" s="22">
        <f t="shared" si="6"/>
        <v>2046.263729149854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77">
        <v>55870.756291752885</v>
      </c>
      <c r="H35" s="21">
        <f t="shared" si="0"/>
        <v>5587.0756291752887</v>
      </c>
      <c r="I35" s="21">
        <f t="shared" si="1"/>
        <v>1173.2858821268105</v>
      </c>
      <c r="J35" s="21">
        <f t="shared" si="2"/>
        <v>6760.3615113020987</v>
      </c>
      <c r="K35" s="21">
        <f t="shared" si="3"/>
        <v>2366.1265289557346</v>
      </c>
      <c r="L35" s="21">
        <f t="shared" si="4"/>
        <v>9126.4880402578328</v>
      </c>
      <c r="M35" s="21">
        <f t="shared" si="5"/>
        <v>4106.919618116025</v>
      </c>
      <c r="N35" s="22">
        <f t="shared" si="6"/>
        <v>13233.407658373857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77">
        <v>55870.756291752885</v>
      </c>
      <c r="H36" s="21">
        <f t="shared" si="0"/>
        <v>5587.0756291752887</v>
      </c>
      <c r="I36" s="21">
        <f t="shared" si="1"/>
        <v>1173.2858821268105</v>
      </c>
      <c r="J36" s="21">
        <f t="shared" si="2"/>
        <v>6760.3615113020987</v>
      </c>
      <c r="K36" s="21">
        <f t="shared" si="3"/>
        <v>2366.1265289557346</v>
      </c>
      <c r="L36" s="21">
        <f t="shared" si="4"/>
        <v>9126.4880402578328</v>
      </c>
      <c r="M36" s="21">
        <f t="shared" si="5"/>
        <v>4106.919618116025</v>
      </c>
      <c r="N36" s="22">
        <f t="shared" si="6"/>
        <v>13233.407658373857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77">
        <v>16718.913270637411</v>
      </c>
      <c r="H37" s="21">
        <f t="shared" si="0"/>
        <v>696.62138627655884</v>
      </c>
      <c r="I37" s="21">
        <f t="shared" si="1"/>
        <v>146.29049111807734</v>
      </c>
      <c r="J37" s="21">
        <f t="shared" si="2"/>
        <v>842.91187739463612</v>
      </c>
      <c r="K37" s="26">
        <f t="shared" si="3"/>
        <v>295.0191570881226</v>
      </c>
      <c r="L37" s="21">
        <f t="shared" si="4"/>
        <v>1137.9310344827586</v>
      </c>
      <c r="M37" s="21">
        <f t="shared" si="5"/>
        <v>512.06896551724139</v>
      </c>
      <c r="N37" s="22">
        <f t="shared" si="6"/>
        <v>1650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77">
        <v>64251.369735515786</v>
      </c>
      <c r="H38" s="21">
        <f t="shared" si="0"/>
        <v>6425.1369735515782</v>
      </c>
      <c r="I38" s="21">
        <f>+H38*I$3</f>
        <v>1349.2787644458315</v>
      </c>
      <c r="J38" s="21">
        <f>+H38+I38</f>
        <v>7774.4157379974095</v>
      </c>
      <c r="K38" s="21">
        <f>+J38*K$3</f>
        <v>2721.0455082990929</v>
      </c>
      <c r="L38" s="21">
        <f>+J38+K38</f>
        <v>10495.461246296501</v>
      </c>
      <c r="M38" s="21">
        <f>+L38*M$3</f>
        <v>4722.9575608334262</v>
      </c>
      <c r="N38" s="22">
        <f>+L38+M38</f>
        <v>15218.418807129929</v>
      </c>
    </row>
    <row r="39" spans="2:14" x14ac:dyDescent="0.25">
      <c r="B39" s="30"/>
      <c r="C39" s="31"/>
      <c r="D39" s="32"/>
      <c r="E39" s="31"/>
      <c r="F39" s="33"/>
      <c r="G39" s="78" t="e">
        <v>#VALUE!</v>
      </c>
      <c r="H39" s="35" t="e">
        <f t="shared" si="0"/>
        <v>#VALUE!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77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77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/>
      <c r="E42" s="19">
        <v>2.16</v>
      </c>
      <c r="F42" s="20">
        <v>24</v>
      </c>
      <c r="G42" s="77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/>
      <c r="E43" s="19">
        <v>2.16</v>
      </c>
      <c r="F43" s="20">
        <v>24</v>
      </c>
      <c r="G43" s="77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77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77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77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77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77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77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77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77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77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77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77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77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77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78" t="e">
        <v>#VALUE!</v>
      </c>
      <c r="H57" s="35" t="e">
        <f t="shared" si="0"/>
        <v>#VALUE!</v>
      </c>
      <c r="I57" s="36">
        <v>0.21</v>
      </c>
      <c r="J57" s="35"/>
      <c r="K57" s="36">
        <v>0.35</v>
      </c>
      <c r="L57" s="35"/>
      <c r="M57" s="36">
        <v>0.45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77">
        <v>25897.114749740053</v>
      </c>
      <c r="H58" s="21">
        <f t="shared" si="0"/>
        <v>1294.8557374870027</v>
      </c>
      <c r="I58" s="21">
        <f t="shared" si="1"/>
        <v>271.91970487227053</v>
      </c>
      <c r="J58" s="21">
        <f t="shared" si="2"/>
        <v>1566.7754423592733</v>
      </c>
      <c r="K58" s="21">
        <f t="shared" si="3"/>
        <v>548.37140482574557</v>
      </c>
      <c r="L58" s="21">
        <f t="shared" si="4"/>
        <v>2115.1468471850189</v>
      </c>
      <c r="M58" s="21">
        <f t="shared" si="5"/>
        <v>951.8160812332585</v>
      </c>
      <c r="N58" s="22">
        <f t="shared" si="6"/>
        <v>3066.9629284182774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77">
        <v>41377.689946239283</v>
      </c>
      <c r="H59" s="21">
        <f t="shared" si="0"/>
        <v>2068.884497311964</v>
      </c>
      <c r="I59" s="21">
        <f t="shared" si="1"/>
        <v>434.46574443551242</v>
      </c>
      <c r="J59" s="21">
        <f t="shared" si="2"/>
        <v>2503.3502417474765</v>
      </c>
      <c r="K59" s="21">
        <f t="shared" si="3"/>
        <v>876.17258461161668</v>
      </c>
      <c r="L59" s="21">
        <f t="shared" si="4"/>
        <v>3379.5228263590934</v>
      </c>
      <c r="M59" s="21">
        <f t="shared" si="5"/>
        <v>1520.785271861592</v>
      </c>
      <c r="N59" s="22">
        <f t="shared" si="6"/>
        <v>4900.3080982206857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77">
        <v>41377.689946239283</v>
      </c>
      <c r="H60" s="21">
        <f t="shared" si="0"/>
        <v>2068.884497311964</v>
      </c>
      <c r="I60" s="21">
        <f t="shared" si="1"/>
        <v>434.46574443551242</v>
      </c>
      <c r="J60" s="21">
        <f t="shared" si="2"/>
        <v>2503.3502417474765</v>
      </c>
      <c r="K60" s="21">
        <f t="shared" si="3"/>
        <v>876.17258461161668</v>
      </c>
      <c r="L60" s="21">
        <f t="shared" si="4"/>
        <v>3379.5228263590934</v>
      </c>
      <c r="M60" s="21">
        <f t="shared" si="5"/>
        <v>1520.785271861592</v>
      </c>
      <c r="N60" s="22">
        <f t="shared" si="6"/>
        <v>4900.3080982206857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77">
        <v>41377.689946239283</v>
      </c>
      <c r="H61" s="21">
        <f t="shared" si="0"/>
        <v>2068.884497311964</v>
      </c>
      <c r="I61" s="21">
        <f t="shared" si="1"/>
        <v>434.46574443551242</v>
      </c>
      <c r="J61" s="21">
        <f t="shared" si="2"/>
        <v>2503.3502417474765</v>
      </c>
      <c r="K61" s="21">
        <f t="shared" si="3"/>
        <v>876.17258461161668</v>
      </c>
      <c r="L61" s="21">
        <f t="shared" si="4"/>
        <v>3379.5228263590934</v>
      </c>
      <c r="M61" s="21">
        <f t="shared" si="5"/>
        <v>1520.785271861592</v>
      </c>
      <c r="N61" s="22">
        <f t="shared" si="6"/>
        <v>4900.3080982206857</v>
      </c>
    </row>
    <row r="62" spans="2:14" x14ac:dyDescent="0.25">
      <c r="B62" s="30"/>
      <c r="C62" s="31"/>
      <c r="D62" s="32"/>
      <c r="E62" s="31"/>
      <c r="F62" s="33"/>
      <c r="G62" s="78" t="e">
        <v>#VALUE!</v>
      </c>
      <c r="H62" s="35" t="e">
        <f t="shared" si="0"/>
        <v>#VALUE!</v>
      </c>
      <c r="I62" s="36">
        <v>0.21</v>
      </c>
      <c r="J62" s="35"/>
      <c r="K62" s="36">
        <v>0.35</v>
      </c>
      <c r="L62" s="35"/>
      <c r="M62" s="36">
        <v>0.45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77">
        <v>41874.039770370109</v>
      </c>
      <c r="H63" s="21">
        <f t="shared" si="0"/>
        <v>3489.5033141975091</v>
      </c>
      <c r="I63" s="21">
        <f t="shared" si="1"/>
        <v>732.79569598147691</v>
      </c>
      <c r="J63" s="21">
        <f t="shared" si="2"/>
        <v>4222.2990101789856</v>
      </c>
      <c r="K63" s="21">
        <f t="shared" si="3"/>
        <v>1477.8046535626449</v>
      </c>
      <c r="L63" s="21">
        <f t="shared" si="4"/>
        <v>5700.103663741631</v>
      </c>
      <c r="M63" s="21">
        <f t="shared" si="5"/>
        <v>2565.046648683734</v>
      </c>
      <c r="N63" s="22">
        <f t="shared" si="6"/>
        <v>8265.150312425365</v>
      </c>
    </row>
    <row r="64" spans="2:14" x14ac:dyDescent="0.25">
      <c r="B64" s="24">
        <v>100021705</v>
      </c>
      <c r="C64" s="25" t="s">
        <v>66</v>
      </c>
      <c r="D64" s="18">
        <v>7790360024336</v>
      </c>
      <c r="E64" s="19">
        <f>12*0.38</f>
        <v>4.5600000000000005</v>
      </c>
      <c r="F64" s="20">
        <v>12</v>
      </c>
      <c r="G64" s="77">
        <v>37683.831852857693</v>
      </c>
      <c r="H64" s="21">
        <f t="shared" si="0"/>
        <v>3140.3193210714744</v>
      </c>
      <c r="I64" s="21">
        <f t="shared" si="1"/>
        <v>659.46705742500956</v>
      </c>
      <c r="J64" s="21">
        <f t="shared" si="2"/>
        <v>3799.7863784964838</v>
      </c>
      <c r="K64" s="21">
        <f t="shared" si="3"/>
        <v>1329.9252324737693</v>
      </c>
      <c r="L64" s="21">
        <f t="shared" si="4"/>
        <v>5129.7116109702529</v>
      </c>
      <c r="M64" s="21">
        <f t="shared" si="5"/>
        <v>2308.3702249366138</v>
      </c>
      <c r="N64" s="22">
        <f t="shared" si="6"/>
        <v>7438.0818359068671</v>
      </c>
    </row>
    <row r="65" spans="2:14" x14ac:dyDescent="0.25">
      <c r="B65" s="24">
        <v>100021709</v>
      </c>
      <c r="C65" s="25" t="s">
        <v>67</v>
      </c>
      <c r="D65" s="18">
        <v>7790360024701</v>
      </c>
      <c r="E65" s="19">
        <v>7.6</v>
      </c>
      <c r="F65" s="20">
        <v>10</v>
      </c>
      <c r="G65" s="77">
        <v>65321.868170581431</v>
      </c>
      <c r="H65" s="21">
        <f t="shared" si="0"/>
        <v>6532.1868170581429</v>
      </c>
      <c r="I65" s="21">
        <f t="shared" si="1"/>
        <v>1371.7592315822098</v>
      </c>
      <c r="J65" s="21">
        <f t="shared" si="2"/>
        <v>7903.9460486403532</v>
      </c>
      <c r="K65" s="21">
        <f t="shared" si="3"/>
        <v>2766.3811170241233</v>
      </c>
      <c r="L65" s="21">
        <f t="shared" si="4"/>
        <v>10670.327165664476</v>
      </c>
      <c r="M65" s="21">
        <f t="shared" si="5"/>
        <v>4801.647224549014</v>
      </c>
      <c r="N65" s="22">
        <f t="shared" si="6"/>
        <v>15471.974390213491</v>
      </c>
    </row>
    <row r="66" spans="2:14" x14ac:dyDescent="0.25">
      <c r="B66" s="24">
        <v>100521357</v>
      </c>
      <c r="C66" s="25" t="s">
        <v>68</v>
      </c>
      <c r="D66" s="18">
        <v>7790360982018</v>
      </c>
      <c r="E66" s="19">
        <v>4.5599999999999996</v>
      </c>
      <c r="F66" s="20">
        <v>12</v>
      </c>
      <c r="G66" s="77">
        <v>48595.608600000021</v>
      </c>
      <c r="H66" s="21">
        <f t="shared" si="0"/>
        <v>4049.6340500000019</v>
      </c>
      <c r="I66" s="21">
        <f t="shared" si="1"/>
        <v>850.42315050000036</v>
      </c>
      <c r="J66" s="21">
        <f t="shared" si="2"/>
        <v>4900.0572005000022</v>
      </c>
      <c r="K66" s="21">
        <f t="shared" si="3"/>
        <v>1715.0200201750006</v>
      </c>
      <c r="L66" s="21">
        <f t="shared" si="4"/>
        <v>6615.0772206750025</v>
      </c>
      <c r="M66" s="21">
        <f t="shared" si="5"/>
        <v>2976.7847493037511</v>
      </c>
      <c r="N66" s="22">
        <f t="shared" si="6"/>
        <v>9591.8619699787541</v>
      </c>
    </row>
    <row r="67" spans="2:14" x14ac:dyDescent="0.25">
      <c r="B67" s="24">
        <v>100521358</v>
      </c>
      <c r="C67" s="25" t="s">
        <v>69</v>
      </c>
      <c r="D67" s="18">
        <v>7790360982025</v>
      </c>
      <c r="E67" s="19">
        <v>7.6</v>
      </c>
      <c r="F67" s="20">
        <v>10</v>
      </c>
      <c r="G67" s="77">
        <v>72893.412900000025</v>
      </c>
      <c r="H67" s="21">
        <f t="shared" si="0"/>
        <v>7289.3412900000021</v>
      </c>
      <c r="I67" s="21">
        <f t="shared" si="1"/>
        <v>1530.7616709000004</v>
      </c>
      <c r="J67" s="21">
        <f t="shared" si="2"/>
        <v>8820.1029609000034</v>
      </c>
      <c r="K67" s="21">
        <f t="shared" si="3"/>
        <v>3087.0360363150012</v>
      </c>
      <c r="L67" s="21">
        <f t="shared" si="4"/>
        <v>11907.138997215005</v>
      </c>
      <c r="M67" s="21">
        <f t="shared" si="5"/>
        <v>5358.212548746752</v>
      </c>
      <c r="N67" s="22">
        <f t="shared" si="6"/>
        <v>17265.351545961756</v>
      </c>
    </row>
    <row r="68" spans="2:14" x14ac:dyDescent="0.25">
      <c r="B68" s="24">
        <v>100522130</v>
      </c>
      <c r="C68" s="25" t="s">
        <v>70</v>
      </c>
      <c r="D68" s="18">
        <v>7790360982445</v>
      </c>
      <c r="E68" s="19">
        <v>4.8</v>
      </c>
      <c r="F68" s="20">
        <v>12</v>
      </c>
      <c r="G68" s="77">
        <v>38154.376987650016</v>
      </c>
      <c r="H68" s="21">
        <f t="shared" si="0"/>
        <v>3179.5314156375011</v>
      </c>
      <c r="I68" s="21">
        <f t="shared" si="1"/>
        <v>667.70159728387523</v>
      </c>
      <c r="J68" s="21">
        <f t="shared" si="2"/>
        <v>3847.2330129213765</v>
      </c>
      <c r="K68" s="21">
        <f t="shared" si="3"/>
        <v>1346.5315545224817</v>
      </c>
      <c r="L68" s="21">
        <f t="shared" si="4"/>
        <v>5193.7645674438581</v>
      </c>
      <c r="M68" s="21">
        <f t="shared" si="5"/>
        <v>2337.1940553497361</v>
      </c>
      <c r="N68" s="22">
        <f t="shared" si="6"/>
        <v>7530.9586227935943</v>
      </c>
    </row>
    <row r="69" spans="2:14" x14ac:dyDescent="0.25">
      <c r="B69" s="41">
        <v>100021725</v>
      </c>
      <c r="C69" s="40" t="s">
        <v>71</v>
      </c>
      <c r="D69" s="38">
        <v>7790360027009</v>
      </c>
      <c r="E69" s="42">
        <v>6</v>
      </c>
      <c r="F69" s="43">
        <v>4</v>
      </c>
      <c r="G69" s="79">
        <v>32663.971750401823</v>
      </c>
      <c r="H69" s="44">
        <f t="shared" si="0"/>
        <v>8165.9929376004557</v>
      </c>
      <c r="I69" s="44">
        <f t="shared" si="1"/>
        <v>1714.8585168960956</v>
      </c>
      <c r="J69" s="44">
        <f t="shared" si="2"/>
        <v>9880.851454496551</v>
      </c>
      <c r="K69" s="44">
        <f t="shared" si="3"/>
        <v>3458.2980090737929</v>
      </c>
      <c r="L69" s="44">
        <f t="shared" si="4"/>
        <v>13339.149463570344</v>
      </c>
      <c r="M69" s="44">
        <f t="shared" si="5"/>
        <v>6002.617258606655</v>
      </c>
      <c r="N69" s="45">
        <f t="shared" si="6"/>
        <v>19341.766722176999</v>
      </c>
    </row>
    <row r="70" spans="2:14" x14ac:dyDescent="0.25">
      <c r="B70" s="24">
        <v>100517055</v>
      </c>
      <c r="C70" s="25" t="s">
        <v>72</v>
      </c>
      <c r="D70" s="18">
        <v>7790360971135</v>
      </c>
      <c r="E70" s="19">
        <v>3.12</v>
      </c>
      <c r="F70" s="20">
        <v>12</v>
      </c>
      <c r="G70" s="77">
        <v>31447.371990591084</v>
      </c>
      <c r="H70" s="21">
        <f t="shared" si="0"/>
        <v>2620.6143325492571</v>
      </c>
      <c r="I70" s="21">
        <f t="shared" si="1"/>
        <v>550.32900983534398</v>
      </c>
      <c r="J70" s="21">
        <f t="shared" si="2"/>
        <v>3170.9433423846012</v>
      </c>
      <c r="K70" s="21">
        <f t="shared" si="3"/>
        <v>1109.8301698346104</v>
      </c>
      <c r="L70" s="21">
        <f t="shared" si="4"/>
        <v>4280.7735122192116</v>
      </c>
      <c r="M70" s="21">
        <f t="shared" si="5"/>
        <v>1926.3480804986452</v>
      </c>
      <c r="N70" s="22">
        <f t="shared" si="6"/>
        <v>6207.1215927178564</v>
      </c>
    </row>
    <row r="71" spans="2:14" x14ac:dyDescent="0.25">
      <c r="B71" s="24">
        <v>100517186</v>
      </c>
      <c r="C71" s="25" t="s">
        <v>73</v>
      </c>
      <c r="D71" s="18">
        <v>7790360971395</v>
      </c>
      <c r="E71" s="19">
        <v>8</v>
      </c>
      <c r="F71" s="20">
        <v>8</v>
      </c>
      <c r="G71" s="77">
        <v>79456.933711972873</v>
      </c>
      <c r="H71" s="21">
        <f t="shared" si="0"/>
        <v>9932.1167139966092</v>
      </c>
      <c r="I71" s="21">
        <f t="shared" si="1"/>
        <v>2085.744509939288</v>
      </c>
      <c r="J71" s="21">
        <f t="shared" si="2"/>
        <v>12017.861223935897</v>
      </c>
      <c r="K71" s="21">
        <f t="shared" si="3"/>
        <v>4206.2514283775636</v>
      </c>
      <c r="L71" s="21">
        <f t="shared" si="4"/>
        <v>16224.112652313461</v>
      </c>
      <c r="M71" s="21">
        <f t="shared" si="5"/>
        <v>7300.8506935410578</v>
      </c>
      <c r="N71" s="22">
        <f t="shared" si="6"/>
        <v>23524.963345854518</v>
      </c>
    </row>
    <row r="72" spans="2:14" x14ac:dyDescent="0.25">
      <c r="B72" s="24">
        <v>100521663</v>
      </c>
      <c r="C72" s="25" t="s">
        <v>74</v>
      </c>
      <c r="D72" s="18">
        <v>7790360982537</v>
      </c>
      <c r="E72" s="19">
        <v>4.8</v>
      </c>
      <c r="F72" s="20">
        <v>12</v>
      </c>
      <c r="G72" s="77">
        <v>41797.283176593519</v>
      </c>
      <c r="H72" s="21">
        <f t="shared" si="0"/>
        <v>3483.1069313827934</v>
      </c>
      <c r="I72" s="21">
        <f t="shared" si="1"/>
        <v>731.45245559038653</v>
      </c>
      <c r="J72" s="21">
        <f t="shared" si="2"/>
        <v>4214.5593869731802</v>
      </c>
      <c r="K72" s="21">
        <f t="shared" si="3"/>
        <v>1475.0957854406129</v>
      </c>
      <c r="L72" s="21">
        <f t="shared" si="4"/>
        <v>5689.6551724137935</v>
      </c>
      <c r="M72" s="21">
        <f t="shared" si="5"/>
        <v>2560.344827586207</v>
      </c>
      <c r="N72" s="22">
        <f t="shared" si="6"/>
        <v>8250</v>
      </c>
    </row>
    <row r="73" spans="2:14" x14ac:dyDescent="0.25">
      <c r="B73" s="41">
        <v>100021728</v>
      </c>
      <c r="C73" s="40" t="s">
        <v>75</v>
      </c>
      <c r="D73" s="38">
        <v>7790360967558</v>
      </c>
      <c r="E73" s="42">
        <v>3.84</v>
      </c>
      <c r="F73" s="43">
        <v>12</v>
      </c>
      <c r="G73" s="79">
        <v>40551.851945722723</v>
      </c>
      <c r="H73" s="44">
        <f t="shared" si="0"/>
        <v>3379.3209954768936</v>
      </c>
      <c r="I73" s="44">
        <f t="shared" si="1"/>
        <v>709.65740905014763</v>
      </c>
      <c r="J73" s="44">
        <f t="shared" si="2"/>
        <v>4088.9784045270412</v>
      </c>
      <c r="K73" s="44">
        <f t="shared" si="3"/>
        <v>1431.1424415844644</v>
      </c>
      <c r="L73" s="44">
        <f t="shared" si="4"/>
        <v>5520.1208461115057</v>
      </c>
      <c r="M73" s="44">
        <f t="shared" si="5"/>
        <v>2484.0543807501776</v>
      </c>
      <c r="N73" s="45">
        <f t="shared" si="6"/>
        <v>8004.1752268616838</v>
      </c>
    </row>
    <row r="74" spans="2:14" x14ac:dyDescent="0.25">
      <c r="B74" s="41">
        <v>100517679</v>
      </c>
      <c r="C74" s="40" t="s">
        <v>76</v>
      </c>
      <c r="D74" s="38">
        <v>7790360973498</v>
      </c>
      <c r="E74" s="42">
        <v>7.68</v>
      </c>
      <c r="F74" s="43">
        <v>8</v>
      </c>
      <c r="G74" s="79">
        <v>39413.592299367447</v>
      </c>
      <c r="H74" s="44">
        <f t="shared" si="0"/>
        <v>4926.6990374209308</v>
      </c>
      <c r="I74" s="44">
        <f t="shared" si="1"/>
        <v>1034.6067978583953</v>
      </c>
      <c r="J74" s="44">
        <f t="shared" si="2"/>
        <v>5961.3058352793259</v>
      </c>
      <c r="K74" s="44">
        <f t="shared" si="3"/>
        <v>2086.4570423477639</v>
      </c>
      <c r="L74" s="44">
        <f t="shared" si="4"/>
        <v>8047.7628776270903</v>
      </c>
      <c r="M74" s="44">
        <f t="shared" si="5"/>
        <v>3621.4932949321906</v>
      </c>
      <c r="N74" s="45">
        <f t="shared" si="6"/>
        <v>11669.25617255928</v>
      </c>
    </row>
    <row r="75" spans="2:14" x14ac:dyDescent="0.25">
      <c r="B75" s="30"/>
      <c r="C75" s="31"/>
      <c r="D75" s="32"/>
      <c r="E75" s="31"/>
      <c r="F75" s="33"/>
      <c r="G75" s="78" t="e">
        <v>#VALUE!</v>
      </c>
      <c r="H75" s="35" t="e">
        <f t="shared" si="0"/>
        <v>#VALUE!</v>
      </c>
      <c r="I75" s="36">
        <v>0.21</v>
      </c>
      <c r="J75" s="35"/>
      <c r="K75" s="36">
        <v>0.35</v>
      </c>
      <c r="L75" s="35"/>
      <c r="M75" s="36">
        <v>0.45</v>
      </c>
      <c r="N75" s="37"/>
    </row>
    <row r="76" spans="2:14" hidden="1" x14ac:dyDescent="0.25">
      <c r="B76" s="24">
        <v>100516219</v>
      </c>
      <c r="C76" s="25" t="s">
        <v>77</v>
      </c>
      <c r="D76" s="46">
        <v>7790360967770</v>
      </c>
      <c r="E76" s="19">
        <v>10</v>
      </c>
      <c r="F76" s="20">
        <v>25</v>
      </c>
      <c r="G76" s="77">
        <v>20998.309875548501</v>
      </c>
      <c r="H76" s="21">
        <f t="shared" ref="H76:H84" si="9">G76/F76</f>
        <v>839.93239502194001</v>
      </c>
      <c r="I76" s="21">
        <f t="shared" si="1"/>
        <v>176.38580295460739</v>
      </c>
      <c r="J76" s="21">
        <f t="shared" si="2"/>
        <v>1016.3181979765474</v>
      </c>
      <c r="K76" s="21">
        <f t="shared" si="3"/>
        <v>355.71136929179158</v>
      </c>
      <c r="L76" s="21">
        <f t="shared" si="4"/>
        <v>1372.029567268339</v>
      </c>
      <c r="M76" s="21">
        <f t="shared" si="5"/>
        <v>617.41330527075252</v>
      </c>
      <c r="N76" s="22">
        <f t="shared" si="6"/>
        <v>1989.4428725390915</v>
      </c>
    </row>
    <row r="77" spans="2:14" hidden="1" x14ac:dyDescent="0.25">
      <c r="B77" s="24">
        <v>100516220</v>
      </c>
      <c r="C77" s="25" t="s">
        <v>78</v>
      </c>
      <c r="D77" s="46">
        <v>7790360967787</v>
      </c>
      <c r="E77" s="19">
        <v>12</v>
      </c>
      <c r="F77" s="20">
        <v>6</v>
      </c>
      <c r="G77" s="77">
        <v>22556.010093033583</v>
      </c>
      <c r="H77" s="21">
        <f t="shared" si="9"/>
        <v>3759.3350155055973</v>
      </c>
      <c r="I77" s="21">
        <f t="shared" si="1"/>
        <v>789.46035325617538</v>
      </c>
      <c r="J77" s="21">
        <f t="shared" si="2"/>
        <v>4548.7953687617728</v>
      </c>
      <c r="K77" s="21">
        <f t="shared" si="3"/>
        <v>1592.0783790666203</v>
      </c>
      <c r="L77" s="21">
        <f t="shared" si="4"/>
        <v>6140.8737478283929</v>
      </c>
      <c r="M77" s="21">
        <f t="shared" si="5"/>
        <v>2763.3931865227769</v>
      </c>
      <c r="N77" s="22">
        <f t="shared" si="6"/>
        <v>8904.2669343511698</v>
      </c>
    </row>
    <row r="78" spans="2:14" ht="15.75" hidden="1" thickBot="1" x14ac:dyDescent="0.3">
      <c r="B78" s="80"/>
      <c r="C78" s="81"/>
      <c r="D78" s="82"/>
      <c r="E78" s="81"/>
      <c r="F78" s="83"/>
      <c r="G78" s="84"/>
      <c r="H78" s="35" t="e">
        <f t="shared" si="9"/>
        <v>#DIV/0!</v>
      </c>
      <c r="I78" s="36"/>
      <c r="J78" s="35"/>
      <c r="K78" s="36"/>
      <c r="L78" s="35"/>
      <c r="M78" s="36"/>
      <c r="N78" s="37"/>
    </row>
    <row r="79" spans="2:14" x14ac:dyDescent="0.25">
      <c r="B79" s="29">
        <v>100518158</v>
      </c>
      <c r="C79" s="25" t="s">
        <v>79</v>
      </c>
      <c r="D79" s="50">
        <v>7790360974280</v>
      </c>
      <c r="E79" s="19">
        <v>12</v>
      </c>
      <c r="F79" s="20">
        <v>24</v>
      </c>
      <c r="G79" s="77">
        <v>75339.602925809828</v>
      </c>
      <c r="H79" s="21">
        <f t="shared" si="9"/>
        <v>3139.1501219087427</v>
      </c>
      <c r="I79" s="21">
        <f>+H79*I$3</f>
        <v>659.22152560083589</v>
      </c>
      <c r="J79" s="21">
        <f>+H79+I79</f>
        <v>3798.3716475095785</v>
      </c>
      <c r="K79" s="21">
        <f>+J79*K$3</f>
        <v>1329.4300766283525</v>
      </c>
      <c r="L79" s="21">
        <f>+J79+K79</f>
        <v>5127.8017241379312</v>
      </c>
      <c r="M79" s="21">
        <f>+L79*M$3</f>
        <v>2307.5107758620693</v>
      </c>
      <c r="N79" s="22">
        <f>+L79+M79</f>
        <v>7435.3125</v>
      </c>
    </row>
    <row r="80" spans="2:14" x14ac:dyDescent="0.25">
      <c r="B80" s="29">
        <v>100518160</v>
      </c>
      <c r="C80" s="25" t="s">
        <v>80</v>
      </c>
      <c r="D80" s="50">
        <v>7790360974686</v>
      </c>
      <c r="E80" s="19">
        <v>12</v>
      </c>
      <c r="F80" s="20">
        <v>12</v>
      </c>
      <c r="G80" s="77">
        <v>75339.602925809828</v>
      </c>
      <c r="H80" s="21">
        <f t="shared" si="9"/>
        <v>6278.3002438174854</v>
      </c>
      <c r="I80" s="21">
        <f>+H80*I$3</f>
        <v>1318.4430512016718</v>
      </c>
      <c r="J80" s="21">
        <f>+H80+I80</f>
        <v>7596.7432950191569</v>
      </c>
      <c r="K80" s="21">
        <f>+J80*K$3</f>
        <v>2658.860153256705</v>
      </c>
      <c r="L80" s="21">
        <f>+J80+K80</f>
        <v>10255.603448275862</v>
      </c>
      <c r="M80" s="21">
        <f>+L80*M$3</f>
        <v>4615.0215517241386</v>
      </c>
      <c r="N80" s="22">
        <f>+L80+M80</f>
        <v>14870.625</v>
      </c>
    </row>
    <row r="81" spans="2:14" x14ac:dyDescent="0.25">
      <c r="B81" s="29">
        <v>100518463</v>
      </c>
      <c r="C81" s="25" t="s">
        <v>102</v>
      </c>
      <c r="D81" s="50"/>
      <c r="E81" s="19">
        <v>5</v>
      </c>
      <c r="F81" s="20">
        <v>1</v>
      </c>
      <c r="G81" s="77">
        <v>36693.267187500001</v>
      </c>
      <c r="H81" s="21">
        <f t="shared" si="9"/>
        <v>36693.267187500001</v>
      </c>
      <c r="I81" s="21">
        <f>+H81*I$3</f>
        <v>7705.586109375</v>
      </c>
      <c r="J81" s="21">
        <f>+H81+I81</f>
        <v>44398.853296875001</v>
      </c>
      <c r="K81" s="21">
        <f>+J81*K$3</f>
        <v>15539.598653906249</v>
      </c>
      <c r="L81" s="21">
        <f>+J81+K81</f>
        <v>59938.451950781251</v>
      </c>
      <c r="M81" s="21">
        <f>+L81*M$3</f>
        <v>26972.303377851564</v>
      </c>
      <c r="N81" s="22">
        <f>+L81+M81</f>
        <v>86910.755328632818</v>
      </c>
    </row>
    <row r="82" spans="2:14" ht="15.75" thickBot="1" x14ac:dyDescent="0.3">
      <c r="B82" s="54"/>
      <c r="C82" s="55"/>
      <c r="D82" s="56"/>
      <c r="E82" s="55"/>
      <c r="F82" s="57"/>
      <c r="G82" s="58"/>
      <c r="H82" s="35" t="e">
        <f t="shared" si="9"/>
        <v>#DIV/0!</v>
      </c>
      <c r="I82" s="36"/>
      <c r="J82" s="35"/>
      <c r="K82" s="36"/>
      <c r="L82" s="35"/>
      <c r="M82" s="36"/>
      <c r="N82" s="37"/>
    </row>
    <row r="83" spans="2:14" x14ac:dyDescent="0.25">
      <c r="B83" s="63">
        <v>100518291</v>
      </c>
      <c r="C83" s="64" t="s">
        <v>81</v>
      </c>
      <c r="D83" s="47">
        <v>7790360975195</v>
      </c>
      <c r="E83" s="65">
        <v>5</v>
      </c>
      <c r="F83" s="65">
        <v>10</v>
      </c>
      <c r="G83" s="85">
        <v>17536.686967689053</v>
      </c>
      <c r="H83" s="48">
        <f t="shared" si="9"/>
        <v>1753.6686967689052</v>
      </c>
      <c r="I83" s="48">
        <f>+H83*I$3</f>
        <v>368.2704263214701</v>
      </c>
      <c r="J83" s="48">
        <f>+H83+I83</f>
        <v>2121.9391230903752</v>
      </c>
      <c r="K83" s="48">
        <f>+J83*K$39</f>
        <v>466.82660707988254</v>
      </c>
      <c r="L83" s="48">
        <f>+J83+K83</f>
        <v>2588.7657301702579</v>
      </c>
      <c r="M83" s="48">
        <f>+L83*M$39</f>
        <v>906.06800555959023</v>
      </c>
      <c r="N83" s="49">
        <f>+L83+M83</f>
        <v>3494.8337357298483</v>
      </c>
    </row>
    <row r="84" spans="2:14" ht="15.75" thickBot="1" x14ac:dyDescent="0.3">
      <c r="B84" s="66">
        <v>100518292</v>
      </c>
      <c r="C84" s="67" t="s">
        <v>82</v>
      </c>
      <c r="D84" s="51">
        <v>7790360975201</v>
      </c>
      <c r="E84" s="68">
        <v>12</v>
      </c>
      <c r="F84" s="68">
        <v>12</v>
      </c>
      <c r="G84" s="86">
        <v>41380.323708459917</v>
      </c>
      <c r="H84" s="52">
        <f t="shared" si="9"/>
        <v>3448.3603090383262</v>
      </c>
      <c r="I84" s="52">
        <f>+H84*I$3</f>
        <v>724.15566489804849</v>
      </c>
      <c r="J84" s="52">
        <f>+H84+I84</f>
        <v>4172.5159739363744</v>
      </c>
      <c r="K84" s="52">
        <f>+J84*K$39</f>
        <v>917.95351426600234</v>
      </c>
      <c r="L84" s="52">
        <f>+J84+K84</f>
        <v>5090.4694882023769</v>
      </c>
      <c r="M84" s="52">
        <f>+L84*M$39</f>
        <v>1781.6643208708317</v>
      </c>
      <c r="N84" s="53">
        <f>+L84+M84</f>
        <v>6872.1338090732088</v>
      </c>
    </row>
    <row r="85" spans="2:14" ht="15.75" thickBot="1" x14ac:dyDescent="0.3">
      <c r="B85" s="54"/>
      <c r="C85" s="55"/>
      <c r="D85" s="56"/>
      <c r="E85" s="55"/>
      <c r="F85" s="57"/>
      <c r="G85" s="58"/>
      <c r="H85" s="35" t="e">
        <f>G85/F85</f>
        <v>#DIV/0!</v>
      </c>
      <c r="I85" s="36">
        <v>0.105</v>
      </c>
      <c r="J85" s="35"/>
      <c r="K85" s="36">
        <v>0.3</v>
      </c>
      <c r="L85" s="35"/>
      <c r="M85" s="36">
        <v>0.4</v>
      </c>
      <c r="N85" s="37"/>
    </row>
    <row r="86" spans="2:14" x14ac:dyDescent="0.25">
      <c r="B86" s="63">
        <v>100517915</v>
      </c>
      <c r="C86" s="64" t="s">
        <v>83</v>
      </c>
      <c r="D86" s="47">
        <v>7790360974020</v>
      </c>
      <c r="E86" s="65">
        <v>18</v>
      </c>
      <c r="F86" s="65">
        <v>36</v>
      </c>
      <c r="G86" s="85">
        <v>160512.01231783535</v>
      </c>
      <c r="H86" s="48">
        <f>G86/F86</f>
        <v>4458.6670088287601</v>
      </c>
      <c r="I86" s="48">
        <f>+H86*I$85</f>
        <v>468.16003592701981</v>
      </c>
      <c r="J86" s="48">
        <f>+H86+I86</f>
        <v>4926.8270447557798</v>
      </c>
      <c r="K86" s="48">
        <f>+J86*K$85</f>
        <v>1478.0481134267338</v>
      </c>
      <c r="L86" s="48">
        <f>+J86+K86</f>
        <v>6404.8751581825136</v>
      </c>
      <c r="M86" s="48">
        <f>+L86*M$85</f>
        <v>2561.9500632730055</v>
      </c>
      <c r="N86" s="49">
        <f>+L86+M86</f>
        <v>8966.8252214555196</v>
      </c>
    </row>
    <row r="87" spans="2:14" ht="15.75" thickBot="1" x14ac:dyDescent="0.3">
      <c r="B87" s="66">
        <v>100517914</v>
      </c>
      <c r="C87" s="67" t="s">
        <v>84</v>
      </c>
      <c r="D87" s="51">
        <v>7790360974037</v>
      </c>
      <c r="E87" s="68">
        <v>20</v>
      </c>
      <c r="F87" s="68">
        <v>20</v>
      </c>
      <c r="G87" s="86">
        <v>175154.27477482893</v>
      </c>
      <c r="H87" s="52">
        <f>G87/F87</f>
        <v>8757.7137387414459</v>
      </c>
      <c r="I87" s="52">
        <f>+H87*I$85</f>
        <v>919.55994256785175</v>
      </c>
      <c r="J87" s="52">
        <f>+H87+I87</f>
        <v>9677.2736813092979</v>
      </c>
      <c r="K87" s="52">
        <f>+J87*K$85</f>
        <v>2903.1821043927894</v>
      </c>
      <c r="L87" s="52">
        <f>+J87+K87</f>
        <v>12580.455785702088</v>
      </c>
      <c r="M87" s="52">
        <f>+L87*M$85</f>
        <v>5032.1823142808353</v>
      </c>
      <c r="N87" s="53">
        <f>+L87+M87</f>
        <v>17612.638099982923</v>
      </c>
    </row>
    <row r="88" spans="2:14" ht="15.75" thickBot="1" x14ac:dyDescent="0.3">
      <c r="B88" s="54"/>
      <c r="C88" s="55"/>
      <c r="D88" s="56"/>
      <c r="E88" s="55"/>
      <c r="F88" s="57"/>
      <c r="G88" s="58"/>
      <c r="H88" s="59"/>
      <c r="I88" s="70">
        <v>0.105</v>
      </c>
      <c r="J88" s="59"/>
      <c r="K88" s="60">
        <v>0.3</v>
      </c>
      <c r="L88" s="59"/>
      <c r="M88" s="60">
        <v>0.4</v>
      </c>
      <c r="N88" s="61"/>
    </row>
    <row r="89" spans="2:14" x14ac:dyDescent="0.25">
      <c r="B89" s="24">
        <v>100010689</v>
      </c>
      <c r="C89" s="25" t="s">
        <v>85</v>
      </c>
      <c r="D89" s="18"/>
      <c r="E89" s="71">
        <v>22</v>
      </c>
      <c r="F89" s="20">
        <v>1</v>
      </c>
      <c r="G89" s="77">
        <v>15714.285714285716</v>
      </c>
      <c r="H89" s="48">
        <f t="shared" ref="H89:H94" si="10">+G89/F89</f>
        <v>15714.285714285716</v>
      </c>
      <c r="I89" s="48">
        <f t="shared" ref="I89:I94" si="11">+H89*I$88</f>
        <v>1650</v>
      </c>
      <c r="J89" s="48">
        <f t="shared" ref="J89:J94" si="12">+H89+I89</f>
        <v>17364.285714285717</v>
      </c>
      <c r="K89" s="48">
        <f t="shared" ref="K89:K94" si="13">+J89*K$88</f>
        <v>5209.2857142857147</v>
      </c>
      <c r="L89" s="48">
        <f t="shared" ref="L89:L94" si="14">+J89+K89</f>
        <v>22573.571428571431</v>
      </c>
      <c r="M89" s="48">
        <f t="shared" ref="M89:M94" si="15">+L89*M$88</f>
        <v>9029.4285714285725</v>
      </c>
      <c r="N89" s="49">
        <f t="shared" ref="N89:N94" si="16">+L89+M89</f>
        <v>31603.000000000004</v>
      </c>
    </row>
    <row r="90" spans="2:14" x14ac:dyDescent="0.25">
      <c r="B90" s="24">
        <v>100518335</v>
      </c>
      <c r="C90" s="25" t="s">
        <v>86</v>
      </c>
      <c r="D90" s="18"/>
      <c r="E90" s="71">
        <v>22.5</v>
      </c>
      <c r="F90" s="20">
        <v>1</v>
      </c>
      <c r="G90" s="77">
        <v>11224.489795918369</v>
      </c>
      <c r="H90" s="21">
        <f t="shared" si="10"/>
        <v>11224.489795918369</v>
      </c>
      <c r="I90" s="21">
        <f t="shared" si="11"/>
        <v>1178.5714285714287</v>
      </c>
      <c r="J90" s="21">
        <f t="shared" si="12"/>
        <v>12403.061224489798</v>
      </c>
      <c r="K90" s="21">
        <f t="shared" si="13"/>
        <v>3720.9183673469392</v>
      </c>
      <c r="L90" s="21">
        <f t="shared" si="14"/>
        <v>16123.979591836738</v>
      </c>
      <c r="M90" s="21">
        <f t="shared" si="15"/>
        <v>6449.5918367346958</v>
      </c>
      <c r="N90" s="22">
        <f t="shared" si="16"/>
        <v>22573.571428571435</v>
      </c>
    </row>
    <row r="91" spans="2:14" x14ac:dyDescent="0.25">
      <c r="B91" s="24">
        <v>100518332</v>
      </c>
      <c r="C91" s="25" t="s">
        <v>87</v>
      </c>
      <c r="D91" s="18"/>
      <c r="E91" s="71">
        <v>21.5</v>
      </c>
      <c r="F91" s="20">
        <v>1</v>
      </c>
      <c r="G91" s="77">
        <v>12908.163265306122</v>
      </c>
      <c r="H91" s="21">
        <f t="shared" si="10"/>
        <v>12908.163265306122</v>
      </c>
      <c r="I91" s="21">
        <f t="shared" si="11"/>
        <v>1355.3571428571429</v>
      </c>
      <c r="J91" s="21">
        <f t="shared" si="12"/>
        <v>14263.520408163266</v>
      </c>
      <c r="K91" s="21">
        <f t="shared" si="13"/>
        <v>4279.0561224489793</v>
      </c>
      <c r="L91" s="21">
        <f t="shared" si="14"/>
        <v>18542.576530612245</v>
      </c>
      <c r="M91" s="21">
        <f t="shared" si="15"/>
        <v>7417.0306122448983</v>
      </c>
      <c r="N91" s="22">
        <f t="shared" si="16"/>
        <v>25959.607142857145</v>
      </c>
    </row>
    <row r="92" spans="2:14" x14ac:dyDescent="0.25">
      <c r="B92" s="24">
        <v>100518334</v>
      </c>
      <c r="C92" s="25" t="s">
        <v>88</v>
      </c>
      <c r="D92" s="18"/>
      <c r="E92" s="71">
        <v>22.5</v>
      </c>
      <c r="F92" s="20">
        <v>1</v>
      </c>
      <c r="G92" s="77">
        <v>11448.979591836736</v>
      </c>
      <c r="H92" s="21">
        <f t="shared" si="10"/>
        <v>11448.979591836736</v>
      </c>
      <c r="I92" s="21">
        <f t="shared" si="11"/>
        <v>1202.1428571428573</v>
      </c>
      <c r="J92" s="21">
        <f t="shared" si="12"/>
        <v>12651.122448979593</v>
      </c>
      <c r="K92" s="21">
        <f t="shared" si="13"/>
        <v>3795.3367346938776</v>
      </c>
      <c r="L92" s="21">
        <f t="shared" si="14"/>
        <v>16446.459183673469</v>
      </c>
      <c r="M92" s="21">
        <f t="shared" si="15"/>
        <v>6578.5836734693876</v>
      </c>
      <c r="N92" s="22">
        <f t="shared" si="16"/>
        <v>23025.042857142857</v>
      </c>
    </row>
    <row r="93" spans="2:14" x14ac:dyDescent="0.25">
      <c r="B93" s="24">
        <v>100518227</v>
      </c>
      <c r="C93" s="25" t="s">
        <v>89</v>
      </c>
      <c r="D93" s="18"/>
      <c r="E93" s="71">
        <v>22.5</v>
      </c>
      <c r="F93" s="20">
        <v>1</v>
      </c>
      <c r="G93" s="77">
        <v>13244.897959183672</v>
      </c>
      <c r="H93" s="21">
        <f t="shared" si="10"/>
        <v>13244.897959183672</v>
      </c>
      <c r="I93" s="21">
        <f t="shared" si="11"/>
        <v>1390.7142857142856</v>
      </c>
      <c r="J93" s="21">
        <f t="shared" si="12"/>
        <v>14635.612244897959</v>
      </c>
      <c r="K93" s="21">
        <f t="shared" si="13"/>
        <v>4390.683673469387</v>
      </c>
      <c r="L93" s="21">
        <f t="shared" si="14"/>
        <v>19026.295918367345</v>
      </c>
      <c r="M93" s="21">
        <f t="shared" si="15"/>
        <v>7610.5183673469382</v>
      </c>
      <c r="N93" s="22">
        <f t="shared" si="16"/>
        <v>26636.814285714281</v>
      </c>
    </row>
    <row r="94" spans="2:14" x14ac:dyDescent="0.25">
      <c r="B94" s="72">
        <v>100027726</v>
      </c>
      <c r="C94" s="73" t="s">
        <v>90</v>
      </c>
      <c r="D94" s="74"/>
      <c r="E94" s="71">
        <v>22.5</v>
      </c>
      <c r="F94" s="20">
        <v>1</v>
      </c>
      <c r="G94" s="77">
        <v>6814.5000000000009</v>
      </c>
      <c r="H94" s="21">
        <f t="shared" si="10"/>
        <v>6814.5000000000009</v>
      </c>
      <c r="I94" s="21">
        <f t="shared" si="11"/>
        <v>715.52250000000004</v>
      </c>
      <c r="J94" s="21">
        <f t="shared" si="12"/>
        <v>7530.0225000000009</v>
      </c>
      <c r="K94" s="21">
        <f t="shared" si="13"/>
        <v>2259.00675</v>
      </c>
      <c r="L94" s="21">
        <f t="shared" si="14"/>
        <v>9789.0292500000014</v>
      </c>
      <c r="M94" s="21">
        <f t="shared" si="15"/>
        <v>3915.6117000000008</v>
      </c>
      <c r="N94" s="22">
        <f t="shared" si="16"/>
        <v>13704.640950000003</v>
      </c>
    </row>
    <row r="95" spans="2:14" ht="15.75" thickBot="1" x14ac:dyDescent="0.3">
      <c r="B95" s="54"/>
      <c r="C95" s="55"/>
      <c r="D95" s="56"/>
      <c r="E95" s="55"/>
      <c r="F95" s="57"/>
      <c r="G95" s="58"/>
      <c r="H95" s="59"/>
      <c r="I95" s="70">
        <v>0.21</v>
      </c>
      <c r="J95" s="59"/>
      <c r="K95" s="60">
        <v>0.35</v>
      </c>
      <c r="L95" s="59"/>
      <c r="M95" s="60">
        <v>0.45</v>
      </c>
      <c r="N95" s="61"/>
    </row>
    <row r="96" spans="2:14" ht="15.75" thickBot="1" x14ac:dyDescent="0.3">
      <c r="B96" s="24">
        <v>100520837</v>
      </c>
      <c r="C96" s="25" t="s">
        <v>91</v>
      </c>
      <c r="D96" s="18">
        <v>7790360980625</v>
      </c>
      <c r="E96" s="71">
        <v>4.8</v>
      </c>
      <c r="F96" s="20">
        <v>12</v>
      </c>
      <c r="G96" s="77">
        <v>35756.175548589337</v>
      </c>
      <c r="H96" s="39">
        <f>+G96/F96</f>
        <v>2979.6812957157781</v>
      </c>
      <c r="I96" s="40">
        <f>+H96*I$95</f>
        <v>625.73307210031339</v>
      </c>
      <c r="J96" s="38">
        <f>+H96+I96</f>
        <v>3605.4143678160917</v>
      </c>
      <c r="K96" s="71">
        <f>+J96*K$95</f>
        <v>1261.895028735632</v>
      </c>
      <c r="L96" s="20">
        <f>+J96+K96</f>
        <v>4867.3093965517237</v>
      </c>
      <c r="M96" s="48">
        <f>+L96*M$95</f>
        <v>2190.2892284482759</v>
      </c>
      <c r="N96" s="49">
        <f>+L96+M96</f>
        <v>7057.5986249999996</v>
      </c>
    </row>
    <row r="97" spans="2:14" x14ac:dyDescent="0.25">
      <c r="B97" s="39">
        <v>100522395</v>
      </c>
      <c r="C97" s="40" t="s">
        <v>92</v>
      </c>
      <c r="D97" s="74"/>
      <c r="E97" s="71">
        <v>4.8</v>
      </c>
      <c r="F97" s="20">
        <v>12</v>
      </c>
      <c r="G97" s="77">
        <v>36471.292000000001</v>
      </c>
      <c r="H97" s="39">
        <f>+G97/F97</f>
        <v>3039.2743333333333</v>
      </c>
      <c r="I97" s="40">
        <f>+H97*I$95</f>
        <v>638.24761000000001</v>
      </c>
      <c r="J97" s="38">
        <f>+H97+I97</f>
        <v>3677.5219433333332</v>
      </c>
      <c r="K97" s="71">
        <f>+J97*K$95</f>
        <v>1287.1326801666664</v>
      </c>
      <c r="L97" s="20">
        <f>+J97+K97</f>
        <v>4964.6546234999996</v>
      </c>
      <c r="M97" s="48">
        <f>+L97*M$95</f>
        <v>2234.0945805749998</v>
      </c>
      <c r="N97" s="49">
        <f>+L97+M97</f>
        <v>7198.7492040749994</v>
      </c>
    </row>
    <row r="98" spans="2:14" ht="15.75" thickBot="1" x14ac:dyDescent="0.3">
      <c r="B98" s="54"/>
      <c r="C98" s="55"/>
      <c r="D98" s="56"/>
      <c r="E98" s="55"/>
      <c r="F98" s="57"/>
      <c r="G98" s="58"/>
      <c r="H98" s="59"/>
      <c r="I98" s="70">
        <v>0.21</v>
      </c>
      <c r="J98" s="59"/>
      <c r="K98" s="60">
        <v>0.35</v>
      </c>
      <c r="L98" s="59"/>
      <c r="M98" s="60">
        <v>0.45</v>
      </c>
      <c r="N98" s="61"/>
    </row>
    <row r="99" spans="2:14" x14ac:dyDescent="0.25">
      <c r="B99" s="24">
        <v>100520902</v>
      </c>
      <c r="C99" s="25" t="s">
        <v>93</v>
      </c>
      <c r="D99" s="18">
        <v>7790360981042</v>
      </c>
      <c r="E99" s="71">
        <v>9.8000000000000007</v>
      </c>
      <c r="F99" s="20">
        <v>14</v>
      </c>
      <c r="G99" s="77">
        <v>32345.802856147693</v>
      </c>
      <c r="H99" s="39">
        <f>+G99/F99</f>
        <v>2310.4144897248352</v>
      </c>
      <c r="I99" s="40">
        <f>+H99*I$98</f>
        <v>485.18704284221536</v>
      </c>
      <c r="J99" s="38">
        <f>+H99+I99</f>
        <v>2795.6015325670505</v>
      </c>
      <c r="K99" s="71">
        <f>+J99*K$98</f>
        <v>978.46053639846764</v>
      </c>
      <c r="L99" s="20">
        <f>+J99+K99</f>
        <v>3774.0620689655179</v>
      </c>
      <c r="M99" s="48">
        <f>+L99*M$98</f>
        <v>1698.3279310344831</v>
      </c>
      <c r="N99" s="49">
        <f>+L99+M99</f>
        <v>5472.3900000000012</v>
      </c>
    </row>
    <row r="100" spans="2:14" ht="15.75" thickBot="1" x14ac:dyDescent="0.3">
      <c r="B100" s="54"/>
      <c r="C100" s="55"/>
      <c r="D100" s="56"/>
      <c r="E100" s="55"/>
      <c r="F100" s="57"/>
      <c r="G100" s="58"/>
      <c r="H100" s="59"/>
      <c r="I100" s="70">
        <v>0.21</v>
      </c>
      <c r="J100" s="59"/>
      <c r="K100" s="60">
        <v>0.35</v>
      </c>
      <c r="L100" s="59"/>
      <c r="M100" s="60">
        <v>0.45</v>
      </c>
      <c r="N100" s="61"/>
    </row>
    <row r="101" spans="2:14" ht="15.75" thickBot="1" x14ac:dyDescent="0.3">
      <c r="B101" s="24">
        <v>100521457</v>
      </c>
      <c r="C101" s="25" t="s">
        <v>94</v>
      </c>
      <c r="D101" s="18">
        <v>7790360982254</v>
      </c>
      <c r="E101" s="71">
        <v>4.8</v>
      </c>
      <c r="F101" s="20">
        <v>16</v>
      </c>
      <c r="G101" s="77">
        <v>36127.899686520381</v>
      </c>
      <c r="H101" s="39">
        <f>+G101/F101</f>
        <v>2257.9937304075238</v>
      </c>
      <c r="I101" s="40">
        <f>+H101*I$100</f>
        <v>474.17868338557997</v>
      </c>
      <c r="J101" s="38">
        <f>+H101+I101</f>
        <v>2732.1724137931037</v>
      </c>
      <c r="K101" s="71">
        <f>+J101*K$100</f>
        <v>956.26034482758621</v>
      </c>
      <c r="L101" s="20">
        <f>+J101+K101</f>
        <v>3688.43275862069</v>
      </c>
      <c r="M101" s="48">
        <f>+L101*M$100</f>
        <v>1659.7947413793106</v>
      </c>
      <c r="N101" s="49">
        <f>+L101+M101</f>
        <v>5348.2275000000009</v>
      </c>
    </row>
    <row r="102" spans="2:14" ht="15.75" thickBot="1" x14ac:dyDescent="0.3">
      <c r="B102" s="24">
        <v>100521455</v>
      </c>
      <c r="C102" s="25" t="s">
        <v>95</v>
      </c>
      <c r="D102" s="18">
        <v>7790360982247</v>
      </c>
      <c r="E102" s="71">
        <v>4.8</v>
      </c>
      <c r="F102" s="20">
        <v>16</v>
      </c>
      <c r="G102" s="77">
        <v>36127.899686520381</v>
      </c>
      <c r="H102" s="39">
        <f t="shared" ref="H102:H104" si="17">+G102/F102</f>
        <v>2257.9937304075238</v>
      </c>
      <c r="I102" s="40">
        <f t="shared" ref="I102:I104" si="18">+H102*I$100</f>
        <v>474.17868338557997</v>
      </c>
      <c r="J102" s="38">
        <f t="shared" ref="J102:J104" si="19">+H102+I102</f>
        <v>2732.1724137931037</v>
      </c>
      <c r="K102" s="71">
        <f t="shared" ref="K102:K104" si="20">+J102*K$100</f>
        <v>956.26034482758621</v>
      </c>
      <c r="L102" s="20">
        <f t="shared" ref="L102:L104" si="21">+J102+K102</f>
        <v>3688.43275862069</v>
      </c>
      <c r="M102" s="48">
        <f t="shared" ref="M102:M104" si="22">+L102*M$100</f>
        <v>1659.7947413793106</v>
      </c>
      <c r="N102" s="49">
        <f t="shared" ref="N102:N104" si="23">+L102+M102</f>
        <v>5348.2275000000009</v>
      </c>
    </row>
    <row r="103" spans="2:14" ht="15.75" thickBot="1" x14ac:dyDescent="0.3">
      <c r="B103" s="24">
        <v>100521453</v>
      </c>
      <c r="C103" s="25" t="s">
        <v>96</v>
      </c>
      <c r="D103" s="18">
        <v>7790360982223</v>
      </c>
      <c r="E103" s="71">
        <v>5.4</v>
      </c>
      <c r="F103" s="20">
        <v>18</v>
      </c>
      <c r="G103" s="77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x14ac:dyDescent="0.25">
      <c r="B104" s="24">
        <v>100521454</v>
      </c>
      <c r="C104" s="25" t="s">
        <v>97</v>
      </c>
      <c r="D104" s="18">
        <v>7790360982230</v>
      </c>
      <c r="E104" s="71">
        <v>5.3999999999999995</v>
      </c>
      <c r="F104" s="20">
        <v>18</v>
      </c>
      <c r="G104" s="77">
        <v>35563.401253918506</v>
      </c>
      <c r="H104" s="39">
        <f t="shared" si="17"/>
        <v>1975.7445141065837</v>
      </c>
      <c r="I104" s="40">
        <f t="shared" si="18"/>
        <v>414.90634796238254</v>
      </c>
      <c r="J104" s="38">
        <f t="shared" si="19"/>
        <v>2390.650862068966</v>
      </c>
      <c r="K104" s="71">
        <f t="shared" si="20"/>
        <v>836.72780172413809</v>
      </c>
      <c r="L104" s="20">
        <f t="shared" si="21"/>
        <v>3227.3786637931044</v>
      </c>
      <c r="M104" s="48">
        <f t="shared" si="22"/>
        <v>1452.3203987068971</v>
      </c>
      <c r="N104" s="49">
        <f t="shared" si="23"/>
        <v>4679.6990625000017</v>
      </c>
    </row>
    <row r="105" spans="2:14" ht="15.75" thickBot="1" x14ac:dyDescent="0.3">
      <c r="B105" s="54"/>
      <c r="C105" s="55"/>
      <c r="D105" s="56"/>
      <c r="E105" s="55"/>
      <c r="F105" s="57"/>
      <c r="G105" s="58"/>
      <c r="H105" s="59"/>
      <c r="I105" s="70">
        <v>0.21</v>
      </c>
      <c r="J105" s="59"/>
      <c r="K105" s="60">
        <v>0.22</v>
      </c>
      <c r="L105" s="59"/>
      <c r="M105" s="60">
        <v>0.35</v>
      </c>
      <c r="N105" s="61"/>
    </row>
    <row r="106" spans="2:14" ht="15.75" thickBot="1" x14ac:dyDescent="0.3">
      <c r="B106" s="24">
        <v>100522246</v>
      </c>
      <c r="C106" s="25" t="s">
        <v>98</v>
      </c>
      <c r="D106" s="18">
        <v>7790360984234</v>
      </c>
      <c r="E106" s="71">
        <v>8.16</v>
      </c>
      <c r="F106" s="20">
        <v>48</v>
      </c>
      <c r="G106" s="77">
        <v>116812.71733730749</v>
      </c>
      <c r="H106" s="39">
        <f t="shared" ref="H106:H107" si="24">G106/F106</f>
        <v>2433.5982778605726</v>
      </c>
      <c r="I106" s="40">
        <f t="shared" ref="I106:I107" si="25">+H106*I$3</f>
        <v>511.05563835072024</v>
      </c>
      <c r="J106" s="38">
        <f t="shared" ref="J106:J107" si="26">+H106+I106</f>
        <v>2944.6539162112927</v>
      </c>
      <c r="K106" s="71">
        <f t="shared" ref="K106:K107" si="27">+J106*K$39</f>
        <v>647.82386156648442</v>
      </c>
      <c r="L106" s="20">
        <f t="shared" ref="L106:L107" si="28">+J106+K106</f>
        <v>3592.4777777777772</v>
      </c>
      <c r="M106" s="48">
        <f t="shared" ref="M106:M107" si="29">+L106*M$39</f>
        <v>1257.3672222222219</v>
      </c>
      <c r="N106" s="49">
        <f t="shared" ref="N106:N107" si="30">+L106+M106</f>
        <v>4849.8449999999993</v>
      </c>
    </row>
    <row r="107" spans="2:14" x14ac:dyDescent="0.25">
      <c r="B107" s="24">
        <v>100522247</v>
      </c>
      <c r="C107" s="25" t="s">
        <v>99</v>
      </c>
      <c r="D107" s="18">
        <v>7790360984241</v>
      </c>
      <c r="E107" s="71">
        <v>8.16</v>
      </c>
      <c r="F107" s="20">
        <v>48</v>
      </c>
      <c r="G107" s="77">
        <v>116812.71733730749</v>
      </c>
      <c r="H107" s="39">
        <f t="shared" si="24"/>
        <v>2433.5982778605726</v>
      </c>
      <c r="I107" s="40">
        <f t="shared" si="25"/>
        <v>511.05563835072024</v>
      </c>
      <c r="J107" s="38">
        <f t="shared" si="26"/>
        <v>2944.6539162112927</v>
      </c>
      <c r="K107" s="71">
        <f t="shared" si="27"/>
        <v>647.82386156648442</v>
      </c>
      <c r="L107" s="20">
        <f t="shared" si="28"/>
        <v>3592.4777777777772</v>
      </c>
      <c r="M107" s="48">
        <f t="shared" si="29"/>
        <v>1257.3672222222219</v>
      </c>
      <c r="N107" s="49">
        <f t="shared" si="30"/>
        <v>4849.8449999999993</v>
      </c>
    </row>
  </sheetData>
  <conditionalFormatting sqref="B20:C20">
    <cfRule type="cellIs" dxfId="133" priority="21" stopIfTrue="1" operator="equal">
      <formula>0</formula>
    </cfRule>
  </conditionalFormatting>
  <conditionalFormatting sqref="B27:C27">
    <cfRule type="cellIs" dxfId="132" priority="16" stopIfTrue="1" operator="equal">
      <formula>0</formula>
    </cfRule>
  </conditionalFormatting>
  <conditionalFormatting sqref="B97:C97">
    <cfRule type="cellIs" dxfId="131" priority="3" stopIfTrue="1" operator="equal">
      <formula>0</formula>
    </cfRule>
  </conditionalFormatting>
  <conditionalFormatting sqref="B63:D63">
    <cfRule type="cellIs" dxfId="130" priority="19" stopIfTrue="1" operator="equal">
      <formula>0</formula>
    </cfRule>
  </conditionalFormatting>
  <conditionalFormatting sqref="B16:F19">
    <cfRule type="cellIs" dxfId="129" priority="13" stopIfTrue="1" operator="equal">
      <formula>0</formula>
    </cfRule>
  </conditionalFormatting>
  <conditionalFormatting sqref="B69:N69">
    <cfRule type="cellIs" dxfId="128" priority="6" stopIfTrue="1" operator="equal">
      <formula>0</formula>
    </cfRule>
  </conditionalFormatting>
  <conditionalFormatting sqref="B73:N74">
    <cfRule type="cellIs" dxfId="127" priority="5" stopIfTrue="1" operator="equal">
      <formula>0</formula>
    </cfRule>
  </conditionalFormatting>
  <conditionalFormatting sqref="C28">
    <cfRule type="cellIs" dxfId="126" priority="15" stopIfTrue="1" operator="equal">
      <formula>0</formula>
    </cfRule>
  </conditionalFormatting>
  <conditionalFormatting sqref="E20:F20">
    <cfRule type="cellIs" dxfId="125" priority="20" stopIfTrue="1" operator="equal">
      <formula>0</formula>
    </cfRule>
  </conditionalFormatting>
  <conditionalFormatting sqref="E89:F94">
    <cfRule type="cellIs" dxfId="124" priority="14" stopIfTrue="1" operator="equal">
      <formula>0</formula>
    </cfRule>
  </conditionalFormatting>
  <conditionalFormatting sqref="E96:F97">
    <cfRule type="cellIs" dxfId="123" priority="12" stopIfTrue="1" operator="equal">
      <formula>0</formula>
    </cfRule>
  </conditionalFormatting>
  <conditionalFormatting sqref="E99:F99">
    <cfRule type="cellIs" dxfId="122" priority="10" stopIfTrue="1" operator="equal">
      <formula>0</formula>
    </cfRule>
  </conditionalFormatting>
  <conditionalFormatting sqref="E101:F104">
    <cfRule type="cellIs" dxfId="121" priority="8" stopIfTrue="1" operator="equal">
      <formula>0</formula>
    </cfRule>
  </conditionalFormatting>
  <conditionalFormatting sqref="E106:F107">
    <cfRule type="cellIs" dxfId="120" priority="2" stopIfTrue="1" operator="equal">
      <formula>0</formula>
    </cfRule>
  </conditionalFormatting>
  <conditionalFormatting sqref="E58:N61">
    <cfRule type="cellIs" dxfId="119" priority="17" stopIfTrue="1" operator="equal">
      <formula>0</formula>
    </cfRule>
  </conditionalFormatting>
  <conditionalFormatting sqref="G16:N20">
    <cfRule type="cellIs" dxfId="118" priority="18" stopIfTrue="1" operator="equal">
      <formula>0</formula>
    </cfRule>
  </conditionalFormatting>
  <conditionalFormatting sqref="H96:L97">
    <cfRule type="cellIs" dxfId="117" priority="11" stopIfTrue="1" operator="equal">
      <formula>0</formula>
    </cfRule>
  </conditionalFormatting>
  <conditionalFormatting sqref="H99:L99">
    <cfRule type="cellIs" dxfId="116" priority="9" stopIfTrue="1" operator="equal">
      <formula>0</formula>
    </cfRule>
  </conditionalFormatting>
  <conditionalFormatting sqref="H101:L104">
    <cfRule type="cellIs" dxfId="115" priority="7" stopIfTrue="1" operator="equal">
      <formula>0</formula>
    </cfRule>
  </conditionalFormatting>
  <conditionalFormatting sqref="H106:L107">
    <cfRule type="cellIs" dxfId="114" priority="1" stopIfTrue="1" operator="equal">
      <formula>0</formula>
    </cfRule>
  </conditionalFormatting>
  <conditionalFormatting sqref="H90:N94">
    <cfRule type="cellIs" dxfId="113" priority="4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zoomScale="50" zoomScaleNormal="50" workbookViewId="0">
      <pane xSplit="2" ySplit="2" topLeftCell="C3" activePane="bottomRight" state="frozen"/>
      <selection activeCell="C16" sqref="C16"/>
      <selection pane="topRight" activeCell="C16" sqref="C16"/>
      <selection pane="bottomLeft" activeCell="C16" sqref="C16"/>
      <selection pane="bottomRight" activeCell="N16" sqref="A16:XFD16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31.28515625" customWidth="1"/>
    <col min="4" max="4" width="13" customWidth="1"/>
    <col min="5" max="6" width="6.42578125" customWidth="1"/>
    <col min="7" max="7" width="13.5703125" style="4" customWidth="1"/>
    <col min="8" max="13" width="8.7109375" customWidth="1" outlineLevel="1"/>
    <col min="14" max="14" width="8.7109375" style="62" customWidth="1"/>
  </cols>
  <sheetData>
    <row r="1" spans="1:14" s="1" customFormat="1" ht="21.75" customHeight="1" thickBot="1" x14ac:dyDescent="0.25">
      <c r="A1" s="1" t="s">
        <v>0</v>
      </c>
      <c r="N1" s="3"/>
    </row>
    <row r="2" spans="1:14" s="1" customFormat="1" ht="48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5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1:14" s="1" customFormat="1" ht="12" x14ac:dyDescent="0.2">
      <c r="B3" s="10"/>
      <c r="C3" s="11"/>
      <c r="D3" s="12"/>
      <c r="E3" s="11"/>
      <c r="F3" s="11"/>
      <c r="G3" s="76"/>
      <c r="H3" s="13"/>
      <c r="I3" s="14">
        <v>0.21</v>
      </c>
      <c r="J3" s="13"/>
      <c r="K3" s="14">
        <v>0.35</v>
      </c>
      <c r="L3" s="13"/>
      <c r="M3" s="14">
        <v>0.45</v>
      </c>
      <c r="N3" s="15"/>
    </row>
    <row r="4" spans="1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77">
        <v>42095.454545454544</v>
      </c>
      <c r="H4" s="21">
        <f>G4/F4</f>
        <v>1403.1818181818182</v>
      </c>
      <c r="I4" s="21">
        <f>+H4*I$3</f>
        <v>294.66818181818184</v>
      </c>
      <c r="J4" s="21">
        <f>+H4+I4</f>
        <v>1697.8500000000001</v>
      </c>
      <c r="K4" s="21">
        <f>+J4*K$3</f>
        <v>594.24750000000006</v>
      </c>
      <c r="L4" s="21">
        <f>+J4+K4</f>
        <v>2292.0975000000003</v>
      </c>
      <c r="M4" s="21">
        <f>+L4*M$3</f>
        <v>1031.4438750000002</v>
      </c>
      <c r="N4" s="22">
        <f>+L4+M4</f>
        <v>3323.5413750000007</v>
      </c>
    </row>
    <row r="5" spans="1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77">
        <v>50246.627586206909</v>
      </c>
      <c r="H5" s="21">
        <f t="shared" ref="H5:H75" si="0">G5/F5</f>
        <v>2791.4793103448283</v>
      </c>
      <c r="I5" s="21">
        <f t="shared" ref="I5:I77" si="1">+H5*I$3</f>
        <v>586.21065517241391</v>
      </c>
      <c r="J5" s="21">
        <f t="shared" ref="J5:J77" si="2">+H5+I5</f>
        <v>3377.6899655172419</v>
      </c>
      <c r="K5" s="21">
        <f t="shared" ref="K5:K77" si="3">+J5*K$3</f>
        <v>1182.1914879310345</v>
      </c>
      <c r="L5" s="21">
        <f t="shared" ref="L5:L77" si="4">+J5+K5</f>
        <v>4559.8814534482763</v>
      </c>
      <c r="M5" s="21">
        <f t="shared" ref="M5:M77" si="5">+L5*M$3</f>
        <v>2051.9466540517242</v>
      </c>
      <c r="N5" s="22">
        <f t="shared" ref="N5:N77" si="6">+L5+M5</f>
        <v>6611.8281075000004</v>
      </c>
    </row>
    <row r="6" spans="1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77">
        <v>63645.728275862086</v>
      </c>
      <c r="H6" s="21">
        <f t="shared" si="0"/>
        <v>7955.7160344827607</v>
      </c>
      <c r="I6" s="21">
        <f t="shared" si="1"/>
        <v>1670.7003672413796</v>
      </c>
      <c r="J6" s="21">
        <f t="shared" si="2"/>
        <v>9626.4164017241401</v>
      </c>
      <c r="K6" s="21">
        <f t="shared" si="3"/>
        <v>3369.2457406034487</v>
      </c>
      <c r="L6" s="21">
        <f t="shared" si="4"/>
        <v>12995.662142327588</v>
      </c>
      <c r="M6" s="21">
        <f t="shared" si="5"/>
        <v>5848.047964047415</v>
      </c>
      <c r="N6" s="22">
        <f t="shared" si="6"/>
        <v>18843.710106375001</v>
      </c>
    </row>
    <row r="7" spans="1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77">
        <v>77882.272758620704</v>
      </c>
      <c r="H7" s="21">
        <f t="shared" si="0"/>
        <v>12980.378793103451</v>
      </c>
      <c r="I7" s="21">
        <f t="shared" si="1"/>
        <v>2725.8795465517246</v>
      </c>
      <c r="J7" s="21">
        <f t="shared" si="2"/>
        <v>15706.258339655176</v>
      </c>
      <c r="K7" s="21">
        <f t="shared" si="3"/>
        <v>5497.1904188793114</v>
      </c>
      <c r="L7" s="21">
        <f t="shared" si="4"/>
        <v>21203.448758534487</v>
      </c>
      <c r="M7" s="21">
        <f t="shared" si="5"/>
        <v>9541.55194134052</v>
      </c>
      <c r="N7" s="22">
        <f t="shared" si="6"/>
        <v>30745.000699875007</v>
      </c>
    </row>
    <row r="8" spans="1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77">
        <v>55271.290344827605</v>
      </c>
      <c r="H8" s="21">
        <f t="shared" si="0"/>
        <v>3070.6272413793113</v>
      </c>
      <c r="I8" s="21">
        <f t="shared" si="1"/>
        <v>644.8317206896553</v>
      </c>
      <c r="J8" s="21">
        <f t="shared" si="2"/>
        <v>3715.4589620689667</v>
      </c>
      <c r="K8" s="21">
        <f t="shared" si="3"/>
        <v>1300.4106367241382</v>
      </c>
      <c r="L8" s="21">
        <f t="shared" si="4"/>
        <v>5015.8695987931051</v>
      </c>
      <c r="M8" s="21">
        <f t="shared" si="5"/>
        <v>2257.1413194568972</v>
      </c>
      <c r="N8" s="22">
        <f t="shared" si="6"/>
        <v>7273.0109182500019</v>
      </c>
    </row>
    <row r="9" spans="1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77">
        <v>47534.511197250016</v>
      </c>
      <c r="H9" s="21">
        <f t="shared" si="0"/>
        <v>2640.8061776250011</v>
      </c>
      <c r="I9" s="21">
        <f t="shared" si="1"/>
        <v>554.56929730125023</v>
      </c>
      <c r="J9" s="21">
        <f t="shared" si="2"/>
        <v>3195.3754749262512</v>
      </c>
      <c r="K9" s="21">
        <f t="shared" si="3"/>
        <v>1118.3814162241879</v>
      </c>
      <c r="L9" s="21">
        <f t="shared" si="4"/>
        <v>4313.7568911504386</v>
      </c>
      <c r="M9" s="21">
        <f t="shared" si="5"/>
        <v>1941.1906010176974</v>
      </c>
      <c r="N9" s="22">
        <f t="shared" si="6"/>
        <v>6254.9474921681358</v>
      </c>
    </row>
    <row r="10" spans="1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77">
        <v>35781.136363636375</v>
      </c>
      <c r="H10" s="21">
        <f>G10/F10</f>
        <v>1192.7045454545457</v>
      </c>
      <c r="I10" s="21">
        <f>+H10*I$3</f>
        <v>250.4679545454546</v>
      </c>
      <c r="J10" s="21">
        <f>+H10+I10</f>
        <v>1443.1725000000004</v>
      </c>
      <c r="K10" s="21">
        <f>+J10*K$3</f>
        <v>505.11037500000009</v>
      </c>
      <c r="L10" s="21">
        <f>+J10+K10</f>
        <v>1948.2828750000003</v>
      </c>
      <c r="M10" s="21">
        <f>+L10*M$3</f>
        <v>876.72729375000017</v>
      </c>
      <c r="N10" s="22">
        <f>+L10+M10</f>
        <v>2825.0101687500005</v>
      </c>
    </row>
    <row r="11" spans="1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77">
        <v>22569.550532915364</v>
      </c>
      <c r="H11" s="21">
        <f t="shared" si="0"/>
        <v>1880.7958777429469</v>
      </c>
      <c r="I11" s="21">
        <f t="shared" si="1"/>
        <v>394.96713432601882</v>
      </c>
      <c r="J11" s="21">
        <f t="shared" si="2"/>
        <v>2275.7630120689655</v>
      </c>
      <c r="K11" s="21">
        <f t="shared" si="3"/>
        <v>796.51705422413784</v>
      </c>
      <c r="L11" s="21">
        <f t="shared" si="4"/>
        <v>3072.2800662931031</v>
      </c>
      <c r="M11" s="21">
        <f t="shared" si="5"/>
        <v>1382.5260298318965</v>
      </c>
      <c r="N11" s="22">
        <f t="shared" si="6"/>
        <v>4454.8060961249994</v>
      </c>
    </row>
    <row r="12" spans="1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77">
        <v>50238.524884638493</v>
      </c>
      <c r="H12" s="21">
        <f t="shared" si="0"/>
        <v>6279.8156105798116</v>
      </c>
      <c r="I12" s="21">
        <f t="shared" si="1"/>
        <v>1318.7612782217604</v>
      </c>
      <c r="J12" s="21">
        <f t="shared" si="2"/>
        <v>7598.5768888015718</v>
      </c>
      <c r="K12" s="21">
        <f t="shared" si="3"/>
        <v>2659.5019110805501</v>
      </c>
      <c r="L12" s="21">
        <f t="shared" si="4"/>
        <v>10258.078799882122</v>
      </c>
      <c r="M12" s="21">
        <f t="shared" si="5"/>
        <v>4616.1354599469551</v>
      </c>
      <c r="N12" s="22">
        <f t="shared" si="6"/>
        <v>14874.214259829077</v>
      </c>
    </row>
    <row r="13" spans="1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77">
        <v>35823.522131661455</v>
      </c>
      <c r="H13" s="21">
        <f t="shared" si="0"/>
        <v>852.94100313479657</v>
      </c>
      <c r="I13" s="21">
        <f t="shared" si="1"/>
        <v>179.11761065830729</v>
      </c>
      <c r="J13" s="21">
        <f t="shared" si="2"/>
        <v>1032.0586137931039</v>
      </c>
      <c r="K13" s="21">
        <f t="shared" si="3"/>
        <v>361.22051482758633</v>
      </c>
      <c r="L13" s="21">
        <f t="shared" si="4"/>
        <v>1393.2791286206902</v>
      </c>
      <c r="M13" s="21">
        <f t="shared" si="5"/>
        <v>626.97560787931059</v>
      </c>
      <c r="N13" s="22">
        <f t="shared" si="6"/>
        <v>2020.2547365000009</v>
      </c>
    </row>
    <row r="14" spans="1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77">
        <v>37144.938767515639</v>
      </c>
      <c r="H14" s="21">
        <f t="shared" si="0"/>
        <v>1768.8066079769353</v>
      </c>
      <c r="I14" s="21">
        <f t="shared" si="1"/>
        <v>371.4493876751564</v>
      </c>
      <c r="J14" s="21">
        <f t="shared" si="2"/>
        <v>2140.2559956520918</v>
      </c>
      <c r="K14" s="21">
        <f t="shared" si="3"/>
        <v>749.08959847823212</v>
      </c>
      <c r="L14" s="21">
        <f t="shared" si="4"/>
        <v>2889.3455941303237</v>
      </c>
      <c r="M14" s="21">
        <f t="shared" si="5"/>
        <v>1300.2055173586457</v>
      </c>
      <c r="N14" s="22">
        <f t="shared" si="6"/>
        <v>4189.5511114889696</v>
      </c>
    </row>
    <row r="15" spans="1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77">
        <v>66747.907523510992</v>
      </c>
      <c r="H15" s="21">
        <f t="shared" si="0"/>
        <v>2224.9302507836996</v>
      </c>
      <c r="I15" s="21">
        <f t="shared" si="1"/>
        <v>467.23535266457691</v>
      </c>
      <c r="J15" s="21">
        <f t="shared" si="2"/>
        <v>2692.1656034482767</v>
      </c>
      <c r="K15" s="21">
        <f t="shared" si="3"/>
        <v>942.25796120689677</v>
      </c>
      <c r="L15" s="21">
        <f t="shared" si="4"/>
        <v>3634.4235646551733</v>
      </c>
      <c r="M15" s="21">
        <f t="shared" si="5"/>
        <v>1635.4906040948281</v>
      </c>
      <c r="N15" s="22">
        <f t="shared" si="6"/>
        <v>5269.9141687500014</v>
      </c>
    </row>
    <row r="16" spans="1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77">
        <v>58215.522084256496</v>
      </c>
      <c r="H16" s="21">
        <f t="shared" si="0"/>
        <v>2425.6467535106872</v>
      </c>
      <c r="I16" s="21">
        <f t="shared" si="1"/>
        <v>509.38581823724428</v>
      </c>
      <c r="J16" s="21">
        <f t="shared" si="2"/>
        <v>2935.0325717479313</v>
      </c>
      <c r="K16" s="21">
        <f t="shared" si="3"/>
        <v>1027.2614001117759</v>
      </c>
      <c r="L16" s="21">
        <f t="shared" si="4"/>
        <v>3962.2939718597072</v>
      </c>
      <c r="M16" s="21">
        <f t="shared" si="5"/>
        <v>1783.0322873368682</v>
      </c>
      <c r="N16" s="22">
        <f t="shared" si="6"/>
        <v>5745.3262591965758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77">
        <v>64264.025194058624</v>
      </c>
      <c r="H17" s="21">
        <f>G17/F17</f>
        <v>1785.1118109460729</v>
      </c>
      <c r="I17" s="21">
        <f>+H17*I$3</f>
        <v>374.8734802986753</v>
      </c>
      <c r="J17" s="21">
        <f>+H17+I17</f>
        <v>2159.9852912447482</v>
      </c>
      <c r="K17" s="21">
        <f>+J17*K$3</f>
        <v>755.99485193566181</v>
      </c>
      <c r="L17" s="21">
        <f>+J17+K17</f>
        <v>2915.9801431804099</v>
      </c>
      <c r="M17" s="21">
        <f>+L17*M$3</f>
        <v>1312.1910644311845</v>
      </c>
      <c r="N17" s="22">
        <f>+L17+M17</f>
        <v>4228.1712076115946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77">
        <v>51472.632736841813</v>
      </c>
      <c r="H18" s="21">
        <f t="shared" si="0"/>
        <v>2859.5907076023232</v>
      </c>
      <c r="I18" s="21">
        <f t="shared" si="1"/>
        <v>600.5140485964879</v>
      </c>
      <c r="J18" s="21">
        <f t="shared" si="2"/>
        <v>3460.1047561988112</v>
      </c>
      <c r="K18" s="21">
        <f t="shared" si="3"/>
        <v>1211.0366646695838</v>
      </c>
      <c r="L18" s="21">
        <f t="shared" si="4"/>
        <v>4671.1414208683946</v>
      </c>
      <c r="M18" s="21">
        <f t="shared" si="5"/>
        <v>2102.0136393907778</v>
      </c>
      <c r="N18" s="22">
        <f t="shared" si="6"/>
        <v>6773.1550602591724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>
        <v>4.7039999999999997</v>
      </c>
      <c r="F19" s="20">
        <v>42</v>
      </c>
      <c r="G19" s="77">
        <v>21408.339397459171</v>
      </c>
      <c r="H19" s="21">
        <f t="shared" si="0"/>
        <v>509.72236660617074</v>
      </c>
      <c r="I19" s="21">
        <f t="shared" si="1"/>
        <v>107.04169698729585</v>
      </c>
      <c r="J19" s="21">
        <f t="shared" si="2"/>
        <v>616.76406359346663</v>
      </c>
      <c r="K19" s="26">
        <f>+J19*0.33</f>
        <v>203.53214098584399</v>
      </c>
      <c r="L19" s="21">
        <f t="shared" si="4"/>
        <v>820.2962045793106</v>
      </c>
      <c r="M19" s="21">
        <f t="shared" si="5"/>
        <v>369.13329206068977</v>
      </c>
      <c r="N19" s="22">
        <f t="shared" si="6"/>
        <v>1189.4294966400003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77">
        <v>16919.856261343019</v>
      </c>
      <c r="H20" s="21">
        <f t="shared" si="0"/>
        <v>1409.9880217785849</v>
      </c>
      <c r="I20" s="21">
        <f t="shared" si="1"/>
        <v>296.09748457350281</v>
      </c>
      <c r="J20" s="21">
        <f t="shared" si="2"/>
        <v>1706.0855063520876</v>
      </c>
      <c r="K20" s="26">
        <f>+J20*0.3</f>
        <v>511.82565190562627</v>
      </c>
      <c r="L20" s="21">
        <f t="shared" si="4"/>
        <v>2217.9111582577139</v>
      </c>
      <c r="M20" s="21">
        <f t="shared" si="5"/>
        <v>998.06002121597123</v>
      </c>
      <c r="N20" s="22">
        <f t="shared" si="6"/>
        <v>3215.971179473685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77">
        <v>49626.339146237136</v>
      </c>
      <c r="H21" s="21">
        <f t="shared" si="0"/>
        <v>827.10565243728558</v>
      </c>
      <c r="I21" s="21">
        <f t="shared" si="1"/>
        <v>173.69218701182996</v>
      </c>
      <c r="J21" s="21">
        <f t="shared" si="2"/>
        <v>1000.7978394491156</v>
      </c>
      <c r="K21" s="21">
        <f t="shared" si="3"/>
        <v>350.27924380719043</v>
      </c>
      <c r="L21" s="21">
        <f t="shared" si="4"/>
        <v>1351.077083256306</v>
      </c>
      <c r="M21" s="21">
        <f t="shared" si="5"/>
        <v>607.98468746533774</v>
      </c>
      <c r="N21" s="22">
        <f t="shared" si="6"/>
        <v>1959.0617707216438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77">
        <v>40819.691017110214</v>
      </c>
      <c r="H22" s="21">
        <f t="shared" si="0"/>
        <v>680.32818361850354</v>
      </c>
      <c r="I22" s="21">
        <f t="shared" si="1"/>
        <v>142.86891855988574</v>
      </c>
      <c r="J22" s="21">
        <f t="shared" si="2"/>
        <v>823.19710217838929</v>
      </c>
      <c r="K22" s="21">
        <f t="shared" si="3"/>
        <v>288.11898576243624</v>
      </c>
      <c r="L22" s="21">
        <f t="shared" si="4"/>
        <v>1111.3160879408256</v>
      </c>
      <c r="M22" s="21">
        <f t="shared" si="5"/>
        <v>500.0922395733715</v>
      </c>
      <c r="N22" s="22">
        <f t="shared" si="6"/>
        <v>1611.408327514197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77">
        <v>37145.687394326778</v>
      </c>
      <c r="H23" s="21">
        <f t="shared" si="0"/>
        <v>619.09478990544631</v>
      </c>
      <c r="I23" s="21">
        <f t="shared" si="1"/>
        <v>130.00990588014372</v>
      </c>
      <c r="J23" s="21">
        <f t="shared" si="2"/>
        <v>749.10469578559002</v>
      </c>
      <c r="K23" s="21">
        <f t="shared" si="3"/>
        <v>262.18664352495648</v>
      </c>
      <c r="L23" s="21">
        <f t="shared" si="4"/>
        <v>1011.2913393105465</v>
      </c>
      <c r="M23" s="21">
        <f t="shared" si="5"/>
        <v>455.08110268974593</v>
      </c>
      <c r="N23" s="22">
        <f t="shared" si="6"/>
        <v>1466.3724420002925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77">
        <v>43067.486364223187</v>
      </c>
      <c r="H24" s="21">
        <f t="shared" si="0"/>
        <v>717.79143940371978</v>
      </c>
      <c r="I24" s="21">
        <f t="shared" si="1"/>
        <v>150.73620227478114</v>
      </c>
      <c r="J24" s="21">
        <f t="shared" si="2"/>
        <v>868.52764167850091</v>
      </c>
      <c r="K24" s="21">
        <f t="shared" si="3"/>
        <v>303.9846745874753</v>
      </c>
      <c r="L24" s="21">
        <f t="shared" si="4"/>
        <v>1172.5123162659761</v>
      </c>
      <c r="M24" s="21">
        <f t="shared" si="5"/>
        <v>527.63054231968931</v>
      </c>
      <c r="N24" s="22">
        <f t="shared" si="6"/>
        <v>1700.1428585856654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77">
        <v>61555.914425525334</v>
      </c>
      <c r="H25" s="21">
        <f t="shared" si="0"/>
        <v>1025.931907092089</v>
      </c>
      <c r="I25" s="21">
        <f t="shared" si="1"/>
        <v>215.44570048933869</v>
      </c>
      <c r="J25" s="21">
        <f t="shared" si="2"/>
        <v>1241.3776075814276</v>
      </c>
      <c r="K25" s="21">
        <f t="shared" si="3"/>
        <v>434.48216265349964</v>
      </c>
      <c r="L25" s="21">
        <f t="shared" si="4"/>
        <v>1675.8597702349273</v>
      </c>
      <c r="M25" s="21">
        <f t="shared" si="5"/>
        <v>754.13689660571731</v>
      </c>
      <c r="N25" s="22">
        <f t="shared" si="6"/>
        <v>2429.9966668406446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77">
        <v>142421.28313239696</v>
      </c>
      <c r="H26" s="21">
        <f t="shared" si="0"/>
        <v>2967.11006525827</v>
      </c>
      <c r="I26" s="21">
        <f t="shared" si="1"/>
        <v>623.09311370423666</v>
      </c>
      <c r="J26" s="21">
        <f t="shared" si="2"/>
        <v>3590.2031789625066</v>
      </c>
      <c r="K26" s="21">
        <f t="shared" si="3"/>
        <v>1256.5711126368772</v>
      </c>
      <c r="L26" s="21">
        <f t="shared" si="4"/>
        <v>4846.774291599384</v>
      </c>
      <c r="M26" s="21">
        <f t="shared" si="5"/>
        <v>2181.0484312197227</v>
      </c>
      <c r="N26" s="22">
        <f t="shared" si="6"/>
        <v>7027.8227228191063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77">
        <v>70960.925217472512</v>
      </c>
      <c r="H27" s="21">
        <f t="shared" si="0"/>
        <v>1971.1368115964588</v>
      </c>
      <c r="I27" s="21">
        <f t="shared" si="1"/>
        <v>413.93873043525633</v>
      </c>
      <c r="J27" s="21">
        <f t="shared" si="2"/>
        <v>2385.075542031715</v>
      </c>
      <c r="K27" s="21">
        <f t="shared" si="3"/>
        <v>834.77643971110024</v>
      </c>
      <c r="L27" s="21">
        <f t="shared" si="4"/>
        <v>3219.851981742815</v>
      </c>
      <c r="M27" s="21">
        <f t="shared" si="5"/>
        <v>1448.9333917842669</v>
      </c>
      <c r="N27" s="22">
        <f t="shared" si="6"/>
        <v>4668.7853735270819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77">
        <v>55247.02390160058</v>
      </c>
      <c r="H28" s="21">
        <f t="shared" si="0"/>
        <v>1841.5674633866861</v>
      </c>
      <c r="I28" s="21">
        <f t="shared" si="1"/>
        <v>386.72916731120404</v>
      </c>
      <c r="J28" s="21">
        <f t="shared" si="2"/>
        <v>2228.2966306978901</v>
      </c>
      <c r="K28" s="21">
        <f t="shared" si="3"/>
        <v>779.90382074426145</v>
      </c>
      <c r="L28" s="21">
        <f t="shared" si="4"/>
        <v>3008.2004514421515</v>
      </c>
      <c r="M28" s="21">
        <f t="shared" si="5"/>
        <v>1353.6902031489683</v>
      </c>
      <c r="N28" s="22">
        <f t="shared" si="6"/>
        <v>4361.8906545911195</v>
      </c>
    </row>
    <row r="29" spans="2:14" x14ac:dyDescent="0.25">
      <c r="B29" s="30"/>
      <c r="C29" s="31"/>
      <c r="D29" s="32"/>
      <c r="E29" s="31"/>
      <c r="F29" s="33"/>
      <c r="G29" s="78" t="e">
        <v>#VALUE!</v>
      </c>
      <c r="H29" s="35" t="e">
        <f t="shared" si="0"/>
        <v>#VALUE!</v>
      </c>
      <c r="I29" s="36">
        <v>0.21</v>
      </c>
      <c r="J29" s="35"/>
      <c r="K29" s="36">
        <v>0.35</v>
      </c>
      <c r="L29" s="35"/>
      <c r="M29" s="36">
        <v>0.45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77">
        <v>21943.573667711596</v>
      </c>
      <c r="H30" s="21">
        <f t="shared" si="0"/>
        <v>914.31556948798323</v>
      </c>
      <c r="I30" s="21">
        <f t="shared" si="1"/>
        <v>192.00626959247646</v>
      </c>
      <c r="J30" s="21">
        <f t="shared" si="2"/>
        <v>1106.3218390804598</v>
      </c>
      <c r="K30" s="21">
        <f t="shared" si="3"/>
        <v>387.21264367816087</v>
      </c>
      <c r="L30" s="21">
        <f t="shared" si="4"/>
        <v>1493.5344827586207</v>
      </c>
      <c r="M30" s="21">
        <f t="shared" si="5"/>
        <v>672.0905172413793</v>
      </c>
      <c r="N30" s="22">
        <f t="shared" si="6"/>
        <v>2165.625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77">
        <v>21943.573667711596</v>
      </c>
      <c r="H31" s="21">
        <f t="shared" si="0"/>
        <v>914.31556948798323</v>
      </c>
      <c r="I31" s="21">
        <f t="shared" si="1"/>
        <v>192.00626959247646</v>
      </c>
      <c r="J31" s="21">
        <f t="shared" si="2"/>
        <v>1106.3218390804598</v>
      </c>
      <c r="K31" s="21">
        <f t="shared" si="3"/>
        <v>387.21264367816087</v>
      </c>
      <c r="L31" s="21">
        <f t="shared" si="4"/>
        <v>1493.5344827586207</v>
      </c>
      <c r="M31" s="21">
        <f t="shared" si="5"/>
        <v>672.0905172413793</v>
      </c>
      <c r="N31" s="22">
        <f t="shared" si="6"/>
        <v>2165.625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77">
        <v>20849.042145593874</v>
      </c>
      <c r="H32" s="21">
        <f t="shared" si="0"/>
        <v>1737.4201787994896</v>
      </c>
      <c r="I32" s="21">
        <f t="shared" si="1"/>
        <v>364.85823754789277</v>
      </c>
      <c r="J32" s="21">
        <f t="shared" si="2"/>
        <v>2102.2784163473825</v>
      </c>
      <c r="K32" s="21">
        <f t="shared" si="3"/>
        <v>735.79744572158381</v>
      </c>
      <c r="L32" s="21">
        <f t="shared" si="4"/>
        <v>2838.0758620689662</v>
      </c>
      <c r="M32" s="21">
        <f t="shared" si="5"/>
        <v>1277.1341379310347</v>
      </c>
      <c r="N32" s="22">
        <f t="shared" si="6"/>
        <v>4115.2100000000009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77">
        <v>20849.042145593874</v>
      </c>
      <c r="H33" s="21">
        <f t="shared" si="0"/>
        <v>1737.4201787994896</v>
      </c>
      <c r="I33" s="21">
        <f t="shared" si="1"/>
        <v>364.85823754789277</v>
      </c>
      <c r="J33" s="21">
        <f t="shared" si="2"/>
        <v>2102.2784163473825</v>
      </c>
      <c r="K33" s="21">
        <f t="shared" si="3"/>
        <v>735.79744572158381</v>
      </c>
      <c r="L33" s="21">
        <f t="shared" si="4"/>
        <v>2838.0758620689662</v>
      </c>
      <c r="M33" s="21">
        <f t="shared" si="5"/>
        <v>1277.1341379310347</v>
      </c>
      <c r="N33" s="22">
        <f t="shared" si="6"/>
        <v>4115.2100000000009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77">
        <v>17554.858934169279</v>
      </c>
      <c r="H34" s="21">
        <f t="shared" si="0"/>
        <v>731.45245559038665</v>
      </c>
      <c r="I34" s="21">
        <f t="shared" si="1"/>
        <v>153.6050156739812</v>
      </c>
      <c r="J34" s="21">
        <f t="shared" si="2"/>
        <v>885.0574712643679</v>
      </c>
      <c r="K34" s="21">
        <f t="shared" si="3"/>
        <v>309.77011494252872</v>
      </c>
      <c r="L34" s="21">
        <f t="shared" si="4"/>
        <v>1194.8275862068967</v>
      </c>
      <c r="M34" s="21">
        <f t="shared" si="5"/>
        <v>537.6724137931036</v>
      </c>
      <c r="N34" s="22">
        <f t="shared" si="6"/>
        <v>1732.5000000000005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77">
        <v>56522.212166469973</v>
      </c>
      <c r="H35" s="21">
        <f t="shared" si="0"/>
        <v>5652.2212166469972</v>
      </c>
      <c r="I35" s="21">
        <f t="shared" si="1"/>
        <v>1186.9664554958695</v>
      </c>
      <c r="J35" s="21">
        <f t="shared" si="2"/>
        <v>6839.1876721428671</v>
      </c>
      <c r="K35" s="21">
        <f t="shared" si="3"/>
        <v>2393.7156852500034</v>
      </c>
      <c r="L35" s="21">
        <f t="shared" si="4"/>
        <v>9232.90335739287</v>
      </c>
      <c r="M35" s="21">
        <f t="shared" si="5"/>
        <v>4154.806510826792</v>
      </c>
      <c r="N35" s="22">
        <f t="shared" si="6"/>
        <v>13387.709868219663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77">
        <v>56522.212166469973</v>
      </c>
      <c r="H36" s="21">
        <f t="shared" si="0"/>
        <v>5652.2212166469972</v>
      </c>
      <c r="I36" s="21">
        <f t="shared" si="1"/>
        <v>1186.9664554958695</v>
      </c>
      <c r="J36" s="21">
        <f t="shared" si="2"/>
        <v>6839.1876721428671</v>
      </c>
      <c r="K36" s="21">
        <f t="shared" si="3"/>
        <v>2393.7156852500034</v>
      </c>
      <c r="L36" s="21">
        <f t="shared" si="4"/>
        <v>9232.90335739287</v>
      </c>
      <c r="M36" s="21">
        <f t="shared" si="5"/>
        <v>4154.806510826792</v>
      </c>
      <c r="N36" s="22">
        <f t="shared" si="6"/>
        <v>13387.709868219663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77">
        <v>17361.948396431158</v>
      </c>
      <c r="H37" s="21">
        <f t="shared" si="0"/>
        <v>723.4145165179649</v>
      </c>
      <c r="I37" s="21">
        <f t="shared" si="1"/>
        <v>151.91704846877263</v>
      </c>
      <c r="J37" s="21">
        <f t="shared" si="2"/>
        <v>875.33156498673748</v>
      </c>
      <c r="K37" s="26">
        <f t="shared" si="3"/>
        <v>306.36604774535812</v>
      </c>
      <c r="L37" s="21">
        <f t="shared" si="4"/>
        <v>1181.6976127320956</v>
      </c>
      <c r="M37" s="21">
        <f t="shared" si="5"/>
        <v>531.76392572944303</v>
      </c>
      <c r="N37" s="22">
        <f t="shared" si="6"/>
        <v>1713.4615384615386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77">
        <v>68929.52703228037</v>
      </c>
      <c r="H38" s="21">
        <f t="shared" si="0"/>
        <v>6892.9527032280366</v>
      </c>
      <c r="I38" s="21">
        <f t="shared" si="1"/>
        <v>1447.5200676778877</v>
      </c>
      <c r="J38" s="21">
        <f t="shared" si="2"/>
        <v>8340.4727709059243</v>
      </c>
      <c r="K38" s="21">
        <f t="shared" si="3"/>
        <v>2919.1654698170732</v>
      </c>
      <c r="L38" s="21">
        <f t="shared" si="4"/>
        <v>11259.638240722998</v>
      </c>
      <c r="M38" s="21">
        <f t="shared" si="5"/>
        <v>5066.8372083253489</v>
      </c>
      <c r="N38" s="22">
        <f t="shared" si="6"/>
        <v>16326.475449048346</v>
      </c>
    </row>
    <row r="39" spans="2:14" x14ac:dyDescent="0.25">
      <c r="B39" s="30"/>
      <c r="C39" s="31"/>
      <c r="D39" s="32"/>
      <c r="E39" s="31"/>
      <c r="F39" s="33"/>
      <c r="G39" s="78" t="e">
        <v>#VALUE!</v>
      </c>
      <c r="H39" s="35" t="e">
        <f t="shared" si="0"/>
        <v>#VALUE!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77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77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/>
      <c r="E42" s="19">
        <v>2.16</v>
      </c>
      <c r="F42" s="20">
        <v>24</v>
      </c>
      <c r="G42" s="77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/>
      <c r="E43" s="19">
        <v>2.16</v>
      </c>
      <c r="F43" s="20">
        <v>24</v>
      </c>
      <c r="G43" s="77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77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77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77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77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77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77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77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77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77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77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77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77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77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33"/>
      <c r="H57" s="35" t="e">
        <f t="shared" si="0"/>
        <v>#DIV/0!</v>
      </c>
      <c r="I57" s="36">
        <v>0.21</v>
      </c>
      <c r="J57" s="35"/>
      <c r="K57" s="36">
        <v>0.35</v>
      </c>
      <c r="L57" s="35"/>
      <c r="M57" s="36">
        <v>0.45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77">
        <v>24981.412853306629</v>
      </c>
      <c r="H58" s="21">
        <f t="shared" si="0"/>
        <v>1249.0706426653314</v>
      </c>
      <c r="I58" s="21">
        <f t="shared" si="1"/>
        <v>262.30483495971959</v>
      </c>
      <c r="J58" s="21">
        <f t="shared" si="2"/>
        <v>1511.375477625051</v>
      </c>
      <c r="K58" s="21">
        <f t="shared" si="3"/>
        <v>528.98141716876785</v>
      </c>
      <c r="L58" s="21">
        <f t="shared" si="4"/>
        <v>2040.3568947938188</v>
      </c>
      <c r="M58" s="21">
        <f t="shared" si="5"/>
        <v>918.16060265721853</v>
      </c>
      <c r="N58" s="22">
        <f t="shared" si="6"/>
        <v>2958.5174974510373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77">
        <v>39461.633741452031</v>
      </c>
      <c r="H59" s="21">
        <f t="shared" si="0"/>
        <v>1973.0816870726017</v>
      </c>
      <c r="I59" s="21">
        <f t="shared" si="1"/>
        <v>414.34715428524635</v>
      </c>
      <c r="J59" s="21">
        <f t="shared" si="2"/>
        <v>2387.4288413578479</v>
      </c>
      <c r="K59" s="21">
        <f t="shared" si="3"/>
        <v>835.60009447524669</v>
      </c>
      <c r="L59" s="21">
        <f t="shared" si="4"/>
        <v>3223.0289358330947</v>
      </c>
      <c r="M59" s="21">
        <f t="shared" si="5"/>
        <v>1450.3630211248926</v>
      </c>
      <c r="N59" s="22">
        <f t="shared" si="6"/>
        <v>4673.3919569579875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77">
        <v>39461.633741452031</v>
      </c>
      <c r="H60" s="21">
        <f t="shared" si="0"/>
        <v>1973.0816870726017</v>
      </c>
      <c r="I60" s="21">
        <f t="shared" si="1"/>
        <v>414.34715428524635</v>
      </c>
      <c r="J60" s="21">
        <f t="shared" si="2"/>
        <v>2387.4288413578479</v>
      </c>
      <c r="K60" s="21">
        <f t="shared" si="3"/>
        <v>835.60009447524669</v>
      </c>
      <c r="L60" s="21">
        <f t="shared" si="4"/>
        <v>3223.0289358330947</v>
      </c>
      <c r="M60" s="21">
        <f t="shared" si="5"/>
        <v>1450.3630211248926</v>
      </c>
      <c r="N60" s="22">
        <f t="shared" si="6"/>
        <v>4673.3919569579875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77">
        <v>39461.633741452031</v>
      </c>
      <c r="H61" s="21">
        <f t="shared" si="0"/>
        <v>1973.0816870726017</v>
      </c>
      <c r="I61" s="21">
        <f t="shared" si="1"/>
        <v>414.34715428524635</v>
      </c>
      <c r="J61" s="21">
        <f t="shared" si="2"/>
        <v>2387.4288413578479</v>
      </c>
      <c r="K61" s="21">
        <f t="shared" si="3"/>
        <v>835.60009447524669</v>
      </c>
      <c r="L61" s="21">
        <f t="shared" si="4"/>
        <v>3223.0289358330947</v>
      </c>
      <c r="M61" s="21">
        <f t="shared" si="5"/>
        <v>1450.3630211248926</v>
      </c>
      <c r="N61" s="22">
        <f t="shared" si="6"/>
        <v>4673.3919569579875</v>
      </c>
    </row>
    <row r="62" spans="2:14" x14ac:dyDescent="0.25">
      <c r="B62" s="30"/>
      <c r="C62" s="31"/>
      <c r="D62" s="32"/>
      <c r="E62" s="31"/>
      <c r="F62" s="33"/>
      <c r="G62" s="33"/>
      <c r="H62" s="35" t="e">
        <f t="shared" si="0"/>
        <v>#DIV/0!</v>
      </c>
      <c r="I62" s="36">
        <v>0.21</v>
      </c>
      <c r="J62" s="35"/>
      <c r="K62" s="36">
        <v>0.35</v>
      </c>
      <c r="L62" s="35"/>
      <c r="M62" s="36">
        <v>0.45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77">
        <v>36085.605667991877</v>
      </c>
      <c r="H63" s="21">
        <f t="shared" si="0"/>
        <v>3007.1338056659897</v>
      </c>
      <c r="I63" s="21">
        <f t="shared" si="1"/>
        <v>631.49809918985784</v>
      </c>
      <c r="J63" s="21">
        <f t="shared" si="2"/>
        <v>3638.6319048558476</v>
      </c>
      <c r="K63" s="21">
        <f t="shared" si="3"/>
        <v>1273.5211666995465</v>
      </c>
      <c r="L63" s="21">
        <f t="shared" si="4"/>
        <v>4912.1530715553945</v>
      </c>
      <c r="M63" s="21">
        <f t="shared" si="5"/>
        <v>2210.4688821999275</v>
      </c>
      <c r="N63" s="22">
        <f t="shared" si="6"/>
        <v>7122.6219537553225</v>
      </c>
    </row>
    <row r="64" spans="2:14" x14ac:dyDescent="0.25">
      <c r="B64" s="24">
        <v>100021705</v>
      </c>
      <c r="C64" s="25" t="s">
        <v>66</v>
      </c>
      <c r="D64" s="18">
        <v>7790360024336</v>
      </c>
      <c r="E64" s="19">
        <f>12*0.38</f>
        <v>4.5600000000000005</v>
      </c>
      <c r="F64" s="20">
        <v>12</v>
      </c>
      <c r="G64" s="77">
        <v>32474.628761836211</v>
      </c>
      <c r="H64" s="21">
        <f t="shared" si="0"/>
        <v>2706.2190634863509</v>
      </c>
      <c r="I64" s="21">
        <f t="shared" si="1"/>
        <v>568.30600333213363</v>
      </c>
      <c r="J64" s="21">
        <f t="shared" si="2"/>
        <v>3274.5250668184844</v>
      </c>
      <c r="K64" s="21">
        <f t="shared" si="3"/>
        <v>1146.0837733864694</v>
      </c>
      <c r="L64" s="21">
        <f t="shared" si="4"/>
        <v>4420.6088402049536</v>
      </c>
      <c r="M64" s="21">
        <f t="shared" si="5"/>
        <v>1989.2739780922291</v>
      </c>
      <c r="N64" s="22">
        <f t="shared" si="6"/>
        <v>6409.8828182971829</v>
      </c>
    </row>
    <row r="65" spans="2:14" x14ac:dyDescent="0.25">
      <c r="B65" s="24">
        <v>100021709</v>
      </c>
      <c r="C65" s="25" t="s">
        <v>67</v>
      </c>
      <c r="D65" s="18">
        <v>7790360024701</v>
      </c>
      <c r="E65" s="19">
        <v>7.6</v>
      </c>
      <c r="F65" s="20">
        <v>10</v>
      </c>
      <c r="G65" s="77">
        <v>55034.398399810168</v>
      </c>
      <c r="H65" s="21">
        <f t="shared" si="0"/>
        <v>5503.439839981017</v>
      </c>
      <c r="I65" s="21">
        <f t="shared" si="1"/>
        <v>1155.7223663960135</v>
      </c>
      <c r="J65" s="21">
        <f t="shared" si="2"/>
        <v>6659.1622063770301</v>
      </c>
      <c r="K65" s="21">
        <f t="shared" si="3"/>
        <v>2330.7067722319603</v>
      </c>
      <c r="L65" s="21">
        <f t="shared" si="4"/>
        <v>8989.8689786089908</v>
      </c>
      <c r="M65" s="21">
        <f t="shared" si="5"/>
        <v>4045.4410403740458</v>
      </c>
      <c r="N65" s="22">
        <f t="shared" si="6"/>
        <v>13035.310018983037</v>
      </c>
    </row>
    <row r="66" spans="2:14" x14ac:dyDescent="0.25">
      <c r="B66" s="24">
        <v>100521357</v>
      </c>
      <c r="C66" s="25" t="s">
        <v>68</v>
      </c>
      <c r="D66" s="18">
        <v>7790360982018</v>
      </c>
      <c r="E66" s="19">
        <v>4.5599999999999996</v>
      </c>
      <c r="F66" s="20">
        <v>12</v>
      </c>
      <c r="G66" s="77">
        <v>48595.608600000021</v>
      </c>
      <c r="H66" s="21">
        <f t="shared" si="0"/>
        <v>4049.6340500000019</v>
      </c>
      <c r="I66" s="21">
        <f t="shared" si="1"/>
        <v>850.42315050000036</v>
      </c>
      <c r="J66" s="21">
        <f t="shared" si="2"/>
        <v>4900.0572005000022</v>
      </c>
      <c r="K66" s="21">
        <f t="shared" si="3"/>
        <v>1715.0200201750006</v>
      </c>
      <c r="L66" s="21">
        <f t="shared" si="4"/>
        <v>6615.0772206750025</v>
      </c>
      <c r="M66" s="21">
        <f t="shared" si="5"/>
        <v>2976.7847493037511</v>
      </c>
      <c r="N66" s="22">
        <f t="shared" si="6"/>
        <v>9591.8619699787541</v>
      </c>
    </row>
    <row r="67" spans="2:14" x14ac:dyDescent="0.25">
      <c r="B67" s="24">
        <v>100521358</v>
      </c>
      <c r="C67" s="25" t="s">
        <v>69</v>
      </c>
      <c r="D67" s="18">
        <v>7790360982025</v>
      </c>
      <c r="E67" s="19">
        <v>7.6</v>
      </c>
      <c r="F67" s="20">
        <v>10</v>
      </c>
      <c r="G67" s="77">
        <v>72893.412900000025</v>
      </c>
      <c r="H67" s="21">
        <f t="shared" si="0"/>
        <v>7289.3412900000021</v>
      </c>
      <c r="I67" s="21">
        <f t="shared" si="1"/>
        <v>1530.7616709000004</v>
      </c>
      <c r="J67" s="21">
        <f t="shared" si="2"/>
        <v>8820.1029609000034</v>
      </c>
      <c r="K67" s="21">
        <f t="shared" si="3"/>
        <v>3087.0360363150012</v>
      </c>
      <c r="L67" s="21">
        <f t="shared" si="4"/>
        <v>11907.138997215005</v>
      </c>
      <c r="M67" s="21">
        <f t="shared" si="5"/>
        <v>5358.212548746752</v>
      </c>
      <c r="N67" s="22">
        <f t="shared" si="6"/>
        <v>17265.351545961756</v>
      </c>
    </row>
    <row r="68" spans="2:14" x14ac:dyDescent="0.25">
      <c r="B68" s="24">
        <v>100522130</v>
      </c>
      <c r="C68" s="25" t="s">
        <v>70</v>
      </c>
      <c r="D68" s="18">
        <v>7790360982445</v>
      </c>
      <c r="E68" s="19">
        <v>4.8</v>
      </c>
      <c r="F68" s="20">
        <v>12</v>
      </c>
      <c r="G68" s="77">
        <v>38154.376987650016</v>
      </c>
      <c r="H68" s="21">
        <f t="shared" si="0"/>
        <v>3179.5314156375011</v>
      </c>
      <c r="I68" s="21">
        <f t="shared" si="1"/>
        <v>667.70159728387523</v>
      </c>
      <c r="J68" s="21">
        <f t="shared" si="2"/>
        <v>3847.2330129213765</v>
      </c>
      <c r="K68" s="21">
        <f t="shared" si="3"/>
        <v>1346.5315545224817</v>
      </c>
      <c r="L68" s="21">
        <f t="shared" si="4"/>
        <v>5193.7645674438581</v>
      </c>
      <c r="M68" s="21">
        <f t="shared" si="5"/>
        <v>2337.1940553497361</v>
      </c>
      <c r="N68" s="22">
        <f t="shared" si="6"/>
        <v>7530.9586227935943</v>
      </c>
    </row>
    <row r="69" spans="2:14" x14ac:dyDescent="0.25">
      <c r="B69" s="41">
        <v>100021725</v>
      </c>
      <c r="C69" s="40" t="s">
        <v>71</v>
      </c>
      <c r="D69" s="38">
        <v>7790360027009</v>
      </c>
      <c r="E69" s="42">
        <v>6</v>
      </c>
      <c r="F69" s="43">
        <v>4</v>
      </c>
      <c r="G69" s="79">
        <v>28327.736722445236</v>
      </c>
      <c r="H69" s="44">
        <f t="shared" si="0"/>
        <v>7081.9341806113089</v>
      </c>
      <c r="I69" s="44">
        <f t="shared" si="1"/>
        <v>1487.2061779283747</v>
      </c>
      <c r="J69" s="44">
        <f t="shared" si="2"/>
        <v>8569.1403585396838</v>
      </c>
      <c r="K69" s="44">
        <f t="shared" si="3"/>
        <v>2999.199125488889</v>
      </c>
      <c r="L69" s="44">
        <f t="shared" si="4"/>
        <v>11568.339484028573</v>
      </c>
      <c r="M69" s="44">
        <f t="shared" si="5"/>
        <v>5205.7527678128581</v>
      </c>
      <c r="N69" s="45">
        <f t="shared" si="6"/>
        <v>16774.09225184143</v>
      </c>
    </row>
    <row r="70" spans="2:14" x14ac:dyDescent="0.25">
      <c r="B70" s="24">
        <v>100517055</v>
      </c>
      <c r="C70" s="25" t="s">
        <v>72</v>
      </c>
      <c r="D70" s="18">
        <v>7790360971135</v>
      </c>
      <c r="E70" s="19">
        <v>3.12</v>
      </c>
      <c r="F70" s="20">
        <v>12</v>
      </c>
      <c r="G70" s="77">
        <v>28377.246363460436</v>
      </c>
      <c r="H70" s="21">
        <f t="shared" si="0"/>
        <v>2364.7705302883696</v>
      </c>
      <c r="I70" s="21">
        <f t="shared" si="1"/>
        <v>496.60181136055758</v>
      </c>
      <c r="J70" s="21">
        <f t="shared" si="2"/>
        <v>2861.3723416489274</v>
      </c>
      <c r="K70" s="21">
        <f t="shared" si="3"/>
        <v>1001.4803195771245</v>
      </c>
      <c r="L70" s="21">
        <f t="shared" si="4"/>
        <v>3862.8526612260521</v>
      </c>
      <c r="M70" s="21">
        <f t="shared" si="5"/>
        <v>1738.2836975517234</v>
      </c>
      <c r="N70" s="22">
        <f t="shared" si="6"/>
        <v>5601.136358777776</v>
      </c>
    </row>
    <row r="71" spans="2:14" x14ac:dyDescent="0.25">
      <c r="B71" s="24">
        <v>100517186</v>
      </c>
      <c r="C71" s="25" t="s">
        <v>73</v>
      </c>
      <c r="D71" s="18">
        <v>7790360971395</v>
      </c>
      <c r="E71" s="19">
        <v>8</v>
      </c>
      <c r="F71" s="20">
        <v>8</v>
      </c>
      <c r="G71" s="77">
        <v>75311.315165179811</v>
      </c>
      <c r="H71" s="21">
        <f t="shared" si="0"/>
        <v>9413.9143956474763</v>
      </c>
      <c r="I71" s="21">
        <f t="shared" si="1"/>
        <v>1976.9220230859701</v>
      </c>
      <c r="J71" s="21">
        <f t="shared" si="2"/>
        <v>11390.836418733446</v>
      </c>
      <c r="K71" s="21">
        <f t="shared" si="3"/>
        <v>3986.7927465567059</v>
      </c>
      <c r="L71" s="21">
        <f t="shared" si="4"/>
        <v>15377.629165290153</v>
      </c>
      <c r="M71" s="21">
        <f t="shared" si="5"/>
        <v>6919.9331243805691</v>
      </c>
      <c r="N71" s="22">
        <f t="shared" si="6"/>
        <v>22297.562289670721</v>
      </c>
    </row>
    <row r="72" spans="2:14" x14ac:dyDescent="0.25">
      <c r="B72" s="24">
        <v>100521663</v>
      </c>
      <c r="C72" s="25" t="s">
        <v>74</v>
      </c>
      <c r="D72" s="18">
        <v>7790360982537</v>
      </c>
      <c r="E72" s="19">
        <v>4.8</v>
      </c>
      <c r="F72" s="20">
        <v>12</v>
      </c>
      <c r="G72" s="77">
        <v>41797.283176593519</v>
      </c>
      <c r="H72" s="21">
        <f t="shared" si="0"/>
        <v>3483.1069313827934</v>
      </c>
      <c r="I72" s="21">
        <f t="shared" si="1"/>
        <v>731.45245559038653</v>
      </c>
      <c r="J72" s="21">
        <f t="shared" si="2"/>
        <v>4214.5593869731802</v>
      </c>
      <c r="K72" s="21">
        <f t="shared" si="3"/>
        <v>1475.0957854406129</v>
      </c>
      <c r="L72" s="21">
        <f t="shared" si="4"/>
        <v>5689.6551724137935</v>
      </c>
      <c r="M72" s="21">
        <f t="shared" si="5"/>
        <v>2560.344827586207</v>
      </c>
      <c r="N72" s="22">
        <f t="shared" si="6"/>
        <v>8250</v>
      </c>
    </row>
    <row r="73" spans="2:14" x14ac:dyDescent="0.25">
      <c r="B73" s="41">
        <v>100021728</v>
      </c>
      <c r="C73" s="40" t="s">
        <v>75</v>
      </c>
      <c r="D73" s="38">
        <v>7790360967558</v>
      </c>
      <c r="E73" s="42">
        <v>3.84</v>
      </c>
      <c r="F73" s="43">
        <v>12</v>
      </c>
      <c r="G73" s="79">
        <v>39803.156208689536</v>
      </c>
      <c r="H73" s="44">
        <f t="shared" si="0"/>
        <v>3316.9296840574611</v>
      </c>
      <c r="I73" s="44">
        <f t="shared" si="1"/>
        <v>696.55523365206682</v>
      </c>
      <c r="J73" s="44">
        <f t="shared" si="2"/>
        <v>4013.484917709528</v>
      </c>
      <c r="K73" s="44">
        <f t="shared" si="3"/>
        <v>1404.7197211983348</v>
      </c>
      <c r="L73" s="44">
        <f t="shared" si="4"/>
        <v>5418.2046389078623</v>
      </c>
      <c r="M73" s="44">
        <f t="shared" si="5"/>
        <v>2438.192087508538</v>
      </c>
      <c r="N73" s="45">
        <f t="shared" si="6"/>
        <v>7856.3967264164003</v>
      </c>
    </row>
    <row r="74" spans="2:14" x14ac:dyDescent="0.25">
      <c r="B74" s="41">
        <v>100517679</v>
      </c>
      <c r="C74" s="40" t="s">
        <v>76</v>
      </c>
      <c r="D74" s="38">
        <v>7790360973498</v>
      </c>
      <c r="E74" s="42">
        <v>7.68</v>
      </c>
      <c r="F74" s="43">
        <v>8</v>
      </c>
      <c r="G74" s="79">
        <v>39413.592299367461</v>
      </c>
      <c r="H74" s="44">
        <f t="shared" si="0"/>
        <v>4926.6990374209327</v>
      </c>
      <c r="I74" s="44">
        <f t="shared" si="1"/>
        <v>1034.6067978583958</v>
      </c>
      <c r="J74" s="44">
        <f t="shared" si="2"/>
        <v>5961.3058352793287</v>
      </c>
      <c r="K74" s="44">
        <f t="shared" si="3"/>
        <v>2086.4570423477649</v>
      </c>
      <c r="L74" s="44">
        <f t="shared" si="4"/>
        <v>8047.762877627094</v>
      </c>
      <c r="M74" s="44">
        <f t="shared" si="5"/>
        <v>3621.4932949321924</v>
      </c>
      <c r="N74" s="45">
        <f t="shared" si="6"/>
        <v>11669.256172559286</v>
      </c>
    </row>
    <row r="75" spans="2:14" x14ac:dyDescent="0.25">
      <c r="B75" s="30"/>
      <c r="C75" s="31"/>
      <c r="D75" s="32"/>
      <c r="E75" s="31"/>
      <c r="F75" s="33"/>
      <c r="G75" s="33"/>
      <c r="H75" s="35" t="e">
        <f t="shared" si="0"/>
        <v>#DIV/0!</v>
      </c>
      <c r="I75" s="36">
        <v>0.21</v>
      </c>
      <c r="J75" s="35"/>
      <c r="K75" s="36">
        <v>0.35</v>
      </c>
      <c r="L75" s="35"/>
      <c r="M75" s="36">
        <v>0.45</v>
      </c>
      <c r="N75" s="37"/>
    </row>
    <row r="76" spans="2:14" hidden="1" x14ac:dyDescent="0.25">
      <c r="B76" s="24">
        <v>100516219</v>
      </c>
      <c r="C76" s="25" t="s">
        <v>77</v>
      </c>
      <c r="D76" s="46">
        <v>7790360967770</v>
      </c>
      <c r="E76" s="19">
        <v>10</v>
      </c>
      <c r="F76" s="20">
        <v>25</v>
      </c>
      <c r="G76" s="77">
        <v>18259.399891781304</v>
      </c>
      <c r="H76" s="21">
        <f t="shared" ref="H76:H84" si="9">G76/F76</f>
        <v>730.37599567125221</v>
      </c>
      <c r="I76" s="21">
        <f t="shared" si="1"/>
        <v>153.37895909096295</v>
      </c>
      <c r="J76" s="21">
        <f t="shared" si="2"/>
        <v>883.75495476221522</v>
      </c>
      <c r="K76" s="21">
        <f t="shared" si="3"/>
        <v>309.31423416677529</v>
      </c>
      <c r="L76" s="21">
        <f t="shared" si="4"/>
        <v>1193.0691889289906</v>
      </c>
      <c r="M76" s="21">
        <f t="shared" si="5"/>
        <v>536.88113501804582</v>
      </c>
      <c r="N76" s="22">
        <f t="shared" si="6"/>
        <v>1729.9503239470364</v>
      </c>
    </row>
    <row r="77" spans="2:14" hidden="1" x14ac:dyDescent="0.25">
      <c r="B77" s="24">
        <v>100516220</v>
      </c>
      <c r="C77" s="25" t="s">
        <v>78</v>
      </c>
      <c r="D77" s="46">
        <v>7790360967787</v>
      </c>
      <c r="E77" s="19">
        <v>12</v>
      </c>
      <c r="F77" s="20">
        <v>6</v>
      </c>
      <c r="G77" s="77">
        <v>19613.921820029205</v>
      </c>
      <c r="H77" s="21">
        <f t="shared" si="9"/>
        <v>3268.9869700048675</v>
      </c>
      <c r="I77" s="21">
        <f t="shared" si="1"/>
        <v>686.48726370102213</v>
      </c>
      <c r="J77" s="21">
        <f t="shared" si="2"/>
        <v>3955.4742337058897</v>
      </c>
      <c r="K77" s="21">
        <f t="shared" si="3"/>
        <v>1384.4159817970612</v>
      </c>
      <c r="L77" s="21">
        <f t="shared" si="4"/>
        <v>5339.8902155029509</v>
      </c>
      <c r="M77" s="21">
        <f t="shared" si="5"/>
        <v>2402.9505969763281</v>
      </c>
      <c r="N77" s="22">
        <f t="shared" si="6"/>
        <v>7742.8408124792786</v>
      </c>
    </row>
    <row r="78" spans="2:14" ht="15.75" hidden="1" thickBot="1" x14ac:dyDescent="0.3">
      <c r="B78" s="80"/>
      <c r="C78" s="81"/>
      <c r="D78" s="82"/>
      <c r="E78" s="81"/>
      <c r="F78" s="83"/>
      <c r="G78" s="33"/>
      <c r="H78" s="35" t="e">
        <f t="shared" si="9"/>
        <v>#DIV/0!</v>
      </c>
      <c r="I78" s="36"/>
      <c r="J78" s="35"/>
      <c r="K78" s="36"/>
      <c r="L78" s="35"/>
      <c r="M78" s="36"/>
      <c r="N78" s="37"/>
    </row>
    <row r="79" spans="2:14" x14ac:dyDescent="0.25">
      <c r="B79" s="29">
        <v>100518158</v>
      </c>
      <c r="C79" s="25" t="s">
        <v>79</v>
      </c>
      <c r="D79" s="50">
        <v>7790360974280</v>
      </c>
      <c r="E79" s="19">
        <v>12</v>
      </c>
      <c r="F79" s="20">
        <v>24</v>
      </c>
      <c r="G79" s="77">
        <v>75339.602925809828</v>
      </c>
      <c r="H79" s="21">
        <f t="shared" si="9"/>
        <v>3139.1501219087427</v>
      </c>
      <c r="I79" s="21">
        <f>+H79*I$3</f>
        <v>659.22152560083589</v>
      </c>
      <c r="J79" s="21">
        <f>+H79+I79</f>
        <v>3798.3716475095785</v>
      </c>
      <c r="K79" s="21">
        <f>+J79*K$3</f>
        <v>1329.4300766283525</v>
      </c>
      <c r="L79" s="21">
        <f>+J79+K79</f>
        <v>5127.8017241379312</v>
      </c>
      <c r="M79" s="21">
        <f>+L79*M$3</f>
        <v>2307.5107758620693</v>
      </c>
      <c r="N79" s="22">
        <f>+L79+M79</f>
        <v>7435.3125</v>
      </c>
    </row>
    <row r="80" spans="2:14" x14ac:dyDescent="0.25">
      <c r="B80" s="29">
        <v>100518160</v>
      </c>
      <c r="C80" s="25" t="s">
        <v>80</v>
      </c>
      <c r="D80" s="50">
        <v>7790360974686</v>
      </c>
      <c r="E80" s="19">
        <v>12</v>
      </c>
      <c r="F80" s="20">
        <v>12</v>
      </c>
      <c r="G80" s="77">
        <v>75339.602925809828</v>
      </c>
      <c r="H80" s="21">
        <f t="shared" si="9"/>
        <v>6278.3002438174854</v>
      </c>
      <c r="I80" s="21">
        <f>+H80*I$3</f>
        <v>1318.4430512016718</v>
      </c>
      <c r="J80" s="21">
        <f>+H80+I80</f>
        <v>7596.7432950191569</v>
      </c>
      <c r="K80" s="21">
        <f>+J80*K$3</f>
        <v>2658.860153256705</v>
      </c>
      <c r="L80" s="21">
        <f>+J80+K80</f>
        <v>10255.603448275862</v>
      </c>
      <c r="M80" s="21">
        <f>+L80*M$3</f>
        <v>4615.0215517241386</v>
      </c>
      <c r="N80" s="22">
        <f>+L80+M80</f>
        <v>14870.625</v>
      </c>
    </row>
    <row r="81" spans="2:14" x14ac:dyDescent="0.25">
      <c r="B81" s="29">
        <v>100518463</v>
      </c>
      <c r="C81" s="25" t="s">
        <v>102</v>
      </c>
      <c r="D81" s="50"/>
      <c r="E81" s="19">
        <v>5</v>
      </c>
      <c r="F81" s="20">
        <v>1</v>
      </c>
      <c r="G81" s="77">
        <v>36693.267187500001</v>
      </c>
      <c r="H81" s="21">
        <f t="shared" si="9"/>
        <v>36693.267187500001</v>
      </c>
      <c r="I81" s="21">
        <f>+H81*I$3</f>
        <v>7705.586109375</v>
      </c>
      <c r="J81" s="21">
        <f>+H81+I81</f>
        <v>44398.853296875001</v>
      </c>
      <c r="K81" s="21">
        <f>+J81*K$3</f>
        <v>15539.598653906249</v>
      </c>
      <c r="L81" s="21">
        <f>+J81+K81</f>
        <v>59938.451950781251</v>
      </c>
      <c r="M81" s="21">
        <f>+L81*M$3</f>
        <v>26972.303377851564</v>
      </c>
      <c r="N81" s="22">
        <f>+L81+M81</f>
        <v>86910.755328632818</v>
      </c>
    </row>
    <row r="82" spans="2:14" ht="15.75" thickBot="1" x14ac:dyDescent="0.3">
      <c r="B82" s="54"/>
      <c r="C82" s="55"/>
      <c r="D82" s="56"/>
      <c r="E82" s="55"/>
      <c r="F82" s="57"/>
      <c r="G82" s="33"/>
      <c r="H82" s="35" t="e">
        <f t="shared" si="9"/>
        <v>#DIV/0!</v>
      </c>
      <c r="I82" s="36"/>
      <c r="J82" s="35"/>
      <c r="K82" s="36"/>
      <c r="L82" s="35"/>
      <c r="M82" s="36"/>
      <c r="N82" s="37"/>
    </row>
    <row r="83" spans="2:14" x14ac:dyDescent="0.25">
      <c r="B83" s="63">
        <v>100518291</v>
      </c>
      <c r="C83" s="64" t="s">
        <v>81</v>
      </c>
      <c r="D83" s="47">
        <v>7790360975195</v>
      </c>
      <c r="E83" s="65">
        <v>5</v>
      </c>
      <c r="F83" s="65">
        <v>10</v>
      </c>
      <c r="G83" s="85">
        <v>17536.686967689053</v>
      </c>
      <c r="H83" s="48">
        <f t="shared" si="9"/>
        <v>1753.6686967689052</v>
      </c>
      <c r="I83" s="48">
        <f>+H83*I$3</f>
        <v>368.2704263214701</v>
      </c>
      <c r="J83" s="48">
        <f>+H83+I83</f>
        <v>2121.9391230903752</v>
      </c>
      <c r="K83" s="48">
        <f>+J83*K$39</f>
        <v>466.82660707988254</v>
      </c>
      <c r="L83" s="48">
        <f>+J83+K83</f>
        <v>2588.7657301702579</v>
      </c>
      <c r="M83" s="48">
        <f>+L83*M$39</f>
        <v>906.06800555959023</v>
      </c>
      <c r="N83" s="49">
        <f>+L83+M83</f>
        <v>3494.8337357298483</v>
      </c>
    </row>
    <row r="84" spans="2:14" ht="15.75" thickBot="1" x14ac:dyDescent="0.3">
      <c r="B84" s="66">
        <v>100518292</v>
      </c>
      <c r="C84" s="67" t="s">
        <v>82</v>
      </c>
      <c r="D84" s="51">
        <v>7790360975201</v>
      </c>
      <c r="E84" s="68">
        <v>12</v>
      </c>
      <c r="F84" s="68">
        <v>12</v>
      </c>
      <c r="G84" s="86">
        <v>41380.323708459917</v>
      </c>
      <c r="H84" s="52">
        <f t="shared" si="9"/>
        <v>3448.3603090383262</v>
      </c>
      <c r="I84" s="52">
        <f>+H84*I$3</f>
        <v>724.15566489804849</v>
      </c>
      <c r="J84" s="52">
        <f>+H84+I84</f>
        <v>4172.5159739363744</v>
      </c>
      <c r="K84" s="52">
        <f>+J84*K$39</f>
        <v>917.95351426600234</v>
      </c>
      <c r="L84" s="52">
        <f>+J84+K84</f>
        <v>5090.4694882023769</v>
      </c>
      <c r="M84" s="52">
        <f>+L84*M$39</f>
        <v>1781.6643208708317</v>
      </c>
      <c r="N84" s="53">
        <f>+L84+M84</f>
        <v>6872.1338090732088</v>
      </c>
    </row>
    <row r="85" spans="2:14" ht="15.75" thickBot="1" x14ac:dyDescent="0.3">
      <c r="B85" s="54"/>
      <c r="C85" s="55"/>
      <c r="D85" s="56"/>
      <c r="E85" s="55"/>
      <c r="F85" s="57"/>
      <c r="G85" s="33"/>
      <c r="H85" s="35" t="e">
        <f>G85/F85</f>
        <v>#DIV/0!</v>
      </c>
      <c r="I85" s="36">
        <v>0.105</v>
      </c>
      <c r="J85" s="35"/>
      <c r="K85" s="36">
        <v>0.3</v>
      </c>
      <c r="L85" s="35"/>
      <c r="M85" s="36">
        <v>0.4</v>
      </c>
      <c r="N85" s="37"/>
    </row>
    <row r="86" spans="2:14" x14ac:dyDescent="0.25">
      <c r="B86" s="63">
        <v>100517915</v>
      </c>
      <c r="C86" s="64" t="s">
        <v>83</v>
      </c>
      <c r="D86" s="47">
        <v>7790360974020</v>
      </c>
      <c r="E86" s="65">
        <v>18</v>
      </c>
      <c r="F86" s="65">
        <v>36</v>
      </c>
      <c r="G86" s="85">
        <v>160512.01231783535</v>
      </c>
      <c r="H86" s="48">
        <f>G86/F86</f>
        <v>4458.6670088287601</v>
      </c>
      <c r="I86" s="48">
        <f>+H86*I$85</f>
        <v>468.16003592701981</v>
      </c>
      <c r="J86" s="48">
        <f>+H86+I86</f>
        <v>4926.8270447557798</v>
      </c>
      <c r="K86" s="48">
        <f>+J86*K$85</f>
        <v>1478.0481134267338</v>
      </c>
      <c r="L86" s="48">
        <f>+J86+K86</f>
        <v>6404.8751581825136</v>
      </c>
      <c r="M86" s="48">
        <f>+L86*M$85</f>
        <v>2561.9500632730055</v>
      </c>
      <c r="N86" s="49">
        <f>+L86+M86</f>
        <v>8966.8252214555196</v>
      </c>
    </row>
    <row r="87" spans="2:14" ht="15.75" thickBot="1" x14ac:dyDescent="0.3">
      <c r="B87" s="66">
        <v>100517914</v>
      </c>
      <c r="C87" s="67" t="s">
        <v>84</v>
      </c>
      <c r="D87" s="51">
        <v>7790360974037</v>
      </c>
      <c r="E87" s="68">
        <v>20</v>
      </c>
      <c r="F87" s="68">
        <v>20</v>
      </c>
      <c r="G87" s="86">
        <v>175154.27477482893</v>
      </c>
      <c r="H87" s="52">
        <f>G87/F87</f>
        <v>8757.7137387414459</v>
      </c>
      <c r="I87" s="52">
        <f>+H87*I$85</f>
        <v>919.55994256785175</v>
      </c>
      <c r="J87" s="52">
        <f>+H87+I87</f>
        <v>9677.2736813092979</v>
      </c>
      <c r="K87" s="52">
        <f>+J87*K$85</f>
        <v>2903.1821043927894</v>
      </c>
      <c r="L87" s="52">
        <f>+J87+K87</f>
        <v>12580.455785702088</v>
      </c>
      <c r="M87" s="52">
        <f>+L87*M$85</f>
        <v>5032.1823142808353</v>
      </c>
      <c r="N87" s="53">
        <f>+L87+M87</f>
        <v>17612.638099982923</v>
      </c>
    </row>
    <row r="88" spans="2:14" ht="15.75" thickBot="1" x14ac:dyDescent="0.3">
      <c r="B88" s="54"/>
      <c r="C88" s="55"/>
      <c r="D88" s="56"/>
      <c r="E88" s="55"/>
      <c r="F88" s="57"/>
      <c r="G88" s="58"/>
      <c r="H88" s="59"/>
      <c r="I88" s="70">
        <v>0.105</v>
      </c>
      <c r="J88" s="59"/>
      <c r="K88" s="60">
        <v>0.3</v>
      </c>
      <c r="L88" s="59"/>
      <c r="M88" s="60">
        <v>0.4</v>
      </c>
      <c r="N88" s="61"/>
    </row>
    <row r="89" spans="2:14" x14ac:dyDescent="0.25">
      <c r="B89" s="24">
        <v>100010689</v>
      </c>
      <c r="C89" s="25" t="s">
        <v>85</v>
      </c>
      <c r="D89" s="18"/>
      <c r="E89" s="71">
        <v>22</v>
      </c>
      <c r="F89" s="20">
        <v>1</v>
      </c>
      <c r="G89" s="77">
        <v>15714.285714285716</v>
      </c>
      <c r="H89" s="48">
        <f t="shared" ref="H89:H94" si="10">+G89/F89</f>
        <v>15714.285714285716</v>
      </c>
      <c r="I89" s="48">
        <f t="shared" ref="I89:I94" si="11">+H89*I$88</f>
        <v>1650</v>
      </c>
      <c r="J89" s="48">
        <f t="shared" ref="J89:J94" si="12">+H89+I89</f>
        <v>17364.285714285717</v>
      </c>
      <c r="K89" s="48">
        <f t="shared" ref="K89:K94" si="13">+J89*K$88</f>
        <v>5209.2857142857147</v>
      </c>
      <c r="L89" s="48">
        <f t="shared" ref="L89:L94" si="14">+J89+K89</f>
        <v>22573.571428571431</v>
      </c>
      <c r="M89" s="48">
        <f t="shared" ref="M89:M94" si="15">+L89*M$88</f>
        <v>9029.4285714285725</v>
      </c>
      <c r="N89" s="49">
        <f t="shared" ref="N89:N94" si="16">+L89+M89</f>
        <v>31603.000000000004</v>
      </c>
    </row>
    <row r="90" spans="2:14" x14ac:dyDescent="0.25">
      <c r="B90" s="24">
        <v>100518335</v>
      </c>
      <c r="C90" s="25" t="s">
        <v>86</v>
      </c>
      <c r="D90" s="18"/>
      <c r="E90" s="71">
        <v>22.5</v>
      </c>
      <c r="F90" s="20">
        <v>1</v>
      </c>
      <c r="G90" s="77">
        <v>11224.489795918369</v>
      </c>
      <c r="H90" s="21">
        <f t="shared" si="10"/>
        <v>11224.489795918369</v>
      </c>
      <c r="I90" s="21">
        <f t="shared" si="11"/>
        <v>1178.5714285714287</v>
      </c>
      <c r="J90" s="21">
        <f t="shared" si="12"/>
        <v>12403.061224489798</v>
      </c>
      <c r="K90" s="21">
        <f t="shared" si="13"/>
        <v>3720.9183673469392</v>
      </c>
      <c r="L90" s="21">
        <f t="shared" si="14"/>
        <v>16123.979591836738</v>
      </c>
      <c r="M90" s="21">
        <f t="shared" si="15"/>
        <v>6449.5918367346958</v>
      </c>
      <c r="N90" s="22">
        <f t="shared" si="16"/>
        <v>22573.571428571435</v>
      </c>
    </row>
    <row r="91" spans="2:14" x14ac:dyDescent="0.25">
      <c r="B91" s="24">
        <v>100518332</v>
      </c>
      <c r="C91" s="25" t="s">
        <v>87</v>
      </c>
      <c r="D91" s="18"/>
      <c r="E91" s="71">
        <v>21.5</v>
      </c>
      <c r="F91" s="20">
        <v>1</v>
      </c>
      <c r="G91" s="77">
        <v>12908.163265306122</v>
      </c>
      <c r="H91" s="21">
        <f t="shared" si="10"/>
        <v>12908.163265306122</v>
      </c>
      <c r="I91" s="21">
        <f t="shared" si="11"/>
        <v>1355.3571428571429</v>
      </c>
      <c r="J91" s="21">
        <f t="shared" si="12"/>
        <v>14263.520408163266</v>
      </c>
      <c r="K91" s="21">
        <f t="shared" si="13"/>
        <v>4279.0561224489793</v>
      </c>
      <c r="L91" s="21">
        <f t="shared" si="14"/>
        <v>18542.576530612245</v>
      </c>
      <c r="M91" s="21">
        <f t="shared" si="15"/>
        <v>7417.0306122448983</v>
      </c>
      <c r="N91" s="22">
        <f t="shared" si="16"/>
        <v>25959.607142857145</v>
      </c>
    </row>
    <row r="92" spans="2:14" x14ac:dyDescent="0.25">
      <c r="B92" s="24">
        <v>100518334</v>
      </c>
      <c r="C92" s="25" t="s">
        <v>88</v>
      </c>
      <c r="D92" s="18"/>
      <c r="E92" s="71">
        <v>22.5</v>
      </c>
      <c r="F92" s="20">
        <v>1</v>
      </c>
      <c r="G92" s="77">
        <v>11448.979591836736</v>
      </c>
      <c r="H92" s="21">
        <f t="shared" si="10"/>
        <v>11448.979591836736</v>
      </c>
      <c r="I92" s="21">
        <f t="shared" si="11"/>
        <v>1202.1428571428573</v>
      </c>
      <c r="J92" s="21">
        <f t="shared" si="12"/>
        <v>12651.122448979593</v>
      </c>
      <c r="K92" s="21">
        <f t="shared" si="13"/>
        <v>3795.3367346938776</v>
      </c>
      <c r="L92" s="21">
        <f t="shared" si="14"/>
        <v>16446.459183673469</v>
      </c>
      <c r="M92" s="21">
        <f t="shared" si="15"/>
        <v>6578.5836734693876</v>
      </c>
      <c r="N92" s="22">
        <f t="shared" si="16"/>
        <v>23025.042857142857</v>
      </c>
    </row>
    <row r="93" spans="2:14" x14ac:dyDescent="0.25">
      <c r="B93" s="24">
        <v>100518227</v>
      </c>
      <c r="C93" s="25" t="s">
        <v>89</v>
      </c>
      <c r="D93" s="18"/>
      <c r="E93" s="71">
        <v>22.5</v>
      </c>
      <c r="F93" s="20">
        <v>1</v>
      </c>
      <c r="G93" s="77">
        <v>13244.897959183672</v>
      </c>
      <c r="H93" s="21">
        <f t="shared" si="10"/>
        <v>13244.897959183672</v>
      </c>
      <c r="I93" s="21">
        <f t="shared" si="11"/>
        <v>1390.7142857142856</v>
      </c>
      <c r="J93" s="21">
        <f t="shared" si="12"/>
        <v>14635.612244897959</v>
      </c>
      <c r="K93" s="21">
        <f t="shared" si="13"/>
        <v>4390.683673469387</v>
      </c>
      <c r="L93" s="21">
        <f t="shared" si="14"/>
        <v>19026.295918367345</v>
      </c>
      <c r="M93" s="21">
        <f t="shared" si="15"/>
        <v>7610.5183673469382</v>
      </c>
      <c r="N93" s="22">
        <f t="shared" si="16"/>
        <v>26636.814285714281</v>
      </c>
    </row>
    <row r="94" spans="2:14" x14ac:dyDescent="0.25">
      <c r="B94" s="72">
        <v>100027726</v>
      </c>
      <c r="C94" s="73" t="s">
        <v>90</v>
      </c>
      <c r="D94" s="74"/>
      <c r="E94" s="71">
        <v>22.5</v>
      </c>
      <c r="F94" s="20">
        <v>1</v>
      </c>
      <c r="G94" s="77">
        <v>6814.5000000000009</v>
      </c>
      <c r="H94" s="21">
        <f t="shared" si="10"/>
        <v>6814.5000000000009</v>
      </c>
      <c r="I94" s="21">
        <f t="shared" si="11"/>
        <v>715.52250000000004</v>
      </c>
      <c r="J94" s="21">
        <f t="shared" si="12"/>
        <v>7530.0225000000009</v>
      </c>
      <c r="K94" s="21">
        <f t="shared" si="13"/>
        <v>2259.00675</v>
      </c>
      <c r="L94" s="21">
        <f t="shared" si="14"/>
        <v>9789.0292500000014</v>
      </c>
      <c r="M94" s="21">
        <f t="shared" si="15"/>
        <v>3915.6117000000008</v>
      </c>
      <c r="N94" s="22">
        <f t="shared" si="16"/>
        <v>13704.640950000003</v>
      </c>
    </row>
    <row r="95" spans="2:14" ht="15.75" thickBot="1" x14ac:dyDescent="0.3">
      <c r="B95" s="54"/>
      <c r="C95" s="55"/>
      <c r="D95" s="56"/>
      <c r="E95" s="55"/>
      <c r="F95" s="57"/>
      <c r="G95" s="58"/>
      <c r="H95" s="59"/>
      <c r="I95" s="70">
        <v>0.21</v>
      </c>
      <c r="J95" s="59"/>
      <c r="K95" s="60">
        <v>0.35</v>
      </c>
      <c r="L95" s="59"/>
      <c r="M95" s="60">
        <v>0.45</v>
      </c>
      <c r="N95" s="61"/>
    </row>
    <row r="96" spans="2:14" ht="15.75" thickBot="1" x14ac:dyDescent="0.3">
      <c r="B96" s="24">
        <v>100520837</v>
      </c>
      <c r="C96" s="25" t="s">
        <v>91</v>
      </c>
      <c r="D96" s="18">
        <v>7790360980625</v>
      </c>
      <c r="E96" s="71">
        <v>4.8</v>
      </c>
      <c r="F96" s="20">
        <v>12</v>
      </c>
      <c r="G96" s="77">
        <v>35756.175548589337</v>
      </c>
      <c r="H96" s="39">
        <f>+G96/F96</f>
        <v>2979.6812957157781</v>
      </c>
      <c r="I96" s="40">
        <f>+H96*I$95</f>
        <v>625.73307210031339</v>
      </c>
      <c r="J96" s="38">
        <f>+H96+I96</f>
        <v>3605.4143678160917</v>
      </c>
      <c r="K96" s="71">
        <f>+J96*K$95</f>
        <v>1261.895028735632</v>
      </c>
      <c r="L96" s="20">
        <f>+J96+K96</f>
        <v>4867.3093965517237</v>
      </c>
      <c r="M96" s="48">
        <f>+L96*M$95</f>
        <v>2190.2892284482759</v>
      </c>
      <c r="N96" s="49">
        <f>+L96+M96</f>
        <v>7057.5986249999996</v>
      </c>
    </row>
    <row r="97" spans="2:14" x14ac:dyDescent="0.25">
      <c r="B97" s="39">
        <v>100522395</v>
      </c>
      <c r="C97" s="40" t="s">
        <v>92</v>
      </c>
      <c r="D97" s="74"/>
      <c r="E97" s="71">
        <v>4.8</v>
      </c>
      <c r="F97" s="20">
        <v>12</v>
      </c>
      <c r="G97" s="77">
        <v>36471.292000000001</v>
      </c>
      <c r="H97" s="39">
        <f>+G97/F97</f>
        <v>3039.2743333333333</v>
      </c>
      <c r="I97" s="40">
        <f>+H97*I$95</f>
        <v>638.24761000000001</v>
      </c>
      <c r="J97" s="38">
        <f>+H97+I97</f>
        <v>3677.5219433333332</v>
      </c>
      <c r="K97" s="71">
        <f>+J97*K$95</f>
        <v>1287.1326801666664</v>
      </c>
      <c r="L97" s="20">
        <f>+J97+K97</f>
        <v>4964.6546234999996</v>
      </c>
      <c r="M97" s="48">
        <f>+L97*M$95</f>
        <v>2234.0945805749998</v>
      </c>
      <c r="N97" s="49">
        <f>+L97+M97</f>
        <v>7198.7492040749994</v>
      </c>
    </row>
    <row r="98" spans="2:14" ht="15.75" thickBot="1" x14ac:dyDescent="0.3">
      <c r="B98" s="54"/>
      <c r="C98" s="55"/>
      <c r="D98" s="56"/>
      <c r="E98" s="55"/>
      <c r="F98" s="57"/>
      <c r="G98" s="58"/>
      <c r="H98" s="59"/>
      <c r="I98" s="70">
        <v>0.21</v>
      </c>
      <c r="J98" s="59"/>
      <c r="K98" s="60">
        <v>0.35</v>
      </c>
      <c r="L98" s="59"/>
      <c r="M98" s="60">
        <v>0.45</v>
      </c>
      <c r="N98" s="61"/>
    </row>
    <row r="99" spans="2:14" x14ac:dyDescent="0.25">
      <c r="B99" s="24">
        <v>100520902</v>
      </c>
      <c r="C99" s="25" t="s">
        <v>93</v>
      </c>
      <c r="D99" s="18">
        <v>7790360981042</v>
      </c>
      <c r="E99" s="71">
        <v>9.8000000000000007</v>
      </c>
      <c r="F99" s="20">
        <v>14</v>
      </c>
      <c r="G99" s="77">
        <v>32345.802856147693</v>
      </c>
      <c r="H99" s="39">
        <f>+G99/F99</f>
        <v>2310.4144897248352</v>
      </c>
      <c r="I99" s="40">
        <f>+H99*I$98</f>
        <v>485.18704284221536</v>
      </c>
      <c r="J99" s="38">
        <f>+H99+I99</f>
        <v>2795.6015325670505</v>
      </c>
      <c r="K99" s="71">
        <f>+J99*K$98</f>
        <v>978.46053639846764</v>
      </c>
      <c r="L99" s="20">
        <f>+J99+K99</f>
        <v>3774.0620689655179</v>
      </c>
      <c r="M99" s="48">
        <f>+L99*M$98</f>
        <v>1698.3279310344831</v>
      </c>
      <c r="N99" s="49">
        <f>+L99+M99</f>
        <v>5472.3900000000012</v>
      </c>
    </row>
    <row r="100" spans="2:14" ht="15.75" thickBot="1" x14ac:dyDescent="0.3">
      <c r="B100" s="54"/>
      <c r="C100" s="55"/>
      <c r="D100" s="56"/>
      <c r="E100" s="55"/>
      <c r="F100" s="57"/>
      <c r="G100" s="58"/>
      <c r="H100" s="59"/>
      <c r="I100" s="70">
        <v>0.21</v>
      </c>
      <c r="J100" s="59"/>
      <c r="K100" s="60">
        <v>0.35</v>
      </c>
      <c r="L100" s="59"/>
      <c r="M100" s="60">
        <v>0.45</v>
      </c>
      <c r="N100" s="61"/>
    </row>
    <row r="101" spans="2:14" ht="15.75" thickBot="1" x14ac:dyDescent="0.3">
      <c r="B101" s="24">
        <v>100521457</v>
      </c>
      <c r="C101" s="25" t="s">
        <v>94</v>
      </c>
      <c r="D101" s="18">
        <v>7790360982254</v>
      </c>
      <c r="E101" s="71">
        <v>4.8</v>
      </c>
      <c r="F101" s="20">
        <v>16</v>
      </c>
      <c r="G101" s="77">
        <v>36127.899686520381</v>
      </c>
      <c r="H101" s="39">
        <f>+G101/F101</f>
        <v>2257.9937304075238</v>
      </c>
      <c r="I101" s="40">
        <f>+H101*I$100</f>
        <v>474.17868338557997</v>
      </c>
      <c r="J101" s="38">
        <f>+H101+I101</f>
        <v>2732.1724137931037</v>
      </c>
      <c r="K101" s="71">
        <f>+J101*K$100</f>
        <v>956.26034482758621</v>
      </c>
      <c r="L101" s="20">
        <f>+J101+K101</f>
        <v>3688.43275862069</v>
      </c>
      <c r="M101" s="48">
        <f>+L101*M$100</f>
        <v>1659.7947413793106</v>
      </c>
      <c r="N101" s="49">
        <f>+L101+M101</f>
        <v>5348.2275000000009</v>
      </c>
    </row>
    <row r="102" spans="2:14" ht="15.75" thickBot="1" x14ac:dyDescent="0.3">
      <c r="B102" s="24">
        <v>100521455</v>
      </c>
      <c r="C102" s="25" t="s">
        <v>95</v>
      </c>
      <c r="D102" s="18">
        <v>7790360982247</v>
      </c>
      <c r="E102" s="71">
        <v>4.8</v>
      </c>
      <c r="F102" s="20">
        <v>16</v>
      </c>
      <c r="G102" s="77">
        <v>36127.899686520381</v>
      </c>
      <c r="H102" s="39">
        <f t="shared" ref="H102:H104" si="17">+G102/F102</f>
        <v>2257.9937304075238</v>
      </c>
      <c r="I102" s="40">
        <f t="shared" ref="I102:I104" si="18">+H102*I$100</f>
        <v>474.17868338557997</v>
      </c>
      <c r="J102" s="38">
        <f t="shared" ref="J102:J104" si="19">+H102+I102</f>
        <v>2732.1724137931037</v>
      </c>
      <c r="K102" s="71">
        <f t="shared" ref="K102:K104" si="20">+J102*K$100</f>
        <v>956.26034482758621</v>
      </c>
      <c r="L102" s="20">
        <f t="shared" ref="L102:L104" si="21">+J102+K102</f>
        <v>3688.43275862069</v>
      </c>
      <c r="M102" s="48">
        <f t="shared" ref="M102:M104" si="22">+L102*M$100</f>
        <v>1659.7947413793106</v>
      </c>
      <c r="N102" s="49">
        <f t="shared" ref="N102:N104" si="23">+L102+M102</f>
        <v>5348.2275000000009</v>
      </c>
    </row>
    <row r="103" spans="2:14" ht="15.75" thickBot="1" x14ac:dyDescent="0.3">
      <c r="B103" s="24">
        <v>100521453</v>
      </c>
      <c r="C103" s="25" t="s">
        <v>96</v>
      </c>
      <c r="D103" s="18">
        <v>7790360982223</v>
      </c>
      <c r="E103" s="71">
        <v>5.4</v>
      </c>
      <c r="F103" s="20">
        <v>18</v>
      </c>
      <c r="G103" s="77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x14ac:dyDescent="0.25">
      <c r="B104" s="24">
        <v>100521454</v>
      </c>
      <c r="C104" s="25" t="s">
        <v>97</v>
      </c>
      <c r="D104" s="18">
        <v>7790360982230</v>
      </c>
      <c r="E104" s="71">
        <v>5.3999999999999995</v>
      </c>
      <c r="F104" s="20">
        <v>18</v>
      </c>
      <c r="G104" s="77">
        <v>35563.401253918506</v>
      </c>
      <c r="H104" s="39">
        <f t="shared" si="17"/>
        <v>1975.7445141065837</v>
      </c>
      <c r="I104" s="40">
        <f t="shared" si="18"/>
        <v>414.90634796238254</v>
      </c>
      <c r="J104" s="38">
        <f t="shared" si="19"/>
        <v>2390.650862068966</v>
      </c>
      <c r="K104" s="71">
        <f t="shared" si="20"/>
        <v>836.72780172413809</v>
      </c>
      <c r="L104" s="20">
        <f t="shared" si="21"/>
        <v>3227.3786637931044</v>
      </c>
      <c r="M104" s="48">
        <f t="shared" si="22"/>
        <v>1452.3203987068971</v>
      </c>
      <c r="N104" s="49">
        <f t="shared" si="23"/>
        <v>4679.6990625000017</v>
      </c>
    </row>
    <row r="105" spans="2:14" ht="15.75" thickBot="1" x14ac:dyDescent="0.3">
      <c r="B105" s="54"/>
      <c r="C105" s="55"/>
      <c r="D105" s="56"/>
      <c r="E105" s="55"/>
      <c r="F105" s="57"/>
      <c r="G105" s="58"/>
      <c r="H105" s="59"/>
      <c r="I105" s="70">
        <v>0.21</v>
      </c>
      <c r="J105" s="59"/>
      <c r="K105" s="60">
        <v>0.22</v>
      </c>
      <c r="L105" s="59"/>
      <c r="M105" s="60">
        <v>0.35</v>
      </c>
      <c r="N105" s="61"/>
    </row>
    <row r="106" spans="2:14" ht="15.75" thickBot="1" x14ac:dyDescent="0.3">
      <c r="B106" s="24">
        <v>100522246</v>
      </c>
      <c r="C106" s="25" t="s">
        <v>98</v>
      </c>
      <c r="D106" s="18">
        <v>7790360984234</v>
      </c>
      <c r="E106" s="71">
        <v>8.16</v>
      </c>
      <c r="F106" s="20">
        <v>48</v>
      </c>
      <c r="G106" s="77">
        <v>116812.71733730749</v>
      </c>
      <c r="H106" s="39">
        <f t="shared" ref="H106:H107" si="24">G106/F106</f>
        <v>2433.5982778605726</v>
      </c>
      <c r="I106" s="40">
        <f t="shared" ref="I106:I107" si="25">+H106*I$3</f>
        <v>511.05563835072024</v>
      </c>
      <c r="J106" s="38">
        <f t="shared" ref="J106:J107" si="26">+H106+I106</f>
        <v>2944.6539162112927</v>
      </c>
      <c r="K106" s="71">
        <f t="shared" ref="K106:K107" si="27">+J106*K$39</f>
        <v>647.82386156648442</v>
      </c>
      <c r="L106" s="20">
        <f t="shared" ref="L106:L107" si="28">+J106+K106</f>
        <v>3592.4777777777772</v>
      </c>
      <c r="M106" s="48">
        <f t="shared" ref="M106:M107" si="29">+L106*M$39</f>
        <v>1257.3672222222219</v>
      </c>
      <c r="N106" s="49">
        <f t="shared" ref="N106:N107" si="30">+L106+M106</f>
        <v>4849.8449999999993</v>
      </c>
    </row>
    <row r="107" spans="2:14" x14ac:dyDescent="0.25">
      <c r="B107" s="24">
        <v>100522247</v>
      </c>
      <c r="C107" s="25" t="s">
        <v>99</v>
      </c>
      <c r="D107" s="18">
        <v>7790360984241</v>
      </c>
      <c r="E107" s="71">
        <v>8.16</v>
      </c>
      <c r="F107" s="20">
        <v>48</v>
      </c>
      <c r="G107" s="77">
        <v>116812.71733730749</v>
      </c>
      <c r="H107" s="39">
        <f t="shared" si="24"/>
        <v>2433.5982778605726</v>
      </c>
      <c r="I107" s="40">
        <f t="shared" si="25"/>
        <v>511.05563835072024</v>
      </c>
      <c r="J107" s="38">
        <f t="shared" si="26"/>
        <v>2944.6539162112927</v>
      </c>
      <c r="K107" s="71">
        <f t="shared" si="27"/>
        <v>647.82386156648442</v>
      </c>
      <c r="L107" s="20">
        <f t="shared" si="28"/>
        <v>3592.4777777777772</v>
      </c>
      <c r="M107" s="48">
        <f t="shared" si="29"/>
        <v>1257.3672222222219</v>
      </c>
      <c r="N107" s="49">
        <f t="shared" si="30"/>
        <v>4849.8449999999993</v>
      </c>
    </row>
  </sheetData>
  <conditionalFormatting sqref="B20:C20">
    <cfRule type="cellIs" dxfId="112" priority="21" stopIfTrue="1" operator="equal">
      <formula>0</formula>
    </cfRule>
  </conditionalFormatting>
  <conditionalFormatting sqref="B27:C27">
    <cfRule type="cellIs" dxfId="111" priority="16" stopIfTrue="1" operator="equal">
      <formula>0</formula>
    </cfRule>
  </conditionalFormatting>
  <conditionalFormatting sqref="B97:C97">
    <cfRule type="cellIs" dxfId="110" priority="3" stopIfTrue="1" operator="equal">
      <formula>0</formula>
    </cfRule>
  </conditionalFormatting>
  <conditionalFormatting sqref="B63:D63">
    <cfRule type="cellIs" dxfId="109" priority="19" stopIfTrue="1" operator="equal">
      <formula>0</formula>
    </cfRule>
  </conditionalFormatting>
  <conditionalFormatting sqref="B16:F19">
    <cfRule type="cellIs" dxfId="108" priority="13" stopIfTrue="1" operator="equal">
      <formula>0</formula>
    </cfRule>
  </conditionalFormatting>
  <conditionalFormatting sqref="B69:N69">
    <cfRule type="cellIs" dxfId="107" priority="7" stopIfTrue="1" operator="equal">
      <formula>0</formula>
    </cfRule>
  </conditionalFormatting>
  <conditionalFormatting sqref="B73:N74">
    <cfRule type="cellIs" dxfId="106" priority="6" stopIfTrue="1" operator="equal">
      <formula>0</formula>
    </cfRule>
  </conditionalFormatting>
  <conditionalFormatting sqref="C28">
    <cfRule type="cellIs" dxfId="105" priority="15" stopIfTrue="1" operator="equal">
      <formula>0</formula>
    </cfRule>
  </conditionalFormatting>
  <conditionalFormatting sqref="E20:F20">
    <cfRule type="cellIs" dxfId="104" priority="20" stopIfTrue="1" operator="equal">
      <formula>0</formula>
    </cfRule>
  </conditionalFormatting>
  <conditionalFormatting sqref="E89:F94">
    <cfRule type="cellIs" dxfId="103" priority="14" stopIfTrue="1" operator="equal">
      <formula>0</formula>
    </cfRule>
  </conditionalFormatting>
  <conditionalFormatting sqref="E96:F97">
    <cfRule type="cellIs" dxfId="102" priority="4" stopIfTrue="1" operator="equal">
      <formula>0</formula>
    </cfRule>
  </conditionalFormatting>
  <conditionalFormatting sqref="E99:F99">
    <cfRule type="cellIs" dxfId="101" priority="11" stopIfTrue="1" operator="equal">
      <formula>0</formula>
    </cfRule>
  </conditionalFormatting>
  <conditionalFormatting sqref="E101:F104">
    <cfRule type="cellIs" dxfId="100" priority="9" stopIfTrue="1" operator="equal">
      <formula>0</formula>
    </cfRule>
  </conditionalFormatting>
  <conditionalFormatting sqref="E106:F107">
    <cfRule type="cellIs" dxfId="99" priority="2" stopIfTrue="1" operator="equal">
      <formula>0</formula>
    </cfRule>
  </conditionalFormatting>
  <conditionalFormatting sqref="E58:N61">
    <cfRule type="cellIs" dxfId="98" priority="17" stopIfTrue="1" operator="equal">
      <formula>0</formula>
    </cfRule>
  </conditionalFormatting>
  <conditionalFormatting sqref="G16:N20">
    <cfRule type="cellIs" dxfId="97" priority="18" stopIfTrue="1" operator="equal">
      <formula>0</formula>
    </cfRule>
  </conditionalFormatting>
  <conditionalFormatting sqref="H96:L97">
    <cfRule type="cellIs" dxfId="96" priority="12" stopIfTrue="1" operator="equal">
      <formula>0</formula>
    </cfRule>
  </conditionalFormatting>
  <conditionalFormatting sqref="H99:L99">
    <cfRule type="cellIs" dxfId="95" priority="10" stopIfTrue="1" operator="equal">
      <formula>0</formula>
    </cfRule>
  </conditionalFormatting>
  <conditionalFormatting sqref="H101:L104">
    <cfRule type="cellIs" dxfId="94" priority="8" stopIfTrue="1" operator="equal">
      <formula>0</formula>
    </cfRule>
  </conditionalFormatting>
  <conditionalFormatting sqref="H106:L107">
    <cfRule type="cellIs" dxfId="93" priority="1" stopIfTrue="1" operator="equal">
      <formula>0</formula>
    </cfRule>
  </conditionalFormatting>
  <conditionalFormatting sqref="H90:N94">
    <cfRule type="cellIs" dxfId="92" priority="5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7"/>
  <sheetViews>
    <sheetView tabSelected="1" zoomScale="90" zoomScaleNormal="90" workbookViewId="0">
      <pane xSplit="2" ySplit="2" topLeftCell="C3" activePane="bottomRight" state="frozen"/>
      <selection activeCell="C16" sqref="C16"/>
      <selection pane="topRight" activeCell="C16" sqref="C16"/>
      <selection pane="bottomLeft" activeCell="C16" sqref="C16"/>
      <selection pane="bottomRight" activeCell="G8" sqref="G8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69" bestFit="1" customWidth="1"/>
    <col min="8" max="13" width="11.42578125" customWidth="1" outlineLevel="1"/>
    <col min="14" max="14" width="11.42578125" style="62" customWidth="1"/>
  </cols>
  <sheetData>
    <row r="1" spans="2:14" s="1" customFormat="1" ht="12.75" thickBot="1" x14ac:dyDescent="0.25">
      <c r="G1" s="2"/>
      <c r="N1" s="3"/>
    </row>
    <row r="2" spans="2:14" s="1" customFormat="1" ht="36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7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2:14" s="1" customFormat="1" ht="12" x14ac:dyDescent="0.2">
      <c r="B3" s="10"/>
      <c r="C3" s="11"/>
      <c r="D3" s="12"/>
      <c r="E3" s="11"/>
      <c r="F3" s="11"/>
      <c r="G3" s="88"/>
      <c r="H3" s="13"/>
      <c r="I3" s="14">
        <v>0.21</v>
      </c>
      <c r="J3" s="13"/>
      <c r="K3" s="14">
        <v>0.35</v>
      </c>
      <c r="L3" s="13"/>
      <c r="M3" s="14">
        <v>0.45</v>
      </c>
      <c r="N3" s="15"/>
    </row>
    <row r="4" spans="2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21">
        <v>42179.009668025108</v>
      </c>
      <c r="H4" s="21">
        <f>+G4/F4</f>
        <v>1405.9669889341703</v>
      </c>
      <c r="I4" s="21">
        <f>+H4*I$3</f>
        <v>295.25306767617576</v>
      </c>
      <c r="J4" s="21">
        <f>+H4+I4</f>
        <v>1701.2200566103461</v>
      </c>
      <c r="K4" s="21">
        <f>+J4*K$3</f>
        <v>595.42701981362109</v>
      </c>
      <c r="L4" s="21">
        <f>+J4+K4</f>
        <v>2296.6470764239671</v>
      </c>
      <c r="M4" s="21">
        <f>+L4*M$3</f>
        <v>1033.4911843907853</v>
      </c>
      <c r="N4" s="22">
        <f>+L4+M4</f>
        <v>3330.1382608147524</v>
      </c>
    </row>
    <row r="5" spans="2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21">
        <v>50775.845005015697</v>
      </c>
      <c r="H5" s="21">
        <f t="shared" ref="H5:H75" si="0">+G5/F5</f>
        <v>2820.8802780564274</v>
      </c>
      <c r="I5" s="21">
        <f t="shared" ref="I5:I77" si="1">+H5*I$3</f>
        <v>592.38485839184978</v>
      </c>
      <c r="J5" s="21">
        <f t="shared" ref="J5:J77" si="2">+H5+I5</f>
        <v>3413.2651364482772</v>
      </c>
      <c r="K5" s="21">
        <f t="shared" ref="K5:K77" si="3">+J5*K$3</f>
        <v>1194.6427977568969</v>
      </c>
      <c r="L5" s="21">
        <f t="shared" ref="L5:L77" si="4">+J5+K5</f>
        <v>4607.9079342051737</v>
      </c>
      <c r="M5" s="21">
        <f t="shared" ref="M5:M77" si="5">+L5*M$3</f>
        <v>2073.5585703923284</v>
      </c>
      <c r="N5" s="22">
        <f t="shared" ref="N5:N77" si="6">+L5+M5</f>
        <v>6681.4665045975016</v>
      </c>
    </row>
    <row r="6" spans="2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21">
        <v>64362.044382319793</v>
      </c>
      <c r="H6" s="21">
        <f t="shared" si="0"/>
        <v>8045.2555477899741</v>
      </c>
      <c r="I6" s="21">
        <f t="shared" si="1"/>
        <v>1689.5036650358945</v>
      </c>
      <c r="J6" s="21">
        <f t="shared" si="2"/>
        <v>9734.7592128258693</v>
      </c>
      <c r="K6" s="21">
        <f t="shared" si="3"/>
        <v>3407.1657244890539</v>
      </c>
      <c r="L6" s="21">
        <f t="shared" si="4"/>
        <v>13141.924937314923</v>
      </c>
      <c r="M6" s="21">
        <f t="shared" si="5"/>
        <v>5913.8662217917154</v>
      </c>
      <c r="N6" s="22">
        <f t="shared" si="6"/>
        <v>19055.791159106637</v>
      </c>
    </row>
    <row r="7" spans="2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21">
        <v>78890.369934639559</v>
      </c>
      <c r="H7" s="21">
        <f t="shared" si="0"/>
        <v>13148.394989106593</v>
      </c>
      <c r="I7" s="21">
        <f t="shared" si="1"/>
        <v>2761.1629477123843</v>
      </c>
      <c r="J7" s="21">
        <f t="shared" si="2"/>
        <v>15909.557936818977</v>
      </c>
      <c r="K7" s="21">
        <f t="shared" si="3"/>
        <v>5568.3452778866422</v>
      </c>
      <c r="L7" s="21">
        <f t="shared" si="4"/>
        <v>21477.90321470562</v>
      </c>
      <c r="M7" s="21">
        <f t="shared" si="5"/>
        <v>9665.0564466175292</v>
      </c>
      <c r="N7" s="22">
        <f t="shared" si="6"/>
        <v>31142.959661323148</v>
      </c>
    </row>
    <row r="8" spans="2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21">
        <v>55676.292761793149</v>
      </c>
      <c r="H8" s="21">
        <f t="shared" si="0"/>
        <v>3093.127375655175</v>
      </c>
      <c r="I8" s="21">
        <f t="shared" si="1"/>
        <v>649.55674888758676</v>
      </c>
      <c r="J8" s="21">
        <f t="shared" si="2"/>
        <v>3742.6841245427618</v>
      </c>
      <c r="K8" s="21">
        <f t="shared" si="3"/>
        <v>1309.9394435899665</v>
      </c>
      <c r="L8" s="21">
        <f t="shared" si="4"/>
        <v>5052.623568132728</v>
      </c>
      <c r="M8" s="21">
        <f t="shared" si="5"/>
        <v>2273.6806056597275</v>
      </c>
      <c r="N8" s="22">
        <f t="shared" si="6"/>
        <v>7326.3041737924559</v>
      </c>
    </row>
    <row r="9" spans="2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21">
        <v>51337.27209303002</v>
      </c>
      <c r="H9" s="21">
        <f t="shared" si="0"/>
        <v>2852.0706718350011</v>
      </c>
      <c r="I9" s="21">
        <f t="shared" si="1"/>
        <v>598.93484108535017</v>
      </c>
      <c r="J9" s="21">
        <f t="shared" si="2"/>
        <v>3451.0055129203511</v>
      </c>
      <c r="K9" s="21">
        <f t="shared" si="3"/>
        <v>1207.8519295221229</v>
      </c>
      <c r="L9" s="21">
        <f t="shared" si="4"/>
        <v>4658.8574424424742</v>
      </c>
      <c r="M9" s="21">
        <f t="shared" si="5"/>
        <v>2096.4858490991132</v>
      </c>
      <c r="N9" s="22">
        <f t="shared" si="6"/>
        <v>6755.343291541587</v>
      </c>
    </row>
    <row r="10" spans="2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21">
        <v>29823.489028213175</v>
      </c>
      <c r="H10" s="21">
        <f>+G10/F10</f>
        <v>994.11630094043915</v>
      </c>
      <c r="I10" s="21">
        <f>+H10*I$3</f>
        <v>208.76442319749222</v>
      </c>
      <c r="J10" s="21">
        <f>+H10+I10</f>
        <v>1202.8807241379313</v>
      </c>
      <c r="K10" s="21">
        <f>+J10*K$3</f>
        <v>421.00825344827592</v>
      </c>
      <c r="L10" s="21">
        <f>+J10+K10</f>
        <v>1623.8889775862071</v>
      </c>
      <c r="M10" s="21">
        <f>+L10*M$3</f>
        <v>730.75003991379322</v>
      </c>
      <c r="N10" s="22">
        <f>+L10+M10</f>
        <v>2354.6390175000006</v>
      </c>
    </row>
    <row r="11" spans="2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21">
        <v>22771.004388714737</v>
      </c>
      <c r="H11" s="21">
        <f t="shared" si="0"/>
        <v>1897.5836990595615</v>
      </c>
      <c r="I11" s="21">
        <f t="shared" si="1"/>
        <v>398.49257680250787</v>
      </c>
      <c r="J11" s="21">
        <f t="shared" si="2"/>
        <v>2296.0762758620695</v>
      </c>
      <c r="K11" s="21">
        <f t="shared" si="3"/>
        <v>803.62669655172431</v>
      </c>
      <c r="L11" s="21">
        <f t="shared" si="4"/>
        <v>3099.7029724137938</v>
      </c>
      <c r="M11" s="21">
        <f t="shared" si="5"/>
        <v>1394.8663375862072</v>
      </c>
      <c r="N11" s="22">
        <f t="shared" si="6"/>
        <v>4494.5693100000008</v>
      </c>
    </row>
    <row r="12" spans="2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21">
        <v>49752.487274782055</v>
      </c>
      <c r="H12" s="21">
        <f t="shared" si="0"/>
        <v>6219.0609093477569</v>
      </c>
      <c r="I12" s="21">
        <f t="shared" si="1"/>
        <v>1306.0027909630289</v>
      </c>
      <c r="J12" s="21">
        <f t="shared" si="2"/>
        <v>7525.0637003107859</v>
      </c>
      <c r="K12" s="21">
        <f t="shared" si="3"/>
        <v>2633.7722951087749</v>
      </c>
      <c r="L12" s="21">
        <f t="shared" si="4"/>
        <v>10158.83599541956</v>
      </c>
      <c r="M12" s="21">
        <f t="shared" si="5"/>
        <v>4571.4761979388022</v>
      </c>
      <c r="N12" s="22">
        <f t="shared" si="6"/>
        <v>14730.312193358362</v>
      </c>
    </row>
    <row r="13" spans="2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21">
        <v>30511.691232601897</v>
      </c>
      <c r="H13" s="21">
        <f t="shared" si="0"/>
        <v>726.46883887147374</v>
      </c>
      <c r="I13" s="21">
        <f t="shared" si="1"/>
        <v>152.55845616300948</v>
      </c>
      <c r="J13" s="21">
        <f t="shared" si="2"/>
        <v>879.02729503448325</v>
      </c>
      <c r="K13" s="21">
        <f t="shared" si="3"/>
        <v>307.6595532620691</v>
      </c>
      <c r="L13" s="21">
        <f t="shared" si="4"/>
        <v>1186.6868482965524</v>
      </c>
      <c r="M13" s="21">
        <f t="shared" si="5"/>
        <v>534.00908173344862</v>
      </c>
      <c r="N13" s="22">
        <f t="shared" si="6"/>
        <v>1720.6959300300009</v>
      </c>
    </row>
    <row r="14" spans="2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21">
        <v>34314.863173961035</v>
      </c>
      <c r="H14" s="21">
        <f t="shared" si="0"/>
        <v>1634.041103521954</v>
      </c>
      <c r="I14" s="21">
        <f t="shared" si="1"/>
        <v>343.14863173961032</v>
      </c>
      <c r="J14" s="21">
        <f t="shared" si="2"/>
        <v>1977.1897352615642</v>
      </c>
      <c r="K14" s="21">
        <f t="shared" si="3"/>
        <v>692.01640734154739</v>
      </c>
      <c r="L14" s="21">
        <f t="shared" si="4"/>
        <v>2669.2061426031114</v>
      </c>
      <c r="M14" s="21">
        <f t="shared" si="5"/>
        <v>1201.1427641714001</v>
      </c>
      <c r="N14" s="22">
        <f t="shared" si="6"/>
        <v>3870.3489067745113</v>
      </c>
    </row>
    <row r="15" spans="2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21">
        <v>66855.304156739832</v>
      </c>
      <c r="H15" s="21">
        <f t="shared" si="0"/>
        <v>2228.5101385579942</v>
      </c>
      <c r="I15" s="21">
        <f t="shared" si="1"/>
        <v>467.98712909717875</v>
      </c>
      <c r="J15" s="21">
        <f t="shared" si="2"/>
        <v>2696.4972676551729</v>
      </c>
      <c r="K15" s="21">
        <f t="shared" si="3"/>
        <v>943.77404367931047</v>
      </c>
      <c r="L15" s="21">
        <f t="shared" si="4"/>
        <v>3640.2713113344835</v>
      </c>
      <c r="M15" s="21">
        <f t="shared" si="5"/>
        <v>1638.1220901005177</v>
      </c>
      <c r="N15" s="22">
        <f t="shared" si="6"/>
        <v>5278.3934014350016</v>
      </c>
    </row>
    <row r="16" spans="2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21">
        <v>56052.79545638174</v>
      </c>
      <c r="H16" s="21">
        <f t="shared" si="0"/>
        <v>2335.5331440159057</v>
      </c>
      <c r="I16" s="21">
        <f t="shared" si="1"/>
        <v>490.46196024334017</v>
      </c>
      <c r="J16" s="21">
        <f t="shared" si="2"/>
        <v>2825.9951042592456</v>
      </c>
      <c r="K16" s="21">
        <f t="shared" si="3"/>
        <v>989.09828649073586</v>
      </c>
      <c r="L16" s="21">
        <f t="shared" si="4"/>
        <v>3815.0933907499816</v>
      </c>
      <c r="M16" s="21">
        <f t="shared" si="5"/>
        <v>1716.7920258374918</v>
      </c>
      <c r="N16" s="22">
        <f t="shared" si="6"/>
        <v>5531.8854165874736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21">
        <v>69405.147209583316</v>
      </c>
      <c r="H17" s="21">
        <f>+G17/F17</f>
        <v>1927.9207558217588</v>
      </c>
      <c r="I17" s="21">
        <f>+H17*I$3</f>
        <v>404.86335872256933</v>
      </c>
      <c r="J17" s="21">
        <f>+H17+I17</f>
        <v>2332.7841145443281</v>
      </c>
      <c r="K17" s="21">
        <f>+J17*K$3</f>
        <v>816.4744400905148</v>
      </c>
      <c r="L17" s="21">
        <f>+J17+K17</f>
        <v>3149.2585546348428</v>
      </c>
      <c r="M17" s="21">
        <f>+L17*M$3</f>
        <v>1417.1663495856792</v>
      </c>
      <c r="N17" s="22">
        <f>+L17+M17</f>
        <v>4566.424904220522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21">
        <v>55590.443355789168</v>
      </c>
      <c r="H18" s="21">
        <f t="shared" si="0"/>
        <v>3088.3579642105092</v>
      </c>
      <c r="I18" s="21">
        <f t="shared" si="1"/>
        <v>648.55517248420688</v>
      </c>
      <c r="J18" s="21">
        <f t="shared" si="2"/>
        <v>3736.9131366947158</v>
      </c>
      <c r="K18" s="21">
        <f t="shared" si="3"/>
        <v>1307.9195978431505</v>
      </c>
      <c r="L18" s="21">
        <f t="shared" si="4"/>
        <v>5044.8327345378666</v>
      </c>
      <c r="M18" s="21">
        <f t="shared" si="5"/>
        <v>2270.1747305420399</v>
      </c>
      <c r="N18" s="22">
        <f t="shared" si="6"/>
        <v>7315.007465079907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>
        <v>4.7039999999999997</v>
      </c>
      <c r="F19" s="20">
        <v>42</v>
      </c>
      <c r="G19" s="21">
        <v>21089.839476127327</v>
      </c>
      <c r="H19" s="21">
        <f t="shared" si="0"/>
        <v>502.13903514588873</v>
      </c>
      <c r="I19" s="21">
        <f t="shared" si="1"/>
        <v>105.44919738063663</v>
      </c>
      <c r="J19" s="21">
        <f t="shared" si="2"/>
        <v>607.58823252652542</v>
      </c>
      <c r="K19" s="26">
        <f>+J19*0.33</f>
        <v>200.50411673375339</v>
      </c>
      <c r="L19" s="21">
        <f t="shared" si="4"/>
        <v>808.09234926027875</v>
      </c>
      <c r="M19" s="21">
        <f t="shared" si="5"/>
        <v>363.64155716712543</v>
      </c>
      <c r="N19" s="22">
        <f t="shared" si="6"/>
        <v>1171.7339064274042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21">
        <v>16737.230888594171</v>
      </c>
      <c r="H20" s="21">
        <f t="shared" si="0"/>
        <v>1394.769240716181</v>
      </c>
      <c r="I20" s="21">
        <f t="shared" si="1"/>
        <v>292.90154055039801</v>
      </c>
      <c r="J20" s="21">
        <f t="shared" si="2"/>
        <v>1687.6707812665791</v>
      </c>
      <c r="K20" s="26">
        <f>+J20*0.33</f>
        <v>556.93135781797116</v>
      </c>
      <c r="L20" s="21">
        <f t="shared" si="4"/>
        <v>2244.6021390845503</v>
      </c>
      <c r="M20" s="21">
        <f t="shared" si="5"/>
        <v>1010.0709625880477</v>
      </c>
      <c r="N20" s="22">
        <f t="shared" si="6"/>
        <v>3254.673101672598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21">
        <v>52286.133616622552</v>
      </c>
      <c r="H21" s="21">
        <f t="shared" si="0"/>
        <v>871.43556027704255</v>
      </c>
      <c r="I21" s="21">
        <f t="shared" si="1"/>
        <v>183.00146765817894</v>
      </c>
      <c r="J21" s="21">
        <f t="shared" si="2"/>
        <v>1054.4370279352215</v>
      </c>
      <c r="K21" s="21">
        <f t="shared" si="3"/>
        <v>369.05295977732749</v>
      </c>
      <c r="L21" s="21">
        <f t="shared" si="4"/>
        <v>1423.489987712549</v>
      </c>
      <c r="M21" s="21">
        <f t="shared" si="5"/>
        <v>640.57049447064708</v>
      </c>
      <c r="N21" s="22">
        <f t="shared" si="6"/>
        <v>2064.0604821831962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21">
        <v>42882.940853975058</v>
      </c>
      <c r="H22" s="21">
        <f t="shared" si="0"/>
        <v>714.7156808995843</v>
      </c>
      <c r="I22" s="21">
        <f t="shared" si="1"/>
        <v>150.09029298891269</v>
      </c>
      <c r="J22" s="21">
        <f t="shared" si="2"/>
        <v>864.80597388849696</v>
      </c>
      <c r="K22" s="21">
        <f t="shared" si="3"/>
        <v>302.68209086097391</v>
      </c>
      <c r="L22" s="21">
        <f t="shared" si="4"/>
        <v>1167.4880647494708</v>
      </c>
      <c r="M22" s="21">
        <f t="shared" si="5"/>
        <v>525.36962913726188</v>
      </c>
      <c r="N22" s="22">
        <f t="shared" si="6"/>
        <v>1692.8576938867327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21">
        <v>39023.233048076399</v>
      </c>
      <c r="H23" s="21">
        <f t="shared" si="0"/>
        <v>650.38721746793999</v>
      </c>
      <c r="I23" s="21">
        <f t="shared" si="1"/>
        <v>136.58131566826739</v>
      </c>
      <c r="J23" s="21">
        <f t="shared" si="2"/>
        <v>786.96853313620738</v>
      </c>
      <c r="K23" s="21">
        <f t="shared" si="3"/>
        <v>275.43898659767257</v>
      </c>
      <c r="L23" s="21">
        <f t="shared" si="4"/>
        <v>1062.40751973388</v>
      </c>
      <c r="M23" s="21">
        <f t="shared" si="5"/>
        <v>478.083383880246</v>
      </c>
      <c r="N23" s="22">
        <f t="shared" si="6"/>
        <v>1540.490903614126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21">
        <v>45244.35203863302</v>
      </c>
      <c r="H24" s="21">
        <f t="shared" si="0"/>
        <v>754.07253397721695</v>
      </c>
      <c r="I24" s="21">
        <f t="shared" si="1"/>
        <v>158.35523213521554</v>
      </c>
      <c r="J24" s="21">
        <f t="shared" si="2"/>
        <v>912.42776611243244</v>
      </c>
      <c r="K24" s="21">
        <f t="shared" si="3"/>
        <v>319.34971813935135</v>
      </c>
      <c r="L24" s="21">
        <f t="shared" si="4"/>
        <v>1231.7774842517838</v>
      </c>
      <c r="M24" s="21">
        <f t="shared" si="5"/>
        <v>554.29986791330271</v>
      </c>
      <c r="N24" s="22">
        <f t="shared" si="6"/>
        <v>1786.0773521650865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21">
        <v>64667.28610012462</v>
      </c>
      <c r="H25" s="21">
        <f t="shared" si="0"/>
        <v>1077.7881016687436</v>
      </c>
      <c r="I25" s="21">
        <f t="shared" si="1"/>
        <v>226.33550135043615</v>
      </c>
      <c r="J25" s="21">
        <f t="shared" si="2"/>
        <v>1304.1236030191797</v>
      </c>
      <c r="K25" s="21">
        <f t="shared" si="3"/>
        <v>456.44326105671286</v>
      </c>
      <c r="L25" s="21">
        <f t="shared" si="4"/>
        <v>1760.5668640758925</v>
      </c>
      <c r="M25" s="21">
        <f t="shared" si="5"/>
        <v>792.25508883415159</v>
      </c>
      <c r="N25" s="22">
        <f t="shared" si="6"/>
        <v>2552.8219529100443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21">
        <v>149620.03162527084</v>
      </c>
      <c r="H26" s="21">
        <f t="shared" si="0"/>
        <v>3117.0839921931424</v>
      </c>
      <c r="I26" s="21">
        <f t="shared" si="1"/>
        <v>654.58763836055994</v>
      </c>
      <c r="J26" s="21">
        <f t="shared" si="2"/>
        <v>3771.6716305537025</v>
      </c>
      <c r="K26" s="21">
        <f t="shared" si="3"/>
        <v>1320.0850706937958</v>
      </c>
      <c r="L26" s="21">
        <f t="shared" si="4"/>
        <v>5091.7567012474983</v>
      </c>
      <c r="M26" s="21">
        <f t="shared" si="5"/>
        <v>2291.2905155613744</v>
      </c>
      <c r="N26" s="22">
        <f t="shared" si="6"/>
        <v>7383.0472168088727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21">
        <v>74547.677437555685</v>
      </c>
      <c r="H27" s="21">
        <f t="shared" si="0"/>
        <v>2070.7688177098803</v>
      </c>
      <c r="I27" s="21">
        <f t="shared" si="1"/>
        <v>434.86145171907486</v>
      </c>
      <c r="J27" s="21">
        <f t="shared" si="2"/>
        <v>2505.6302694289552</v>
      </c>
      <c r="K27" s="21">
        <f t="shared" si="3"/>
        <v>876.97059430013428</v>
      </c>
      <c r="L27" s="21">
        <f t="shared" si="4"/>
        <v>3382.6008637290897</v>
      </c>
      <c r="M27" s="21">
        <f t="shared" si="5"/>
        <v>1522.1703886780904</v>
      </c>
      <c r="N27" s="22">
        <f t="shared" si="6"/>
        <v>4904.7712524071803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21">
        <v>58039.509836990605</v>
      </c>
      <c r="H28" s="21">
        <f t="shared" si="0"/>
        <v>1934.6503278996868</v>
      </c>
      <c r="I28" s="21">
        <f t="shared" si="1"/>
        <v>406.27656885893418</v>
      </c>
      <c r="J28" s="21">
        <f t="shared" si="2"/>
        <v>2340.9268967586208</v>
      </c>
      <c r="K28" s="21">
        <f t="shared" si="3"/>
        <v>819.32441386551727</v>
      </c>
      <c r="L28" s="21">
        <f t="shared" si="4"/>
        <v>3160.2513106241381</v>
      </c>
      <c r="M28" s="21">
        <f t="shared" si="5"/>
        <v>1422.1130897808621</v>
      </c>
      <c r="N28" s="22">
        <f t="shared" si="6"/>
        <v>4582.3644004050002</v>
      </c>
    </row>
    <row r="29" spans="2:14" x14ac:dyDescent="0.25">
      <c r="B29" s="30"/>
      <c r="C29" s="31"/>
      <c r="D29" s="32"/>
      <c r="E29" s="31"/>
      <c r="F29" s="33"/>
      <c r="G29" s="33"/>
      <c r="H29" s="35" t="e">
        <f t="shared" si="0"/>
        <v>#DIV/0!</v>
      </c>
      <c r="I29" s="36">
        <v>0.21</v>
      </c>
      <c r="J29" s="35"/>
      <c r="K29" s="36">
        <v>0.35</v>
      </c>
      <c r="L29" s="35"/>
      <c r="M29" s="36">
        <v>0.5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21">
        <v>24521.07279693487</v>
      </c>
      <c r="H30" s="21">
        <f t="shared" si="0"/>
        <v>1021.7113665389529</v>
      </c>
      <c r="I30" s="21">
        <f t="shared" si="1"/>
        <v>214.5593869731801</v>
      </c>
      <c r="J30" s="21">
        <f t="shared" si="2"/>
        <v>1236.2707535121331</v>
      </c>
      <c r="K30" s="21">
        <f t="shared" si="3"/>
        <v>432.69476372924657</v>
      </c>
      <c r="L30" s="21">
        <f t="shared" si="4"/>
        <v>1668.9655172413795</v>
      </c>
      <c r="M30" s="21">
        <f t="shared" si="5"/>
        <v>751.03448275862081</v>
      </c>
      <c r="N30" s="22">
        <f t="shared" si="6"/>
        <v>2420.0000000000005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21">
        <v>24521.07279693487</v>
      </c>
      <c r="H31" s="21">
        <f t="shared" si="0"/>
        <v>1021.7113665389529</v>
      </c>
      <c r="I31" s="21">
        <f t="shared" si="1"/>
        <v>214.5593869731801</v>
      </c>
      <c r="J31" s="21">
        <f t="shared" si="2"/>
        <v>1236.2707535121331</v>
      </c>
      <c r="K31" s="21">
        <f t="shared" si="3"/>
        <v>432.69476372924657</v>
      </c>
      <c r="L31" s="21">
        <f t="shared" si="4"/>
        <v>1668.9655172413795</v>
      </c>
      <c r="M31" s="21">
        <f t="shared" si="5"/>
        <v>751.03448275862081</v>
      </c>
      <c r="N31" s="22">
        <f t="shared" si="6"/>
        <v>2420.0000000000005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21">
        <v>23295.019157088125</v>
      </c>
      <c r="H32" s="21">
        <f t="shared" si="0"/>
        <v>1941.2515964240104</v>
      </c>
      <c r="I32" s="21">
        <f t="shared" si="1"/>
        <v>407.66283524904213</v>
      </c>
      <c r="J32" s="21">
        <f t="shared" si="2"/>
        <v>2348.9144316730526</v>
      </c>
      <c r="K32" s="21">
        <f t="shared" si="3"/>
        <v>822.12005108556832</v>
      </c>
      <c r="L32" s="21">
        <f t="shared" si="4"/>
        <v>3171.0344827586209</v>
      </c>
      <c r="M32" s="21">
        <f t="shared" si="5"/>
        <v>1426.9655172413795</v>
      </c>
      <c r="N32" s="22">
        <f t="shared" si="6"/>
        <v>4598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21">
        <v>23295.019157088125</v>
      </c>
      <c r="H33" s="21">
        <f t="shared" si="0"/>
        <v>1941.2515964240104</v>
      </c>
      <c r="I33" s="21">
        <f t="shared" si="1"/>
        <v>407.66283524904213</v>
      </c>
      <c r="J33" s="21">
        <f t="shared" si="2"/>
        <v>2348.9144316730526</v>
      </c>
      <c r="K33" s="21">
        <f t="shared" si="3"/>
        <v>822.12005108556832</v>
      </c>
      <c r="L33" s="21">
        <f t="shared" si="4"/>
        <v>3171.0344827586209</v>
      </c>
      <c r="M33" s="21">
        <f t="shared" si="5"/>
        <v>1426.9655172413795</v>
      </c>
      <c r="N33" s="22">
        <f t="shared" si="6"/>
        <v>4598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21">
        <v>18881.912643678159</v>
      </c>
      <c r="H34" s="21">
        <f t="shared" si="0"/>
        <v>786.74636015325666</v>
      </c>
      <c r="I34" s="21">
        <f t="shared" si="1"/>
        <v>165.21673563218388</v>
      </c>
      <c r="J34" s="21">
        <f t="shared" si="2"/>
        <v>951.9630957854406</v>
      </c>
      <c r="K34" s="21">
        <f t="shared" si="3"/>
        <v>333.18708352490421</v>
      </c>
      <c r="L34" s="21">
        <f t="shared" si="4"/>
        <v>1285.1501793103448</v>
      </c>
      <c r="M34" s="21">
        <f t="shared" si="5"/>
        <v>578.31758068965519</v>
      </c>
      <c r="N34" s="22">
        <f t="shared" si="6"/>
        <v>1863.46776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21">
        <v>61645.968390268135</v>
      </c>
      <c r="H35" s="21">
        <f t="shared" si="0"/>
        <v>6164.5968390268135</v>
      </c>
      <c r="I35" s="21">
        <f t="shared" si="1"/>
        <v>1294.5653361956308</v>
      </c>
      <c r="J35" s="21">
        <f t="shared" si="2"/>
        <v>7459.1621752224446</v>
      </c>
      <c r="K35" s="21">
        <f t="shared" si="3"/>
        <v>2610.7067613278555</v>
      </c>
      <c r="L35" s="21">
        <f t="shared" si="4"/>
        <v>10069.8689365503</v>
      </c>
      <c r="M35" s="21">
        <f t="shared" si="5"/>
        <v>4531.4410214476347</v>
      </c>
      <c r="N35" s="22">
        <f t="shared" si="6"/>
        <v>14601.309957997935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21">
        <v>61645.968390268135</v>
      </c>
      <c r="H36" s="21">
        <f t="shared" si="0"/>
        <v>6164.5968390268135</v>
      </c>
      <c r="I36" s="21">
        <f t="shared" si="1"/>
        <v>1294.5653361956308</v>
      </c>
      <c r="J36" s="21">
        <f t="shared" si="2"/>
        <v>7459.1621752224446</v>
      </c>
      <c r="K36" s="21">
        <f t="shared" si="3"/>
        <v>2610.7067613278555</v>
      </c>
      <c r="L36" s="21">
        <f t="shared" si="4"/>
        <v>10069.8689365503</v>
      </c>
      <c r="M36" s="21">
        <f t="shared" si="5"/>
        <v>4531.4410214476347</v>
      </c>
      <c r="N36" s="22">
        <f t="shared" si="6"/>
        <v>14601.309957997935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21">
        <v>17361.948396431158</v>
      </c>
      <c r="H37" s="21">
        <f t="shared" si="0"/>
        <v>723.4145165179649</v>
      </c>
      <c r="I37" s="21">
        <f t="shared" si="1"/>
        <v>151.91704846877263</v>
      </c>
      <c r="J37" s="21">
        <f t="shared" si="2"/>
        <v>875.33156498673748</v>
      </c>
      <c r="K37" s="26">
        <f>+J37*0.33</f>
        <v>288.85941644562337</v>
      </c>
      <c r="L37" s="21">
        <f t="shared" si="4"/>
        <v>1164.1909814323608</v>
      </c>
      <c r="M37" s="21">
        <f t="shared" si="5"/>
        <v>523.88594164456242</v>
      </c>
      <c r="N37" s="22">
        <f t="shared" si="6"/>
        <v>1688.0769230769233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21">
        <v>70230.313521249351</v>
      </c>
      <c r="H38" s="21">
        <f t="shared" si="0"/>
        <v>7023.0313521249354</v>
      </c>
      <c r="I38" s="21">
        <f t="shared" si="1"/>
        <v>1474.8365839462365</v>
      </c>
      <c r="J38" s="21">
        <f t="shared" si="2"/>
        <v>8497.8679360711722</v>
      </c>
      <c r="K38" s="21">
        <f>+J38*0.33</f>
        <v>2804.2964189034869</v>
      </c>
      <c r="L38" s="21">
        <f t="shared" si="4"/>
        <v>11302.164354974659</v>
      </c>
      <c r="M38" s="21">
        <f t="shared" si="5"/>
        <v>5085.9739597385969</v>
      </c>
      <c r="N38" s="22">
        <f t="shared" si="6"/>
        <v>16388.138314713255</v>
      </c>
    </row>
    <row r="39" spans="2:14" x14ac:dyDescent="0.25">
      <c r="B39" s="30"/>
      <c r="C39" s="31"/>
      <c r="D39" s="32"/>
      <c r="E39" s="31"/>
      <c r="F39" s="33"/>
      <c r="G39" s="33"/>
      <c r="H39" s="35" t="e">
        <f t="shared" si="0"/>
        <v>#DIV/0!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21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21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/>
      <c r="E42" s="19">
        <v>2.16</v>
      </c>
      <c r="F42" s="20">
        <v>24</v>
      </c>
      <c r="G42" s="21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/>
      <c r="E43" s="19">
        <v>2.16</v>
      </c>
      <c r="F43" s="20">
        <v>24</v>
      </c>
      <c r="G43" s="21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21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21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21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21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21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21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21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21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21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21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21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21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21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33"/>
      <c r="H57" s="35" t="e">
        <f t="shared" si="0"/>
        <v>#DIV/0!</v>
      </c>
      <c r="I57" s="36">
        <v>0.21</v>
      </c>
      <c r="J57" s="35"/>
      <c r="K57" s="36">
        <v>0.35</v>
      </c>
      <c r="L57" s="35"/>
      <c r="M57" s="36">
        <v>0.5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21">
        <v>27571.142125078</v>
      </c>
      <c r="H58" s="21">
        <f t="shared" si="0"/>
        <v>1378.5571062539</v>
      </c>
      <c r="I58" s="21">
        <f t="shared" si="1"/>
        <v>289.49699231331897</v>
      </c>
      <c r="J58" s="21">
        <f t="shared" si="2"/>
        <v>1668.0540985672189</v>
      </c>
      <c r="K58" s="21">
        <f t="shared" si="3"/>
        <v>583.81893449852657</v>
      </c>
      <c r="L58" s="21">
        <f t="shared" si="4"/>
        <v>2251.8730330657454</v>
      </c>
      <c r="M58" s="21">
        <f t="shared" si="5"/>
        <v>1013.3428648795855</v>
      </c>
      <c r="N58" s="22">
        <f t="shared" si="6"/>
        <v>3265.2158979453307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21">
        <v>38594.846410714905</v>
      </c>
      <c r="H59" s="21">
        <f t="shared" si="0"/>
        <v>1929.7423205357452</v>
      </c>
      <c r="I59" s="21">
        <f t="shared" si="1"/>
        <v>405.24588731250645</v>
      </c>
      <c r="J59" s="21">
        <f t="shared" si="2"/>
        <v>2334.9882078482515</v>
      </c>
      <c r="K59" s="21">
        <f t="shared" si="3"/>
        <v>817.24587274688793</v>
      </c>
      <c r="L59" s="21">
        <f t="shared" si="4"/>
        <v>3152.2340805951394</v>
      </c>
      <c r="M59" s="21">
        <f t="shared" si="5"/>
        <v>1418.5053362678127</v>
      </c>
      <c r="N59" s="22">
        <f t="shared" si="6"/>
        <v>4570.7394168629526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21">
        <v>38594.846410714905</v>
      </c>
      <c r="H60" s="21">
        <f t="shared" si="0"/>
        <v>1929.7423205357452</v>
      </c>
      <c r="I60" s="21">
        <f t="shared" si="1"/>
        <v>405.24588731250645</v>
      </c>
      <c r="J60" s="21">
        <f t="shared" si="2"/>
        <v>2334.9882078482515</v>
      </c>
      <c r="K60" s="21">
        <f t="shared" si="3"/>
        <v>817.24587274688793</v>
      </c>
      <c r="L60" s="21">
        <f t="shared" si="4"/>
        <v>3152.2340805951394</v>
      </c>
      <c r="M60" s="21">
        <f t="shared" si="5"/>
        <v>1418.5053362678127</v>
      </c>
      <c r="N60" s="22">
        <f t="shared" si="6"/>
        <v>4570.7394168629526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21">
        <v>38594.846410714905</v>
      </c>
      <c r="H61" s="21">
        <f t="shared" si="0"/>
        <v>1929.7423205357452</v>
      </c>
      <c r="I61" s="21">
        <f t="shared" si="1"/>
        <v>405.24588731250645</v>
      </c>
      <c r="J61" s="21">
        <f t="shared" si="2"/>
        <v>2334.9882078482515</v>
      </c>
      <c r="K61" s="21">
        <f t="shared" si="3"/>
        <v>817.24587274688793</v>
      </c>
      <c r="L61" s="21">
        <f t="shared" si="4"/>
        <v>3152.2340805951394</v>
      </c>
      <c r="M61" s="21">
        <f t="shared" si="5"/>
        <v>1418.5053362678127</v>
      </c>
      <c r="N61" s="22">
        <f t="shared" si="6"/>
        <v>4570.7394168629526</v>
      </c>
    </row>
    <row r="62" spans="2:14" x14ac:dyDescent="0.25">
      <c r="B62" s="30"/>
      <c r="C62" s="31"/>
      <c r="D62" s="32"/>
      <c r="E62" s="31"/>
      <c r="F62" s="33"/>
      <c r="G62" s="33"/>
      <c r="H62" s="35" t="e">
        <f t="shared" si="0"/>
        <v>#DIV/0!</v>
      </c>
      <c r="I62" s="36">
        <v>0.21</v>
      </c>
      <c r="J62" s="35"/>
      <c r="K62" s="36">
        <v>0.35</v>
      </c>
      <c r="L62" s="35"/>
      <c r="M62" s="36">
        <v>0.5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21">
        <v>41455.299372666384</v>
      </c>
      <c r="H63" s="21">
        <f t="shared" si="0"/>
        <v>3454.6082810555322</v>
      </c>
      <c r="I63" s="21">
        <f t="shared" si="1"/>
        <v>725.46773902166171</v>
      </c>
      <c r="J63" s="21">
        <f t="shared" si="2"/>
        <v>4180.0760200771938</v>
      </c>
      <c r="K63" s="21">
        <f t="shared" si="3"/>
        <v>1463.0266070270177</v>
      </c>
      <c r="L63" s="21">
        <f t="shared" si="4"/>
        <v>5643.1026271042119</v>
      </c>
      <c r="M63" s="21">
        <f t="shared" si="5"/>
        <v>2539.3961821968956</v>
      </c>
      <c r="N63" s="22">
        <f t="shared" si="6"/>
        <v>8182.498809301107</v>
      </c>
    </row>
    <row r="64" spans="2:14" x14ac:dyDescent="0.25">
      <c r="B64" s="24">
        <v>100021705</v>
      </c>
      <c r="C64" s="25" t="s">
        <v>66</v>
      </c>
      <c r="D64" s="18">
        <v>7790360024336</v>
      </c>
      <c r="E64" s="19">
        <f>12*0.38</f>
        <v>4.5600000000000005</v>
      </c>
      <c r="F64" s="20">
        <v>12</v>
      </c>
      <c r="G64" s="21">
        <v>37683.831852857693</v>
      </c>
      <c r="H64" s="21">
        <f t="shared" si="0"/>
        <v>3140.3193210714744</v>
      </c>
      <c r="I64" s="21">
        <f t="shared" si="1"/>
        <v>659.46705742500956</v>
      </c>
      <c r="J64" s="21">
        <f t="shared" si="2"/>
        <v>3799.7863784964838</v>
      </c>
      <c r="K64" s="21">
        <f t="shared" si="3"/>
        <v>1329.9252324737693</v>
      </c>
      <c r="L64" s="21">
        <f t="shared" si="4"/>
        <v>5129.7116109702529</v>
      </c>
      <c r="M64" s="21">
        <f t="shared" si="5"/>
        <v>2308.3702249366138</v>
      </c>
      <c r="N64" s="22">
        <f t="shared" si="6"/>
        <v>7438.0818359068671</v>
      </c>
    </row>
    <row r="65" spans="2:14" x14ac:dyDescent="0.25">
      <c r="B65" s="24">
        <v>100021709</v>
      </c>
      <c r="C65" s="25" t="s">
        <v>67</v>
      </c>
      <c r="D65" s="18">
        <v>7790360024701</v>
      </c>
      <c r="E65" s="19">
        <v>7.6</v>
      </c>
      <c r="F65" s="20">
        <v>10</v>
      </c>
      <c r="G65" s="21">
        <v>60469.386535052479</v>
      </c>
      <c r="H65" s="21">
        <f t="shared" si="0"/>
        <v>6046.9386535052481</v>
      </c>
      <c r="I65" s="21">
        <f t="shared" si="1"/>
        <v>1269.8571172361021</v>
      </c>
      <c r="J65" s="21">
        <f t="shared" si="2"/>
        <v>7316.7957707413498</v>
      </c>
      <c r="K65" s="21">
        <f t="shared" si="3"/>
        <v>2560.8785197594721</v>
      </c>
      <c r="L65" s="21">
        <f t="shared" si="4"/>
        <v>9877.6742905008214</v>
      </c>
      <c r="M65" s="21">
        <f t="shared" si="5"/>
        <v>4444.9534307253698</v>
      </c>
      <c r="N65" s="22">
        <f t="shared" si="6"/>
        <v>14322.627721226192</v>
      </c>
    </row>
    <row r="66" spans="2:14" x14ac:dyDescent="0.25">
      <c r="B66" s="24">
        <v>100521357</v>
      </c>
      <c r="C66" s="25" t="s">
        <v>68</v>
      </c>
      <c r="D66" s="18">
        <v>7790360982018</v>
      </c>
      <c r="E66" s="19">
        <v>4.5599999999999996</v>
      </c>
      <c r="F66" s="20">
        <v>12</v>
      </c>
      <c r="G66" s="21">
        <v>48595.608600000021</v>
      </c>
      <c r="H66" s="21">
        <f t="shared" si="0"/>
        <v>4049.6340500000019</v>
      </c>
      <c r="I66" s="21">
        <f t="shared" si="1"/>
        <v>850.42315050000036</v>
      </c>
      <c r="J66" s="21">
        <f t="shared" si="2"/>
        <v>4900.0572005000022</v>
      </c>
      <c r="K66" s="21">
        <f t="shared" si="3"/>
        <v>1715.0200201750006</v>
      </c>
      <c r="L66" s="21">
        <f t="shared" si="4"/>
        <v>6615.0772206750025</v>
      </c>
      <c r="M66" s="21">
        <f t="shared" si="5"/>
        <v>2976.7847493037511</v>
      </c>
      <c r="N66" s="22">
        <f t="shared" si="6"/>
        <v>9591.8619699787541</v>
      </c>
    </row>
    <row r="67" spans="2:14" x14ac:dyDescent="0.25">
      <c r="B67" s="24">
        <v>100521358</v>
      </c>
      <c r="C67" s="25" t="s">
        <v>69</v>
      </c>
      <c r="D67" s="18">
        <v>7790360982025</v>
      </c>
      <c r="E67" s="19">
        <v>7.6</v>
      </c>
      <c r="F67" s="20">
        <v>10</v>
      </c>
      <c r="G67" s="21">
        <v>72893.412900000025</v>
      </c>
      <c r="H67" s="21">
        <f t="shared" si="0"/>
        <v>7289.3412900000021</v>
      </c>
      <c r="I67" s="21">
        <f t="shared" si="1"/>
        <v>1530.7616709000004</v>
      </c>
      <c r="J67" s="21">
        <f t="shared" si="2"/>
        <v>8820.1029609000034</v>
      </c>
      <c r="K67" s="21">
        <f t="shared" si="3"/>
        <v>3087.0360363150012</v>
      </c>
      <c r="L67" s="21">
        <f t="shared" si="4"/>
        <v>11907.138997215005</v>
      </c>
      <c r="M67" s="21">
        <f t="shared" si="5"/>
        <v>5358.212548746752</v>
      </c>
      <c r="N67" s="22">
        <f t="shared" si="6"/>
        <v>17265.351545961756</v>
      </c>
    </row>
    <row r="68" spans="2:14" x14ac:dyDescent="0.25">
      <c r="B68" s="24">
        <v>100522130</v>
      </c>
      <c r="C68" s="25" t="s">
        <v>70</v>
      </c>
      <c r="D68" s="18">
        <v>7790360982445</v>
      </c>
      <c r="E68" s="19">
        <v>4.8</v>
      </c>
      <c r="F68" s="20">
        <v>12</v>
      </c>
      <c r="G68" s="21">
        <v>38154.376987650016</v>
      </c>
      <c r="H68" s="21">
        <f t="shared" si="0"/>
        <v>3179.5314156375011</v>
      </c>
      <c r="I68" s="21">
        <f t="shared" si="1"/>
        <v>667.70159728387523</v>
      </c>
      <c r="J68" s="21">
        <f t="shared" si="2"/>
        <v>3847.2330129213765</v>
      </c>
      <c r="K68" s="21">
        <f t="shared" si="3"/>
        <v>1346.5315545224817</v>
      </c>
      <c r="L68" s="21">
        <f t="shared" si="4"/>
        <v>5193.7645674438581</v>
      </c>
      <c r="M68" s="21">
        <f t="shared" si="5"/>
        <v>2337.1940553497361</v>
      </c>
      <c r="N68" s="22">
        <f t="shared" si="6"/>
        <v>7530.9586227935943</v>
      </c>
    </row>
    <row r="69" spans="2:14" x14ac:dyDescent="0.25">
      <c r="B69" s="41">
        <v>100021725</v>
      </c>
      <c r="C69" s="40" t="s">
        <v>71</v>
      </c>
      <c r="D69" s="38">
        <v>7790360027009</v>
      </c>
      <c r="E69" s="42">
        <v>6</v>
      </c>
      <c r="F69" s="43">
        <v>4</v>
      </c>
      <c r="G69" s="44">
        <v>31255.569913892599</v>
      </c>
      <c r="H69" s="44">
        <f t="shared" si="0"/>
        <v>7813.8924784731498</v>
      </c>
      <c r="I69" s="44">
        <f t="shared" si="1"/>
        <v>1640.9174204793615</v>
      </c>
      <c r="J69" s="44">
        <f t="shared" si="2"/>
        <v>9454.8098989525115</v>
      </c>
      <c r="K69" s="44">
        <f t="shared" si="3"/>
        <v>3309.1834646333787</v>
      </c>
      <c r="L69" s="44">
        <f t="shared" si="4"/>
        <v>12763.993363585891</v>
      </c>
      <c r="M69" s="44">
        <f t="shared" si="5"/>
        <v>5743.797013613651</v>
      </c>
      <c r="N69" s="45">
        <f t="shared" si="6"/>
        <v>18507.790377199541</v>
      </c>
    </row>
    <row r="70" spans="2:14" x14ac:dyDescent="0.25">
      <c r="B70" s="24">
        <v>100517055</v>
      </c>
      <c r="C70" s="25" t="s">
        <v>72</v>
      </c>
      <c r="D70" s="18">
        <v>7790360971135</v>
      </c>
      <c r="E70" s="19">
        <v>3.12</v>
      </c>
      <c r="F70" s="20">
        <v>12</v>
      </c>
      <c r="G70" s="21">
        <v>31213.60900094096</v>
      </c>
      <c r="H70" s="21">
        <f t="shared" si="0"/>
        <v>2601.1340834117468</v>
      </c>
      <c r="I70" s="21">
        <f t="shared" si="1"/>
        <v>546.2381575164668</v>
      </c>
      <c r="J70" s="21">
        <f t="shared" si="2"/>
        <v>3147.3722409282136</v>
      </c>
      <c r="K70" s="21">
        <f t="shared" si="3"/>
        <v>1101.5802843248746</v>
      </c>
      <c r="L70" s="21">
        <f t="shared" si="4"/>
        <v>4248.9525252530884</v>
      </c>
      <c r="M70" s="21">
        <f t="shared" si="5"/>
        <v>1912.0286363638897</v>
      </c>
      <c r="N70" s="22">
        <f t="shared" si="6"/>
        <v>6160.9811616169782</v>
      </c>
    </row>
    <row r="71" spans="2:14" x14ac:dyDescent="0.25">
      <c r="B71" s="24">
        <v>100517186</v>
      </c>
      <c r="C71" s="25" t="s">
        <v>73</v>
      </c>
      <c r="D71" s="18">
        <v>7790360971395</v>
      </c>
      <c r="E71" s="19">
        <v>8</v>
      </c>
      <c r="F71" s="20">
        <v>8</v>
      </c>
      <c r="G71" s="21">
        <v>78871.461568832005</v>
      </c>
      <c r="H71" s="21">
        <f t="shared" si="0"/>
        <v>9858.9326961040006</v>
      </c>
      <c r="I71" s="21">
        <f t="shared" si="1"/>
        <v>2070.3758661818401</v>
      </c>
      <c r="J71" s="21">
        <f t="shared" si="2"/>
        <v>11929.308562285842</v>
      </c>
      <c r="K71" s="21">
        <f t="shared" si="3"/>
        <v>4175.2579968000446</v>
      </c>
      <c r="L71" s="21">
        <f t="shared" si="4"/>
        <v>16104.566559085886</v>
      </c>
      <c r="M71" s="21">
        <f t="shared" si="5"/>
        <v>7247.0549515886487</v>
      </c>
      <c r="N71" s="22">
        <f t="shared" si="6"/>
        <v>23351.621510674537</v>
      </c>
    </row>
    <row r="72" spans="2:14" x14ac:dyDescent="0.25">
      <c r="B72" s="24">
        <v>100521663</v>
      </c>
      <c r="C72" s="25" t="s">
        <v>74</v>
      </c>
      <c r="D72" s="18">
        <v>7790360982537</v>
      </c>
      <c r="E72" s="19">
        <v>4.8</v>
      </c>
      <c r="F72" s="20">
        <v>12</v>
      </c>
      <c r="G72" s="21">
        <v>41797.283176593519</v>
      </c>
      <c r="H72" s="21">
        <f t="shared" si="0"/>
        <v>3483.1069313827934</v>
      </c>
      <c r="I72" s="21">
        <f t="shared" si="1"/>
        <v>731.45245559038653</v>
      </c>
      <c r="J72" s="21">
        <f t="shared" si="2"/>
        <v>4214.5593869731802</v>
      </c>
      <c r="K72" s="21">
        <f t="shared" si="3"/>
        <v>1475.0957854406129</v>
      </c>
      <c r="L72" s="21">
        <f t="shared" si="4"/>
        <v>5689.6551724137935</v>
      </c>
      <c r="M72" s="21">
        <f t="shared" si="5"/>
        <v>2560.344827586207</v>
      </c>
      <c r="N72" s="22">
        <f t="shared" si="6"/>
        <v>8250</v>
      </c>
    </row>
    <row r="73" spans="2:14" x14ac:dyDescent="0.25">
      <c r="B73" s="41">
        <v>100021728</v>
      </c>
      <c r="C73" s="40" t="s">
        <v>75</v>
      </c>
      <c r="D73" s="38">
        <v>7790360967558</v>
      </c>
      <c r="E73" s="42">
        <v>3.84</v>
      </c>
      <c r="F73" s="43">
        <v>12</v>
      </c>
      <c r="G73" s="44">
        <v>39236.851140679726</v>
      </c>
      <c r="H73" s="44">
        <f t="shared" si="0"/>
        <v>3269.7375950566438</v>
      </c>
      <c r="I73" s="44">
        <f t="shared" si="1"/>
        <v>686.64489496189515</v>
      </c>
      <c r="J73" s="44">
        <f t="shared" si="2"/>
        <v>3956.3824900185391</v>
      </c>
      <c r="K73" s="44">
        <f t="shared" si="3"/>
        <v>1384.7338715064886</v>
      </c>
      <c r="L73" s="44">
        <f t="shared" si="4"/>
        <v>5341.116361525028</v>
      </c>
      <c r="M73" s="44">
        <f t="shared" si="5"/>
        <v>2403.5023626862626</v>
      </c>
      <c r="N73" s="45">
        <f t="shared" si="6"/>
        <v>7744.6187242112901</v>
      </c>
    </row>
    <row r="74" spans="2:14" x14ac:dyDescent="0.25">
      <c r="B74" s="41">
        <v>100517679</v>
      </c>
      <c r="C74" s="40" t="s">
        <v>76</v>
      </c>
      <c r="D74" s="38">
        <v>7790360973498</v>
      </c>
      <c r="E74" s="42">
        <v>7.68</v>
      </c>
      <c r="F74" s="43">
        <v>8</v>
      </c>
      <c r="G74" s="44">
        <v>39413.592299367461</v>
      </c>
      <c r="H74" s="44">
        <f t="shared" si="0"/>
        <v>4926.6990374209327</v>
      </c>
      <c r="I74" s="44">
        <f t="shared" si="1"/>
        <v>1034.6067978583958</v>
      </c>
      <c r="J74" s="44">
        <f t="shared" si="2"/>
        <v>5961.3058352793287</v>
      </c>
      <c r="K74" s="44">
        <f t="shared" si="3"/>
        <v>2086.4570423477649</v>
      </c>
      <c r="L74" s="44">
        <f t="shared" si="4"/>
        <v>8047.762877627094</v>
      </c>
      <c r="M74" s="44">
        <f t="shared" si="5"/>
        <v>3621.4932949321924</v>
      </c>
      <c r="N74" s="45">
        <f t="shared" si="6"/>
        <v>11669.256172559286</v>
      </c>
    </row>
    <row r="75" spans="2:14" x14ac:dyDescent="0.25">
      <c r="B75" s="30"/>
      <c r="C75" s="31"/>
      <c r="D75" s="32"/>
      <c r="E75" s="31"/>
      <c r="F75" s="33"/>
      <c r="G75" s="34" t="e">
        <v>#VALUE!</v>
      </c>
      <c r="H75" s="35" t="e">
        <f t="shared" si="0"/>
        <v>#VALUE!</v>
      </c>
      <c r="I75" s="36">
        <v>0.21</v>
      </c>
      <c r="J75" s="35"/>
      <c r="K75" s="36">
        <v>0.35</v>
      </c>
      <c r="L75" s="35"/>
      <c r="M75" s="36">
        <v>0.5</v>
      </c>
      <c r="N75" s="37"/>
    </row>
    <row r="76" spans="2:14" hidden="1" x14ac:dyDescent="0.25">
      <c r="B76" s="24">
        <v>100516219</v>
      </c>
      <c r="C76" s="25" t="s">
        <v>77</v>
      </c>
      <c r="D76" s="46">
        <v>7790360967770</v>
      </c>
      <c r="E76" s="19">
        <v>10</v>
      </c>
      <c r="F76" s="20">
        <v>25</v>
      </c>
      <c r="G76" s="21">
        <v>18259.399891781304</v>
      </c>
      <c r="H76" s="21">
        <f t="shared" ref="H76:H84" si="9">+G76/F76</f>
        <v>730.37599567125221</v>
      </c>
      <c r="I76" s="21">
        <f t="shared" si="1"/>
        <v>153.37895909096295</v>
      </c>
      <c r="J76" s="21">
        <f t="shared" si="2"/>
        <v>883.75495476221522</v>
      </c>
      <c r="K76" s="21">
        <f t="shared" si="3"/>
        <v>309.31423416677529</v>
      </c>
      <c r="L76" s="21">
        <f t="shared" si="4"/>
        <v>1193.0691889289906</v>
      </c>
      <c r="M76" s="21">
        <f t="shared" si="5"/>
        <v>536.88113501804582</v>
      </c>
      <c r="N76" s="22">
        <f t="shared" si="6"/>
        <v>1729.9503239470364</v>
      </c>
    </row>
    <row r="77" spans="2:14" hidden="1" x14ac:dyDescent="0.25">
      <c r="B77" s="24">
        <v>100516220</v>
      </c>
      <c r="C77" s="25" t="s">
        <v>78</v>
      </c>
      <c r="D77" s="46">
        <v>7790360967787</v>
      </c>
      <c r="E77" s="19">
        <v>12</v>
      </c>
      <c r="F77" s="20">
        <v>6</v>
      </c>
      <c r="G77" s="21">
        <v>19613.921820029205</v>
      </c>
      <c r="H77" s="21">
        <f t="shared" si="9"/>
        <v>3268.9869700048675</v>
      </c>
      <c r="I77" s="21">
        <f t="shared" si="1"/>
        <v>686.48726370102213</v>
      </c>
      <c r="J77" s="21">
        <f t="shared" si="2"/>
        <v>3955.4742337058897</v>
      </c>
      <c r="K77" s="21">
        <f t="shared" si="3"/>
        <v>1384.4159817970612</v>
      </c>
      <c r="L77" s="21">
        <f t="shared" si="4"/>
        <v>5339.8902155029509</v>
      </c>
      <c r="M77" s="21">
        <f t="shared" si="5"/>
        <v>2402.9505969763281</v>
      </c>
      <c r="N77" s="22">
        <f t="shared" si="6"/>
        <v>7742.8408124792786</v>
      </c>
    </row>
    <row r="78" spans="2:14" ht="15.75" hidden="1" thickBot="1" x14ac:dyDescent="0.3">
      <c r="B78" s="80"/>
      <c r="C78" s="81"/>
      <c r="D78" s="82"/>
      <c r="E78" s="81"/>
      <c r="F78" s="83"/>
      <c r="G78" s="89" t="e">
        <v>#VALUE!</v>
      </c>
      <c r="H78" s="35" t="e">
        <f t="shared" si="9"/>
        <v>#VALUE!</v>
      </c>
      <c r="I78" s="36"/>
      <c r="J78" s="35"/>
      <c r="K78" s="36"/>
      <c r="L78" s="35"/>
      <c r="M78" s="36"/>
      <c r="N78" s="37"/>
    </row>
    <row r="79" spans="2:14" x14ac:dyDescent="0.25">
      <c r="B79" s="29">
        <v>100518158</v>
      </c>
      <c r="C79" s="25" t="s">
        <v>79</v>
      </c>
      <c r="D79" s="50">
        <v>7790360974280</v>
      </c>
      <c r="E79" s="19">
        <v>12</v>
      </c>
      <c r="F79" s="20">
        <v>24</v>
      </c>
      <c r="G79" s="21">
        <v>75339.602925809828</v>
      </c>
      <c r="H79" s="21">
        <f t="shared" si="9"/>
        <v>3139.1501219087427</v>
      </c>
      <c r="I79" s="21">
        <f>+H79*I$3</f>
        <v>659.22152560083589</v>
      </c>
      <c r="J79" s="21">
        <f>+H79+I79</f>
        <v>3798.3716475095785</v>
      </c>
      <c r="K79" s="21">
        <f>+J79*K$3</f>
        <v>1329.4300766283525</v>
      </c>
      <c r="L79" s="21">
        <f>+J79+K79</f>
        <v>5127.8017241379312</v>
      </c>
      <c r="M79" s="21">
        <f>+L79*M$3</f>
        <v>2307.5107758620693</v>
      </c>
      <c r="N79" s="22">
        <f>+L79+M79</f>
        <v>7435.3125</v>
      </c>
    </row>
    <row r="80" spans="2:14" x14ac:dyDescent="0.25">
      <c r="B80" s="29">
        <v>100518160</v>
      </c>
      <c r="C80" s="25" t="s">
        <v>80</v>
      </c>
      <c r="D80" s="50">
        <v>7790360974686</v>
      </c>
      <c r="E80" s="19">
        <v>12</v>
      </c>
      <c r="F80" s="20">
        <v>12</v>
      </c>
      <c r="G80" s="21">
        <v>75339.602925809828</v>
      </c>
      <c r="H80" s="21">
        <f t="shared" si="9"/>
        <v>6278.3002438174854</v>
      </c>
      <c r="I80" s="21">
        <f>+H80*I$3</f>
        <v>1318.4430512016718</v>
      </c>
      <c r="J80" s="21">
        <f>+H80+I80</f>
        <v>7596.7432950191569</v>
      </c>
      <c r="K80" s="21">
        <f>+J80*K$3</f>
        <v>2658.860153256705</v>
      </c>
      <c r="L80" s="21">
        <f>+J80+K80</f>
        <v>10255.603448275862</v>
      </c>
      <c r="M80" s="21">
        <f>+L80*M$3</f>
        <v>4615.0215517241386</v>
      </c>
      <c r="N80" s="22">
        <f>+L80+M80</f>
        <v>14870.625</v>
      </c>
    </row>
    <row r="81" spans="2:14" x14ac:dyDescent="0.25">
      <c r="B81" s="29">
        <v>100518463</v>
      </c>
      <c r="C81" s="25" t="s">
        <v>102</v>
      </c>
      <c r="D81" s="50"/>
      <c r="E81" s="19">
        <v>5</v>
      </c>
      <c r="F81" s="20">
        <v>1</v>
      </c>
      <c r="G81" s="21">
        <v>36693.267187500001</v>
      </c>
      <c r="H81" s="21">
        <f t="shared" si="9"/>
        <v>36693.267187500001</v>
      </c>
      <c r="I81" s="21">
        <f>+H81*I$3</f>
        <v>7705.586109375</v>
      </c>
      <c r="J81" s="21">
        <f>+H81+I81</f>
        <v>44398.853296875001</v>
      </c>
      <c r="K81" s="21">
        <f>+J81*K$3</f>
        <v>15539.598653906249</v>
      </c>
      <c r="L81" s="21">
        <f>+J81+K81</f>
        <v>59938.451950781251</v>
      </c>
      <c r="M81" s="21">
        <f>+L81*M$3</f>
        <v>26972.303377851564</v>
      </c>
      <c r="N81" s="22">
        <f>+L81+M81</f>
        <v>86910.755328632818</v>
      </c>
    </row>
    <row r="82" spans="2:14" ht="15.75" thickBot="1" x14ac:dyDescent="0.3">
      <c r="B82" s="54"/>
      <c r="C82" s="55"/>
      <c r="D82" s="56"/>
      <c r="E82" s="55"/>
      <c r="F82" s="57"/>
      <c r="G82" s="58" t="e">
        <v>#VALUE!</v>
      </c>
      <c r="H82" s="35" t="e">
        <f t="shared" si="9"/>
        <v>#VALUE!</v>
      </c>
      <c r="I82" s="36"/>
      <c r="J82" s="35"/>
      <c r="K82" s="36"/>
      <c r="L82" s="35"/>
      <c r="M82" s="36"/>
      <c r="N82" s="37"/>
    </row>
    <row r="83" spans="2:14" x14ac:dyDescent="0.25">
      <c r="B83" s="63">
        <v>100518291</v>
      </c>
      <c r="C83" s="64" t="s">
        <v>81</v>
      </c>
      <c r="D83" s="47">
        <v>7790360975195</v>
      </c>
      <c r="E83" s="65">
        <v>5</v>
      </c>
      <c r="F83" s="65">
        <v>10</v>
      </c>
      <c r="G83" s="48">
        <v>17536.686967689053</v>
      </c>
      <c r="H83" s="48">
        <f t="shared" si="9"/>
        <v>1753.6686967689052</v>
      </c>
      <c r="I83" s="48">
        <f>+H83*I$3</f>
        <v>368.2704263214701</v>
      </c>
      <c r="J83" s="48">
        <f>+H83+I83</f>
        <v>2121.9391230903752</v>
      </c>
      <c r="K83" s="48">
        <f>+J83*K$39</f>
        <v>466.82660707988254</v>
      </c>
      <c r="L83" s="48">
        <f>+J83+K83</f>
        <v>2588.7657301702579</v>
      </c>
      <c r="M83" s="48">
        <f>+L83*M$39</f>
        <v>906.06800555959023</v>
      </c>
      <c r="N83" s="49">
        <f>+L83+M83</f>
        <v>3494.8337357298483</v>
      </c>
    </row>
    <row r="84" spans="2:14" ht="15.75" thickBot="1" x14ac:dyDescent="0.3">
      <c r="B84" s="66">
        <v>100518292</v>
      </c>
      <c r="C84" s="67" t="s">
        <v>82</v>
      </c>
      <c r="D84" s="51">
        <v>7790360975201</v>
      </c>
      <c r="E84" s="68">
        <v>12</v>
      </c>
      <c r="F84" s="68">
        <v>12</v>
      </c>
      <c r="G84" s="52">
        <v>41380.323708459917</v>
      </c>
      <c r="H84" s="52">
        <f t="shared" si="9"/>
        <v>3448.3603090383262</v>
      </c>
      <c r="I84" s="52">
        <f>+H84*I$3</f>
        <v>724.15566489804849</v>
      </c>
      <c r="J84" s="52">
        <f>+H84+I84</f>
        <v>4172.5159739363744</v>
      </c>
      <c r="K84" s="52">
        <f>+J84*K$39</f>
        <v>917.95351426600234</v>
      </c>
      <c r="L84" s="52">
        <f>+J84+K84</f>
        <v>5090.4694882023769</v>
      </c>
      <c r="M84" s="52">
        <f>+L84*M$39</f>
        <v>1781.6643208708317</v>
      </c>
      <c r="N84" s="53">
        <f>+L84+M84</f>
        <v>6872.1338090732088</v>
      </c>
    </row>
    <row r="85" spans="2:14" ht="15.75" thickBot="1" x14ac:dyDescent="0.3">
      <c r="B85" s="54"/>
      <c r="C85" s="55"/>
      <c r="D85" s="56"/>
      <c r="E85" s="55"/>
      <c r="F85" s="57"/>
      <c r="G85" s="58" t="e">
        <v>#VALUE!</v>
      </c>
      <c r="H85" s="35" t="e">
        <f>+G85/F85</f>
        <v>#VALUE!</v>
      </c>
      <c r="I85" s="36">
        <v>0.105</v>
      </c>
      <c r="J85" s="35"/>
      <c r="K85" s="36">
        <v>0.3</v>
      </c>
      <c r="L85" s="35"/>
      <c r="M85" s="36">
        <v>0.4</v>
      </c>
      <c r="N85" s="37"/>
    </row>
    <row r="86" spans="2:14" x14ac:dyDescent="0.25">
      <c r="B86" s="63">
        <v>100517915</v>
      </c>
      <c r="C86" s="64" t="s">
        <v>83</v>
      </c>
      <c r="D86" s="47">
        <v>7790360974020</v>
      </c>
      <c r="E86" s="65">
        <v>18</v>
      </c>
      <c r="F86" s="65">
        <v>36</v>
      </c>
      <c r="G86" s="48">
        <v>160512.01231783535</v>
      </c>
      <c r="H86" s="48">
        <f>+G86/F86</f>
        <v>4458.6670088287601</v>
      </c>
      <c r="I86" s="48">
        <f>+H86*I$85</f>
        <v>468.16003592701981</v>
      </c>
      <c r="J86" s="48">
        <f>+H86+I86</f>
        <v>4926.8270447557798</v>
      </c>
      <c r="K86" s="48">
        <f>+J86*K$85</f>
        <v>1478.0481134267338</v>
      </c>
      <c r="L86" s="48">
        <f>+J86+K86</f>
        <v>6404.8751581825136</v>
      </c>
      <c r="M86" s="48">
        <f>+L86*M$85</f>
        <v>2561.9500632730055</v>
      </c>
      <c r="N86" s="49">
        <f>+L86+M86</f>
        <v>8966.8252214555196</v>
      </c>
    </row>
    <row r="87" spans="2:14" ht="15.75" thickBot="1" x14ac:dyDescent="0.3">
      <c r="B87" s="66">
        <v>100517914</v>
      </c>
      <c r="C87" s="67" t="s">
        <v>84</v>
      </c>
      <c r="D87" s="51">
        <v>7790360974037</v>
      </c>
      <c r="E87" s="68">
        <v>20</v>
      </c>
      <c r="F87" s="68">
        <v>20</v>
      </c>
      <c r="G87" s="52">
        <v>175154.27477482893</v>
      </c>
      <c r="H87" s="52">
        <f>+G87/F87</f>
        <v>8757.7137387414459</v>
      </c>
      <c r="I87" s="52">
        <f>+H87*I$85</f>
        <v>919.55994256785175</v>
      </c>
      <c r="J87" s="52">
        <f>+H87+I87</f>
        <v>9677.2736813092979</v>
      </c>
      <c r="K87" s="52">
        <f>+J87*K$85</f>
        <v>2903.1821043927894</v>
      </c>
      <c r="L87" s="52">
        <f>+J87+K87</f>
        <v>12580.455785702088</v>
      </c>
      <c r="M87" s="52">
        <f>+L87*M$85</f>
        <v>5032.1823142808353</v>
      </c>
      <c r="N87" s="53">
        <f>+L87+M87</f>
        <v>17612.638099982923</v>
      </c>
    </row>
    <row r="88" spans="2:14" ht="15.75" thickBot="1" x14ac:dyDescent="0.3">
      <c r="B88" s="54"/>
      <c r="C88" s="55"/>
      <c r="D88" s="56"/>
      <c r="E88" s="55"/>
      <c r="F88" s="57"/>
      <c r="G88" s="58"/>
      <c r="H88" s="59"/>
      <c r="I88" s="70">
        <v>0.105</v>
      </c>
      <c r="J88" s="59"/>
      <c r="K88" s="60">
        <v>0.3</v>
      </c>
      <c r="L88" s="59"/>
      <c r="M88" s="60">
        <v>0.4</v>
      </c>
      <c r="N88" s="61"/>
    </row>
    <row r="89" spans="2:14" x14ac:dyDescent="0.25">
      <c r="B89" s="24">
        <v>100010689</v>
      </c>
      <c r="C89" s="25" t="s">
        <v>85</v>
      </c>
      <c r="D89" s="18"/>
      <c r="E89" s="71">
        <v>22</v>
      </c>
      <c r="F89" s="20">
        <v>1</v>
      </c>
      <c r="G89" s="21">
        <v>15714.285714285716</v>
      </c>
      <c r="H89" s="48">
        <f t="shared" ref="H89:H94" si="10">+G89/F89</f>
        <v>15714.285714285716</v>
      </c>
      <c r="I89" s="48">
        <f t="shared" ref="I89:I94" si="11">+H89*I$88</f>
        <v>1650</v>
      </c>
      <c r="J89" s="48">
        <f t="shared" ref="J89:J94" si="12">+H89+I89</f>
        <v>17364.285714285717</v>
      </c>
      <c r="K89" s="48">
        <f t="shared" ref="K89:K94" si="13">+J89*K$88</f>
        <v>5209.2857142857147</v>
      </c>
      <c r="L89" s="48">
        <f t="shared" ref="L89:L94" si="14">+J89+K89</f>
        <v>22573.571428571431</v>
      </c>
      <c r="M89" s="48">
        <f t="shared" ref="M89:M94" si="15">+L89*M$88</f>
        <v>9029.4285714285725</v>
      </c>
      <c r="N89" s="49">
        <f t="shared" ref="N89:N94" si="16">+L89+M89</f>
        <v>31603.000000000004</v>
      </c>
    </row>
    <row r="90" spans="2:14" x14ac:dyDescent="0.25">
      <c r="B90" s="24">
        <v>100518335</v>
      </c>
      <c r="C90" s="25" t="s">
        <v>86</v>
      </c>
      <c r="D90" s="18"/>
      <c r="E90" s="71">
        <v>22.5</v>
      </c>
      <c r="F90" s="20">
        <v>1</v>
      </c>
      <c r="G90" s="21">
        <v>11224.489795918369</v>
      </c>
      <c r="H90" s="21">
        <f t="shared" si="10"/>
        <v>11224.489795918369</v>
      </c>
      <c r="I90" s="21">
        <f t="shared" si="11"/>
        <v>1178.5714285714287</v>
      </c>
      <c r="J90" s="21">
        <f t="shared" si="12"/>
        <v>12403.061224489798</v>
      </c>
      <c r="K90" s="21">
        <f t="shared" si="13"/>
        <v>3720.9183673469392</v>
      </c>
      <c r="L90" s="21">
        <f t="shared" si="14"/>
        <v>16123.979591836738</v>
      </c>
      <c r="M90" s="21">
        <f t="shared" si="15"/>
        <v>6449.5918367346958</v>
      </c>
      <c r="N90" s="22">
        <f t="shared" si="16"/>
        <v>22573.571428571435</v>
      </c>
    </row>
    <row r="91" spans="2:14" x14ac:dyDescent="0.25">
      <c r="B91" s="24">
        <v>100518332</v>
      </c>
      <c r="C91" s="25" t="s">
        <v>87</v>
      </c>
      <c r="D91" s="18"/>
      <c r="E91" s="71">
        <v>21.5</v>
      </c>
      <c r="F91" s="20">
        <v>1</v>
      </c>
      <c r="G91" s="21">
        <v>12908.163265306122</v>
      </c>
      <c r="H91" s="21">
        <f t="shared" si="10"/>
        <v>12908.163265306122</v>
      </c>
      <c r="I91" s="21">
        <f t="shared" si="11"/>
        <v>1355.3571428571429</v>
      </c>
      <c r="J91" s="21">
        <f t="shared" si="12"/>
        <v>14263.520408163266</v>
      </c>
      <c r="K91" s="21">
        <f t="shared" si="13"/>
        <v>4279.0561224489793</v>
      </c>
      <c r="L91" s="21">
        <f t="shared" si="14"/>
        <v>18542.576530612245</v>
      </c>
      <c r="M91" s="21">
        <f t="shared" si="15"/>
        <v>7417.0306122448983</v>
      </c>
      <c r="N91" s="22">
        <f t="shared" si="16"/>
        <v>25959.607142857145</v>
      </c>
    </row>
    <row r="92" spans="2:14" x14ac:dyDescent="0.25">
      <c r="B92" s="24">
        <v>100518334</v>
      </c>
      <c r="C92" s="25" t="s">
        <v>88</v>
      </c>
      <c r="D92" s="18"/>
      <c r="E92" s="71">
        <v>22.5</v>
      </c>
      <c r="F92" s="20">
        <v>1</v>
      </c>
      <c r="G92" s="21">
        <v>11448.979591836736</v>
      </c>
      <c r="H92" s="21">
        <f t="shared" si="10"/>
        <v>11448.979591836736</v>
      </c>
      <c r="I92" s="21">
        <f t="shared" si="11"/>
        <v>1202.1428571428573</v>
      </c>
      <c r="J92" s="21">
        <f t="shared" si="12"/>
        <v>12651.122448979593</v>
      </c>
      <c r="K92" s="21">
        <f t="shared" si="13"/>
        <v>3795.3367346938776</v>
      </c>
      <c r="L92" s="21">
        <f t="shared" si="14"/>
        <v>16446.459183673469</v>
      </c>
      <c r="M92" s="21">
        <f t="shared" si="15"/>
        <v>6578.5836734693876</v>
      </c>
      <c r="N92" s="22">
        <f t="shared" si="16"/>
        <v>23025.042857142857</v>
      </c>
    </row>
    <row r="93" spans="2:14" x14ac:dyDescent="0.25">
      <c r="B93" s="24">
        <v>100518227</v>
      </c>
      <c r="C93" s="25" t="s">
        <v>89</v>
      </c>
      <c r="D93" s="18"/>
      <c r="E93" s="71">
        <v>22.5</v>
      </c>
      <c r="F93" s="20">
        <v>1</v>
      </c>
      <c r="G93" s="21">
        <v>13244.897959183672</v>
      </c>
      <c r="H93" s="21">
        <f t="shared" si="10"/>
        <v>13244.897959183672</v>
      </c>
      <c r="I93" s="21">
        <f t="shared" si="11"/>
        <v>1390.7142857142856</v>
      </c>
      <c r="J93" s="21">
        <f t="shared" si="12"/>
        <v>14635.612244897959</v>
      </c>
      <c r="K93" s="21">
        <f t="shared" si="13"/>
        <v>4390.683673469387</v>
      </c>
      <c r="L93" s="21">
        <f t="shared" si="14"/>
        <v>19026.295918367345</v>
      </c>
      <c r="M93" s="21">
        <f t="shared" si="15"/>
        <v>7610.5183673469382</v>
      </c>
      <c r="N93" s="22">
        <f t="shared" si="16"/>
        <v>26636.814285714281</v>
      </c>
    </row>
    <row r="94" spans="2:14" x14ac:dyDescent="0.25">
      <c r="B94" s="72">
        <v>100027726</v>
      </c>
      <c r="C94" s="73" t="s">
        <v>90</v>
      </c>
      <c r="D94" s="74"/>
      <c r="E94" s="71">
        <v>22.5</v>
      </c>
      <c r="F94" s="20">
        <v>1</v>
      </c>
      <c r="G94" s="21">
        <v>6814.5000000000009</v>
      </c>
      <c r="H94" s="21">
        <f t="shared" si="10"/>
        <v>6814.5000000000009</v>
      </c>
      <c r="I94" s="21">
        <f t="shared" si="11"/>
        <v>715.52250000000004</v>
      </c>
      <c r="J94" s="21">
        <f t="shared" si="12"/>
        <v>7530.0225000000009</v>
      </c>
      <c r="K94" s="21">
        <f t="shared" si="13"/>
        <v>2259.00675</v>
      </c>
      <c r="L94" s="21">
        <f t="shared" si="14"/>
        <v>9789.0292500000014</v>
      </c>
      <c r="M94" s="21">
        <f t="shared" si="15"/>
        <v>3915.6117000000008</v>
      </c>
      <c r="N94" s="22">
        <f t="shared" si="16"/>
        <v>13704.640950000003</v>
      </c>
    </row>
    <row r="95" spans="2:14" ht="15.75" thickBot="1" x14ac:dyDescent="0.3">
      <c r="B95" s="54"/>
      <c r="C95" s="55"/>
      <c r="D95" s="56"/>
      <c r="E95" s="55"/>
      <c r="F95" s="57"/>
      <c r="G95" s="58"/>
      <c r="H95" s="59"/>
      <c r="I95" s="70">
        <v>0.21</v>
      </c>
      <c r="J95" s="59"/>
      <c r="K95" s="60">
        <v>0.35</v>
      </c>
      <c r="L95" s="59"/>
      <c r="M95" s="60">
        <v>0.45</v>
      </c>
      <c r="N95" s="61"/>
    </row>
    <row r="96" spans="2:14" ht="15.75" thickBot="1" x14ac:dyDescent="0.3">
      <c r="B96" s="24">
        <v>100520837</v>
      </c>
      <c r="C96" s="25" t="s">
        <v>91</v>
      </c>
      <c r="D96" s="18">
        <v>7790360980625</v>
      </c>
      <c r="E96" s="71">
        <v>4.8</v>
      </c>
      <c r="F96" s="20">
        <v>12</v>
      </c>
      <c r="G96" s="21">
        <v>35756.175548589337</v>
      </c>
      <c r="H96" s="39">
        <f>+G96/F96</f>
        <v>2979.6812957157781</v>
      </c>
      <c r="I96" s="40">
        <f>+H96*I$95</f>
        <v>625.73307210031339</v>
      </c>
      <c r="J96" s="38">
        <f>+H96+I96</f>
        <v>3605.4143678160917</v>
      </c>
      <c r="K96" s="71">
        <f>+J96*K$95</f>
        <v>1261.895028735632</v>
      </c>
      <c r="L96" s="20">
        <f>+J96+K96</f>
        <v>4867.3093965517237</v>
      </c>
      <c r="M96" s="48">
        <f>+L96*M$95</f>
        <v>2190.2892284482759</v>
      </c>
      <c r="N96" s="49">
        <f>+L96+M96</f>
        <v>7057.5986249999996</v>
      </c>
    </row>
    <row r="97" spans="2:14" x14ac:dyDescent="0.25">
      <c r="B97" s="39">
        <v>100522395</v>
      </c>
      <c r="C97" s="40" t="s">
        <v>92</v>
      </c>
      <c r="D97" s="74"/>
      <c r="E97" s="71">
        <v>4.8</v>
      </c>
      <c r="F97" s="20">
        <v>12</v>
      </c>
      <c r="G97" s="21">
        <v>36471.292000000001</v>
      </c>
      <c r="H97" s="39">
        <f>+G97/F97</f>
        <v>3039.2743333333333</v>
      </c>
      <c r="I97" s="40">
        <f>+H97*I$95</f>
        <v>638.24761000000001</v>
      </c>
      <c r="J97" s="38">
        <f>+H97+I97</f>
        <v>3677.5219433333332</v>
      </c>
      <c r="K97" s="71">
        <f>+J97*K$95</f>
        <v>1287.1326801666664</v>
      </c>
      <c r="L97" s="20">
        <f>+J97+K97</f>
        <v>4964.6546234999996</v>
      </c>
      <c r="M97" s="48">
        <f>+L97*M$95</f>
        <v>2234.0945805749998</v>
      </c>
      <c r="N97" s="49">
        <f>+L97+M97</f>
        <v>7198.7492040749994</v>
      </c>
    </row>
    <row r="98" spans="2:14" ht="15.75" thickBot="1" x14ac:dyDescent="0.3">
      <c r="B98" s="54"/>
      <c r="C98" s="55"/>
      <c r="D98" s="56"/>
      <c r="E98" s="55"/>
      <c r="F98" s="57"/>
      <c r="G98" s="58"/>
      <c r="H98" s="59"/>
      <c r="I98" s="70">
        <v>0.21</v>
      </c>
      <c r="J98" s="59"/>
      <c r="K98" s="60">
        <v>0.35</v>
      </c>
      <c r="L98" s="59"/>
      <c r="M98" s="60">
        <v>0.45</v>
      </c>
      <c r="N98" s="61"/>
    </row>
    <row r="99" spans="2:14" x14ac:dyDescent="0.25">
      <c r="B99" s="24">
        <v>100520902</v>
      </c>
      <c r="C99" s="25" t="s">
        <v>93</v>
      </c>
      <c r="D99" s="18">
        <v>7790360981042</v>
      </c>
      <c r="E99" s="71">
        <v>9.8000000000000007</v>
      </c>
      <c r="F99" s="20">
        <v>14</v>
      </c>
      <c r="G99" s="21">
        <v>32345.802856147693</v>
      </c>
      <c r="H99" s="39">
        <f>+G99/F99</f>
        <v>2310.4144897248352</v>
      </c>
      <c r="I99" s="40">
        <f>+H99*I$98</f>
        <v>485.18704284221536</v>
      </c>
      <c r="J99" s="38">
        <f>+H99+I99</f>
        <v>2795.6015325670505</v>
      </c>
      <c r="K99" s="71">
        <f>+J99*K$98</f>
        <v>978.46053639846764</v>
      </c>
      <c r="L99" s="20">
        <f>+J99+K99</f>
        <v>3774.0620689655179</v>
      </c>
      <c r="M99" s="48">
        <f>+L99*M$98</f>
        <v>1698.3279310344831</v>
      </c>
      <c r="N99" s="49">
        <f>+L99+M99</f>
        <v>5472.3900000000012</v>
      </c>
    </row>
    <row r="100" spans="2:14" ht="15.75" thickBot="1" x14ac:dyDescent="0.3">
      <c r="B100" s="54"/>
      <c r="C100" s="55"/>
      <c r="D100" s="56"/>
      <c r="E100" s="55"/>
      <c r="F100" s="57"/>
      <c r="G100" s="58"/>
      <c r="H100" s="59"/>
      <c r="I100" s="70">
        <v>0.21</v>
      </c>
      <c r="J100" s="59"/>
      <c r="K100" s="60">
        <v>0.35</v>
      </c>
      <c r="L100" s="59"/>
      <c r="M100" s="60">
        <v>0.45</v>
      </c>
      <c r="N100" s="61"/>
    </row>
    <row r="101" spans="2:14" ht="15.75" thickBot="1" x14ac:dyDescent="0.3">
      <c r="B101" s="24">
        <v>100521457</v>
      </c>
      <c r="C101" s="25" t="s">
        <v>94</v>
      </c>
      <c r="D101" s="18">
        <v>7790360982254</v>
      </c>
      <c r="E101" s="71">
        <v>4.8</v>
      </c>
      <c r="F101" s="20">
        <v>16</v>
      </c>
      <c r="G101" s="21">
        <v>36127.899686520381</v>
      </c>
      <c r="H101" s="39">
        <f>+G101/F101</f>
        <v>2257.9937304075238</v>
      </c>
      <c r="I101" s="40">
        <f>+H101*I$100</f>
        <v>474.17868338557997</v>
      </c>
      <c r="J101" s="38">
        <f>+H101+I101</f>
        <v>2732.1724137931037</v>
      </c>
      <c r="K101" s="71">
        <f>+J101*K$100</f>
        <v>956.26034482758621</v>
      </c>
      <c r="L101" s="20">
        <f>+J101+K101</f>
        <v>3688.43275862069</v>
      </c>
      <c r="M101" s="48">
        <f>+L101*M$100</f>
        <v>1659.7947413793106</v>
      </c>
      <c r="N101" s="49">
        <f>+L101+M101</f>
        <v>5348.2275000000009</v>
      </c>
    </row>
    <row r="102" spans="2:14" ht="15.75" thickBot="1" x14ac:dyDescent="0.3">
      <c r="B102" s="24">
        <v>100521455</v>
      </c>
      <c r="C102" s="25" t="s">
        <v>95</v>
      </c>
      <c r="D102" s="18">
        <v>7790360982247</v>
      </c>
      <c r="E102" s="71">
        <v>4.8</v>
      </c>
      <c r="F102" s="20">
        <v>16</v>
      </c>
      <c r="G102" s="21">
        <v>36127.899686520381</v>
      </c>
      <c r="H102" s="39">
        <f t="shared" ref="H102:H104" si="17">+G102/F102</f>
        <v>2257.9937304075238</v>
      </c>
      <c r="I102" s="40">
        <f t="shared" ref="I102:I104" si="18">+H102*I$100</f>
        <v>474.17868338557997</v>
      </c>
      <c r="J102" s="38">
        <f t="shared" ref="J102:J104" si="19">+H102+I102</f>
        <v>2732.1724137931037</v>
      </c>
      <c r="K102" s="71">
        <f t="shared" ref="K102:K104" si="20">+J102*K$100</f>
        <v>956.26034482758621</v>
      </c>
      <c r="L102" s="20">
        <f t="shared" ref="L102:L104" si="21">+J102+K102</f>
        <v>3688.43275862069</v>
      </c>
      <c r="M102" s="48">
        <f t="shared" ref="M102:M104" si="22">+L102*M$100</f>
        <v>1659.7947413793106</v>
      </c>
      <c r="N102" s="49">
        <f t="shared" ref="N102:N104" si="23">+L102+M102</f>
        <v>5348.2275000000009</v>
      </c>
    </row>
    <row r="103" spans="2:14" ht="15.75" thickBot="1" x14ac:dyDescent="0.3">
      <c r="B103" s="24">
        <v>100521453</v>
      </c>
      <c r="C103" s="25" t="s">
        <v>96</v>
      </c>
      <c r="D103" s="18">
        <v>7790360982223</v>
      </c>
      <c r="E103" s="71">
        <v>5.4</v>
      </c>
      <c r="F103" s="20">
        <v>18</v>
      </c>
      <c r="G103" s="21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x14ac:dyDescent="0.25">
      <c r="B104" s="24">
        <v>100521454</v>
      </c>
      <c r="C104" s="25" t="s">
        <v>97</v>
      </c>
      <c r="D104" s="18">
        <v>7790360982230</v>
      </c>
      <c r="E104" s="71">
        <v>5.3999999999999995</v>
      </c>
      <c r="F104" s="20">
        <v>18</v>
      </c>
      <c r="G104" s="21">
        <v>35563.401253918506</v>
      </c>
      <c r="H104" s="39">
        <f t="shared" si="17"/>
        <v>1975.7445141065837</v>
      </c>
      <c r="I104" s="40">
        <f t="shared" si="18"/>
        <v>414.90634796238254</v>
      </c>
      <c r="J104" s="38">
        <f t="shared" si="19"/>
        <v>2390.650862068966</v>
      </c>
      <c r="K104" s="71">
        <f t="shared" si="20"/>
        <v>836.72780172413809</v>
      </c>
      <c r="L104" s="20">
        <f t="shared" si="21"/>
        <v>3227.3786637931044</v>
      </c>
      <c r="M104" s="48">
        <f t="shared" si="22"/>
        <v>1452.3203987068971</v>
      </c>
      <c r="N104" s="49">
        <f t="shared" si="23"/>
        <v>4679.6990625000017</v>
      </c>
    </row>
    <row r="105" spans="2:14" ht="15.75" thickBot="1" x14ac:dyDescent="0.3">
      <c r="B105" s="54"/>
      <c r="C105" s="55"/>
      <c r="D105" s="56"/>
      <c r="E105" s="55"/>
      <c r="F105" s="57"/>
      <c r="G105" s="58"/>
      <c r="H105" s="59"/>
      <c r="I105" s="70">
        <v>0.21</v>
      </c>
      <c r="J105" s="59"/>
      <c r="K105" s="60">
        <v>0.22</v>
      </c>
      <c r="L105" s="59"/>
      <c r="M105" s="60">
        <v>0.35</v>
      </c>
      <c r="N105" s="61"/>
    </row>
    <row r="106" spans="2:14" ht="15.75" thickBot="1" x14ac:dyDescent="0.3">
      <c r="B106" s="24">
        <v>100522246</v>
      </c>
      <c r="C106" s="25" t="s">
        <v>98</v>
      </c>
      <c r="D106" s="18">
        <v>7790360984234</v>
      </c>
      <c r="E106" s="71">
        <v>8.16</v>
      </c>
      <c r="F106" s="20">
        <v>48</v>
      </c>
      <c r="G106" s="77">
        <v>116812.71733730749</v>
      </c>
      <c r="H106" s="39">
        <f t="shared" ref="H106:H107" si="24">+G106/F106</f>
        <v>2433.5982778605726</v>
      </c>
      <c r="I106" s="40">
        <f t="shared" ref="I106:I107" si="25">+H106*I$3</f>
        <v>511.05563835072024</v>
      </c>
      <c r="J106" s="38">
        <f t="shared" ref="J106:J107" si="26">+H106+I106</f>
        <v>2944.6539162112927</v>
      </c>
      <c r="K106" s="71">
        <f t="shared" ref="K106:K107" si="27">+J106*K$39</f>
        <v>647.82386156648442</v>
      </c>
      <c r="L106" s="20">
        <f t="shared" ref="L106:L107" si="28">+J106+K106</f>
        <v>3592.4777777777772</v>
      </c>
      <c r="M106" s="48">
        <f t="shared" ref="M106:M107" si="29">+L106*M$39</f>
        <v>1257.3672222222219</v>
      </c>
      <c r="N106" s="49">
        <f t="shared" ref="N106:N107" si="30">+L106+M106</f>
        <v>4849.8449999999993</v>
      </c>
    </row>
    <row r="107" spans="2:14" x14ac:dyDescent="0.25">
      <c r="B107" s="24">
        <v>100522247</v>
      </c>
      <c r="C107" s="25" t="s">
        <v>99</v>
      </c>
      <c r="D107" s="18">
        <v>7790360984241</v>
      </c>
      <c r="E107" s="71">
        <v>8.16</v>
      </c>
      <c r="F107" s="20">
        <v>48</v>
      </c>
      <c r="G107" s="77">
        <v>116812.71733730749</v>
      </c>
      <c r="H107" s="39">
        <f t="shared" si="24"/>
        <v>2433.5982778605726</v>
      </c>
      <c r="I107" s="40">
        <f t="shared" si="25"/>
        <v>511.05563835072024</v>
      </c>
      <c r="J107" s="38">
        <f t="shared" si="26"/>
        <v>2944.6539162112927</v>
      </c>
      <c r="K107" s="71">
        <f t="shared" si="27"/>
        <v>647.82386156648442</v>
      </c>
      <c r="L107" s="20">
        <f t="shared" si="28"/>
        <v>3592.4777777777772</v>
      </c>
      <c r="M107" s="48">
        <f t="shared" si="29"/>
        <v>1257.3672222222219</v>
      </c>
      <c r="N107" s="49">
        <f t="shared" si="30"/>
        <v>4849.8449999999993</v>
      </c>
    </row>
  </sheetData>
  <conditionalFormatting sqref="B20:C20">
    <cfRule type="cellIs" dxfId="91" priority="23" stopIfTrue="1" operator="equal">
      <formula>0</formula>
    </cfRule>
  </conditionalFormatting>
  <conditionalFormatting sqref="B27:C27">
    <cfRule type="cellIs" dxfId="90" priority="16" stopIfTrue="1" operator="equal">
      <formula>0</formula>
    </cfRule>
  </conditionalFormatting>
  <conditionalFormatting sqref="B97:C97">
    <cfRule type="cellIs" dxfId="89" priority="3" stopIfTrue="1" operator="equal">
      <formula>0</formula>
    </cfRule>
  </conditionalFormatting>
  <conditionalFormatting sqref="B63:D63">
    <cfRule type="cellIs" dxfId="88" priority="21" stopIfTrue="1" operator="equal">
      <formula>0</formula>
    </cfRule>
  </conditionalFormatting>
  <conditionalFormatting sqref="B16:F19">
    <cfRule type="cellIs" dxfId="87" priority="13" stopIfTrue="1" operator="equal">
      <formula>0</formula>
    </cfRule>
  </conditionalFormatting>
  <conditionalFormatting sqref="B69:N69">
    <cfRule type="cellIs" dxfId="86" priority="7" stopIfTrue="1" operator="equal">
      <formula>0</formula>
    </cfRule>
  </conditionalFormatting>
  <conditionalFormatting sqref="B73:N74">
    <cfRule type="cellIs" dxfId="85" priority="6" stopIfTrue="1" operator="equal">
      <formula>0</formula>
    </cfRule>
  </conditionalFormatting>
  <conditionalFormatting sqref="C28">
    <cfRule type="cellIs" dxfId="84" priority="15" stopIfTrue="1" operator="equal">
      <formula>0</formula>
    </cfRule>
  </conditionalFormatting>
  <conditionalFormatting sqref="E20:F20">
    <cfRule type="cellIs" dxfId="83" priority="22" stopIfTrue="1" operator="equal">
      <formula>0</formula>
    </cfRule>
  </conditionalFormatting>
  <conditionalFormatting sqref="E89:F94">
    <cfRule type="cellIs" dxfId="82" priority="14" stopIfTrue="1" operator="equal">
      <formula>0</formula>
    </cfRule>
  </conditionalFormatting>
  <conditionalFormatting sqref="E96:F97">
    <cfRule type="cellIs" dxfId="81" priority="4" stopIfTrue="1" operator="equal">
      <formula>0</formula>
    </cfRule>
  </conditionalFormatting>
  <conditionalFormatting sqref="E99:F99">
    <cfRule type="cellIs" dxfId="80" priority="11" stopIfTrue="1" operator="equal">
      <formula>0</formula>
    </cfRule>
  </conditionalFormatting>
  <conditionalFormatting sqref="E101:F104">
    <cfRule type="cellIs" dxfId="79" priority="9" stopIfTrue="1" operator="equal">
      <formula>0</formula>
    </cfRule>
  </conditionalFormatting>
  <conditionalFormatting sqref="E106:F107">
    <cfRule type="cellIs" dxfId="78" priority="2" stopIfTrue="1" operator="equal">
      <formula>0</formula>
    </cfRule>
  </conditionalFormatting>
  <conditionalFormatting sqref="E58:N61">
    <cfRule type="cellIs" dxfId="77" priority="19" stopIfTrue="1" operator="equal">
      <formula>0</formula>
    </cfRule>
  </conditionalFormatting>
  <conditionalFormatting sqref="G16:H20">
    <cfRule type="cellIs" dxfId="76" priority="20" stopIfTrue="1" operator="equal">
      <formula>0</formula>
    </cfRule>
  </conditionalFormatting>
  <conditionalFormatting sqref="H96:L97">
    <cfRule type="cellIs" dxfId="75" priority="12" stopIfTrue="1" operator="equal">
      <formula>0</formula>
    </cfRule>
  </conditionalFormatting>
  <conditionalFormatting sqref="H99:L99">
    <cfRule type="cellIs" dxfId="74" priority="10" stopIfTrue="1" operator="equal">
      <formula>0</formula>
    </cfRule>
  </conditionalFormatting>
  <conditionalFormatting sqref="H101:L104">
    <cfRule type="cellIs" dxfId="73" priority="8" stopIfTrue="1" operator="equal">
      <formula>0</formula>
    </cfRule>
  </conditionalFormatting>
  <conditionalFormatting sqref="H106:L107">
    <cfRule type="cellIs" dxfId="72" priority="1" stopIfTrue="1" operator="equal">
      <formula>0</formula>
    </cfRule>
  </conditionalFormatting>
  <conditionalFormatting sqref="H90:N94">
    <cfRule type="cellIs" dxfId="71" priority="5" stopIfTrue="1" operator="equal">
      <formula>0</formula>
    </cfRule>
  </conditionalFormatting>
  <conditionalFormatting sqref="K37:K38">
    <cfRule type="cellIs" dxfId="70" priority="18" stopIfTrue="1" operator="equal">
      <formula>0</formula>
    </cfRule>
  </conditionalFormatting>
  <conditionalFormatting sqref="K16:N20">
    <cfRule type="cellIs" dxfId="69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06"/>
  <sheetViews>
    <sheetView zoomScale="55" zoomScaleNormal="55" workbookViewId="0">
      <pane xSplit="2" ySplit="2" topLeftCell="C51" activePane="bottomRight" state="frozen"/>
      <selection activeCell="C16" sqref="C16"/>
      <selection pane="topRight" activeCell="C16" sqref="C16"/>
      <selection pane="bottomLeft" activeCell="C16" sqref="C16"/>
      <selection pane="bottomRight" activeCell="N64" sqref="A64:XFD65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69" bestFit="1" customWidth="1"/>
    <col min="8" max="13" width="11.42578125" customWidth="1" outlineLevel="1"/>
    <col min="14" max="14" width="11.42578125" style="62" customWidth="1"/>
  </cols>
  <sheetData>
    <row r="1" spans="2:14" s="1" customFormat="1" ht="12.75" thickBot="1" x14ac:dyDescent="0.25">
      <c r="G1" s="2"/>
      <c r="N1" s="3"/>
    </row>
    <row r="2" spans="2:14" s="1" customFormat="1" ht="36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7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2:14" s="1" customFormat="1" ht="12" x14ac:dyDescent="0.2">
      <c r="B3" s="10"/>
      <c r="C3" s="11"/>
      <c r="D3" s="12"/>
      <c r="E3" s="11"/>
      <c r="F3" s="11"/>
      <c r="G3" s="88"/>
      <c r="H3" s="13"/>
      <c r="I3" s="14">
        <v>0.21</v>
      </c>
      <c r="J3" s="13"/>
      <c r="K3" s="14">
        <v>0.33</v>
      </c>
      <c r="L3" s="13"/>
      <c r="M3" s="14">
        <v>0.4</v>
      </c>
      <c r="N3" s="15"/>
    </row>
    <row r="4" spans="2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21">
        <v>44187.112006578951</v>
      </c>
      <c r="H4" s="21">
        <f>+G4/F4</f>
        <v>1472.9037335526316</v>
      </c>
      <c r="I4" s="21">
        <f>+H4*I$3</f>
        <v>309.30978404605264</v>
      </c>
      <c r="J4" s="21">
        <f>+H4+I4</f>
        <v>1782.2135175986841</v>
      </c>
      <c r="K4" s="21">
        <f>+J4*K$3</f>
        <v>588.13046080756578</v>
      </c>
      <c r="L4" s="21">
        <f>+J4+K4</f>
        <v>2370.3439784062498</v>
      </c>
      <c r="M4" s="21">
        <f>+L4*M$3</f>
        <v>948.13759136249996</v>
      </c>
      <c r="N4" s="22">
        <f>+L4+M4</f>
        <v>3318.48156976875</v>
      </c>
    </row>
    <row r="5" spans="2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21">
        <v>57541.051073863644</v>
      </c>
      <c r="H5" s="21">
        <f t="shared" ref="H5:H74" si="0">+G5/F5</f>
        <v>3196.7250596590911</v>
      </c>
      <c r="I5" s="21">
        <f t="shared" ref="I5:I76" si="1">+H5*I$3</f>
        <v>671.31226252840906</v>
      </c>
      <c r="J5" s="21">
        <f t="shared" ref="J5:J76" si="2">+H5+I5</f>
        <v>3868.0373221875002</v>
      </c>
      <c r="K5" s="21">
        <f t="shared" ref="K5:K76" si="3">+J5*K$3</f>
        <v>1276.4523163218751</v>
      </c>
      <c r="L5" s="21">
        <f t="shared" ref="L5:L76" si="4">+J5+K5</f>
        <v>5144.4896385093753</v>
      </c>
      <c r="M5" s="21">
        <f t="shared" ref="M5:M76" si="5">+L5*M$3</f>
        <v>2057.79585540375</v>
      </c>
      <c r="N5" s="22">
        <f t="shared" ref="N5:N76" si="6">+L5+M5</f>
        <v>7202.2854939131248</v>
      </c>
    </row>
    <row r="6" spans="2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21">
        <v>67164.410250000001</v>
      </c>
      <c r="H6" s="21">
        <f t="shared" si="0"/>
        <v>8395.5512812500001</v>
      </c>
      <c r="I6" s="21">
        <f t="shared" si="1"/>
        <v>1763.0657690625001</v>
      </c>
      <c r="J6" s="21">
        <f t="shared" si="2"/>
        <v>10158.617050312499</v>
      </c>
      <c r="K6" s="21">
        <f t="shared" si="3"/>
        <v>3352.3436266031249</v>
      </c>
      <c r="L6" s="21">
        <f t="shared" si="4"/>
        <v>13510.960676915623</v>
      </c>
      <c r="M6" s="21">
        <f t="shared" si="5"/>
        <v>5404.3842707662498</v>
      </c>
      <c r="N6" s="22">
        <f t="shared" si="6"/>
        <v>18915.344947681871</v>
      </c>
    </row>
    <row r="7" spans="2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21">
        <v>82188.028332236849</v>
      </c>
      <c r="H7" s="21">
        <f t="shared" si="0"/>
        <v>13698.004722039475</v>
      </c>
      <c r="I7" s="21">
        <f t="shared" si="1"/>
        <v>2876.5809916282897</v>
      </c>
      <c r="J7" s="21">
        <f t="shared" si="2"/>
        <v>16574.585713667766</v>
      </c>
      <c r="K7" s="21">
        <f t="shared" si="3"/>
        <v>5469.6132855103633</v>
      </c>
      <c r="L7" s="21">
        <f t="shared" si="4"/>
        <v>22044.19899917813</v>
      </c>
      <c r="M7" s="21">
        <f t="shared" si="5"/>
        <v>8817.6795996712517</v>
      </c>
      <c r="N7" s="22">
        <f t="shared" si="6"/>
        <v>30861.878598849384</v>
      </c>
    </row>
    <row r="8" spans="2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21">
        <v>58326.987848684214</v>
      </c>
      <c r="H8" s="21">
        <f t="shared" si="0"/>
        <v>3240.3882138157896</v>
      </c>
      <c r="I8" s="21">
        <f t="shared" si="1"/>
        <v>680.48152490131577</v>
      </c>
      <c r="J8" s="21">
        <f t="shared" si="2"/>
        <v>3920.8697387171055</v>
      </c>
      <c r="K8" s="21">
        <f t="shared" si="3"/>
        <v>1293.8870137766448</v>
      </c>
      <c r="L8" s="21">
        <f t="shared" si="4"/>
        <v>5214.7567524937504</v>
      </c>
      <c r="M8" s="21">
        <f t="shared" si="5"/>
        <v>2085.9027009975002</v>
      </c>
      <c r="N8" s="22">
        <f t="shared" si="6"/>
        <v>7300.659453491251</v>
      </c>
    </row>
    <row r="9" spans="2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21">
        <v>47534.511197250016</v>
      </c>
      <c r="H9" s="21">
        <f t="shared" si="0"/>
        <v>2640.8061776250011</v>
      </c>
      <c r="I9" s="21">
        <f t="shared" si="1"/>
        <v>554.56929730125023</v>
      </c>
      <c r="J9" s="21">
        <f t="shared" si="2"/>
        <v>3195.3754749262512</v>
      </c>
      <c r="K9" s="21">
        <f t="shared" si="3"/>
        <v>1054.473906725663</v>
      </c>
      <c r="L9" s="21">
        <f t="shared" si="4"/>
        <v>4249.849381651914</v>
      </c>
      <c r="M9" s="21">
        <f t="shared" si="5"/>
        <v>1699.9397526607656</v>
      </c>
      <c r="N9" s="22">
        <f t="shared" si="6"/>
        <v>5949.7891343126794</v>
      </c>
    </row>
    <row r="10" spans="2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21">
        <v>29765.977443609023</v>
      </c>
      <c r="H10" s="21">
        <f>+G10/F10</f>
        <v>992.19924812030081</v>
      </c>
      <c r="I10" s="21">
        <f>+H10*I$3</f>
        <v>208.36184210526315</v>
      </c>
      <c r="J10" s="21">
        <f>+H10+I10</f>
        <v>1200.5610902255639</v>
      </c>
      <c r="K10" s="21">
        <f>+J10*K$3</f>
        <v>396.1851597744361</v>
      </c>
      <c r="L10" s="21">
        <f>+J10+K10</f>
        <v>1596.7462500000001</v>
      </c>
      <c r="M10" s="21">
        <f>+L10*M$3</f>
        <v>638.69850000000008</v>
      </c>
      <c r="N10" s="22">
        <f>+L10+M10</f>
        <v>2235.4447500000001</v>
      </c>
    </row>
    <row r="11" spans="2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21">
        <v>25165.542165071773</v>
      </c>
      <c r="H11" s="21">
        <f t="shared" si="0"/>
        <v>2097.1285137559812</v>
      </c>
      <c r="I11" s="21">
        <f t="shared" si="1"/>
        <v>440.39698788875603</v>
      </c>
      <c r="J11" s="21">
        <f t="shared" si="2"/>
        <v>2537.5255016447372</v>
      </c>
      <c r="K11" s="21">
        <f t="shared" si="3"/>
        <v>837.38341554276337</v>
      </c>
      <c r="L11" s="21">
        <f t="shared" si="4"/>
        <v>3374.9089171875007</v>
      </c>
      <c r="M11" s="21">
        <f t="shared" si="5"/>
        <v>1349.9635668750004</v>
      </c>
      <c r="N11" s="22">
        <f t="shared" si="6"/>
        <v>4724.8724840625009</v>
      </c>
    </row>
    <row r="12" spans="2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21">
        <v>49695.701424801344</v>
      </c>
      <c r="H12" s="21">
        <f t="shared" si="0"/>
        <v>6211.962678100168</v>
      </c>
      <c r="I12" s="21">
        <f t="shared" si="1"/>
        <v>1304.5121624010353</v>
      </c>
      <c r="J12" s="21">
        <f t="shared" si="2"/>
        <v>7516.4748405012033</v>
      </c>
      <c r="K12" s="21">
        <f t="shared" si="3"/>
        <v>2480.4366973653973</v>
      </c>
      <c r="L12" s="21">
        <f t="shared" si="4"/>
        <v>9996.9115378666011</v>
      </c>
      <c r="M12" s="21">
        <f t="shared" si="5"/>
        <v>3998.7646151466406</v>
      </c>
      <c r="N12" s="22">
        <f t="shared" si="6"/>
        <v>13995.676153013243</v>
      </c>
    </row>
    <row r="13" spans="2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21">
        <v>27852.631578947374</v>
      </c>
      <c r="H13" s="21">
        <f t="shared" si="0"/>
        <v>663.1578947368422</v>
      </c>
      <c r="I13" s="21">
        <f t="shared" si="1"/>
        <v>139.26315789473685</v>
      </c>
      <c r="J13" s="21">
        <f t="shared" si="2"/>
        <v>802.42105263157907</v>
      </c>
      <c r="K13" s="21">
        <f t="shared" si="3"/>
        <v>264.79894736842112</v>
      </c>
      <c r="L13" s="21">
        <f t="shared" si="4"/>
        <v>1067.2200000000003</v>
      </c>
      <c r="M13" s="21">
        <f t="shared" si="5"/>
        <v>426.88800000000015</v>
      </c>
      <c r="N13" s="22">
        <f t="shared" si="6"/>
        <v>1494.1080000000004</v>
      </c>
    </row>
    <row r="14" spans="2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21">
        <v>29947.061815119498</v>
      </c>
      <c r="H14" s="21">
        <f t="shared" si="0"/>
        <v>1426.0505626247379</v>
      </c>
      <c r="I14" s="21">
        <f t="shared" si="1"/>
        <v>299.47061815119497</v>
      </c>
      <c r="J14" s="21">
        <f t="shared" si="2"/>
        <v>1725.5211807759329</v>
      </c>
      <c r="K14" s="21">
        <f t="shared" si="3"/>
        <v>569.42198965605792</v>
      </c>
      <c r="L14" s="21">
        <f t="shared" si="4"/>
        <v>2294.9431704319909</v>
      </c>
      <c r="M14" s="21">
        <f t="shared" si="5"/>
        <v>917.97726817279636</v>
      </c>
      <c r="N14" s="22">
        <f t="shared" si="6"/>
        <v>3212.9204386047873</v>
      </c>
    </row>
    <row r="15" spans="2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21">
        <v>70541.904455741635</v>
      </c>
      <c r="H15" s="21">
        <f t="shared" si="0"/>
        <v>2351.3968151913878</v>
      </c>
      <c r="I15" s="21">
        <f t="shared" si="1"/>
        <v>493.7933311901914</v>
      </c>
      <c r="J15" s="21">
        <f t="shared" si="2"/>
        <v>2845.1901463815793</v>
      </c>
      <c r="K15" s="21">
        <f t="shared" si="3"/>
        <v>938.91274830592124</v>
      </c>
      <c r="L15" s="21">
        <f t="shared" si="4"/>
        <v>3784.1028946875003</v>
      </c>
      <c r="M15" s="21">
        <f t="shared" si="5"/>
        <v>1513.6411578750003</v>
      </c>
      <c r="N15" s="22">
        <f t="shared" si="6"/>
        <v>5297.7440525625007</v>
      </c>
    </row>
    <row r="16" spans="2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21">
        <v>68994.307364733933</v>
      </c>
      <c r="H16" s="21">
        <f t="shared" si="0"/>
        <v>2874.7628068639137</v>
      </c>
      <c r="I16" s="21">
        <f t="shared" si="1"/>
        <v>603.70018944142191</v>
      </c>
      <c r="J16" s="21">
        <f t="shared" si="2"/>
        <v>3478.4629963053358</v>
      </c>
      <c r="K16" s="21">
        <f t="shared" si="3"/>
        <v>1147.8927887807608</v>
      </c>
      <c r="L16" s="21">
        <f t="shared" si="4"/>
        <v>4626.3557850860961</v>
      </c>
      <c r="M16" s="21">
        <f t="shared" si="5"/>
        <v>1850.5423140344385</v>
      </c>
      <c r="N16" s="22">
        <f t="shared" si="6"/>
        <v>6476.8980991205344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21">
        <v>67560.058709650781</v>
      </c>
      <c r="H17" s="21">
        <f>+G17/F17</f>
        <v>1876.6682974902994</v>
      </c>
      <c r="I17" s="21">
        <f>+H17*I$3</f>
        <v>394.10034247296289</v>
      </c>
      <c r="J17" s="21">
        <f>+H17+I17</f>
        <v>2270.7686399632621</v>
      </c>
      <c r="K17" s="21">
        <f>+J17*K$3</f>
        <v>749.35365118787649</v>
      </c>
      <c r="L17" s="21">
        <f>+J17+K17</f>
        <v>3020.1222911511386</v>
      </c>
      <c r="M17" s="21">
        <f>+L17*M$3</f>
        <v>1208.0489164604555</v>
      </c>
      <c r="N17" s="22">
        <f>+L17+M17</f>
        <v>4228.1712076115946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21">
        <v>52915.790664043008</v>
      </c>
      <c r="H18" s="21">
        <f t="shared" si="0"/>
        <v>2939.7661480023894</v>
      </c>
      <c r="I18" s="21">
        <f t="shared" si="1"/>
        <v>617.3508910805017</v>
      </c>
      <c r="J18" s="21">
        <f t="shared" si="2"/>
        <v>3557.1170390828911</v>
      </c>
      <c r="K18" s="21">
        <f t="shared" si="3"/>
        <v>1173.8486228973541</v>
      </c>
      <c r="L18" s="21">
        <f t="shared" si="4"/>
        <v>4730.9656619802454</v>
      </c>
      <c r="M18" s="21">
        <f t="shared" si="5"/>
        <v>1892.3862647920982</v>
      </c>
      <c r="N18" s="22">
        <f t="shared" si="6"/>
        <v>6623.3519267723441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>
        <v>4.7039999999999997</v>
      </c>
      <c r="F19" s="20">
        <v>42</v>
      </c>
      <c r="G19" s="21">
        <v>22540.866923076926</v>
      </c>
      <c r="H19" s="21">
        <f t="shared" si="0"/>
        <v>536.68730769230774</v>
      </c>
      <c r="I19" s="21">
        <f t="shared" si="1"/>
        <v>112.70433461538462</v>
      </c>
      <c r="J19" s="21">
        <f t="shared" si="2"/>
        <v>649.39164230769234</v>
      </c>
      <c r="K19" s="26">
        <f>+J19*0.33</f>
        <v>214.29924196153848</v>
      </c>
      <c r="L19" s="21">
        <f t="shared" si="4"/>
        <v>863.69088426923076</v>
      </c>
      <c r="M19" s="21">
        <f t="shared" si="5"/>
        <v>345.47635370769234</v>
      </c>
      <c r="N19" s="22">
        <f t="shared" si="6"/>
        <v>1209.1672379769232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21">
        <v>17027.263960489512</v>
      </c>
      <c r="H20" s="21">
        <f t="shared" si="0"/>
        <v>1418.938663374126</v>
      </c>
      <c r="I20" s="21">
        <f t="shared" si="1"/>
        <v>297.97711930856644</v>
      </c>
      <c r="J20" s="21">
        <f t="shared" si="2"/>
        <v>1716.9157826826925</v>
      </c>
      <c r="K20" s="26">
        <f>+J20*0.33</f>
        <v>566.58220828528852</v>
      </c>
      <c r="L20" s="21">
        <f t="shared" si="4"/>
        <v>2283.497990967981</v>
      </c>
      <c r="M20" s="21">
        <f t="shared" si="5"/>
        <v>913.39919638719243</v>
      </c>
      <c r="N20" s="22">
        <f t="shared" si="6"/>
        <v>3196.8971873551736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21">
        <v>53909.269862687011</v>
      </c>
      <c r="H21" s="21">
        <f t="shared" si="0"/>
        <v>898.48783104478355</v>
      </c>
      <c r="I21" s="21">
        <f t="shared" si="1"/>
        <v>188.68244451940453</v>
      </c>
      <c r="J21" s="21">
        <f t="shared" si="2"/>
        <v>1087.1702755641882</v>
      </c>
      <c r="K21" s="21">
        <f t="shared" si="3"/>
        <v>358.76619093618211</v>
      </c>
      <c r="L21" s="21">
        <f t="shared" si="4"/>
        <v>1445.9364665003702</v>
      </c>
      <c r="M21" s="21">
        <f t="shared" si="5"/>
        <v>578.37458660014806</v>
      </c>
      <c r="N21" s="22">
        <f t="shared" si="6"/>
        <v>2024.3110531005182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21">
        <v>43782.410526416636</v>
      </c>
      <c r="H22" s="21">
        <f t="shared" si="0"/>
        <v>729.7068421069439</v>
      </c>
      <c r="I22" s="21">
        <f t="shared" si="1"/>
        <v>153.23843684245821</v>
      </c>
      <c r="J22" s="21">
        <f t="shared" si="2"/>
        <v>882.94527894940211</v>
      </c>
      <c r="K22" s="21">
        <f t="shared" si="3"/>
        <v>291.37194205330269</v>
      </c>
      <c r="L22" s="21">
        <f t="shared" si="4"/>
        <v>1174.3172210027049</v>
      </c>
      <c r="M22" s="21">
        <f t="shared" si="5"/>
        <v>469.72688840108196</v>
      </c>
      <c r="N22" s="22">
        <f t="shared" si="6"/>
        <v>1644.0441094037869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21">
        <v>40234.644556591877</v>
      </c>
      <c r="H23" s="21">
        <f t="shared" si="0"/>
        <v>670.57740927653128</v>
      </c>
      <c r="I23" s="21">
        <f t="shared" si="1"/>
        <v>140.82125594807155</v>
      </c>
      <c r="J23" s="21">
        <f t="shared" si="2"/>
        <v>811.39866522460284</v>
      </c>
      <c r="K23" s="21">
        <f t="shared" si="3"/>
        <v>267.76155952411892</v>
      </c>
      <c r="L23" s="21">
        <f t="shared" si="4"/>
        <v>1079.1602247487217</v>
      </c>
      <c r="M23" s="21">
        <f t="shared" si="5"/>
        <v>431.66408989948872</v>
      </c>
      <c r="N23" s="22">
        <f t="shared" si="6"/>
        <v>1510.8243146482105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21">
        <v>46172.878802064566</v>
      </c>
      <c r="H24" s="21">
        <f t="shared" si="0"/>
        <v>769.54798003440942</v>
      </c>
      <c r="I24" s="21">
        <f t="shared" si="1"/>
        <v>161.60507580722597</v>
      </c>
      <c r="J24" s="21">
        <f t="shared" si="2"/>
        <v>931.15305584163536</v>
      </c>
      <c r="K24" s="21">
        <f t="shared" si="3"/>
        <v>307.28050842773968</v>
      </c>
      <c r="L24" s="21">
        <f t="shared" si="4"/>
        <v>1238.433564269375</v>
      </c>
      <c r="M24" s="21">
        <f t="shared" si="5"/>
        <v>495.37342570775002</v>
      </c>
      <c r="N24" s="22">
        <f t="shared" si="6"/>
        <v>1733.8069899771249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21">
        <v>63499.785407384043</v>
      </c>
      <c r="H25" s="21">
        <f t="shared" si="0"/>
        <v>1058.3297567897341</v>
      </c>
      <c r="I25" s="21">
        <f t="shared" si="1"/>
        <v>222.24924892584417</v>
      </c>
      <c r="J25" s="21">
        <f t="shared" si="2"/>
        <v>1280.5790057155782</v>
      </c>
      <c r="K25" s="21">
        <f t="shared" si="3"/>
        <v>422.59107188614081</v>
      </c>
      <c r="L25" s="21">
        <f t="shared" si="4"/>
        <v>1703.170077601719</v>
      </c>
      <c r="M25" s="21">
        <f t="shared" si="5"/>
        <v>681.26803104068767</v>
      </c>
      <c r="N25" s="22">
        <f t="shared" si="6"/>
        <v>2384.4381086424064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21">
        <v>149542.39430649939</v>
      </c>
      <c r="H26" s="21">
        <f t="shared" si="0"/>
        <v>3115.4665480520707</v>
      </c>
      <c r="I26" s="21">
        <f t="shared" si="1"/>
        <v>654.2479750909348</v>
      </c>
      <c r="J26" s="21">
        <f t="shared" si="2"/>
        <v>3769.7145231430054</v>
      </c>
      <c r="K26" s="21">
        <f t="shared" si="3"/>
        <v>1244.0057926371919</v>
      </c>
      <c r="L26" s="21">
        <f t="shared" si="4"/>
        <v>5013.7203157801978</v>
      </c>
      <c r="M26" s="21">
        <f t="shared" si="5"/>
        <v>2005.4881263120792</v>
      </c>
      <c r="N26" s="22">
        <f t="shared" si="6"/>
        <v>7019.2084420922765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21">
        <v>70960.925217472526</v>
      </c>
      <c r="H27" s="21">
        <f t="shared" si="0"/>
        <v>1971.136811596459</v>
      </c>
      <c r="I27" s="21">
        <f t="shared" si="1"/>
        <v>413.93873043525639</v>
      </c>
      <c r="J27" s="21">
        <f t="shared" si="2"/>
        <v>2385.0755420317155</v>
      </c>
      <c r="K27" s="21">
        <f t="shared" si="3"/>
        <v>787.07492887046612</v>
      </c>
      <c r="L27" s="21">
        <f t="shared" si="4"/>
        <v>3172.1504709021815</v>
      </c>
      <c r="M27" s="21">
        <f t="shared" si="5"/>
        <v>1268.8601883608726</v>
      </c>
      <c r="N27" s="22">
        <f t="shared" si="6"/>
        <v>4441.0106592630545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21">
        <v>55247.02390160058</v>
      </c>
      <c r="H28" s="21">
        <f t="shared" si="0"/>
        <v>1841.5674633866861</v>
      </c>
      <c r="I28" s="21">
        <f t="shared" si="1"/>
        <v>386.72916731120404</v>
      </c>
      <c r="J28" s="21">
        <f t="shared" si="2"/>
        <v>2228.2966306978901</v>
      </c>
      <c r="K28" s="21">
        <f t="shared" si="3"/>
        <v>735.33788813030378</v>
      </c>
      <c r="L28" s="21">
        <f t="shared" si="4"/>
        <v>2963.6345188281939</v>
      </c>
      <c r="M28" s="21">
        <f t="shared" si="5"/>
        <v>1185.4538075312776</v>
      </c>
      <c r="N28" s="22">
        <f t="shared" si="6"/>
        <v>4149.0883263594715</v>
      </c>
    </row>
    <row r="29" spans="2:14" x14ac:dyDescent="0.25">
      <c r="B29" s="30"/>
      <c r="C29" s="31"/>
      <c r="D29" s="32"/>
      <c r="E29" s="31"/>
      <c r="F29" s="33"/>
      <c r="G29" s="33" t="e">
        <v>#VALUE!</v>
      </c>
      <c r="H29" s="35" t="e">
        <f t="shared" si="0"/>
        <v>#VALUE!</v>
      </c>
      <c r="I29" s="36">
        <v>0.21</v>
      </c>
      <c r="J29" s="35"/>
      <c r="K29" s="36">
        <v>0.35</v>
      </c>
      <c r="L29" s="35"/>
      <c r="M29" s="36">
        <v>0.5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21">
        <v>29294.014256420269</v>
      </c>
      <c r="H30" s="21">
        <f t="shared" si="0"/>
        <v>1220.5839273508445</v>
      </c>
      <c r="I30" s="21">
        <f t="shared" si="1"/>
        <v>256.32262474367735</v>
      </c>
      <c r="J30" s="21">
        <f t="shared" si="2"/>
        <v>1476.9065520945219</v>
      </c>
      <c r="K30" s="21">
        <f t="shared" si="3"/>
        <v>487.37916219119222</v>
      </c>
      <c r="L30" s="21">
        <f t="shared" si="4"/>
        <v>1964.2857142857142</v>
      </c>
      <c r="M30" s="21">
        <f t="shared" si="5"/>
        <v>785.71428571428578</v>
      </c>
      <c r="N30" s="22">
        <f t="shared" si="6"/>
        <v>2750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21">
        <v>29294.014256420269</v>
      </c>
      <c r="H31" s="21">
        <f t="shared" si="0"/>
        <v>1220.5839273508445</v>
      </c>
      <c r="I31" s="21">
        <f t="shared" si="1"/>
        <v>256.32262474367735</v>
      </c>
      <c r="J31" s="21">
        <f t="shared" si="2"/>
        <v>1476.9065520945219</v>
      </c>
      <c r="K31" s="21">
        <f t="shared" si="3"/>
        <v>487.37916219119222</v>
      </c>
      <c r="L31" s="21">
        <f t="shared" si="4"/>
        <v>1964.2857142857142</v>
      </c>
      <c r="M31" s="21">
        <f t="shared" si="5"/>
        <v>785.71428571428578</v>
      </c>
      <c r="N31" s="22">
        <f t="shared" si="6"/>
        <v>2750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21">
        <v>27829.313543599263</v>
      </c>
      <c r="H32" s="21">
        <f t="shared" si="0"/>
        <v>2319.1094619666051</v>
      </c>
      <c r="I32" s="21">
        <f t="shared" si="1"/>
        <v>487.01298701298703</v>
      </c>
      <c r="J32" s="21">
        <f t="shared" si="2"/>
        <v>2806.1224489795923</v>
      </c>
      <c r="K32" s="21">
        <f t="shared" si="3"/>
        <v>926.02040816326553</v>
      </c>
      <c r="L32" s="21">
        <f t="shared" si="4"/>
        <v>3732.1428571428578</v>
      </c>
      <c r="M32" s="21">
        <f t="shared" si="5"/>
        <v>1492.8571428571431</v>
      </c>
      <c r="N32" s="22">
        <f t="shared" si="6"/>
        <v>5225.0000000000009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21">
        <v>27829.313543599263</v>
      </c>
      <c r="H33" s="21">
        <f t="shared" si="0"/>
        <v>2319.1094619666051</v>
      </c>
      <c r="I33" s="21">
        <f t="shared" si="1"/>
        <v>487.01298701298703</v>
      </c>
      <c r="J33" s="21">
        <f t="shared" si="2"/>
        <v>2806.1224489795923</v>
      </c>
      <c r="K33" s="21">
        <f t="shared" si="3"/>
        <v>926.02040816326553</v>
      </c>
      <c r="L33" s="21">
        <f t="shared" si="4"/>
        <v>3732.1428571428578</v>
      </c>
      <c r="M33" s="21">
        <f t="shared" si="5"/>
        <v>1492.8571428571431</v>
      </c>
      <c r="N33" s="22">
        <f t="shared" si="6"/>
        <v>5225.0000000000009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21">
        <v>22557.211209842793</v>
      </c>
      <c r="H34" s="21">
        <f t="shared" si="0"/>
        <v>939.88380041011635</v>
      </c>
      <c r="I34" s="21">
        <f t="shared" si="1"/>
        <v>197.37559808612443</v>
      </c>
      <c r="J34" s="21">
        <f t="shared" si="2"/>
        <v>1137.2593984962407</v>
      </c>
      <c r="K34" s="21">
        <f t="shared" si="3"/>
        <v>375.29560150375943</v>
      </c>
      <c r="L34" s="21">
        <f t="shared" si="4"/>
        <v>1512.5550000000001</v>
      </c>
      <c r="M34" s="21">
        <f t="shared" si="5"/>
        <v>605.02200000000005</v>
      </c>
      <c r="N34" s="22">
        <f t="shared" si="6"/>
        <v>2117.5770000000002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21">
        <v>66403.468290369288</v>
      </c>
      <c r="H35" s="21">
        <f t="shared" si="0"/>
        <v>6640.3468290369292</v>
      </c>
      <c r="I35" s="21">
        <f t="shared" si="1"/>
        <v>1394.4728340977551</v>
      </c>
      <c r="J35" s="21">
        <f t="shared" si="2"/>
        <v>8034.8196631346846</v>
      </c>
      <c r="K35" s="21">
        <f t="shared" si="3"/>
        <v>2651.4904888344458</v>
      </c>
      <c r="L35" s="21">
        <f t="shared" si="4"/>
        <v>10686.31015196913</v>
      </c>
      <c r="M35" s="21">
        <f t="shared" si="5"/>
        <v>4274.5240607876522</v>
      </c>
      <c r="N35" s="22">
        <f t="shared" si="6"/>
        <v>14960.834212756781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21">
        <v>66403.468290369288</v>
      </c>
      <c r="H36" s="21">
        <f t="shared" si="0"/>
        <v>6640.3468290369292</v>
      </c>
      <c r="I36" s="21">
        <f t="shared" si="1"/>
        <v>1394.4728340977551</v>
      </c>
      <c r="J36" s="21">
        <f t="shared" si="2"/>
        <v>8034.8196631346846</v>
      </c>
      <c r="K36" s="21">
        <f t="shared" si="3"/>
        <v>2651.4904888344458</v>
      </c>
      <c r="L36" s="21">
        <f t="shared" si="4"/>
        <v>10686.31015196913</v>
      </c>
      <c r="M36" s="21">
        <f t="shared" si="5"/>
        <v>4274.5240607876522</v>
      </c>
      <c r="N36" s="22">
        <f t="shared" si="6"/>
        <v>14960.834212756781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21">
        <v>16183.816183816185</v>
      </c>
      <c r="H37" s="21">
        <f t="shared" si="0"/>
        <v>674.32567432567441</v>
      </c>
      <c r="I37" s="21">
        <f t="shared" si="1"/>
        <v>141.60839160839163</v>
      </c>
      <c r="J37" s="21">
        <f t="shared" si="2"/>
        <v>815.93406593406598</v>
      </c>
      <c r="K37" s="26">
        <f>+J37*0.33</f>
        <v>269.25824175824181</v>
      </c>
      <c r="L37" s="21">
        <f t="shared" si="4"/>
        <v>1085.1923076923078</v>
      </c>
      <c r="M37" s="21">
        <f t="shared" si="5"/>
        <v>434.07692307692315</v>
      </c>
      <c r="N37" s="22">
        <f t="shared" si="6"/>
        <v>1519.2692307692309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21">
        <v>76363.988533924654</v>
      </c>
      <c r="H38" s="21">
        <f t="shared" si="0"/>
        <v>7636.3988533924658</v>
      </c>
      <c r="I38" s="21">
        <f t="shared" si="1"/>
        <v>1603.6437592124178</v>
      </c>
      <c r="J38" s="21">
        <f t="shared" si="2"/>
        <v>9240.0426126048842</v>
      </c>
      <c r="K38" s="21">
        <f>+J38*0.33</f>
        <v>3049.2140621596118</v>
      </c>
      <c r="L38" s="21">
        <f t="shared" si="4"/>
        <v>12289.256674764496</v>
      </c>
      <c r="M38" s="21">
        <f t="shared" si="5"/>
        <v>4915.7026699057988</v>
      </c>
      <c r="N38" s="22">
        <f t="shared" si="6"/>
        <v>17204.959344670293</v>
      </c>
    </row>
    <row r="39" spans="2:14" x14ac:dyDescent="0.25">
      <c r="B39" s="30"/>
      <c r="C39" s="31"/>
      <c r="D39" s="32"/>
      <c r="E39" s="31"/>
      <c r="F39" s="33"/>
      <c r="G39" s="33" t="e">
        <v>#VALUE!</v>
      </c>
      <c r="H39" s="35" t="e">
        <f t="shared" si="0"/>
        <v>#VALUE!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21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21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>
        <v>7790360966582</v>
      </c>
      <c r="E42" s="19">
        <v>2.16</v>
      </c>
      <c r="F42" s="20">
        <v>24</v>
      </c>
      <c r="G42" s="21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>
        <v>7790360964526</v>
      </c>
      <c r="E43" s="19">
        <v>2.1120000000000001</v>
      </c>
      <c r="F43" s="20">
        <v>24</v>
      </c>
      <c r="G43" s="21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21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21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21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21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21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21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21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21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21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21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21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21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21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33" t="e">
        <v>#VALUE!</v>
      </c>
      <c r="H57" s="35" t="e">
        <f t="shared" si="0"/>
        <v>#VALUE!</v>
      </c>
      <c r="I57" s="36">
        <v>0.21</v>
      </c>
      <c r="J57" s="35"/>
      <c r="K57" s="36">
        <v>0.35</v>
      </c>
      <c r="L57" s="35"/>
      <c r="M57" s="36">
        <v>0.5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21">
        <v>28138.699416345906</v>
      </c>
      <c r="H58" s="21">
        <f t="shared" si="0"/>
        <v>1406.9349708172954</v>
      </c>
      <c r="I58" s="21">
        <f t="shared" si="1"/>
        <v>295.45634387163204</v>
      </c>
      <c r="J58" s="21">
        <f t="shared" si="2"/>
        <v>1702.3913146889274</v>
      </c>
      <c r="K58" s="21">
        <f t="shared" si="3"/>
        <v>561.78913384734608</v>
      </c>
      <c r="L58" s="21">
        <f t="shared" si="4"/>
        <v>2264.1804485362736</v>
      </c>
      <c r="M58" s="21">
        <f t="shared" si="5"/>
        <v>905.67217941450951</v>
      </c>
      <c r="N58" s="22">
        <f t="shared" si="6"/>
        <v>3169.8526279507832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21">
        <v>40716.194351729406</v>
      </c>
      <c r="H59" s="21">
        <f t="shared" si="0"/>
        <v>2035.8097175864702</v>
      </c>
      <c r="I59" s="21">
        <f t="shared" si="1"/>
        <v>427.52004069315876</v>
      </c>
      <c r="J59" s="21">
        <f t="shared" si="2"/>
        <v>2463.329758279629</v>
      </c>
      <c r="K59" s="21">
        <f t="shared" si="3"/>
        <v>812.89882023227756</v>
      </c>
      <c r="L59" s="21">
        <f t="shared" si="4"/>
        <v>3276.2285785119066</v>
      </c>
      <c r="M59" s="21">
        <f t="shared" si="5"/>
        <v>1310.4914314047628</v>
      </c>
      <c r="N59" s="22">
        <f t="shared" si="6"/>
        <v>4586.7200099166694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21">
        <v>40716.194351729406</v>
      </c>
      <c r="H60" s="21">
        <f t="shared" si="0"/>
        <v>2035.8097175864702</v>
      </c>
      <c r="I60" s="21">
        <f t="shared" si="1"/>
        <v>427.52004069315876</v>
      </c>
      <c r="J60" s="21">
        <f t="shared" si="2"/>
        <v>2463.329758279629</v>
      </c>
      <c r="K60" s="21">
        <f t="shared" si="3"/>
        <v>812.89882023227756</v>
      </c>
      <c r="L60" s="21">
        <f t="shared" si="4"/>
        <v>3276.2285785119066</v>
      </c>
      <c r="M60" s="21">
        <f t="shared" si="5"/>
        <v>1310.4914314047628</v>
      </c>
      <c r="N60" s="22">
        <f t="shared" si="6"/>
        <v>4586.7200099166694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21">
        <v>40716.194351729406</v>
      </c>
      <c r="H61" s="21">
        <f t="shared" si="0"/>
        <v>2035.8097175864702</v>
      </c>
      <c r="I61" s="21">
        <f t="shared" si="1"/>
        <v>427.52004069315876</v>
      </c>
      <c r="J61" s="21">
        <f t="shared" si="2"/>
        <v>2463.329758279629</v>
      </c>
      <c r="K61" s="21">
        <f t="shared" si="3"/>
        <v>812.89882023227756</v>
      </c>
      <c r="L61" s="21">
        <f t="shared" si="4"/>
        <v>3276.2285785119066</v>
      </c>
      <c r="M61" s="21">
        <f t="shared" si="5"/>
        <v>1310.4914314047628</v>
      </c>
      <c r="N61" s="22">
        <f t="shared" si="6"/>
        <v>4586.7200099166694</v>
      </c>
    </row>
    <row r="62" spans="2:14" x14ac:dyDescent="0.25">
      <c r="B62" s="30"/>
      <c r="C62" s="31"/>
      <c r="D62" s="32"/>
      <c r="E62" s="31"/>
      <c r="F62" s="33"/>
      <c r="G62" s="33" t="e">
        <v>#VALUE!</v>
      </c>
      <c r="H62" s="35" t="e">
        <f t="shared" si="0"/>
        <v>#VALUE!</v>
      </c>
      <c r="I62" s="36">
        <v>0.21</v>
      </c>
      <c r="J62" s="35"/>
      <c r="K62" s="36">
        <v>0.35</v>
      </c>
      <c r="L62" s="35"/>
      <c r="M62" s="36">
        <v>0.5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21">
        <v>36137.296321829432</v>
      </c>
      <c r="H63" s="21">
        <f t="shared" si="0"/>
        <v>3011.4413601524525</v>
      </c>
      <c r="I63" s="21">
        <f t="shared" si="1"/>
        <v>632.40268563201505</v>
      </c>
      <c r="J63" s="21">
        <f t="shared" si="2"/>
        <v>3643.8440457844677</v>
      </c>
      <c r="K63" s="21">
        <f t="shared" si="3"/>
        <v>1202.4685351088744</v>
      </c>
      <c r="L63" s="21">
        <f t="shared" si="4"/>
        <v>4846.3125808933419</v>
      </c>
      <c r="M63" s="21">
        <f t="shared" si="5"/>
        <v>1938.5250323573368</v>
      </c>
      <c r="N63" s="22">
        <f t="shared" si="6"/>
        <v>6784.8376132506783</v>
      </c>
    </row>
    <row r="64" spans="2:14" x14ac:dyDescent="0.25">
      <c r="B64" s="24">
        <v>100021709</v>
      </c>
      <c r="C64" s="25" t="s">
        <v>67</v>
      </c>
      <c r="D64" s="18">
        <v>7790360024701</v>
      </c>
      <c r="E64" s="19">
        <v>7.6</v>
      </c>
      <c r="F64" s="20">
        <v>10</v>
      </c>
      <c r="G64" s="21">
        <v>62208.540703129322</v>
      </c>
      <c r="H64" s="21">
        <f t="shared" si="0"/>
        <v>6220.854070312932</v>
      </c>
      <c r="I64" s="21">
        <f t="shared" si="1"/>
        <v>1306.3793547657156</v>
      </c>
      <c r="J64" s="21">
        <f t="shared" si="2"/>
        <v>7527.233425078648</v>
      </c>
      <c r="K64" s="21">
        <f t="shared" si="3"/>
        <v>2483.9870302759541</v>
      </c>
      <c r="L64" s="21">
        <f t="shared" si="4"/>
        <v>10011.220455354602</v>
      </c>
      <c r="M64" s="21">
        <f t="shared" si="5"/>
        <v>4004.4881821418408</v>
      </c>
      <c r="N64" s="22">
        <f t="shared" si="6"/>
        <v>14015.708637496442</v>
      </c>
    </row>
    <row r="65" spans="2:14" x14ac:dyDescent="0.25">
      <c r="B65" s="24">
        <v>100521357</v>
      </c>
      <c r="C65" s="25" t="s">
        <v>68</v>
      </c>
      <c r="D65" s="18">
        <v>7790360982018</v>
      </c>
      <c r="E65" s="19">
        <v>4.5599999999999996</v>
      </c>
      <c r="F65" s="20">
        <v>12</v>
      </c>
      <c r="G65" s="21">
        <v>48595.608600000021</v>
      </c>
      <c r="H65" s="21">
        <f t="shared" si="0"/>
        <v>4049.6340500000019</v>
      </c>
      <c r="I65" s="21">
        <f t="shared" si="1"/>
        <v>850.42315050000036</v>
      </c>
      <c r="J65" s="21">
        <f t="shared" si="2"/>
        <v>4900.0572005000022</v>
      </c>
      <c r="K65" s="21">
        <f t="shared" si="3"/>
        <v>1617.0188761650008</v>
      </c>
      <c r="L65" s="21">
        <f t="shared" si="4"/>
        <v>6517.0760766650028</v>
      </c>
      <c r="M65" s="21">
        <f t="shared" si="5"/>
        <v>2606.8304306660011</v>
      </c>
      <c r="N65" s="22">
        <f t="shared" si="6"/>
        <v>9123.9065073310048</v>
      </c>
    </row>
    <row r="66" spans="2:14" x14ac:dyDescent="0.25">
      <c r="B66" s="24">
        <v>100521358</v>
      </c>
      <c r="C66" s="25" t="s">
        <v>69</v>
      </c>
      <c r="D66" s="18">
        <v>7790360982025</v>
      </c>
      <c r="E66" s="19">
        <v>7.6</v>
      </c>
      <c r="F66" s="20">
        <v>10</v>
      </c>
      <c r="G66" s="21">
        <v>72893.412900000025</v>
      </c>
      <c r="H66" s="21">
        <f t="shared" si="0"/>
        <v>7289.3412900000021</v>
      </c>
      <c r="I66" s="21">
        <f t="shared" si="1"/>
        <v>1530.7616709000004</v>
      </c>
      <c r="J66" s="21">
        <f t="shared" si="2"/>
        <v>8820.1029609000034</v>
      </c>
      <c r="K66" s="21">
        <f t="shared" si="3"/>
        <v>2910.6339770970012</v>
      </c>
      <c r="L66" s="21">
        <f t="shared" si="4"/>
        <v>11730.736937997004</v>
      </c>
      <c r="M66" s="21">
        <f t="shared" si="5"/>
        <v>4692.2947751988022</v>
      </c>
      <c r="N66" s="22">
        <f t="shared" si="6"/>
        <v>16423.031713195807</v>
      </c>
    </row>
    <row r="67" spans="2:14" x14ac:dyDescent="0.25">
      <c r="B67" s="24">
        <v>100522130</v>
      </c>
      <c r="C67" s="25" t="s">
        <v>70</v>
      </c>
      <c r="D67" s="18">
        <v>7790360982445</v>
      </c>
      <c r="E67" s="19">
        <v>4.8</v>
      </c>
      <c r="F67" s="20">
        <v>12</v>
      </c>
      <c r="G67" s="21">
        <v>38154.376987650016</v>
      </c>
      <c r="H67" s="21">
        <f t="shared" si="0"/>
        <v>3179.5314156375011</v>
      </c>
      <c r="I67" s="21">
        <f t="shared" si="1"/>
        <v>667.70159728387523</v>
      </c>
      <c r="J67" s="21">
        <f t="shared" si="2"/>
        <v>3847.2330129213765</v>
      </c>
      <c r="K67" s="21">
        <f t="shared" si="3"/>
        <v>1269.5868942640543</v>
      </c>
      <c r="L67" s="21">
        <f t="shared" si="4"/>
        <v>5116.8199071854306</v>
      </c>
      <c r="M67" s="21">
        <f t="shared" si="5"/>
        <v>2046.7279628741724</v>
      </c>
      <c r="N67" s="22">
        <f t="shared" si="6"/>
        <v>7163.5478700596032</v>
      </c>
    </row>
    <row r="68" spans="2:14" x14ac:dyDescent="0.25">
      <c r="B68" s="41">
        <v>100021725</v>
      </c>
      <c r="C68" s="40" t="s">
        <v>71</v>
      </c>
      <c r="D68" s="38">
        <v>7790360027009</v>
      </c>
      <c r="E68" s="42">
        <v>6</v>
      </c>
      <c r="F68" s="43">
        <v>4</v>
      </c>
      <c r="G68" s="44">
        <v>31749.879413747352</v>
      </c>
      <c r="H68" s="44">
        <f t="shared" si="0"/>
        <v>7937.4698534368381</v>
      </c>
      <c r="I68" s="44">
        <f t="shared" si="1"/>
        <v>1666.8686692217359</v>
      </c>
      <c r="J68" s="44">
        <f t="shared" si="2"/>
        <v>9604.3385226585742</v>
      </c>
      <c r="K68" s="44">
        <f t="shared" si="3"/>
        <v>3169.4317124773297</v>
      </c>
      <c r="L68" s="44">
        <f t="shared" si="4"/>
        <v>12773.770235135904</v>
      </c>
      <c r="M68" s="44">
        <f t="shared" si="5"/>
        <v>5109.5080940543621</v>
      </c>
      <c r="N68" s="45">
        <f t="shared" si="6"/>
        <v>17883.278329190267</v>
      </c>
    </row>
    <row r="69" spans="2:14" x14ac:dyDescent="0.25">
      <c r="B69" s="24">
        <v>100517055</v>
      </c>
      <c r="C69" s="25" t="s">
        <v>72</v>
      </c>
      <c r="D69" s="18">
        <v>7790360971135</v>
      </c>
      <c r="E69" s="19">
        <v>3.12</v>
      </c>
      <c r="F69" s="20">
        <v>12</v>
      </c>
      <c r="G69" s="21">
        <v>27152.794840566257</v>
      </c>
      <c r="H69" s="21">
        <f t="shared" si="0"/>
        <v>2262.7329033805213</v>
      </c>
      <c r="I69" s="21">
        <f t="shared" si="1"/>
        <v>475.17390970990948</v>
      </c>
      <c r="J69" s="21">
        <f t="shared" si="2"/>
        <v>2737.9068130904307</v>
      </c>
      <c r="K69" s="21">
        <f t="shared" si="3"/>
        <v>903.50924831984219</v>
      </c>
      <c r="L69" s="21">
        <f t="shared" si="4"/>
        <v>3641.416061410273</v>
      </c>
      <c r="M69" s="21">
        <f t="shared" si="5"/>
        <v>1456.5664245641092</v>
      </c>
      <c r="N69" s="22">
        <f t="shared" si="6"/>
        <v>5097.9824859743821</v>
      </c>
    </row>
    <row r="70" spans="2:14" x14ac:dyDescent="0.25">
      <c r="B70" s="24">
        <v>100517186</v>
      </c>
      <c r="C70" s="25" t="s">
        <v>73</v>
      </c>
      <c r="D70" s="18">
        <v>7790360971395</v>
      </c>
      <c r="E70" s="19">
        <v>8</v>
      </c>
      <c r="F70" s="20">
        <v>8</v>
      </c>
      <c r="G70" s="21">
        <v>68590.402333342587</v>
      </c>
      <c r="H70" s="21">
        <f t="shared" si="0"/>
        <v>8573.8002916678233</v>
      </c>
      <c r="I70" s="21">
        <f t="shared" si="1"/>
        <v>1800.4980612502429</v>
      </c>
      <c r="J70" s="21">
        <f t="shared" si="2"/>
        <v>10374.298352918066</v>
      </c>
      <c r="K70" s="21">
        <f t="shared" si="3"/>
        <v>3423.5184564629617</v>
      </c>
      <c r="L70" s="21">
        <f t="shared" si="4"/>
        <v>13797.816809381027</v>
      </c>
      <c r="M70" s="21">
        <f t="shared" si="5"/>
        <v>5519.1267237524116</v>
      </c>
      <c r="N70" s="22">
        <f t="shared" si="6"/>
        <v>19316.943533133439</v>
      </c>
    </row>
    <row r="71" spans="2:14" x14ac:dyDescent="0.25">
      <c r="B71" s="24">
        <v>100521663</v>
      </c>
      <c r="C71" s="25" t="s">
        <v>74</v>
      </c>
      <c r="D71" s="18">
        <v>7790360982537</v>
      </c>
      <c r="E71" s="19">
        <v>4.8</v>
      </c>
      <c r="F71" s="20">
        <v>12</v>
      </c>
      <c r="G71" s="21">
        <v>43941.02138463041</v>
      </c>
      <c r="H71" s="21">
        <f t="shared" si="0"/>
        <v>3661.7517820525341</v>
      </c>
      <c r="I71" s="21">
        <f t="shared" si="1"/>
        <v>768.96787423103217</v>
      </c>
      <c r="J71" s="21">
        <f t="shared" si="2"/>
        <v>4430.7196562835661</v>
      </c>
      <c r="K71" s="21">
        <f t="shared" si="3"/>
        <v>1462.1374865735768</v>
      </c>
      <c r="L71" s="21">
        <f t="shared" si="4"/>
        <v>5892.8571428571431</v>
      </c>
      <c r="M71" s="21">
        <f t="shared" si="5"/>
        <v>2357.1428571428573</v>
      </c>
      <c r="N71" s="22">
        <f t="shared" si="6"/>
        <v>8250</v>
      </c>
    </row>
    <row r="72" spans="2:14" x14ac:dyDescent="0.25">
      <c r="B72" s="41">
        <v>100021728</v>
      </c>
      <c r="C72" s="40" t="s">
        <v>75</v>
      </c>
      <c r="D72" s="38">
        <v>7790360967558</v>
      </c>
      <c r="E72" s="42">
        <v>3.84</v>
      </c>
      <c r="F72" s="43">
        <v>12</v>
      </c>
      <c r="G72" s="44">
        <v>41610.87745899515</v>
      </c>
      <c r="H72" s="44">
        <f t="shared" si="0"/>
        <v>3467.5731215829292</v>
      </c>
      <c r="I72" s="44">
        <f t="shared" si="1"/>
        <v>728.19035553241508</v>
      </c>
      <c r="J72" s="44">
        <f t="shared" si="2"/>
        <v>4195.7634771153444</v>
      </c>
      <c r="K72" s="44">
        <f t="shared" si="3"/>
        <v>1384.6019474480638</v>
      </c>
      <c r="L72" s="44">
        <f t="shared" si="4"/>
        <v>5580.3654245634079</v>
      </c>
      <c r="M72" s="44">
        <f t="shared" si="5"/>
        <v>2232.1461698253634</v>
      </c>
      <c r="N72" s="45">
        <f t="shared" si="6"/>
        <v>7812.5115943887713</v>
      </c>
    </row>
    <row r="73" spans="2:14" x14ac:dyDescent="0.25">
      <c r="B73" s="41">
        <v>100517679</v>
      </c>
      <c r="C73" s="40" t="s">
        <v>76</v>
      </c>
      <c r="D73" s="38">
        <v>7790360973498</v>
      </c>
      <c r="E73" s="42">
        <v>7.68</v>
      </c>
      <c r="F73" s="43">
        <v>8</v>
      </c>
      <c r="G73" s="44">
        <v>39413.592299367461</v>
      </c>
      <c r="H73" s="44">
        <f t="shared" si="0"/>
        <v>4926.6990374209327</v>
      </c>
      <c r="I73" s="44">
        <f t="shared" si="1"/>
        <v>1034.6067978583958</v>
      </c>
      <c r="J73" s="44">
        <f t="shared" si="2"/>
        <v>5961.3058352793287</v>
      </c>
      <c r="K73" s="44">
        <f t="shared" si="3"/>
        <v>1967.2309256421786</v>
      </c>
      <c r="L73" s="44">
        <f t="shared" si="4"/>
        <v>7928.5367609215073</v>
      </c>
      <c r="M73" s="44">
        <f t="shared" si="5"/>
        <v>3171.414704368603</v>
      </c>
      <c r="N73" s="45">
        <f t="shared" si="6"/>
        <v>11099.951465290111</v>
      </c>
    </row>
    <row r="74" spans="2:14" x14ac:dyDescent="0.25">
      <c r="B74" s="30"/>
      <c r="C74" s="31"/>
      <c r="D74" s="32"/>
      <c r="E74" s="31"/>
      <c r="F74" s="33"/>
      <c r="G74" s="34" t="e">
        <v>#VALUE!</v>
      </c>
      <c r="H74" s="35" t="e">
        <f t="shared" si="0"/>
        <v>#VALUE!</v>
      </c>
      <c r="I74" s="36">
        <v>0.21</v>
      </c>
      <c r="J74" s="35"/>
      <c r="K74" s="36">
        <v>0.35</v>
      </c>
      <c r="L74" s="35"/>
      <c r="M74" s="36">
        <v>0.5</v>
      </c>
      <c r="N74" s="37"/>
    </row>
    <row r="75" spans="2:14" hidden="1" x14ac:dyDescent="0.25">
      <c r="B75" s="24">
        <v>100516219</v>
      </c>
      <c r="C75" s="25" t="s">
        <v>77</v>
      </c>
      <c r="D75" s="46">
        <v>7790360967770</v>
      </c>
      <c r="E75" s="19">
        <v>10</v>
      </c>
      <c r="F75" s="20">
        <v>25</v>
      </c>
      <c r="G75" s="21">
        <v>18259.399891781304</v>
      </c>
      <c r="H75" s="21">
        <f t="shared" ref="H75:H83" si="9">+G75/F75</f>
        <v>730.37599567125221</v>
      </c>
      <c r="I75" s="21">
        <f t="shared" si="1"/>
        <v>153.37895909096295</v>
      </c>
      <c r="J75" s="21">
        <f t="shared" si="2"/>
        <v>883.75495476221522</v>
      </c>
      <c r="K75" s="21">
        <f t="shared" si="3"/>
        <v>291.63913507153103</v>
      </c>
      <c r="L75" s="21">
        <f t="shared" si="4"/>
        <v>1175.3940898337462</v>
      </c>
      <c r="M75" s="21">
        <f t="shared" si="5"/>
        <v>470.15763593349851</v>
      </c>
      <c r="N75" s="22">
        <f t="shared" si="6"/>
        <v>1645.5517257672448</v>
      </c>
    </row>
    <row r="76" spans="2:14" hidden="1" x14ac:dyDescent="0.25">
      <c r="B76" s="24">
        <v>100516220</v>
      </c>
      <c r="C76" s="25" t="s">
        <v>78</v>
      </c>
      <c r="D76" s="46">
        <v>7790360967787</v>
      </c>
      <c r="E76" s="19">
        <v>12</v>
      </c>
      <c r="F76" s="20">
        <v>6</v>
      </c>
      <c r="G76" s="21">
        <v>19613.921820029205</v>
      </c>
      <c r="H76" s="21">
        <f t="shared" si="9"/>
        <v>3268.9869700048675</v>
      </c>
      <c r="I76" s="21">
        <f t="shared" si="1"/>
        <v>686.48726370102213</v>
      </c>
      <c r="J76" s="21">
        <f t="shared" si="2"/>
        <v>3955.4742337058897</v>
      </c>
      <c r="K76" s="21">
        <f t="shared" si="3"/>
        <v>1305.3064971229437</v>
      </c>
      <c r="L76" s="21">
        <f t="shared" si="4"/>
        <v>5260.7807308288338</v>
      </c>
      <c r="M76" s="21">
        <f t="shared" si="5"/>
        <v>2104.3122923315336</v>
      </c>
      <c r="N76" s="22">
        <f t="shared" si="6"/>
        <v>7365.093023160367</v>
      </c>
    </row>
    <row r="77" spans="2:14" ht="15.75" hidden="1" thickBot="1" x14ac:dyDescent="0.3">
      <c r="B77" s="80"/>
      <c r="C77" s="81"/>
      <c r="D77" s="82"/>
      <c r="E77" s="81"/>
      <c r="F77" s="83"/>
      <c r="G77" s="89" t="e">
        <v>#VALUE!</v>
      </c>
      <c r="H77" s="35" t="e">
        <f t="shared" si="9"/>
        <v>#VALUE!</v>
      </c>
      <c r="I77" s="36"/>
      <c r="J77" s="35"/>
      <c r="K77" s="36"/>
      <c r="L77" s="35"/>
      <c r="M77" s="36"/>
      <c r="N77" s="37"/>
    </row>
    <row r="78" spans="2:14" x14ac:dyDescent="0.25">
      <c r="B78" s="29">
        <v>100518158</v>
      </c>
      <c r="C78" s="25" t="s">
        <v>79</v>
      </c>
      <c r="D78" s="50">
        <v>7790360974280</v>
      </c>
      <c r="E78" s="19">
        <v>12</v>
      </c>
      <c r="F78" s="20">
        <v>24</v>
      </c>
      <c r="G78" s="21">
        <v>79203.691045796324</v>
      </c>
      <c r="H78" s="21">
        <f t="shared" si="9"/>
        <v>3300.153793574847</v>
      </c>
      <c r="I78" s="21">
        <f>+H78*I$3</f>
        <v>693.03229665071785</v>
      </c>
      <c r="J78" s="21">
        <f>+H78+I78</f>
        <v>3993.1860902255648</v>
      </c>
      <c r="K78" s="21">
        <f>+J78*K$3</f>
        <v>1317.7514097744365</v>
      </c>
      <c r="L78" s="21">
        <f>+J78+K78</f>
        <v>5310.9375000000018</v>
      </c>
      <c r="M78" s="21">
        <f>+L78*M$3</f>
        <v>2124.3750000000009</v>
      </c>
      <c r="N78" s="22">
        <f>+L78+M78</f>
        <v>7435.3125000000027</v>
      </c>
    </row>
    <row r="79" spans="2:14" x14ac:dyDescent="0.25">
      <c r="B79" s="29">
        <v>100518160</v>
      </c>
      <c r="C79" s="25" t="s">
        <v>80</v>
      </c>
      <c r="D79" s="50">
        <v>7790360974686</v>
      </c>
      <c r="E79" s="19">
        <v>12</v>
      </c>
      <c r="F79" s="20">
        <v>12</v>
      </c>
      <c r="G79" s="21">
        <v>79203.691045796324</v>
      </c>
      <c r="H79" s="21">
        <f t="shared" si="9"/>
        <v>6600.307587149694</v>
      </c>
      <c r="I79" s="21">
        <f>+H79*I$3</f>
        <v>1386.0645933014357</v>
      </c>
      <c r="J79" s="21">
        <f>+H79+I79</f>
        <v>7986.3721804511297</v>
      </c>
      <c r="K79" s="21">
        <f>+J79*K$3</f>
        <v>2635.502819548873</v>
      </c>
      <c r="L79" s="21">
        <f>+J79+K79</f>
        <v>10621.875000000004</v>
      </c>
      <c r="M79" s="21">
        <f>+L79*M$3</f>
        <v>4248.7500000000018</v>
      </c>
      <c r="N79" s="22">
        <f>+L79+M79</f>
        <v>14870.625000000005</v>
      </c>
    </row>
    <row r="80" spans="2:14" x14ac:dyDescent="0.25">
      <c r="B80" s="29">
        <v>100518463</v>
      </c>
      <c r="C80" s="25" t="s">
        <v>102</v>
      </c>
      <c r="D80" s="50"/>
      <c r="E80" s="19">
        <v>5</v>
      </c>
      <c r="F80" s="20">
        <v>1</v>
      </c>
      <c r="G80" s="21">
        <v>36649.894031605167</v>
      </c>
      <c r="H80" s="21">
        <f t="shared" si="9"/>
        <v>36649.894031605167</v>
      </c>
      <c r="I80" s="21">
        <f>+H80*I$3</f>
        <v>7696.4777466370851</v>
      </c>
      <c r="J80" s="21">
        <f>+H80+I80</f>
        <v>44346.371778242254</v>
      </c>
      <c r="K80" s="21">
        <f>+J80*K$3</f>
        <v>14634.302686819945</v>
      </c>
      <c r="L80" s="21">
        <f>+J80+K80</f>
        <v>58980.674465062199</v>
      </c>
      <c r="M80" s="21">
        <f>+L80*M$3</f>
        <v>23592.269786024881</v>
      </c>
      <c r="N80" s="22">
        <f>+L80+M80</f>
        <v>82572.944251087087</v>
      </c>
    </row>
    <row r="81" spans="2:14" ht="15.75" thickBot="1" x14ac:dyDescent="0.3">
      <c r="B81" s="54"/>
      <c r="C81" s="55"/>
      <c r="D81" s="56"/>
      <c r="E81" s="55"/>
      <c r="F81" s="57"/>
      <c r="G81" s="58" t="e">
        <v>#VALUE!</v>
      </c>
      <c r="H81" s="35" t="e">
        <f t="shared" si="9"/>
        <v>#VALUE!</v>
      </c>
      <c r="I81" s="36"/>
      <c r="J81" s="35"/>
      <c r="K81" s="36"/>
      <c r="L81" s="35"/>
      <c r="M81" s="36"/>
      <c r="N81" s="37"/>
    </row>
    <row r="82" spans="2:14" x14ac:dyDescent="0.25">
      <c r="B82" s="63">
        <v>100518291</v>
      </c>
      <c r="C82" s="64" t="s">
        <v>81</v>
      </c>
      <c r="D82" s="47">
        <v>7790360975195</v>
      </c>
      <c r="E82" s="65">
        <v>5</v>
      </c>
      <c r="F82" s="65">
        <v>10</v>
      </c>
      <c r="G82" s="48">
        <v>17536.686967689053</v>
      </c>
      <c r="H82" s="48">
        <f t="shared" si="9"/>
        <v>1753.6686967689052</v>
      </c>
      <c r="I82" s="48">
        <f>+H82*I$3</f>
        <v>368.2704263214701</v>
      </c>
      <c r="J82" s="48">
        <f>+H82+I82</f>
        <v>2121.9391230903752</v>
      </c>
      <c r="K82" s="48">
        <f>+J82*K$39</f>
        <v>466.82660707988254</v>
      </c>
      <c r="L82" s="48">
        <f>+J82+K82</f>
        <v>2588.7657301702579</v>
      </c>
      <c r="M82" s="48">
        <f>+L82*M$39</f>
        <v>906.06800555959023</v>
      </c>
      <c r="N82" s="49">
        <f>+L82+M82</f>
        <v>3494.8337357298483</v>
      </c>
    </row>
    <row r="83" spans="2:14" ht="15.75" thickBot="1" x14ac:dyDescent="0.3">
      <c r="B83" s="66">
        <v>100518292</v>
      </c>
      <c r="C83" s="67" t="s">
        <v>82</v>
      </c>
      <c r="D83" s="51">
        <v>7790360975201</v>
      </c>
      <c r="E83" s="68">
        <v>12</v>
      </c>
      <c r="F83" s="68">
        <v>12</v>
      </c>
      <c r="G83" s="52">
        <v>41380.323708459917</v>
      </c>
      <c r="H83" s="52">
        <f t="shared" si="9"/>
        <v>3448.3603090383262</v>
      </c>
      <c r="I83" s="52">
        <f>+H83*I$3</f>
        <v>724.15566489804849</v>
      </c>
      <c r="J83" s="52">
        <f>+H83+I83</f>
        <v>4172.5159739363744</v>
      </c>
      <c r="K83" s="52">
        <f>+J83*K$39</f>
        <v>917.95351426600234</v>
      </c>
      <c r="L83" s="52">
        <f>+J83+K83</f>
        <v>5090.4694882023769</v>
      </c>
      <c r="M83" s="52">
        <f>+L83*M$39</f>
        <v>1781.6643208708317</v>
      </c>
      <c r="N83" s="53">
        <f>+L83+M83</f>
        <v>6872.1338090732088</v>
      </c>
    </row>
    <row r="84" spans="2:14" ht="15.75" thickBot="1" x14ac:dyDescent="0.3">
      <c r="B84" s="54"/>
      <c r="C84" s="55"/>
      <c r="D84" s="56"/>
      <c r="E84" s="55"/>
      <c r="F84" s="57"/>
      <c r="G84" s="58" t="e">
        <v>#VALUE!</v>
      </c>
      <c r="H84" s="35" t="e">
        <f>+G84/F84</f>
        <v>#VALUE!</v>
      </c>
      <c r="I84" s="36">
        <v>0.105</v>
      </c>
      <c r="J84" s="35"/>
      <c r="K84" s="36">
        <v>0.3</v>
      </c>
      <c r="L84" s="35"/>
      <c r="M84" s="36">
        <v>0.4</v>
      </c>
      <c r="N84" s="37"/>
    </row>
    <row r="85" spans="2:14" x14ac:dyDescent="0.25">
      <c r="B85" s="63">
        <v>100517915</v>
      </c>
      <c r="C85" s="64" t="s">
        <v>83</v>
      </c>
      <c r="D85" s="47">
        <v>7790360974020</v>
      </c>
      <c r="E85" s="65">
        <v>18</v>
      </c>
      <c r="F85" s="65">
        <v>36</v>
      </c>
      <c r="G85" s="48">
        <v>160512.01231783535</v>
      </c>
      <c r="H85" s="48">
        <f>+G85/F85</f>
        <v>4458.6670088287601</v>
      </c>
      <c r="I85" s="48">
        <f>+H85*I$84</f>
        <v>468.16003592701981</v>
      </c>
      <c r="J85" s="48">
        <f>+H85+I85</f>
        <v>4926.8270447557798</v>
      </c>
      <c r="K85" s="48">
        <f>+J85*K$84</f>
        <v>1478.0481134267338</v>
      </c>
      <c r="L85" s="48">
        <f>+J85+K85</f>
        <v>6404.8751581825136</v>
      </c>
      <c r="M85" s="48">
        <f>+L85*M$84</f>
        <v>2561.9500632730055</v>
      </c>
      <c r="N85" s="49">
        <f>+L85+M85</f>
        <v>8966.8252214555196</v>
      </c>
    </row>
    <row r="86" spans="2:14" ht="15.75" thickBot="1" x14ac:dyDescent="0.3">
      <c r="B86" s="66">
        <v>100517914</v>
      </c>
      <c r="C86" s="67" t="s">
        <v>84</v>
      </c>
      <c r="D86" s="51">
        <v>7790360974037</v>
      </c>
      <c r="E86" s="68">
        <v>20</v>
      </c>
      <c r="F86" s="68">
        <v>20</v>
      </c>
      <c r="G86" s="52">
        <v>175154.27477482893</v>
      </c>
      <c r="H86" s="52">
        <f>+G86/F86</f>
        <v>8757.7137387414459</v>
      </c>
      <c r="I86" s="52">
        <f>+H86*I$84</f>
        <v>919.55994256785175</v>
      </c>
      <c r="J86" s="52">
        <f>+H86+I86</f>
        <v>9677.2736813092979</v>
      </c>
      <c r="K86" s="52">
        <f>+J86*K$84</f>
        <v>2903.1821043927894</v>
      </c>
      <c r="L86" s="52">
        <f>+J86+K86</f>
        <v>12580.455785702088</v>
      </c>
      <c r="M86" s="52">
        <f>+L86*M$84</f>
        <v>5032.1823142808353</v>
      </c>
      <c r="N86" s="53">
        <f>+L86+M86</f>
        <v>17612.638099982923</v>
      </c>
    </row>
    <row r="87" spans="2:14" ht="15.75" thickBot="1" x14ac:dyDescent="0.3">
      <c r="B87" s="54"/>
      <c r="C87" s="55"/>
      <c r="D87" s="56"/>
      <c r="E87" s="55"/>
      <c r="F87" s="57"/>
      <c r="G87" s="58"/>
      <c r="H87" s="59"/>
      <c r="I87" s="70">
        <v>0.105</v>
      </c>
      <c r="J87" s="59"/>
      <c r="K87" s="60">
        <v>0.3</v>
      </c>
      <c r="L87" s="59"/>
      <c r="M87" s="60">
        <v>0.4</v>
      </c>
      <c r="N87" s="61"/>
    </row>
    <row r="88" spans="2:14" x14ac:dyDescent="0.25">
      <c r="B88" s="24">
        <v>100010689</v>
      </c>
      <c r="C88" s="25" t="s">
        <v>85</v>
      </c>
      <c r="D88" s="18"/>
      <c r="E88" s="71">
        <v>22</v>
      </c>
      <c r="F88" s="20">
        <v>1</v>
      </c>
      <c r="G88" s="21">
        <v>15714.285714285716</v>
      </c>
      <c r="H88" s="48">
        <f t="shared" ref="H88:H93" si="10">+G88/F88</f>
        <v>15714.285714285716</v>
      </c>
      <c r="I88" s="48">
        <f t="shared" ref="I88:I93" si="11">+H88*I$87</f>
        <v>1650</v>
      </c>
      <c r="J88" s="48">
        <f t="shared" ref="J88:J93" si="12">+H88+I88</f>
        <v>17364.285714285717</v>
      </c>
      <c r="K88" s="48">
        <f t="shared" ref="K88:K93" si="13">+J88*K$87</f>
        <v>5209.2857142857147</v>
      </c>
      <c r="L88" s="48">
        <f t="shared" ref="L88:L93" si="14">+J88+K88</f>
        <v>22573.571428571431</v>
      </c>
      <c r="M88" s="48">
        <f t="shared" ref="M88:M93" si="15">+L88*M$87</f>
        <v>9029.4285714285725</v>
      </c>
      <c r="N88" s="49">
        <f t="shared" ref="N88:N93" si="16">+L88+M88</f>
        <v>31603.000000000004</v>
      </c>
    </row>
    <row r="89" spans="2:14" x14ac:dyDescent="0.25">
      <c r="B89" s="24">
        <v>100518335</v>
      </c>
      <c r="C89" s="25" t="s">
        <v>86</v>
      </c>
      <c r="D89" s="18"/>
      <c r="E89" s="71">
        <v>22.5</v>
      </c>
      <c r="F89" s="20">
        <v>1</v>
      </c>
      <c r="G89" s="21">
        <v>11224.489795918369</v>
      </c>
      <c r="H89" s="21">
        <f t="shared" si="10"/>
        <v>11224.489795918369</v>
      </c>
      <c r="I89" s="21">
        <f t="shared" si="11"/>
        <v>1178.5714285714287</v>
      </c>
      <c r="J89" s="21">
        <f t="shared" si="12"/>
        <v>12403.061224489798</v>
      </c>
      <c r="K89" s="21">
        <f t="shared" si="13"/>
        <v>3720.9183673469392</v>
      </c>
      <c r="L89" s="21">
        <f t="shared" si="14"/>
        <v>16123.979591836738</v>
      </c>
      <c r="M89" s="21">
        <f t="shared" si="15"/>
        <v>6449.5918367346958</v>
      </c>
      <c r="N89" s="22">
        <f t="shared" si="16"/>
        <v>22573.571428571435</v>
      </c>
    </row>
    <row r="90" spans="2:14" x14ac:dyDescent="0.25">
      <c r="B90" s="24">
        <v>100518332</v>
      </c>
      <c r="C90" s="25" t="s">
        <v>87</v>
      </c>
      <c r="D90" s="18"/>
      <c r="E90" s="71">
        <v>21.5</v>
      </c>
      <c r="F90" s="20">
        <v>1</v>
      </c>
      <c r="G90" s="21">
        <v>12908.163265306122</v>
      </c>
      <c r="H90" s="21">
        <f t="shared" si="10"/>
        <v>12908.163265306122</v>
      </c>
      <c r="I90" s="21">
        <f t="shared" si="11"/>
        <v>1355.3571428571429</v>
      </c>
      <c r="J90" s="21">
        <f t="shared" si="12"/>
        <v>14263.520408163266</v>
      </c>
      <c r="K90" s="21">
        <f t="shared" si="13"/>
        <v>4279.0561224489793</v>
      </c>
      <c r="L90" s="21">
        <f t="shared" si="14"/>
        <v>18542.576530612245</v>
      </c>
      <c r="M90" s="21">
        <f t="shared" si="15"/>
        <v>7417.0306122448983</v>
      </c>
      <c r="N90" s="22">
        <f t="shared" si="16"/>
        <v>25959.607142857145</v>
      </c>
    </row>
    <row r="91" spans="2:14" x14ac:dyDescent="0.25">
      <c r="B91" s="24">
        <v>100518334</v>
      </c>
      <c r="C91" s="25" t="s">
        <v>88</v>
      </c>
      <c r="D91" s="18"/>
      <c r="E91" s="71">
        <v>22.5</v>
      </c>
      <c r="F91" s="20">
        <v>1</v>
      </c>
      <c r="G91" s="21">
        <v>11448.979591836736</v>
      </c>
      <c r="H91" s="21">
        <f t="shared" si="10"/>
        <v>11448.979591836736</v>
      </c>
      <c r="I91" s="21">
        <f t="shared" si="11"/>
        <v>1202.1428571428573</v>
      </c>
      <c r="J91" s="21">
        <f t="shared" si="12"/>
        <v>12651.122448979593</v>
      </c>
      <c r="K91" s="21">
        <f t="shared" si="13"/>
        <v>3795.3367346938776</v>
      </c>
      <c r="L91" s="21">
        <f t="shared" si="14"/>
        <v>16446.459183673469</v>
      </c>
      <c r="M91" s="21">
        <f t="shared" si="15"/>
        <v>6578.5836734693876</v>
      </c>
      <c r="N91" s="22">
        <f t="shared" si="16"/>
        <v>23025.042857142857</v>
      </c>
    </row>
    <row r="92" spans="2:14" x14ac:dyDescent="0.25">
      <c r="B92" s="24">
        <v>100518227</v>
      </c>
      <c r="C92" s="25" t="s">
        <v>89</v>
      </c>
      <c r="D92" s="18"/>
      <c r="E92" s="71">
        <v>22.5</v>
      </c>
      <c r="F92" s="20">
        <v>1</v>
      </c>
      <c r="G92" s="21">
        <v>13244.897959183672</v>
      </c>
      <c r="H92" s="21">
        <f t="shared" si="10"/>
        <v>13244.897959183672</v>
      </c>
      <c r="I92" s="21">
        <f t="shared" si="11"/>
        <v>1390.7142857142856</v>
      </c>
      <c r="J92" s="21">
        <f t="shared" si="12"/>
        <v>14635.612244897959</v>
      </c>
      <c r="K92" s="21">
        <f t="shared" si="13"/>
        <v>4390.683673469387</v>
      </c>
      <c r="L92" s="21">
        <f t="shared" si="14"/>
        <v>19026.295918367345</v>
      </c>
      <c r="M92" s="21">
        <f t="shared" si="15"/>
        <v>7610.5183673469382</v>
      </c>
      <c r="N92" s="22">
        <f t="shared" si="16"/>
        <v>26636.814285714281</v>
      </c>
    </row>
    <row r="93" spans="2:14" x14ac:dyDescent="0.25">
      <c r="B93" s="72">
        <v>100027726</v>
      </c>
      <c r="C93" s="73" t="s">
        <v>90</v>
      </c>
      <c r="D93" s="74"/>
      <c r="E93" s="71">
        <v>22.5</v>
      </c>
      <c r="F93" s="20">
        <v>1</v>
      </c>
      <c r="G93" s="21">
        <v>6814.5000000000009</v>
      </c>
      <c r="H93" s="21">
        <f t="shared" si="10"/>
        <v>6814.5000000000009</v>
      </c>
      <c r="I93" s="21">
        <f t="shared" si="11"/>
        <v>715.52250000000004</v>
      </c>
      <c r="J93" s="21">
        <f t="shared" si="12"/>
        <v>7530.0225000000009</v>
      </c>
      <c r="K93" s="21">
        <f t="shared" si="13"/>
        <v>2259.00675</v>
      </c>
      <c r="L93" s="21">
        <f t="shared" si="14"/>
        <v>9789.0292500000014</v>
      </c>
      <c r="M93" s="21">
        <f t="shared" si="15"/>
        <v>3915.6117000000008</v>
      </c>
      <c r="N93" s="22">
        <f t="shared" si="16"/>
        <v>13704.640950000003</v>
      </c>
    </row>
    <row r="94" spans="2:14" ht="15.75" thickBot="1" x14ac:dyDescent="0.3">
      <c r="B94" s="54"/>
      <c r="C94" s="55"/>
      <c r="D94" s="56"/>
      <c r="E94" s="55"/>
      <c r="F94" s="57"/>
      <c r="G94" s="58"/>
      <c r="H94" s="59"/>
      <c r="I94" s="70">
        <v>0.21</v>
      </c>
      <c r="J94" s="59"/>
      <c r="K94" s="60">
        <v>0.35</v>
      </c>
      <c r="L94" s="59"/>
      <c r="M94" s="60">
        <v>0.45</v>
      </c>
      <c r="N94" s="61"/>
    </row>
    <row r="95" spans="2:14" ht="15.75" thickBot="1" x14ac:dyDescent="0.3">
      <c r="B95" s="24">
        <v>100520837</v>
      </c>
      <c r="C95" s="25" t="s">
        <v>91</v>
      </c>
      <c r="D95" s="18">
        <v>7790360980625</v>
      </c>
      <c r="E95" s="71">
        <v>4.8</v>
      </c>
      <c r="F95" s="20">
        <v>12</v>
      </c>
      <c r="G95" s="21">
        <v>35756.175548589337</v>
      </c>
      <c r="H95" s="39">
        <f>+G95/F95</f>
        <v>2979.6812957157781</v>
      </c>
      <c r="I95" s="40">
        <f>+H95*I$94</f>
        <v>625.73307210031339</v>
      </c>
      <c r="J95" s="38">
        <f>+H95+I95</f>
        <v>3605.4143678160917</v>
      </c>
      <c r="K95" s="71">
        <f>+J95*K$94</f>
        <v>1261.895028735632</v>
      </c>
      <c r="L95" s="20">
        <f>+J95+K95</f>
        <v>4867.3093965517237</v>
      </c>
      <c r="M95" s="48">
        <f>+L95*M$94</f>
        <v>2190.2892284482759</v>
      </c>
      <c r="N95" s="49">
        <f>+L95+M95</f>
        <v>7057.5986249999996</v>
      </c>
    </row>
    <row r="96" spans="2:14" x14ac:dyDescent="0.25">
      <c r="B96" s="39">
        <v>100522395</v>
      </c>
      <c r="C96" s="40" t="s">
        <v>92</v>
      </c>
      <c r="D96" s="74"/>
      <c r="E96" s="71">
        <v>4.8</v>
      </c>
      <c r="F96" s="20">
        <v>12</v>
      </c>
      <c r="G96" s="21">
        <v>36471.292000000001</v>
      </c>
      <c r="H96" s="39">
        <f>+G96/F96</f>
        <v>3039.2743333333333</v>
      </c>
      <c r="I96" s="40">
        <f>+H96*I$94</f>
        <v>638.24761000000001</v>
      </c>
      <c r="J96" s="38">
        <f>+H96+I96</f>
        <v>3677.5219433333332</v>
      </c>
      <c r="K96" s="71">
        <f>+J96*K$94</f>
        <v>1287.1326801666664</v>
      </c>
      <c r="L96" s="20">
        <f>+J96+K96</f>
        <v>4964.6546234999996</v>
      </c>
      <c r="M96" s="48">
        <f>+L96*M$94</f>
        <v>2234.0945805749998</v>
      </c>
      <c r="N96" s="49">
        <f>+L96+M96</f>
        <v>7198.7492040749994</v>
      </c>
    </row>
    <row r="97" spans="2:14" ht="15.75" thickBot="1" x14ac:dyDescent="0.3">
      <c r="B97" s="54"/>
      <c r="C97" s="55"/>
      <c r="D97" s="56"/>
      <c r="E97" s="55"/>
      <c r="F97" s="57"/>
      <c r="G97" s="58"/>
      <c r="H97" s="59"/>
      <c r="I97" s="70">
        <v>0.21</v>
      </c>
      <c r="J97" s="59"/>
      <c r="K97" s="60">
        <v>0.35</v>
      </c>
      <c r="L97" s="59"/>
      <c r="M97" s="60">
        <v>0.45</v>
      </c>
      <c r="N97" s="61"/>
    </row>
    <row r="98" spans="2:14" x14ac:dyDescent="0.25">
      <c r="B98" s="24">
        <v>100520902</v>
      </c>
      <c r="C98" s="25" t="s">
        <v>93</v>
      </c>
      <c r="D98" s="18">
        <v>7790360981042</v>
      </c>
      <c r="E98" s="71">
        <v>9.8000000000000007</v>
      </c>
      <c r="F98" s="20">
        <v>14</v>
      </c>
      <c r="G98" s="21">
        <v>32345.802856147693</v>
      </c>
      <c r="H98" s="39">
        <f>+G98/F98</f>
        <v>2310.4144897248352</v>
      </c>
      <c r="I98" s="40">
        <f>+H98*I$97</f>
        <v>485.18704284221536</v>
      </c>
      <c r="J98" s="38">
        <f>+H98+I98</f>
        <v>2795.6015325670505</v>
      </c>
      <c r="K98" s="71">
        <f>+J98*K$97</f>
        <v>978.46053639846764</v>
      </c>
      <c r="L98" s="20">
        <f>+J98+K98</f>
        <v>3774.0620689655179</v>
      </c>
      <c r="M98" s="48">
        <f>+L98*M$97</f>
        <v>1698.3279310344831</v>
      </c>
      <c r="N98" s="49">
        <f>+L98+M98</f>
        <v>5472.3900000000012</v>
      </c>
    </row>
    <row r="99" spans="2:14" ht="15.75" thickBot="1" x14ac:dyDescent="0.3">
      <c r="B99" s="54"/>
      <c r="C99" s="55"/>
      <c r="D99" s="56"/>
      <c r="E99" s="55"/>
      <c r="F99" s="57"/>
      <c r="G99" s="58"/>
      <c r="H99" s="59"/>
      <c r="I99" s="70">
        <v>0.21</v>
      </c>
      <c r="J99" s="59"/>
      <c r="K99" s="60">
        <v>0.35</v>
      </c>
      <c r="L99" s="59"/>
      <c r="M99" s="60">
        <v>0.45</v>
      </c>
      <c r="N99" s="61"/>
    </row>
    <row r="100" spans="2:14" ht="15.75" thickBot="1" x14ac:dyDescent="0.3">
      <c r="B100" s="24">
        <v>100521457</v>
      </c>
      <c r="C100" s="25" t="s">
        <v>94</v>
      </c>
      <c r="D100" s="18">
        <v>7790360982254</v>
      </c>
      <c r="E100" s="71">
        <v>4.8</v>
      </c>
      <c r="F100" s="20">
        <v>16</v>
      </c>
      <c r="G100" s="21">
        <v>36127.899686520381</v>
      </c>
      <c r="H100" s="39">
        <f>+G100/F100</f>
        <v>2257.9937304075238</v>
      </c>
      <c r="I100" s="40">
        <f>+H100*I$99</f>
        <v>474.17868338557997</v>
      </c>
      <c r="J100" s="38">
        <f>+H100+I100</f>
        <v>2732.1724137931037</v>
      </c>
      <c r="K100" s="71">
        <f>+J100*K$99</f>
        <v>956.26034482758621</v>
      </c>
      <c r="L100" s="20">
        <f>+J100+K100</f>
        <v>3688.43275862069</v>
      </c>
      <c r="M100" s="48">
        <f>+L100*M$99</f>
        <v>1659.7947413793106</v>
      </c>
      <c r="N100" s="49">
        <f>+L100+M100</f>
        <v>5348.2275000000009</v>
      </c>
    </row>
    <row r="101" spans="2:14" ht="15.75" thickBot="1" x14ac:dyDescent="0.3">
      <c r="B101" s="24">
        <v>100521455</v>
      </c>
      <c r="C101" s="25" t="s">
        <v>95</v>
      </c>
      <c r="D101" s="18">
        <v>7790360982247</v>
      </c>
      <c r="E101" s="71">
        <v>4.8</v>
      </c>
      <c r="F101" s="20">
        <v>16</v>
      </c>
      <c r="G101" s="21">
        <v>36127.899686520381</v>
      </c>
      <c r="H101" s="39">
        <f t="shared" ref="H101:H103" si="17">+G101/F101</f>
        <v>2257.9937304075238</v>
      </c>
      <c r="I101" s="40">
        <f t="shared" ref="I101:I103" si="18">+H101*I$99</f>
        <v>474.17868338557997</v>
      </c>
      <c r="J101" s="38">
        <f t="shared" ref="J101:J103" si="19">+H101+I101</f>
        <v>2732.1724137931037</v>
      </c>
      <c r="K101" s="71">
        <f t="shared" ref="K101:K103" si="20">+J101*K$99</f>
        <v>956.26034482758621</v>
      </c>
      <c r="L101" s="20">
        <f t="shared" ref="L101:L103" si="21">+J101+K101</f>
        <v>3688.43275862069</v>
      </c>
      <c r="M101" s="48">
        <f t="shared" ref="M101:M103" si="22">+L101*M$99</f>
        <v>1659.7947413793106</v>
      </c>
      <c r="N101" s="49">
        <f t="shared" ref="N101:N103" si="23">+L101+M101</f>
        <v>5348.2275000000009</v>
      </c>
    </row>
    <row r="102" spans="2:14" ht="15.75" thickBot="1" x14ac:dyDescent="0.3">
      <c r="B102" s="24">
        <v>100521453</v>
      </c>
      <c r="C102" s="25" t="s">
        <v>96</v>
      </c>
      <c r="D102" s="18">
        <v>7790360982223</v>
      </c>
      <c r="E102" s="71">
        <v>5.4</v>
      </c>
      <c r="F102" s="20">
        <v>18</v>
      </c>
      <c r="G102" s="21">
        <v>35563.401253918506</v>
      </c>
      <c r="H102" s="39">
        <f t="shared" si="17"/>
        <v>1975.7445141065837</v>
      </c>
      <c r="I102" s="40">
        <f t="shared" si="18"/>
        <v>414.90634796238254</v>
      </c>
      <c r="J102" s="38">
        <f t="shared" si="19"/>
        <v>2390.650862068966</v>
      </c>
      <c r="K102" s="71">
        <f t="shared" si="20"/>
        <v>836.72780172413809</v>
      </c>
      <c r="L102" s="20">
        <f t="shared" si="21"/>
        <v>3227.3786637931044</v>
      </c>
      <c r="M102" s="48">
        <f t="shared" si="22"/>
        <v>1452.3203987068971</v>
      </c>
      <c r="N102" s="49">
        <f t="shared" si="23"/>
        <v>4679.6990625000017</v>
      </c>
    </row>
    <row r="103" spans="2:14" x14ac:dyDescent="0.25">
      <c r="B103" s="24">
        <v>100521454</v>
      </c>
      <c r="C103" s="25" t="s">
        <v>97</v>
      </c>
      <c r="D103" s="18">
        <v>7790360982230</v>
      </c>
      <c r="E103" s="71">
        <v>5.3999999999999995</v>
      </c>
      <c r="F103" s="20">
        <v>18</v>
      </c>
      <c r="G103" s="21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ht="15.75" thickBot="1" x14ac:dyDescent="0.3">
      <c r="B104" s="54"/>
      <c r="C104" s="55"/>
      <c r="D104" s="56"/>
      <c r="E104" s="55"/>
      <c r="F104" s="57"/>
      <c r="G104" s="58"/>
      <c r="H104" s="59"/>
      <c r="I104" s="70">
        <v>0.21</v>
      </c>
      <c r="J104" s="59"/>
      <c r="K104" s="36">
        <v>0.22</v>
      </c>
      <c r="L104" s="35"/>
      <c r="M104" s="36">
        <v>0.35</v>
      </c>
      <c r="N104" s="61"/>
    </row>
    <row r="105" spans="2:14" ht="15.75" thickBot="1" x14ac:dyDescent="0.3">
      <c r="B105" s="24">
        <v>100522246</v>
      </c>
      <c r="C105" s="25" t="s">
        <v>98</v>
      </c>
      <c r="D105" s="18">
        <v>7790360984234</v>
      </c>
      <c r="E105" s="71">
        <v>8.16</v>
      </c>
      <c r="F105" s="20">
        <v>48</v>
      </c>
      <c r="G105" s="77">
        <v>116812.71733730749</v>
      </c>
      <c r="H105" s="39">
        <f t="shared" ref="H105:H106" si="24">+G105/F105</f>
        <v>2433.5982778605726</v>
      </c>
      <c r="I105" s="40">
        <f t="shared" ref="I105:I106" si="25">+H105*I$3</f>
        <v>511.05563835072024</v>
      </c>
      <c r="J105" s="38">
        <f t="shared" ref="J105:J106" si="26">+H105+I105</f>
        <v>2944.6539162112927</v>
      </c>
      <c r="K105" s="71">
        <f t="shared" ref="K105:K106" si="27">+J105*K$39</f>
        <v>647.82386156648442</v>
      </c>
      <c r="L105" s="20">
        <f t="shared" ref="L105:L106" si="28">+J105+K105</f>
        <v>3592.4777777777772</v>
      </c>
      <c r="M105" s="48">
        <f t="shared" ref="M105:M106" si="29">+L105*M$39</f>
        <v>1257.3672222222219</v>
      </c>
      <c r="N105" s="49">
        <f t="shared" ref="N105:N106" si="30">+L105+M105</f>
        <v>4849.8449999999993</v>
      </c>
    </row>
    <row r="106" spans="2:14" x14ac:dyDescent="0.25">
      <c r="B106" s="24">
        <v>100522247</v>
      </c>
      <c r="C106" s="25" t="s">
        <v>99</v>
      </c>
      <c r="D106" s="18">
        <v>7790360984241</v>
      </c>
      <c r="E106" s="71">
        <v>8.16</v>
      </c>
      <c r="F106" s="20">
        <v>48</v>
      </c>
      <c r="G106" s="77">
        <v>116812.71733730749</v>
      </c>
      <c r="H106" s="39">
        <f t="shared" si="24"/>
        <v>2433.5982778605726</v>
      </c>
      <c r="I106" s="40">
        <f t="shared" si="25"/>
        <v>511.05563835072024</v>
      </c>
      <c r="J106" s="38">
        <f t="shared" si="26"/>
        <v>2944.6539162112927</v>
      </c>
      <c r="K106" s="71">
        <f t="shared" si="27"/>
        <v>647.82386156648442</v>
      </c>
      <c r="L106" s="20">
        <f t="shared" si="28"/>
        <v>3592.4777777777772</v>
      </c>
      <c r="M106" s="48">
        <f t="shared" si="29"/>
        <v>1257.3672222222219</v>
      </c>
      <c r="N106" s="49">
        <f t="shared" si="30"/>
        <v>4849.8449999999993</v>
      </c>
    </row>
  </sheetData>
  <conditionalFormatting sqref="B20:C20">
    <cfRule type="cellIs" dxfId="68" priority="23" stopIfTrue="1" operator="equal">
      <formula>0</formula>
    </cfRule>
  </conditionalFormatting>
  <conditionalFormatting sqref="B27:C27">
    <cfRule type="cellIs" dxfId="67" priority="16" stopIfTrue="1" operator="equal">
      <formula>0</formula>
    </cfRule>
  </conditionalFormatting>
  <conditionalFormatting sqref="B96:C96">
    <cfRule type="cellIs" dxfId="66" priority="3" stopIfTrue="1" operator="equal">
      <formula>0</formula>
    </cfRule>
  </conditionalFormatting>
  <conditionalFormatting sqref="B63:D63">
    <cfRule type="cellIs" dxfId="65" priority="21" stopIfTrue="1" operator="equal">
      <formula>0</formula>
    </cfRule>
  </conditionalFormatting>
  <conditionalFormatting sqref="B16:F19">
    <cfRule type="cellIs" dxfId="64" priority="13" stopIfTrue="1" operator="equal">
      <formula>0</formula>
    </cfRule>
  </conditionalFormatting>
  <conditionalFormatting sqref="B68:N68">
    <cfRule type="cellIs" dxfId="63" priority="7" stopIfTrue="1" operator="equal">
      <formula>0</formula>
    </cfRule>
  </conditionalFormatting>
  <conditionalFormatting sqref="B72:N73">
    <cfRule type="cellIs" dxfId="62" priority="6" stopIfTrue="1" operator="equal">
      <formula>0</formula>
    </cfRule>
  </conditionalFormatting>
  <conditionalFormatting sqref="C28">
    <cfRule type="cellIs" dxfId="61" priority="15" stopIfTrue="1" operator="equal">
      <formula>0</formula>
    </cfRule>
  </conditionalFormatting>
  <conditionalFormatting sqref="E20:F20">
    <cfRule type="cellIs" dxfId="60" priority="22" stopIfTrue="1" operator="equal">
      <formula>0</formula>
    </cfRule>
  </conditionalFormatting>
  <conditionalFormatting sqref="E88:F93">
    <cfRule type="cellIs" dxfId="59" priority="14" stopIfTrue="1" operator="equal">
      <formula>0</formula>
    </cfRule>
  </conditionalFormatting>
  <conditionalFormatting sqref="E95:F96">
    <cfRule type="cellIs" dxfId="58" priority="4" stopIfTrue="1" operator="equal">
      <formula>0</formula>
    </cfRule>
  </conditionalFormatting>
  <conditionalFormatting sqref="E98:F98">
    <cfRule type="cellIs" dxfId="57" priority="11" stopIfTrue="1" operator="equal">
      <formula>0</formula>
    </cfRule>
  </conditionalFormatting>
  <conditionalFormatting sqref="E100:F103">
    <cfRule type="cellIs" dxfId="56" priority="9" stopIfTrue="1" operator="equal">
      <formula>0</formula>
    </cfRule>
  </conditionalFormatting>
  <conditionalFormatting sqref="E105:F106">
    <cfRule type="cellIs" dxfId="55" priority="2" stopIfTrue="1" operator="equal">
      <formula>0</formula>
    </cfRule>
  </conditionalFormatting>
  <conditionalFormatting sqref="E58:N61">
    <cfRule type="cellIs" dxfId="54" priority="19" stopIfTrue="1" operator="equal">
      <formula>0</formula>
    </cfRule>
  </conditionalFormatting>
  <conditionalFormatting sqref="G16:H20">
    <cfRule type="cellIs" dxfId="53" priority="20" stopIfTrue="1" operator="equal">
      <formula>0</formula>
    </cfRule>
  </conditionalFormatting>
  <conditionalFormatting sqref="H95:L96">
    <cfRule type="cellIs" dxfId="52" priority="12" stopIfTrue="1" operator="equal">
      <formula>0</formula>
    </cfRule>
  </conditionalFormatting>
  <conditionalFormatting sqref="H98:L98">
    <cfRule type="cellIs" dxfId="51" priority="10" stopIfTrue="1" operator="equal">
      <formula>0</formula>
    </cfRule>
  </conditionalFormatting>
  <conditionalFormatting sqref="H100:L103">
    <cfRule type="cellIs" dxfId="50" priority="8" stopIfTrue="1" operator="equal">
      <formula>0</formula>
    </cfRule>
  </conditionalFormatting>
  <conditionalFormatting sqref="H105:L106">
    <cfRule type="cellIs" dxfId="49" priority="1" stopIfTrue="1" operator="equal">
      <formula>0</formula>
    </cfRule>
  </conditionalFormatting>
  <conditionalFormatting sqref="H89:N93">
    <cfRule type="cellIs" dxfId="48" priority="5" stopIfTrue="1" operator="equal">
      <formula>0</formula>
    </cfRule>
  </conditionalFormatting>
  <conditionalFormatting sqref="K37:K38">
    <cfRule type="cellIs" dxfId="47" priority="18" stopIfTrue="1" operator="equal">
      <formula>0</formula>
    </cfRule>
  </conditionalFormatting>
  <conditionalFormatting sqref="K16:N20">
    <cfRule type="cellIs" dxfId="46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06"/>
  <sheetViews>
    <sheetView zoomScale="70" zoomScaleNormal="70" workbookViewId="0">
      <pane xSplit="2" ySplit="2" topLeftCell="C51" activePane="bottomRight" state="frozen"/>
      <selection activeCell="C16" sqref="C16"/>
      <selection pane="topRight" activeCell="C16" sqref="C16"/>
      <selection pane="bottomLeft" activeCell="C16" sqref="C16"/>
      <selection pane="bottomRight" activeCell="N64" sqref="A64:XFD65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69" bestFit="1" customWidth="1"/>
    <col min="8" max="13" width="11.42578125" customWidth="1" outlineLevel="1"/>
    <col min="14" max="14" width="11.42578125" style="62" customWidth="1"/>
  </cols>
  <sheetData>
    <row r="1" spans="2:14" s="1" customFormat="1" ht="12.75" thickBot="1" x14ac:dyDescent="0.25">
      <c r="G1" s="2"/>
      <c r="N1" s="3"/>
    </row>
    <row r="2" spans="2:14" s="1" customFormat="1" ht="36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7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2:14" s="1" customFormat="1" ht="12" x14ac:dyDescent="0.2">
      <c r="B3" s="10"/>
      <c r="C3" s="11"/>
      <c r="D3" s="12"/>
      <c r="E3" s="11"/>
      <c r="F3" s="11"/>
      <c r="G3" s="88"/>
      <c r="H3" s="13"/>
      <c r="I3" s="14">
        <v>0.21</v>
      </c>
      <c r="J3" s="13"/>
      <c r="K3" s="14">
        <v>0.35</v>
      </c>
      <c r="L3" s="13"/>
      <c r="M3" s="14">
        <v>0.45</v>
      </c>
      <c r="N3" s="15"/>
    </row>
    <row r="4" spans="2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21">
        <v>44487.458426332298</v>
      </c>
      <c r="H4" s="21">
        <f>+G4/F4</f>
        <v>1482.9152808777433</v>
      </c>
      <c r="I4" s="21">
        <f>+H4*I$3</f>
        <v>311.41220898432607</v>
      </c>
      <c r="J4" s="21">
        <f>+H4+I4</f>
        <v>1794.3274898620693</v>
      </c>
      <c r="K4" s="21">
        <f>+J4*K$3</f>
        <v>628.01462145172422</v>
      </c>
      <c r="L4" s="21">
        <f>+J4+K4</f>
        <v>2422.3421113137938</v>
      </c>
      <c r="M4" s="21">
        <f>+L4*M$3</f>
        <v>1090.0539500912073</v>
      </c>
      <c r="N4" s="22">
        <f>+L4+M4</f>
        <v>3512.3960614050011</v>
      </c>
    </row>
    <row r="5" spans="2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21">
        <v>56348.555744200632</v>
      </c>
      <c r="H5" s="21">
        <f t="shared" ref="H5:H74" si="0">+G5/F5</f>
        <v>3130.4753191222571</v>
      </c>
      <c r="I5" s="21">
        <f t="shared" ref="I5:I76" si="1">+H5*I$3</f>
        <v>657.39981701567399</v>
      </c>
      <c r="J5" s="21">
        <f t="shared" ref="J5:J76" si="2">+H5+I5</f>
        <v>3787.8751361379309</v>
      </c>
      <c r="K5" s="21">
        <f t="shared" ref="K5:K76" si="3">+J5*K$3</f>
        <v>1325.7562976482757</v>
      </c>
      <c r="L5" s="21">
        <f t="shared" ref="L5:L76" si="4">+J5+K5</f>
        <v>5113.6314337862068</v>
      </c>
      <c r="M5" s="21">
        <f t="shared" ref="M5:M76" si="5">+L5*M$3</f>
        <v>2301.1341452037932</v>
      </c>
      <c r="N5" s="22">
        <f t="shared" ref="N5:N76" si="6">+L5+M5</f>
        <v>7414.76557899</v>
      </c>
    </row>
    <row r="6" spans="2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21">
        <v>67620.936808025086</v>
      </c>
      <c r="H6" s="21">
        <f t="shared" si="0"/>
        <v>8452.6171010031358</v>
      </c>
      <c r="I6" s="21">
        <f t="shared" si="1"/>
        <v>1775.0495912106585</v>
      </c>
      <c r="J6" s="21">
        <f t="shared" si="2"/>
        <v>10227.666692213794</v>
      </c>
      <c r="K6" s="21">
        <f t="shared" si="3"/>
        <v>3579.6833422748277</v>
      </c>
      <c r="L6" s="21">
        <f t="shared" si="4"/>
        <v>13807.350034488622</v>
      </c>
      <c r="M6" s="21">
        <f t="shared" si="5"/>
        <v>6213.3075155198794</v>
      </c>
      <c r="N6" s="22">
        <f t="shared" si="6"/>
        <v>20020.657550008502</v>
      </c>
    </row>
    <row r="7" spans="2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21">
        <v>82746.672672978078</v>
      </c>
      <c r="H7" s="21">
        <f t="shared" si="0"/>
        <v>13791.112112163013</v>
      </c>
      <c r="I7" s="21">
        <f t="shared" si="1"/>
        <v>2896.1335435542328</v>
      </c>
      <c r="J7" s="21">
        <f t="shared" si="2"/>
        <v>16687.245655717245</v>
      </c>
      <c r="K7" s="21">
        <f t="shared" si="3"/>
        <v>5840.5359795010354</v>
      </c>
      <c r="L7" s="21">
        <f t="shared" si="4"/>
        <v>22527.781635218278</v>
      </c>
      <c r="M7" s="21">
        <f t="shared" si="5"/>
        <v>10137.501735848226</v>
      </c>
      <c r="N7" s="22">
        <f t="shared" si="6"/>
        <v>32665.283371066504</v>
      </c>
    </row>
    <row r="8" spans="2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21">
        <v>58723.445122758632</v>
      </c>
      <c r="H8" s="21">
        <f t="shared" si="0"/>
        <v>3262.4136179310353</v>
      </c>
      <c r="I8" s="21">
        <f t="shared" si="1"/>
        <v>685.10685976551736</v>
      </c>
      <c r="J8" s="21">
        <f t="shared" si="2"/>
        <v>3947.5204776965529</v>
      </c>
      <c r="K8" s="21">
        <f t="shared" si="3"/>
        <v>1381.6321671937935</v>
      </c>
      <c r="L8" s="21">
        <f t="shared" si="4"/>
        <v>5329.152644890346</v>
      </c>
      <c r="M8" s="21">
        <f t="shared" si="5"/>
        <v>2398.1186902006557</v>
      </c>
      <c r="N8" s="22">
        <f t="shared" si="6"/>
        <v>7727.2713350910017</v>
      </c>
    </row>
    <row r="9" spans="2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21">
        <v>49893.12837189452</v>
      </c>
      <c r="H9" s="21">
        <f t="shared" si="0"/>
        <v>2771.840465105251</v>
      </c>
      <c r="I9" s="21">
        <f t="shared" si="1"/>
        <v>582.08649767210272</v>
      </c>
      <c r="J9" s="21">
        <f t="shared" si="2"/>
        <v>3353.9269627773538</v>
      </c>
      <c r="K9" s="21">
        <f t="shared" si="3"/>
        <v>1173.8744369720737</v>
      </c>
      <c r="L9" s="21">
        <f t="shared" si="4"/>
        <v>4527.8013997494272</v>
      </c>
      <c r="M9" s="21">
        <f t="shared" si="5"/>
        <v>2037.5106298872422</v>
      </c>
      <c r="N9" s="22">
        <f t="shared" si="6"/>
        <v>6565.3120296366696</v>
      </c>
    </row>
    <row r="10" spans="2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21">
        <v>32882.034489028221</v>
      </c>
      <c r="H10" s="21">
        <f>+G10/F10</f>
        <v>1096.0678163009406</v>
      </c>
      <c r="I10" s="21">
        <f>+H10*I$3</f>
        <v>230.17424142319751</v>
      </c>
      <c r="J10" s="21">
        <f>+H10+I10</f>
        <v>1326.2420577241382</v>
      </c>
      <c r="K10" s="21">
        <f>+J10*K$3</f>
        <v>464.18472020344836</v>
      </c>
      <c r="L10" s="21">
        <f>+J10+K10</f>
        <v>1790.4267779275865</v>
      </c>
      <c r="M10" s="21">
        <f>+L10*M$3</f>
        <v>805.6920500674139</v>
      </c>
      <c r="N10" s="22">
        <f>+L10+M10</f>
        <v>2596.1188279950002</v>
      </c>
    </row>
    <row r="11" spans="2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21">
        <v>22133.5952200627</v>
      </c>
      <c r="H11" s="21">
        <f t="shared" si="0"/>
        <v>1844.4662683385584</v>
      </c>
      <c r="I11" s="21">
        <f t="shared" si="1"/>
        <v>387.33791635109725</v>
      </c>
      <c r="J11" s="21">
        <f t="shared" si="2"/>
        <v>2231.8041846896558</v>
      </c>
      <c r="K11" s="21">
        <f t="shared" si="3"/>
        <v>781.13146464137947</v>
      </c>
      <c r="L11" s="21">
        <f t="shared" si="4"/>
        <v>3012.9356493310352</v>
      </c>
      <c r="M11" s="21">
        <f t="shared" si="5"/>
        <v>1355.8210421989659</v>
      </c>
      <c r="N11" s="22">
        <f t="shared" si="6"/>
        <v>4368.7566915300013</v>
      </c>
    </row>
    <row r="12" spans="2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21">
        <v>47116.416384772943</v>
      </c>
      <c r="H12" s="21">
        <f t="shared" si="0"/>
        <v>5889.5520480966179</v>
      </c>
      <c r="I12" s="21">
        <f t="shared" si="1"/>
        <v>1236.8059301002897</v>
      </c>
      <c r="J12" s="21">
        <f t="shared" si="2"/>
        <v>7126.3579781969074</v>
      </c>
      <c r="K12" s="21">
        <f t="shared" si="3"/>
        <v>2494.2252923689175</v>
      </c>
      <c r="L12" s="21">
        <f t="shared" si="4"/>
        <v>9620.5832705658249</v>
      </c>
      <c r="M12" s="21">
        <f t="shared" si="5"/>
        <v>4329.2624717546214</v>
      </c>
      <c r="N12" s="22">
        <f t="shared" si="6"/>
        <v>13949.845742320445</v>
      </c>
    </row>
    <row r="13" spans="2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21">
        <v>28034.107335423203</v>
      </c>
      <c r="H13" s="21">
        <f t="shared" si="0"/>
        <v>667.47874608150482</v>
      </c>
      <c r="I13" s="21">
        <f t="shared" si="1"/>
        <v>140.17053667711602</v>
      </c>
      <c r="J13" s="21">
        <f t="shared" si="2"/>
        <v>807.64928275862087</v>
      </c>
      <c r="K13" s="21">
        <f t="shared" si="3"/>
        <v>282.67724896551726</v>
      </c>
      <c r="L13" s="21">
        <f t="shared" si="4"/>
        <v>1090.326531724138</v>
      </c>
      <c r="M13" s="21">
        <f t="shared" si="5"/>
        <v>490.64693927586211</v>
      </c>
      <c r="N13" s="22">
        <f t="shared" si="6"/>
        <v>1580.9734710000002</v>
      </c>
    </row>
    <row r="14" spans="2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21">
        <v>34681.28438871976</v>
      </c>
      <c r="H14" s="21">
        <f t="shared" si="0"/>
        <v>1651.4897327961789</v>
      </c>
      <c r="I14" s="21">
        <f t="shared" si="1"/>
        <v>346.81284388719757</v>
      </c>
      <c r="J14" s="21">
        <f t="shared" si="2"/>
        <v>1998.3025766833766</v>
      </c>
      <c r="K14" s="21">
        <f t="shared" si="3"/>
        <v>699.40590183918175</v>
      </c>
      <c r="L14" s="21">
        <f t="shared" si="4"/>
        <v>2697.7084785225584</v>
      </c>
      <c r="M14" s="21">
        <f t="shared" si="5"/>
        <v>1213.9688153351512</v>
      </c>
      <c r="N14" s="22">
        <f t="shared" si="6"/>
        <v>3911.6772938577096</v>
      </c>
    </row>
    <row r="15" spans="2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21">
        <v>62624.839498432622</v>
      </c>
      <c r="H15" s="21">
        <f t="shared" si="0"/>
        <v>2087.4946499477542</v>
      </c>
      <c r="I15" s="21">
        <f t="shared" si="1"/>
        <v>438.37387648902836</v>
      </c>
      <c r="J15" s="21">
        <f t="shared" si="2"/>
        <v>2525.8685264367823</v>
      </c>
      <c r="K15" s="21">
        <f t="shared" si="3"/>
        <v>884.05398425287376</v>
      </c>
      <c r="L15" s="21">
        <f t="shared" si="4"/>
        <v>3409.9225106896561</v>
      </c>
      <c r="M15" s="21">
        <f t="shared" si="5"/>
        <v>1534.4651298103452</v>
      </c>
      <c r="N15" s="22">
        <f t="shared" si="6"/>
        <v>4944.387640500001</v>
      </c>
    </row>
    <row r="16" spans="2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21">
        <v>61112.412430813762</v>
      </c>
      <c r="H16" s="21">
        <f t="shared" si="0"/>
        <v>2546.3505179505732</v>
      </c>
      <c r="I16" s="21">
        <f t="shared" si="1"/>
        <v>534.73360876962033</v>
      </c>
      <c r="J16" s="21">
        <f t="shared" si="2"/>
        <v>3081.0841267201936</v>
      </c>
      <c r="K16" s="21">
        <f t="shared" si="3"/>
        <v>1078.3794443520676</v>
      </c>
      <c r="L16" s="21">
        <f t="shared" si="4"/>
        <v>4159.4635710722614</v>
      </c>
      <c r="M16" s="21">
        <f t="shared" si="5"/>
        <v>1871.7586069825177</v>
      </c>
      <c r="N16" s="22">
        <f t="shared" si="6"/>
        <v>6031.2221780547789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21">
        <v>69343.943376065159</v>
      </c>
      <c r="H17" s="21">
        <f>+G17/F17</f>
        <v>1926.2206493351432</v>
      </c>
      <c r="I17" s="21">
        <f>+H17*I$3</f>
        <v>404.50633636038003</v>
      </c>
      <c r="J17" s="21">
        <f>+H17+I17</f>
        <v>2330.7269856955231</v>
      </c>
      <c r="K17" s="21">
        <f>+J17*K$3</f>
        <v>815.75444499343303</v>
      </c>
      <c r="L17" s="21">
        <f>+J17+K17</f>
        <v>3146.4814306889562</v>
      </c>
      <c r="M17" s="21">
        <f>+L17*M$3</f>
        <v>1415.9166438100303</v>
      </c>
      <c r="N17" s="22">
        <f>+L17+M17</f>
        <v>4562.3980744989867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21">
        <v>52397.567736605357</v>
      </c>
      <c r="H18" s="21">
        <f t="shared" si="0"/>
        <v>2910.9759853669643</v>
      </c>
      <c r="I18" s="21">
        <f t="shared" si="1"/>
        <v>611.30495692706245</v>
      </c>
      <c r="J18" s="21">
        <f t="shared" si="2"/>
        <v>3522.2809422940268</v>
      </c>
      <c r="K18" s="21">
        <f t="shared" si="3"/>
        <v>1232.7983298029094</v>
      </c>
      <c r="L18" s="21">
        <f t="shared" si="4"/>
        <v>4755.0792720969366</v>
      </c>
      <c r="M18" s="21">
        <f t="shared" si="5"/>
        <v>2139.7856724436215</v>
      </c>
      <c r="N18" s="22">
        <f t="shared" si="6"/>
        <v>6894.8649445405581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>
        <v>4.7039999999999997</v>
      </c>
      <c r="F19" s="20">
        <v>42</v>
      </c>
      <c r="G19" s="21">
        <v>22610.865158095075</v>
      </c>
      <c r="H19" s="21">
        <f t="shared" si="0"/>
        <v>538.35393233559705</v>
      </c>
      <c r="I19" s="21">
        <f t="shared" si="1"/>
        <v>113.05432579047537</v>
      </c>
      <c r="J19" s="21">
        <f t="shared" si="2"/>
        <v>651.40825812607238</v>
      </c>
      <c r="K19" s="26">
        <f>+J19*0.33</f>
        <v>214.96472518160391</v>
      </c>
      <c r="L19" s="21">
        <f t="shared" si="4"/>
        <v>866.37298330767635</v>
      </c>
      <c r="M19" s="21">
        <f t="shared" si="5"/>
        <v>389.86784248845436</v>
      </c>
      <c r="N19" s="22">
        <f t="shared" si="6"/>
        <v>1256.2408257961306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21">
        <v>17232.595032066216</v>
      </c>
      <c r="H20" s="21">
        <f t="shared" si="0"/>
        <v>1436.049586005518</v>
      </c>
      <c r="I20" s="21">
        <f t="shared" si="1"/>
        <v>301.57041306115877</v>
      </c>
      <c r="J20" s="21">
        <f t="shared" si="2"/>
        <v>1737.6199990666769</v>
      </c>
      <c r="K20" s="26">
        <f>+J20*0.33</f>
        <v>573.41459969200343</v>
      </c>
      <c r="L20" s="21">
        <f t="shared" si="4"/>
        <v>2311.0345987586802</v>
      </c>
      <c r="M20" s="21">
        <f t="shared" si="5"/>
        <v>1039.9655694414062</v>
      </c>
      <c r="N20" s="22">
        <f t="shared" si="6"/>
        <v>3351.0001682000866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21">
        <v>54439.605953547791</v>
      </c>
      <c r="H21" s="21">
        <f t="shared" si="0"/>
        <v>907.32676589246319</v>
      </c>
      <c r="I21" s="21">
        <f t="shared" si="1"/>
        <v>190.53862083741726</v>
      </c>
      <c r="J21" s="21">
        <f t="shared" si="2"/>
        <v>1097.8653867298804</v>
      </c>
      <c r="K21" s="21">
        <f t="shared" si="3"/>
        <v>384.25288535545809</v>
      </c>
      <c r="L21" s="21">
        <f t="shared" si="4"/>
        <v>1482.1182720853385</v>
      </c>
      <c r="M21" s="21">
        <f t="shared" si="5"/>
        <v>666.95322243840235</v>
      </c>
      <c r="N21" s="22">
        <f t="shared" si="6"/>
        <v>2149.071494523741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21">
        <v>45148.626564831568</v>
      </c>
      <c r="H22" s="21">
        <f t="shared" si="0"/>
        <v>752.47710941385947</v>
      </c>
      <c r="I22" s="21">
        <f t="shared" si="1"/>
        <v>158.02019297691049</v>
      </c>
      <c r="J22" s="21">
        <f t="shared" si="2"/>
        <v>910.49730239076996</v>
      </c>
      <c r="K22" s="21">
        <f t="shared" si="3"/>
        <v>318.67405583676947</v>
      </c>
      <c r="L22" s="21">
        <f t="shared" si="4"/>
        <v>1229.1713582275395</v>
      </c>
      <c r="M22" s="21">
        <f t="shared" si="5"/>
        <v>553.12711120239283</v>
      </c>
      <c r="N22" s="22">
        <f t="shared" si="6"/>
        <v>1782.2984694299323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21">
        <v>39809.63831074581</v>
      </c>
      <c r="H23" s="21">
        <f t="shared" si="0"/>
        <v>663.49397184576344</v>
      </c>
      <c r="I23" s="21">
        <f t="shared" si="1"/>
        <v>139.33373408761031</v>
      </c>
      <c r="J23" s="21">
        <f t="shared" si="2"/>
        <v>802.82770593337375</v>
      </c>
      <c r="K23" s="21">
        <f t="shared" si="3"/>
        <v>280.98969707668078</v>
      </c>
      <c r="L23" s="21">
        <f t="shared" si="4"/>
        <v>1083.8174030100545</v>
      </c>
      <c r="M23" s="21">
        <f t="shared" si="5"/>
        <v>487.71783135452455</v>
      </c>
      <c r="N23" s="22">
        <f t="shared" si="6"/>
        <v>1571.5352343645791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21">
        <v>46631.963095308427</v>
      </c>
      <c r="H24" s="21">
        <f t="shared" si="0"/>
        <v>777.19938492180711</v>
      </c>
      <c r="I24" s="21">
        <f t="shared" si="1"/>
        <v>163.2118708335795</v>
      </c>
      <c r="J24" s="21">
        <f t="shared" si="2"/>
        <v>940.41125575538661</v>
      </c>
      <c r="K24" s="21">
        <f t="shared" si="3"/>
        <v>329.14393951438529</v>
      </c>
      <c r="L24" s="21">
        <f t="shared" si="4"/>
        <v>1269.555195269772</v>
      </c>
      <c r="M24" s="21">
        <f t="shared" si="5"/>
        <v>571.29983787139736</v>
      </c>
      <c r="N24" s="22">
        <f t="shared" si="6"/>
        <v>1840.8550331411693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21">
        <v>66650.584283312317</v>
      </c>
      <c r="H25" s="21">
        <f t="shared" si="0"/>
        <v>1110.8430713885386</v>
      </c>
      <c r="I25" s="21">
        <f t="shared" si="1"/>
        <v>233.2770449915931</v>
      </c>
      <c r="J25" s="21">
        <f t="shared" si="2"/>
        <v>1344.1201163801318</v>
      </c>
      <c r="K25" s="21">
        <f t="shared" si="3"/>
        <v>470.4420407330461</v>
      </c>
      <c r="L25" s="21">
        <f t="shared" si="4"/>
        <v>1814.5621571131778</v>
      </c>
      <c r="M25" s="21">
        <f t="shared" si="5"/>
        <v>816.55297070093002</v>
      </c>
      <c r="N25" s="22">
        <f t="shared" si="6"/>
        <v>2631.1151278141078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21">
        <v>152477.83553319029</v>
      </c>
      <c r="H26" s="21">
        <f t="shared" si="0"/>
        <v>3176.6215736081308</v>
      </c>
      <c r="I26" s="21">
        <f t="shared" si="1"/>
        <v>667.09053045770747</v>
      </c>
      <c r="J26" s="21">
        <f t="shared" si="2"/>
        <v>3843.7121040658385</v>
      </c>
      <c r="K26" s="21">
        <f t="shared" si="3"/>
        <v>1345.2992364230433</v>
      </c>
      <c r="L26" s="21">
        <f t="shared" si="4"/>
        <v>5189.0113404888816</v>
      </c>
      <c r="M26" s="21">
        <f t="shared" si="5"/>
        <v>2335.0551032199969</v>
      </c>
      <c r="N26" s="22">
        <f t="shared" si="6"/>
        <v>7524.0664437088781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21">
        <v>67710.853404481793</v>
      </c>
      <c r="H27" s="21">
        <f t="shared" si="0"/>
        <v>1880.8570390133832</v>
      </c>
      <c r="I27" s="21">
        <f t="shared" si="1"/>
        <v>394.97997819281045</v>
      </c>
      <c r="J27" s="21">
        <f t="shared" si="2"/>
        <v>2275.8370172061937</v>
      </c>
      <c r="K27" s="21">
        <f t="shared" si="3"/>
        <v>796.54295602216769</v>
      </c>
      <c r="L27" s="21">
        <f t="shared" si="4"/>
        <v>3072.3799732283615</v>
      </c>
      <c r="M27" s="21">
        <f t="shared" si="5"/>
        <v>1382.5709879527626</v>
      </c>
      <c r="N27" s="22">
        <f t="shared" si="6"/>
        <v>4454.9509611811245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21">
        <v>52716.662373986153</v>
      </c>
      <c r="H28" s="21">
        <f t="shared" si="0"/>
        <v>1757.2220791328718</v>
      </c>
      <c r="I28" s="21">
        <f t="shared" si="1"/>
        <v>369.01663661790309</v>
      </c>
      <c r="J28" s="21">
        <f t="shared" si="2"/>
        <v>2126.2387157507751</v>
      </c>
      <c r="K28" s="21">
        <f t="shared" si="3"/>
        <v>744.18355051277126</v>
      </c>
      <c r="L28" s="21">
        <f t="shared" si="4"/>
        <v>2870.4222662635466</v>
      </c>
      <c r="M28" s="21">
        <f t="shared" si="5"/>
        <v>1291.6900198185961</v>
      </c>
      <c r="N28" s="22">
        <f t="shared" si="6"/>
        <v>4162.1122860821424</v>
      </c>
    </row>
    <row r="29" spans="2:14" x14ac:dyDescent="0.25">
      <c r="B29" s="30"/>
      <c r="C29" s="31"/>
      <c r="D29" s="32"/>
      <c r="E29" s="31"/>
      <c r="F29" s="33"/>
      <c r="G29" s="33" t="e">
        <v>#VALUE!</v>
      </c>
      <c r="H29" s="35" t="e">
        <f t="shared" si="0"/>
        <v>#VALUE!</v>
      </c>
      <c r="I29" s="36">
        <v>0.21</v>
      </c>
      <c r="J29" s="35"/>
      <c r="K29" s="36">
        <v>0.35</v>
      </c>
      <c r="L29" s="35"/>
      <c r="M29" s="36">
        <v>0.5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21">
        <v>27864.855451062351</v>
      </c>
      <c r="H30" s="21">
        <f t="shared" si="0"/>
        <v>1161.0356437942646</v>
      </c>
      <c r="I30" s="21">
        <f t="shared" si="1"/>
        <v>243.81748519679556</v>
      </c>
      <c r="J30" s="21">
        <f t="shared" si="2"/>
        <v>1404.8531289910602</v>
      </c>
      <c r="K30" s="21">
        <f t="shared" si="3"/>
        <v>491.69859514687101</v>
      </c>
      <c r="L30" s="21">
        <f t="shared" si="4"/>
        <v>1896.5517241379312</v>
      </c>
      <c r="M30" s="21">
        <f t="shared" si="5"/>
        <v>853.44827586206907</v>
      </c>
      <c r="N30" s="22">
        <f t="shared" si="6"/>
        <v>2750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21">
        <v>27864.855451062351</v>
      </c>
      <c r="H31" s="21">
        <f t="shared" si="0"/>
        <v>1161.0356437942646</v>
      </c>
      <c r="I31" s="21">
        <f t="shared" si="1"/>
        <v>243.81748519679556</v>
      </c>
      <c r="J31" s="21">
        <f t="shared" si="2"/>
        <v>1404.8531289910602</v>
      </c>
      <c r="K31" s="21">
        <f t="shared" si="3"/>
        <v>491.69859514687101</v>
      </c>
      <c r="L31" s="21">
        <f t="shared" si="4"/>
        <v>1896.5517241379312</v>
      </c>
      <c r="M31" s="21">
        <f t="shared" si="5"/>
        <v>853.44827586206907</v>
      </c>
      <c r="N31" s="22">
        <f t="shared" si="6"/>
        <v>2750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21">
        <v>26471.612678509231</v>
      </c>
      <c r="H32" s="21">
        <f t="shared" si="0"/>
        <v>2205.9677232091026</v>
      </c>
      <c r="I32" s="21">
        <f t="shared" si="1"/>
        <v>463.25322187391151</v>
      </c>
      <c r="J32" s="21">
        <f t="shared" si="2"/>
        <v>2669.2209450830142</v>
      </c>
      <c r="K32" s="21">
        <f t="shared" si="3"/>
        <v>934.22733077905491</v>
      </c>
      <c r="L32" s="21">
        <f t="shared" si="4"/>
        <v>3603.4482758620688</v>
      </c>
      <c r="M32" s="21">
        <f t="shared" si="5"/>
        <v>1621.5517241379309</v>
      </c>
      <c r="N32" s="22">
        <f t="shared" si="6"/>
        <v>5225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21">
        <v>26471.612678509231</v>
      </c>
      <c r="H33" s="21">
        <f t="shared" si="0"/>
        <v>2205.9677232091026</v>
      </c>
      <c r="I33" s="21">
        <f t="shared" si="1"/>
        <v>463.25322187391151</v>
      </c>
      <c r="J33" s="21">
        <f t="shared" si="2"/>
        <v>2669.2209450830142</v>
      </c>
      <c r="K33" s="21">
        <f t="shared" si="3"/>
        <v>934.22733077905491</v>
      </c>
      <c r="L33" s="21">
        <f t="shared" si="4"/>
        <v>3603.4482758620688</v>
      </c>
      <c r="M33" s="21">
        <f t="shared" si="5"/>
        <v>1621.5517241379309</v>
      </c>
      <c r="N33" s="22">
        <f t="shared" si="6"/>
        <v>5225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21">
        <v>20434.970393591087</v>
      </c>
      <c r="H34" s="21">
        <f t="shared" si="0"/>
        <v>851.45709973296198</v>
      </c>
      <c r="I34" s="21">
        <f t="shared" si="1"/>
        <v>178.80599094392201</v>
      </c>
      <c r="J34" s="21">
        <f t="shared" si="2"/>
        <v>1030.2630906768841</v>
      </c>
      <c r="K34" s="21">
        <f t="shared" si="3"/>
        <v>360.59208173690939</v>
      </c>
      <c r="L34" s="21">
        <f t="shared" si="4"/>
        <v>1390.8551724137935</v>
      </c>
      <c r="M34" s="21">
        <f t="shared" si="5"/>
        <v>625.88482758620705</v>
      </c>
      <c r="N34" s="22">
        <f t="shared" si="6"/>
        <v>2016.7400000000007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21">
        <v>55378.462834864673</v>
      </c>
      <c r="H35" s="21">
        <f t="shared" si="0"/>
        <v>5537.8462834864677</v>
      </c>
      <c r="I35" s="21">
        <f t="shared" si="1"/>
        <v>1162.9477195321581</v>
      </c>
      <c r="J35" s="21">
        <f t="shared" si="2"/>
        <v>6700.7940030186255</v>
      </c>
      <c r="K35" s="21">
        <f t="shared" si="3"/>
        <v>2345.2779010565187</v>
      </c>
      <c r="L35" s="21">
        <f t="shared" si="4"/>
        <v>9046.0719040751446</v>
      </c>
      <c r="M35" s="21">
        <f t="shared" si="5"/>
        <v>4070.7323568338152</v>
      </c>
      <c r="N35" s="22">
        <f t="shared" si="6"/>
        <v>13116.804260908961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21">
        <v>55378.462834864673</v>
      </c>
      <c r="H36" s="21">
        <f t="shared" si="0"/>
        <v>5537.8462834864677</v>
      </c>
      <c r="I36" s="21">
        <f t="shared" si="1"/>
        <v>1162.9477195321581</v>
      </c>
      <c r="J36" s="21">
        <f t="shared" si="2"/>
        <v>6700.7940030186255</v>
      </c>
      <c r="K36" s="21">
        <f t="shared" si="3"/>
        <v>2345.2779010565187</v>
      </c>
      <c r="L36" s="21">
        <f t="shared" si="4"/>
        <v>9046.0719040751446</v>
      </c>
      <c r="M36" s="21">
        <f t="shared" si="5"/>
        <v>4070.7323568338152</v>
      </c>
      <c r="N36" s="22">
        <f t="shared" si="6"/>
        <v>13116.804260908961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21">
        <v>16204.48517000241</v>
      </c>
      <c r="H37" s="21">
        <f t="shared" si="0"/>
        <v>675.18688208343372</v>
      </c>
      <c r="I37" s="21">
        <f t="shared" si="1"/>
        <v>141.78924523752107</v>
      </c>
      <c r="J37" s="21">
        <f t="shared" si="2"/>
        <v>816.97612732095479</v>
      </c>
      <c r="K37" s="26">
        <f>+J37*0.33</f>
        <v>269.60212201591509</v>
      </c>
      <c r="L37" s="21">
        <f t="shared" si="4"/>
        <v>1086.5782493368699</v>
      </c>
      <c r="M37" s="21">
        <f t="shared" si="5"/>
        <v>488.9602122015915</v>
      </c>
      <c r="N37" s="22">
        <f t="shared" si="6"/>
        <v>1575.5384615384614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21">
        <v>67554.00640587497</v>
      </c>
      <c r="H38" s="21">
        <f t="shared" si="0"/>
        <v>6755.400640587497</v>
      </c>
      <c r="I38" s="21">
        <f t="shared" si="1"/>
        <v>1418.6341345233743</v>
      </c>
      <c r="J38" s="21">
        <f t="shared" si="2"/>
        <v>8174.0347751108711</v>
      </c>
      <c r="K38" s="21">
        <f>+J38*0.33</f>
        <v>2697.4314757865877</v>
      </c>
      <c r="L38" s="21">
        <f t="shared" si="4"/>
        <v>10871.466250897458</v>
      </c>
      <c r="M38" s="21">
        <f t="shared" si="5"/>
        <v>4892.1598129038566</v>
      </c>
      <c r="N38" s="22">
        <f t="shared" si="6"/>
        <v>15763.626063801315</v>
      </c>
    </row>
    <row r="39" spans="2:14" x14ac:dyDescent="0.25">
      <c r="B39" s="30"/>
      <c r="C39" s="31"/>
      <c r="D39" s="32"/>
      <c r="E39" s="31"/>
      <c r="F39" s="33"/>
      <c r="G39" s="33" t="e">
        <v>#VALUE!</v>
      </c>
      <c r="H39" s="35" t="e">
        <f t="shared" si="0"/>
        <v>#VALUE!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21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21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/>
      <c r="E42" s="19">
        <v>2.16</v>
      </c>
      <c r="F42" s="20">
        <v>24</v>
      </c>
      <c r="G42" s="21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/>
      <c r="E43" s="19">
        <v>2.16</v>
      </c>
      <c r="F43" s="20">
        <v>24</v>
      </c>
      <c r="G43" s="21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21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21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21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21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21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21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21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21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21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21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21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21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21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33" t="e">
        <v>#VALUE!</v>
      </c>
      <c r="H57" s="35" t="e">
        <f t="shared" si="0"/>
        <v>#VALUE!</v>
      </c>
      <c r="I57" s="36">
        <v>0.21</v>
      </c>
      <c r="J57" s="35"/>
      <c r="K57" s="36">
        <v>0.35</v>
      </c>
      <c r="L57" s="35"/>
      <c r="M57" s="36">
        <v>0.5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21">
        <v>28515.844455924253</v>
      </c>
      <c r="H58" s="21">
        <f t="shared" si="0"/>
        <v>1425.7922227962126</v>
      </c>
      <c r="I58" s="21">
        <f t="shared" si="1"/>
        <v>299.41636678720465</v>
      </c>
      <c r="J58" s="21">
        <f t="shared" si="2"/>
        <v>1725.2085895834173</v>
      </c>
      <c r="K58" s="21">
        <f t="shared" si="3"/>
        <v>603.82300635419597</v>
      </c>
      <c r="L58" s="21">
        <f t="shared" si="4"/>
        <v>2329.031595937613</v>
      </c>
      <c r="M58" s="21">
        <f t="shared" si="5"/>
        <v>1048.0642181719259</v>
      </c>
      <c r="N58" s="22">
        <f t="shared" si="6"/>
        <v>3377.0958141095389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21">
        <v>40830.245316300076</v>
      </c>
      <c r="H59" s="21">
        <f t="shared" si="0"/>
        <v>2041.5122658150037</v>
      </c>
      <c r="I59" s="21">
        <f t="shared" si="1"/>
        <v>428.71757582115077</v>
      </c>
      <c r="J59" s="21">
        <f t="shared" si="2"/>
        <v>2470.2298416361546</v>
      </c>
      <c r="K59" s="21">
        <f t="shared" si="3"/>
        <v>864.58044457265407</v>
      </c>
      <c r="L59" s="21">
        <f t="shared" si="4"/>
        <v>3334.8102862088085</v>
      </c>
      <c r="M59" s="21">
        <f t="shared" si="5"/>
        <v>1500.6646287939639</v>
      </c>
      <c r="N59" s="22">
        <f t="shared" si="6"/>
        <v>4835.4749150027728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21">
        <v>40830.245316300076</v>
      </c>
      <c r="H60" s="21">
        <f t="shared" si="0"/>
        <v>2041.5122658150037</v>
      </c>
      <c r="I60" s="21">
        <f t="shared" si="1"/>
        <v>428.71757582115077</v>
      </c>
      <c r="J60" s="21">
        <f t="shared" si="2"/>
        <v>2470.2298416361546</v>
      </c>
      <c r="K60" s="21">
        <f t="shared" si="3"/>
        <v>864.58044457265407</v>
      </c>
      <c r="L60" s="21">
        <f t="shared" si="4"/>
        <v>3334.8102862088085</v>
      </c>
      <c r="M60" s="21">
        <f t="shared" si="5"/>
        <v>1500.6646287939639</v>
      </c>
      <c r="N60" s="22">
        <f t="shared" si="6"/>
        <v>4835.4749150027728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21">
        <v>40830.245316300076</v>
      </c>
      <c r="H61" s="21">
        <f t="shared" si="0"/>
        <v>2041.5122658150037</v>
      </c>
      <c r="I61" s="21">
        <f t="shared" si="1"/>
        <v>428.71757582115077</v>
      </c>
      <c r="J61" s="21">
        <f t="shared" si="2"/>
        <v>2470.2298416361546</v>
      </c>
      <c r="K61" s="21">
        <f t="shared" si="3"/>
        <v>864.58044457265407</v>
      </c>
      <c r="L61" s="21">
        <f t="shared" si="4"/>
        <v>3334.8102862088085</v>
      </c>
      <c r="M61" s="21">
        <f t="shared" si="5"/>
        <v>1500.6646287939639</v>
      </c>
      <c r="N61" s="22">
        <f t="shared" si="6"/>
        <v>4835.4749150027728</v>
      </c>
    </row>
    <row r="62" spans="2:14" x14ac:dyDescent="0.25">
      <c r="B62" s="30"/>
      <c r="C62" s="31"/>
      <c r="D62" s="32"/>
      <c r="E62" s="31"/>
      <c r="F62" s="33"/>
      <c r="G62" s="33" t="e">
        <v>#VALUE!</v>
      </c>
      <c r="H62" s="35" t="e">
        <f t="shared" si="0"/>
        <v>#VALUE!</v>
      </c>
      <c r="I62" s="36">
        <v>0.21</v>
      </c>
      <c r="J62" s="35"/>
      <c r="K62" s="36">
        <v>0.35</v>
      </c>
      <c r="L62" s="35"/>
      <c r="M62" s="36">
        <v>0.5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21">
        <v>35784.831744244417</v>
      </c>
      <c r="H63" s="21">
        <f t="shared" si="0"/>
        <v>2982.0693120203682</v>
      </c>
      <c r="I63" s="21">
        <f t="shared" si="1"/>
        <v>626.23455552427731</v>
      </c>
      <c r="J63" s="21">
        <f t="shared" si="2"/>
        <v>3608.3038675446455</v>
      </c>
      <c r="K63" s="21">
        <f t="shared" si="3"/>
        <v>1262.9063536406259</v>
      </c>
      <c r="L63" s="21">
        <f t="shared" si="4"/>
        <v>4871.2102211852716</v>
      </c>
      <c r="M63" s="21">
        <f t="shared" si="5"/>
        <v>2192.0445995333721</v>
      </c>
      <c r="N63" s="22">
        <f t="shared" si="6"/>
        <v>7063.2548207186437</v>
      </c>
    </row>
    <row r="64" spans="2:14" x14ac:dyDescent="0.25">
      <c r="B64" s="24">
        <v>100021709</v>
      </c>
      <c r="C64" s="25" t="s">
        <v>67</v>
      </c>
      <c r="D64" s="18">
        <v>7790360024701</v>
      </c>
      <c r="E64" s="19">
        <v>7.6</v>
      </c>
      <c r="F64" s="20">
        <v>10</v>
      </c>
      <c r="G64" s="21">
        <v>56851.559990220303</v>
      </c>
      <c r="H64" s="21">
        <f t="shared" si="0"/>
        <v>5685.1559990220303</v>
      </c>
      <c r="I64" s="21">
        <f t="shared" si="1"/>
        <v>1193.8827597946263</v>
      </c>
      <c r="J64" s="21">
        <f t="shared" si="2"/>
        <v>6879.0387588166568</v>
      </c>
      <c r="K64" s="21">
        <f t="shared" si="3"/>
        <v>2407.6635655858299</v>
      </c>
      <c r="L64" s="21">
        <f t="shared" si="4"/>
        <v>9286.7023244024858</v>
      </c>
      <c r="M64" s="21">
        <f t="shared" si="5"/>
        <v>4179.0160459811186</v>
      </c>
      <c r="N64" s="22">
        <f t="shared" si="6"/>
        <v>13465.718370383605</v>
      </c>
    </row>
    <row r="65" spans="2:14" x14ac:dyDescent="0.25">
      <c r="B65" s="24">
        <v>100521357</v>
      </c>
      <c r="C65" s="25" t="s">
        <v>68</v>
      </c>
      <c r="D65" s="18">
        <v>7790360982018</v>
      </c>
      <c r="E65" s="19">
        <v>4.5599999999999996</v>
      </c>
      <c r="F65" s="20">
        <v>12</v>
      </c>
      <c r="G65" s="21">
        <v>48595.608600000021</v>
      </c>
      <c r="H65" s="21">
        <f t="shared" si="0"/>
        <v>4049.6340500000019</v>
      </c>
      <c r="I65" s="21">
        <f t="shared" si="1"/>
        <v>850.42315050000036</v>
      </c>
      <c r="J65" s="21">
        <f t="shared" si="2"/>
        <v>4900.0572005000022</v>
      </c>
      <c r="K65" s="21">
        <f t="shared" si="3"/>
        <v>1715.0200201750006</v>
      </c>
      <c r="L65" s="21">
        <f t="shared" si="4"/>
        <v>6615.0772206750025</v>
      </c>
      <c r="M65" s="21">
        <f t="shared" si="5"/>
        <v>2976.7847493037511</v>
      </c>
      <c r="N65" s="22">
        <f t="shared" si="6"/>
        <v>9591.8619699787541</v>
      </c>
    </row>
    <row r="66" spans="2:14" x14ac:dyDescent="0.25">
      <c r="B66" s="24">
        <v>100521358</v>
      </c>
      <c r="C66" s="25" t="s">
        <v>69</v>
      </c>
      <c r="D66" s="18">
        <v>7790360982025</v>
      </c>
      <c r="E66" s="19">
        <v>7.6</v>
      </c>
      <c r="F66" s="20">
        <v>10</v>
      </c>
      <c r="G66" s="21">
        <v>72893.412900000025</v>
      </c>
      <c r="H66" s="21">
        <f t="shared" si="0"/>
        <v>7289.3412900000021</v>
      </c>
      <c r="I66" s="21">
        <f t="shared" si="1"/>
        <v>1530.7616709000004</v>
      </c>
      <c r="J66" s="21">
        <f t="shared" si="2"/>
        <v>8820.1029609000034</v>
      </c>
      <c r="K66" s="21">
        <f t="shared" si="3"/>
        <v>3087.0360363150012</v>
      </c>
      <c r="L66" s="21">
        <f t="shared" si="4"/>
        <v>11907.138997215005</v>
      </c>
      <c r="M66" s="21">
        <f t="shared" si="5"/>
        <v>5358.212548746752</v>
      </c>
      <c r="N66" s="22">
        <f t="shared" si="6"/>
        <v>17265.351545961756</v>
      </c>
    </row>
    <row r="67" spans="2:14" x14ac:dyDescent="0.25">
      <c r="B67" s="24">
        <v>100522130</v>
      </c>
      <c r="C67" s="25" t="s">
        <v>70</v>
      </c>
      <c r="D67" s="18">
        <v>7790360982445</v>
      </c>
      <c r="E67" s="19">
        <v>4.8</v>
      </c>
      <c r="F67" s="20">
        <v>12</v>
      </c>
      <c r="G67" s="21">
        <v>38154.376987650016</v>
      </c>
      <c r="H67" s="21">
        <f t="shared" si="0"/>
        <v>3179.5314156375011</v>
      </c>
      <c r="I67" s="21">
        <f t="shared" si="1"/>
        <v>667.70159728387523</v>
      </c>
      <c r="J67" s="21">
        <f t="shared" si="2"/>
        <v>3847.2330129213765</v>
      </c>
      <c r="K67" s="21">
        <f t="shared" si="3"/>
        <v>1346.5315545224817</v>
      </c>
      <c r="L67" s="21">
        <f t="shared" si="4"/>
        <v>5193.7645674438581</v>
      </c>
      <c r="M67" s="21">
        <f t="shared" si="5"/>
        <v>2337.1940553497361</v>
      </c>
      <c r="N67" s="22">
        <f t="shared" si="6"/>
        <v>7530.9586227935943</v>
      </c>
    </row>
    <row r="68" spans="2:14" x14ac:dyDescent="0.25">
      <c r="B68" s="41">
        <v>100021725</v>
      </c>
      <c r="C68" s="40" t="s">
        <v>71</v>
      </c>
      <c r="D68" s="38">
        <v>7790360027009</v>
      </c>
      <c r="E68" s="42">
        <v>6</v>
      </c>
      <c r="F68" s="43">
        <v>4</v>
      </c>
      <c r="G68" s="44">
        <v>28521.658141619024</v>
      </c>
      <c r="H68" s="44">
        <f t="shared" si="0"/>
        <v>7130.414535404756</v>
      </c>
      <c r="I68" s="44">
        <f t="shared" si="1"/>
        <v>1497.3870524349986</v>
      </c>
      <c r="J68" s="44">
        <f t="shared" si="2"/>
        <v>8627.8015878397546</v>
      </c>
      <c r="K68" s="44">
        <f t="shared" si="3"/>
        <v>3019.730555743914</v>
      </c>
      <c r="L68" s="44">
        <f t="shared" si="4"/>
        <v>11647.532143583669</v>
      </c>
      <c r="M68" s="44">
        <f t="shared" si="5"/>
        <v>5241.389464612651</v>
      </c>
      <c r="N68" s="45">
        <f t="shared" si="6"/>
        <v>16888.92160819632</v>
      </c>
    </row>
    <row r="69" spans="2:14" x14ac:dyDescent="0.25">
      <c r="B69" s="24">
        <v>100517055</v>
      </c>
      <c r="C69" s="25" t="s">
        <v>72</v>
      </c>
      <c r="D69" s="18">
        <v>7790360971135</v>
      </c>
      <c r="E69" s="19">
        <v>3.12</v>
      </c>
      <c r="F69" s="20">
        <v>12</v>
      </c>
      <c r="G69" s="21">
        <v>26943.236335732781</v>
      </c>
      <c r="H69" s="21">
        <f t="shared" si="0"/>
        <v>2245.2696946443984</v>
      </c>
      <c r="I69" s="21">
        <f t="shared" si="1"/>
        <v>471.50663587532364</v>
      </c>
      <c r="J69" s="21">
        <f t="shared" si="2"/>
        <v>2716.7763305197223</v>
      </c>
      <c r="K69" s="21">
        <f t="shared" si="3"/>
        <v>950.87171568190274</v>
      </c>
      <c r="L69" s="21">
        <f t="shared" si="4"/>
        <v>3667.6480462016252</v>
      </c>
      <c r="M69" s="21">
        <f t="shared" si="5"/>
        <v>1650.4416207907313</v>
      </c>
      <c r="N69" s="22">
        <f t="shared" si="6"/>
        <v>5318.0896669923568</v>
      </c>
    </row>
    <row r="70" spans="2:14" x14ac:dyDescent="0.25">
      <c r="B70" s="24">
        <v>100517186</v>
      </c>
      <c r="C70" s="25" t="s">
        <v>73</v>
      </c>
      <c r="D70" s="18">
        <v>7790360971395</v>
      </c>
      <c r="E70" s="19">
        <v>8</v>
      </c>
      <c r="F70" s="20">
        <v>8</v>
      </c>
      <c r="G70" s="21">
        <v>68035.920775791528</v>
      </c>
      <c r="H70" s="21">
        <f t="shared" si="0"/>
        <v>8504.490096973941</v>
      </c>
      <c r="I70" s="21">
        <f t="shared" si="1"/>
        <v>1785.9429203645275</v>
      </c>
      <c r="J70" s="21">
        <f t="shared" si="2"/>
        <v>10290.433017338468</v>
      </c>
      <c r="K70" s="21">
        <f t="shared" si="3"/>
        <v>3601.6515560684634</v>
      </c>
      <c r="L70" s="21">
        <f t="shared" si="4"/>
        <v>13892.084573406932</v>
      </c>
      <c r="M70" s="21">
        <f t="shared" si="5"/>
        <v>6251.438058033119</v>
      </c>
      <c r="N70" s="22">
        <f t="shared" si="6"/>
        <v>20143.52263144005</v>
      </c>
    </row>
    <row r="71" spans="2:14" x14ac:dyDescent="0.25">
      <c r="B71" s="24">
        <v>100521663</v>
      </c>
      <c r="C71" s="25" t="s">
        <v>74</v>
      </c>
      <c r="D71" s="18">
        <v>7790360982537</v>
      </c>
      <c r="E71" s="19">
        <v>4.8</v>
      </c>
      <c r="F71" s="20">
        <v>12</v>
      </c>
      <c r="G71" s="21">
        <v>41797.283176593519</v>
      </c>
      <c r="H71" s="21">
        <f t="shared" si="0"/>
        <v>3483.1069313827934</v>
      </c>
      <c r="I71" s="21">
        <f t="shared" si="1"/>
        <v>731.45245559038653</v>
      </c>
      <c r="J71" s="21">
        <f t="shared" si="2"/>
        <v>4214.5593869731802</v>
      </c>
      <c r="K71" s="21">
        <f t="shared" si="3"/>
        <v>1475.0957854406129</v>
      </c>
      <c r="L71" s="21">
        <f t="shared" si="4"/>
        <v>5689.6551724137935</v>
      </c>
      <c r="M71" s="21">
        <f t="shared" si="5"/>
        <v>2560.344827586207</v>
      </c>
      <c r="N71" s="22">
        <f t="shared" si="6"/>
        <v>8250</v>
      </c>
    </row>
    <row r="72" spans="2:14" x14ac:dyDescent="0.25">
      <c r="B72" s="41">
        <v>100021728</v>
      </c>
      <c r="C72" s="40" t="s">
        <v>75</v>
      </c>
      <c r="D72" s="38">
        <v>7790360967558</v>
      </c>
      <c r="E72" s="42">
        <v>3.84</v>
      </c>
      <c r="F72" s="43">
        <v>12</v>
      </c>
      <c r="G72" s="44">
        <v>37618.836660651708</v>
      </c>
      <c r="H72" s="44">
        <f t="shared" si="0"/>
        <v>3134.9030550543089</v>
      </c>
      <c r="I72" s="44">
        <f t="shared" si="1"/>
        <v>658.32964156140486</v>
      </c>
      <c r="J72" s="44">
        <f t="shared" si="2"/>
        <v>3793.2326966157138</v>
      </c>
      <c r="K72" s="44">
        <f t="shared" si="3"/>
        <v>1327.6314438154998</v>
      </c>
      <c r="L72" s="44">
        <f t="shared" si="4"/>
        <v>5120.8641404312139</v>
      </c>
      <c r="M72" s="44">
        <f t="shared" si="5"/>
        <v>2304.3888631940463</v>
      </c>
      <c r="N72" s="45">
        <f t="shared" si="6"/>
        <v>7425.2530036252601</v>
      </c>
    </row>
    <row r="73" spans="2:14" x14ac:dyDescent="0.25">
      <c r="B73" s="41">
        <v>100517679</v>
      </c>
      <c r="C73" s="40" t="s">
        <v>76</v>
      </c>
      <c r="D73" s="38">
        <v>7790360973498</v>
      </c>
      <c r="E73" s="42">
        <v>7.68</v>
      </c>
      <c r="F73" s="43">
        <v>8</v>
      </c>
      <c r="G73" s="44">
        <v>39413.592299367461</v>
      </c>
      <c r="H73" s="44">
        <f t="shared" si="0"/>
        <v>4926.6990374209327</v>
      </c>
      <c r="I73" s="44">
        <f t="shared" si="1"/>
        <v>1034.6067978583958</v>
      </c>
      <c r="J73" s="44">
        <f t="shared" si="2"/>
        <v>5961.3058352793287</v>
      </c>
      <c r="K73" s="44">
        <f t="shared" si="3"/>
        <v>2086.4570423477649</v>
      </c>
      <c r="L73" s="44">
        <f t="shared" si="4"/>
        <v>8047.762877627094</v>
      </c>
      <c r="M73" s="44">
        <f t="shared" si="5"/>
        <v>3621.4932949321924</v>
      </c>
      <c r="N73" s="45">
        <f t="shared" si="6"/>
        <v>11669.256172559286</v>
      </c>
    </row>
    <row r="74" spans="2:14" x14ac:dyDescent="0.25">
      <c r="B74" s="30"/>
      <c r="C74" s="31"/>
      <c r="D74" s="32"/>
      <c r="E74" s="31"/>
      <c r="F74" s="33"/>
      <c r="G74" s="34" t="e">
        <v>#VALUE!</v>
      </c>
      <c r="H74" s="35" t="e">
        <f t="shared" si="0"/>
        <v>#VALUE!</v>
      </c>
      <c r="I74" s="36">
        <v>0.21</v>
      </c>
      <c r="J74" s="35"/>
      <c r="K74" s="36">
        <v>0.35</v>
      </c>
      <c r="L74" s="35"/>
      <c r="M74" s="36">
        <v>0.5</v>
      </c>
      <c r="N74" s="37"/>
    </row>
    <row r="75" spans="2:14" hidden="1" x14ac:dyDescent="0.25">
      <c r="B75" s="24">
        <v>100516219</v>
      </c>
      <c r="C75" s="25" t="s">
        <v>77</v>
      </c>
      <c r="D75" s="46">
        <v>7790360967770</v>
      </c>
      <c r="E75" s="19">
        <v>10</v>
      </c>
      <c r="F75" s="20">
        <v>25</v>
      </c>
      <c r="G75" s="21">
        <v>18259.399891781304</v>
      </c>
      <c r="H75" s="21">
        <f t="shared" ref="H75:H83" si="9">+G75/F75</f>
        <v>730.37599567125221</v>
      </c>
      <c r="I75" s="21">
        <f t="shared" si="1"/>
        <v>153.37895909096295</v>
      </c>
      <c r="J75" s="21">
        <f t="shared" si="2"/>
        <v>883.75495476221522</v>
      </c>
      <c r="K75" s="21">
        <f t="shared" si="3"/>
        <v>309.31423416677529</v>
      </c>
      <c r="L75" s="21">
        <f t="shared" si="4"/>
        <v>1193.0691889289906</v>
      </c>
      <c r="M75" s="21">
        <f t="shared" si="5"/>
        <v>536.88113501804582</v>
      </c>
      <c r="N75" s="22">
        <f t="shared" si="6"/>
        <v>1729.9503239470364</v>
      </c>
    </row>
    <row r="76" spans="2:14" hidden="1" x14ac:dyDescent="0.25">
      <c r="B76" s="24">
        <v>100516220</v>
      </c>
      <c r="C76" s="25" t="s">
        <v>78</v>
      </c>
      <c r="D76" s="46">
        <v>7790360967787</v>
      </c>
      <c r="E76" s="19">
        <v>12</v>
      </c>
      <c r="F76" s="20">
        <v>6</v>
      </c>
      <c r="G76" s="21">
        <v>19613.921820029205</v>
      </c>
      <c r="H76" s="21">
        <f t="shared" si="9"/>
        <v>3268.9869700048675</v>
      </c>
      <c r="I76" s="21">
        <f t="shared" si="1"/>
        <v>686.48726370102213</v>
      </c>
      <c r="J76" s="21">
        <f t="shared" si="2"/>
        <v>3955.4742337058897</v>
      </c>
      <c r="K76" s="21">
        <f t="shared" si="3"/>
        <v>1384.4159817970612</v>
      </c>
      <c r="L76" s="21">
        <f t="shared" si="4"/>
        <v>5339.8902155029509</v>
      </c>
      <c r="M76" s="21">
        <f t="shared" si="5"/>
        <v>2402.9505969763281</v>
      </c>
      <c r="N76" s="22">
        <f t="shared" si="6"/>
        <v>7742.8408124792786</v>
      </c>
    </row>
    <row r="77" spans="2:14" ht="15.75" hidden="1" thickBot="1" x14ac:dyDescent="0.3">
      <c r="B77" s="80"/>
      <c r="C77" s="81"/>
      <c r="D77" s="82"/>
      <c r="E77" s="81"/>
      <c r="F77" s="83"/>
      <c r="G77" s="89" t="e">
        <v>#VALUE!</v>
      </c>
      <c r="H77" s="35" t="e">
        <f t="shared" si="9"/>
        <v>#VALUE!</v>
      </c>
      <c r="I77" s="36"/>
      <c r="J77" s="35"/>
      <c r="K77" s="36"/>
      <c r="L77" s="35"/>
      <c r="M77" s="36"/>
      <c r="N77" s="37"/>
    </row>
    <row r="78" spans="2:14" x14ac:dyDescent="0.25">
      <c r="B78" s="29">
        <v>100518158</v>
      </c>
      <c r="C78" s="25" t="s">
        <v>79</v>
      </c>
      <c r="D78" s="50">
        <v>7790360974280</v>
      </c>
      <c r="E78" s="19">
        <v>12</v>
      </c>
      <c r="F78" s="20">
        <v>24</v>
      </c>
      <c r="G78" s="21">
        <v>75339.602925809828</v>
      </c>
      <c r="H78" s="21">
        <f t="shared" si="9"/>
        <v>3139.1501219087427</v>
      </c>
      <c r="I78" s="21">
        <f>+H78*I$3</f>
        <v>659.22152560083589</v>
      </c>
      <c r="J78" s="21">
        <f>+H78+I78</f>
        <v>3798.3716475095785</v>
      </c>
      <c r="K78" s="21">
        <f>+J78*K$3</f>
        <v>1329.4300766283525</v>
      </c>
      <c r="L78" s="21">
        <f>+J78+K78</f>
        <v>5127.8017241379312</v>
      </c>
      <c r="M78" s="21">
        <f>+L78*M$3</f>
        <v>2307.5107758620693</v>
      </c>
      <c r="N78" s="22">
        <f>+L78+M78</f>
        <v>7435.3125</v>
      </c>
    </row>
    <row r="79" spans="2:14" x14ac:dyDescent="0.25">
      <c r="B79" s="29">
        <v>100518160</v>
      </c>
      <c r="C79" s="25" t="s">
        <v>80</v>
      </c>
      <c r="D79" s="50">
        <v>7790360974686</v>
      </c>
      <c r="E79" s="19">
        <v>12</v>
      </c>
      <c r="F79" s="20">
        <v>12</v>
      </c>
      <c r="G79" s="21">
        <v>75339.602925809828</v>
      </c>
      <c r="H79" s="21">
        <f t="shared" si="9"/>
        <v>6278.3002438174854</v>
      </c>
      <c r="I79" s="21">
        <f>+H79*I$3</f>
        <v>1318.4430512016718</v>
      </c>
      <c r="J79" s="21">
        <f>+H79+I79</f>
        <v>7596.7432950191569</v>
      </c>
      <c r="K79" s="21">
        <f>+J79*K$3</f>
        <v>2658.860153256705</v>
      </c>
      <c r="L79" s="21">
        <f>+J79+K79</f>
        <v>10255.603448275862</v>
      </c>
      <c r="M79" s="21">
        <f>+L79*M$3</f>
        <v>4615.0215517241386</v>
      </c>
      <c r="N79" s="22">
        <f>+L79+M79</f>
        <v>14870.625</v>
      </c>
    </row>
    <row r="80" spans="2:14" x14ac:dyDescent="0.25">
      <c r="B80" s="29">
        <v>100518463</v>
      </c>
      <c r="C80" s="25" t="s">
        <v>102</v>
      </c>
      <c r="D80" s="50"/>
      <c r="E80" s="19">
        <v>5</v>
      </c>
      <c r="F80" s="20">
        <v>1</v>
      </c>
      <c r="G80" s="21">
        <v>36649.894031605167</v>
      </c>
      <c r="H80" s="21">
        <f t="shared" si="9"/>
        <v>36649.894031605167</v>
      </c>
      <c r="I80" s="21">
        <f>+H80*I$3</f>
        <v>7696.4777466370851</v>
      </c>
      <c r="J80" s="21">
        <f>+H80+I80</f>
        <v>44346.371778242254</v>
      </c>
      <c r="K80" s="21">
        <f>+J80*K$3</f>
        <v>15521.230122384788</v>
      </c>
      <c r="L80" s="21">
        <f>+J80+K80</f>
        <v>59867.601900627044</v>
      </c>
      <c r="M80" s="21">
        <f>+L80*M$3</f>
        <v>26940.420855282169</v>
      </c>
      <c r="N80" s="22">
        <f>+L80+M80</f>
        <v>86808.022755909216</v>
      </c>
    </row>
    <row r="81" spans="2:14" ht="15.75" thickBot="1" x14ac:dyDescent="0.3">
      <c r="B81" s="54"/>
      <c r="C81" s="55"/>
      <c r="D81" s="56"/>
      <c r="E81" s="55"/>
      <c r="F81" s="57"/>
      <c r="G81" s="58" t="e">
        <v>#VALUE!</v>
      </c>
      <c r="H81" s="35" t="e">
        <f t="shared" si="9"/>
        <v>#VALUE!</v>
      </c>
      <c r="I81" s="36"/>
      <c r="J81" s="35"/>
      <c r="K81" s="36"/>
      <c r="L81" s="35"/>
      <c r="M81" s="36"/>
      <c r="N81" s="37"/>
    </row>
    <row r="82" spans="2:14" x14ac:dyDescent="0.25">
      <c r="B82" s="63">
        <v>100518291</v>
      </c>
      <c r="C82" s="64" t="s">
        <v>81</v>
      </c>
      <c r="D82" s="47">
        <v>7790360975195</v>
      </c>
      <c r="E82" s="65">
        <v>5</v>
      </c>
      <c r="F82" s="65">
        <v>10</v>
      </c>
      <c r="G82" s="48">
        <v>17536.686967689053</v>
      </c>
      <c r="H82" s="48">
        <f t="shared" si="9"/>
        <v>1753.6686967689052</v>
      </c>
      <c r="I82" s="48">
        <f>+H82*I$3</f>
        <v>368.2704263214701</v>
      </c>
      <c r="J82" s="48">
        <f>+H82+I82</f>
        <v>2121.9391230903752</v>
      </c>
      <c r="K82" s="48">
        <f>+J82*K$39</f>
        <v>466.82660707988254</v>
      </c>
      <c r="L82" s="48">
        <f>+J82+K82</f>
        <v>2588.7657301702579</v>
      </c>
      <c r="M82" s="48">
        <f>+L82*M$39</f>
        <v>906.06800555959023</v>
      </c>
      <c r="N82" s="49">
        <f>+L82+M82</f>
        <v>3494.8337357298483</v>
      </c>
    </row>
    <row r="83" spans="2:14" ht="15.75" thickBot="1" x14ac:dyDescent="0.3">
      <c r="B83" s="66">
        <v>100518292</v>
      </c>
      <c r="C83" s="67" t="s">
        <v>82</v>
      </c>
      <c r="D83" s="51">
        <v>7790360975201</v>
      </c>
      <c r="E83" s="68">
        <v>12</v>
      </c>
      <c r="F83" s="68">
        <v>12</v>
      </c>
      <c r="G83" s="52">
        <v>41380.323708459917</v>
      </c>
      <c r="H83" s="52">
        <f t="shared" si="9"/>
        <v>3448.3603090383262</v>
      </c>
      <c r="I83" s="52">
        <f>+H83*I$3</f>
        <v>724.15566489804849</v>
      </c>
      <c r="J83" s="52">
        <f>+H83+I83</f>
        <v>4172.5159739363744</v>
      </c>
      <c r="K83" s="52">
        <f>+J83*K$39</f>
        <v>917.95351426600234</v>
      </c>
      <c r="L83" s="52">
        <f>+J83+K83</f>
        <v>5090.4694882023769</v>
      </c>
      <c r="M83" s="52">
        <f>+L83*M$39</f>
        <v>1781.6643208708317</v>
      </c>
      <c r="N83" s="53">
        <f>+L83+M83</f>
        <v>6872.1338090732088</v>
      </c>
    </row>
    <row r="84" spans="2:14" ht="15.75" thickBot="1" x14ac:dyDescent="0.3">
      <c r="B84" s="54"/>
      <c r="C84" s="55"/>
      <c r="D84" s="56"/>
      <c r="E84" s="55"/>
      <c r="F84" s="57"/>
      <c r="G84" s="58" t="e">
        <v>#VALUE!</v>
      </c>
      <c r="H84" s="35" t="e">
        <f>+G84/F84</f>
        <v>#VALUE!</v>
      </c>
      <c r="I84" s="36">
        <v>0.105</v>
      </c>
      <c r="J84" s="35"/>
      <c r="K84" s="36">
        <v>0.3</v>
      </c>
      <c r="L84" s="35"/>
      <c r="M84" s="36">
        <v>0.4</v>
      </c>
      <c r="N84" s="37"/>
    </row>
    <row r="85" spans="2:14" x14ac:dyDescent="0.25">
      <c r="B85" s="63">
        <v>100517915</v>
      </c>
      <c r="C85" s="64" t="s">
        <v>83</v>
      </c>
      <c r="D85" s="47">
        <v>7790360974020</v>
      </c>
      <c r="E85" s="65">
        <v>18</v>
      </c>
      <c r="F85" s="65">
        <v>36</v>
      </c>
      <c r="G85" s="48">
        <v>160512.01231783535</v>
      </c>
      <c r="H85" s="48">
        <f>+G85/F85</f>
        <v>4458.6670088287601</v>
      </c>
      <c r="I85" s="48">
        <f>+H85*I$84</f>
        <v>468.16003592701981</v>
      </c>
      <c r="J85" s="48">
        <f>+H85+I85</f>
        <v>4926.8270447557798</v>
      </c>
      <c r="K85" s="48">
        <f>+J85*K$84</f>
        <v>1478.0481134267338</v>
      </c>
      <c r="L85" s="48">
        <f>+J85+K85</f>
        <v>6404.8751581825136</v>
      </c>
      <c r="M85" s="48">
        <f>+L85*M$84</f>
        <v>2561.9500632730055</v>
      </c>
      <c r="N85" s="49">
        <f>+L85+M85</f>
        <v>8966.8252214555196</v>
      </c>
    </row>
    <row r="86" spans="2:14" ht="15.75" thickBot="1" x14ac:dyDescent="0.3">
      <c r="B86" s="66">
        <v>100517914</v>
      </c>
      <c r="C86" s="67" t="s">
        <v>84</v>
      </c>
      <c r="D86" s="51">
        <v>7790360974037</v>
      </c>
      <c r="E86" s="68">
        <v>20</v>
      </c>
      <c r="F86" s="68">
        <v>20</v>
      </c>
      <c r="G86" s="52">
        <v>175154.27477482893</v>
      </c>
      <c r="H86" s="52">
        <f>+G86/F86</f>
        <v>8757.7137387414459</v>
      </c>
      <c r="I86" s="52">
        <f>+H86*I$84</f>
        <v>919.55994256785175</v>
      </c>
      <c r="J86" s="52">
        <f>+H86+I86</f>
        <v>9677.2736813092979</v>
      </c>
      <c r="K86" s="52">
        <f>+J86*K$84</f>
        <v>2903.1821043927894</v>
      </c>
      <c r="L86" s="52">
        <f>+J86+K86</f>
        <v>12580.455785702088</v>
      </c>
      <c r="M86" s="52">
        <f>+L86*M$84</f>
        <v>5032.1823142808353</v>
      </c>
      <c r="N86" s="53">
        <f>+L86+M86</f>
        <v>17612.638099982923</v>
      </c>
    </row>
    <row r="87" spans="2:14" ht="15.75" thickBot="1" x14ac:dyDescent="0.3">
      <c r="B87" s="54"/>
      <c r="C87" s="55"/>
      <c r="D87" s="56"/>
      <c r="E87" s="55"/>
      <c r="F87" s="57"/>
      <c r="G87" s="58"/>
      <c r="H87" s="59"/>
      <c r="I87" s="70">
        <v>0.105</v>
      </c>
      <c r="J87" s="59"/>
      <c r="K87" s="60">
        <v>0.3</v>
      </c>
      <c r="L87" s="59"/>
      <c r="M87" s="60">
        <v>0.4</v>
      </c>
      <c r="N87" s="61"/>
    </row>
    <row r="88" spans="2:14" x14ac:dyDescent="0.25">
      <c r="B88" s="24">
        <v>100010689</v>
      </c>
      <c r="C88" s="25" t="s">
        <v>85</v>
      </c>
      <c r="D88" s="18"/>
      <c r="E88" s="71">
        <v>22</v>
      </c>
      <c r="F88" s="20">
        <v>1</v>
      </c>
      <c r="G88" s="21">
        <v>15714.285714285716</v>
      </c>
      <c r="H88" s="48">
        <f t="shared" ref="H88:H93" si="10">+G88/F88</f>
        <v>15714.285714285716</v>
      </c>
      <c r="I88" s="48">
        <f t="shared" ref="I88:I93" si="11">+H88*I$87</f>
        <v>1650</v>
      </c>
      <c r="J88" s="48">
        <f t="shared" ref="J88:J93" si="12">+H88+I88</f>
        <v>17364.285714285717</v>
      </c>
      <c r="K88" s="48">
        <f t="shared" ref="K88:K93" si="13">+J88*K$87</f>
        <v>5209.2857142857147</v>
      </c>
      <c r="L88" s="48">
        <f t="shared" ref="L88:L93" si="14">+J88+K88</f>
        <v>22573.571428571431</v>
      </c>
      <c r="M88" s="48">
        <f t="shared" ref="M88:M93" si="15">+L88*M$87</f>
        <v>9029.4285714285725</v>
      </c>
      <c r="N88" s="49">
        <f t="shared" ref="N88:N93" si="16">+L88+M88</f>
        <v>31603.000000000004</v>
      </c>
    </row>
    <row r="89" spans="2:14" x14ac:dyDescent="0.25">
      <c r="B89" s="24">
        <v>100518335</v>
      </c>
      <c r="C89" s="25" t="s">
        <v>86</v>
      </c>
      <c r="D89" s="18"/>
      <c r="E89" s="71">
        <v>22.5</v>
      </c>
      <c r="F89" s="20">
        <v>1</v>
      </c>
      <c r="G89" s="21">
        <v>11224.489795918369</v>
      </c>
      <c r="H89" s="21">
        <f t="shared" si="10"/>
        <v>11224.489795918369</v>
      </c>
      <c r="I89" s="21">
        <f t="shared" si="11"/>
        <v>1178.5714285714287</v>
      </c>
      <c r="J89" s="21">
        <f t="shared" si="12"/>
        <v>12403.061224489798</v>
      </c>
      <c r="K89" s="21">
        <f t="shared" si="13"/>
        <v>3720.9183673469392</v>
      </c>
      <c r="L89" s="21">
        <f t="shared" si="14"/>
        <v>16123.979591836738</v>
      </c>
      <c r="M89" s="21">
        <f t="shared" si="15"/>
        <v>6449.5918367346958</v>
      </c>
      <c r="N89" s="22">
        <f t="shared" si="16"/>
        <v>22573.571428571435</v>
      </c>
    </row>
    <row r="90" spans="2:14" x14ac:dyDescent="0.25">
      <c r="B90" s="24">
        <v>100518332</v>
      </c>
      <c r="C90" s="25" t="s">
        <v>87</v>
      </c>
      <c r="D90" s="18"/>
      <c r="E90" s="71">
        <v>21.5</v>
      </c>
      <c r="F90" s="20">
        <v>1</v>
      </c>
      <c r="G90" s="21">
        <v>12908.163265306122</v>
      </c>
      <c r="H90" s="21">
        <f t="shared" si="10"/>
        <v>12908.163265306122</v>
      </c>
      <c r="I90" s="21">
        <f t="shared" si="11"/>
        <v>1355.3571428571429</v>
      </c>
      <c r="J90" s="21">
        <f t="shared" si="12"/>
        <v>14263.520408163266</v>
      </c>
      <c r="K90" s="21">
        <f t="shared" si="13"/>
        <v>4279.0561224489793</v>
      </c>
      <c r="L90" s="21">
        <f t="shared" si="14"/>
        <v>18542.576530612245</v>
      </c>
      <c r="M90" s="21">
        <f t="shared" si="15"/>
        <v>7417.0306122448983</v>
      </c>
      <c r="N90" s="22">
        <f t="shared" si="16"/>
        <v>25959.607142857145</v>
      </c>
    </row>
    <row r="91" spans="2:14" x14ac:dyDescent="0.25">
      <c r="B91" s="24">
        <v>100518334</v>
      </c>
      <c r="C91" s="25" t="s">
        <v>88</v>
      </c>
      <c r="D91" s="18"/>
      <c r="E91" s="71">
        <v>22.5</v>
      </c>
      <c r="F91" s="20">
        <v>1</v>
      </c>
      <c r="G91" s="21">
        <v>11448.979591836736</v>
      </c>
      <c r="H91" s="21">
        <f t="shared" si="10"/>
        <v>11448.979591836736</v>
      </c>
      <c r="I91" s="21">
        <f t="shared" si="11"/>
        <v>1202.1428571428573</v>
      </c>
      <c r="J91" s="21">
        <f t="shared" si="12"/>
        <v>12651.122448979593</v>
      </c>
      <c r="K91" s="21">
        <f t="shared" si="13"/>
        <v>3795.3367346938776</v>
      </c>
      <c r="L91" s="21">
        <f t="shared" si="14"/>
        <v>16446.459183673469</v>
      </c>
      <c r="M91" s="21">
        <f t="shared" si="15"/>
        <v>6578.5836734693876</v>
      </c>
      <c r="N91" s="22">
        <f t="shared" si="16"/>
        <v>23025.042857142857</v>
      </c>
    </row>
    <row r="92" spans="2:14" x14ac:dyDescent="0.25">
      <c r="B92" s="24">
        <v>100518227</v>
      </c>
      <c r="C92" s="25" t="s">
        <v>89</v>
      </c>
      <c r="D92" s="18"/>
      <c r="E92" s="71">
        <v>22.5</v>
      </c>
      <c r="F92" s="20">
        <v>1</v>
      </c>
      <c r="G92" s="21">
        <v>13244.897959183672</v>
      </c>
      <c r="H92" s="21">
        <f t="shared" si="10"/>
        <v>13244.897959183672</v>
      </c>
      <c r="I92" s="21">
        <f t="shared" si="11"/>
        <v>1390.7142857142856</v>
      </c>
      <c r="J92" s="21">
        <f t="shared" si="12"/>
        <v>14635.612244897959</v>
      </c>
      <c r="K92" s="21">
        <f t="shared" si="13"/>
        <v>4390.683673469387</v>
      </c>
      <c r="L92" s="21">
        <f t="shared" si="14"/>
        <v>19026.295918367345</v>
      </c>
      <c r="M92" s="21">
        <f t="shared" si="15"/>
        <v>7610.5183673469382</v>
      </c>
      <c r="N92" s="22">
        <f t="shared" si="16"/>
        <v>26636.814285714281</v>
      </c>
    </row>
    <row r="93" spans="2:14" x14ac:dyDescent="0.25">
      <c r="B93" s="72">
        <v>100027726</v>
      </c>
      <c r="C93" s="73" t="s">
        <v>90</v>
      </c>
      <c r="D93" s="74"/>
      <c r="E93" s="71">
        <v>22.5</v>
      </c>
      <c r="F93" s="20">
        <v>1</v>
      </c>
      <c r="G93" s="21">
        <v>6814.5000000000009</v>
      </c>
      <c r="H93" s="21">
        <f t="shared" si="10"/>
        <v>6814.5000000000009</v>
      </c>
      <c r="I93" s="21">
        <f t="shared" si="11"/>
        <v>715.52250000000004</v>
      </c>
      <c r="J93" s="21">
        <f t="shared" si="12"/>
        <v>7530.0225000000009</v>
      </c>
      <c r="K93" s="21">
        <f t="shared" si="13"/>
        <v>2259.00675</v>
      </c>
      <c r="L93" s="21">
        <f t="shared" si="14"/>
        <v>9789.0292500000014</v>
      </c>
      <c r="M93" s="21">
        <f t="shared" si="15"/>
        <v>3915.6117000000008</v>
      </c>
      <c r="N93" s="22">
        <f t="shared" si="16"/>
        <v>13704.640950000003</v>
      </c>
    </row>
    <row r="94" spans="2:14" ht="15.75" thickBot="1" x14ac:dyDescent="0.3">
      <c r="B94" s="54"/>
      <c r="C94" s="55"/>
      <c r="D94" s="56"/>
      <c r="E94" s="55"/>
      <c r="F94" s="57"/>
      <c r="G94" s="58"/>
      <c r="H94" s="59"/>
      <c r="I94" s="70">
        <v>0.21</v>
      </c>
      <c r="J94" s="59"/>
      <c r="K94" s="60">
        <v>0.35</v>
      </c>
      <c r="L94" s="59"/>
      <c r="M94" s="60">
        <v>0.45</v>
      </c>
      <c r="N94" s="61"/>
    </row>
    <row r="95" spans="2:14" ht="15.75" thickBot="1" x14ac:dyDescent="0.3">
      <c r="B95" s="24">
        <v>100520837</v>
      </c>
      <c r="C95" s="25" t="s">
        <v>91</v>
      </c>
      <c r="D95" s="18">
        <v>7790360980625</v>
      </c>
      <c r="E95" s="71">
        <v>4.8</v>
      </c>
      <c r="F95" s="20">
        <v>12</v>
      </c>
      <c r="G95" s="21">
        <v>35756.175548589337</v>
      </c>
      <c r="H95" s="39">
        <f>+G95/F95</f>
        <v>2979.6812957157781</v>
      </c>
      <c r="I95" s="40">
        <f>+H95*I$94</f>
        <v>625.73307210031339</v>
      </c>
      <c r="J95" s="38">
        <f>+H95+I95</f>
        <v>3605.4143678160917</v>
      </c>
      <c r="K95" s="71">
        <f>+J95*K$94</f>
        <v>1261.895028735632</v>
      </c>
      <c r="L95" s="20">
        <f>+J95+K95</f>
        <v>4867.3093965517237</v>
      </c>
      <c r="M95" s="48">
        <f>+L95*M$94</f>
        <v>2190.2892284482759</v>
      </c>
      <c r="N95" s="49">
        <f>+L95+M95</f>
        <v>7057.5986249999996</v>
      </c>
    </row>
    <row r="96" spans="2:14" x14ac:dyDescent="0.25">
      <c r="B96" s="39">
        <v>100522395</v>
      </c>
      <c r="C96" s="40" t="s">
        <v>92</v>
      </c>
      <c r="D96" s="74"/>
      <c r="E96" s="71">
        <v>4.8</v>
      </c>
      <c r="F96" s="20">
        <v>12</v>
      </c>
      <c r="G96" s="21">
        <v>36471.292000000001</v>
      </c>
      <c r="H96" s="39">
        <f>+G96/F96</f>
        <v>3039.2743333333333</v>
      </c>
      <c r="I96" s="40">
        <f>+H96*I$94</f>
        <v>638.24761000000001</v>
      </c>
      <c r="J96" s="38">
        <f>+H96+I96</f>
        <v>3677.5219433333332</v>
      </c>
      <c r="K96" s="71">
        <f>+J96*K$94</f>
        <v>1287.1326801666664</v>
      </c>
      <c r="L96" s="20">
        <f>+J96+K96</f>
        <v>4964.6546234999996</v>
      </c>
      <c r="M96" s="48">
        <f>+L96*M$94</f>
        <v>2234.0945805749998</v>
      </c>
      <c r="N96" s="49">
        <f>+L96+M96</f>
        <v>7198.7492040749994</v>
      </c>
    </row>
    <row r="97" spans="2:14" ht="15.75" thickBot="1" x14ac:dyDescent="0.3">
      <c r="B97" s="54"/>
      <c r="C97" s="55"/>
      <c r="D97" s="56"/>
      <c r="E97" s="55"/>
      <c r="F97" s="57"/>
      <c r="G97" s="58"/>
      <c r="H97" s="59"/>
      <c r="I97" s="70">
        <v>0.21</v>
      </c>
      <c r="J97" s="59"/>
      <c r="K97" s="60">
        <v>0.35</v>
      </c>
      <c r="L97" s="59"/>
      <c r="M97" s="60">
        <v>0.45</v>
      </c>
      <c r="N97" s="61"/>
    </row>
    <row r="98" spans="2:14" x14ac:dyDescent="0.25">
      <c r="B98" s="39">
        <v>100520902</v>
      </c>
      <c r="C98" s="40" t="s">
        <v>93</v>
      </c>
      <c r="D98" s="38">
        <v>7790360981042</v>
      </c>
      <c r="E98" s="71">
        <v>9.8000000000000007</v>
      </c>
      <c r="F98" s="20">
        <v>14</v>
      </c>
      <c r="G98" s="21">
        <v>32345.802856147693</v>
      </c>
      <c r="H98" s="39">
        <f>+G98/F98</f>
        <v>2310.4144897248352</v>
      </c>
      <c r="I98" s="40">
        <f>+H98*I$97</f>
        <v>485.18704284221536</v>
      </c>
      <c r="J98" s="38">
        <f>+H98+I98</f>
        <v>2795.6015325670505</v>
      </c>
      <c r="K98" s="71">
        <f>+J98*K$97</f>
        <v>978.46053639846764</v>
      </c>
      <c r="L98" s="20">
        <f>+J98+K98</f>
        <v>3774.0620689655179</v>
      </c>
      <c r="M98" s="48">
        <f>+L98*M$97</f>
        <v>1698.3279310344831</v>
      </c>
      <c r="N98" s="49">
        <f>+L98+M98</f>
        <v>5472.3900000000012</v>
      </c>
    </row>
    <row r="99" spans="2:14" ht="15.75" thickBot="1" x14ac:dyDescent="0.3">
      <c r="B99" s="54"/>
      <c r="C99" s="55"/>
      <c r="D99" s="56"/>
      <c r="E99" s="55"/>
      <c r="F99" s="57"/>
      <c r="G99" s="58"/>
      <c r="H99" s="59"/>
      <c r="I99" s="70">
        <v>0.21</v>
      </c>
      <c r="J99" s="59"/>
      <c r="K99" s="60">
        <v>0.35</v>
      </c>
      <c r="L99" s="59"/>
      <c r="M99" s="60">
        <v>0.45</v>
      </c>
      <c r="N99" s="61"/>
    </row>
    <row r="100" spans="2:14" ht="15.75" thickBot="1" x14ac:dyDescent="0.3">
      <c r="B100" s="39">
        <v>100521457</v>
      </c>
      <c r="C100" s="40" t="s">
        <v>94</v>
      </c>
      <c r="D100" s="38">
        <v>7790360982254</v>
      </c>
      <c r="E100" s="71">
        <v>4.8</v>
      </c>
      <c r="F100" s="20">
        <v>16</v>
      </c>
      <c r="G100" s="21">
        <v>36127.899686520381</v>
      </c>
      <c r="H100" s="39">
        <f>+G100/F100</f>
        <v>2257.9937304075238</v>
      </c>
      <c r="I100" s="40">
        <f>+H100*I$99</f>
        <v>474.17868338557997</v>
      </c>
      <c r="J100" s="38">
        <f>+H100+I100</f>
        <v>2732.1724137931037</v>
      </c>
      <c r="K100" s="71">
        <f>+J100*K$99</f>
        <v>956.26034482758621</v>
      </c>
      <c r="L100" s="20">
        <f>+J100+K100</f>
        <v>3688.43275862069</v>
      </c>
      <c r="M100" s="48">
        <f>+L100*M$99</f>
        <v>1659.7947413793106</v>
      </c>
      <c r="N100" s="49">
        <f>+L100+M100</f>
        <v>5348.2275000000009</v>
      </c>
    </row>
    <row r="101" spans="2:14" ht="15.75" thickBot="1" x14ac:dyDescent="0.3">
      <c r="B101" s="39">
        <v>100521455</v>
      </c>
      <c r="C101" s="40" t="s">
        <v>95</v>
      </c>
      <c r="D101" s="38">
        <v>7790360982247</v>
      </c>
      <c r="E101" s="71">
        <v>4.8</v>
      </c>
      <c r="F101" s="20">
        <v>16</v>
      </c>
      <c r="G101" s="21">
        <v>36127.899686520381</v>
      </c>
      <c r="H101" s="39">
        <f t="shared" ref="H101:H103" si="17">+G101/F101</f>
        <v>2257.9937304075238</v>
      </c>
      <c r="I101" s="40">
        <f t="shared" ref="I101:I103" si="18">+H101*I$99</f>
        <v>474.17868338557997</v>
      </c>
      <c r="J101" s="38">
        <f t="shared" ref="J101:J103" si="19">+H101+I101</f>
        <v>2732.1724137931037</v>
      </c>
      <c r="K101" s="71">
        <f t="shared" ref="K101:K103" si="20">+J101*K$99</f>
        <v>956.26034482758621</v>
      </c>
      <c r="L101" s="20">
        <f t="shared" ref="L101:L103" si="21">+J101+K101</f>
        <v>3688.43275862069</v>
      </c>
      <c r="M101" s="48">
        <f t="shared" ref="M101:M103" si="22">+L101*M$99</f>
        <v>1659.7947413793106</v>
      </c>
      <c r="N101" s="49">
        <f t="shared" ref="N101:N103" si="23">+L101+M101</f>
        <v>5348.2275000000009</v>
      </c>
    </row>
    <row r="102" spans="2:14" ht="15.75" thickBot="1" x14ac:dyDescent="0.3">
      <c r="B102" s="39">
        <v>100521453</v>
      </c>
      <c r="C102" s="40" t="s">
        <v>96</v>
      </c>
      <c r="D102" s="38">
        <v>7790360982223</v>
      </c>
      <c r="E102" s="71">
        <v>5.4</v>
      </c>
      <c r="F102" s="20">
        <v>18</v>
      </c>
      <c r="G102" s="21">
        <v>35563.401253918506</v>
      </c>
      <c r="H102" s="39">
        <f t="shared" si="17"/>
        <v>1975.7445141065837</v>
      </c>
      <c r="I102" s="40">
        <f t="shared" si="18"/>
        <v>414.90634796238254</v>
      </c>
      <c r="J102" s="38">
        <f t="shared" si="19"/>
        <v>2390.650862068966</v>
      </c>
      <c r="K102" s="71">
        <f t="shared" si="20"/>
        <v>836.72780172413809</v>
      </c>
      <c r="L102" s="20">
        <f t="shared" si="21"/>
        <v>3227.3786637931044</v>
      </c>
      <c r="M102" s="48">
        <f t="shared" si="22"/>
        <v>1452.3203987068971</v>
      </c>
      <c r="N102" s="49">
        <f t="shared" si="23"/>
        <v>4679.6990625000017</v>
      </c>
    </row>
    <row r="103" spans="2:14" x14ac:dyDescent="0.25">
      <c r="B103" s="39">
        <v>100521454</v>
      </c>
      <c r="C103" s="40" t="s">
        <v>97</v>
      </c>
      <c r="D103" s="38">
        <v>7790360982230</v>
      </c>
      <c r="E103" s="71">
        <v>5.3999999999999995</v>
      </c>
      <c r="F103" s="20">
        <v>18</v>
      </c>
      <c r="G103" s="21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ht="15.75" thickBot="1" x14ac:dyDescent="0.3">
      <c r="B104" s="54"/>
      <c r="C104" s="55"/>
      <c r="D104" s="56"/>
      <c r="E104" s="55"/>
      <c r="F104" s="57"/>
      <c r="G104" s="58"/>
      <c r="H104" s="59"/>
      <c r="I104" s="70">
        <v>0.21</v>
      </c>
      <c r="J104" s="59"/>
      <c r="K104" s="60">
        <v>0.22</v>
      </c>
      <c r="L104" s="59"/>
      <c r="M104" s="60">
        <v>0.35</v>
      </c>
      <c r="N104" s="61"/>
    </row>
    <row r="105" spans="2:14" ht="15.75" thickBot="1" x14ac:dyDescent="0.3">
      <c r="B105" s="39">
        <v>100522246</v>
      </c>
      <c r="C105" s="40" t="s">
        <v>98</v>
      </c>
      <c r="D105" s="38">
        <v>7790360984234</v>
      </c>
      <c r="E105" s="71">
        <v>8.16</v>
      </c>
      <c r="F105" s="20">
        <v>48</v>
      </c>
      <c r="G105" s="21">
        <v>116812.71733730749</v>
      </c>
      <c r="H105" s="39">
        <f t="shared" ref="H105:H106" si="24">+G105/F105</f>
        <v>2433.5982778605726</v>
      </c>
      <c r="I105" s="40">
        <f t="shared" ref="I105:I106" si="25">+H105*I$3</f>
        <v>511.05563835072024</v>
      </c>
      <c r="J105" s="38">
        <f t="shared" ref="J105:J106" si="26">+H105+I105</f>
        <v>2944.6539162112927</v>
      </c>
      <c r="K105" s="71">
        <f t="shared" ref="K105:K106" si="27">+J105*K$39</f>
        <v>647.82386156648442</v>
      </c>
      <c r="L105" s="20">
        <f t="shared" ref="L105:L106" si="28">+J105+K105</f>
        <v>3592.4777777777772</v>
      </c>
      <c r="M105" s="48">
        <f t="shared" ref="M105:M106" si="29">+L105*M$39</f>
        <v>1257.3672222222219</v>
      </c>
      <c r="N105" s="49">
        <f t="shared" ref="N105:N106" si="30">+L105+M105</f>
        <v>4849.8449999999993</v>
      </c>
    </row>
    <row r="106" spans="2:14" x14ac:dyDescent="0.25">
      <c r="B106" s="39">
        <v>100522247</v>
      </c>
      <c r="C106" s="40" t="s">
        <v>99</v>
      </c>
      <c r="D106" s="38">
        <v>7790360984241</v>
      </c>
      <c r="E106" s="71">
        <v>8.16</v>
      </c>
      <c r="F106" s="20">
        <v>48</v>
      </c>
      <c r="G106" s="21">
        <v>116812.71733730749</v>
      </c>
      <c r="H106" s="39">
        <f t="shared" si="24"/>
        <v>2433.5982778605726</v>
      </c>
      <c r="I106" s="40">
        <f t="shared" si="25"/>
        <v>511.05563835072024</v>
      </c>
      <c r="J106" s="38">
        <f t="shared" si="26"/>
        <v>2944.6539162112927</v>
      </c>
      <c r="K106" s="71">
        <f t="shared" si="27"/>
        <v>647.82386156648442</v>
      </c>
      <c r="L106" s="20">
        <f t="shared" si="28"/>
        <v>3592.4777777777772</v>
      </c>
      <c r="M106" s="48">
        <f t="shared" si="29"/>
        <v>1257.3672222222219</v>
      </c>
      <c r="N106" s="49">
        <f t="shared" si="30"/>
        <v>4849.8449999999993</v>
      </c>
    </row>
  </sheetData>
  <conditionalFormatting sqref="B20:C20">
    <cfRule type="cellIs" dxfId="45" priority="23" stopIfTrue="1" operator="equal">
      <formula>0</formula>
    </cfRule>
  </conditionalFormatting>
  <conditionalFormatting sqref="B27:C27">
    <cfRule type="cellIs" dxfId="44" priority="16" stopIfTrue="1" operator="equal">
      <formula>0</formula>
    </cfRule>
  </conditionalFormatting>
  <conditionalFormatting sqref="B96:C96">
    <cfRule type="cellIs" dxfId="43" priority="3" stopIfTrue="1" operator="equal">
      <formula>0</formula>
    </cfRule>
  </conditionalFormatting>
  <conditionalFormatting sqref="B63:D63">
    <cfRule type="cellIs" dxfId="42" priority="21" stopIfTrue="1" operator="equal">
      <formula>0</formula>
    </cfRule>
  </conditionalFormatting>
  <conditionalFormatting sqref="B16:F19">
    <cfRule type="cellIs" dxfId="41" priority="13" stopIfTrue="1" operator="equal">
      <formula>0</formula>
    </cfRule>
  </conditionalFormatting>
  <conditionalFormatting sqref="B98:F98">
    <cfRule type="cellIs" dxfId="40" priority="11" stopIfTrue="1" operator="equal">
      <formula>0</formula>
    </cfRule>
  </conditionalFormatting>
  <conditionalFormatting sqref="B100:F103">
    <cfRule type="cellIs" dxfId="39" priority="9" stopIfTrue="1" operator="equal">
      <formula>0</formula>
    </cfRule>
  </conditionalFormatting>
  <conditionalFormatting sqref="B105:F106">
    <cfRule type="cellIs" dxfId="38" priority="2" stopIfTrue="1" operator="equal">
      <formula>0</formula>
    </cfRule>
  </conditionalFormatting>
  <conditionalFormatting sqref="B68:N68">
    <cfRule type="cellIs" dxfId="37" priority="7" stopIfTrue="1" operator="equal">
      <formula>0</formula>
    </cfRule>
  </conditionalFormatting>
  <conditionalFormatting sqref="B72:N73">
    <cfRule type="cellIs" dxfId="36" priority="6" stopIfTrue="1" operator="equal">
      <formula>0</formula>
    </cfRule>
  </conditionalFormatting>
  <conditionalFormatting sqref="C28">
    <cfRule type="cellIs" dxfId="35" priority="15" stopIfTrue="1" operator="equal">
      <formula>0</formula>
    </cfRule>
  </conditionalFormatting>
  <conditionalFormatting sqref="E20:F20">
    <cfRule type="cellIs" dxfId="34" priority="22" stopIfTrue="1" operator="equal">
      <formula>0</formula>
    </cfRule>
  </conditionalFormatting>
  <conditionalFormatting sqref="E88:F93">
    <cfRule type="cellIs" dxfId="33" priority="14" stopIfTrue="1" operator="equal">
      <formula>0</formula>
    </cfRule>
  </conditionalFormatting>
  <conditionalFormatting sqref="E95:F96">
    <cfRule type="cellIs" dxfId="32" priority="4" stopIfTrue="1" operator="equal">
      <formula>0</formula>
    </cfRule>
  </conditionalFormatting>
  <conditionalFormatting sqref="E58:N61">
    <cfRule type="cellIs" dxfId="31" priority="19" stopIfTrue="1" operator="equal">
      <formula>0</formula>
    </cfRule>
  </conditionalFormatting>
  <conditionalFormatting sqref="G16:H20">
    <cfRule type="cellIs" dxfId="30" priority="20" stopIfTrue="1" operator="equal">
      <formula>0</formula>
    </cfRule>
  </conditionalFormatting>
  <conditionalFormatting sqref="H95:L96">
    <cfRule type="cellIs" dxfId="29" priority="12" stopIfTrue="1" operator="equal">
      <formula>0</formula>
    </cfRule>
  </conditionalFormatting>
  <conditionalFormatting sqref="H98:L98">
    <cfRule type="cellIs" dxfId="28" priority="10" stopIfTrue="1" operator="equal">
      <formula>0</formula>
    </cfRule>
  </conditionalFormatting>
  <conditionalFormatting sqref="H100:L103">
    <cfRule type="cellIs" dxfId="27" priority="8" stopIfTrue="1" operator="equal">
      <formula>0</formula>
    </cfRule>
  </conditionalFormatting>
  <conditionalFormatting sqref="H105:L106">
    <cfRule type="cellIs" dxfId="26" priority="1" stopIfTrue="1" operator="equal">
      <formula>0</formula>
    </cfRule>
  </conditionalFormatting>
  <conditionalFormatting sqref="H89:N93">
    <cfRule type="cellIs" dxfId="25" priority="5" stopIfTrue="1" operator="equal">
      <formula>0</formula>
    </cfRule>
  </conditionalFormatting>
  <conditionalFormatting sqref="K37:K38">
    <cfRule type="cellIs" dxfId="24" priority="18" stopIfTrue="1" operator="equal">
      <formula>0</formula>
    </cfRule>
  </conditionalFormatting>
  <conditionalFormatting sqref="K16:N20">
    <cfRule type="cellIs" dxfId="23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6"/>
  <sheetViews>
    <sheetView zoomScale="70" zoomScaleNormal="70" workbookViewId="0">
      <pane xSplit="2" ySplit="2" topLeftCell="C57" activePane="bottomRight" state="frozen"/>
      <selection activeCell="C16" sqref="C16"/>
      <selection pane="topRight" activeCell="C16" sqref="C16"/>
      <selection pane="bottomLeft" activeCell="C16" sqref="C16"/>
      <selection pane="bottomRight" activeCell="C66" sqref="C66"/>
    </sheetView>
  </sheetViews>
  <sheetFormatPr baseColWidth="10" defaultColWidth="11.42578125" defaultRowHeight="15" outlineLevelCol="1" x14ac:dyDescent="0.25"/>
  <cols>
    <col min="1" max="1" width="2.7109375" customWidth="1"/>
    <col min="2" max="2" width="11.7109375" customWidth="1"/>
    <col min="3" max="3" width="46.28515625" bestFit="1" customWidth="1"/>
    <col min="4" max="4" width="12.140625" customWidth="1"/>
    <col min="5" max="5" width="8" bestFit="1" customWidth="1"/>
    <col min="6" max="6" width="9.42578125" bestFit="1" customWidth="1"/>
    <col min="7" max="7" width="9.42578125" style="69" bestFit="1" customWidth="1"/>
    <col min="8" max="13" width="11.42578125" customWidth="1" outlineLevel="1"/>
    <col min="14" max="14" width="11.42578125" style="62" customWidth="1"/>
  </cols>
  <sheetData>
    <row r="1" spans="2:14" s="1" customFormat="1" ht="12.75" thickBot="1" x14ac:dyDescent="0.25">
      <c r="G1" s="2"/>
      <c r="N1" s="3"/>
    </row>
    <row r="2" spans="2:14" s="1" customFormat="1" ht="36.75" thickBot="1" x14ac:dyDescent="0.25"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7" t="s">
        <v>100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12</v>
      </c>
    </row>
    <row r="3" spans="2:14" s="1" customFormat="1" ht="12" x14ac:dyDescent="0.2">
      <c r="B3" s="10"/>
      <c r="C3" s="11"/>
      <c r="D3" s="12"/>
      <c r="E3" s="11"/>
      <c r="F3" s="11"/>
      <c r="G3" s="88"/>
      <c r="H3" s="13"/>
      <c r="I3" s="14">
        <v>0.21</v>
      </c>
      <c r="J3" s="13"/>
      <c r="K3" s="14">
        <v>0.33</v>
      </c>
      <c r="L3" s="13"/>
      <c r="M3" s="14">
        <v>0.4</v>
      </c>
      <c r="N3" s="15"/>
    </row>
    <row r="4" spans="2:14" x14ac:dyDescent="0.25">
      <c r="B4" s="16">
        <v>100021632</v>
      </c>
      <c r="C4" s="17" t="s">
        <v>13</v>
      </c>
      <c r="D4" s="18">
        <v>7790360026606</v>
      </c>
      <c r="E4" s="19">
        <v>4.8</v>
      </c>
      <c r="F4" s="20">
        <v>30</v>
      </c>
      <c r="G4" s="21">
        <v>37948.296216208153</v>
      </c>
      <c r="H4" s="21">
        <f>+G4/F4</f>
        <v>1264.9432072069385</v>
      </c>
      <c r="I4" s="21">
        <f>+H4*I$3</f>
        <v>265.63807351345707</v>
      </c>
      <c r="J4" s="21">
        <f>+H4+I4</f>
        <v>1530.5812807203956</v>
      </c>
      <c r="K4" s="21">
        <f>+J4*K$3</f>
        <v>505.09182263773056</v>
      </c>
      <c r="L4" s="21">
        <f>+J4+K4</f>
        <v>2035.6731033581261</v>
      </c>
      <c r="M4" s="21">
        <f>+L4*M$3</f>
        <v>814.26924134325054</v>
      </c>
      <c r="N4" s="22">
        <f>+L4+M4</f>
        <v>2849.9423447013769</v>
      </c>
    </row>
    <row r="5" spans="2:14" x14ac:dyDescent="0.25">
      <c r="B5" s="23">
        <v>100021652</v>
      </c>
      <c r="C5" s="17" t="s">
        <v>14</v>
      </c>
      <c r="D5" s="18">
        <v>7790360026576</v>
      </c>
      <c r="E5" s="19">
        <v>5.76</v>
      </c>
      <c r="F5" s="20">
        <v>18</v>
      </c>
      <c r="G5" s="21">
        <v>54129.556706339725</v>
      </c>
      <c r="H5" s="21">
        <f t="shared" ref="H5:H74" si="0">+G5/F5</f>
        <v>3007.1975947966512</v>
      </c>
      <c r="I5" s="21">
        <f t="shared" ref="I5:I76" si="1">+H5*I$3</f>
        <v>631.51149490729676</v>
      </c>
      <c r="J5" s="21">
        <f t="shared" ref="J5:J76" si="2">+H5+I5</f>
        <v>3638.7090897039479</v>
      </c>
      <c r="K5" s="21">
        <f t="shared" ref="K5:K76" si="3">+J5*K$3</f>
        <v>1200.7739996023029</v>
      </c>
      <c r="L5" s="21">
        <f t="shared" ref="L5:L76" si="4">+J5+K5</f>
        <v>4839.4830893062508</v>
      </c>
      <c r="M5" s="21">
        <f t="shared" ref="M5:M76" si="5">+L5*M$3</f>
        <v>1935.7932357225004</v>
      </c>
      <c r="N5" s="22">
        <f t="shared" ref="N5:N76" si="6">+L5+M5</f>
        <v>6775.2763250287517</v>
      </c>
    </row>
    <row r="6" spans="2:14" x14ac:dyDescent="0.25">
      <c r="B6" s="23">
        <v>100021631</v>
      </c>
      <c r="C6" s="17" t="s">
        <v>15</v>
      </c>
      <c r="D6" s="18">
        <v>7790360026590</v>
      </c>
      <c r="E6" s="19">
        <v>7.68</v>
      </c>
      <c r="F6" s="20">
        <v>8</v>
      </c>
      <c r="G6" s="21">
        <v>66789.001340526345</v>
      </c>
      <c r="H6" s="21">
        <f t="shared" si="0"/>
        <v>8348.6251675657932</v>
      </c>
      <c r="I6" s="21">
        <f t="shared" si="1"/>
        <v>1753.2112851888164</v>
      </c>
      <c r="J6" s="21">
        <f t="shared" si="2"/>
        <v>10101.836452754609</v>
      </c>
      <c r="K6" s="21">
        <f t="shared" si="3"/>
        <v>3333.6060294090212</v>
      </c>
      <c r="L6" s="21">
        <f t="shared" si="4"/>
        <v>13435.442482163631</v>
      </c>
      <c r="M6" s="21">
        <f t="shared" si="5"/>
        <v>5374.176992865453</v>
      </c>
      <c r="N6" s="22">
        <f t="shared" si="6"/>
        <v>18809.619475029085</v>
      </c>
    </row>
    <row r="7" spans="2:14" x14ac:dyDescent="0.25">
      <c r="B7" s="23">
        <v>100021630</v>
      </c>
      <c r="C7" s="17" t="s">
        <v>16</v>
      </c>
      <c r="D7" s="18">
        <v>7790360026583</v>
      </c>
      <c r="E7" s="19">
        <v>9.6</v>
      </c>
      <c r="F7" s="20">
        <v>6</v>
      </c>
      <c r="G7" s="21">
        <v>83486.251675657943</v>
      </c>
      <c r="H7" s="21">
        <f t="shared" si="0"/>
        <v>13914.375279276324</v>
      </c>
      <c r="I7" s="21">
        <f t="shared" si="1"/>
        <v>2922.018808648028</v>
      </c>
      <c r="J7" s="21">
        <f t="shared" si="2"/>
        <v>16836.394087924353</v>
      </c>
      <c r="K7" s="21">
        <f t="shared" si="3"/>
        <v>5556.0100490150371</v>
      </c>
      <c r="L7" s="21">
        <f t="shared" si="4"/>
        <v>22392.404136939389</v>
      </c>
      <c r="M7" s="21">
        <f t="shared" si="5"/>
        <v>8956.961654775756</v>
      </c>
      <c r="N7" s="22">
        <f t="shared" si="6"/>
        <v>31349.365791715143</v>
      </c>
    </row>
    <row r="8" spans="2:14" x14ac:dyDescent="0.25">
      <c r="B8" s="24">
        <v>100021653</v>
      </c>
      <c r="C8" s="25" t="s">
        <v>17</v>
      </c>
      <c r="D8" s="18">
        <v>7790360026682</v>
      </c>
      <c r="E8" s="19">
        <v>5.76</v>
      </c>
      <c r="F8" s="20">
        <v>18</v>
      </c>
      <c r="G8" s="21">
        <v>54129.556706339725</v>
      </c>
      <c r="H8" s="21">
        <f t="shared" si="0"/>
        <v>3007.1975947966512</v>
      </c>
      <c r="I8" s="21">
        <f t="shared" si="1"/>
        <v>631.51149490729676</v>
      </c>
      <c r="J8" s="21">
        <f t="shared" si="2"/>
        <v>3638.7090897039479</v>
      </c>
      <c r="K8" s="21">
        <f t="shared" si="3"/>
        <v>1200.7739996023029</v>
      </c>
      <c r="L8" s="21">
        <f t="shared" si="4"/>
        <v>4839.4830893062508</v>
      </c>
      <c r="M8" s="21">
        <f t="shared" si="5"/>
        <v>1935.7932357225004</v>
      </c>
      <c r="N8" s="22">
        <f t="shared" si="6"/>
        <v>6775.2763250287517</v>
      </c>
    </row>
    <row r="9" spans="2:14" x14ac:dyDescent="0.25">
      <c r="B9" s="24">
        <v>100516169</v>
      </c>
      <c r="C9" s="25" t="s">
        <v>18</v>
      </c>
      <c r="D9" s="18">
        <v>7790360967961</v>
      </c>
      <c r="E9" s="19">
        <v>5.76</v>
      </c>
      <c r="F9" s="20">
        <v>18</v>
      </c>
      <c r="G9" s="21">
        <v>49911.236757112521</v>
      </c>
      <c r="H9" s="21">
        <f t="shared" si="0"/>
        <v>2772.846486506251</v>
      </c>
      <c r="I9" s="21">
        <f t="shared" si="1"/>
        <v>582.29776216631274</v>
      </c>
      <c r="J9" s="21">
        <f t="shared" si="2"/>
        <v>3355.1442486725637</v>
      </c>
      <c r="K9" s="21">
        <f t="shared" si="3"/>
        <v>1107.1976020619461</v>
      </c>
      <c r="L9" s="21">
        <f t="shared" si="4"/>
        <v>4462.3418507345095</v>
      </c>
      <c r="M9" s="21">
        <f t="shared" si="5"/>
        <v>1784.936740293804</v>
      </c>
      <c r="N9" s="22">
        <f t="shared" si="6"/>
        <v>6247.2785910283137</v>
      </c>
    </row>
    <row r="10" spans="2:14" x14ac:dyDescent="0.25">
      <c r="B10" s="24">
        <v>100520337</v>
      </c>
      <c r="C10" s="25" t="s">
        <v>19</v>
      </c>
      <c r="D10" s="18">
        <v>7790360977960</v>
      </c>
      <c r="E10" s="19">
        <v>4.8</v>
      </c>
      <c r="F10" s="20">
        <v>30</v>
      </c>
      <c r="G10" s="21">
        <v>29554.747831937802</v>
      </c>
      <c r="H10" s="21">
        <f>+G10/F10</f>
        <v>985.15826106459338</v>
      </c>
      <c r="I10" s="21">
        <f>+H10*I$3</f>
        <v>206.88323482356461</v>
      </c>
      <c r="J10" s="21">
        <f>+H10+I10</f>
        <v>1192.0414958881579</v>
      </c>
      <c r="K10" s="21">
        <f>+J10*K$3</f>
        <v>393.37369364309211</v>
      </c>
      <c r="L10" s="21">
        <f>+J10+K10</f>
        <v>1585.41518953125</v>
      </c>
      <c r="M10" s="21">
        <f>+L10*M$3</f>
        <v>634.16607581250003</v>
      </c>
      <c r="N10" s="22">
        <f>+L10+M10</f>
        <v>2219.5812653437501</v>
      </c>
    </row>
    <row r="11" spans="2:14" x14ac:dyDescent="0.25">
      <c r="B11" s="24">
        <v>100021503</v>
      </c>
      <c r="C11" s="25" t="s">
        <v>20</v>
      </c>
      <c r="D11" s="18">
        <v>7790360966841</v>
      </c>
      <c r="E11" s="19">
        <v>3.3119999999999998</v>
      </c>
      <c r="F11" s="20">
        <v>12</v>
      </c>
      <c r="G11" s="21">
        <v>21945.341626794267</v>
      </c>
      <c r="H11" s="21">
        <f t="shared" si="0"/>
        <v>1828.7784688995223</v>
      </c>
      <c r="I11" s="21">
        <f t="shared" si="1"/>
        <v>384.04347846889965</v>
      </c>
      <c r="J11" s="21">
        <f t="shared" si="2"/>
        <v>2212.8219473684221</v>
      </c>
      <c r="K11" s="21">
        <f t="shared" si="3"/>
        <v>730.23124263157933</v>
      </c>
      <c r="L11" s="21">
        <f t="shared" si="4"/>
        <v>2943.0531900000015</v>
      </c>
      <c r="M11" s="21">
        <f t="shared" si="5"/>
        <v>1177.2212760000007</v>
      </c>
      <c r="N11" s="22">
        <f t="shared" si="6"/>
        <v>4120.2744660000026</v>
      </c>
    </row>
    <row r="12" spans="2:14" x14ac:dyDescent="0.25">
      <c r="B12" s="24">
        <v>100516201</v>
      </c>
      <c r="C12" s="25" t="s">
        <v>21</v>
      </c>
      <c r="D12" s="18">
        <v>7790360968548</v>
      </c>
      <c r="E12" s="19">
        <v>6.6239999999999997</v>
      </c>
      <c r="F12" s="20">
        <v>8</v>
      </c>
      <c r="G12" s="21">
        <v>41446.316758736866</v>
      </c>
      <c r="H12" s="21">
        <f t="shared" si="0"/>
        <v>5180.7895948421083</v>
      </c>
      <c r="I12" s="21">
        <f t="shared" si="1"/>
        <v>1087.9658149168426</v>
      </c>
      <c r="J12" s="21">
        <f t="shared" si="2"/>
        <v>6268.7554097589509</v>
      </c>
      <c r="K12" s="21">
        <f t="shared" si="3"/>
        <v>2068.6892852204537</v>
      </c>
      <c r="L12" s="21">
        <f t="shared" si="4"/>
        <v>8337.4446949794037</v>
      </c>
      <c r="M12" s="21">
        <f t="shared" si="5"/>
        <v>3334.9778779917615</v>
      </c>
      <c r="N12" s="22">
        <f t="shared" si="6"/>
        <v>11672.422572971165</v>
      </c>
    </row>
    <row r="13" spans="2:14" x14ac:dyDescent="0.25">
      <c r="B13" s="24">
        <v>100021643</v>
      </c>
      <c r="C13" s="25" t="s">
        <v>22</v>
      </c>
      <c r="D13" s="18">
        <v>7790360966797</v>
      </c>
      <c r="E13" s="19">
        <v>4.7039999999999997</v>
      </c>
      <c r="F13" s="20">
        <v>42</v>
      </c>
      <c r="G13" s="21">
        <v>29909.928229665078</v>
      </c>
      <c r="H13" s="21">
        <f t="shared" si="0"/>
        <v>712.14114832535904</v>
      </c>
      <c r="I13" s="21">
        <f t="shared" si="1"/>
        <v>149.54964114832541</v>
      </c>
      <c r="J13" s="21">
        <f t="shared" si="2"/>
        <v>861.69078947368439</v>
      </c>
      <c r="K13" s="21">
        <f t="shared" si="3"/>
        <v>284.35796052631588</v>
      </c>
      <c r="L13" s="21">
        <f t="shared" si="4"/>
        <v>1146.0487500000004</v>
      </c>
      <c r="M13" s="21">
        <f t="shared" si="5"/>
        <v>458.4195000000002</v>
      </c>
      <c r="N13" s="22">
        <f t="shared" si="6"/>
        <v>1604.4682500000006</v>
      </c>
    </row>
    <row r="14" spans="2:14" x14ac:dyDescent="0.25">
      <c r="B14" s="24">
        <v>100516325</v>
      </c>
      <c r="C14" s="25" t="s">
        <v>23</v>
      </c>
      <c r="D14" s="18">
        <v>7790360967763</v>
      </c>
      <c r="E14" s="19">
        <v>4.7039999999999997</v>
      </c>
      <c r="F14" s="20">
        <v>21</v>
      </c>
      <c r="G14" s="21">
        <v>29089.300324203759</v>
      </c>
      <c r="H14" s="21">
        <f t="shared" si="0"/>
        <v>1385.2047773430361</v>
      </c>
      <c r="I14" s="21">
        <f t="shared" si="1"/>
        <v>290.89300324203759</v>
      </c>
      <c r="J14" s="21">
        <f t="shared" si="2"/>
        <v>1676.0977805850737</v>
      </c>
      <c r="K14" s="21">
        <f t="shared" si="3"/>
        <v>553.11226759307431</v>
      </c>
      <c r="L14" s="21">
        <f t="shared" si="4"/>
        <v>2229.2100481781481</v>
      </c>
      <c r="M14" s="21">
        <f t="shared" si="5"/>
        <v>891.68401927125933</v>
      </c>
      <c r="N14" s="22">
        <f t="shared" si="6"/>
        <v>3120.8940674494074</v>
      </c>
    </row>
    <row r="15" spans="2:14" x14ac:dyDescent="0.25">
      <c r="B15" s="24">
        <v>100021676</v>
      </c>
      <c r="C15" s="25" t="s">
        <v>24</v>
      </c>
      <c r="D15" s="18">
        <v>7790360967411</v>
      </c>
      <c r="E15" s="19">
        <v>7.5</v>
      </c>
      <c r="F15" s="20">
        <v>30</v>
      </c>
      <c r="G15" s="21">
        <v>64248.37371007404</v>
      </c>
      <c r="H15" s="21">
        <f t="shared" si="0"/>
        <v>2141.6124570024681</v>
      </c>
      <c r="I15" s="21">
        <f t="shared" si="1"/>
        <v>449.73861597051831</v>
      </c>
      <c r="J15" s="21">
        <f t="shared" si="2"/>
        <v>2591.3510729729865</v>
      </c>
      <c r="K15" s="21">
        <f t="shared" si="3"/>
        <v>855.14585408108553</v>
      </c>
      <c r="L15" s="21">
        <f t="shared" si="4"/>
        <v>3446.4969270540719</v>
      </c>
      <c r="M15" s="21">
        <f t="shared" si="5"/>
        <v>1378.5987708216289</v>
      </c>
      <c r="N15" s="22">
        <f t="shared" si="6"/>
        <v>4825.0956978757004</v>
      </c>
    </row>
    <row r="16" spans="2:14" x14ac:dyDescent="0.25">
      <c r="B16" s="24">
        <v>100516008</v>
      </c>
      <c r="C16" s="25" t="s">
        <v>25</v>
      </c>
      <c r="D16" s="18">
        <v>7790360967701</v>
      </c>
      <c r="E16" s="19">
        <v>5.76</v>
      </c>
      <c r="F16" s="20">
        <v>24</v>
      </c>
      <c r="G16" s="21">
        <v>63757.01221477463</v>
      </c>
      <c r="H16" s="21">
        <f t="shared" si="0"/>
        <v>2656.5421756156097</v>
      </c>
      <c r="I16" s="21">
        <f t="shared" si="1"/>
        <v>557.87385687927804</v>
      </c>
      <c r="J16" s="21">
        <f t="shared" si="2"/>
        <v>3214.416032494888</v>
      </c>
      <c r="K16" s="21">
        <f t="shared" si="3"/>
        <v>1060.7572907233132</v>
      </c>
      <c r="L16" s="21">
        <f t="shared" si="4"/>
        <v>4275.1733232182014</v>
      </c>
      <c r="M16" s="21">
        <f t="shared" si="5"/>
        <v>1710.0693292872807</v>
      </c>
      <c r="N16" s="22">
        <f t="shared" si="6"/>
        <v>5985.2426525054816</v>
      </c>
    </row>
    <row r="17" spans="2:14" x14ac:dyDescent="0.25">
      <c r="B17" s="24">
        <v>100520834</v>
      </c>
      <c r="C17" s="25" t="s">
        <v>26</v>
      </c>
      <c r="D17" s="18">
        <v>7790360980618</v>
      </c>
      <c r="E17" s="19">
        <v>6.66</v>
      </c>
      <c r="F17" s="20">
        <v>36</v>
      </c>
      <c r="G17" s="21">
        <v>74484.96472738999</v>
      </c>
      <c r="H17" s="21">
        <f>+G17/F17</f>
        <v>2069.0267979830551</v>
      </c>
      <c r="I17" s="21">
        <f>+H17*I$3</f>
        <v>434.49562757644156</v>
      </c>
      <c r="J17" s="21">
        <f>+H17+I17</f>
        <v>2503.5224255594967</v>
      </c>
      <c r="K17" s="21">
        <f>+J17*K$3</f>
        <v>826.16240043463392</v>
      </c>
      <c r="L17" s="21">
        <f>+J17+K17</f>
        <v>3329.6848259941307</v>
      </c>
      <c r="M17" s="21">
        <f>+L17*M$3</f>
        <v>1331.8739303976524</v>
      </c>
      <c r="N17" s="22">
        <f>+L17+M17</f>
        <v>4661.5587563917834</v>
      </c>
    </row>
    <row r="18" spans="2:14" x14ac:dyDescent="0.25">
      <c r="B18" s="24">
        <v>100021680</v>
      </c>
      <c r="C18" s="25" t="s">
        <v>27</v>
      </c>
      <c r="D18" s="18">
        <v>7790360967688</v>
      </c>
      <c r="E18" s="19">
        <v>4.32</v>
      </c>
      <c r="F18" s="20">
        <v>18</v>
      </c>
      <c r="G18" s="21">
        <v>56748.577592368114</v>
      </c>
      <c r="H18" s="21">
        <f t="shared" si="0"/>
        <v>3152.6987551315619</v>
      </c>
      <c r="I18" s="21">
        <f t="shared" si="1"/>
        <v>662.06673857762803</v>
      </c>
      <c r="J18" s="21">
        <f t="shared" si="2"/>
        <v>3814.7654937091902</v>
      </c>
      <c r="K18" s="21">
        <f t="shared" si="3"/>
        <v>1258.8726129240329</v>
      </c>
      <c r="L18" s="21">
        <f t="shared" si="4"/>
        <v>5073.6381066332233</v>
      </c>
      <c r="M18" s="21">
        <f t="shared" si="5"/>
        <v>2029.4552426532894</v>
      </c>
      <c r="N18" s="22">
        <f t="shared" si="6"/>
        <v>7103.0933492865124</v>
      </c>
    </row>
    <row r="19" spans="2:14" x14ac:dyDescent="0.25">
      <c r="B19" s="24">
        <v>100021644</v>
      </c>
      <c r="C19" s="25" t="s">
        <v>28</v>
      </c>
      <c r="D19" s="18">
        <v>7790360008541</v>
      </c>
      <c r="E19" s="19">
        <v>4.7039999999999997</v>
      </c>
      <c r="F19" s="20">
        <v>42</v>
      </c>
      <c r="G19" s="21">
        <v>21645.590268004275</v>
      </c>
      <c r="H19" s="21">
        <f t="shared" si="0"/>
        <v>515.37119685724463</v>
      </c>
      <c r="I19" s="21">
        <f t="shared" si="1"/>
        <v>108.22795134002136</v>
      </c>
      <c r="J19" s="21">
        <f t="shared" si="2"/>
        <v>623.599148197266</v>
      </c>
      <c r="K19" s="26">
        <f>+J19*0.33</f>
        <v>205.78771890509779</v>
      </c>
      <c r="L19" s="21">
        <f t="shared" si="4"/>
        <v>829.38686710236379</v>
      </c>
      <c r="M19" s="21">
        <f t="shared" si="5"/>
        <v>331.75474684094553</v>
      </c>
      <c r="N19" s="22">
        <f t="shared" si="6"/>
        <v>1161.1416139433093</v>
      </c>
    </row>
    <row r="20" spans="2:14" x14ac:dyDescent="0.25">
      <c r="B20" s="24">
        <v>100021677</v>
      </c>
      <c r="C20" s="25" t="s">
        <v>29</v>
      </c>
      <c r="D20" s="18">
        <v>7790360967404</v>
      </c>
      <c r="E20" s="19">
        <v>3.3119999999999998</v>
      </c>
      <c r="F20" s="20">
        <v>12</v>
      </c>
      <c r="G20" s="21">
        <v>18497.79511363637</v>
      </c>
      <c r="H20" s="21">
        <f t="shared" si="0"/>
        <v>1541.4829261363641</v>
      </c>
      <c r="I20" s="21">
        <f t="shared" si="1"/>
        <v>323.71141448863642</v>
      </c>
      <c r="J20" s="21">
        <f t="shared" si="2"/>
        <v>1865.1943406250005</v>
      </c>
      <c r="K20" s="26">
        <f>+J20*0.33</f>
        <v>615.51413240625016</v>
      </c>
      <c r="L20" s="21">
        <f t="shared" si="4"/>
        <v>2480.7084730312508</v>
      </c>
      <c r="M20" s="21">
        <f t="shared" si="5"/>
        <v>992.28338921250042</v>
      </c>
      <c r="N20" s="22">
        <f t="shared" si="6"/>
        <v>3472.9918622437513</v>
      </c>
    </row>
    <row r="21" spans="2:14" x14ac:dyDescent="0.25">
      <c r="B21" s="24">
        <v>100021638</v>
      </c>
      <c r="C21" s="25" t="s">
        <v>30</v>
      </c>
      <c r="D21" s="18">
        <v>7790360026699</v>
      </c>
      <c r="E21" s="19">
        <v>4.8</v>
      </c>
      <c r="F21" s="20">
        <v>60</v>
      </c>
      <c r="G21" s="21">
        <v>52943.23836602176</v>
      </c>
      <c r="H21" s="21">
        <f t="shared" si="0"/>
        <v>882.38730610036271</v>
      </c>
      <c r="I21" s="21">
        <f t="shared" si="1"/>
        <v>185.30133428107615</v>
      </c>
      <c r="J21" s="21">
        <f t="shared" si="2"/>
        <v>1067.6886403814387</v>
      </c>
      <c r="K21" s="21">
        <f t="shared" si="3"/>
        <v>352.33725132587477</v>
      </c>
      <c r="L21" s="21">
        <f t="shared" si="4"/>
        <v>1420.0258917073136</v>
      </c>
      <c r="M21" s="21">
        <f t="shared" si="5"/>
        <v>568.01035668292548</v>
      </c>
      <c r="N21" s="22">
        <f t="shared" si="6"/>
        <v>1988.0362483902391</v>
      </c>
    </row>
    <row r="22" spans="2:14" x14ac:dyDescent="0.25">
      <c r="B22" s="24">
        <v>100021575</v>
      </c>
      <c r="C22" s="25" t="s">
        <v>31</v>
      </c>
      <c r="D22" s="18">
        <v>7790360007032</v>
      </c>
      <c r="E22" s="19">
        <v>4.1399999999999997</v>
      </c>
      <c r="F22" s="20">
        <v>60</v>
      </c>
      <c r="G22" s="21">
        <v>44717.762024026466</v>
      </c>
      <c r="H22" s="21">
        <f t="shared" si="0"/>
        <v>745.29603373377438</v>
      </c>
      <c r="I22" s="21">
        <f t="shared" si="1"/>
        <v>156.51216708409262</v>
      </c>
      <c r="J22" s="21">
        <f t="shared" si="2"/>
        <v>901.80820081786703</v>
      </c>
      <c r="K22" s="21">
        <f t="shared" si="3"/>
        <v>297.59670626989612</v>
      </c>
      <c r="L22" s="21">
        <f t="shared" si="4"/>
        <v>1199.4049070877631</v>
      </c>
      <c r="M22" s="21">
        <f t="shared" si="5"/>
        <v>479.76196283510529</v>
      </c>
      <c r="N22" s="22">
        <f t="shared" si="6"/>
        <v>1679.1668699228685</v>
      </c>
    </row>
    <row r="23" spans="2:14" x14ac:dyDescent="0.25">
      <c r="B23" s="24">
        <v>100021514</v>
      </c>
      <c r="C23" s="25" t="s">
        <v>32</v>
      </c>
      <c r="D23" s="18">
        <v>7790360006943</v>
      </c>
      <c r="E23" s="19">
        <v>4.1399999999999997</v>
      </c>
      <c r="F23" s="20">
        <v>60</v>
      </c>
      <c r="G23" s="21">
        <v>41094.202872119065</v>
      </c>
      <c r="H23" s="21">
        <f t="shared" si="0"/>
        <v>684.90338120198442</v>
      </c>
      <c r="I23" s="21">
        <f t="shared" si="1"/>
        <v>143.82971005241671</v>
      </c>
      <c r="J23" s="21">
        <f t="shared" si="2"/>
        <v>828.73309125440119</v>
      </c>
      <c r="K23" s="21">
        <f t="shared" si="3"/>
        <v>273.48192011395241</v>
      </c>
      <c r="L23" s="21">
        <f t="shared" si="4"/>
        <v>1102.2150113683535</v>
      </c>
      <c r="M23" s="21">
        <f t="shared" si="5"/>
        <v>440.88600454734143</v>
      </c>
      <c r="N23" s="22">
        <f t="shared" si="6"/>
        <v>1543.1010159156949</v>
      </c>
    </row>
    <row r="24" spans="2:14" x14ac:dyDescent="0.25">
      <c r="B24" s="23">
        <v>100516208</v>
      </c>
      <c r="C24" s="27" t="s">
        <v>33</v>
      </c>
      <c r="D24" s="28">
        <v>7790360968203</v>
      </c>
      <c r="E24" s="19">
        <f>60*0.08</f>
        <v>4.8</v>
      </c>
      <c r="F24" s="20">
        <v>60</v>
      </c>
      <c r="G24" s="21">
        <v>47159.299394654117</v>
      </c>
      <c r="H24" s="21">
        <f t="shared" si="0"/>
        <v>785.98832324423529</v>
      </c>
      <c r="I24" s="21">
        <f t="shared" si="1"/>
        <v>165.05754788128939</v>
      </c>
      <c r="J24" s="21">
        <f t="shared" si="2"/>
        <v>951.04587112552463</v>
      </c>
      <c r="K24" s="21">
        <f t="shared" si="3"/>
        <v>313.84513747142313</v>
      </c>
      <c r="L24" s="21">
        <f t="shared" si="4"/>
        <v>1264.8910085969478</v>
      </c>
      <c r="M24" s="21">
        <f t="shared" si="5"/>
        <v>505.95640343877915</v>
      </c>
      <c r="N24" s="22">
        <f t="shared" si="6"/>
        <v>1770.8474120357268</v>
      </c>
    </row>
    <row r="25" spans="2:14" x14ac:dyDescent="0.25">
      <c r="B25" s="24">
        <v>100518346</v>
      </c>
      <c r="C25" s="25" t="s">
        <v>34</v>
      </c>
      <c r="D25" s="18"/>
      <c r="E25" s="19">
        <v>6.54</v>
      </c>
      <c r="F25" s="20">
        <v>60</v>
      </c>
      <c r="G25" s="21">
        <v>68099.190318596127</v>
      </c>
      <c r="H25" s="21">
        <f t="shared" si="0"/>
        <v>1134.9865053099354</v>
      </c>
      <c r="I25" s="21">
        <f t="shared" si="1"/>
        <v>238.34716611508642</v>
      </c>
      <c r="J25" s="21">
        <f t="shared" si="2"/>
        <v>1373.3336714250217</v>
      </c>
      <c r="K25" s="21">
        <f t="shared" si="3"/>
        <v>453.20011157025721</v>
      </c>
      <c r="L25" s="21">
        <f t="shared" si="4"/>
        <v>1826.5337829952789</v>
      </c>
      <c r="M25" s="21">
        <f t="shared" si="5"/>
        <v>730.6135131981116</v>
      </c>
      <c r="N25" s="22">
        <f t="shared" si="6"/>
        <v>2557.1472961933905</v>
      </c>
    </row>
    <row r="26" spans="2:14" x14ac:dyDescent="0.25">
      <c r="B26" s="24">
        <v>100516259</v>
      </c>
      <c r="C26" s="25" t="s">
        <v>35</v>
      </c>
      <c r="D26" s="18">
        <v>7790360968340</v>
      </c>
      <c r="E26" s="19">
        <v>18.16</v>
      </c>
      <c r="F26" s="20">
        <v>48</v>
      </c>
      <c r="G26" s="21">
        <v>152737.16363941095</v>
      </c>
      <c r="H26" s="21">
        <f t="shared" si="0"/>
        <v>3182.0242424877283</v>
      </c>
      <c r="I26" s="21">
        <f t="shared" si="1"/>
        <v>668.22509092242296</v>
      </c>
      <c r="J26" s="21">
        <f t="shared" si="2"/>
        <v>3850.2493334101514</v>
      </c>
      <c r="K26" s="21">
        <f t="shared" si="3"/>
        <v>1270.58228002535</v>
      </c>
      <c r="L26" s="21">
        <f t="shared" si="4"/>
        <v>5120.8316134355009</v>
      </c>
      <c r="M26" s="21">
        <f t="shared" si="5"/>
        <v>2048.3326453742006</v>
      </c>
      <c r="N26" s="22">
        <f t="shared" si="6"/>
        <v>7169.164258809702</v>
      </c>
    </row>
    <row r="27" spans="2:14" x14ac:dyDescent="0.25">
      <c r="B27" s="29">
        <v>100518095</v>
      </c>
      <c r="C27" s="25" t="s">
        <v>36</v>
      </c>
      <c r="D27" s="18">
        <v>7790360974785</v>
      </c>
      <c r="E27" s="19">
        <v>6.66</v>
      </c>
      <c r="F27" s="20">
        <v>36</v>
      </c>
      <c r="G27" s="21">
        <v>76100.754050838092</v>
      </c>
      <c r="H27" s="21">
        <f t="shared" si="0"/>
        <v>2113.9098347455024</v>
      </c>
      <c r="I27" s="21">
        <f t="shared" si="1"/>
        <v>443.92106529655547</v>
      </c>
      <c r="J27" s="21">
        <f t="shared" si="2"/>
        <v>2557.8309000420577</v>
      </c>
      <c r="K27" s="21">
        <f t="shared" si="3"/>
        <v>844.08419701387913</v>
      </c>
      <c r="L27" s="21">
        <f t="shared" si="4"/>
        <v>3401.9150970559367</v>
      </c>
      <c r="M27" s="21">
        <f t="shared" si="5"/>
        <v>1360.7660388223749</v>
      </c>
      <c r="N27" s="22">
        <f t="shared" si="6"/>
        <v>4762.6811358783116</v>
      </c>
    </row>
    <row r="28" spans="2:14" x14ac:dyDescent="0.25">
      <c r="B28" s="24">
        <v>100518223</v>
      </c>
      <c r="C28" s="25" t="s">
        <v>37</v>
      </c>
      <c r="D28" s="18">
        <v>7790360975065</v>
      </c>
      <c r="E28" s="19">
        <f>60*0.106</f>
        <v>6.3599999999999994</v>
      </c>
      <c r="F28" s="20">
        <v>30</v>
      </c>
      <c r="G28" s="21">
        <v>59248.666291927912</v>
      </c>
      <c r="H28" s="21">
        <f t="shared" si="0"/>
        <v>1974.9555430642638</v>
      </c>
      <c r="I28" s="21">
        <f t="shared" si="1"/>
        <v>414.74066404349537</v>
      </c>
      <c r="J28" s="21">
        <f t="shared" si="2"/>
        <v>2389.6962071077592</v>
      </c>
      <c r="K28" s="21">
        <f t="shared" si="3"/>
        <v>788.59974834556056</v>
      </c>
      <c r="L28" s="21">
        <f t="shared" si="4"/>
        <v>3178.2959554533199</v>
      </c>
      <c r="M28" s="21">
        <f t="shared" si="5"/>
        <v>1271.3183821813282</v>
      </c>
      <c r="N28" s="22">
        <f t="shared" si="6"/>
        <v>4449.6143376346481</v>
      </c>
    </row>
    <row r="29" spans="2:14" x14ac:dyDescent="0.25">
      <c r="B29" s="30"/>
      <c r="C29" s="31"/>
      <c r="D29" s="32"/>
      <c r="E29" s="31"/>
      <c r="F29" s="33"/>
      <c r="G29" s="33" t="e">
        <v>#VALUE!</v>
      </c>
      <c r="H29" s="35" t="e">
        <f t="shared" si="0"/>
        <v>#VALUE!</v>
      </c>
      <c r="I29" s="36">
        <v>0.21</v>
      </c>
      <c r="J29" s="35"/>
      <c r="K29" s="36">
        <v>0.35</v>
      </c>
      <c r="L29" s="35"/>
      <c r="M29" s="36">
        <v>0.5</v>
      </c>
      <c r="N29" s="37"/>
    </row>
    <row r="30" spans="2:14" x14ac:dyDescent="0.25">
      <c r="B30" s="24">
        <v>100022085</v>
      </c>
      <c r="C30" s="25" t="s">
        <v>38</v>
      </c>
      <c r="D30" s="18">
        <v>7790360000132</v>
      </c>
      <c r="E30" s="19">
        <v>5.4</v>
      </c>
      <c r="F30" s="20">
        <v>24</v>
      </c>
      <c r="G30" s="21">
        <v>29294.014256420269</v>
      </c>
      <c r="H30" s="21">
        <f t="shared" si="0"/>
        <v>1220.5839273508445</v>
      </c>
      <c r="I30" s="21">
        <f t="shared" si="1"/>
        <v>256.32262474367735</v>
      </c>
      <c r="J30" s="21">
        <f t="shared" si="2"/>
        <v>1476.9065520945219</v>
      </c>
      <c r="K30" s="21">
        <f t="shared" si="3"/>
        <v>487.37916219119222</v>
      </c>
      <c r="L30" s="21">
        <f t="shared" si="4"/>
        <v>1964.2857142857142</v>
      </c>
      <c r="M30" s="21">
        <f t="shared" si="5"/>
        <v>785.71428571428578</v>
      </c>
      <c r="N30" s="22">
        <f t="shared" si="6"/>
        <v>2750</v>
      </c>
    </row>
    <row r="31" spans="2:14" x14ac:dyDescent="0.25">
      <c r="B31" s="24">
        <v>100522204</v>
      </c>
      <c r="C31" s="25" t="s">
        <v>38</v>
      </c>
      <c r="D31" s="18">
        <v>7790360983947</v>
      </c>
      <c r="E31" s="19">
        <v>5.4</v>
      </c>
      <c r="F31" s="20">
        <v>24</v>
      </c>
      <c r="G31" s="21">
        <v>29294.014256420269</v>
      </c>
      <c r="H31" s="21">
        <f t="shared" si="0"/>
        <v>1220.5839273508445</v>
      </c>
      <c r="I31" s="21">
        <f t="shared" si="1"/>
        <v>256.32262474367735</v>
      </c>
      <c r="J31" s="21">
        <f t="shared" si="2"/>
        <v>1476.9065520945219</v>
      </c>
      <c r="K31" s="21">
        <f t="shared" si="3"/>
        <v>487.37916219119222</v>
      </c>
      <c r="L31" s="21">
        <f t="shared" si="4"/>
        <v>1964.2857142857142</v>
      </c>
      <c r="M31" s="21">
        <f t="shared" si="5"/>
        <v>785.71428571428578</v>
      </c>
      <c r="N31" s="22">
        <f t="shared" si="6"/>
        <v>2750</v>
      </c>
    </row>
    <row r="32" spans="2:14" x14ac:dyDescent="0.25">
      <c r="B32" s="24">
        <v>100022072</v>
      </c>
      <c r="C32" s="25" t="s">
        <v>39</v>
      </c>
      <c r="D32" s="18">
        <v>7790360024541</v>
      </c>
      <c r="E32" s="19">
        <v>5.4</v>
      </c>
      <c r="F32" s="20">
        <v>12</v>
      </c>
      <c r="G32" s="21">
        <v>27829.313543599263</v>
      </c>
      <c r="H32" s="21">
        <f t="shared" si="0"/>
        <v>2319.1094619666051</v>
      </c>
      <c r="I32" s="21">
        <f t="shared" si="1"/>
        <v>487.01298701298703</v>
      </c>
      <c r="J32" s="21">
        <f t="shared" si="2"/>
        <v>2806.1224489795923</v>
      </c>
      <c r="K32" s="21">
        <f t="shared" si="3"/>
        <v>926.02040816326553</v>
      </c>
      <c r="L32" s="21">
        <f t="shared" si="4"/>
        <v>3732.1428571428578</v>
      </c>
      <c r="M32" s="21">
        <f t="shared" si="5"/>
        <v>1492.8571428571431</v>
      </c>
      <c r="N32" s="22">
        <f t="shared" si="6"/>
        <v>5225.0000000000009</v>
      </c>
    </row>
    <row r="33" spans="2:14" x14ac:dyDescent="0.25">
      <c r="B33" s="24">
        <v>100522205</v>
      </c>
      <c r="C33" s="25" t="s">
        <v>39</v>
      </c>
      <c r="D33" s="18">
        <v>7790360983954</v>
      </c>
      <c r="E33" s="19">
        <v>5.4</v>
      </c>
      <c r="F33" s="20">
        <v>12</v>
      </c>
      <c r="G33" s="21">
        <v>27829.313543599263</v>
      </c>
      <c r="H33" s="21">
        <f t="shared" si="0"/>
        <v>2319.1094619666051</v>
      </c>
      <c r="I33" s="21">
        <f t="shared" si="1"/>
        <v>487.01298701298703</v>
      </c>
      <c r="J33" s="21">
        <f t="shared" si="2"/>
        <v>2806.1224489795923</v>
      </c>
      <c r="K33" s="21">
        <f t="shared" si="3"/>
        <v>926.02040816326553</v>
      </c>
      <c r="L33" s="21">
        <f t="shared" si="4"/>
        <v>3732.1428571428578</v>
      </c>
      <c r="M33" s="21">
        <f t="shared" si="5"/>
        <v>1492.8571428571431</v>
      </c>
      <c r="N33" s="22">
        <f t="shared" si="6"/>
        <v>5225.0000000000009</v>
      </c>
    </row>
    <row r="34" spans="2:14" x14ac:dyDescent="0.25">
      <c r="B34" s="24">
        <v>100516849</v>
      </c>
      <c r="C34" s="25" t="s">
        <v>40</v>
      </c>
      <c r="D34" s="18">
        <v>7790360970053</v>
      </c>
      <c r="E34" s="19">
        <v>4.5599999990400004</v>
      </c>
      <c r="F34" s="20">
        <v>24</v>
      </c>
      <c r="G34" s="21">
        <v>17576.408553852165</v>
      </c>
      <c r="H34" s="21">
        <f t="shared" si="0"/>
        <v>732.35035641050683</v>
      </c>
      <c r="I34" s="21">
        <f t="shared" si="1"/>
        <v>153.79357484620644</v>
      </c>
      <c r="J34" s="21">
        <f t="shared" si="2"/>
        <v>886.14393125671324</v>
      </c>
      <c r="K34" s="21">
        <f t="shared" si="3"/>
        <v>292.42749731471537</v>
      </c>
      <c r="L34" s="21">
        <f t="shared" si="4"/>
        <v>1178.5714285714287</v>
      </c>
      <c r="M34" s="21">
        <f t="shared" si="5"/>
        <v>471.4285714285715</v>
      </c>
      <c r="N34" s="22">
        <f t="shared" si="6"/>
        <v>1650.0000000000002</v>
      </c>
    </row>
    <row r="35" spans="2:14" x14ac:dyDescent="0.25">
      <c r="B35" s="24">
        <v>100022039</v>
      </c>
      <c r="C35" s="25" t="s">
        <v>41</v>
      </c>
      <c r="D35" s="18">
        <v>7790360007063</v>
      </c>
      <c r="E35" s="19">
        <v>8.6999999999999993</v>
      </c>
      <c r="F35" s="20">
        <v>10</v>
      </c>
      <c r="G35" s="21">
        <v>52385.600303146959</v>
      </c>
      <c r="H35" s="21">
        <f t="shared" si="0"/>
        <v>5238.5600303146957</v>
      </c>
      <c r="I35" s="21">
        <f t="shared" si="1"/>
        <v>1100.097606366086</v>
      </c>
      <c r="J35" s="21">
        <f t="shared" si="2"/>
        <v>6338.6576366807822</v>
      </c>
      <c r="K35" s="21">
        <f t="shared" si="3"/>
        <v>2091.7570201046583</v>
      </c>
      <c r="L35" s="21">
        <f t="shared" si="4"/>
        <v>8430.4146567854405</v>
      </c>
      <c r="M35" s="21">
        <f t="shared" si="5"/>
        <v>3372.1658627141765</v>
      </c>
      <c r="N35" s="22">
        <f t="shared" si="6"/>
        <v>11802.580519499617</v>
      </c>
    </row>
    <row r="36" spans="2:14" x14ac:dyDescent="0.25">
      <c r="B36" s="24">
        <v>100522206</v>
      </c>
      <c r="C36" s="25" t="s">
        <v>41</v>
      </c>
      <c r="D36" s="18">
        <v>7790360983961</v>
      </c>
      <c r="E36" s="19">
        <v>8.6999999999999993</v>
      </c>
      <c r="F36" s="20">
        <v>10</v>
      </c>
      <c r="G36" s="21">
        <v>52385.600303146959</v>
      </c>
      <c r="H36" s="21">
        <f t="shared" si="0"/>
        <v>5238.5600303146957</v>
      </c>
      <c r="I36" s="21">
        <f t="shared" si="1"/>
        <v>1100.097606366086</v>
      </c>
      <c r="J36" s="21">
        <f t="shared" si="2"/>
        <v>6338.6576366807822</v>
      </c>
      <c r="K36" s="21">
        <f t="shared" si="3"/>
        <v>2091.7570201046583</v>
      </c>
      <c r="L36" s="21">
        <f t="shared" si="4"/>
        <v>8430.4146567854405</v>
      </c>
      <c r="M36" s="21">
        <f t="shared" si="5"/>
        <v>3372.1658627141765</v>
      </c>
      <c r="N36" s="22">
        <f t="shared" si="6"/>
        <v>11802.580519499617</v>
      </c>
    </row>
    <row r="37" spans="2:14" x14ac:dyDescent="0.25">
      <c r="B37" s="24">
        <v>100022058</v>
      </c>
      <c r="C37" s="25" t="s">
        <v>42</v>
      </c>
      <c r="D37" s="18">
        <v>7790360026002</v>
      </c>
      <c r="E37" s="19">
        <v>4.5599999990400004</v>
      </c>
      <c r="F37" s="20">
        <v>24</v>
      </c>
      <c r="G37" s="21">
        <v>16183.816183816185</v>
      </c>
      <c r="H37" s="21">
        <f t="shared" si="0"/>
        <v>674.32567432567441</v>
      </c>
      <c r="I37" s="21">
        <f t="shared" si="1"/>
        <v>141.60839160839163</v>
      </c>
      <c r="J37" s="21">
        <f t="shared" si="2"/>
        <v>815.93406593406598</v>
      </c>
      <c r="K37" s="26">
        <f>+J37*0.33</f>
        <v>269.25824175824181</v>
      </c>
      <c r="L37" s="21">
        <f t="shared" si="4"/>
        <v>1085.1923076923078</v>
      </c>
      <c r="M37" s="21">
        <f t="shared" si="5"/>
        <v>434.07692307692315</v>
      </c>
      <c r="N37" s="22">
        <f t="shared" si="6"/>
        <v>1519.2692307692309</v>
      </c>
    </row>
    <row r="38" spans="2:14" x14ac:dyDescent="0.25">
      <c r="B38" s="24">
        <v>100518151</v>
      </c>
      <c r="C38" s="25" t="s">
        <v>43</v>
      </c>
      <c r="D38" s="18">
        <v>7790360974990</v>
      </c>
      <c r="E38" s="19">
        <v>8.6999999999999993</v>
      </c>
      <c r="F38" s="20">
        <v>10</v>
      </c>
      <c r="G38" s="21">
        <v>63817.203759130185</v>
      </c>
      <c r="H38" s="21">
        <f t="shared" si="0"/>
        <v>6381.7203759130189</v>
      </c>
      <c r="I38" s="21">
        <f t="shared" si="1"/>
        <v>1340.1612789417338</v>
      </c>
      <c r="J38" s="21">
        <f t="shared" si="2"/>
        <v>7721.8816548547529</v>
      </c>
      <c r="K38" s="21">
        <f>+J38*0.33</f>
        <v>2548.2209461020684</v>
      </c>
      <c r="L38" s="21">
        <f t="shared" si="4"/>
        <v>10270.102600956821</v>
      </c>
      <c r="M38" s="21">
        <f t="shared" si="5"/>
        <v>4108.0410403827291</v>
      </c>
      <c r="N38" s="22">
        <f t="shared" si="6"/>
        <v>14378.14364133955</v>
      </c>
    </row>
    <row r="39" spans="2:14" x14ac:dyDescent="0.25">
      <c r="B39" s="30"/>
      <c r="C39" s="31"/>
      <c r="D39" s="32"/>
      <c r="E39" s="31"/>
      <c r="F39" s="33"/>
      <c r="G39" s="33" t="e">
        <v>#VALUE!</v>
      </c>
      <c r="H39" s="35" t="e">
        <f t="shared" si="0"/>
        <v>#VALUE!</v>
      </c>
      <c r="I39" s="36">
        <v>0.21</v>
      </c>
      <c r="J39" s="35"/>
      <c r="K39" s="36">
        <v>0.22</v>
      </c>
      <c r="L39" s="35"/>
      <c r="M39" s="36">
        <v>0.35</v>
      </c>
      <c r="N39" s="37"/>
    </row>
    <row r="40" spans="2:14" x14ac:dyDescent="0.25">
      <c r="B40" s="24">
        <v>100021000</v>
      </c>
      <c r="C40" s="25" t="s">
        <v>44</v>
      </c>
      <c r="D40" s="18">
        <v>7790360720382</v>
      </c>
      <c r="E40" s="19">
        <v>2.16</v>
      </c>
      <c r="F40" s="20">
        <v>24</v>
      </c>
      <c r="G40" s="21">
        <v>13579.524837332692</v>
      </c>
      <c r="H40" s="21">
        <f t="shared" si="0"/>
        <v>565.81353488886214</v>
      </c>
      <c r="I40" s="21">
        <f t="shared" si="1"/>
        <v>118.82084232666105</v>
      </c>
      <c r="J40" s="21">
        <f t="shared" si="2"/>
        <v>684.63437721552316</v>
      </c>
      <c r="K40" s="21">
        <f>+J40*K$39</f>
        <v>150.61956298741509</v>
      </c>
      <c r="L40" s="21">
        <f t="shared" si="4"/>
        <v>835.25394020293822</v>
      </c>
      <c r="M40" s="21">
        <f>+L40*M$39</f>
        <v>292.33887907102837</v>
      </c>
      <c r="N40" s="22">
        <f t="shared" si="6"/>
        <v>1127.5928192739666</v>
      </c>
    </row>
    <row r="41" spans="2:14" x14ac:dyDescent="0.25">
      <c r="B41" s="24">
        <v>100021001</v>
      </c>
      <c r="C41" s="25" t="s">
        <v>45</v>
      </c>
      <c r="D41" s="18">
        <v>7790360720115</v>
      </c>
      <c r="E41" s="19">
        <v>2.16</v>
      </c>
      <c r="F41" s="20">
        <v>24</v>
      </c>
      <c r="G41" s="21">
        <v>13579.524837332692</v>
      </c>
      <c r="H41" s="21">
        <f t="shared" si="0"/>
        <v>565.81353488886214</v>
      </c>
      <c r="I41" s="21">
        <f t="shared" si="1"/>
        <v>118.82084232666105</v>
      </c>
      <c r="J41" s="21">
        <f t="shared" si="2"/>
        <v>684.63437721552316</v>
      </c>
      <c r="K41" s="21">
        <f t="shared" ref="K41:K56" si="7">+J41*K$39</f>
        <v>150.61956298741509</v>
      </c>
      <c r="L41" s="21">
        <f t="shared" si="4"/>
        <v>835.25394020293822</v>
      </c>
      <c r="M41" s="21">
        <f t="shared" ref="M41:M56" si="8">+L41*M$39</f>
        <v>292.33887907102837</v>
      </c>
      <c r="N41" s="22">
        <f t="shared" si="6"/>
        <v>1127.5928192739666</v>
      </c>
    </row>
    <row r="42" spans="2:14" x14ac:dyDescent="0.25">
      <c r="B42" s="29">
        <v>100522277</v>
      </c>
      <c r="C42" s="25" t="s">
        <v>46</v>
      </c>
      <c r="D42" s="18"/>
      <c r="E42" s="19">
        <v>2.16</v>
      </c>
      <c r="F42" s="20">
        <v>24</v>
      </c>
      <c r="G42" s="21">
        <v>13579.524837332692</v>
      </c>
      <c r="H42" s="21">
        <f t="shared" si="0"/>
        <v>565.81353488886214</v>
      </c>
      <c r="I42" s="21">
        <f t="shared" si="1"/>
        <v>118.82084232666105</v>
      </c>
      <c r="J42" s="21">
        <f t="shared" si="2"/>
        <v>684.63437721552316</v>
      </c>
      <c r="K42" s="21">
        <f t="shared" si="7"/>
        <v>150.61956298741509</v>
      </c>
      <c r="L42" s="21">
        <f t="shared" si="4"/>
        <v>835.25394020293822</v>
      </c>
      <c r="M42" s="21">
        <f t="shared" si="8"/>
        <v>292.33887907102837</v>
      </c>
      <c r="N42" s="22">
        <f t="shared" si="6"/>
        <v>1127.5928192739666</v>
      </c>
    </row>
    <row r="43" spans="2:14" x14ac:dyDescent="0.25">
      <c r="B43" s="29">
        <v>100522333</v>
      </c>
      <c r="C43" s="25" t="s">
        <v>47</v>
      </c>
      <c r="D43" s="18"/>
      <c r="E43" s="19">
        <v>2.16</v>
      </c>
      <c r="F43" s="20">
        <v>24</v>
      </c>
      <c r="G43" s="21">
        <v>13579.524837332692</v>
      </c>
      <c r="H43" s="21">
        <f t="shared" si="0"/>
        <v>565.81353488886214</v>
      </c>
      <c r="I43" s="21">
        <f t="shared" si="1"/>
        <v>118.82084232666105</v>
      </c>
      <c r="J43" s="21">
        <f t="shared" si="2"/>
        <v>684.63437721552316</v>
      </c>
      <c r="K43" s="21">
        <f t="shared" si="7"/>
        <v>150.61956298741509</v>
      </c>
      <c r="L43" s="21">
        <f t="shared" si="4"/>
        <v>835.25394020293822</v>
      </c>
      <c r="M43" s="21">
        <f t="shared" si="8"/>
        <v>292.33887907102837</v>
      </c>
      <c r="N43" s="22">
        <f t="shared" si="6"/>
        <v>1127.5928192739666</v>
      </c>
    </row>
    <row r="44" spans="2:14" x14ac:dyDescent="0.25">
      <c r="B44" s="24">
        <v>100021045</v>
      </c>
      <c r="C44" s="25" t="s">
        <v>48</v>
      </c>
      <c r="D44" s="18">
        <v>7790360966582</v>
      </c>
      <c r="E44" s="19">
        <v>2.16</v>
      </c>
      <c r="F44" s="20">
        <v>24</v>
      </c>
      <c r="G44" s="21">
        <v>13579.52483733269</v>
      </c>
      <c r="H44" s="21">
        <f t="shared" si="0"/>
        <v>565.81353488886214</v>
      </c>
      <c r="I44" s="21">
        <f t="shared" si="1"/>
        <v>118.82084232666105</v>
      </c>
      <c r="J44" s="21">
        <f t="shared" si="2"/>
        <v>684.63437721552316</v>
      </c>
      <c r="K44" s="21">
        <f t="shared" si="7"/>
        <v>150.61956298741509</v>
      </c>
      <c r="L44" s="21">
        <f t="shared" si="4"/>
        <v>835.25394020293822</v>
      </c>
      <c r="M44" s="21">
        <f t="shared" si="8"/>
        <v>292.33887907102837</v>
      </c>
      <c r="N44" s="22">
        <f t="shared" si="6"/>
        <v>1127.5928192739666</v>
      </c>
    </row>
    <row r="45" spans="2:14" x14ac:dyDescent="0.25">
      <c r="B45" s="24">
        <v>100021004</v>
      </c>
      <c r="C45" s="25" t="s">
        <v>49</v>
      </c>
      <c r="D45" s="18">
        <v>7790360964526</v>
      </c>
      <c r="E45" s="19">
        <v>2.1120000000000001</v>
      </c>
      <c r="F45" s="20">
        <v>24</v>
      </c>
      <c r="G45" s="21">
        <v>13579.52483733269</v>
      </c>
      <c r="H45" s="21">
        <f t="shared" si="0"/>
        <v>565.81353488886214</v>
      </c>
      <c r="I45" s="21">
        <f t="shared" si="1"/>
        <v>118.82084232666105</v>
      </c>
      <c r="J45" s="21">
        <f t="shared" si="2"/>
        <v>684.63437721552316</v>
      </c>
      <c r="K45" s="21">
        <f t="shared" si="7"/>
        <v>150.61956298741509</v>
      </c>
      <c r="L45" s="21">
        <f t="shared" si="4"/>
        <v>835.25394020293822</v>
      </c>
      <c r="M45" s="21">
        <f t="shared" si="8"/>
        <v>292.33887907102837</v>
      </c>
      <c r="N45" s="22">
        <f t="shared" si="6"/>
        <v>1127.5928192739666</v>
      </c>
    </row>
    <row r="46" spans="2:14" x14ac:dyDescent="0.25">
      <c r="B46" s="24">
        <v>100021006</v>
      </c>
      <c r="C46" s="25" t="s">
        <v>50</v>
      </c>
      <c r="D46" s="18">
        <v>7790360964557</v>
      </c>
      <c r="E46" s="19">
        <v>2.1120000000000001</v>
      </c>
      <c r="F46" s="20">
        <v>24</v>
      </c>
      <c r="G46" s="21">
        <v>13579.52483733269</v>
      </c>
      <c r="H46" s="21">
        <f t="shared" si="0"/>
        <v>565.81353488886214</v>
      </c>
      <c r="I46" s="21">
        <f t="shared" si="1"/>
        <v>118.82084232666105</v>
      </c>
      <c r="J46" s="21">
        <f t="shared" si="2"/>
        <v>684.63437721552316</v>
      </c>
      <c r="K46" s="21">
        <f t="shared" si="7"/>
        <v>150.61956298741509</v>
      </c>
      <c r="L46" s="21">
        <f t="shared" si="4"/>
        <v>835.25394020293822</v>
      </c>
      <c r="M46" s="21">
        <f t="shared" si="8"/>
        <v>292.33887907102837</v>
      </c>
      <c r="N46" s="22">
        <f t="shared" si="6"/>
        <v>1127.5928192739666</v>
      </c>
    </row>
    <row r="47" spans="2:14" x14ac:dyDescent="0.25">
      <c r="B47" s="24">
        <v>100021007</v>
      </c>
      <c r="C47" s="25" t="s">
        <v>51</v>
      </c>
      <c r="D47" s="18">
        <v>7790360964540</v>
      </c>
      <c r="E47" s="19">
        <v>2.04</v>
      </c>
      <c r="F47" s="20">
        <v>24</v>
      </c>
      <c r="G47" s="21">
        <v>15501.688125000002</v>
      </c>
      <c r="H47" s="21">
        <f t="shared" si="0"/>
        <v>645.9036718750001</v>
      </c>
      <c r="I47" s="21">
        <f t="shared" si="1"/>
        <v>135.63977109375003</v>
      </c>
      <c r="J47" s="21">
        <f t="shared" si="2"/>
        <v>781.54344296875013</v>
      </c>
      <c r="K47" s="21">
        <f t="shared" si="7"/>
        <v>171.93955745312502</v>
      </c>
      <c r="L47" s="21">
        <f t="shared" si="4"/>
        <v>953.4830004218752</v>
      </c>
      <c r="M47" s="21">
        <f t="shared" si="8"/>
        <v>333.71905014765628</v>
      </c>
      <c r="N47" s="22">
        <f t="shared" si="6"/>
        <v>1287.2020505695314</v>
      </c>
    </row>
    <row r="48" spans="2:14" x14ac:dyDescent="0.25">
      <c r="B48" s="24">
        <v>100021013</v>
      </c>
      <c r="C48" s="25" t="s">
        <v>52</v>
      </c>
      <c r="D48" s="18">
        <v>7790360965714</v>
      </c>
      <c r="E48" s="19">
        <v>2.04</v>
      </c>
      <c r="F48" s="20">
        <v>24</v>
      </c>
      <c r="G48" s="21">
        <v>15501.688125000002</v>
      </c>
      <c r="H48" s="21">
        <f t="shared" si="0"/>
        <v>645.9036718750001</v>
      </c>
      <c r="I48" s="21">
        <f t="shared" si="1"/>
        <v>135.63977109375003</v>
      </c>
      <c r="J48" s="21">
        <f t="shared" si="2"/>
        <v>781.54344296875013</v>
      </c>
      <c r="K48" s="21">
        <f t="shared" si="7"/>
        <v>171.93955745312502</v>
      </c>
      <c r="L48" s="21">
        <f t="shared" si="4"/>
        <v>953.4830004218752</v>
      </c>
      <c r="M48" s="21">
        <f t="shared" si="8"/>
        <v>333.71905014765628</v>
      </c>
      <c r="N48" s="22">
        <f t="shared" si="6"/>
        <v>1287.2020505695314</v>
      </c>
    </row>
    <row r="49" spans="2:14" x14ac:dyDescent="0.25">
      <c r="B49" s="24">
        <v>100021014</v>
      </c>
      <c r="C49" s="25" t="s">
        <v>53</v>
      </c>
      <c r="D49" s="18">
        <v>7790360965721</v>
      </c>
      <c r="E49" s="19">
        <v>2.04</v>
      </c>
      <c r="F49" s="20">
        <v>24</v>
      </c>
      <c r="G49" s="21">
        <v>15501.688125000002</v>
      </c>
      <c r="H49" s="21">
        <f t="shared" si="0"/>
        <v>645.9036718750001</v>
      </c>
      <c r="I49" s="21">
        <f t="shared" si="1"/>
        <v>135.63977109375003</v>
      </c>
      <c r="J49" s="21">
        <f t="shared" si="2"/>
        <v>781.54344296875013</v>
      </c>
      <c r="K49" s="21">
        <f t="shared" si="7"/>
        <v>171.93955745312502</v>
      </c>
      <c r="L49" s="21">
        <f t="shared" si="4"/>
        <v>953.4830004218752</v>
      </c>
      <c r="M49" s="21">
        <f t="shared" si="8"/>
        <v>333.71905014765628</v>
      </c>
      <c r="N49" s="22">
        <f t="shared" si="6"/>
        <v>1287.2020505695314</v>
      </c>
    </row>
    <row r="50" spans="2:14" x14ac:dyDescent="0.25">
      <c r="B50" s="24">
        <v>100021054</v>
      </c>
      <c r="C50" s="25" t="s">
        <v>54</v>
      </c>
      <c r="D50" s="18">
        <v>7790360965707</v>
      </c>
      <c r="E50" s="19">
        <v>2.04</v>
      </c>
      <c r="F50" s="20">
        <v>24</v>
      </c>
      <c r="G50" s="21">
        <v>15501.688125000002</v>
      </c>
      <c r="H50" s="21">
        <f t="shared" si="0"/>
        <v>645.9036718750001</v>
      </c>
      <c r="I50" s="21">
        <f t="shared" si="1"/>
        <v>135.63977109375003</v>
      </c>
      <c r="J50" s="21">
        <f t="shared" si="2"/>
        <v>781.54344296875013</v>
      </c>
      <c r="K50" s="21">
        <f t="shared" si="7"/>
        <v>171.93955745312502</v>
      </c>
      <c r="L50" s="21">
        <f t="shared" si="4"/>
        <v>953.4830004218752</v>
      </c>
      <c r="M50" s="21">
        <f t="shared" si="8"/>
        <v>333.71905014765628</v>
      </c>
      <c r="N50" s="22">
        <f t="shared" si="6"/>
        <v>1287.2020505695314</v>
      </c>
    </row>
    <row r="51" spans="2:14" x14ac:dyDescent="0.25">
      <c r="B51" s="24">
        <v>100021055</v>
      </c>
      <c r="C51" s="25" t="s">
        <v>55</v>
      </c>
      <c r="D51" s="18">
        <v>7790360965189</v>
      </c>
      <c r="E51" s="19">
        <v>2.04</v>
      </c>
      <c r="F51" s="20">
        <v>24</v>
      </c>
      <c r="G51" s="21">
        <v>15501.688125000002</v>
      </c>
      <c r="H51" s="21">
        <f t="shared" si="0"/>
        <v>645.9036718750001</v>
      </c>
      <c r="I51" s="21">
        <f t="shared" si="1"/>
        <v>135.63977109375003</v>
      </c>
      <c r="J51" s="21">
        <f t="shared" si="2"/>
        <v>781.54344296875013</v>
      </c>
      <c r="K51" s="21">
        <f t="shared" si="7"/>
        <v>171.93955745312502</v>
      </c>
      <c r="L51" s="21">
        <f t="shared" si="4"/>
        <v>953.4830004218752</v>
      </c>
      <c r="M51" s="21">
        <f t="shared" si="8"/>
        <v>333.71905014765628</v>
      </c>
      <c r="N51" s="22">
        <f t="shared" si="6"/>
        <v>1287.2020505695314</v>
      </c>
    </row>
    <row r="52" spans="2:14" x14ac:dyDescent="0.25">
      <c r="B52" s="24">
        <v>100021015</v>
      </c>
      <c r="C52" s="25" t="s">
        <v>56</v>
      </c>
      <c r="D52" s="18">
        <v>7790360965202</v>
      </c>
      <c r="E52" s="19">
        <v>2.04</v>
      </c>
      <c r="F52" s="20">
        <v>24</v>
      </c>
      <c r="G52" s="21">
        <v>15501.688125000002</v>
      </c>
      <c r="H52" s="21">
        <f t="shared" si="0"/>
        <v>645.9036718750001</v>
      </c>
      <c r="I52" s="21">
        <f t="shared" si="1"/>
        <v>135.63977109375003</v>
      </c>
      <c r="J52" s="21">
        <f t="shared" si="2"/>
        <v>781.54344296875013</v>
      </c>
      <c r="K52" s="21">
        <f t="shared" si="7"/>
        <v>171.93955745312502</v>
      </c>
      <c r="L52" s="21">
        <f t="shared" si="4"/>
        <v>953.4830004218752</v>
      </c>
      <c r="M52" s="21">
        <f t="shared" si="8"/>
        <v>333.71905014765628</v>
      </c>
      <c r="N52" s="22">
        <f t="shared" si="6"/>
        <v>1287.2020505695314</v>
      </c>
    </row>
    <row r="53" spans="2:14" x14ac:dyDescent="0.25">
      <c r="B53" s="24">
        <v>100021008</v>
      </c>
      <c r="C53" s="25" t="s">
        <v>57</v>
      </c>
      <c r="D53" s="18">
        <v>7790360720122</v>
      </c>
      <c r="E53" s="19">
        <v>2.16</v>
      </c>
      <c r="F53" s="20">
        <v>24</v>
      </c>
      <c r="G53" s="21">
        <v>11493.435828538131</v>
      </c>
      <c r="H53" s="21">
        <f t="shared" si="0"/>
        <v>478.89315952242214</v>
      </c>
      <c r="I53" s="21">
        <f t="shared" si="1"/>
        <v>100.56756349970864</v>
      </c>
      <c r="J53" s="21">
        <f t="shared" si="2"/>
        <v>579.46072302213076</v>
      </c>
      <c r="K53" s="21">
        <f t="shared" si="7"/>
        <v>127.48135906486877</v>
      </c>
      <c r="L53" s="21">
        <f t="shared" si="4"/>
        <v>706.94208208699956</v>
      </c>
      <c r="M53" s="21">
        <f t="shared" si="8"/>
        <v>247.42972873044982</v>
      </c>
      <c r="N53" s="22">
        <f t="shared" si="6"/>
        <v>954.37181081744939</v>
      </c>
    </row>
    <row r="54" spans="2:14" x14ac:dyDescent="0.25">
      <c r="B54" s="24">
        <v>100021009</v>
      </c>
      <c r="C54" s="25" t="s">
        <v>58</v>
      </c>
      <c r="D54" s="18">
        <v>7790360965127</v>
      </c>
      <c r="E54" s="19">
        <v>2.16</v>
      </c>
      <c r="F54" s="20">
        <v>24</v>
      </c>
      <c r="G54" s="21">
        <v>11493.435828538131</v>
      </c>
      <c r="H54" s="21">
        <f t="shared" si="0"/>
        <v>478.89315952242214</v>
      </c>
      <c r="I54" s="21">
        <f t="shared" si="1"/>
        <v>100.56756349970864</v>
      </c>
      <c r="J54" s="21">
        <f t="shared" si="2"/>
        <v>579.46072302213076</v>
      </c>
      <c r="K54" s="21">
        <f t="shared" si="7"/>
        <v>127.48135906486877</v>
      </c>
      <c r="L54" s="21">
        <f t="shared" si="4"/>
        <v>706.94208208699956</v>
      </c>
      <c r="M54" s="21">
        <f t="shared" si="8"/>
        <v>247.42972873044982</v>
      </c>
      <c r="N54" s="22">
        <f t="shared" si="6"/>
        <v>954.37181081744939</v>
      </c>
    </row>
    <row r="55" spans="2:14" x14ac:dyDescent="0.25">
      <c r="B55" s="24">
        <v>100021010</v>
      </c>
      <c r="C55" s="25" t="s">
        <v>59</v>
      </c>
      <c r="D55" s="18">
        <v>7790920008707</v>
      </c>
      <c r="E55" s="19">
        <v>2.16</v>
      </c>
      <c r="F55" s="20">
        <v>24</v>
      </c>
      <c r="G55" s="21">
        <v>11493.435828538131</v>
      </c>
      <c r="H55" s="21">
        <f t="shared" si="0"/>
        <v>478.89315952242214</v>
      </c>
      <c r="I55" s="21">
        <f t="shared" si="1"/>
        <v>100.56756349970864</v>
      </c>
      <c r="J55" s="21">
        <f t="shared" si="2"/>
        <v>579.46072302213076</v>
      </c>
      <c r="K55" s="21">
        <f t="shared" si="7"/>
        <v>127.48135906486877</v>
      </c>
      <c r="L55" s="21">
        <f t="shared" si="4"/>
        <v>706.94208208699956</v>
      </c>
      <c r="M55" s="21">
        <f t="shared" si="8"/>
        <v>247.42972873044982</v>
      </c>
      <c r="N55" s="22">
        <f t="shared" si="6"/>
        <v>954.37181081744939</v>
      </c>
    </row>
    <row r="56" spans="2:14" x14ac:dyDescent="0.25">
      <c r="B56" s="24">
        <v>100021011</v>
      </c>
      <c r="C56" s="25" t="s">
        <v>60</v>
      </c>
      <c r="D56" s="18">
        <v>7790920008714</v>
      </c>
      <c r="E56" s="19">
        <v>2.16</v>
      </c>
      <c r="F56" s="20">
        <v>24</v>
      </c>
      <c r="G56" s="21">
        <v>11493.435828538131</v>
      </c>
      <c r="H56" s="21">
        <f t="shared" si="0"/>
        <v>478.89315952242214</v>
      </c>
      <c r="I56" s="21">
        <f t="shared" si="1"/>
        <v>100.56756349970864</v>
      </c>
      <c r="J56" s="21">
        <f t="shared" si="2"/>
        <v>579.46072302213076</v>
      </c>
      <c r="K56" s="21">
        <f t="shared" si="7"/>
        <v>127.48135906486877</v>
      </c>
      <c r="L56" s="21">
        <f t="shared" si="4"/>
        <v>706.94208208699956</v>
      </c>
      <c r="M56" s="21">
        <f t="shared" si="8"/>
        <v>247.42972873044982</v>
      </c>
      <c r="N56" s="22">
        <f t="shared" si="6"/>
        <v>954.37181081744939</v>
      </c>
    </row>
    <row r="57" spans="2:14" x14ac:dyDescent="0.25">
      <c r="B57" s="30"/>
      <c r="C57" s="31"/>
      <c r="D57" s="32"/>
      <c r="E57" s="31"/>
      <c r="F57" s="33"/>
      <c r="G57" s="33" t="e">
        <v>#VALUE!</v>
      </c>
      <c r="H57" s="35" t="e">
        <f t="shared" si="0"/>
        <v>#VALUE!</v>
      </c>
      <c r="I57" s="36">
        <v>0.21</v>
      </c>
      <c r="J57" s="35"/>
      <c r="K57" s="36">
        <v>0.35</v>
      </c>
      <c r="L57" s="35"/>
      <c r="M57" s="36">
        <v>0.5</v>
      </c>
      <c r="N57" s="37"/>
    </row>
    <row r="58" spans="2:14" x14ac:dyDescent="0.25">
      <c r="B58" s="24">
        <v>100516217</v>
      </c>
      <c r="C58" s="25" t="s">
        <v>61</v>
      </c>
      <c r="D58" s="18">
        <v>7790360967824</v>
      </c>
      <c r="E58" s="19">
        <v>5.8</v>
      </c>
      <c r="F58" s="20">
        <v>20</v>
      </c>
      <c r="G58" s="21">
        <v>28055.91148082872</v>
      </c>
      <c r="H58" s="21">
        <f t="shared" si="0"/>
        <v>1402.7955740414359</v>
      </c>
      <c r="I58" s="21">
        <f t="shared" si="1"/>
        <v>294.58707054870155</v>
      </c>
      <c r="J58" s="21">
        <f t="shared" si="2"/>
        <v>1697.3826445901375</v>
      </c>
      <c r="K58" s="21">
        <f t="shared" si="3"/>
        <v>560.13627271474536</v>
      </c>
      <c r="L58" s="21">
        <f t="shared" si="4"/>
        <v>2257.518917304883</v>
      </c>
      <c r="M58" s="21">
        <f t="shared" si="5"/>
        <v>903.00756692195318</v>
      </c>
      <c r="N58" s="22">
        <f t="shared" si="6"/>
        <v>3160.5264842268361</v>
      </c>
    </row>
    <row r="59" spans="2:14" x14ac:dyDescent="0.25">
      <c r="B59" s="24">
        <v>100516214</v>
      </c>
      <c r="C59" s="25" t="s">
        <v>62</v>
      </c>
      <c r="D59" s="18">
        <v>7790360967794</v>
      </c>
      <c r="E59" s="19">
        <v>7</v>
      </c>
      <c r="F59" s="20">
        <v>20</v>
      </c>
      <c r="G59" s="21">
        <v>42153.236505319852</v>
      </c>
      <c r="H59" s="21">
        <f t="shared" si="0"/>
        <v>2107.6618252659928</v>
      </c>
      <c r="I59" s="21">
        <f t="shared" si="1"/>
        <v>442.60898330585849</v>
      </c>
      <c r="J59" s="21">
        <f t="shared" si="2"/>
        <v>2550.2708085718514</v>
      </c>
      <c r="K59" s="21">
        <f t="shared" si="3"/>
        <v>841.58936682871104</v>
      </c>
      <c r="L59" s="21">
        <f t="shared" si="4"/>
        <v>3391.8601754005622</v>
      </c>
      <c r="M59" s="21">
        <f t="shared" si="5"/>
        <v>1356.744070160225</v>
      </c>
      <c r="N59" s="22">
        <f t="shared" si="6"/>
        <v>4748.6042455607876</v>
      </c>
    </row>
    <row r="60" spans="2:14" x14ac:dyDescent="0.25">
      <c r="B60" s="24">
        <v>100516215</v>
      </c>
      <c r="C60" s="25" t="s">
        <v>63</v>
      </c>
      <c r="D60" s="18">
        <v>7790360967800</v>
      </c>
      <c r="E60" s="19">
        <v>7</v>
      </c>
      <c r="F60" s="20">
        <v>20</v>
      </c>
      <c r="G60" s="21">
        <v>42153.236505319852</v>
      </c>
      <c r="H60" s="21">
        <f t="shared" si="0"/>
        <v>2107.6618252659928</v>
      </c>
      <c r="I60" s="21">
        <f t="shared" si="1"/>
        <v>442.60898330585849</v>
      </c>
      <c r="J60" s="21">
        <f t="shared" si="2"/>
        <v>2550.2708085718514</v>
      </c>
      <c r="K60" s="21">
        <f t="shared" si="3"/>
        <v>841.58936682871104</v>
      </c>
      <c r="L60" s="21">
        <f t="shared" si="4"/>
        <v>3391.8601754005622</v>
      </c>
      <c r="M60" s="21">
        <f t="shared" si="5"/>
        <v>1356.744070160225</v>
      </c>
      <c r="N60" s="22">
        <f t="shared" si="6"/>
        <v>4748.6042455607876</v>
      </c>
    </row>
    <row r="61" spans="2:14" x14ac:dyDescent="0.25">
      <c r="B61" s="24">
        <v>100516216</v>
      </c>
      <c r="C61" s="25" t="s">
        <v>64</v>
      </c>
      <c r="D61" s="18">
        <v>7790360967817</v>
      </c>
      <c r="E61" s="19">
        <v>7</v>
      </c>
      <c r="F61" s="20">
        <v>20</v>
      </c>
      <c r="G61" s="21">
        <v>42153.236505319852</v>
      </c>
      <c r="H61" s="21">
        <f t="shared" si="0"/>
        <v>2107.6618252659928</v>
      </c>
      <c r="I61" s="21">
        <f t="shared" si="1"/>
        <v>442.60898330585849</v>
      </c>
      <c r="J61" s="21">
        <f t="shared" si="2"/>
        <v>2550.2708085718514</v>
      </c>
      <c r="K61" s="21">
        <f t="shared" si="3"/>
        <v>841.58936682871104</v>
      </c>
      <c r="L61" s="21">
        <f t="shared" si="4"/>
        <v>3391.8601754005622</v>
      </c>
      <c r="M61" s="21">
        <f t="shared" si="5"/>
        <v>1356.744070160225</v>
      </c>
      <c r="N61" s="22">
        <f t="shared" si="6"/>
        <v>4748.6042455607876</v>
      </c>
    </row>
    <row r="62" spans="2:14" x14ac:dyDescent="0.25">
      <c r="B62" s="30"/>
      <c r="C62" s="31"/>
      <c r="D62" s="32"/>
      <c r="E62" s="31"/>
      <c r="F62" s="33"/>
      <c r="G62" s="33" t="e">
        <v>#VALUE!</v>
      </c>
      <c r="H62" s="35" t="e">
        <f t="shared" si="0"/>
        <v>#VALUE!</v>
      </c>
      <c r="I62" s="36">
        <v>0.21</v>
      </c>
      <c r="J62" s="35"/>
      <c r="K62" s="36">
        <v>0.35</v>
      </c>
      <c r="L62" s="35"/>
      <c r="M62" s="36">
        <v>0.5</v>
      </c>
      <c r="N62" s="37"/>
    </row>
    <row r="63" spans="2:14" x14ac:dyDescent="0.25">
      <c r="B63" s="24">
        <v>100021704</v>
      </c>
      <c r="C63" s="25" t="s">
        <v>65</v>
      </c>
      <c r="D63" s="18">
        <v>7790360023902</v>
      </c>
      <c r="E63" s="19">
        <f>12*0.38</f>
        <v>4.5600000000000005</v>
      </c>
      <c r="F63" s="20">
        <v>12</v>
      </c>
      <c r="G63" s="21">
        <v>39692.434264276642</v>
      </c>
      <c r="H63" s="21">
        <f t="shared" si="0"/>
        <v>3307.7028553563869</v>
      </c>
      <c r="I63" s="21">
        <f t="shared" si="1"/>
        <v>694.6175996248412</v>
      </c>
      <c r="J63" s="21">
        <f t="shared" si="2"/>
        <v>4002.3204549812281</v>
      </c>
      <c r="K63" s="21">
        <f t="shared" si="3"/>
        <v>1320.7657501438052</v>
      </c>
      <c r="L63" s="21">
        <f t="shared" si="4"/>
        <v>5323.0862051250333</v>
      </c>
      <c r="M63" s="21">
        <f t="shared" si="5"/>
        <v>2129.2344820500134</v>
      </c>
      <c r="N63" s="22">
        <f t="shared" si="6"/>
        <v>7452.3206871750463</v>
      </c>
    </row>
    <row r="64" spans="2:14" x14ac:dyDescent="0.25">
      <c r="B64" s="24">
        <v>100021709</v>
      </c>
      <c r="C64" s="25" t="s">
        <v>67</v>
      </c>
      <c r="D64" s="18">
        <v>7790360024701</v>
      </c>
      <c r="E64" s="19">
        <v>7.6</v>
      </c>
      <c r="F64" s="20">
        <v>10</v>
      </c>
      <c r="G64" s="21">
        <v>60214.277255984773</v>
      </c>
      <c r="H64" s="21">
        <f t="shared" si="0"/>
        <v>6021.4277255984771</v>
      </c>
      <c r="I64" s="21">
        <f t="shared" si="1"/>
        <v>1264.4998223756802</v>
      </c>
      <c r="J64" s="21">
        <f t="shared" si="2"/>
        <v>7285.9275479741573</v>
      </c>
      <c r="K64" s="21">
        <f t="shared" si="3"/>
        <v>2404.3560908314721</v>
      </c>
      <c r="L64" s="21">
        <f t="shared" si="4"/>
        <v>9690.2836388056294</v>
      </c>
      <c r="M64" s="21">
        <f t="shared" si="5"/>
        <v>3876.113455522252</v>
      </c>
      <c r="N64" s="22">
        <f t="shared" si="6"/>
        <v>13566.397094327882</v>
      </c>
    </row>
    <row r="65" spans="2:14" x14ac:dyDescent="0.25">
      <c r="B65" s="24">
        <v>100521357</v>
      </c>
      <c r="C65" s="25" t="s">
        <v>68</v>
      </c>
      <c r="D65" s="18">
        <v>7790360982018</v>
      </c>
      <c r="E65" s="19">
        <v>4.5599999999999996</v>
      </c>
      <c r="F65" s="20">
        <v>12</v>
      </c>
      <c r="G65" s="21">
        <v>48595.608600000021</v>
      </c>
      <c r="H65" s="21">
        <f t="shared" si="0"/>
        <v>4049.6340500000019</v>
      </c>
      <c r="I65" s="21">
        <f t="shared" si="1"/>
        <v>850.42315050000036</v>
      </c>
      <c r="J65" s="21">
        <f t="shared" si="2"/>
        <v>4900.0572005000022</v>
      </c>
      <c r="K65" s="21">
        <f t="shared" si="3"/>
        <v>1617.0188761650008</v>
      </c>
      <c r="L65" s="21">
        <f t="shared" si="4"/>
        <v>6517.0760766650028</v>
      </c>
      <c r="M65" s="21">
        <f t="shared" si="5"/>
        <v>2606.8304306660011</v>
      </c>
      <c r="N65" s="22">
        <f t="shared" si="6"/>
        <v>9123.9065073310048</v>
      </c>
    </row>
    <row r="66" spans="2:14" x14ac:dyDescent="0.25">
      <c r="B66" s="24">
        <v>100521358</v>
      </c>
      <c r="C66" s="25" t="s">
        <v>69</v>
      </c>
      <c r="D66" s="18">
        <v>7790360982025</v>
      </c>
      <c r="E66" s="19">
        <v>7.6</v>
      </c>
      <c r="F66" s="20">
        <v>10</v>
      </c>
      <c r="G66" s="21">
        <v>72893.412900000025</v>
      </c>
      <c r="H66" s="21">
        <f t="shared" si="0"/>
        <v>7289.3412900000021</v>
      </c>
      <c r="I66" s="21">
        <f t="shared" si="1"/>
        <v>1530.7616709000004</v>
      </c>
      <c r="J66" s="21">
        <f t="shared" si="2"/>
        <v>8820.1029609000034</v>
      </c>
      <c r="K66" s="21">
        <f t="shared" si="3"/>
        <v>2910.6339770970012</v>
      </c>
      <c r="L66" s="21">
        <f t="shared" si="4"/>
        <v>11730.736937997004</v>
      </c>
      <c r="M66" s="21">
        <f t="shared" si="5"/>
        <v>4692.2947751988022</v>
      </c>
      <c r="N66" s="22">
        <f t="shared" si="6"/>
        <v>16423.031713195807</v>
      </c>
    </row>
    <row r="67" spans="2:14" x14ac:dyDescent="0.25">
      <c r="B67" s="24">
        <v>100522130</v>
      </c>
      <c r="C67" s="25" t="s">
        <v>70</v>
      </c>
      <c r="D67" s="18">
        <v>7790360982445</v>
      </c>
      <c r="E67" s="19">
        <v>4.8</v>
      </c>
      <c r="F67" s="20">
        <v>12</v>
      </c>
      <c r="G67" s="21">
        <v>38154.376987650016</v>
      </c>
      <c r="H67" s="21">
        <f t="shared" si="0"/>
        <v>3179.5314156375011</v>
      </c>
      <c r="I67" s="21">
        <f t="shared" si="1"/>
        <v>667.70159728387523</v>
      </c>
      <c r="J67" s="21">
        <f t="shared" si="2"/>
        <v>3847.2330129213765</v>
      </c>
      <c r="K67" s="21">
        <f t="shared" si="3"/>
        <v>1269.5868942640543</v>
      </c>
      <c r="L67" s="21">
        <f t="shared" si="4"/>
        <v>5116.8199071854306</v>
      </c>
      <c r="M67" s="21">
        <f t="shared" si="5"/>
        <v>2046.7279628741724</v>
      </c>
      <c r="N67" s="22">
        <f t="shared" si="6"/>
        <v>7163.5478700596032</v>
      </c>
    </row>
    <row r="68" spans="2:14" x14ac:dyDescent="0.25">
      <c r="B68" s="41">
        <v>100021725</v>
      </c>
      <c r="C68" s="40" t="s">
        <v>71</v>
      </c>
      <c r="D68" s="38">
        <v>7790360027009</v>
      </c>
      <c r="E68" s="42">
        <v>6</v>
      </c>
      <c r="F68" s="43">
        <v>4</v>
      </c>
      <c r="G68" s="44">
        <v>30046.412829632529</v>
      </c>
      <c r="H68" s="44">
        <f t="shared" si="0"/>
        <v>7511.6032074081322</v>
      </c>
      <c r="I68" s="44">
        <f t="shared" si="1"/>
        <v>1577.4366735557078</v>
      </c>
      <c r="J68" s="44">
        <f t="shared" si="2"/>
        <v>9089.0398809638391</v>
      </c>
      <c r="K68" s="44">
        <f t="shared" si="3"/>
        <v>2999.3831607180668</v>
      </c>
      <c r="L68" s="44">
        <f t="shared" si="4"/>
        <v>12088.423041681906</v>
      </c>
      <c r="M68" s="44">
        <f t="shared" si="5"/>
        <v>4835.3692166727624</v>
      </c>
      <c r="N68" s="45">
        <f t="shared" si="6"/>
        <v>16923.792258354668</v>
      </c>
    </row>
    <row r="69" spans="2:14" x14ac:dyDescent="0.25">
      <c r="B69" s="24">
        <v>100517055</v>
      </c>
      <c r="C69" s="25" t="s">
        <v>72</v>
      </c>
      <c r="D69" s="18">
        <v>7790360971135</v>
      </c>
      <c r="E69" s="19">
        <v>3.12</v>
      </c>
      <c r="F69" s="20">
        <v>12</v>
      </c>
      <c r="G69" s="21">
        <v>29936.929261925314</v>
      </c>
      <c r="H69" s="21">
        <f t="shared" si="0"/>
        <v>2494.7441051604428</v>
      </c>
      <c r="I69" s="21">
        <f t="shared" si="1"/>
        <v>523.89626208369293</v>
      </c>
      <c r="J69" s="21">
        <f t="shared" si="2"/>
        <v>3018.6403672441356</v>
      </c>
      <c r="K69" s="21">
        <f t="shared" si="3"/>
        <v>996.15132119056477</v>
      </c>
      <c r="L69" s="21">
        <f t="shared" si="4"/>
        <v>4014.7916884347005</v>
      </c>
      <c r="M69" s="21">
        <f t="shared" si="5"/>
        <v>1605.9166753738803</v>
      </c>
      <c r="N69" s="22">
        <f t="shared" si="6"/>
        <v>5620.7083638085805</v>
      </c>
    </row>
    <row r="70" spans="2:14" x14ac:dyDescent="0.25">
      <c r="B70" s="24">
        <v>100517186</v>
      </c>
      <c r="C70" s="25" t="s">
        <v>73</v>
      </c>
      <c r="D70" s="18">
        <v>7790360971395</v>
      </c>
      <c r="E70" s="19">
        <v>8</v>
      </c>
      <c r="F70" s="20">
        <v>8</v>
      </c>
      <c r="G70" s="21">
        <v>76027.739730719317</v>
      </c>
      <c r="H70" s="21">
        <f t="shared" si="0"/>
        <v>9503.4674663399146</v>
      </c>
      <c r="I70" s="21">
        <f t="shared" si="1"/>
        <v>1995.7281679313819</v>
      </c>
      <c r="J70" s="21">
        <f t="shared" si="2"/>
        <v>11499.195634271297</v>
      </c>
      <c r="K70" s="21">
        <f t="shared" si="3"/>
        <v>3794.7345593095279</v>
      </c>
      <c r="L70" s="21">
        <f t="shared" si="4"/>
        <v>15293.930193580825</v>
      </c>
      <c r="M70" s="21">
        <f t="shared" si="5"/>
        <v>6117.5720774323308</v>
      </c>
      <c r="N70" s="22">
        <f t="shared" si="6"/>
        <v>21411.502271013156</v>
      </c>
    </row>
    <row r="71" spans="2:14" x14ac:dyDescent="0.25">
      <c r="B71" s="24">
        <v>100521663</v>
      </c>
      <c r="C71" s="25" t="s">
        <v>74</v>
      </c>
      <c r="D71" s="18">
        <v>7790360982537</v>
      </c>
      <c r="E71" s="19">
        <v>4.8</v>
      </c>
      <c r="F71" s="20">
        <v>12</v>
      </c>
      <c r="G71" s="21">
        <v>43941.02138463041</v>
      </c>
      <c r="H71" s="21">
        <f t="shared" si="0"/>
        <v>3661.7517820525341</v>
      </c>
      <c r="I71" s="21">
        <f t="shared" si="1"/>
        <v>768.96787423103217</v>
      </c>
      <c r="J71" s="21">
        <f t="shared" si="2"/>
        <v>4430.7196562835661</v>
      </c>
      <c r="K71" s="21">
        <f t="shared" si="3"/>
        <v>1462.1374865735768</v>
      </c>
      <c r="L71" s="21">
        <f t="shared" si="4"/>
        <v>5892.8571428571431</v>
      </c>
      <c r="M71" s="21">
        <f t="shared" si="5"/>
        <v>2357.1428571428573</v>
      </c>
      <c r="N71" s="22">
        <f t="shared" si="6"/>
        <v>8250</v>
      </c>
    </row>
    <row r="72" spans="2:14" x14ac:dyDescent="0.25">
      <c r="B72" s="41">
        <v>100021728</v>
      </c>
      <c r="C72" s="40" t="s">
        <v>75</v>
      </c>
      <c r="D72" s="38">
        <v>7790360967558</v>
      </c>
      <c r="E72" s="42">
        <v>3.84</v>
      </c>
      <c r="F72" s="43">
        <v>12</v>
      </c>
      <c r="G72" s="44">
        <v>41631.804008029045</v>
      </c>
      <c r="H72" s="44">
        <f t="shared" si="0"/>
        <v>3469.3170006690871</v>
      </c>
      <c r="I72" s="44">
        <f t="shared" si="1"/>
        <v>728.55657014050826</v>
      </c>
      <c r="J72" s="44">
        <f t="shared" si="2"/>
        <v>4197.8735708095955</v>
      </c>
      <c r="K72" s="44">
        <f t="shared" si="3"/>
        <v>1385.2982783671666</v>
      </c>
      <c r="L72" s="44">
        <f t="shared" si="4"/>
        <v>5583.1718491767624</v>
      </c>
      <c r="M72" s="44">
        <f t="shared" si="5"/>
        <v>2233.2687396707051</v>
      </c>
      <c r="N72" s="45">
        <f t="shared" si="6"/>
        <v>7816.4405888474676</v>
      </c>
    </row>
    <row r="73" spans="2:14" x14ac:dyDescent="0.25">
      <c r="B73" s="41">
        <v>100517679</v>
      </c>
      <c r="C73" s="40" t="s">
        <v>76</v>
      </c>
      <c r="D73" s="38">
        <v>7790360973498</v>
      </c>
      <c r="E73" s="42">
        <v>7.68</v>
      </c>
      <c r="F73" s="43">
        <v>8</v>
      </c>
      <c r="G73" s="44">
        <v>39413.592299367461</v>
      </c>
      <c r="H73" s="44">
        <f t="shared" si="0"/>
        <v>4926.6990374209327</v>
      </c>
      <c r="I73" s="44">
        <f t="shared" si="1"/>
        <v>1034.6067978583958</v>
      </c>
      <c r="J73" s="44">
        <f t="shared" si="2"/>
        <v>5961.3058352793287</v>
      </c>
      <c r="K73" s="44">
        <f t="shared" si="3"/>
        <v>1967.2309256421786</v>
      </c>
      <c r="L73" s="44">
        <f t="shared" si="4"/>
        <v>7928.5367609215073</v>
      </c>
      <c r="M73" s="44">
        <f t="shared" si="5"/>
        <v>3171.414704368603</v>
      </c>
      <c r="N73" s="45">
        <f t="shared" si="6"/>
        <v>11099.951465290111</v>
      </c>
    </row>
    <row r="74" spans="2:14" x14ac:dyDescent="0.25">
      <c r="B74" s="30"/>
      <c r="C74" s="31"/>
      <c r="D74" s="32"/>
      <c r="E74" s="31"/>
      <c r="F74" s="33"/>
      <c r="G74" s="34" t="e">
        <v>#VALUE!</v>
      </c>
      <c r="H74" s="35" t="e">
        <f t="shared" si="0"/>
        <v>#VALUE!</v>
      </c>
      <c r="I74" s="36">
        <v>0.21</v>
      </c>
      <c r="J74" s="35"/>
      <c r="K74" s="36">
        <v>0.35</v>
      </c>
      <c r="L74" s="35"/>
      <c r="M74" s="36">
        <v>0.5</v>
      </c>
      <c r="N74" s="37"/>
    </row>
    <row r="75" spans="2:14" hidden="1" x14ac:dyDescent="0.25">
      <c r="B75" s="24">
        <v>100516219</v>
      </c>
      <c r="C75" s="25" t="s">
        <v>77</v>
      </c>
      <c r="D75" s="46">
        <v>7790360967770</v>
      </c>
      <c r="E75" s="19">
        <v>10</v>
      </c>
      <c r="F75" s="20">
        <v>25</v>
      </c>
      <c r="G75" s="21">
        <v>18259.399891781304</v>
      </c>
      <c r="H75" s="21">
        <f t="shared" ref="H75:H83" si="9">+G75/F75</f>
        <v>730.37599567125221</v>
      </c>
      <c r="I75" s="21">
        <f t="shared" si="1"/>
        <v>153.37895909096295</v>
      </c>
      <c r="J75" s="21">
        <f t="shared" si="2"/>
        <v>883.75495476221522</v>
      </c>
      <c r="K75" s="21">
        <f t="shared" si="3"/>
        <v>291.63913507153103</v>
      </c>
      <c r="L75" s="21">
        <f t="shared" si="4"/>
        <v>1175.3940898337462</v>
      </c>
      <c r="M75" s="21">
        <f t="shared" si="5"/>
        <v>470.15763593349851</v>
      </c>
      <c r="N75" s="22">
        <f t="shared" si="6"/>
        <v>1645.5517257672448</v>
      </c>
    </row>
    <row r="76" spans="2:14" hidden="1" x14ac:dyDescent="0.25">
      <c r="B76" s="24">
        <v>100516220</v>
      </c>
      <c r="C76" s="25" t="s">
        <v>78</v>
      </c>
      <c r="D76" s="46">
        <v>7790360967787</v>
      </c>
      <c r="E76" s="19">
        <v>12</v>
      </c>
      <c r="F76" s="20">
        <v>6</v>
      </c>
      <c r="G76" s="21">
        <v>19613.921820029205</v>
      </c>
      <c r="H76" s="21">
        <f t="shared" si="9"/>
        <v>3268.9869700048675</v>
      </c>
      <c r="I76" s="21">
        <f t="shared" si="1"/>
        <v>686.48726370102213</v>
      </c>
      <c r="J76" s="21">
        <f t="shared" si="2"/>
        <v>3955.4742337058897</v>
      </c>
      <c r="K76" s="21">
        <f t="shared" si="3"/>
        <v>1305.3064971229437</v>
      </c>
      <c r="L76" s="21">
        <f t="shared" si="4"/>
        <v>5260.7807308288338</v>
      </c>
      <c r="M76" s="21">
        <f t="shared" si="5"/>
        <v>2104.3122923315336</v>
      </c>
      <c r="N76" s="22">
        <f t="shared" si="6"/>
        <v>7365.093023160367</v>
      </c>
    </row>
    <row r="77" spans="2:14" ht="15.75" hidden="1" thickBot="1" x14ac:dyDescent="0.3">
      <c r="B77" s="80"/>
      <c r="C77" s="81"/>
      <c r="D77" s="82"/>
      <c r="E77" s="81"/>
      <c r="F77" s="83"/>
      <c r="G77" s="89" t="e">
        <v>#VALUE!</v>
      </c>
      <c r="H77" s="35" t="e">
        <f t="shared" si="9"/>
        <v>#VALUE!</v>
      </c>
      <c r="I77" s="36"/>
      <c r="J77" s="35"/>
      <c r="K77" s="36"/>
      <c r="L77" s="35"/>
      <c r="M77" s="36"/>
      <c r="N77" s="37"/>
    </row>
    <row r="78" spans="2:14" x14ac:dyDescent="0.25">
      <c r="B78" s="29">
        <v>100518158</v>
      </c>
      <c r="C78" s="25" t="s">
        <v>79</v>
      </c>
      <c r="D78" s="50">
        <v>7790360974280</v>
      </c>
      <c r="E78" s="19">
        <v>12</v>
      </c>
      <c r="F78" s="20">
        <v>24</v>
      </c>
      <c r="G78" s="21">
        <v>79203.691045796324</v>
      </c>
      <c r="H78" s="21">
        <f t="shared" si="9"/>
        <v>3300.153793574847</v>
      </c>
      <c r="I78" s="21">
        <f>+H78*I$3</f>
        <v>693.03229665071785</v>
      </c>
      <c r="J78" s="21">
        <f>+H78+I78</f>
        <v>3993.1860902255648</v>
      </c>
      <c r="K78" s="21">
        <f>+J78*K$3</f>
        <v>1317.7514097744365</v>
      </c>
      <c r="L78" s="21">
        <f>+J78+K78</f>
        <v>5310.9375000000018</v>
      </c>
      <c r="M78" s="21">
        <f>+L78*M$3</f>
        <v>2124.3750000000009</v>
      </c>
      <c r="N78" s="22">
        <f>+L78+M78</f>
        <v>7435.3125000000027</v>
      </c>
    </row>
    <row r="79" spans="2:14" x14ac:dyDescent="0.25">
      <c r="B79" s="29">
        <v>100518160</v>
      </c>
      <c r="C79" s="25" t="s">
        <v>80</v>
      </c>
      <c r="D79" s="50">
        <v>7790360974686</v>
      </c>
      <c r="E79" s="19">
        <v>12</v>
      </c>
      <c r="F79" s="20">
        <v>12</v>
      </c>
      <c r="G79" s="21">
        <v>79203.691045796324</v>
      </c>
      <c r="H79" s="21">
        <f t="shared" si="9"/>
        <v>6600.307587149694</v>
      </c>
      <c r="I79" s="21">
        <f>+H79*I$3</f>
        <v>1386.0645933014357</v>
      </c>
      <c r="J79" s="21">
        <f>+H79+I79</f>
        <v>7986.3721804511297</v>
      </c>
      <c r="K79" s="21">
        <f>+J79*K$3</f>
        <v>2635.502819548873</v>
      </c>
      <c r="L79" s="21">
        <f>+J79+K79</f>
        <v>10621.875000000004</v>
      </c>
      <c r="M79" s="21">
        <f>+L79*M$3</f>
        <v>4248.7500000000018</v>
      </c>
      <c r="N79" s="22">
        <f>+L79+M79</f>
        <v>14870.625000000005</v>
      </c>
    </row>
    <row r="80" spans="2:14" x14ac:dyDescent="0.25">
      <c r="B80" s="29">
        <v>100518463</v>
      </c>
      <c r="C80" s="25" t="s">
        <v>102</v>
      </c>
      <c r="D80" s="50"/>
      <c r="E80" s="19">
        <v>5</v>
      </c>
      <c r="F80" s="20">
        <v>1</v>
      </c>
      <c r="G80" s="21">
        <v>36693.267187500001</v>
      </c>
      <c r="H80" s="21">
        <f t="shared" si="9"/>
        <v>36693.267187500001</v>
      </c>
      <c r="I80" s="21">
        <f>+H80*I$3</f>
        <v>7705.586109375</v>
      </c>
      <c r="J80" s="21">
        <f>+H80+I80</f>
        <v>44398.853296875001</v>
      </c>
      <c r="K80" s="21">
        <f>+J80*K$3</f>
        <v>14651.621587968752</v>
      </c>
      <c r="L80" s="21">
        <f>+J80+K80</f>
        <v>59050.474884843752</v>
      </c>
      <c r="M80" s="21">
        <f>+L80*M$3</f>
        <v>23620.189953937501</v>
      </c>
      <c r="N80" s="22">
        <f>+L80+M80</f>
        <v>82670.66483878126</v>
      </c>
    </row>
    <row r="81" spans="2:14" ht="15.75" thickBot="1" x14ac:dyDescent="0.3">
      <c r="B81" s="54"/>
      <c r="C81" s="55"/>
      <c r="D81" s="56"/>
      <c r="E81" s="55"/>
      <c r="F81" s="57"/>
      <c r="G81" s="58" t="e">
        <v>#VALUE!</v>
      </c>
      <c r="H81" s="35" t="e">
        <f t="shared" si="9"/>
        <v>#VALUE!</v>
      </c>
      <c r="I81" s="36"/>
      <c r="J81" s="35"/>
      <c r="K81" s="36"/>
      <c r="L81" s="35"/>
      <c r="M81" s="36"/>
      <c r="N81" s="37"/>
    </row>
    <row r="82" spans="2:14" x14ac:dyDescent="0.25">
      <c r="B82" s="63">
        <v>100518291</v>
      </c>
      <c r="C82" s="64" t="s">
        <v>81</v>
      </c>
      <c r="D82" s="47">
        <v>7790360975195</v>
      </c>
      <c r="E82" s="65">
        <v>5</v>
      </c>
      <c r="F82" s="65">
        <v>10</v>
      </c>
      <c r="G82" s="48">
        <v>17536.686967689053</v>
      </c>
      <c r="H82" s="48">
        <f t="shared" si="9"/>
        <v>1753.6686967689052</v>
      </c>
      <c r="I82" s="48">
        <f>+H82*I$3</f>
        <v>368.2704263214701</v>
      </c>
      <c r="J82" s="48">
        <f>+H82+I82</f>
        <v>2121.9391230903752</v>
      </c>
      <c r="K82" s="48">
        <f>+J82*K$39</f>
        <v>466.82660707988254</v>
      </c>
      <c r="L82" s="48">
        <f>+J82+K82</f>
        <v>2588.7657301702579</v>
      </c>
      <c r="M82" s="48">
        <f>+L82*M$39</f>
        <v>906.06800555959023</v>
      </c>
      <c r="N82" s="49">
        <f>+L82+M82</f>
        <v>3494.8337357298483</v>
      </c>
    </row>
    <row r="83" spans="2:14" ht="15.75" thickBot="1" x14ac:dyDescent="0.3">
      <c r="B83" s="66">
        <v>100518292</v>
      </c>
      <c r="C83" s="67" t="s">
        <v>82</v>
      </c>
      <c r="D83" s="51">
        <v>7790360975201</v>
      </c>
      <c r="E83" s="68">
        <v>12</v>
      </c>
      <c r="F83" s="68">
        <v>12</v>
      </c>
      <c r="G83" s="52">
        <v>41380.323708459917</v>
      </c>
      <c r="H83" s="52">
        <f t="shared" si="9"/>
        <v>3448.3603090383262</v>
      </c>
      <c r="I83" s="52">
        <f>+H83*I$3</f>
        <v>724.15566489804849</v>
      </c>
      <c r="J83" s="52">
        <f>+H83+I83</f>
        <v>4172.5159739363744</v>
      </c>
      <c r="K83" s="52">
        <f>+J83*K$39</f>
        <v>917.95351426600234</v>
      </c>
      <c r="L83" s="52">
        <f>+J83+K83</f>
        <v>5090.4694882023769</v>
      </c>
      <c r="M83" s="52">
        <f>+L83*M$39</f>
        <v>1781.6643208708317</v>
      </c>
      <c r="N83" s="53">
        <f>+L83+M83</f>
        <v>6872.1338090732088</v>
      </c>
    </row>
    <row r="84" spans="2:14" ht="15.75" thickBot="1" x14ac:dyDescent="0.3">
      <c r="B84" s="54"/>
      <c r="C84" s="55"/>
      <c r="D84" s="56"/>
      <c r="E84" s="55"/>
      <c r="F84" s="57"/>
      <c r="G84" s="58" t="e">
        <v>#VALUE!</v>
      </c>
      <c r="H84" s="35" t="e">
        <f>+G84/F84</f>
        <v>#VALUE!</v>
      </c>
      <c r="I84" s="36">
        <v>0.105</v>
      </c>
      <c r="J84" s="35"/>
      <c r="K84" s="36">
        <v>0.3</v>
      </c>
      <c r="L84" s="35"/>
      <c r="M84" s="36">
        <v>0.4</v>
      </c>
      <c r="N84" s="37"/>
    </row>
    <row r="85" spans="2:14" x14ac:dyDescent="0.25">
      <c r="B85" s="63">
        <v>100517915</v>
      </c>
      <c r="C85" s="64" t="s">
        <v>83</v>
      </c>
      <c r="D85" s="47">
        <v>7790360974020</v>
      </c>
      <c r="E85" s="65">
        <v>18</v>
      </c>
      <c r="F85" s="65">
        <v>36</v>
      </c>
      <c r="G85" s="48">
        <v>160512.01231783535</v>
      </c>
      <c r="H85" s="48">
        <f>+G85/F85</f>
        <v>4458.6670088287601</v>
      </c>
      <c r="I85" s="48">
        <f>+H85*I$84</f>
        <v>468.16003592701981</v>
      </c>
      <c r="J85" s="48">
        <f>+H85+I85</f>
        <v>4926.8270447557798</v>
      </c>
      <c r="K85" s="48">
        <f>+J85*K$84</f>
        <v>1478.0481134267338</v>
      </c>
      <c r="L85" s="48">
        <f>+J85+K85</f>
        <v>6404.8751581825136</v>
      </c>
      <c r="M85" s="48">
        <f>+L85*M$84</f>
        <v>2561.9500632730055</v>
      </c>
      <c r="N85" s="49">
        <f>+L85+M85</f>
        <v>8966.8252214555196</v>
      </c>
    </row>
    <row r="86" spans="2:14" ht="15.75" thickBot="1" x14ac:dyDescent="0.3">
      <c r="B86" s="66">
        <v>100517914</v>
      </c>
      <c r="C86" s="67" t="s">
        <v>84</v>
      </c>
      <c r="D86" s="51">
        <v>7790360974037</v>
      </c>
      <c r="E86" s="68">
        <v>20</v>
      </c>
      <c r="F86" s="68">
        <v>20</v>
      </c>
      <c r="G86" s="52">
        <v>175154.27477482893</v>
      </c>
      <c r="H86" s="52">
        <f>+G86/F86</f>
        <v>8757.7137387414459</v>
      </c>
      <c r="I86" s="52">
        <f>+H86*I$84</f>
        <v>919.55994256785175</v>
      </c>
      <c r="J86" s="52">
        <f>+H86+I86</f>
        <v>9677.2736813092979</v>
      </c>
      <c r="K86" s="52">
        <f>+J86*K$84</f>
        <v>2903.1821043927894</v>
      </c>
      <c r="L86" s="52">
        <f>+J86+K86</f>
        <v>12580.455785702088</v>
      </c>
      <c r="M86" s="52">
        <f>+L86*M$84</f>
        <v>5032.1823142808353</v>
      </c>
      <c r="N86" s="53">
        <f>+L86+M86</f>
        <v>17612.638099982923</v>
      </c>
    </row>
    <row r="87" spans="2:14" ht="15.75" thickBot="1" x14ac:dyDescent="0.3">
      <c r="B87" s="54"/>
      <c r="C87" s="55"/>
      <c r="D87" s="56"/>
      <c r="E87" s="55"/>
      <c r="F87" s="57"/>
      <c r="G87" s="58"/>
      <c r="H87" s="59"/>
      <c r="I87" s="70">
        <v>0.105</v>
      </c>
      <c r="J87" s="59"/>
      <c r="K87" s="60">
        <v>0.3</v>
      </c>
      <c r="L87" s="59"/>
      <c r="M87" s="60">
        <v>0.4</v>
      </c>
      <c r="N87" s="61"/>
    </row>
    <row r="88" spans="2:14" x14ac:dyDescent="0.25">
      <c r="B88" s="24">
        <v>100010689</v>
      </c>
      <c r="C88" s="25" t="s">
        <v>85</v>
      </c>
      <c r="D88" s="18"/>
      <c r="E88" s="71">
        <v>22</v>
      </c>
      <c r="F88" s="20">
        <v>1</v>
      </c>
      <c r="G88" s="21">
        <v>15714.285714285716</v>
      </c>
      <c r="H88" s="48">
        <f t="shared" ref="H88:H93" si="10">+G88/F88</f>
        <v>15714.285714285716</v>
      </c>
      <c r="I88" s="48">
        <f t="shared" ref="I88:I93" si="11">+H88*I$87</f>
        <v>1650</v>
      </c>
      <c r="J88" s="48">
        <f t="shared" ref="J88:J93" si="12">+H88+I88</f>
        <v>17364.285714285717</v>
      </c>
      <c r="K88" s="48">
        <f t="shared" ref="K88:K93" si="13">+J88*K$87</f>
        <v>5209.2857142857147</v>
      </c>
      <c r="L88" s="48">
        <f t="shared" ref="L88:L93" si="14">+J88+K88</f>
        <v>22573.571428571431</v>
      </c>
      <c r="M88" s="48">
        <f t="shared" ref="M88:M93" si="15">+L88*M$87</f>
        <v>9029.4285714285725</v>
      </c>
      <c r="N88" s="49">
        <f t="shared" ref="N88:N93" si="16">+L88+M88</f>
        <v>31603.000000000004</v>
      </c>
    </row>
    <row r="89" spans="2:14" x14ac:dyDescent="0.25">
      <c r="B89" s="24">
        <v>100518335</v>
      </c>
      <c r="C89" s="25" t="s">
        <v>86</v>
      </c>
      <c r="D89" s="18"/>
      <c r="E89" s="71">
        <v>22.5</v>
      </c>
      <c r="F89" s="20">
        <v>1</v>
      </c>
      <c r="G89" s="21">
        <v>11224.489795918369</v>
      </c>
      <c r="H89" s="21">
        <f t="shared" si="10"/>
        <v>11224.489795918369</v>
      </c>
      <c r="I89" s="21">
        <f t="shared" si="11"/>
        <v>1178.5714285714287</v>
      </c>
      <c r="J89" s="21">
        <f t="shared" si="12"/>
        <v>12403.061224489798</v>
      </c>
      <c r="K89" s="21">
        <f t="shared" si="13"/>
        <v>3720.9183673469392</v>
      </c>
      <c r="L89" s="21">
        <f t="shared" si="14"/>
        <v>16123.979591836738</v>
      </c>
      <c r="M89" s="21">
        <f t="shared" si="15"/>
        <v>6449.5918367346958</v>
      </c>
      <c r="N89" s="22">
        <f t="shared" si="16"/>
        <v>22573.571428571435</v>
      </c>
    </row>
    <row r="90" spans="2:14" x14ac:dyDescent="0.25">
      <c r="B90" s="24">
        <v>100518332</v>
      </c>
      <c r="C90" s="25" t="s">
        <v>87</v>
      </c>
      <c r="D90" s="18"/>
      <c r="E90" s="71">
        <v>21.5</v>
      </c>
      <c r="F90" s="20">
        <v>1</v>
      </c>
      <c r="G90" s="21">
        <v>12908.163265306122</v>
      </c>
      <c r="H90" s="21">
        <f t="shared" si="10"/>
        <v>12908.163265306122</v>
      </c>
      <c r="I90" s="21">
        <f t="shared" si="11"/>
        <v>1355.3571428571429</v>
      </c>
      <c r="J90" s="21">
        <f t="shared" si="12"/>
        <v>14263.520408163266</v>
      </c>
      <c r="K90" s="21">
        <f t="shared" si="13"/>
        <v>4279.0561224489793</v>
      </c>
      <c r="L90" s="21">
        <f t="shared" si="14"/>
        <v>18542.576530612245</v>
      </c>
      <c r="M90" s="21">
        <f t="shared" si="15"/>
        <v>7417.0306122448983</v>
      </c>
      <c r="N90" s="22">
        <f t="shared" si="16"/>
        <v>25959.607142857145</v>
      </c>
    </row>
    <row r="91" spans="2:14" x14ac:dyDescent="0.25">
      <c r="B91" s="24">
        <v>100518334</v>
      </c>
      <c r="C91" s="25" t="s">
        <v>88</v>
      </c>
      <c r="D91" s="18"/>
      <c r="E91" s="71">
        <v>22.5</v>
      </c>
      <c r="F91" s="20">
        <v>1</v>
      </c>
      <c r="G91" s="21">
        <v>11448.979591836736</v>
      </c>
      <c r="H91" s="21">
        <f t="shared" si="10"/>
        <v>11448.979591836736</v>
      </c>
      <c r="I91" s="21">
        <f t="shared" si="11"/>
        <v>1202.1428571428573</v>
      </c>
      <c r="J91" s="21">
        <f t="shared" si="12"/>
        <v>12651.122448979593</v>
      </c>
      <c r="K91" s="21">
        <f t="shared" si="13"/>
        <v>3795.3367346938776</v>
      </c>
      <c r="L91" s="21">
        <f t="shared" si="14"/>
        <v>16446.459183673469</v>
      </c>
      <c r="M91" s="21">
        <f t="shared" si="15"/>
        <v>6578.5836734693876</v>
      </c>
      <c r="N91" s="22">
        <f t="shared" si="16"/>
        <v>23025.042857142857</v>
      </c>
    </row>
    <row r="92" spans="2:14" x14ac:dyDescent="0.25">
      <c r="B92" s="24">
        <v>100518227</v>
      </c>
      <c r="C92" s="25" t="s">
        <v>89</v>
      </c>
      <c r="D92" s="18"/>
      <c r="E92" s="71">
        <v>22.5</v>
      </c>
      <c r="F92" s="20">
        <v>1</v>
      </c>
      <c r="G92" s="21">
        <v>13244.897959183672</v>
      </c>
      <c r="H92" s="21">
        <f t="shared" si="10"/>
        <v>13244.897959183672</v>
      </c>
      <c r="I92" s="21">
        <f t="shared" si="11"/>
        <v>1390.7142857142856</v>
      </c>
      <c r="J92" s="21">
        <f t="shared" si="12"/>
        <v>14635.612244897959</v>
      </c>
      <c r="K92" s="21">
        <f t="shared" si="13"/>
        <v>4390.683673469387</v>
      </c>
      <c r="L92" s="21">
        <f t="shared" si="14"/>
        <v>19026.295918367345</v>
      </c>
      <c r="M92" s="21">
        <f t="shared" si="15"/>
        <v>7610.5183673469382</v>
      </c>
      <c r="N92" s="22">
        <f t="shared" si="16"/>
        <v>26636.814285714281</v>
      </c>
    </row>
    <row r="93" spans="2:14" x14ac:dyDescent="0.25">
      <c r="B93" s="72">
        <v>100027726</v>
      </c>
      <c r="C93" s="73" t="s">
        <v>90</v>
      </c>
      <c r="D93" s="74"/>
      <c r="E93" s="71">
        <v>22.5</v>
      </c>
      <c r="F93" s="20">
        <v>1</v>
      </c>
      <c r="G93" s="21">
        <v>6814.5000000000009</v>
      </c>
      <c r="H93" s="21">
        <f t="shared" si="10"/>
        <v>6814.5000000000009</v>
      </c>
      <c r="I93" s="21">
        <f t="shared" si="11"/>
        <v>715.52250000000004</v>
      </c>
      <c r="J93" s="21">
        <f t="shared" si="12"/>
        <v>7530.0225000000009</v>
      </c>
      <c r="K93" s="21">
        <f t="shared" si="13"/>
        <v>2259.00675</v>
      </c>
      <c r="L93" s="21">
        <f t="shared" si="14"/>
        <v>9789.0292500000014</v>
      </c>
      <c r="M93" s="21">
        <f t="shared" si="15"/>
        <v>3915.6117000000008</v>
      </c>
      <c r="N93" s="22">
        <f t="shared" si="16"/>
        <v>13704.640950000003</v>
      </c>
    </row>
    <row r="94" spans="2:14" ht="15.75" thickBot="1" x14ac:dyDescent="0.3">
      <c r="B94" s="54"/>
      <c r="C94" s="55"/>
      <c r="D94" s="56"/>
      <c r="E94" s="55"/>
      <c r="F94" s="57"/>
      <c r="G94" s="58"/>
      <c r="H94" s="59"/>
      <c r="I94" s="70">
        <v>0.21</v>
      </c>
      <c r="J94" s="59"/>
      <c r="K94" s="60">
        <v>0.35</v>
      </c>
      <c r="L94" s="59"/>
      <c r="M94" s="60">
        <v>0.45</v>
      </c>
      <c r="N94" s="61"/>
    </row>
    <row r="95" spans="2:14" ht="15.75" thickBot="1" x14ac:dyDescent="0.3">
      <c r="B95" s="24">
        <v>100520837</v>
      </c>
      <c r="C95" s="25" t="s">
        <v>91</v>
      </c>
      <c r="D95" s="18">
        <v>7790360980625</v>
      </c>
      <c r="E95" s="71">
        <v>4.8</v>
      </c>
      <c r="F95" s="20">
        <v>12</v>
      </c>
      <c r="G95" s="21">
        <v>35756.175548589337</v>
      </c>
      <c r="H95" s="39">
        <f>+G95/F95</f>
        <v>2979.6812957157781</v>
      </c>
      <c r="I95" s="40">
        <f>+H95*I$94</f>
        <v>625.73307210031339</v>
      </c>
      <c r="J95" s="38">
        <f>+H95+I95</f>
        <v>3605.4143678160917</v>
      </c>
      <c r="K95" s="71">
        <f>+J95*K$94</f>
        <v>1261.895028735632</v>
      </c>
      <c r="L95" s="20">
        <f>+J95+K95</f>
        <v>4867.3093965517237</v>
      </c>
      <c r="M95" s="48">
        <f>+L95*M$94</f>
        <v>2190.2892284482759</v>
      </c>
      <c r="N95" s="49">
        <f>+L95+M95</f>
        <v>7057.5986249999996</v>
      </c>
    </row>
    <row r="96" spans="2:14" x14ac:dyDescent="0.25">
      <c r="B96" s="39">
        <v>100522395</v>
      </c>
      <c r="C96" s="40" t="s">
        <v>92</v>
      </c>
      <c r="D96" s="74"/>
      <c r="E96" s="71">
        <v>4.8</v>
      </c>
      <c r="F96" s="20">
        <v>12</v>
      </c>
      <c r="G96" s="21">
        <v>36471.292000000001</v>
      </c>
      <c r="H96" s="39">
        <f>+G96/F96</f>
        <v>3039.2743333333333</v>
      </c>
      <c r="I96" s="40">
        <f>+H96*I$94</f>
        <v>638.24761000000001</v>
      </c>
      <c r="J96" s="38">
        <f>+H96+I96</f>
        <v>3677.5219433333332</v>
      </c>
      <c r="K96" s="71">
        <f>+J96*K$94</f>
        <v>1287.1326801666664</v>
      </c>
      <c r="L96" s="20">
        <f>+J96+K96</f>
        <v>4964.6546234999996</v>
      </c>
      <c r="M96" s="48">
        <f>+L96*M$94</f>
        <v>2234.0945805749998</v>
      </c>
      <c r="N96" s="49">
        <f>+L96+M96</f>
        <v>7198.7492040749994</v>
      </c>
    </row>
    <row r="97" spans="2:14" ht="15.75" thickBot="1" x14ac:dyDescent="0.3">
      <c r="B97" s="54"/>
      <c r="C97" s="55"/>
      <c r="D97" s="56"/>
      <c r="E97" s="55"/>
      <c r="F97" s="57"/>
      <c r="G97" s="58"/>
      <c r="H97" s="59"/>
      <c r="I97" s="70">
        <v>0.21</v>
      </c>
      <c r="J97" s="59"/>
      <c r="K97" s="60">
        <v>0.35</v>
      </c>
      <c r="L97" s="59"/>
      <c r="M97" s="60">
        <v>0.45</v>
      </c>
      <c r="N97" s="61"/>
    </row>
    <row r="98" spans="2:14" x14ac:dyDescent="0.25">
      <c r="B98" s="39">
        <v>100520902</v>
      </c>
      <c r="C98" s="40" t="s">
        <v>93</v>
      </c>
      <c r="D98" s="38">
        <v>7790360981042</v>
      </c>
      <c r="E98" s="71">
        <v>9.8000000000000007</v>
      </c>
      <c r="F98" s="20">
        <v>14</v>
      </c>
      <c r="G98" s="21">
        <v>32345.802856147693</v>
      </c>
      <c r="H98" s="39">
        <f>+G98/F98</f>
        <v>2310.4144897248352</v>
      </c>
      <c r="I98" s="40">
        <f>+H98*I$97</f>
        <v>485.18704284221536</v>
      </c>
      <c r="J98" s="38">
        <f>+H98+I98</f>
        <v>2795.6015325670505</v>
      </c>
      <c r="K98" s="71">
        <f>+J98*K$97</f>
        <v>978.46053639846764</v>
      </c>
      <c r="L98" s="20">
        <f>+J98+K98</f>
        <v>3774.0620689655179</v>
      </c>
      <c r="M98" s="48">
        <f>+L98*M$97</f>
        <v>1698.3279310344831</v>
      </c>
      <c r="N98" s="49">
        <f>+L98+M98</f>
        <v>5472.3900000000012</v>
      </c>
    </row>
    <row r="99" spans="2:14" ht="15.75" thickBot="1" x14ac:dyDescent="0.3">
      <c r="B99" s="54"/>
      <c r="C99" s="55"/>
      <c r="D99" s="56"/>
      <c r="E99" s="55"/>
      <c r="F99" s="57"/>
      <c r="G99" s="58"/>
      <c r="H99" s="59"/>
      <c r="I99" s="70">
        <v>0.21</v>
      </c>
      <c r="J99" s="59"/>
      <c r="K99" s="60">
        <v>0.35</v>
      </c>
      <c r="L99" s="59"/>
      <c r="M99" s="60">
        <v>0.45</v>
      </c>
      <c r="N99" s="61"/>
    </row>
    <row r="100" spans="2:14" ht="15.75" thickBot="1" x14ac:dyDescent="0.3">
      <c r="B100" s="39">
        <v>100521457</v>
      </c>
      <c r="C100" s="40" t="s">
        <v>94</v>
      </c>
      <c r="D100" s="38">
        <v>7790360982254</v>
      </c>
      <c r="E100" s="71">
        <v>4.8</v>
      </c>
      <c r="F100" s="20">
        <v>16</v>
      </c>
      <c r="G100" s="21">
        <v>36127.899686520381</v>
      </c>
      <c r="H100" s="39">
        <f>+G100/F100</f>
        <v>2257.9937304075238</v>
      </c>
      <c r="I100" s="40">
        <f>+H100*I$99</f>
        <v>474.17868338557997</v>
      </c>
      <c r="J100" s="38">
        <f>+H100+I100</f>
        <v>2732.1724137931037</v>
      </c>
      <c r="K100" s="71">
        <f>+J100*K$99</f>
        <v>956.26034482758621</v>
      </c>
      <c r="L100" s="20">
        <f>+J100+K100</f>
        <v>3688.43275862069</v>
      </c>
      <c r="M100" s="48">
        <f>+L100*M$99</f>
        <v>1659.7947413793106</v>
      </c>
      <c r="N100" s="49">
        <f>+L100+M100</f>
        <v>5348.2275000000009</v>
      </c>
    </row>
    <row r="101" spans="2:14" ht="15.75" thickBot="1" x14ac:dyDescent="0.3">
      <c r="B101" s="39">
        <v>100521455</v>
      </c>
      <c r="C101" s="40" t="s">
        <v>95</v>
      </c>
      <c r="D101" s="38">
        <v>7790360982247</v>
      </c>
      <c r="E101" s="71">
        <v>4.8</v>
      </c>
      <c r="F101" s="20">
        <v>16</v>
      </c>
      <c r="G101" s="21">
        <v>36127.899686520381</v>
      </c>
      <c r="H101" s="39">
        <f t="shared" ref="H101:H103" si="17">+G101/F101</f>
        <v>2257.9937304075238</v>
      </c>
      <c r="I101" s="40">
        <f t="shared" ref="I101:I103" si="18">+H101*I$99</f>
        <v>474.17868338557997</v>
      </c>
      <c r="J101" s="38">
        <f t="shared" ref="J101:J103" si="19">+H101+I101</f>
        <v>2732.1724137931037</v>
      </c>
      <c r="K101" s="71">
        <f t="shared" ref="K101:K103" si="20">+J101*K$99</f>
        <v>956.26034482758621</v>
      </c>
      <c r="L101" s="20">
        <f t="shared" ref="L101:L103" si="21">+J101+K101</f>
        <v>3688.43275862069</v>
      </c>
      <c r="M101" s="48">
        <f t="shared" ref="M101:M103" si="22">+L101*M$99</f>
        <v>1659.7947413793106</v>
      </c>
      <c r="N101" s="49">
        <f t="shared" ref="N101:N103" si="23">+L101+M101</f>
        <v>5348.2275000000009</v>
      </c>
    </row>
    <row r="102" spans="2:14" ht="15.75" thickBot="1" x14ac:dyDescent="0.3">
      <c r="B102" s="39">
        <v>100521453</v>
      </c>
      <c r="C102" s="40" t="s">
        <v>96</v>
      </c>
      <c r="D102" s="38">
        <v>7790360982223</v>
      </c>
      <c r="E102" s="71">
        <v>5.4</v>
      </c>
      <c r="F102" s="20">
        <v>18</v>
      </c>
      <c r="G102" s="21">
        <v>35563.401253918506</v>
      </c>
      <c r="H102" s="39">
        <f t="shared" si="17"/>
        <v>1975.7445141065837</v>
      </c>
      <c r="I102" s="40">
        <f t="shared" si="18"/>
        <v>414.90634796238254</v>
      </c>
      <c r="J102" s="38">
        <f t="shared" si="19"/>
        <v>2390.650862068966</v>
      </c>
      <c r="K102" s="71">
        <f t="shared" si="20"/>
        <v>836.72780172413809</v>
      </c>
      <c r="L102" s="20">
        <f t="shared" si="21"/>
        <v>3227.3786637931044</v>
      </c>
      <c r="M102" s="48">
        <f t="shared" si="22"/>
        <v>1452.3203987068971</v>
      </c>
      <c r="N102" s="49">
        <f t="shared" si="23"/>
        <v>4679.6990625000017</v>
      </c>
    </row>
    <row r="103" spans="2:14" x14ac:dyDescent="0.25">
      <c r="B103" s="39">
        <v>100521454</v>
      </c>
      <c r="C103" s="40" t="s">
        <v>97</v>
      </c>
      <c r="D103" s="38">
        <v>7790360982230</v>
      </c>
      <c r="E103" s="71">
        <v>5.3999999999999995</v>
      </c>
      <c r="F103" s="20">
        <v>18</v>
      </c>
      <c r="G103" s="21">
        <v>35563.401253918506</v>
      </c>
      <c r="H103" s="39">
        <f t="shared" si="17"/>
        <v>1975.7445141065837</v>
      </c>
      <c r="I103" s="40">
        <f t="shared" si="18"/>
        <v>414.90634796238254</v>
      </c>
      <c r="J103" s="38">
        <f t="shared" si="19"/>
        <v>2390.650862068966</v>
      </c>
      <c r="K103" s="71">
        <f t="shared" si="20"/>
        <v>836.72780172413809</v>
      </c>
      <c r="L103" s="20">
        <f t="shared" si="21"/>
        <v>3227.3786637931044</v>
      </c>
      <c r="M103" s="48">
        <f t="shared" si="22"/>
        <v>1452.3203987068971</v>
      </c>
      <c r="N103" s="49">
        <f t="shared" si="23"/>
        <v>4679.6990625000017</v>
      </c>
    </row>
    <row r="104" spans="2:14" ht="15.75" thickBot="1" x14ac:dyDescent="0.3">
      <c r="B104" s="54"/>
      <c r="C104" s="55"/>
      <c r="D104" s="56"/>
      <c r="E104" s="55"/>
      <c r="F104" s="57"/>
      <c r="G104" s="58"/>
      <c r="H104" s="59"/>
      <c r="I104" s="70">
        <v>0.21</v>
      </c>
      <c r="J104" s="59"/>
      <c r="K104" s="60">
        <v>0.22</v>
      </c>
      <c r="L104" s="59"/>
      <c r="M104" s="60">
        <v>0.35</v>
      </c>
      <c r="N104" s="61"/>
    </row>
    <row r="105" spans="2:14" ht="15.75" thickBot="1" x14ac:dyDescent="0.3">
      <c r="B105" s="39">
        <v>100522246</v>
      </c>
      <c r="C105" s="40" t="s">
        <v>98</v>
      </c>
      <c r="D105" s="38">
        <v>7790360984234</v>
      </c>
      <c r="E105" s="71">
        <v>8.16</v>
      </c>
      <c r="F105" s="20">
        <v>48</v>
      </c>
      <c r="G105" s="21">
        <v>116812.71733730749</v>
      </c>
      <c r="H105" s="39">
        <f t="shared" ref="H105:H106" si="24">+G105/F105</f>
        <v>2433.5982778605726</v>
      </c>
      <c r="I105" s="40">
        <f t="shared" ref="I105:I106" si="25">+H105*I$3</f>
        <v>511.05563835072024</v>
      </c>
      <c r="J105" s="38">
        <f t="shared" ref="J105:J106" si="26">+H105+I105</f>
        <v>2944.6539162112927</v>
      </c>
      <c r="K105" s="71">
        <f t="shared" ref="K105:K106" si="27">+J105*K$39</f>
        <v>647.82386156648442</v>
      </c>
      <c r="L105" s="20">
        <f t="shared" ref="L105:L106" si="28">+J105+K105</f>
        <v>3592.4777777777772</v>
      </c>
      <c r="M105" s="48">
        <f t="shared" ref="M105:M106" si="29">+L105*M$39</f>
        <v>1257.3672222222219</v>
      </c>
      <c r="N105" s="49">
        <f t="shared" ref="N105:N106" si="30">+L105+M105</f>
        <v>4849.8449999999993</v>
      </c>
    </row>
    <row r="106" spans="2:14" x14ac:dyDescent="0.25">
      <c r="B106" s="39">
        <v>100522247</v>
      </c>
      <c r="C106" s="40" t="s">
        <v>99</v>
      </c>
      <c r="D106" s="38">
        <v>7790360984241</v>
      </c>
      <c r="E106" s="71">
        <v>8.16</v>
      </c>
      <c r="F106" s="20">
        <v>48</v>
      </c>
      <c r="G106" s="21">
        <v>116812.71733730749</v>
      </c>
      <c r="H106" s="39">
        <f t="shared" si="24"/>
        <v>2433.5982778605726</v>
      </c>
      <c r="I106" s="40">
        <f t="shared" si="25"/>
        <v>511.05563835072024</v>
      </c>
      <c r="J106" s="38">
        <f t="shared" si="26"/>
        <v>2944.6539162112927</v>
      </c>
      <c r="K106" s="71">
        <f t="shared" si="27"/>
        <v>647.82386156648442</v>
      </c>
      <c r="L106" s="20">
        <f t="shared" si="28"/>
        <v>3592.4777777777772</v>
      </c>
      <c r="M106" s="48">
        <f t="shared" si="29"/>
        <v>1257.3672222222219</v>
      </c>
      <c r="N106" s="49">
        <f t="shared" si="30"/>
        <v>4849.8449999999993</v>
      </c>
    </row>
  </sheetData>
  <conditionalFormatting sqref="B20:C20">
    <cfRule type="cellIs" dxfId="22" priority="23" stopIfTrue="1" operator="equal">
      <formula>0</formula>
    </cfRule>
  </conditionalFormatting>
  <conditionalFormatting sqref="B27:C27">
    <cfRule type="cellIs" dxfId="21" priority="16" stopIfTrue="1" operator="equal">
      <formula>0</formula>
    </cfRule>
  </conditionalFormatting>
  <conditionalFormatting sqref="B96:C96">
    <cfRule type="cellIs" dxfId="20" priority="3" stopIfTrue="1" operator="equal">
      <formula>0</formula>
    </cfRule>
  </conditionalFormatting>
  <conditionalFormatting sqref="B63:D63">
    <cfRule type="cellIs" dxfId="19" priority="21" stopIfTrue="1" operator="equal">
      <formula>0</formula>
    </cfRule>
  </conditionalFormatting>
  <conditionalFormatting sqref="B16:F19">
    <cfRule type="cellIs" dxfId="18" priority="13" stopIfTrue="1" operator="equal">
      <formula>0</formula>
    </cfRule>
  </conditionalFormatting>
  <conditionalFormatting sqref="B98:F98">
    <cfRule type="cellIs" dxfId="17" priority="11" stopIfTrue="1" operator="equal">
      <formula>0</formula>
    </cfRule>
  </conditionalFormatting>
  <conditionalFormatting sqref="B100:F103">
    <cfRule type="cellIs" dxfId="16" priority="9" stopIfTrue="1" operator="equal">
      <formula>0</formula>
    </cfRule>
  </conditionalFormatting>
  <conditionalFormatting sqref="B105:F106">
    <cfRule type="cellIs" dxfId="15" priority="2" stopIfTrue="1" operator="equal">
      <formula>0</formula>
    </cfRule>
  </conditionalFormatting>
  <conditionalFormatting sqref="B68:N68">
    <cfRule type="cellIs" dxfId="14" priority="7" stopIfTrue="1" operator="equal">
      <formula>0</formula>
    </cfRule>
  </conditionalFormatting>
  <conditionalFormatting sqref="B72:N73">
    <cfRule type="cellIs" dxfId="13" priority="6" stopIfTrue="1" operator="equal">
      <formula>0</formula>
    </cfRule>
  </conditionalFormatting>
  <conditionalFormatting sqref="C28">
    <cfRule type="cellIs" dxfId="12" priority="15" stopIfTrue="1" operator="equal">
      <formula>0</formula>
    </cfRule>
  </conditionalFormatting>
  <conditionalFormatting sqref="E20:F20">
    <cfRule type="cellIs" dxfId="11" priority="22" stopIfTrue="1" operator="equal">
      <formula>0</formula>
    </cfRule>
  </conditionalFormatting>
  <conditionalFormatting sqref="E88:F93">
    <cfRule type="cellIs" dxfId="10" priority="14" stopIfTrue="1" operator="equal">
      <formula>0</formula>
    </cfRule>
  </conditionalFormatting>
  <conditionalFormatting sqref="E95:F96">
    <cfRule type="cellIs" dxfId="9" priority="4" stopIfTrue="1" operator="equal">
      <formula>0</formula>
    </cfRule>
  </conditionalFormatting>
  <conditionalFormatting sqref="E58:N61">
    <cfRule type="cellIs" dxfId="8" priority="19" stopIfTrue="1" operator="equal">
      <formula>0</formula>
    </cfRule>
  </conditionalFormatting>
  <conditionalFormatting sqref="G16:H20">
    <cfRule type="cellIs" dxfId="7" priority="20" stopIfTrue="1" operator="equal">
      <formula>0</formula>
    </cfRule>
  </conditionalFormatting>
  <conditionalFormatting sqref="H95:L96">
    <cfRule type="cellIs" dxfId="6" priority="12" stopIfTrue="1" operator="equal">
      <formula>0</formula>
    </cfRule>
  </conditionalFormatting>
  <conditionalFormatting sqref="H98:L98">
    <cfRule type="cellIs" dxfId="5" priority="10" stopIfTrue="1" operator="equal">
      <formula>0</formula>
    </cfRule>
  </conditionalFormatting>
  <conditionalFormatting sqref="H100:L103">
    <cfRule type="cellIs" dxfId="4" priority="8" stopIfTrue="1" operator="equal">
      <formula>0</formula>
    </cfRule>
  </conditionalFormatting>
  <conditionalFormatting sqref="H105:L106">
    <cfRule type="cellIs" dxfId="3" priority="1" stopIfTrue="1" operator="equal">
      <formula>0</formula>
    </cfRule>
  </conditionalFormatting>
  <conditionalFormatting sqref="H89:N93">
    <cfRule type="cellIs" dxfId="2" priority="5" stopIfTrue="1" operator="equal">
      <formula>0</formula>
    </cfRule>
  </conditionalFormatting>
  <conditionalFormatting sqref="K37:K38">
    <cfRule type="cellIs" dxfId="1" priority="18" stopIfTrue="1" operator="equal">
      <formula>0</formula>
    </cfRule>
  </conditionalFormatting>
  <conditionalFormatting sqref="K16:N20">
    <cfRule type="cellIs" dxfId="0" priority="17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SubPatagonia</vt:lpstr>
      <vt:lpstr>SubCuyo</vt:lpstr>
      <vt:lpstr>Sub Litoral</vt:lpstr>
      <vt:lpstr>Sub NEA</vt:lpstr>
      <vt:lpstr>Sub CBA</vt:lpstr>
      <vt:lpstr>Sub NOA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Argentina</dc:creator>
  <cp:lastModifiedBy>Nicolas Gentile</cp:lastModifiedBy>
  <dcterms:created xsi:type="dcterms:W3CDTF">2026-01-02T15:45:56Z</dcterms:created>
  <dcterms:modified xsi:type="dcterms:W3CDTF">2026-01-05T13:43:04Z</dcterms:modified>
</cp:coreProperties>
</file>