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2026-Ene/"/>
    </mc:Choice>
  </mc:AlternateContent>
  <xr:revisionPtr revIDLastSave="9" documentId="8_{74D04B58-B5A5-44C1-8563-113420359D01}" xr6:coauthVersionLast="47" xr6:coauthVersionMax="47" xr10:uidLastSave="{498B5B8F-3F7D-43E3-BD6A-2907A8C91F4E}"/>
  <bookViews>
    <workbookView xWindow="-120" yWindow="-120" windowWidth="20730" windowHeight="11040" xr2:uid="{664BEDEF-7092-44FC-872A-E21C61948A36}"/>
  </bookViews>
  <sheets>
    <sheet name="ENERO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<sst xmlns="http://schemas.openxmlformats.org/spreadsheetml/2006/main" count="108" uniqueCount="105">
  <si>
    <t>Código</t>
  </si>
  <si>
    <t>Descripción</t>
  </si>
  <si>
    <t>EAN</t>
  </si>
  <si>
    <t>Kg. x Caja</t>
  </si>
  <si>
    <t>Cant. X Caja</t>
  </si>
  <si>
    <t>Precio de Lista</t>
  </si>
  <si>
    <t>Dcto</t>
  </si>
  <si>
    <t>Precio de Factura</t>
  </si>
  <si>
    <t>Precio Neto estuche en factura</t>
  </si>
  <si>
    <t>IVA</t>
  </si>
  <si>
    <t>Px Unitario IVA Inc</t>
  </si>
  <si>
    <t>M-up Dx</t>
  </si>
  <si>
    <t>Px Unitario Minorista</t>
  </si>
  <si>
    <t>M-up Minorista</t>
  </si>
  <si>
    <t xml:space="preserve">Px Unitario Público </t>
  </si>
  <si>
    <t>DIC</t>
  </si>
  <si>
    <t>HAMBURGUESAS 30x160g CLASICA x2 SWIFT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</si>
  <si>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</si>
  <si>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</si>
  <si>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</si>
  <si>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</si>
  <si>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</si>
  <si>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 BURGER SWIFT MEGA 30 x 160 g</t>
  </si>
  <si>
    <t>Medallón CAJITA 12x4 69 grs</t>
  </si>
  <si>
    <t>HAMBURGUESA 8X12X69G BURGER SWIFT</t>
  </si>
  <si>
    <t>MEDALLON 42X112G DOBLE BURGER SWIFT</t>
  </si>
  <si>
    <t>MEDALLON DOBLE BURGER 2X2</t>
  </si>
  <si>
    <t xml:space="preserve">HAMBURGUESA 30X250g CLASICA "XL" SWIFT </t>
  </si>
  <si>
    <r>
      <t xml:space="preserve">HAMBURGUESA 24X2X120g </t>
    </r>
    <r>
      <rPr>
        <b/>
        <sz val="9"/>
        <rFont val="Aptos Narrow"/>
        <family val="2"/>
        <scheme val="minor"/>
      </rPr>
      <t>CASERA</t>
    </r>
    <r>
      <rPr>
        <sz val="9"/>
        <rFont val="Aptos Narrow"/>
        <family val="2"/>
        <scheme val="minor"/>
      </rPr>
      <t xml:space="preserve"> SWIFT</t>
    </r>
  </si>
  <si>
    <t>HAMBURGUESA X-TREMA 36 x 185 grs</t>
  </si>
  <si>
    <t xml:space="preserve">HAMBURGUESAS 18X2X120g CLL BRA/ARG </t>
  </si>
  <si>
    <t>MEDALLON 42X112G LA BLANCA</t>
  </si>
  <si>
    <t>MEDALLON 12x4X69G LA BLANCA</t>
  </si>
  <si>
    <t>MEDALLONES 60X80g "SWIFT BURGER" PARRILLERAS FAMILY</t>
  </si>
  <si>
    <t>MEDALLONES 60X69g "SWIFT BURGER"PARRILLERAS  FAMILY</t>
  </si>
  <si>
    <t>MEDALLON 60X69G CARNE VACUNA</t>
  </si>
  <si>
    <t>MEDALLON 60x80g PARRILLERO MC SWIFT</t>
  </si>
  <si>
    <t>MEDALLON 60X109G CARNE VACUNA PARRILLERO SWIFT</t>
  </si>
  <si>
    <t xml:space="preserve">MEDALLON GIGANTE 48x113.5g </t>
  </si>
  <si>
    <t>HAMBURGUESA 36 X 185 GRS</t>
  </si>
  <si>
    <t>HAMBURGUESA 30x2x106 GRS</t>
  </si>
  <si>
    <t>SALCHICHAS 24X6 SWIFT</t>
  </si>
  <si>
    <t>SALCHICHAS 12X12 SWIFT</t>
  </si>
  <si>
    <t>SALCHICHAS SIN PIEL 24X6 "SWIFT KIDS" X 190 g</t>
  </si>
  <si>
    <t>SALCHICHAS  LARGAS  10 x 12  SWIFT  INSTITUCIONAL</t>
  </si>
  <si>
    <t>SALCHICHAS SIN PIEL "LA BLANCA"  24X6X190 Grs;</t>
  </si>
  <si>
    <t xml:space="preserve">SALCHICHAS LARGAS 10 x 12 x 870g  </t>
  </si>
  <si>
    <t>PATE DE FOIE 24X90G SWIFT</t>
  </si>
  <si>
    <t xml:space="preserve">PICADILLO DE CARNE 24X90G SWIFT </t>
  </si>
  <si>
    <t>Picadillo de Carne Picante Chile Chipotle 24x90 g</t>
  </si>
  <si>
    <t>Pate de Foie Jalapeño 24x90 Swift</t>
  </si>
  <si>
    <t>PICADILLO DE CARNE PICANTE 24X90G SWIFT</t>
  </si>
  <si>
    <t>PATE DE FOIE A LA CREMA 24X88G SWIFT</t>
  </si>
  <si>
    <t>JAMON DEL DIABLO 24X88G SWIFT</t>
  </si>
  <si>
    <t>PATE DE FOIE DE POLLO 24X85G SWIFT</t>
  </si>
  <si>
    <t>PATE DE FOIE TIPO PROVENZAL 24X85G SWIFT GOURMET</t>
  </si>
  <si>
    <t>PATE DE FOIE C/PIMIENTA VERDE 24X85G SWIFT GOURMET</t>
  </si>
  <si>
    <t xml:space="preserve">PATE JAMON AHUMADO 24X85G </t>
  </si>
  <si>
    <t>PATE HONGOS 24X85G</t>
  </si>
  <si>
    <t>PATE DE SALMON 24X85G SWIFT GOURMET</t>
  </si>
  <si>
    <t>PICADILLO DE CARNE 24X90G LA BLANCA</t>
  </si>
  <si>
    <t>PATE DE FOIE 24X90G LA BLANCA</t>
  </si>
  <si>
    <t>PICADILLO DE CARNE 24X90G SAFRA</t>
  </si>
  <si>
    <t>PATE DE FOIE 24X90G SAFRA</t>
  </si>
  <si>
    <t>MILANESAS DE  SOJA CLASICAS PREFRITA</t>
  </si>
  <si>
    <t>MILANESAS DE  SOJA RELLENAS CON JAMON Y QUESO</t>
  </si>
  <si>
    <t>MILANESAS DE  SOJA RELLENAS CON ESPINACA Y QUESO</t>
  </si>
  <si>
    <t>MILANESAS DE  SOJA RELLENAS CON TOMATE Y QUESO</t>
  </si>
  <si>
    <t>BOCADITOS DE CARNE "SWIFT" - 12x380g</t>
  </si>
  <si>
    <t>BOCADITOS DE POLLO "SWIFT" - 12x380g</t>
  </si>
  <si>
    <t>BOCADITOS DE POLLO "SWIFT" - 10x760g</t>
  </si>
  <si>
    <t>CRUNCHIES DE POLLO "SWIFT" - 12x380g</t>
  </si>
  <si>
    <t>CRUNCHIES DE POLLO "SWIFT" - 10x760g</t>
  </si>
  <si>
    <t>BOCADITOS DE POLLO "SWIFT KIDS" - 12x400g</t>
  </si>
  <si>
    <t>BOCADITOS DE POLLO GASTRONOMICOS "LA BLANCA" - x6kg</t>
  </si>
  <si>
    <t>PALITO DE POLLO "SWIFT"  12 X 260 Grs.</t>
  </si>
  <si>
    <t>PALITO DE POLLO "SWIFT"  8 X 1 Kg..</t>
  </si>
  <si>
    <t>MILANESITAS DE CARNE "SWIFT" - 12x400g</t>
  </si>
  <si>
    <t>MEDALLONES DE POLLO "SWIFT" - 12x4x80g</t>
  </si>
  <si>
    <t>MEDALLONES DE POLLO GASTRONÓMICO  8x12x80 Grs.</t>
  </si>
  <si>
    <t>PAPAS PREFRITAS SUPERCONGELADAS 25x400gr</t>
  </si>
  <si>
    <t>PAPAS PREFRITAS SUPERCONGELADAS 6x2000gr</t>
  </si>
  <si>
    <t>MILANESA DE CARNE VACUNA CONGELADA 24un x 500grs</t>
  </si>
  <si>
    <t>MILANESA DE CARNE VACUNA CONGELADA 12un x 1000grs</t>
  </si>
  <si>
    <t xml:space="preserve">MILANESAS DE CARNE VACUNA CONG GRANEL 5 kg </t>
  </si>
  <si>
    <t>GRASA VACUNA REFINADA SWIFT 10 X 500</t>
  </si>
  <si>
    <t>GRASA VACUNA REFINADA SWIFT 12x1Kg</t>
  </si>
  <si>
    <t>CARNE PICADA CONGELADA 36 UN X 500 g SWIFT</t>
  </si>
  <si>
    <t>CARNE PICADA CONGELADA 20 UN X 1 kg SWIFT</t>
  </si>
  <si>
    <t>ENTRAÑA FINA ENF SWIFT</t>
  </si>
  <si>
    <t>ROAST BEEF EN PORCIONES ENF SWIFT (L)</t>
  </si>
  <si>
    <t>CARNAZA CUADRADA EN PORCIONES ENF SWIFT (L)</t>
  </si>
  <si>
    <t>TAPA DE ASADO EN PORCIONES ENF SWIFT (L)</t>
  </si>
  <si>
    <t>VACIO EN PORCIONES NOV ENFRIADO PARA VENTA LOCAL (L)</t>
  </si>
  <si>
    <t>BONDIOLA DE CERDO CONGELADA</t>
  </si>
  <si>
    <t>CHORIZOS FRESCOS DE CERDO LIBRE DE GLUTEN</t>
  </si>
  <si>
    <t>CHORIZOS FRESCOS DE CERDO CONGELADOS LIBRE DE GLUTEN 12u x 400g</t>
  </si>
  <si>
    <t>PAPAS PRE COCIDAS SUPERCONGELADAS LIBRES DE GLUTEN 700G</t>
  </si>
  <si>
    <t>NUGGETS DE ESPINACA 300GR</t>
  </si>
  <si>
    <t>NUGGETS DE BRÓCOLI 300GR</t>
  </si>
  <si>
    <t>MEDALLÓN DE CALABAZA Y CHOCLO 300GR</t>
  </si>
  <si>
    <t>MEDALLÓN DE ESPINACA 300GR</t>
  </si>
  <si>
    <t>LOMO DE ATUN AL NATURAL SWIFT 170g</t>
  </si>
  <si>
    <t>LOMO DE ATUN EN ACEITE SWIFT 170g</t>
  </si>
  <si>
    <t>% VS 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</si>
</sst>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&quot;$&quot;\ #,##0.00"/>
    <numFmt numFmtId="165" formatCode="#,##0.00_ ;[Red]\-#,##0.00\ "/>
    <numFmt numFmtId="166" formatCode="#,##0_ ;[Red]\-#,##0\ "/>
    <numFmt numFmtId="167" formatCode="&quot;$&quot;\ #,##0"/>
    <numFmt numFmtId="168" formatCode="0.0%"/>
    <numFmt numFmtId="169" formatCode="&quot;$&quot;\ #,##0.0"/>
    <numFmt numFmtId="170" formatCode="#,##0.0_ ;[Red]\-#,##0.0\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theme="1"/>
      <name val="Aptos Narrow"/>
      <family val="2"/>
      <scheme val="minor"/>
    </font>
    <font>
      <b/>
      <sz val="9"/>
      <color indexed="9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name val="Calibri"/>
      <family val="2"/>
    </font>
    <font>
      <b/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" fillId="0" borderId="0"/>
  </cellStyleXfs>
  <cellXfs count="112">
    <xf numFmtId="0" fontId="0" fillId="0" borderId="0" xfId="0"/>
    <xf numFmtId="0" fontId="3" fillId="2" borderId="1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2" fontId="3" fillId="2" borderId="2" xfId="3" applyNumberFormat="1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 wrapText="1"/>
    </xf>
    <xf numFmtId="1" fontId="3" fillId="2" borderId="3" xfId="3" applyNumberFormat="1" applyFont="1" applyFill="1" applyBorder="1" applyAlignment="1">
      <alignment horizontal="center" vertical="center" wrapText="1"/>
    </xf>
    <xf numFmtId="1" fontId="4" fillId="0" borderId="0" xfId="3" applyNumberFormat="1" applyFont="1" applyAlignment="1">
      <alignment horizontal="center" vertical="center" wrapText="1"/>
    </xf>
    <xf numFmtId="164" fontId="4" fillId="3" borderId="4" xfId="3" applyNumberFormat="1" applyFont="1" applyFill="1" applyBorder="1" applyAlignment="1">
      <alignment horizontal="center" vertical="center" wrapText="1"/>
    </xf>
    <xf numFmtId="0" fontId="5" fillId="4" borderId="5" xfId="3" applyFont="1" applyFill="1" applyBorder="1" applyAlignment="1" applyProtection="1">
      <alignment horizontal="center" vertical="center"/>
      <protection hidden="1"/>
    </xf>
    <xf numFmtId="0" fontId="5" fillId="4" borderId="4" xfId="3" applyFont="1" applyFill="1" applyBorder="1" applyAlignment="1" applyProtection="1">
      <alignment horizontal="center" vertical="center"/>
      <protection hidden="1"/>
    </xf>
    <xf numFmtId="2" fontId="5" fillId="4" borderId="4" xfId="3" applyNumberFormat="1" applyFont="1" applyFill="1" applyBorder="1" applyAlignment="1" applyProtection="1">
      <alignment horizontal="center" vertical="center"/>
      <protection hidden="1"/>
    </xf>
    <xf numFmtId="0" fontId="6" fillId="4" borderId="4" xfId="0" applyFont="1" applyFill="1" applyBorder="1" applyAlignment="1">
      <alignment horizontal="center" vertical="center"/>
    </xf>
    <xf numFmtId="9" fontId="6" fillId="4" borderId="4" xfId="0" applyNumberFormat="1" applyFont="1" applyFill="1" applyBorder="1" applyAlignment="1">
      <alignment horizontal="center" vertical="center"/>
    </xf>
    <xf numFmtId="1" fontId="6" fillId="4" borderId="6" xfId="0" applyNumberFormat="1" applyFont="1" applyFill="1" applyBorder="1" applyAlignment="1">
      <alignment horizontal="center" vertical="center"/>
    </xf>
    <xf numFmtId="1" fontId="6" fillId="0" borderId="0" xfId="0" applyNumberFormat="1" applyFont="1"/>
    <xf numFmtId="164" fontId="6" fillId="4" borderId="4" xfId="0" applyNumberFormat="1" applyFont="1" applyFill="1" applyBorder="1"/>
    <xf numFmtId="0" fontId="7" fillId="0" borderId="5" xfId="4" applyFont="1" applyBorder="1" applyAlignment="1">
      <alignment horizontal="center" vertical="center"/>
    </xf>
    <xf numFmtId="0" fontId="7" fillId="0" borderId="4" xfId="4" applyFont="1" applyBorder="1" applyAlignment="1">
      <alignment horizontal="center" vertical="center"/>
    </xf>
    <xf numFmtId="1" fontId="7" fillId="0" borderId="4" xfId="3" applyNumberFormat="1" applyFont="1" applyBorder="1" applyAlignment="1">
      <alignment horizontal="center" vertical="center"/>
    </xf>
    <xf numFmtId="165" fontId="7" fillId="0" borderId="4" xfId="3" applyNumberFormat="1" applyFont="1" applyBorder="1" applyAlignment="1">
      <alignment horizontal="center" vertical="center"/>
    </xf>
    <xf numFmtId="166" fontId="7" fillId="0" borderId="4" xfId="3" applyNumberFormat="1" applyFont="1" applyBorder="1" applyAlignment="1">
      <alignment horizontal="center" vertical="center"/>
    </xf>
    <xf numFmtId="164" fontId="7" fillId="0" borderId="4" xfId="1" applyNumberFormat="1" applyFont="1" applyFill="1" applyBorder="1" applyAlignment="1">
      <alignment horizontal="center" vertical="center"/>
    </xf>
    <xf numFmtId="167" fontId="7" fillId="0" borderId="6" xfId="1" applyNumberFormat="1" applyFont="1" applyFill="1" applyBorder="1" applyAlignment="1">
      <alignment horizontal="center" vertical="center"/>
    </xf>
    <xf numFmtId="168" fontId="8" fillId="0" borderId="0" xfId="2" applyNumberFormat="1" applyFont="1" applyAlignment="1">
      <alignment horizontal="center"/>
    </xf>
    <xf numFmtId="164" fontId="7" fillId="0" borderId="4" xfId="3" applyNumberFormat="1" applyFont="1" applyBorder="1" applyAlignment="1">
      <alignment horizontal="center"/>
    </xf>
    <xf numFmtId="0" fontId="7" fillId="0" borderId="5" xfId="4" applyFont="1" applyFill="1" applyBorder="1" applyAlignment="1">
      <alignment horizontal="center" vertical="center"/>
    </xf>
    <xf numFmtId="0" fontId="7" fillId="0" borderId="5" xfId="3" applyFont="1" applyBorder="1" applyAlignment="1">
      <alignment horizontal="center" vertical="center"/>
    </xf>
    <xf numFmtId="0" fontId="7" fillId="0" borderId="4" xfId="3" applyFont="1" applyBorder="1" applyAlignment="1">
      <alignment horizontal="center" vertical="center"/>
    </xf>
    <xf numFmtId="0" fontId="5" fillId="5" borderId="5" xfId="3" applyFont="1" applyFill="1" applyBorder="1" applyAlignment="1">
      <alignment horizontal="center" vertical="center"/>
    </xf>
    <xf numFmtId="0" fontId="5" fillId="5" borderId="4" xfId="3" applyFont="1" applyFill="1" applyBorder="1" applyAlignment="1">
      <alignment horizontal="center" vertical="center"/>
    </xf>
    <xf numFmtId="1" fontId="5" fillId="5" borderId="4" xfId="3" applyNumberFormat="1" applyFont="1" applyFill="1" applyBorder="1" applyAlignment="1">
      <alignment horizontal="center" vertical="center"/>
    </xf>
    <xf numFmtId="165" fontId="5" fillId="5" borderId="4" xfId="3" applyNumberFormat="1" applyFont="1" applyFill="1" applyBorder="1" applyAlignment="1">
      <alignment horizontal="center" vertical="center"/>
    </xf>
    <xf numFmtId="166" fontId="5" fillId="5" borderId="4" xfId="3" applyNumberFormat="1" applyFont="1" applyFill="1" applyBorder="1" applyAlignment="1">
      <alignment horizontal="center" vertical="center"/>
    </xf>
    <xf numFmtId="164" fontId="5" fillId="5" borderId="4" xfId="1" applyNumberFormat="1" applyFont="1" applyFill="1" applyBorder="1" applyAlignment="1">
      <alignment horizontal="center" vertical="center"/>
    </xf>
    <xf numFmtId="168" fontId="5" fillId="5" borderId="4" xfId="2" applyNumberFormat="1" applyFont="1" applyFill="1" applyBorder="1" applyAlignment="1">
      <alignment horizontal="center" vertical="center"/>
    </xf>
    <xf numFmtId="167" fontId="5" fillId="5" borderId="6" xfId="1" applyNumberFormat="1" applyFont="1" applyFill="1" applyBorder="1" applyAlignment="1">
      <alignment horizontal="center" vertical="center"/>
    </xf>
    <xf numFmtId="168" fontId="7" fillId="0" borderId="4" xfId="2" applyNumberFormat="1" applyFont="1" applyFill="1" applyBorder="1" applyAlignment="1">
      <alignment horizontal="center" vertical="center"/>
    </xf>
    <xf numFmtId="0" fontId="7" fillId="0" borderId="4" xfId="4" applyFont="1" applyFill="1" applyBorder="1" applyAlignment="1">
      <alignment horizontal="center" vertical="center"/>
    </xf>
    <xf numFmtId="1" fontId="7" fillId="0" borderId="4" xfId="4" applyNumberFormat="1" applyFont="1" applyFill="1" applyBorder="1" applyAlignment="1">
      <alignment horizontal="center" vertical="center"/>
    </xf>
    <xf numFmtId="0" fontId="6" fillId="4" borderId="5" xfId="3" applyFont="1" applyFill="1" applyBorder="1" applyAlignment="1" applyProtection="1">
      <alignment horizontal="center" vertical="center"/>
      <protection hidden="1"/>
    </xf>
    <xf numFmtId="0" fontId="6" fillId="4" borderId="4" xfId="3" applyFont="1" applyFill="1" applyBorder="1" applyAlignment="1" applyProtection="1">
      <alignment horizontal="center" vertical="center"/>
      <protection hidden="1"/>
    </xf>
    <xf numFmtId="166" fontId="6" fillId="4" borderId="4" xfId="3" applyNumberFormat="1" applyFont="1" applyFill="1" applyBorder="1" applyAlignment="1" applyProtection="1">
      <alignment horizontal="center" vertical="center"/>
      <protection hidden="1"/>
    </xf>
    <xf numFmtId="2" fontId="6" fillId="4" borderId="4" xfId="3" applyNumberFormat="1" applyFont="1" applyFill="1" applyBorder="1" applyAlignment="1" applyProtection="1">
      <alignment horizontal="center" vertical="center"/>
      <protection hidden="1"/>
    </xf>
    <xf numFmtId="167" fontId="6" fillId="4" borderId="6" xfId="0" applyNumberFormat="1" applyFont="1" applyFill="1" applyBorder="1" applyAlignment="1">
      <alignment horizontal="center" vertical="center"/>
    </xf>
    <xf numFmtId="9" fontId="5" fillId="5" borderId="4" xfId="2" applyFont="1" applyFill="1" applyBorder="1" applyAlignment="1">
      <alignment horizontal="center" vertical="center"/>
    </xf>
    <xf numFmtId="0" fontId="6" fillId="0" borderId="0" xfId="0" applyFont="1"/>
    <xf numFmtId="9" fontId="7" fillId="0" borderId="4" xfId="2" applyFont="1" applyFill="1" applyBorder="1" applyAlignment="1">
      <alignment horizontal="center" vertical="center"/>
    </xf>
    <xf numFmtId="2" fontId="0" fillId="0" borderId="0" xfId="0" applyNumberFormat="1"/>
    <xf numFmtId="0" fontId="7" fillId="4" borderId="5" xfId="3" applyFont="1" applyFill="1" applyBorder="1" applyAlignment="1" applyProtection="1">
      <alignment horizontal="center" vertical="center"/>
      <protection hidden="1"/>
    </xf>
    <xf numFmtId="0" fontId="7" fillId="4" borderId="4" xfId="3" applyFont="1" applyFill="1" applyBorder="1" applyAlignment="1" applyProtection="1">
      <alignment horizontal="center" vertical="center"/>
      <protection hidden="1"/>
    </xf>
    <xf numFmtId="166" fontId="7" fillId="4" borderId="4" xfId="3" applyNumberFormat="1" applyFont="1" applyFill="1" applyBorder="1" applyAlignment="1" applyProtection="1">
      <alignment horizontal="center" vertical="center"/>
      <protection hidden="1"/>
    </xf>
    <xf numFmtId="2" fontId="7" fillId="4" borderId="4" xfId="3" applyNumberFormat="1" applyFont="1" applyFill="1" applyBorder="1" applyAlignment="1" applyProtection="1">
      <alignment horizontal="center" vertical="center"/>
      <protection hidden="1"/>
    </xf>
    <xf numFmtId="164" fontId="7" fillId="0" borderId="4" xfId="3" applyNumberFormat="1" applyFont="1" applyBorder="1" applyAlignment="1">
      <alignment horizontal="center" vertical="center"/>
    </xf>
    <xf numFmtId="164" fontId="7" fillId="0" borderId="4" xfId="2" applyNumberFormat="1" applyFont="1" applyFill="1" applyBorder="1" applyAlignment="1">
      <alignment horizontal="center" vertical="center"/>
    </xf>
    <xf numFmtId="167" fontId="7" fillId="0" borderId="6" xfId="3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5" fillId="5" borderId="4" xfId="3" applyNumberFormat="1" applyFont="1" applyFill="1" applyBorder="1" applyAlignment="1">
      <alignment horizontal="center" vertical="center"/>
    </xf>
    <xf numFmtId="167" fontId="5" fillId="5" borderId="6" xfId="3" applyNumberFormat="1" applyFont="1" applyFill="1" applyBorder="1" applyAlignment="1">
      <alignment horizontal="center" vertical="center"/>
    </xf>
    <xf numFmtId="10" fontId="7" fillId="4" borderId="4" xfId="3" applyNumberFormat="1" applyFont="1" applyFill="1" applyBorder="1" applyAlignment="1" applyProtection="1">
      <alignment horizontal="center" vertical="center"/>
      <protection hidden="1"/>
    </xf>
    <xf numFmtId="164" fontId="7" fillId="0" borderId="4" xfId="1" applyNumberFormat="1" applyFont="1" applyBorder="1" applyAlignment="1">
      <alignment horizontal="center" vertical="center"/>
    </xf>
    <xf numFmtId="10" fontId="7" fillId="0" borderId="4" xfId="3" applyNumberFormat="1" applyFont="1" applyBorder="1" applyAlignment="1">
      <alignment horizontal="center" vertical="center"/>
    </xf>
    <xf numFmtId="167" fontId="7" fillId="0" borderId="6" xfId="1" applyNumberFormat="1" applyFont="1" applyBorder="1" applyAlignment="1">
      <alignment horizontal="center" vertical="center"/>
    </xf>
    <xf numFmtId="10" fontId="7" fillId="0" borderId="4" xfId="2" applyNumberFormat="1" applyFont="1" applyFill="1" applyBorder="1" applyAlignment="1">
      <alignment horizontal="center" vertical="center"/>
    </xf>
    <xf numFmtId="10" fontId="5" fillId="5" borderId="4" xfId="2" applyNumberFormat="1" applyFont="1" applyFill="1" applyBorder="1" applyAlignment="1">
      <alignment horizontal="center" vertical="center"/>
    </xf>
    <xf numFmtId="0" fontId="9" fillId="0" borderId="5" xfId="3" applyFont="1" applyBorder="1" applyAlignment="1">
      <alignment horizontal="center" vertical="center"/>
    </xf>
    <xf numFmtId="0" fontId="9" fillId="0" borderId="4" xfId="3" applyFont="1" applyBorder="1" applyAlignment="1">
      <alignment horizontal="center" vertical="center"/>
    </xf>
    <xf numFmtId="1" fontId="9" fillId="0" borderId="4" xfId="3" applyNumberFormat="1" applyFont="1" applyBorder="1" applyAlignment="1">
      <alignment horizontal="center" vertical="center"/>
    </xf>
    <xf numFmtId="165" fontId="9" fillId="0" borderId="4" xfId="3" applyNumberFormat="1" applyFont="1" applyBorder="1" applyAlignment="1">
      <alignment horizontal="center" vertical="center"/>
    </xf>
    <xf numFmtId="166" fontId="9" fillId="0" borderId="4" xfId="3" applyNumberFormat="1" applyFont="1" applyBorder="1" applyAlignment="1">
      <alignment horizontal="center" vertical="center"/>
    </xf>
    <xf numFmtId="164" fontId="9" fillId="0" borderId="4" xfId="1" applyNumberFormat="1" applyFont="1" applyBorder="1" applyAlignment="1">
      <alignment horizontal="center" vertical="center"/>
    </xf>
    <xf numFmtId="10" fontId="9" fillId="0" borderId="4" xfId="3" applyNumberFormat="1" applyFont="1" applyBorder="1" applyAlignment="1">
      <alignment horizontal="center" vertical="center"/>
    </xf>
    <xf numFmtId="167" fontId="9" fillId="0" borderId="6" xfId="1" applyNumberFormat="1" applyFont="1" applyBorder="1" applyAlignment="1">
      <alignment horizontal="center" vertical="center"/>
    </xf>
    <xf numFmtId="0" fontId="10" fillId="5" borderId="5" xfId="3" applyFont="1" applyFill="1" applyBorder="1" applyAlignment="1">
      <alignment horizontal="center" vertical="center"/>
    </xf>
    <xf numFmtId="0" fontId="10" fillId="5" borderId="4" xfId="3" applyFont="1" applyFill="1" applyBorder="1" applyAlignment="1">
      <alignment horizontal="center" vertical="center"/>
    </xf>
    <xf numFmtId="167" fontId="7" fillId="4" borderId="6" xfId="3" applyNumberFormat="1" applyFont="1" applyFill="1" applyBorder="1" applyAlignment="1" applyProtection="1">
      <alignment horizontal="center" vertical="center"/>
      <protection hidden="1"/>
    </xf>
    <xf numFmtId="0" fontId="5" fillId="5" borderId="5" xfId="5" applyFont="1" applyFill="1" applyBorder="1" applyAlignment="1">
      <alignment horizontal="center" vertical="center"/>
    </xf>
    <xf numFmtId="0" fontId="5" fillId="5" borderId="4" xfId="5" applyFont="1" applyFill="1" applyBorder="1" applyAlignment="1">
      <alignment horizontal="center" vertical="center"/>
    </xf>
    <xf numFmtId="1" fontId="10" fillId="5" borderId="4" xfId="3" applyNumberFormat="1" applyFont="1" applyFill="1" applyBorder="1" applyAlignment="1">
      <alignment horizontal="center" vertical="center"/>
    </xf>
    <xf numFmtId="9" fontId="7" fillId="4" borderId="5" xfId="2" applyFont="1" applyFill="1" applyBorder="1" applyAlignment="1" applyProtection="1">
      <alignment horizontal="center" vertical="center"/>
      <protection hidden="1"/>
    </xf>
    <xf numFmtId="9" fontId="7" fillId="4" borderId="4" xfId="2" applyFont="1" applyFill="1" applyBorder="1" applyAlignment="1" applyProtection="1">
      <alignment horizontal="center" vertical="center"/>
      <protection hidden="1"/>
    </xf>
    <xf numFmtId="168" fontId="7" fillId="4" borderId="4" xfId="2" applyNumberFormat="1" applyFont="1" applyFill="1" applyBorder="1" applyAlignment="1" applyProtection="1">
      <alignment horizontal="center" vertical="center"/>
      <protection hidden="1"/>
    </xf>
    <xf numFmtId="9" fontId="7" fillId="4" borderId="6" xfId="2" applyFont="1" applyFill="1" applyBorder="1" applyAlignment="1" applyProtection="1">
      <alignment horizontal="center" vertical="center"/>
      <protection hidden="1"/>
    </xf>
    <xf numFmtId="0" fontId="7" fillId="0" borderId="5" xfId="5" applyFont="1" applyBorder="1" applyAlignment="1">
      <alignment horizontal="center" vertical="center"/>
    </xf>
    <xf numFmtId="0" fontId="7" fillId="0" borderId="4" xfId="5" applyFont="1" applyBorder="1" applyAlignment="1">
      <alignment horizontal="center" vertical="center"/>
    </xf>
    <xf numFmtId="169" fontId="7" fillId="0" borderId="4" xfId="1" applyNumberFormat="1" applyFont="1" applyFill="1" applyBorder="1" applyAlignment="1">
      <alignment horizontal="center" vertical="center"/>
    </xf>
    <xf numFmtId="10" fontId="7" fillId="4" borderId="4" xfId="2" applyNumberFormat="1" applyFont="1" applyFill="1" applyBorder="1" applyAlignment="1" applyProtection="1">
      <alignment horizontal="center" vertical="center"/>
      <protection hidden="1"/>
    </xf>
    <xf numFmtId="167" fontId="7" fillId="4" borderId="6" xfId="2" applyNumberFormat="1" applyFont="1" applyFill="1" applyBorder="1" applyAlignment="1" applyProtection="1">
      <alignment horizontal="center" vertical="center"/>
      <protection hidden="1"/>
    </xf>
    <xf numFmtId="170" fontId="7" fillId="0" borderId="4" xfId="3" applyNumberFormat="1" applyFont="1" applyBorder="1" applyAlignment="1">
      <alignment horizontal="center" vertical="center"/>
    </xf>
    <xf numFmtId="170" fontId="5" fillId="5" borderId="4" xfId="3" applyNumberFormat="1" applyFont="1" applyFill="1" applyBorder="1" applyAlignment="1">
      <alignment horizontal="center" vertical="center"/>
    </xf>
    <xf numFmtId="168" fontId="3" fillId="5" borderId="4" xfId="2" applyNumberFormat="1" applyFont="1" applyFill="1" applyBorder="1" applyAlignment="1">
      <alignment horizontal="center" vertical="center"/>
    </xf>
    <xf numFmtId="0" fontId="10" fillId="5" borderId="7" xfId="3" applyFont="1" applyFill="1" applyBorder="1" applyAlignment="1">
      <alignment horizontal="center" vertical="center"/>
    </xf>
    <xf numFmtId="0" fontId="10" fillId="5" borderId="8" xfId="3" applyFont="1" applyFill="1" applyBorder="1" applyAlignment="1">
      <alignment horizontal="center" vertical="center"/>
    </xf>
    <xf numFmtId="1" fontId="10" fillId="5" borderId="8" xfId="3" applyNumberFormat="1" applyFont="1" applyFill="1" applyBorder="1" applyAlignment="1">
      <alignment horizontal="center" vertical="center"/>
    </xf>
    <xf numFmtId="170" fontId="5" fillId="5" borderId="8" xfId="3" applyNumberFormat="1" applyFont="1" applyFill="1" applyBorder="1" applyAlignment="1">
      <alignment horizontal="center" vertical="center"/>
    </xf>
    <xf numFmtId="166" fontId="5" fillId="5" borderId="8" xfId="3" applyNumberFormat="1" applyFont="1" applyFill="1" applyBorder="1" applyAlignment="1">
      <alignment horizontal="center" vertical="center"/>
    </xf>
    <xf numFmtId="164" fontId="5" fillId="5" borderId="8" xfId="3" applyNumberFormat="1" applyFont="1" applyFill="1" applyBorder="1" applyAlignment="1">
      <alignment horizontal="center" vertical="center"/>
    </xf>
    <xf numFmtId="168" fontId="3" fillId="5" borderId="8" xfId="2" applyNumberFormat="1" applyFont="1" applyFill="1" applyBorder="1" applyAlignment="1">
      <alignment horizontal="center" vertical="center"/>
    </xf>
    <xf numFmtId="167" fontId="5" fillId="5" borderId="9" xfId="3" applyNumberFormat="1" applyFont="1" applyFill="1" applyBorder="1" applyAlignment="1">
      <alignment horizontal="center" vertical="center"/>
    </xf>
    <xf numFmtId="1" fontId="0" fillId="0" borderId="0" xfId="0" applyNumberFormat="1"/>
    <xf numFmtId="167" fontId="7" fillId="0" borderId="0" xfId="1" applyNumberFormat="1" applyFont="1" applyFill="1" applyBorder="1" applyAlignment="1">
      <alignment horizontal="center" vertical="center"/>
    </xf>
    <xf numFmtId="1" fontId="3" fillId="0" borderId="0" xfId="3" applyNumberFormat="1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/>
    </xf>
    <xf numFmtId="167" fontId="5" fillId="0" borderId="0" xfId="1" applyNumberFormat="1" applyFont="1" applyFill="1" applyBorder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7" fontId="7" fillId="0" borderId="0" xfId="3" applyNumberFormat="1" applyFont="1" applyAlignment="1">
      <alignment horizontal="center" vertical="center"/>
    </xf>
    <xf numFmtId="167" fontId="5" fillId="0" borderId="0" xfId="3" applyNumberFormat="1" applyFont="1" applyAlignment="1">
      <alignment horizontal="center" vertical="center"/>
    </xf>
    <xf numFmtId="167" fontId="9" fillId="0" borderId="0" xfId="1" applyNumberFormat="1" applyFont="1" applyFill="1" applyBorder="1" applyAlignment="1">
      <alignment horizontal="center" vertical="center"/>
    </xf>
    <xf numFmtId="167" fontId="7" fillId="0" borderId="0" xfId="3" applyNumberFormat="1" applyFont="1" applyAlignment="1" applyProtection="1">
      <alignment horizontal="center" vertical="center"/>
      <protection hidden="1"/>
    </xf>
    <xf numFmtId="9" fontId="7" fillId="0" borderId="0" xfId="2" applyFont="1" applyFill="1" applyBorder="1" applyAlignment="1" applyProtection="1">
      <alignment horizontal="center" vertical="center"/>
      <protection hidden="1"/>
    </xf>
    <xf numFmtId="167" fontId="7" fillId="0" borderId="0" xfId="2" applyNumberFormat="1" applyFont="1" applyFill="1" applyBorder="1" applyAlignment="1" applyProtection="1">
      <alignment horizontal="center" vertical="center"/>
      <protection hidden="1"/>
    </xf>
    <xf numFmtId="10" fontId="7" fillId="0" borderId="0" xfId="2" applyNumberFormat="1" applyFont="1" applyFill="1" applyBorder="1" applyAlignment="1" applyProtection="1">
      <alignment vertical="center"/>
      <protection hidden="1"/>
    </xf>
    <xf numFmtId="164" fontId="0" fillId="0" borderId="0" xfId="0" applyNumberFormat="1"/>
  </cellXfs>
  <cellStyles count="6">
    <cellStyle name="Moneda" xfId="1" builtinId="4"/>
    <cellStyle name="Normal" xfId="0" builtinId="0"/>
    <cellStyle name="Normal 3" xfId="4" xr:uid="{8BF8EB99-D0AB-4DBF-B6A8-4D92F64F1BCF}"/>
    <cellStyle name="Normal_ARQUITECTURA DE PRECIOS 1 0" xfId="3" xr:uid="{9CB6AADF-5513-44A4-B792-00A11A3EE783}"/>
    <cellStyle name="Normal_Precio públicos al 01-03" xfId="5" xr:uid="{9D36BDDB-DD5D-4CED-A7DB-26A2BB1CB1DB}"/>
    <cellStyle name="Porcentaje" xfId="2" builtinId="5"/>
  </cellStyles>
  <dxfs count="1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779B2-3A69-4E87-AF56-1EBCBAEAC031}">
  <dimension ref="B1:EJ108"/>
  <sheetViews>
    <sheetView tabSelected="1" topLeftCell="A96" workbookViewId="0">
      <selection activeCell="H109" sqref="H109"/>
    </sheetView>
  </sheetViews>
  <sheetFormatPr baseColWidth="10" defaultColWidth="11.42578125" defaultRowHeight="15" outlineLevelCol="1" x14ac:dyDescent="0.25"/>
  <cols>
    <col min="1" max="1" width="4.5703125" customWidth="1"/>
    <col min="2" max="2" width="9.140625" bestFit="1" customWidth="1" collapsed="1"/>
    <col min="3" max="3" width="51.42578125" bestFit="1" customWidth="1"/>
    <col min="5" max="5" width="7.28515625" bestFit="1" customWidth="1"/>
    <col min="6" max="6" width="9" bestFit="1" customWidth="1"/>
    <col min="7" max="7" width="10.7109375" style="47" bestFit="1" customWidth="1"/>
    <col min="8" max="8" width="6.5703125" bestFit="1" customWidth="1"/>
    <col min="9" max="9" width="12.5703125" style="47" bestFit="1" customWidth="1"/>
    <col min="10" max="10" width="8.7109375" bestFit="1" customWidth="1"/>
    <col min="11" max="11" width="7.7109375" bestFit="1" customWidth="1"/>
    <col min="12" max="12" width="8.5703125" bestFit="1" customWidth="1"/>
    <col min="13" max="13" width="7.7109375" bestFit="1" customWidth="1"/>
    <col min="14" max="14" width="8.5703125" bestFit="1" customWidth="1"/>
    <col min="15" max="15" width="7.7109375" bestFit="1" customWidth="1"/>
    <col min="16" max="16" width="8.140625" style="98" bestFit="1" customWidth="1"/>
    <col min="17" max="17" width="2.85546875" style="98" customWidth="1"/>
    <col min="18" max="18" width="6.42578125" style="98" bestFit="1" customWidth="1"/>
    <col min="19" max="19" width="2.42578125" style="98" customWidth="1"/>
    <col min="20" max="20" width="9.42578125" style="45" bestFit="1" customWidth="1"/>
    <col min="21" max="21" width="6.42578125" customWidth="1"/>
    <col min="22" max="22" width="9.140625" customWidth="1"/>
    <col min="24" max="24" width="9.140625" customWidth="1"/>
    <col min="26" max="26" width="9.140625" customWidth="1"/>
    <col min="28" max="28" width="9.140625" customWidth="1"/>
    <col min="30" max="30" width="9.140625" customWidth="1"/>
    <col min="32" max="32" width="10" customWidth="1"/>
    <col min="34" max="34" width="10" customWidth="1"/>
    <col min="36" max="36" width="10" customWidth="1"/>
    <col min="38" max="38" width="10" customWidth="1"/>
    <col min="40" max="40" width="9.140625" customWidth="1"/>
    <col min="42" max="42" width="11.5703125" customWidth="1"/>
    <col min="43" max="43" width="3.42578125" customWidth="1"/>
    <col min="44" max="44" width="11.5703125" customWidth="1"/>
    <col min="45" max="45" width="2.85546875" customWidth="1"/>
    <col min="46" max="46" width="11.5703125" customWidth="1"/>
    <col min="47" max="47" width="3.42578125" customWidth="1"/>
    <col min="48" max="48" width="11.5703125" customWidth="1"/>
    <col min="49" max="49" width="3.42578125" customWidth="1"/>
    <col min="50" max="50" width="11.5703125" customWidth="1"/>
    <col min="51" max="51" width="3.42578125" customWidth="1"/>
    <col min="52" max="52" width="11.5703125" customWidth="1"/>
    <col min="53" max="53" width="3.42578125" customWidth="1"/>
    <col min="54" max="54" width="11.5703125" customWidth="1"/>
    <col min="55" max="55" width="3.42578125" customWidth="1"/>
    <col min="56" max="56" width="11.5703125" customWidth="1"/>
    <col min="57" max="57" width="3.42578125" customWidth="1"/>
    <col min="58" max="58" width="11.5703125" customWidth="1"/>
    <col min="59" max="59" width="3.42578125" customWidth="1"/>
    <col min="60" max="60" width="11.5703125" customWidth="1"/>
    <col min="61" max="61" width="3" customWidth="1"/>
    <col min="62" max="62" width="11.5703125" customWidth="1"/>
    <col min="63" max="63" width="4.85546875" customWidth="1"/>
    <col min="64" max="64" width="11.5703125" customWidth="1"/>
    <col min="65" max="65" width="4.85546875" customWidth="1"/>
    <col min="67" max="67" width="4.85546875" customWidth="1"/>
    <col min="69" max="69" width="4.85546875" customWidth="1"/>
    <col min="125" max="125" width="11.42578125" outlineLevel="1"/>
    <col min="129" max="135" width="11.42578125" outlineLevel="1"/>
    <col min="138" max="140" width="11.42578125" outlineLevel="1"/>
  </cols>
  <sheetData>
    <row r="1" spans="2:20" ht="15.75" thickBot="1" x14ac:dyDescent="0.3"/>
    <row r="2" spans="2:20" ht="48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3" t="s">
        <v>5</v>
      </c>
      <c r="H2" s="2" t="s">
        <v>6</v>
      </c>
      <c r="I2" s="3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5" t="s">
        <v>14</v>
      </c>
      <c r="Q2" s="100"/>
      <c r="R2" s="6"/>
      <c r="S2" s="6"/>
      <c r="T2" s="7" t="s">
        <v>15</v>
      </c>
    </row>
    <row r="3" spans="2:20" x14ac:dyDescent="0.25">
      <c r="B3" s="8"/>
      <c r="C3" s="9"/>
      <c r="D3" s="9"/>
      <c r="E3" s="9"/>
      <c r="F3" s="9"/>
      <c r="G3" s="10"/>
      <c r="H3" s="9"/>
      <c r="I3" s="10"/>
      <c r="J3" s="11"/>
      <c r="K3" s="12">
        <v>0.21</v>
      </c>
      <c r="L3" s="11"/>
      <c r="M3" s="12">
        <v>0.35</v>
      </c>
      <c r="N3" s="11"/>
      <c r="O3" s="12">
        <v>0.45</v>
      </c>
      <c r="P3" s="13"/>
      <c r="Q3" s="101"/>
      <c r="R3" s="14" t="s">
        <v>104</v>
      </c>
      <c r="S3" s="14"/>
      <c r="T3" s="15"/>
    </row>
    <row r="4" spans="2:20" x14ac:dyDescent="0.25">
      <c r="B4" s="16">
        <v>100021632</v>
      </c>
      <c r="C4" s="17" t="s">
        <v>16</v>
      </c>
      <c r="D4" s="18">
        <v>7790360026606</v>
      </c>
      <c r="E4" s="19">
        <v>4.8</v>
      </c>
      <c r="F4" s="20">
        <v>30</v>
      </c>
      <c r="G4" s="21">
        <v>38344.554243659186</v>
      </c>
      <c r="H4" s="21"/>
      <c r="I4" s="21">
        <v>38344.554243659186</v>
      </c>
      <c r="J4" s="21">
        <v>1278.1518081219729</v>
      </c>
      <c r="K4" s="21">
        <v>268.4118797056143</v>
      </c>
      <c r="L4" s="21">
        <v>1546.5636878275873</v>
      </c>
      <c r="M4" s="21">
        <v>541.29729073965552</v>
      </c>
      <c r="N4" s="21">
        <v>2087.8609785672429</v>
      </c>
      <c r="O4" s="21">
        <v>939.53744035525938</v>
      </c>
      <c r="P4" s="22">
        <v>3027.3984189225021</v>
      </c>
      <c r="Q4" s="99"/>
      <c r="R4" s="23">
        <v>8.0000000000000071E-2</v>
      </c>
      <c r="S4" s="23"/>
      <c r="T4" s="24">
        <v>35504.216892277022</v>
      </c>
    </row>
    <row r="5" spans="2:20" x14ac:dyDescent="0.25">
      <c r="B5" s="25">
        <v>100021652</v>
      </c>
      <c r="C5" s="17" t="s">
        <v>17</v>
      </c>
      <c r="D5" s="18">
        <v>7790360026576</v>
      </c>
      <c r="E5" s="19">
        <v>5.76</v>
      </c>
      <c r="F5" s="20">
        <v>18</v>
      </c>
      <c r="G5" s="21">
        <v>46159.859095468812</v>
      </c>
      <c r="H5" s="21"/>
      <c r="I5" s="21">
        <v>46159.859095468812</v>
      </c>
      <c r="J5" s="21">
        <v>2564.4366164149342</v>
      </c>
      <c r="K5" s="21">
        <v>538.53168944713616</v>
      </c>
      <c r="L5" s="21">
        <v>3102.9683058620703</v>
      </c>
      <c r="M5" s="21">
        <v>1086.0389070517244</v>
      </c>
      <c r="N5" s="21">
        <v>4189.0072129137952</v>
      </c>
      <c r="O5" s="21">
        <v>1885.0532458112079</v>
      </c>
      <c r="P5" s="22">
        <v>6074.0604587250036</v>
      </c>
      <c r="Q5" s="99"/>
      <c r="R5" s="23">
        <v>8.0000000000000071E-2</v>
      </c>
      <c r="S5" s="23"/>
      <c r="T5" s="24">
        <v>42740.610273582228</v>
      </c>
    </row>
    <row r="6" spans="2:20" x14ac:dyDescent="0.25">
      <c r="B6" s="25">
        <v>100021631</v>
      </c>
      <c r="C6" s="17" t="s">
        <v>18</v>
      </c>
      <c r="D6" s="18">
        <v>7790360026590</v>
      </c>
      <c r="E6" s="19">
        <v>7.68</v>
      </c>
      <c r="F6" s="20">
        <v>8</v>
      </c>
      <c r="G6" s="21">
        <v>58510.949438472533</v>
      </c>
      <c r="H6" s="21"/>
      <c r="I6" s="21">
        <v>58510.949438472533</v>
      </c>
      <c r="J6" s="21">
        <v>7313.8686798090666</v>
      </c>
      <c r="K6" s="21">
        <v>1535.9124227599038</v>
      </c>
      <c r="L6" s="21">
        <v>8849.7811025689698</v>
      </c>
      <c r="M6" s="21">
        <v>3097.4233858991392</v>
      </c>
      <c r="N6" s="21">
        <v>11947.204488468109</v>
      </c>
      <c r="O6" s="21">
        <v>5376.2420198106493</v>
      </c>
      <c r="P6" s="22">
        <v>17323.446508278757</v>
      </c>
      <c r="Q6" s="99"/>
      <c r="R6" s="23">
        <v>3.0000000000000027E-2</v>
      </c>
      <c r="S6" s="23"/>
      <c r="T6" s="24">
        <v>56806.747027643236</v>
      </c>
    </row>
    <row r="7" spans="2:20" x14ac:dyDescent="0.25">
      <c r="B7" s="25">
        <v>100021630</v>
      </c>
      <c r="C7" s="17" t="s">
        <v>19</v>
      </c>
      <c r="D7" s="18">
        <v>7790360026583</v>
      </c>
      <c r="E7" s="19">
        <v>9.6</v>
      </c>
      <c r="F7" s="20">
        <v>6</v>
      </c>
      <c r="G7" s="21">
        <v>71718.51812239959</v>
      </c>
      <c r="H7" s="21"/>
      <c r="I7" s="21">
        <v>71718.51812239959</v>
      </c>
      <c r="J7" s="21">
        <v>11953.086353733264</v>
      </c>
      <c r="K7" s="21">
        <v>2510.1481342839852</v>
      </c>
      <c r="L7" s="21">
        <v>14463.23448801725</v>
      </c>
      <c r="M7" s="21">
        <v>5062.1320708060366</v>
      </c>
      <c r="N7" s="21">
        <v>19525.366558823287</v>
      </c>
      <c r="O7" s="21">
        <v>8786.4149514704786</v>
      </c>
      <c r="P7" s="22">
        <v>28311.781510293767</v>
      </c>
      <c r="Q7" s="99"/>
      <c r="R7" s="23">
        <v>1.0000000000000009E-2</v>
      </c>
      <c r="S7" s="23"/>
      <c r="T7" s="24">
        <v>71008.433784554043</v>
      </c>
    </row>
    <row r="8" spans="2:20" x14ac:dyDescent="0.25">
      <c r="B8" s="26">
        <v>100021653</v>
      </c>
      <c r="C8" s="27" t="s">
        <v>20</v>
      </c>
      <c r="D8" s="18">
        <v>7790360026682</v>
      </c>
      <c r="E8" s="19">
        <v>5.76</v>
      </c>
      <c r="F8" s="20">
        <v>18</v>
      </c>
      <c r="G8" s="21">
        <v>50614.811601630128</v>
      </c>
      <c r="H8" s="21"/>
      <c r="I8" s="21">
        <v>50614.811601630128</v>
      </c>
      <c r="J8" s="21">
        <v>2811.9339778683407</v>
      </c>
      <c r="K8" s="21">
        <v>590.50613535235152</v>
      </c>
      <c r="L8" s="21">
        <v>3402.4401132206922</v>
      </c>
      <c r="M8" s="21">
        <v>1190.8540396272422</v>
      </c>
      <c r="N8" s="21">
        <v>4593.2941528479341</v>
      </c>
      <c r="O8" s="21">
        <v>2066.9823687815706</v>
      </c>
      <c r="P8" s="22">
        <v>6660.2765216295047</v>
      </c>
      <c r="Q8" s="99"/>
      <c r="R8" s="23">
        <v>8.0000000000000071E-2</v>
      </c>
      <c r="S8" s="23"/>
      <c r="T8" s="24">
        <v>46865.566297805672</v>
      </c>
    </row>
    <row r="9" spans="2:20" x14ac:dyDescent="0.25">
      <c r="B9" s="26">
        <v>100516169</v>
      </c>
      <c r="C9" s="27" t="s">
        <v>21</v>
      </c>
      <c r="D9" s="18">
        <v>7790360967961</v>
      </c>
      <c r="E9" s="19">
        <v>5.76</v>
      </c>
      <c r="F9" s="20">
        <v>18</v>
      </c>
      <c r="G9" s="21">
        <v>46670.247357300017</v>
      </c>
      <c r="H9" s="21"/>
      <c r="I9" s="21">
        <v>46670.247357300017</v>
      </c>
      <c r="J9" s="21">
        <v>2592.7915198500009</v>
      </c>
      <c r="K9" s="21">
        <v>544.48621916850016</v>
      </c>
      <c r="L9" s="21">
        <v>3137.2777390185011</v>
      </c>
      <c r="M9" s="21">
        <v>1098.0472086564753</v>
      </c>
      <c r="N9" s="21">
        <v>4235.3249476749761</v>
      </c>
      <c r="O9" s="21">
        <v>1905.8962264537392</v>
      </c>
      <c r="P9" s="22">
        <v>6141.2211741287156</v>
      </c>
      <c r="Q9" s="99"/>
      <c r="R9" s="23">
        <v>8.0000000000000071E-2</v>
      </c>
      <c r="S9" s="23"/>
      <c r="T9" s="24">
        <v>43213.191997500013</v>
      </c>
    </row>
    <row r="10" spans="2:20" x14ac:dyDescent="0.25">
      <c r="B10" s="26">
        <v>100520337</v>
      </c>
      <c r="C10" s="27" t="s">
        <v>22</v>
      </c>
      <c r="D10" s="18">
        <v>7790360977960</v>
      </c>
      <c r="E10" s="19">
        <v>4.8</v>
      </c>
      <c r="F10" s="20">
        <v>30</v>
      </c>
      <c r="G10" s="21">
        <v>27112.262752921066</v>
      </c>
      <c r="H10" s="21"/>
      <c r="I10" s="21">
        <v>27112.262752921066</v>
      </c>
      <c r="J10" s="21">
        <v>903.74209176403554</v>
      </c>
      <c r="K10" s="21">
        <v>189.78583927044747</v>
      </c>
      <c r="L10" s="21">
        <v>1093.5279310344831</v>
      </c>
      <c r="M10" s="21">
        <v>382.73477586206906</v>
      </c>
      <c r="N10" s="21">
        <v>1476.2627068965521</v>
      </c>
      <c r="O10" s="21">
        <v>664.31821810344843</v>
      </c>
      <c r="P10" s="22">
        <v>2140.5809250000007</v>
      </c>
      <c r="Q10" s="99"/>
      <c r="R10" s="23">
        <v>8.0000000000000071E-2</v>
      </c>
      <c r="S10" s="23"/>
      <c r="T10" s="24">
        <v>25103.946993445428</v>
      </c>
    </row>
    <row r="11" spans="2:20" x14ac:dyDescent="0.25">
      <c r="B11" s="28">
        <v>100021503</v>
      </c>
      <c r="C11" s="29" t="s">
        <v>23</v>
      </c>
      <c r="D11" s="30">
        <v>7790360966841</v>
      </c>
      <c r="E11" s="31">
        <v>3.3119999999999998</v>
      </c>
      <c r="F11" s="32">
        <v>12</v>
      </c>
      <c r="G11" s="33">
        <v>20700.91308064976</v>
      </c>
      <c r="H11" s="34">
        <v>8.3299999999999999E-2</v>
      </c>
      <c r="I11" s="33">
        <v>18976.527021031634</v>
      </c>
      <c r="J11" s="33">
        <v>1581.3772517526361</v>
      </c>
      <c r="K11" s="33">
        <v>332.08922286805358</v>
      </c>
      <c r="L11" s="33">
        <v>1913.4664746206897</v>
      </c>
      <c r="M11" s="33">
        <v>669.71326611724135</v>
      </c>
      <c r="N11" s="33">
        <v>2583.1797407379308</v>
      </c>
      <c r="O11" s="33">
        <v>1162.430883332069</v>
      </c>
      <c r="P11" s="35">
        <v>3745.6106240700001</v>
      </c>
      <c r="Q11" s="102"/>
      <c r="R11" s="23">
        <v>8.0000000000000071E-2</v>
      </c>
      <c r="S11" s="23"/>
      <c r="T11" s="24">
        <v>17570.858352807067</v>
      </c>
    </row>
    <row r="12" spans="2:20" x14ac:dyDescent="0.25">
      <c r="B12" s="26">
        <v>100516201</v>
      </c>
      <c r="C12" s="27" t="s">
        <v>24</v>
      </c>
      <c r="D12" s="18">
        <v>7790360968548</v>
      </c>
      <c r="E12" s="19">
        <v>6.6239999999999997</v>
      </c>
      <c r="F12" s="20">
        <v>8</v>
      </c>
      <c r="G12" s="21">
        <v>45229.533886165504</v>
      </c>
      <c r="H12" s="36"/>
      <c r="I12" s="21">
        <v>45229.533886165504</v>
      </c>
      <c r="J12" s="21">
        <v>5653.691735770688</v>
      </c>
      <c r="K12" s="21">
        <v>1187.2752645118444</v>
      </c>
      <c r="L12" s="21">
        <v>6840.9670002825324</v>
      </c>
      <c r="M12" s="21">
        <v>2394.3384500988864</v>
      </c>
      <c r="N12" s="21">
        <v>9235.3054503814183</v>
      </c>
      <c r="O12" s="21">
        <v>4155.8874526716381</v>
      </c>
      <c r="P12" s="22">
        <v>13391.192903053055</v>
      </c>
      <c r="Q12" s="99"/>
      <c r="R12" s="23">
        <v>8.0000000000000071E-2</v>
      </c>
      <c r="S12" s="23"/>
      <c r="T12" s="24">
        <v>41879.198042745833</v>
      </c>
    </row>
    <row r="13" spans="2:20" x14ac:dyDescent="0.25">
      <c r="B13" s="26">
        <v>100021643</v>
      </c>
      <c r="C13" s="27" t="s">
        <v>25</v>
      </c>
      <c r="D13" s="18">
        <v>7790360966797</v>
      </c>
      <c r="E13" s="19">
        <v>4.7039999999999997</v>
      </c>
      <c r="F13" s="20">
        <v>42</v>
      </c>
      <c r="G13" s="21">
        <v>27737.901120547176</v>
      </c>
      <c r="H13" s="36"/>
      <c r="I13" s="21">
        <v>27737.901120547176</v>
      </c>
      <c r="J13" s="21">
        <v>660.42621715588518</v>
      </c>
      <c r="K13" s="21">
        <v>138.68950560273589</v>
      </c>
      <c r="L13" s="21">
        <v>799.11572275862113</v>
      </c>
      <c r="M13" s="21">
        <v>279.6905029655174</v>
      </c>
      <c r="N13" s="21">
        <v>1078.8062257241386</v>
      </c>
      <c r="O13" s="21">
        <v>485.46280157586239</v>
      </c>
      <c r="P13" s="22">
        <v>1564.269027300001</v>
      </c>
      <c r="Q13" s="99"/>
      <c r="R13" s="23">
        <v>8.0000000000000071E-2</v>
      </c>
      <c r="S13" s="23"/>
      <c r="T13" s="24">
        <v>25683.24177828442</v>
      </c>
    </row>
    <row r="14" spans="2:20" x14ac:dyDescent="0.25">
      <c r="B14" s="26">
        <v>100516325</v>
      </c>
      <c r="C14" s="27" t="s">
        <v>26</v>
      </c>
      <c r="D14" s="18">
        <v>7790360967763</v>
      </c>
      <c r="E14" s="19">
        <v>4.7039999999999997</v>
      </c>
      <c r="F14" s="20">
        <v>21</v>
      </c>
      <c r="G14" s="21">
        <v>31195.330158146397</v>
      </c>
      <c r="H14" s="36"/>
      <c r="I14" s="21">
        <v>31195.330158146397</v>
      </c>
      <c r="J14" s="21">
        <v>1485.4919122926856</v>
      </c>
      <c r="K14" s="21">
        <v>311.95330158146396</v>
      </c>
      <c r="L14" s="21">
        <v>1797.4452138741494</v>
      </c>
      <c r="M14" s="21">
        <v>629.10582485595228</v>
      </c>
      <c r="N14" s="21">
        <v>2426.5510387301019</v>
      </c>
      <c r="O14" s="21">
        <v>1091.947967428546</v>
      </c>
      <c r="P14" s="22">
        <v>3518.4990061586477</v>
      </c>
      <c r="Q14" s="99"/>
      <c r="R14" s="23">
        <v>8.0000000000000071E-2</v>
      </c>
      <c r="S14" s="23"/>
      <c r="T14" s="24">
        <v>28884.564961246662</v>
      </c>
    </row>
    <row r="15" spans="2:20" x14ac:dyDescent="0.25">
      <c r="B15" s="28">
        <v>100021676</v>
      </c>
      <c r="C15" s="29" t="s">
        <v>27</v>
      </c>
      <c r="D15" s="30">
        <v>7790360967411</v>
      </c>
      <c r="E15" s="31">
        <v>7.5</v>
      </c>
      <c r="F15" s="32">
        <v>30</v>
      </c>
      <c r="G15" s="33">
        <v>60777.549233399848</v>
      </c>
      <c r="H15" s="34">
        <v>6.6699999999999995E-2</v>
      </c>
      <c r="I15" s="33">
        <v>56723.686699532082</v>
      </c>
      <c r="J15" s="33">
        <v>1890.7895566510695</v>
      </c>
      <c r="K15" s="33">
        <v>397.06580689672455</v>
      </c>
      <c r="L15" s="33">
        <v>2287.8553635477938</v>
      </c>
      <c r="M15" s="33">
        <v>800.74937724172776</v>
      </c>
      <c r="N15" s="33">
        <v>3088.6047407895217</v>
      </c>
      <c r="O15" s="33">
        <v>1389.8721333552849</v>
      </c>
      <c r="P15" s="35">
        <v>4478.4768741448061</v>
      </c>
      <c r="Q15" s="102"/>
      <c r="R15" s="23">
        <v>8.0000000000000071E-2</v>
      </c>
      <c r="S15" s="23"/>
      <c r="T15" s="24">
        <v>52521.932129196364</v>
      </c>
    </row>
    <row r="16" spans="2:20" x14ac:dyDescent="0.25">
      <c r="B16" s="28">
        <v>100516008</v>
      </c>
      <c r="C16" s="29" t="s">
        <v>28</v>
      </c>
      <c r="D16" s="30">
        <v>7790360967701</v>
      </c>
      <c r="E16" s="31">
        <v>5.76</v>
      </c>
      <c r="F16" s="32">
        <v>24</v>
      </c>
      <c r="G16" s="33">
        <v>50957.08677852885</v>
      </c>
      <c r="H16" s="34">
        <v>9.0899999999999995E-2</v>
      </c>
      <c r="I16" s="33">
        <v>46325.087590360577</v>
      </c>
      <c r="J16" s="33">
        <v>1930.2119829316907</v>
      </c>
      <c r="K16" s="33">
        <v>405.34451641565505</v>
      </c>
      <c r="L16" s="33">
        <v>2335.5564993473458</v>
      </c>
      <c r="M16" s="33">
        <v>817.44477477157102</v>
      </c>
      <c r="N16" s="33">
        <v>3153.0012741189166</v>
      </c>
      <c r="O16" s="33">
        <v>1418.8505733535126</v>
      </c>
      <c r="P16" s="35">
        <v>4571.8518474724297</v>
      </c>
      <c r="Q16" s="102"/>
      <c r="R16" s="23">
        <v>2.0000000000000018E-2</v>
      </c>
      <c r="S16" s="23"/>
      <c r="T16" s="24">
        <v>45416.752539569192</v>
      </c>
    </row>
    <row r="17" spans="2:20" x14ac:dyDescent="0.25">
      <c r="B17" s="26">
        <v>100520834</v>
      </c>
      <c r="C17" s="27" t="s">
        <v>29</v>
      </c>
      <c r="D17" s="18">
        <v>7790360980618</v>
      </c>
      <c r="E17" s="19">
        <v>6.66</v>
      </c>
      <c r="F17" s="20">
        <v>36</v>
      </c>
      <c r="G17" s="21">
        <v>63095.588372348466</v>
      </c>
      <c r="H17" s="21"/>
      <c r="I17" s="21">
        <v>63095.588372348466</v>
      </c>
      <c r="J17" s="21">
        <v>1752.6552325652351</v>
      </c>
      <c r="K17" s="21">
        <v>368.05759883869933</v>
      </c>
      <c r="L17" s="21">
        <v>2120.7128314039346</v>
      </c>
      <c r="M17" s="21">
        <v>742.24949099137712</v>
      </c>
      <c r="N17" s="21">
        <v>2862.9623223953117</v>
      </c>
      <c r="O17" s="21">
        <v>1288.3330450778903</v>
      </c>
      <c r="P17" s="22">
        <v>4151.2953674732016</v>
      </c>
      <c r="Q17" s="99"/>
      <c r="R17" s="23">
        <v>8.0000000000000071E-2</v>
      </c>
      <c r="S17" s="23"/>
      <c r="T17" s="24">
        <v>58421.841085507833</v>
      </c>
    </row>
    <row r="18" spans="2:20" x14ac:dyDescent="0.25">
      <c r="B18" s="26">
        <v>100021680</v>
      </c>
      <c r="C18" s="27" t="s">
        <v>30</v>
      </c>
      <c r="D18" s="18">
        <v>7790360967688</v>
      </c>
      <c r="E18" s="19">
        <v>4.32</v>
      </c>
      <c r="F18" s="20">
        <v>18</v>
      </c>
      <c r="G18" s="21">
        <v>50536.766687081057</v>
      </c>
      <c r="H18" s="21"/>
      <c r="I18" s="21">
        <v>50536.766687081057</v>
      </c>
      <c r="J18" s="21">
        <v>2807.5981492822812</v>
      </c>
      <c r="K18" s="21">
        <v>589.59561134927901</v>
      </c>
      <c r="L18" s="21">
        <v>3397.1937606315601</v>
      </c>
      <c r="M18" s="21">
        <v>1189.0178162210459</v>
      </c>
      <c r="N18" s="21">
        <v>4586.2115768526055</v>
      </c>
      <c r="O18" s="21">
        <v>2063.7952095836727</v>
      </c>
      <c r="P18" s="22">
        <v>6650.0067864362782</v>
      </c>
      <c r="Q18" s="99"/>
      <c r="R18" s="23">
        <v>8.0000000000000071E-2</v>
      </c>
      <c r="S18" s="23"/>
      <c r="T18" s="24">
        <v>46793.302488038011</v>
      </c>
    </row>
    <row r="19" spans="2:20" x14ac:dyDescent="0.25">
      <c r="B19" s="26">
        <v>100021644</v>
      </c>
      <c r="C19" s="27" t="s">
        <v>31</v>
      </c>
      <c r="D19" s="18">
        <v>7790360008541</v>
      </c>
      <c r="E19" s="19">
        <v>4.7039999999999997</v>
      </c>
      <c r="F19" s="20">
        <v>42</v>
      </c>
      <c r="G19" s="21">
        <v>19172.581341933932</v>
      </c>
      <c r="H19" s="21"/>
      <c r="I19" s="21">
        <v>19172.581341933932</v>
      </c>
      <c r="J19" s="21">
        <v>456.49003195080792</v>
      </c>
      <c r="K19" s="21">
        <v>95.862906709669659</v>
      </c>
      <c r="L19" s="21">
        <v>552.35293866047755</v>
      </c>
      <c r="M19" s="21">
        <v>165.70588159814326</v>
      </c>
      <c r="N19" s="21">
        <v>718.05882025862081</v>
      </c>
      <c r="O19" s="21">
        <v>323.12646911637938</v>
      </c>
      <c r="P19" s="22">
        <v>1041.1852893750001</v>
      </c>
      <c r="Q19" s="99"/>
      <c r="R19" s="23">
        <v>0.10000000000000009</v>
      </c>
      <c r="S19" s="23"/>
      <c r="T19" s="24">
        <v>17429.619401758118</v>
      </c>
    </row>
    <row r="20" spans="2:20" x14ac:dyDescent="0.25">
      <c r="B20" s="26">
        <v>100021677</v>
      </c>
      <c r="C20" s="27" t="s">
        <v>32</v>
      </c>
      <c r="D20" s="18">
        <v>7790360967404</v>
      </c>
      <c r="E20" s="19">
        <v>3.3119999999999998</v>
      </c>
      <c r="F20" s="20">
        <v>12</v>
      </c>
      <c r="G20" s="21">
        <v>15215.664444176517</v>
      </c>
      <c r="H20" s="21"/>
      <c r="I20" s="21">
        <v>15215.664444176517</v>
      </c>
      <c r="J20" s="21">
        <v>1267.9720370147097</v>
      </c>
      <c r="K20" s="21">
        <v>266.27412777308905</v>
      </c>
      <c r="L20" s="21">
        <v>1534.2461647877988</v>
      </c>
      <c r="M20" s="21">
        <v>460.27384943633962</v>
      </c>
      <c r="N20" s="21">
        <v>1994.5200142241383</v>
      </c>
      <c r="O20" s="21">
        <v>897.53400640086227</v>
      </c>
      <c r="P20" s="22">
        <v>2892.0540206250007</v>
      </c>
      <c r="Q20" s="99"/>
      <c r="R20" s="23">
        <v>0.10000000000000009</v>
      </c>
      <c r="S20" s="23"/>
      <c r="T20" s="24">
        <v>13832.42222197865</v>
      </c>
    </row>
    <row r="21" spans="2:20" x14ac:dyDescent="0.25">
      <c r="B21" s="26">
        <v>100021638</v>
      </c>
      <c r="C21" s="27" t="s">
        <v>33</v>
      </c>
      <c r="D21" s="18">
        <v>7790360026699</v>
      </c>
      <c r="E21" s="19">
        <v>4.8</v>
      </c>
      <c r="F21" s="20">
        <v>60</v>
      </c>
      <c r="G21" s="21">
        <v>47532.848742384136</v>
      </c>
      <c r="H21" s="21"/>
      <c r="I21" s="21">
        <v>47532.848742384136</v>
      </c>
      <c r="J21" s="21">
        <v>792.21414570640229</v>
      </c>
      <c r="K21" s="21">
        <v>166.36497059834448</v>
      </c>
      <c r="L21" s="21">
        <v>958.57911630474678</v>
      </c>
      <c r="M21" s="21">
        <v>335.50269070666133</v>
      </c>
      <c r="N21" s="21">
        <v>1294.081807011408</v>
      </c>
      <c r="O21" s="21">
        <v>582.33681315513365</v>
      </c>
      <c r="P21" s="22">
        <v>1876.4186201665416</v>
      </c>
      <c r="Q21" s="99"/>
      <c r="R21" s="23">
        <v>8.0000000000000071E-2</v>
      </c>
      <c r="S21" s="23"/>
      <c r="T21" s="24">
        <v>44011.89698368901</v>
      </c>
    </row>
    <row r="22" spans="2:20" x14ac:dyDescent="0.25">
      <c r="B22" s="26">
        <v>100021575</v>
      </c>
      <c r="C22" s="27" t="s">
        <v>34</v>
      </c>
      <c r="D22" s="18">
        <v>7790360007032</v>
      </c>
      <c r="E22" s="19">
        <v>4.1399999999999997</v>
      </c>
      <c r="F22" s="20">
        <v>60</v>
      </c>
      <c r="G22" s="21">
        <v>38984.491685431865</v>
      </c>
      <c r="H22" s="21"/>
      <c r="I22" s="21">
        <v>38984.491685431865</v>
      </c>
      <c r="J22" s="21">
        <v>649.74152809053112</v>
      </c>
      <c r="K22" s="21">
        <v>136.44572089901152</v>
      </c>
      <c r="L22" s="21">
        <v>786.1872489895427</v>
      </c>
      <c r="M22" s="21">
        <v>275.16553714633994</v>
      </c>
      <c r="N22" s="21">
        <v>1061.3527861358825</v>
      </c>
      <c r="O22" s="21">
        <v>477.60875376114717</v>
      </c>
      <c r="P22" s="22">
        <v>1538.9615398970298</v>
      </c>
      <c r="Q22" s="99"/>
      <c r="R22" s="23">
        <v>8.0000000000000071E-2</v>
      </c>
      <c r="S22" s="23"/>
      <c r="T22" s="24">
        <v>36096.751560585057</v>
      </c>
    </row>
    <row r="23" spans="2:20" x14ac:dyDescent="0.25">
      <c r="B23" s="26">
        <v>100021514</v>
      </c>
      <c r="C23" s="27" t="s">
        <v>35</v>
      </c>
      <c r="D23" s="18">
        <v>7790360006943</v>
      </c>
      <c r="E23" s="19">
        <v>4.1399999999999997</v>
      </c>
      <c r="F23" s="20">
        <v>60</v>
      </c>
      <c r="G23" s="21">
        <v>35475.666407342178</v>
      </c>
      <c r="H23" s="21"/>
      <c r="I23" s="21">
        <v>35475.666407342178</v>
      </c>
      <c r="J23" s="21">
        <v>591.26110678903626</v>
      </c>
      <c r="K23" s="21">
        <v>124.16483242569761</v>
      </c>
      <c r="L23" s="21">
        <v>715.42593921473383</v>
      </c>
      <c r="M23" s="21">
        <v>250.39907872515681</v>
      </c>
      <c r="N23" s="21">
        <v>965.82501793989059</v>
      </c>
      <c r="O23" s="21">
        <v>434.62125807295075</v>
      </c>
      <c r="P23" s="22">
        <v>1400.4462760128413</v>
      </c>
      <c r="Q23" s="99"/>
      <c r="R23" s="23">
        <v>8.0000000000000071E-2</v>
      </c>
      <c r="S23" s="23"/>
      <c r="T23" s="24">
        <v>32847.83926605757</v>
      </c>
    </row>
    <row r="24" spans="2:20" x14ac:dyDescent="0.25">
      <c r="B24" s="25">
        <v>100516208</v>
      </c>
      <c r="C24" s="37" t="s">
        <v>36</v>
      </c>
      <c r="D24" s="38">
        <v>7790360968203</v>
      </c>
      <c r="E24" s="19">
        <v>4.8</v>
      </c>
      <c r="F24" s="20">
        <v>60</v>
      </c>
      <c r="G24" s="21">
        <v>41131.229126030012</v>
      </c>
      <c r="H24" s="21"/>
      <c r="I24" s="21">
        <v>41131.229126030012</v>
      </c>
      <c r="J24" s="21">
        <v>685.52048543383353</v>
      </c>
      <c r="K24" s="21">
        <v>143.95930194110502</v>
      </c>
      <c r="L24" s="21">
        <v>829.4797873749385</v>
      </c>
      <c r="M24" s="21">
        <v>290.31792558122845</v>
      </c>
      <c r="N24" s="21">
        <v>1119.7977129561668</v>
      </c>
      <c r="O24" s="21">
        <v>503.90897083027511</v>
      </c>
      <c r="P24" s="22">
        <v>1623.706683786442</v>
      </c>
      <c r="Q24" s="99"/>
      <c r="R24" s="23">
        <v>8.0000000000000071E-2</v>
      </c>
      <c r="S24" s="23"/>
      <c r="T24" s="24">
        <v>38084.471412990752</v>
      </c>
    </row>
    <row r="25" spans="2:20" x14ac:dyDescent="0.25">
      <c r="B25" s="26">
        <v>100518346</v>
      </c>
      <c r="C25" s="27" t="s">
        <v>37</v>
      </c>
      <c r="D25" s="18">
        <v>7790360975478</v>
      </c>
      <c r="E25" s="19">
        <v>6.54</v>
      </c>
      <c r="F25" s="20">
        <v>60</v>
      </c>
      <c r="G25" s="21">
        <v>58788.441909204194</v>
      </c>
      <c r="H25" s="21"/>
      <c r="I25" s="21">
        <v>58788.441909204194</v>
      </c>
      <c r="J25" s="21">
        <v>979.80736515340323</v>
      </c>
      <c r="K25" s="21">
        <v>205.75954668221468</v>
      </c>
      <c r="L25" s="21">
        <v>1185.5669118356179</v>
      </c>
      <c r="M25" s="21">
        <v>414.94841914246626</v>
      </c>
      <c r="N25" s="21">
        <v>1600.5153309780842</v>
      </c>
      <c r="O25" s="21">
        <v>720.23189894013785</v>
      </c>
      <c r="P25" s="22">
        <v>2320.7472299182218</v>
      </c>
      <c r="Q25" s="99"/>
      <c r="R25" s="23">
        <v>8.0000000000000071E-2</v>
      </c>
      <c r="S25" s="23"/>
      <c r="T25" s="24">
        <v>54433.742508522395</v>
      </c>
    </row>
    <row r="26" spans="2:20" x14ac:dyDescent="0.25">
      <c r="B26" s="26">
        <v>100516259</v>
      </c>
      <c r="C26" s="27" t="s">
        <v>38</v>
      </c>
      <c r="D26" s="18">
        <v>7790360968340</v>
      </c>
      <c r="E26" s="19">
        <v>18.16</v>
      </c>
      <c r="F26" s="20">
        <v>48</v>
      </c>
      <c r="G26" s="21">
        <v>136018.21056842804</v>
      </c>
      <c r="H26" s="21"/>
      <c r="I26" s="21">
        <v>136018.21056842804</v>
      </c>
      <c r="J26" s="21">
        <v>2833.7127201755843</v>
      </c>
      <c r="K26" s="21">
        <v>595.07967123687263</v>
      </c>
      <c r="L26" s="21">
        <v>3428.7923914124567</v>
      </c>
      <c r="M26" s="21">
        <v>1200.0773369943597</v>
      </c>
      <c r="N26" s="21">
        <v>4628.8697284068166</v>
      </c>
      <c r="O26" s="21">
        <v>2082.9913777830675</v>
      </c>
      <c r="P26" s="22">
        <v>6711.8611061898846</v>
      </c>
      <c r="Q26" s="99"/>
      <c r="R26" s="23">
        <v>8.0000000000000071E-2</v>
      </c>
      <c r="S26" s="23"/>
      <c r="T26" s="24">
        <v>125942.78756335929</v>
      </c>
    </row>
    <row r="27" spans="2:20" x14ac:dyDescent="0.25">
      <c r="B27" s="26">
        <v>100518095</v>
      </c>
      <c r="C27" s="27" t="s">
        <v>39</v>
      </c>
      <c r="D27" s="18">
        <v>7790360974785</v>
      </c>
      <c r="E27" s="19">
        <v>6.66</v>
      </c>
      <c r="F27" s="20">
        <v>36</v>
      </c>
      <c r="G27" s="21">
        <v>67770.615852323346</v>
      </c>
      <c r="H27" s="21"/>
      <c r="I27" s="21">
        <v>67770.615852323346</v>
      </c>
      <c r="J27" s="21">
        <v>1882.5171070089818</v>
      </c>
      <c r="K27" s="21">
        <v>395.32859247188617</v>
      </c>
      <c r="L27" s="21">
        <v>2277.845699480868</v>
      </c>
      <c r="M27" s="21">
        <v>797.24599481830376</v>
      </c>
      <c r="N27" s="21">
        <v>3075.0916942991716</v>
      </c>
      <c r="O27" s="21">
        <v>1383.7912624346272</v>
      </c>
      <c r="P27" s="22">
        <v>4458.8829567337989</v>
      </c>
      <c r="Q27" s="99"/>
      <c r="R27" s="23">
        <v>8.0000000000000071E-2</v>
      </c>
      <c r="S27" s="23"/>
      <c r="T27" s="24">
        <v>62750.570233632723</v>
      </c>
    </row>
    <row r="28" spans="2:20" x14ac:dyDescent="0.25">
      <c r="B28" s="26">
        <v>100518223</v>
      </c>
      <c r="C28" s="27" t="s">
        <v>40</v>
      </c>
      <c r="D28" s="18">
        <v>7790360975065</v>
      </c>
      <c r="E28" s="19">
        <v>6.3599999999999994</v>
      </c>
      <c r="F28" s="20">
        <v>30</v>
      </c>
      <c r="G28" s="21">
        <v>52763.190760900543</v>
      </c>
      <c r="H28" s="21"/>
      <c r="I28" s="21">
        <v>52763.190760900543</v>
      </c>
      <c r="J28" s="21">
        <v>1758.7730253633515</v>
      </c>
      <c r="K28" s="21">
        <v>369.34233532630378</v>
      </c>
      <c r="L28" s="21">
        <v>2128.1153606896551</v>
      </c>
      <c r="M28" s="21">
        <v>744.8403762413792</v>
      </c>
      <c r="N28" s="21">
        <v>2872.9557369310342</v>
      </c>
      <c r="O28" s="21">
        <v>1292.8300816189653</v>
      </c>
      <c r="P28" s="22">
        <v>4165.785818549999</v>
      </c>
      <c r="Q28" s="99"/>
      <c r="R28" s="23">
        <v>8.0000000000000071E-2</v>
      </c>
      <c r="S28" s="23"/>
      <c r="T28" s="24">
        <v>48854.806260093093</v>
      </c>
    </row>
    <row r="29" spans="2:20" x14ac:dyDescent="0.25">
      <c r="B29" s="39"/>
      <c r="C29" s="40"/>
      <c r="D29" s="40"/>
      <c r="E29" s="40"/>
      <c r="F29" s="41"/>
      <c r="G29" s="42"/>
      <c r="H29" s="41"/>
      <c r="I29" s="42"/>
      <c r="J29" s="11"/>
      <c r="K29" s="12"/>
      <c r="L29" s="11"/>
      <c r="M29" s="12"/>
      <c r="N29" s="11"/>
      <c r="O29" s="12"/>
      <c r="P29" s="43"/>
      <c r="Q29" s="103"/>
      <c r="R29" s="23"/>
      <c r="S29" s="23"/>
      <c r="T29" s="24"/>
    </row>
    <row r="30" spans="2:20" x14ac:dyDescent="0.25">
      <c r="B30" s="28">
        <v>100022085</v>
      </c>
      <c r="C30" s="29" t="s">
        <v>41</v>
      </c>
      <c r="D30" s="30">
        <v>7790360000132</v>
      </c>
      <c r="E30" s="31">
        <v>5.4</v>
      </c>
      <c r="F30" s="32">
        <v>24</v>
      </c>
      <c r="G30" s="33">
        <v>22291.884360849879</v>
      </c>
      <c r="H30" s="44">
        <v>8.3333333333333301E-2</v>
      </c>
      <c r="I30" s="33">
        <v>20434.227330779057</v>
      </c>
      <c r="J30" s="33">
        <v>851.42613878246073</v>
      </c>
      <c r="K30" s="33">
        <v>178.79948914431674</v>
      </c>
      <c r="L30" s="33">
        <v>1030.2256279267774</v>
      </c>
      <c r="M30" s="33">
        <v>360.57896977437207</v>
      </c>
      <c r="N30" s="33">
        <v>1390.8045977011495</v>
      </c>
      <c r="O30" s="33">
        <v>609.17241379310349</v>
      </c>
      <c r="P30" s="35">
        <v>1999.977011494253</v>
      </c>
      <c r="Q30" s="102"/>
      <c r="R30" s="23">
        <v>-5.2899972002862228E-7</v>
      </c>
      <c r="S30" s="23"/>
      <c r="T30" s="24">
        <v>20434.238140485311</v>
      </c>
    </row>
    <row r="31" spans="2:20" x14ac:dyDescent="0.25">
      <c r="B31" s="28">
        <v>100522204</v>
      </c>
      <c r="C31" s="29" t="s">
        <v>41</v>
      </c>
      <c r="D31" s="30">
        <v>7790360983947</v>
      </c>
      <c r="E31" s="31">
        <v>5.4</v>
      </c>
      <c r="F31" s="32">
        <v>24</v>
      </c>
      <c r="G31" s="33">
        <v>22291.884360849879</v>
      </c>
      <c r="H31" s="44">
        <v>8.3333333333333301E-2</v>
      </c>
      <c r="I31" s="33">
        <v>20434.227330779057</v>
      </c>
      <c r="J31" s="33">
        <v>851.42613878246073</v>
      </c>
      <c r="K31" s="33">
        <v>178.79948914431674</v>
      </c>
      <c r="L31" s="33">
        <v>1030.2256279267774</v>
      </c>
      <c r="M31" s="33">
        <v>360.57896977437207</v>
      </c>
      <c r="N31" s="33">
        <v>1390.8045977011495</v>
      </c>
      <c r="O31" s="33">
        <v>609.17241379310349</v>
      </c>
      <c r="P31" s="35">
        <v>1999.977011494253</v>
      </c>
      <c r="Q31" s="102"/>
      <c r="R31" s="23">
        <v>-5.2899972002862228E-7</v>
      </c>
      <c r="S31" s="23"/>
      <c r="T31" s="24">
        <v>20434.238140485311</v>
      </c>
    </row>
    <row r="32" spans="2:20" x14ac:dyDescent="0.25">
      <c r="B32" s="28">
        <v>100022072</v>
      </c>
      <c r="C32" s="29" t="s">
        <v>42</v>
      </c>
      <c r="D32" s="30">
        <v>7790360024541</v>
      </c>
      <c r="E32" s="31">
        <v>5.4</v>
      </c>
      <c r="F32" s="32">
        <v>12</v>
      </c>
      <c r="G32" s="33">
        <v>21177.290142807386</v>
      </c>
      <c r="H32" s="44">
        <v>8.3333333333333301E-2</v>
      </c>
      <c r="I32" s="33">
        <v>19412.515964240105</v>
      </c>
      <c r="J32" s="33">
        <v>1617.7096636866754</v>
      </c>
      <c r="K32" s="33">
        <v>339.7190293742018</v>
      </c>
      <c r="L32" s="33">
        <v>1957.4286930608773</v>
      </c>
      <c r="M32" s="33">
        <v>663.17684120902527</v>
      </c>
      <c r="N32" s="33">
        <v>2620.6055342699028</v>
      </c>
      <c r="O32" s="33">
        <v>1179.2724904214563</v>
      </c>
      <c r="P32" s="35">
        <v>3799.8780246913593</v>
      </c>
      <c r="Q32" s="102"/>
      <c r="R32" s="23">
        <v>-3.636231409742674E-5</v>
      </c>
      <c r="S32" s="23"/>
      <c r="T32" s="24">
        <v>19413.221873911527</v>
      </c>
    </row>
    <row r="33" spans="2:20" x14ac:dyDescent="0.25">
      <c r="B33" s="28">
        <v>100522205</v>
      </c>
      <c r="C33" s="29" t="s">
        <v>42</v>
      </c>
      <c r="D33" s="30">
        <v>7790360983954</v>
      </c>
      <c r="E33" s="31">
        <v>5.4</v>
      </c>
      <c r="F33" s="32">
        <v>12</v>
      </c>
      <c r="G33" s="33">
        <v>21177.290142807386</v>
      </c>
      <c r="H33" s="44">
        <v>8.3333333333333301E-2</v>
      </c>
      <c r="I33" s="33">
        <v>19412.515964240105</v>
      </c>
      <c r="J33" s="33">
        <v>1617.7096636866754</v>
      </c>
      <c r="K33" s="33">
        <v>339.7190293742018</v>
      </c>
      <c r="L33" s="33">
        <v>1957.4286930608773</v>
      </c>
      <c r="M33" s="33">
        <v>663.17684120902527</v>
      </c>
      <c r="N33" s="33">
        <v>2620.6055342699028</v>
      </c>
      <c r="O33" s="33">
        <v>1179.2724904214563</v>
      </c>
      <c r="P33" s="35">
        <v>3799.8780246913593</v>
      </c>
      <c r="Q33" s="102"/>
      <c r="R33" s="23">
        <v>-3.636231409742674E-5</v>
      </c>
      <c r="S33" s="23"/>
      <c r="T33" s="24">
        <v>19413.221873911527</v>
      </c>
    </row>
    <row r="34" spans="2:20" x14ac:dyDescent="0.25">
      <c r="B34" s="26">
        <v>100516849</v>
      </c>
      <c r="C34" s="27" t="s">
        <v>43</v>
      </c>
      <c r="D34" s="18">
        <v>7790360970053</v>
      </c>
      <c r="E34" s="19">
        <v>4.5599999990400004</v>
      </c>
      <c r="F34" s="20">
        <v>24</v>
      </c>
      <c r="G34" s="21">
        <v>17165.375130616507</v>
      </c>
      <c r="H34" s="46"/>
      <c r="I34" s="21">
        <v>17165.375130616507</v>
      </c>
      <c r="J34" s="21">
        <v>715.22396377568782</v>
      </c>
      <c r="K34" s="21">
        <v>150.19703239289444</v>
      </c>
      <c r="L34" s="21">
        <v>865.42099616858229</v>
      </c>
      <c r="M34" s="21">
        <v>293.37771770114944</v>
      </c>
      <c r="N34" s="21">
        <v>1158.7987138697317</v>
      </c>
      <c r="O34" s="21">
        <v>491.33065468076626</v>
      </c>
      <c r="P34" s="22">
        <v>1650.1293685504979</v>
      </c>
      <c r="Q34" s="99"/>
      <c r="R34" s="23">
        <v>4.9999999999999822E-2</v>
      </c>
      <c r="S34" s="23"/>
      <c r="T34" s="24">
        <v>16347.976314872867</v>
      </c>
    </row>
    <row r="35" spans="2:20" x14ac:dyDescent="0.25">
      <c r="B35" s="26">
        <v>100022039</v>
      </c>
      <c r="C35" s="27" t="s">
        <v>44</v>
      </c>
      <c r="D35" s="18">
        <v>7790360007063</v>
      </c>
      <c r="E35" s="19">
        <v>8.6999999999999993</v>
      </c>
      <c r="F35" s="20">
        <v>10</v>
      </c>
      <c r="G35" s="21">
        <v>56041.789445698298</v>
      </c>
      <c r="H35" s="46"/>
      <c r="I35" s="21">
        <v>56041.789445698298</v>
      </c>
      <c r="J35" s="21">
        <v>5604.1789445698296</v>
      </c>
      <c r="K35" s="21">
        <v>1176.8775783596641</v>
      </c>
      <c r="L35" s="21">
        <v>6781.0565229294934</v>
      </c>
      <c r="M35" s="21">
        <v>2373.3697830253227</v>
      </c>
      <c r="N35" s="21">
        <v>9154.4263059548157</v>
      </c>
      <c r="O35" s="21">
        <v>4119.4918376796668</v>
      </c>
      <c r="P35" s="22">
        <v>13273.918143634482</v>
      </c>
      <c r="Q35" s="99"/>
      <c r="R35" s="23">
        <v>0</v>
      </c>
      <c r="S35" s="23"/>
      <c r="T35" s="24">
        <v>56041.789445698298</v>
      </c>
    </row>
    <row r="36" spans="2:20" x14ac:dyDescent="0.25">
      <c r="B36" s="26">
        <v>100522206</v>
      </c>
      <c r="C36" s="27" t="s">
        <v>44</v>
      </c>
      <c r="D36" s="18">
        <v>7790360983961</v>
      </c>
      <c r="E36" s="19">
        <v>8.6999999999999993</v>
      </c>
      <c r="F36" s="20">
        <v>10</v>
      </c>
      <c r="G36" s="21">
        <v>56041.789445698298</v>
      </c>
      <c r="H36" s="46"/>
      <c r="I36" s="21">
        <v>56041.789445698298</v>
      </c>
      <c r="J36" s="21">
        <v>5604.1789445698296</v>
      </c>
      <c r="K36" s="21">
        <v>1176.8775783596641</v>
      </c>
      <c r="L36" s="21">
        <v>6781.0565229294934</v>
      </c>
      <c r="M36" s="21">
        <v>2373.3697830253227</v>
      </c>
      <c r="N36" s="21">
        <v>9154.4263059548157</v>
      </c>
      <c r="O36" s="21">
        <v>4119.4918376796668</v>
      </c>
      <c r="P36" s="22">
        <v>13273.918143634482</v>
      </c>
      <c r="Q36" s="99"/>
      <c r="R36" s="23"/>
      <c r="S36" s="23"/>
      <c r="T36" s="24">
        <v>56041.789445698298</v>
      </c>
    </row>
    <row r="37" spans="2:20" x14ac:dyDescent="0.25">
      <c r="B37" s="26">
        <v>100022058</v>
      </c>
      <c r="C37" s="27" t="s">
        <v>45</v>
      </c>
      <c r="D37" s="18">
        <v>7790360026002</v>
      </c>
      <c r="E37" s="19">
        <v>4.5599999990400004</v>
      </c>
      <c r="F37" s="20">
        <v>24</v>
      </c>
      <c r="G37" s="21">
        <v>15783.589451301053</v>
      </c>
      <c r="H37" s="46"/>
      <c r="I37" s="21">
        <v>15783.589451301053</v>
      </c>
      <c r="J37" s="21">
        <v>657.64956047087719</v>
      </c>
      <c r="K37" s="21">
        <v>138.1064076988842</v>
      </c>
      <c r="L37" s="21">
        <v>795.75596816976145</v>
      </c>
      <c r="M37" s="21">
        <v>238.72679045092843</v>
      </c>
      <c r="N37" s="21">
        <v>1034.4827586206898</v>
      </c>
      <c r="O37" s="21">
        <v>465.51724137931041</v>
      </c>
      <c r="P37" s="22">
        <v>1500.0000000000002</v>
      </c>
      <c r="Q37" s="99"/>
      <c r="R37" s="23">
        <v>-0.11598840977879243</v>
      </c>
      <c r="S37" s="23"/>
      <c r="T37" s="24">
        <v>17854.505105924574</v>
      </c>
    </row>
    <row r="38" spans="2:20" x14ac:dyDescent="0.25">
      <c r="B38" s="26">
        <v>100518151</v>
      </c>
      <c r="C38" s="27" t="s">
        <v>46</v>
      </c>
      <c r="D38" s="18">
        <v>7790360974990</v>
      </c>
      <c r="E38" s="19">
        <v>8.6999999999999993</v>
      </c>
      <c r="F38" s="20">
        <v>10</v>
      </c>
      <c r="G38" s="21">
        <v>63845.739564772135</v>
      </c>
      <c r="H38" s="46"/>
      <c r="I38" s="21">
        <v>63845.739564772135</v>
      </c>
      <c r="J38" s="21">
        <v>6384.5739564772139</v>
      </c>
      <c r="K38" s="21">
        <v>1340.7605308602149</v>
      </c>
      <c r="L38" s="21">
        <v>7725.334487337429</v>
      </c>
      <c r="M38" s="21">
        <v>2317.6003462012286</v>
      </c>
      <c r="N38" s="21">
        <v>10042.934833538657</v>
      </c>
      <c r="O38" s="21">
        <v>4519.3206750923955</v>
      </c>
      <c r="P38" s="22">
        <v>14562.255508631053</v>
      </c>
      <c r="Q38" s="99"/>
      <c r="R38" s="23">
        <v>0</v>
      </c>
      <c r="S38" s="23"/>
      <c r="T38" s="24">
        <v>63845.739564772135</v>
      </c>
    </row>
    <row r="39" spans="2:20" x14ac:dyDescent="0.25">
      <c r="B39" s="48"/>
      <c r="C39" s="49"/>
      <c r="D39" s="49"/>
      <c r="E39" s="49"/>
      <c r="F39" s="50"/>
      <c r="G39" s="51"/>
      <c r="H39" s="50"/>
      <c r="I39" s="51"/>
      <c r="J39" s="11"/>
      <c r="K39" s="12">
        <v>0.21</v>
      </c>
      <c r="L39" s="11"/>
      <c r="M39" s="12">
        <v>0.22</v>
      </c>
      <c r="N39" s="11"/>
      <c r="O39" s="12">
        <v>0.35</v>
      </c>
      <c r="P39" s="43"/>
      <c r="Q39" s="103"/>
      <c r="R39" s="23"/>
      <c r="S39" s="23"/>
      <c r="T39" s="24"/>
    </row>
    <row r="40" spans="2:20" x14ac:dyDescent="0.25">
      <c r="B40" s="26">
        <v>100021000</v>
      </c>
      <c r="C40" s="27" t="s">
        <v>47</v>
      </c>
      <c r="D40" s="18">
        <v>7790360720382</v>
      </c>
      <c r="E40" s="19">
        <v>2.16</v>
      </c>
      <c r="F40" s="20">
        <v>24</v>
      </c>
      <c r="G40" s="52">
        <v>12345.022579393355</v>
      </c>
      <c r="H40" s="53"/>
      <c r="I40" s="52">
        <v>12345.022579393355</v>
      </c>
      <c r="J40" s="52">
        <v>514.3759408080565</v>
      </c>
      <c r="K40" s="52">
        <v>108.01894756969186</v>
      </c>
      <c r="L40" s="52">
        <v>622.39488837774832</v>
      </c>
      <c r="M40" s="52">
        <v>136.92687544310462</v>
      </c>
      <c r="N40" s="52">
        <v>759.32176382085299</v>
      </c>
      <c r="O40" s="52">
        <v>265.76261733729854</v>
      </c>
      <c r="P40" s="54">
        <v>1025.0843811581515</v>
      </c>
      <c r="Q40" s="104"/>
      <c r="R40" s="23">
        <v>0</v>
      </c>
      <c r="S40" s="23"/>
      <c r="T40" s="24">
        <v>12345.022579393355</v>
      </c>
    </row>
    <row r="41" spans="2:20" x14ac:dyDescent="0.25">
      <c r="B41" s="26">
        <v>100021001</v>
      </c>
      <c r="C41" s="27" t="s">
        <v>48</v>
      </c>
      <c r="D41" s="18">
        <v>7790360720115</v>
      </c>
      <c r="E41" s="19">
        <v>2.16</v>
      </c>
      <c r="F41" s="20">
        <v>24</v>
      </c>
      <c r="G41" s="52">
        <v>12345.022579393355</v>
      </c>
      <c r="H41" s="53"/>
      <c r="I41" s="52">
        <v>12345.022579393355</v>
      </c>
      <c r="J41" s="52">
        <v>514.3759408080565</v>
      </c>
      <c r="K41" s="52">
        <v>108.01894756969186</v>
      </c>
      <c r="L41" s="52">
        <v>622.39488837774832</v>
      </c>
      <c r="M41" s="52">
        <v>136.92687544310462</v>
      </c>
      <c r="N41" s="52">
        <v>759.32176382085299</v>
      </c>
      <c r="O41" s="52">
        <v>265.76261733729854</v>
      </c>
      <c r="P41" s="54">
        <v>1025.0843811581515</v>
      </c>
      <c r="Q41" s="104"/>
      <c r="R41" s="23">
        <v>0</v>
      </c>
      <c r="S41" s="23"/>
      <c r="T41" s="24">
        <v>12345.022579393355</v>
      </c>
    </row>
    <row r="42" spans="2:20" x14ac:dyDescent="0.25">
      <c r="B42" s="26">
        <v>100522277</v>
      </c>
      <c r="C42" s="27" t="s">
        <v>49</v>
      </c>
      <c r="D42" s="18"/>
      <c r="E42" s="19">
        <v>2.16</v>
      </c>
      <c r="F42" s="20">
        <v>24</v>
      </c>
      <c r="G42" s="52">
        <v>12345.022579393355</v>
      </c>
      <c r="H42" s="53"/>
      <c r="I42" s="52">
        <v>12345.022579393355</v>
      </c>
      <c r="J42" s="52">
        <v>514.3759408080565</v>
      </c>
      <c r="K42" s="52">
        <v>108.01894756969186</v>
      </c>
      <c r="L42" s="52">
        <v>622.39488837774832</v>
      </c>
      <c r="M42" s="52">
        <v>136.92687544310462</v>
      </c>
      <c r="N42" s="52">
        <v>759.32176382085299</v>
      </c>
      <c r="O42" s="52">
        <v>265.76261733729854</v>
      </c>
      <c r="P42" s="54">
        <v>1025.0843811581515</v>
      </c>
      <c r="Q42" s="104"/>
      <c r="R42" s="23">
        <v>0</v>
      </c>
      <c r="S42" s="23"/>
      <c r="T42" s="24">
        <v>12345.022579393355</v>
      </c>
    </row>
    <row r="43" spans="2:20" x14ac:dyDescent="0.25">
      <c r="B43" s="26">
        <v>100522333</v>
      </c>
      <c r="C43" s="27" t="s">
        <v>50</v>
      </c>
      <c r="D43" s="18"/>
      <c r="E43" s="19">
        <v>2.16</v>
      </c>
      <c r="F43" s="20">
        <v>24</v>
      </c>
      <c r="G43" s="52">
        <v>12345.022579393355</v>
      </c>
      <c r="H43" s="53"/>
      <c r="I43" s="52">
        <v>12345.022579393355</v>
      </c>
      <c r="J43" s="52">
        <v>514.3759408080565</v>
      </c>
      <c r="K43" s="52">
        <v>108.01894756969186</v>
      </c>
      <c r="L43" s="52">
        <v>622.39488837774832</v>
      </c>
      <c r="M43" s="52">
        <v>136.92687544310462</v>
      </c>
      <c r="N43" s="52">
        <v>759.32176382085299</v>
      </c>
      <c r="O43" s="52">
        <v>265.76261733729854</v>
      </c>
      <c r="P43" s="54">
        <v>1025.0843811581515</v>
      </c>
      <c r="Q43" s="104"/>
      <c r="R43" s="23">
        <v>0</v>
      </c>
      <c r="S43" s="23"/>
      <c r="T43" s="24">
        <v>12345.022579393355</v>
      </c>
    </row>
    <row r="44" spans="2:20" x14ac:dyDescent="0.25">
      <c r="B44" s="26">
        <v>100021045</v>
      </c>
      <c r="C44" s="27" t="s">
        <v>51</v>
      </c>
      <c r="D44" s="18">
        <v>7790360966582</v>
      </c>
      <c r="E44" s="19">
        <v>2.16</v>
      </c>
      <c r="F44" s="20">
        <v>24</v>
      </c>
      <c r="G44" s="52">
        <v>12345.022579393353</v>
      </c>
      <c r="H44" s="53"/>
      <c r="I44" s="52">
        <v>12345.022579393353</v>
      </c>
      <c r="J44" s="52">
        <v>514.37594080805638</v>
      </c>
      <c r="K44" s="52">
        <v>108.01894756969183</v>
      </c>
      <c r="L44" s="52">
        <v>622.3948883777482</v>
      </c>
      <c r="M44" s="52">
        <v>136.92687544310459</v>
      </c>
      <c r="N44" s="52">
        <v>759.32176382085277</v>
      </c>
      <c r="O44" s="52">
        <v>265.76261733729848</v>
      </c>
      <c r="P44" s="54">
        <v>1025.0843811581512</v>
      </c>
      <c r="Q44" s="104"/>
      <c r="R44" s="23">
        <v>0</v>
      </c>
      <c r="S44" s="23"/>
      <c r="T44" s="24">
        <v>12345.022579393353</v>
      </c>
    </row>
    <row r="45" spans="2:20" x14ac:dyDescent="0.25">
      <c r="B45" s="26">
        <v>100021004</v>
      </c>
      <c r="C45" s="27" t="s">
        <v>52</v>
      </c>
      <c r="D45" s="18">
        <v>7790360964526</v>
      </c>
      <c r="E45" s="19">
        <v>2.1120000000000001</v>
      </c>
      <c r="F45" s="20">
        <v>24</v>
      </c>
      <c r="G45" s="52">
        <v>12345.022579393353</v>
      </c>
      <c r="H45" s="53"/>
      <c r="I45" s="52">
        <v>12345.022579393353</v>
      </c>
      <c r="J45" s="52">
        <v>514.37594080805638</v>
      </c>
      <c r="K45" s="52">
        <v>108.01894756969183</v>
      </c>
      <c r="L45" s="52">
        <v>622.3948883777482</v>
      </c>
      <c r="M45" s="52">
        <v>136.92687544310459</v>
      </c>
      <c r="N45" s="52">
        <v>759.32176382085277</v>
      </c>
      <c r="O45" s="52">
        <v>265.76261733729848</v>
      </c>
      <c r="P45" s="54">
        <v>1025.0843811581512</v>
      </c>
      <c r="Q45" s="104"/>
      <c r="R45" s="23">
        <v>0</v>
      </c>
      <c r="S45" s="23"/>
      <c r="T45" s="24">
        <v>12345.022579393353</v>
      </c>
    </row>
    <row r="46" spans="2:20" x14ac:dyDescent="0.25">
      <c r="B46" s="26">
        <v>100021006</v>
      </c>
      <c r="C46" s="27" t="s">
        <v>53</v>
      </c>
      <c r="D46" s="18">
        <v>7790360964557</v>
      </c>
      <c r="E46" s="19">
        <v>2.1120000000000001</v>
      </c>
      <c r="F46" s="20">
        <v>24</v>
      </c>
      <c r="G46" s="52">
        <v>12345.022579393353</v>
      </c>
      <c r="H46" s="53"/>
      <c r="I46" s="52">
        <v>12345.022579393353</v>
      </c>
      <c r="J46" s="52">
        <v>514.37594080805638</v>
      </c>
      <c r="K46" s="52">
        <v>108.01894756969183</v>
      </c>
      <c r="L46" s="52">
        <v>622.3948883777482</v>
      </c>
      <c r="M46" s="52">
        <v>136.92687544310459</v>
      </c>
      <c r="N46" s="52">
        <v>759.32176382085277</v>
      </c>
      <c r="O46" s="52">
        <v>265.76261733729848</v>
      </c>
      <c r="P46" s="54">
        <v>1025.0843811581512</v>
      </c>
      <c r="Q46" s="104"/>
      <c r="R46" s="23">
        <v>0</v>
      </c>
      <c r="S46" s="23"/>
      <c r="T46" s="24">
        <v>12345.022579393353</v>
      </c>
    </row>
    <row r="47" spans="2:20" x14ac:dyDescent="0.25">
      <c r="B47" s="26">
        <v>100021007</v>
      </c>
      <c r="C47" s="27" t="s">
        <v>54</v>
      </c>
      <c r="D47" s="18">
        <v>7790360964540</v>
      </c>
      <c r="E47" s="19">
        <v>2.04</v>
      </c>
      <c r="F47" s="20">
        <v>24</v>
      </c>
      <c r="G47" s="52">
        <v>14092.44375</v>
      </c>
      <c r="H47" s="53"/>
      <c r="I47" s="52">
        <v>14092.44375</v>
      </c>
      <c r="J47" s="52">
        <v>587.18515624999998</v>
      </c>
      <c r="K47" s="52">
        <v>123.30888281249999</v>
      </c>
      <c r="L47" s="52">
        <v>710.49403906249995</v>
      </c>
      <c r="M47" s="52">
        <v>156.30868859374999</v>
      </c>
      <c r="N47" s="52">
        <v>866.80272765625</v>
      </c>
      <c r="O47" s="52">
        <v>303.38095467968748</v>
      </c>
      <c r="P47" s="54">
        <v>1170.1836823359374</v>
      </c>
      <c r="Q47" s="104"/>
      <c r="R47" s="23">
        <v>0</v>
      </c>
      <c r="S47" s="23"/>
      <c r="T47" s="24">
        <v>14092.44375</v>
      </c>
    </row>
    <row r="48" spans="2:20" x14ac:dyDescent="0.25">
      <c r="B48" s="26">
        <v>100021013</v>
      </c>
      <c r="C48" s="27" t="s">
        <v>55</v>
      </c>
      <c r="D48" s="18">
        <v>7790360965714</v>
      </c>
      <c r="E48" s="19">
        <v>2.04</v>
      </c>
      <c r="F48" s="20">
        <v>24</v>
      </c>
      <c r="G48" s="52">
        <v>14092.44375</v>
      </c>
      <c r="H48" s="53"/>
      <c r="I48" s="52">
        <v>14092.44375</v>
      </c>
      <c r="J48" s="52">
        <v>587.18515624999998</v>
      </c>
      <c r="K48" s="52">
        <v>123.30888281249999</v>
      </c>
      <c r="L48" s="52">
        <v>710.49403906249995</v>
      </c>
      <c r="M48" s="52">
        <v>156.30868859374999</v>
      </c>
      <c r="N48" s="52">
        <v>866.80272765625</v>
      </c>
      <c r="O48" s="52">
        <v>303.38095467968748</v>
      </c>
      <c r="P48" s="54">
        <v>1170.1836823359374</v>
      </c>
      <c r="Q48" s="104"/>
      <c r="R48" s="23">
        <v>0</v>
      </c>
      <c r="S48" s="23"/>
      <c r="T48" s="24">
        <v>14092.44375</v>
      </c>
    </row>
    <row r="49" spans="2:21" x14ac:dyDescent="0.25">
      <c r="B49" s="26">
        <v>100021014</v>
      </c>
      <c r="C49" s="27" t="s">
        <v>56</v>
      </c>
      <c r="D49" s="18">
        <v>7790360965721</v>
      </c>
      <c r="E49" s="19">
        <v>2.04</v>
      </c>
      <c r="F49" s="20">
        <v>24</v>
      </c>
      <c r="G49" s="52">
        <v>14092.44375</v>
      </c>
      <c r="H49" s="53"/>
      <c r="I49" s="52">
        <v>14092.44375</v>
      </c>
      <c r="J49" s="52">
        <v>587.18515624999998</v>
      </c>
      <c r="K49" s="52">
        <v>123.30888281249999</v>
      </c>
      <c r="L49" s="52">
        <v>710.49403906249995</v>
      </c>
      <c r="M49" s="52">
        <v>156.30868859374999</v>
      </c>
      <c r="N49" s="52">
        <v>866.80272765625</v>
      </c>
      <c r="O49" s="52">
        <v>303.38095467968748</v>
      </c>
      <c r="P49" s="54">
        <v>1170.1836823359374</v>
      </c>
      <c r="Q49" s="104"/>
      <c r="R49" s="23">
        <v>0</v>
      </c>
      <c r="S49" s="23"/>
      <c r="T49" s="24">
        <v>14092.44375</v>
      </c>
    </row>
    <row r="50" spans="2:21" x14ac:dyDescent="0.25">
      <c r="B50" s="26">
        <v>100021054</v>
      </c>
      <c r="C50" s="27" t="s">
        <v>57</v>
      </c>
      <c r="D50" s="18">
        <v>7790360965707</v>
      </c>
      <c r="E50" s="19">
        <v>2.04</v>
      </c>
      <c r="F50" s="20">
        <v>24</v>
      </c>
      <c r="G50" s="52">
        <v>14092.44375</v>
      </c>
      <c r="H50" s="53"/>
      <c r="I50" s="52">
        <v>14092.44375</v>
      </c>
      <c r="J50" s="52">
        <v>587.18515624999998</v>
      </c>
      <c r="K50" s="52">
        <v>123.30888281249999</v>
      </c>
      <c r="L50" s="52">
        <v>710.49403906249995</v>
      </c>
      <c r="M50" s="52">
        <v>156.30868859374999</v>
      </c>
      <c r="N50" s="52">
        <v>866.80272765625</v>
      </c>
      <c r="O50" s="52">
        <v>303.38095467968748</v>
      </c>
      <c r="P50" s="54">
        <v>1170.1836823359374</v>
      </c>
      <c r="Q50" s="104"/>
      <c r="R50" s="23">
        <v>0</v>
      </c>
      <c r="S50" s="23"/>
      <c r="T50" s="24">
        <v>14092.44375</v>
      </c>
      <c r="U50" s="55"/>
    </row>
    <row r="51" spans="2:21" x14ac:dyDescent="0.25">
      <c r="B51" s="26">
        <v>100021055</v>
      </c>
      <c r="C51" s="27" t="s">
        <v>58</v>
      </c>
      <c r="D51" s="18">
        <v>7790360965189</v>
      </c>
      <c r="E51" s="19">
        <v>2.04</v>
      </c>
      <c r="F51" s="20">
        <v>24</v>
      </c>
      <c r="G51" s="52">
        <v>14092.44375</v>
      </c>
      <c r="H51" s="53"/>
      <c r="I51" s="52">
        <v>14092.44375</v>
      </c>
      <c r="J51" s="52">
        <v>587.18515624999998</v>
      </c>
      <c r="K51" s="52">
        <v>123.30888281249999</v>
      </c>
      <c r="L51" s="52">
        <v>710.49403906249995</v>
      </c>
      <c r="M51" s="52">
        <v>156.30868859374999</v>
      </c>
      <c r="N51" s="52">
        <v>866.80272765625</v>
      </c>
      <c r="O51" s="52">
        <v>303.38095467968748</v>
      </c>
      <c r="P51" s="54">
        <v>1170.1836823359374</v>
      </c>
      <c r="Q51" s="104"/>
      <c r="R51" s="23">
        <v>0</v>
      </c>
      <c r="S51" s="23"/>
      <c r="T51" s="24">
        <v>14092.44375</v>
      </c>
    </row>
    <row r="52" spans="2:21" x14ac:dyDescent="0.25">
      <c r="B52" s="26">
        <v>100021015</v>
      </c>
      <c r="C52" s="27" t="s">
        <v>59</v>
      </c>
      <c r="D52" s="18">
        <v>7790360965202</v>
      </c>
      <c r="E52" s="19">
        <v>2.04</v>
      </c>
      <c r="F52" s="20">
        <v>24</v>
      </c>
      <c r="G52" s="52">
        <v>14092.44375</v>
      </c>
      <c r="H52" s="53"/>
      <c r="I52" s="52">
        <v>14092.44375</v>
      </c>
      <c r="J52" s="52">
        <v>587.18515624999998</v>
      </c>
      <c r="K52" s="52">
        <v>123.30888281249999</v>
      </c>
      <c r="L52" s="52">
        <v>710.49403906249995</v>
      </c>
      <c r="M52" s="52">
        <v>156.30868859374999</v>
      </c>
      <c r="N52" s="52">
        <v>866.80272765625</v>
      </c>
      <c r="O52" s="52">
        <v>303.38095467968748</v>
      </c>
      <c r="P52" s="54">
        <v>1170.1836823359374</v>
      </c>
      <c r="Q52" s="104"/>
      <c r="R52" s="23">
        <v>0</v>
      </c>
      <c r="S52" s="23"/>
      <c r="T52" s="24">
        <v>14092.44375</v>
      </c>
    </row>
    <row r="53" spans="2:21" x14ac:dyDescent="0.25">
      <c r="B53" s="26">
        <v>100021008</v>
      </c>
      <c r="C53" s="27" t="s">
        <v>60</v>
      </c>
      <c r="D53" s="18">
        <v>7790360720122</v>
      </c>
      <c r="E53" s="19">
        <v>2.16</v>
      </c>
      <c r="F53" s="20">
        <v>24</v>
      </c>
      <c r="G53" s="52">
        <v>10448.578025943754</v>
      </c>
      <c r="H53" s="53"/>
      <c r="I53" s="52">
        <v>10448.578025943754</v>
      </c>
      <c r="J53" s="52">
        <v>435.35741774765643</v>
      </c>
      <c r="K53" s="52">
        <v>91.42505772700784</v>
      </c>
      <c r="L53" s="52">
        <v>526.78247547466424</v>
      </c>
      <c r="M53" s="52">
        <v>115.89214460442614</v>
      </c>
      <c r="N53" s="52">
        <v>642.67462007909035</v>
      </c>
      <c r="O53" s="52">
        <v>224.9361170276816</v>
      </c>
      <c r="P53" s="54">
        <v>867.61073710677192</v>
      </c>
      <c r="Q53" s="104"/>
      <c r="R53" s="23">
        <v>0</v>
      </c>
      <c r="S53" s="23"/>
      <c r="T53" s="24">
        <v>10448.578025943754</v>
      </c>
    </row>
    <row r="54" spans="2:21" x14ac:dyDescent="0.25">
      <c r="B54" s="26">
        <v>100021009</v>
      </c>
      <c r="C54" s="27" t="s">
        <v>61</v>
      </c>
      <c r="D54" s="18">
        <v>7790360965127</v>
      </c>
      <c r="E54" s="19">
        <v>2.16</v>
      </c>
      <c r="F54" s="20">
        <v>24</v>
      </c>
      <c r="G54" s="52">
        <v>10448.578025943754</v>
      </c>
      <c r="H54" s="53"/>
      <c r="I54" s="52">
        <v>10448.578025943754</v>
      </c>
      <c r="J54" s="52">
        <v>435.35741774765643</v>
      </c>
      <c r="K54" s="52">
        <v>91.42505772700784</v>
      </c>
      <c r="L54" s="52">
        <v>526.78247547466424</v>
      </c>
      <c r="M54" s="52">
        <v>115.89214460442614</v>
      </c>
      <c r="N54" s="52">
        <v>642.67462007909035</v>
      </c>
      <c r="O54" s="52">
        <v>224.9361170276816</v>
      </c>
      <c r="P54" s="54">
        <v>867.61073710677192</v>
      </c>
      <c r="Q54" s="104"/>
      <c r="R54" s="23">
        <v>0</v>
      </c>
      <c r="S54" s="23"/>
      <c r="T54" s="24">
        <v>10448.578025943754</v>
      </c>
    </row>
    <row r="55" spans="2:21" x14ac:dyDescent="0.25">
      <c r="B55" s="26">
        <v>100021010</v>
      </c>
      <c r="C55" s="27" t="s">
        <v>62</v>
      </c>
      <c r="D55" s="18">
        <v>7790920008707</v>
      </c>
      <c r="E55" s="19">
        <v>2.16</v>
      </c>
      <c r="F55" s="20">
        <v>24</v>
      </c>
      <c r="G55" s="52">
        <v>10448.578025943754</v>
      </c>
      <c r="H55" s="52"/>
      <c r="I55" s="52">
        <v>10448.578025943754</v>
      </c>
      <c r="J55" s="52">
        <v>435.35741774765643</v>
      </c>
      <c r="K55" s="52">
        <v>91.42505772700784</v>
      </c>
      <c r="L55" s="52">
        <v>526.78247547466424</v>
      </c>
      <c r="M55" s="52">
        <v>115.89214460442614</v>
      </c>
      <c r="N55" s="52">
        <v>642.67462007909035</v>
      </c>
      <c r="O55" s="52">
        <v>224.9361170276816</v>
      </c>
      <c r="P55" s="54">
        <v>867.61073710677192</v>
      </c>
      <c r="Q55" s="104"/>
      <c r="R55" s="23">
        <v>0</v>
      </c>
      <c r="S55" s="23"/>
      <c r="T55" s="24">
        <v>10448.578025943754</v>
      </c>
    </row>
    <row r="56" spans="2:21" x14ac:dyDescent="0.25">
      <c r="B56" s="26">
        <v>100021011</v>
      </c>
      <c r="C56" s="27" t="s">
        <v>63</v>
      </c>
      <c r="D56" s="18">
        <v>7790920008714</v>
      </c>
      <c r="E56" s="19">
        <v>2.16</v>
      </c>
      <c r="F56" s="20">
        <v>24</v>
      </c>
      <c r="G56" s="52">
        <v>10448.578025943754</v>
      </c>
      <c r="H56" s="52"/>
      <c r="I56" s="52">
        <v>10448.578025943754</v>
      </c>
      <c r="J56" s="52">
        <v>435.35741774765643</v>
      </c>
      <c r="K56" s="52">
        <v>91.42505772700784</v>
      </c>
      <c r="L56" s="52">
        <v>526.78247547466424</v>
      </c>
      <c r="M56" s="52">
        <v>115.89214460442614</v>
      </c>
      <c r="N56" s="52">
        <v>642.67462007909035</v>
      </c>
      <c r="O56" s="52">
        <v>224.9361170276816</v>
      </c>
      <c r="P56" s="54">
        <v>867.61073710677192</v>
      </c>
      <c r="Q56" s="104"/>
      <c r="R56" s="23">
        <v>0</v>
      </c>
      <c r="S56" s="23"/>
      <c r="T56" s="24">
        <v>10448.578025943754</v>
      </c>
    </row>
    <row r="57" spans="2:21" x14ac:dyDescent="0.25">
      <c r="B57" s="48"/>
      <c r="C57" s="49"/>
      <c r="D57" s="49"/>
      <c r="E57" s="49"/>
      <c r="F57" s="50"/>
      <c r="G57" s="51"/>
      <c r="H57" s="50"/>
      <c r="I57" s="51"/>
      <c r="J57" s="11"/>
      <c r="K57" s="12"/>
      <c r="L57" s="11"/>
      <c r="M57" s="12"/>
      <c r="N57" s="11"/>
      <c r="O57" s="12"/>
      <c r="P57" s="43"/>
      <c r="Q57" s="103"/>
      <c r="R57" s="23"/>
      <c r="S57" s="23"/>
      <c r="T57" s="24"/>
    </row>
    <row r="58" spans="2:21" x14ac:dyDescent="0.25">
      <c r="B58" s="26">
        <v>100516217</v>
      </c>
      <c r="C58" s="27" t="s">
        <v>64</v>
      </c>
      <c r="D58" s="18">
        <v>7790360967824</v>
      </c>
      <c r="E58" s="19">
        <v>5.8</v>
      </c>
      <c r="F58" s="20">
        <v>20</v>
      </c>
      <c r="G58" s="52">
        <v>25064.674659161818</v>
      </c>
      <c r="H58" s="36"/>
      <c r="I58" s="52">
        <v>25064.674659161818</v>
      </c>
      <c r="J58" s="52">
        <v>1253.233732958091</v>
      </c>
      <c r="K58" s="52">
        <v>263.17908392119909</v>
      </c>
      <c r="L58" s="52">
        <v>1516.4128168792899</v>
      </c>
      <c r="M58" s="52">
        <v>530.74448590775148</v>
      </c>
      <c r="N58" s="52">
        <v>2047.1573027870413</v>
      </c>
      <c r="O58" s="52">
        <v>921.22078625416862</v>
      </c>
      <c r="P58" s="54">
        <v>2968.3780890412099</v>
      </c>
      <c r="Q58" s="104"/>
      <c r="R58" s="23">
        <v>3.0000000000000027E-2</v>
      </c>
      <c r="S58" s="23"/>
      <c r="T58" s="24">
        <v>24334.635591419239</v>
      </c>
    </row>
    <row r="59" spans="2:21" x14ac:dyDescent="0.25">
      <c r="B59" s="28">
        <v>100516214</v>
      </c>
      <c r="C59" s="29" t="s">
        <v>65</v>
      </c>
      <c r="D59" s="30">
        <v>7790360967794</v>
      </c>
      <c r="E59" s="31">
        <v>7</v>
      </c>
      <c r="F59" s="32">
        <v>20</v>
      </c>
      <c r="G59" s="56">
        <v>35086.224009740821</v>
      </c>
      <c r="H59" s="34">
        <v>0.05</v>
      </c>
      <c r="I59" s="56">
        <v>33331.912809253779</v>
      </c>
      <c r="J59" s="56">
        <v>1666.5956404626891</v>
      </c>
      <c r="K59" s="56">
        <v>349.98508449716468</v>
      </c>
      <c r="L59" s="56">
        <v>2016.5807249598538</v>
      </c>
      <c r="M59" s="56">
        <v>705.80325373594883</v>
      </c>
      <c r="N59" s="56">
        <v>2722.3839786958024</v>
      </c>
      <c r="O59" s="56">
        <v>1225.0727904131111</v>
      </c>
      <c r="P59" s="57">
        <v>3947.4567691089132</v>
      </c>
      <c r="Q59" s="105"/>
      <c r="R59" s="23">
        <v>0</v>
      </c>
      <c r="S59" s="23"/>
      <c r="T59" s="24">
        <v>33331.912809253779</v>
      </c>
    </row>
    <row r="60" spans="2:21" x14ac:dyDescent="0.25">
      <c r="B60" s="28">
        <v>100516215</v>
      </c>
      <c r="C60" s="29" t="s">
        <v>66</v>
      </c>
      <c r="D60" s="30">
        <v>7790360967800</v>
      </c>
      <c r="E60" s="31">
        <v>7</v>
      </c>
      <c r="F60" s="32">
        <v>20</v>
      </c>
      <c r="G60" s="56">
        <v>35086.224009740821</v>
      </c>
      <c r="H60" s="34">
        <v>0.05</v>
      </c>
      <c r="I60" s="56">
        <v>33331.912809253779</v>
      </c>
      <c r="J60" s="56">
        <v>1666.5956404626891</v>
      </c>
      <c r="K60" s="56">
        <v>349.98508449716468</v>
      </c>
      <c r="L60" s="56">
        <v>2016.5807249598538</v>
      </c>
      <c r="M60" s="56">
        <v>705.80325373594883</v>
      </c>
      <c r="N60" s="56">
        <v>2722.3839786958024</v>
      </c>
      <c r="O60" s="56">
        <v>1225.0727904131111</v>
      </c>
      <c r="P60" s="57">
        <v>3947.4567691089132</v>
      </c>
      <c r="Q60" s="105"/>
      <c r="R60" s="23">
        <v>0</v>
      </c>
      <c r="S60" s="23"/>
      <c r="T60" s="24">
        <v>33331.912809253779</v>
      </c>
    </row>
    <row r="61" spans="2:21" x14ac:dyDescent="0.25">
      <c r="B61" s="28">
        <v>100516216</v>
      </c>
      <c r="C61" s="29" t="s">
        <v>67</v>
      </c>
      <c r="D61" s="30">
        <v>7790360967817</v>
      </c>
      <c r="E61" s="31">
        <v>7</v>
      </c>
      <c r="F61" s="32">
        <v>20</v>
      </c>
      <c r="G61" s="56">
        <v>35086.224009740821</v>
      </c>
      <c r="H61" s="34">
        <v>0.05</v>
      </c>
      <c r="I61" s="56">
        <v>33331.912809253779</v>
      </c>
      <c r="J61" s="56">
        <v>1666.5956404626891</v>
      </c>
      <c r="K61" s="56">
        <v>349.98508449716468</v>
      </c>
      <c r="L61" s="56">
        <v>2016.5807249598538</v>
      </c>
      <c r="M61" s="56">
        <v>705.80325373594883</v>
      </c>
      <c r="N61" s="56">
        <v>2722.3839786958024</v>
      </c>
      <c r="O61" s="56">
        <v>1225.0727904131111</v>
      </c>
      <c r="P61" s="57">
        <v>3947.4567691089132</v>
      </c>
      <c r="Q61" s="105"/>
      <c r="R61" s="23">
        <v>0</v>
      </c>
      <c r="S61" s="23"/>
      <c r="T61" s="24">
        <v>33331.912809253779</v>
      </c>
    </row>
    <row r="62" spans="2:21" x14ac:dyDescent="0.25">
      <c r="B62" s="48"/>
      <c r="C62" s="49"/>
      <c r="D62" s="49"/>
      <c r="E62" s="49"/>
      <c r="F62" s="50"/>
      <c r="G62" s="51"/>
      <c r="H62" s="58"/>
      <c r="I62" s="51"/>
      <c r="J62" s="11"/>
      <c r="K62" s="12"/>
      <c r="L62" s="11"/>
      <c r="M62" s="12"/>
      <c r="N62" s="11"/>
      <c r="O62" s="12"/>
      <c r="P62" s="43"/>
      <c r="Q62" s="103"/>
      <c r="R62" s="23"/>
      <c r="S62" s="23"/>
      <c r="T62" s="24"/>
    </row>
    <row r="63" spans="2:21" x14ac:dyDescent="0.25">
      <c r="B63" s="26">
        <v>100021704</v>
      </c>
      <c r="C63" s="27" t="s">
        <v>68</v>
      </c>
      <c r="D63" s="18">
        <v>7790360023902</v>
      </c>
      <c r="E63" s="19">
        <v>4.5600000000000005</v>
      </c>
      <c r="F63" s="20">
        <v>12</v>
      </c>
      <c r="G63" s="59">
        <v>37686.635793333073</v>
      </c>
      <c r="H63" s="60"/>
      <c r="I63" s="59">
        <v>37686.635793333073</v>
      </c>
      <c r="J63" s="59">
        <v>3140.5529827777559</v>
      </c>
      <c r="K63" s="59">
        <v>659.5161263833287</v>
      </c>
      <c r="L63" s="59">
        <v>3800.0691091610847</v>
      </c>
      <c r="M63" s="59">
        <v>1330.0241882063797</v>
      </c>
      <c r="N63" s="59">
        <v>5130.0932973674644</v>
      </c>
      <c r="O63" s="59">
        <v>2308.5419838153589</v>
      </c>
      <c r="P63" s="61">
        <v>7438.6352811828237</v>
      </c>
      <c r="Q63" s="99"/>
      <c r="R63" s="23">
        <v>0</v>
      </c>
      <c r="S63" s="23"/>
      <c r="T63" s="24">
        <v>37686.635793333073</v>
      </c>
    </row>
    <row r="64" spans="2:21" x14ac:dyDescent="0.25">
      <c r="B64" s="26">
        <v>100021705</v>
      </c>
      <c r="C64" s="27" t="s">
        <v>69</v>
      </c>
      <c r="D64" s="18">
        <v>7790360024336</v>
      </c>
      <c r="E64" s="19">
        <v>4.5600000000000005</v>
      </c>
      <c r="F64" s="20">
        <v>12</v>
      </c>
      <c r="G64" s="59">
        <v>34258.028957143353</v>
      </c>
      <c r="H64" s="60"/>
      <c r="I64" s="59">
        <v>34258.028957143353</v>
      </c>
      <c r="J64" s="59">
        <v>2854.8357464286128</v>
      </c>
      <c r="K64" s="59">
        <v>599.51550675000863</v>
      </c>
      <c r="L64" s="59">
        <v>3454.3512531786214</v>
      </c>
      <c r="M64" s="59">
        <v>1209.0229386125175</v>
      </c>
      <c r="N64" s="59">
        <v>4663.3741917911393</v>
      </c>
      <c r="O64" s="59">
        <v>2098.5183863060129</v>
      </c>
      <c r="P64" s="61">
        <v>6761.8925780971522</v>
      </c>
      <c r="Q64" s="99"/>
      <c r="R64" s="23">
        <v>0</v>
      </c>
      <c r="S64" s="23"/>
      <c r="T64" s="24">
        <v>34258.028957143353</v>
      </c>
    </row>
    <row r="65" spans="2:20" x14ac:dyDescent="0.25">
      <c r="B65" s="26">
        <v>100021709</v>
      </c>
      <c r="C65" s="27" t="s">
        <v>70</v>
      </c>
      <c r="D65" s="18">
        <v>7790360024701</v>
      </c>
      <c r="E65" s="19">
        <v>7.6</v>
      </c>
      <c r="F65" s="20">
        <v>10</v>
      </c>
      <c r="G65" s="59">
        <v>54972.169577320434</v>
      </c>
      <c r="H65" s="62"/>
      <c r="I65" s="59">
        <v>54972.169577320434</v>
      </c>
      <c r="J65" s="59">
        <v>5497.2169577320437</v>
      </c>
      <c r="K65" s="59">
        <v>1154.415561123729</v>
      </c>
      <c r="L65" s="59">
        <v>6651.632518855773</v>
      </c>
      <c r="M65" s="59">
        <v>2328.0713815995205</v>
      </c>
      <c r="N65" s="59">
        <v>8979.7039004552935</v>
      </c>
      <c r="O65" s="59">
        <v>4040.8667552048823</v>
      </c>
      <c r="P65" s="61">
        <v>13020.570655660176</v>
      </c>
      <c r="Q65" s="99"/>
      <c r="R65" s="23">
        <v>0</v>
      </c>
      <c r="S65" s="23"/>
      <c r="T65" s="24">
        <v>54972.169577320434</v>
      </c>
    </row>
    <row r="66" spans="2:20" x14ac:dyDescent="0.25">
      <c r="B66" s="28">
        <v>100521357</v>
      </c>
      <c r="C66" s="29" t="s">
        <v>71</v>
      </c>
      <c r="D66" s="30">
        <v>7790360982018</v>
      </c>
      <c r="E66" s="31">
        <v>4.5599999999999996</v>
      </c>
      <c r="F66" s="32">
        <v>12</v>
      </c>
      <c r="G66" s="33">
        <v>44177.826000000015</v>
      </c>
      <c r="H66" s="63">
        <v>0.33</v>
      </c>
      <c r="I66" s="33">
        <v>29599.143420000008</v>
      </c>
      <c r="J66" s="33">
        <v>2466.5952850000008</v>
      </c>
      <c r="K66" s="33">
        <v>517.9850098500001</v>
      </c>
      <c r="L66" s="33">
        <v>2984.5802948500009</v>
      </c>
      <c r="M66" s="33">
        <v>1044.6031031975003</v>
      </c>
      <c r="N66" s="33">
        <v>4029.1833980475012</v>
      </c>
      <c r="O66" s="33">
        <v>1813.1325291213757</v>
      </c>
      <c r="P66" s="35">
        <v>5842.3159271688764</v>
      </c>
      <c r="Q66" s="102"/>
      <c r="R66" s="23">
        <v>0</v>
      </c>
      <c r="S66" s="23"/>
      <c r="T66" s="24">
        <v>29599.143420000008</v>
      </c>
    </row>
    <row r="67" spans="2:20" hidden="1" x14ac:dyDescent="0.25">
      <c r="B67" s="26">
        <v>100521358</v>
      </c>
      <c r="C67" s="27" t="s">
        <v>72</v>
      </c>
      <c r="D67" s="18">
        <v>7790360982025</v>
      </c>
      <c r="E67" s="19">
        <v>7.6</v>
      </c>
      <c r="F67" s="20">
        <v>10</v>
      </c>
      <c r="G67" s="59">
        <v>66266.739000000016</v>
      </c>
      <c r="H67" s="62"/>
      <c r="I67" s="59">
        <v>66266.739000000016</v>
      </c>
      <c r="J67" s="59">
        <v>6626.6739000000016</v>
      </c>
      <c r="K67" s="59">
        <v>1391.6015190000003</v>
      </c>
      <c r="L67" s="59">
        <v>8018.2754190000014</v>
      </c>
      <c r="M67" s="59">
        <v>2806.3963966500005</v>
      </c>
      <c r="N67" s="59">
        <v>10824.671815650003</v>
      </c>
      <c r="O67" s="59">
        <v>4871.1023170425015</v>
      </c>
      <c r="P67" s="61">
        <v>15695.774132692504</v>
      </c>
      <c r="Q67" s="99"/>
      <c r="R67" s="23" t="e">
        <v>#N/A</v>
      </c>
      <c r="S67" s="23"/>
      <c r="T67" s="24" t="e">
        <v>#N/A</v>
      </c>
    </row>
    <row r="68" spans="2:20" x14ac:dyDescent="0.25">
      <c r="B68" s="26">
        <v>100522130</v>
      </c>
      <c r="C68" s="27" t="s">
        <v>73</v>
      </c>
      <c r="D68" s="18">
        <v>7790360982445</v>
      </c>
      <c r="E68" s="19">
        <v>4.8</v>
      </c>
      <c r="F68" s="20">
        <v>12</v>
      </c>
      <c r="G68" s="21">
        <v>34685.797261500011</v>
      </c>
      <c r="H68" s="62"/>
      <c r="I68" s="21">
        <v>34685.797261500011</v>
      </c>
      <c r="J68" s="21">
        <v>2890.4831051250007</v>
      </c>
      <c r="K68" s="21">
        <v>607.00145207625019</v>
      </c>
      <c r="L68" s="21">
        <v>3497.4845572012509</v>
      </c>
      <c r="M68" s="21">
        <v>1224.1195950204378</v>
      </c>
      <c r="N68" s="21">
        <v>4721.6041522216892</v>
      </c>
      <c r="O68" s="21">
        <v>2124.7218684997601</v>
      </c>
      <c r="P68" s="22">
        <v>6846.3260207214498</v>
      </c>
      <c r="Q68" s="99"/>
      <c r="R68" s="23">
        <v>5.0000000000000044E-2</v>
      </c>
      <c r="S68" s="23"/>
      <c r="T68" s="24">
        <v>33034.092630000006</v>
      </c>
    </row>
    <row r="69" spans="2:20" x14ac:dyDescent="0.25">
      <c r="B69" s="64">
        <v>100021725</v>
      </c>
      <c r="C69" s="65" t="s">
        <v>74</v>
      </c>
      <c r="D69" s="66">
        <v>7790360027009</v>
      </c>
      <c r="E69" s="67">
        <v>6</v>
      </c>
      <c r="F69" s="68">
        <v>4</v>
      </c>
      <c r="G69" s="69">
        <v>28414.154467175089</v>
      </c>
      <c r="H69" s="70"/>
      <c r="I69" s="69">
        <v>28414.154467175089</v>
      </c>
      <c r="J69" s="69">
        <v>7103.5386167937722</v>
      </c>
      <c r="K69" s="69">
        <v>1491.743109526692</v>
      </c>
      <c r="L69" s="69">
        <v>8595.2817263204633</v>
      </c>
      <c r="M69" s="69">
        <v>3008.3486042121622</v>
      </c>
      <c r="N69" s="69">
        <v>11603.630330532626</v>
      </c>
      <c r="O69" s="69">
        <v>5221.633648739682</v>
      </c>
      <c r="P69" s="71">
        <v>16825.263979272306</v>
      </c>
      <c r="Q69" s="106"/>
      <c r="R69" s="23">
        <v>0</v>
      </c>
      <c r="S69" s="23"/>
      <c r="T69" s="24">
        <v>28414.154467175089</v>
      </c>
    </row>
    <row r="70" spans="2:20" x14ac:dyDescent="0.25">
      <c r="B70" s="26">
        <v>100517055</v>
      </c>
      <c r="C70" s="27" t="s">
        <v>75</v>
      </c>
      <c r="D70" s="18">
        <v>7790360971135</v>
      </c>
      <c r="E70" s="19">
        <v>3.12</v>
      </c>
      <c r="F70" s="20">
        <v>12</v>
      </c>
      <c r="G70" s="59">
        <v>28376.008182673599</v>
      </c>
      <c r="H70" s="60"/>
      <c r="I70" s="59">
        <v>28376.008182673599</v>
      </c>
      <c r="J70" s="59">
        <v>2364.6673485561332</v>
      </c>
      <c r="K70" s="59">
        <v>496.58014319678796</v>
      </c>
      <c r="L70" s="59">
        <v>2861.2474917529212</v>
      </c>
      <c r="M70" s="59">
        <v>1001.4366221135224</v>
      </c>
      <c r="N70" s="59">
        <v>3862.6841138664436</v>
      </c>
      <c r="O70" s="59">
        <v>1738.2078512398996</v>
      </c>
      <c r="P70" s="61">
        <v>5600.8919651063434</v>
      </c>
      <c r="Q70" s="99"/>
      <c r="R70" s="23">
        <v>0</v>
      </c>
      <c r="S70" s="23"/>
      <c r="T70" s="24">
        <v>28376.008182673599</v>
      </c>
    </row>
    <row r="71" spans="2:20" x14ac:dyDescent="0.25">
      <c r="B71" s="26">
        <v>100517186</v>
      </c>
      <c r="C71" s="27" t="s">
        <v>76</v>
      </c>
      <c r="D71" s="18">
        <v>7790360971395</v>
      </c>
      <c r="E71" s="19">
        <v>8</v>
      </c>
      <c r="F71" s="20">
        <v>8</v>
      </c>
      <c r="G71" s="59">
        <v>71701.328698938174</v>
      </c>
      <c r="H71" s="60"/>
      <c r="I71" s="59">
        <v>71701.328698938174</v>
      </c>
      <c r="J71" s="59">
        <v>8962.6660873672718</v>
      </c>
      <c r="K71" s="59">
        <v>1882.159878347127</v>
      </c>
      <c r="L71" s="59">
        <v>10844.825965714399</v>
      </c>
      <c r="M71" s="59">
        <v>3795.6890880000392</v>
      </c>
      <c r="N71" s="59">
        <v>14640.515053714438</v>
      </c>
      <c r="O71" s="59">
        <v>6588.2317741714969</v>
      </c>
      <c r="P71" s="61">
        <v>21228.746827885934</v>
      </c>
      <c r="Q71" s="99"/>
      <c r="R71" s="23">
        <v>0</v>
      </c>
      <c r="S71" s="23"/>
      <c r="T71" s="24">
        <v>71701.328698938174</v>
      </c>
    </row>
    <row r="72" spans="2:20" x14ac:dyDescent="0.25">
      <c r="B72" s="72">
        <v>100521663</v>
      </c>
      <c r="C72" s="73" t="s">
        <v>77</v>
      </c>
      <c r="D72" s="30">
        <v>7790360982537</v>
      </c>
      <c r="E72" s="31">
        <v>4.8</v>
      </c>
      <c r="F72" s="32">
        <v>12</v>
      </c>
      <c r="G72" s="33">
        <v>37997.53</v>
      </c>
      <c r="H72" s="63">
        <v>0.33</v>
      </c>
      <c r="I72" s="33">
        <v>25458.345099999995</v>
      </c>
      <c r="J72" s="33">
        <v>2121.5287583333329</v>
      </c>
      <c r="K72" s="33">
        <v>445.52103924999989</v>
      </c>
      <c r="L72" s="33">
        <v>2567.0497975833327</v>
      </c>
      <c r="M72" s="33">
        <v>880.49808057108316</v>
      </c>
      <c r="N72" s="33">
        <v>3447.5478781544161</v>
      </c>
      <c r="O72" s="33">
        <v>1551.3965451694874</v>
      </c>
      <c r="P72" s="35">
        <v>4998.9444233239037</v>
      </c>
      <c r="Q72" s="102"/>
      <c r="R72" s="23">
        <v>0</v>
      </c>
      <c r="S72" s="23"/>
      <c r="T72" s="24">
        <v>25458.345099999995</v>
      </c>
    </row>
    <row r="73" spans="2:20" x14ac:dyDescent="0.25">
      <c r="B73" s="64">
        <v>100021728</v>
      </c>
      <c r="C73" s="65" t="s">
        <v>78</v>
      </c>
      <c r="D73" s="66">
        <v>7790360967558</v>
      </c>
      <c r="E73" s="67">
        <v>3.84</v>
      </c>
      <c r="F73" s="68">
        <v>12</v>
      </c>
      <c r="G73" s="69">
        <v>35669.864673345204</v>
      </c>
      <c r="H73" s="70"/>
      <c r="I73" s="69">
        <v>35669.864673345204</v>
      </c>
      <c r="J73" s="69">
        <v>2972.4887227787672</v>
      </c>
      <c r="K73" s="69">
        <v>624.22263178354103</v>
      </c>
      <c r="L73" s="69">
        <v>3596.7113545623083</v>
      </c>
      <c r="M73" s="69">
        <v>1258.8489740968078</v>
      </c>
      <c r="N73" s="69">
        <v>4855.5603286591158</v>
      </c>
      <c r="O73" s="69">
        <v>2185.0021478966023</v>
      </c>
      <c r="P73" s="71">
        <v>7040.5624765557186</v>
      </c>
      <c r="Q73" s="106"/>
      <c r="R73" s="23">
        <v>0</v>
      </c>
      <c r="S73" s="23"/>
      <c r="T73" s="24">
        <v>35669.864673345204</v>
      </c>
    </row>
    <row r="74" spans="2:20" x14ac:dyDescent="0.25">
      <c r="B74" s="64">
        <v>100517679</v>
      </c>
      <c r="C74" s="65" t="s">
        <v>79</v>
      </c>
      <c r="D74" s="66">
        <v>7790360973498</v>
      </c>
      <c r="E74" s="67">
        <v>7.68</v>
      </c>
      <c r="F74" s="68">
        <v>8</v>
      </c>
      <c r="G74" s="69">
        <v>35830.538453970417</v>
      </c>
      <c r="H74" s="70"/>
      <c r="I74" s="69">
        <v>35830.538453970417</v>
      </c>
      <c r="J74" s="69">
        <v>4478.8173067463022</v>
      </c>
      <c r="K74" s="69">
        <v>940.55163441672346</v>
      </c>
      <c r="L74" s="69">
        <v>5419.3689411630257</v>
      </c>
      <c r="M74" s="69">
        <v>1896.7791294070589</v>
      </c>
      <c r="N74" s="69">
        <v>7316.1480705700851</v>
      </c>
      <c r="O74" s="69">
        <v>3292.2666317565386</v>
      </c>
      <c r="P74" s="71">
        <v>10608.414702326623</v>
      </c>
      <c r="Q74" s="106"/>
      <c r="R74" s="23">
        <v>0</v>
      </c>
      <c r="S74" s="23"/>
      <c r="T74" s="24">
        <v>35830.538453970417</v>
      </c>
    </row>
    <row r="75" spans="2:20" x14ac:dyDescent="0.25">
      <c r="B75" s="48"/>
      <c r="C75" s="49"/>
      <c r="D75" s="49"/>
      <c r="E75" s="49"/>
      <c r="F75" s="50"/>
      <c r="G75" s="51"/>
      <c r="H75" s="58"/>
      <c r="I75" s="51"/>
      <c r="J75" s="11"/>
      <c r="K75" s="12"/>
      <c r="L75" s="11"/>
      <c r="M75" s="12"/>
      <c r="N75" s="11"/>
      <c r="O75" s="12"/>
      <c r="P75" s="43"/>
      <c r="Q75" s="103"/>
      <c r="R75" s="23"/>
      <c r="S75" s="23"/>
      <c r="T75" s="24"/>
    </row>
    <row r="76" spans="2:20" ht="15" hidden="1" customHeight="1" x14ac:dyDescent="0.25">
      <c r="B76" s="26">
        <v>100516219</v>
      </c>
      <c r="C76" s="27" t="s">
        <v>80</v>
      </c>
      <c r="D76" s="66">
        <v>7790360967770</v>
      </c>
      <c r="E76" s="19">
        <v>10</v>
      </c>
      <c r="F76" s="20">
        <v>25</v>
      </c>
      <c r="G76" s="59">
        <v>16599.454447073913</v>
      </c>
      <c r="H76" s="59"/>
      <c r="I76" s="59">
        <v>16599.454447073913</v>
      </c>
      <c r="J76" s="59">
        <v>663.97817788295652</v>
      </c>
      <c r="K76" s="59">
        <v>139.43541735542087</v>
      </c>
      <c r="L76" s="59">
        <v>803.41359523837741</v>
      </c>
      <c r="M76" s="59">
        <v>281.19475833343205</v>
      </c>
      <c r="N76" s="59">
        <v>1084.6083535718094</v>
      </c>
      <c r="O76" s="59">
        <v>488.07375910731423</v>
      </c>
      <c r="P76" s="61">
        <v>1572.6821126791237</v>
      </c>
      <c r="Q76" s="99"/>
      <c r="R76" s="23">
        <v>0</v>
      </c>
      <c r="S76" s="23"/>
      <c r="T76" s="24">
        <v>16599.454447073913</v>
      </c>
    </row>
    <row r="77" spans="2:20" ht="15" hidden="1" customHeight="1" x14ac:dyDescent="0.25">
      <c r="B77" s="26">
        <v>100516220</v>
      </c>
      <c r="C77" s="27" t="s">
        <v>81</v>
      </c>
      <c r="D77" s="66">
        <v>7790360967787</v>
      </c>
      <c r="E77" s="19">
        <v>12</v>
      </c>
      <c r="F77" s="20">
        <v>6</v>
      </c>
      <c r="G77" s="59">
        <v>17830.838018208367</v>
      </c>
      <c r="H77" s="59"/>
      <c r="I77" s="59">
        <v>17830.838018208367</v>
      </c>
      <c r="J77" s="59">
        <v>2971.8063363680612</v>
      </c>
      <c r="K77" s="59">
        <v>624.07933063729286</v>
      </c>
      <c r="L77" s="59">
        <v>3595.8856670053542</v>
      </c>
      <c r="M77" s="59">
        <v>1258.5599834518739</v>
      </c>
      <c r="N77" s="59">
        <v>4854.4456504572281</v>
      </c>
      <c r="O77" s="59">
        <v>2184.5005427057527</v>
      </c>
      <c r="P77" s="61">
        <v>7038.9461931629812</v>
      </c>
      <c r="Q77" s="99"/>
      <c r="R77" s="23">
        <v>0</v>
      </c>
      <c r="S77" s="23"/>
      <c r="T77" s="24">
        <v>17830.838018208367</v>
      </c>
    </row>
    <row r="78" spans="2:20" ht="15" hidden="1" customHeight="1" x14ac:dyDescent="0.25">
      <c r="B78" s="48"/>
      <c r="C78" s="49"/>
      <c r="D78" s="49"/>
      <c r="E78" s="49"/>
      <c r="F78" s="50"/>
      <c r="G78" s="51" t="e">
        <v>#N/A</v>
      </c>
      <c r="H78" s="58"/>
      <c r="I78" s="51" t="e">
        <v>#N/A</v>
      </c>
      <c r="J78" s="51" t="e">
        <v>#N/A</v>
      </c>
      <c r="K78" s="51"/>
      <c r="L78" s="51"/>
      <c r="M78" s="51"/>
      <c r="N78" s="51"/>
      <c r="O78" s="51"/>
      <c r="P78" s="74"/>
      <c r="Q78" s="107"/>
      <c r="R78" s="23" t="e">
        <v>#N/A</v>
      </c>
      <c r="S78" s="23"/>
      <c r="T78" s="24" t="e">
        <v>#N/A</v>
      </c>
    </row>
    <row r="79" spans="2:20" hidden="1" x14ac:dyDescent="0.25">
      <c r="B79" s="26">
        <v>100518158</v>
      </c>
      <c r="C79" s="27" t="s">
        <v>82</v>
      </c>
      <c r="D79" s="66">
        <v>7790360974280</v>
      </c>
      <c r="E79" s="19">
        <v>12</v>
      </c>
      <c r="F79" s="20">
        <v>24</v>
      </c>
      <c r="G79" s="52">
        <v>68490.548114372563</v>
      </c>
      <c r="H79" s="52"/>
      <c r="I79" s="52">
        <v>68490.548114372563</v>
      </c>
      <c r="J79" s="52">
        <v>2853.7728380988569</v>
      </c>
      <c r="K79" s="52">
        <v>599.29229600075996</v>
      </c>
      <c r="L79" s="52">
        <v>3453.0651340996169</v>
      </c>
      <c r="M79" s="52">
        <v>1208.5727969348659</v>
      </c>
      <c r="N79" s="52">
        <v>4661.6379310344828</v>
      </c>
      <c r="O79" s="52">
        <v>2097.7370689655172</v>
      </c>
      <c r="P79" s="54">
        <v>6759.375</v>
      </c>
      <c r="Q79" s="104"/>
      <c r="R79" s="23" t="e">
        <v>#N/A</v>
      </c>
      <c r="S79" s="23"/>
      <c r="T79" s="24" t="e">
        <v>#N/A</v>
      </c>
    </row>
    <row r="80" spans="2:20" hidden="1" x14ac:dyDescent="0.25">
      <c r="B80" s="26">
        <v>100518160</v>
      </c>
      <c r="C80" s="27" t="s">
        <v>83</v>
      </c>
      <c r="D80" s="66">
        <v>7790360974686</v>
      </c>
      <c r="E80" s="19">
        <v>12</v>
      </c>
      <c r="F80" s="20">
        <v>12</v>
      </c>
      <c r="G80" s="52">
        <v>68490.548114372563</v>
      </c>
      <c r="H80" s="52"/>
      <c r="I80" s="52">
        <v>68490.548114372563</v>
      </c>
      <c r="J80" s="52">
        <v>5707.5456761977139</v>
      </c>
      <c r="K80" s="52">
        <v>1198.5845920015199</v>
      </c>
      <c r="L80" s="52">
        <v>6906.1302681992338</v>
      </c>
      <c r="M80" s="52">
        <v>2417.1455938697318</v>
      </c>
      <c r="N80" s="52">
        <v>9323.2758620689656</v>
      </c>
      <c r="O80" s="52">
        <v>4195.4741379310344</v>
      </c>
      <c r="P80" s="54">
        <v>13518.75</v>
      </c>
      <c r="Q80" s="104"/>
      <c r="R80" s="23" t="e">
        <v>#N/A</v>
      </c>
      <c r="S80" s="23"/>
      <c r="T80" s="24" t="e">
        <v>#N/A</v>
      </c>
    </row>
    <row r="81" spans="2:20" hidden="1" x14ac:dyDescent="0.25">
      <c r="B81" s="26">
        <v>100518463</v>
      </c>
      <c r="C81" s="27" t="s">
        <v>84</v>
      </c>
      <c r="D81" s="66">
        <v>7790360975188</v>
      </c>
      <c r="E81" s="19">
        <v>5</v>
      </c>
      <c r="F81" s="20">
        <v>1</v>
      </c>
      <c r="G81" s="52">
        <v>33357.515625</v>
      </c>
      <c r="H81" s="52"/>
      <c r="I81" s="52">
        <v>33357.515625</v>
      </c>
      <c r="J81" s="52">
        <v>33357.515625</v>
      </c>
      <c r="K81" s="52">
        <v>7005.0782812500001</v>
      </c>
      <c r="L81" s="52">
        <v>40362.593906249997</v>
      </c>
      <c r="M81" s="52">
        <v>14126.907867187498</v>
      </c>
      <c r="N81" s="52">
        <v>54489.501773437492</v>
      </c>
      <c r="O81" s="52">
        <v>24520.27579804687</v>
      </c>
      <c r="P81" s="54">
        <v>79009.777571484359</v>
      </c>
      <c r="Q81" s="104"/>
      <c r="R81" s="23" t="e">
        <v>#N/A</v>
      </c>
      <c r="S81" s="23"/>
      <c r="T81" s="24" t="e">
        <v>#N/A</v>
      </c>
    </row>
    <row r="82" spans="2:20" hidden="1" x14ac:dyDescent="0.25">
      <c r="B82" s="48"/>
      <c r="C82" s="49"/>
      <c r="D82" s="49"/>
      <c r="E82" s="49"/>
      <c r="F82" s="50"/>
      <c r="G82" s="51" t="e">
        <v>#N/A</v>
      </c>
      <c r="H82" s="58"/>
      <c r="I82" s="51" t="e">
        <v>#N/A</v>
      </c>
      <c r="J82" s="51" t="e">
        <v>#N/A</v>
      </c>
      <c r="K82" s="51"/>
      <c r="L82" s="51"/>
      <c r="M82" s="51"/>
      <c r="N82" s="51"/>
      <c r="O82" s="51"/>
      <c r="P82" s="74"/>
      <c r="Q82" s="107"/>
      <c r="R82" s="23" t="e">
        <v>#N/A</v>
      </c>
      <c r="S82" s="23"/>
      <c r="T82" s="24" t="e">
        <v>#N/A</v>
      </c>
    </row>
    <row r="83" spans="2:20" x14ac:dyDescent="0.25">
      <c r="B83" s="75">
        <v>100518291</v>
      </c>
      <c r="C83" s="76" t="s">
        <v>85</v>
      </c>
      <c r="D83" s="77">
        <v>7790360975195</v>
      </c>
      <c r="E83" s="76">
        <v>5</v>
      </c>
      <c r="F83" s="76">
        <v>10</v>
      </c>
      <c r="G83" s="33">
        <v>15942.442697899138</v>
      </c>
      <c r="H83" s="44">
        <v>0.15</v>
      </c>
      <c r="I83" s="33">
        <v>13551.076293214266</v>
      </c>
      <c r="J83" s="33">
        <v>1355.1076293214267</v>
      </c>
      <c r="K83" s="33">
        <v>284.5726021574996</v>
      </c>
      <c r="L83" s="33">
        <v>1639.6802314789263</v>
      </c>
      <c r="M83" s="33">
        <v>360.72965092536379</v>
      </c>
      <c r="N83" s="33">
        <v>2000.4098824042901</v>
      </c>
      <c r="O83" s="33">
        <v>700.14345884150146</v>
      </c>
      <c r="P83" s="35">
        <v>2700.5533412457917</v>
      </c>
      <c r="Q83" s="102"/>
      <c r="R83" s="23">
        <v>0</v>
      </c>
      <c r="S83" s="23"/>
      <c r="T83" s="24">
        <v>13551.076293214266</v>
      </c>
    </row>
    <row r="84" spans="2:20" x14ac:dyDescent="0.25">
      <c r="B84" s="75">
        <v>100518292</v>
      </c>
      <c r="C84" s="76" t="s">
        <v>86</v>
      </c>
      <c r="D84" s="77">
        <v>7790360975201</v>
      </c>
      <c r="E84" s="76">
        <v>12</v>
      </c>
      <c r="F84" s="76">
        <v>12</v>
      </c>
      <c r="G84" s="33">
        <v>37618.476098599924</v>
      </c>
      <c r="H84" s="44">
        <v>0.15</v>
      </c>
      <c r="I84" s="33">
        <v>31975.704683809934</v>
      </c>
      <c r="J84" s="33">
        <v>2664.6420569841612</v>
      </c>
      <c r="K84" s="33">
        <v>559.57483196667386</v>
      </c>
      <c r="L84" s="33">
        <v>3224.2168889508348</v>
      </c>
      <c r="M84" s="33">
        <v>709.32771556918362</v>
      </c>
      <c r="N84" s="33">
        <v>3933.5446045200183</v>
      </c>
      <c r="O84" s="33">
        <v>1376.7406115820063</v>
      </c>
      <c r="P84" s="35">
        <v>5310.2852161020246</v>
      </c>
      <c r="Q84" s="102"/>
      <c r="R84" s="23">
        <v>0</v>
      </c>
      <c r="S84" s="23"/>
      <c r="T84" s="24">
        <v>31975.704683809934</v>
      </c>
    </row>
    <row r="85" spans="2:20" x14ac:dyDescent="0.25">
      <c r="B85" s="78"/>
      <c r="C85" s="79"/>
      <c r="D85" s="79"/>
      <c r="E85" s="79"/>
      <c r="F85" s="79"/>
      <c r="G85" s="79"/>
      <c r="H85" s="79"/>
      <c r="I85" s="79"/>
      <c r="J85" s="79"/>
      <c r="K85" s="80">
        <v>0.105</v>
      </c>
      <c r="L85" s="79"/>
      <c r="M85" s="79">
        <v>0.3</v>
      </c>
      <c r="N85" s="79"/>
      <c r="O85" s="79">
        <v>0.4</v>
      </c>
      <c r="P85" s="81"/>
      <c r="Q85" s="108"/>
      <c r="R85" s="23"/>
      <c r="S85" s="23"/>
      <c r="T85" s="24"/>
    </row>
    <row r="86" spans="2:20" x14ac:dyDescent="0.25">
      <c r="B86" s="82">
        <v>100517915</v>
      </c>
      <c r="C86" s="83" t="s">
        <v>87</v>
      </c>
      <c r="D86" s="66">
        <v>7790360974020</v>
      </c>
      <c r="E86" s="83">
        <v>18</v>
      </c>
      <c r="F86" s="83">
        <v>36</v>
      </c>
      <c r="G86" s="21">
        <v>145920.01119803212</v>
      </c>
      <c r="H86" s="21"/>
      <c r="I86" s="21">
        <v>145920.01119803212</v>
      </c>
      <c r="J86" s="21">
        <v>4053.3336443897811</v>
      </c>
      <c r="K86" s="21">
        <v>425.60003266092701</v>
      </c>
      <c r="L86" s="21">
        <v>4478.933677050708</v>
      </c>
      <c r="M86" s="21">
        <v>1343.6801031152124</v>
      </c>
      <c r="N86" s="21">
        <v>5822.6137801659206</v>
      </c>
      <c r="O86" s="21">
        <v>2329.0455120663682</v>
      </c>
      <c r="P86" s="22">
        <v>8151.6592922322889</v>
      </c>
      <c r="Q86" s="99"/>
      <c r="R86" s="23">
        <v>4.0000000000000036E-2</v>
      </c>
      <c r="S86" s="23"/>
      <c r="T86" s="24">
        <v>140307.70307503088</v>
      </c>
    </row>
    <row r="87" spans="2:20" x14ac:dyDescent="0.25">
      <c r="B87" s="82">
        <v>100517914</v>
      </c>
      <c r="C87" s="83" t="s">
        <v>88</v>
      </c>
      <c r="D87" s="66">
        <v>7790360974037</v>
      </c>
      <c r="E87" s="83">
        <v>20</v>
      </c>
      <c r="F87" s="83">
        <v>20</v>
      </c>
      <c r="G87" s="21">
        <v>159231.15888620811</v>
      </c>
      <c r="H87" s="21"/>
      <c r="I87" s="21">
        <v>159231.15888620811</v>
      </c>
      <c r="J87" s="21">
        <v>7961.5579443104052</v>
      </c>
      <c r="K87" s="84">
        <v>835.96358415259249</v>
      </c>
      <c r="L87" s="21">
        <v>8797.5215284629976</v>
      </c>
      <c r="M87" s="21">
        <v>2639.2564585388991</v>
      </c>
      <c r="N87" s="21">
        <v>11436.777987001897</v>
      </c>
      <c r="O87" s="21">
        <v>4574.7111948007587</v>
      </c>
      <c r="P87" s="22">
        <v>16011.489181802655</v>
      </c>
      <c r="Q87" s="99"/>
      <c r="R87" s="23">
        <v>4.0000000000000036E-2</v>
      </c>
      <c r="S87" s="23"/>
      <c r="T87" s="24">
        <v>153106.88354443086</v>
      </c>
    </row>
    <row r="88" spans="2:20" x14ac:dyDescent="0.25">
      <c r="B88" s="48"/>
      <c r="C88" s="49"/>
      <c r="D88" s="49"/>
      <c r="E88" s="49"/>
      <c r="F88" s="50"/>
      <c r="G88" s="51"/>
      <c r="H88" s="58"/>
      <c r="I88" s="51"/>
      <c r="J88" s="51"/>
      <c r="K88" s="85">
        <v>0.105</v>
      </c>
      <c r="L88" s="85"/>
      <c r="M88" s="79">
        <v>0.3</v>
      </c>
      <c r="N88" s="85"/>
      <c r="O88" s="79">
        <v>0.4</v>
      </c>
      <c r="P88" s="86"/>
      <c r="Q88" s="109"/>
      <c r="R88" s="23"/>
      <c r="S88" s="23"/>
      <c r="T88" s="24"/>
    </row>
    <row r="89" spans="2:20" x14ac:dyDescent="0.25">
      <c r="B89" s="26">
        <v>100010689</v>
      </c>
      <c r="C89" s="27" t="s">
        <v>89</v>
      </c>
      <c r="D89" s="18"/>
      <c r="E89" s="19">
        <v>22</v>
      </c>
      <c r="F89" s="20">
        <v>1</v>
      </c>
      <c r="G89" s="59">
        <v>14285.714285714286</v>
      </c>
      <c r="H89" s="59"/>
      <c r="I89" s="59">
        <v>14285.714285714286</v>
      </c>
      <c r="J89" s="59">
        <v>14285.714285714286</v>
      </c>
      <c r="K89" s="59">
        <v>1500</v>
      </c>
      <c r="L89" s="59">
        <v>15785.714285714286</v>
      </c>
      <c r="M89" s="59">
        <v>4735.7142857142853</v>
      </c>
      <c r="N89" s="59">
        <v>20521.428571428572</v>
      </c>
      <c r="O89" s="59">
        <v>8208.5714285714294</v>
      </c>
      <c r="P89" s="61">
        <v>28730</v>
      </c>
      <c r="Q89" s="99"/>
      <c r="R89" s="23">
        <v>-4.5573848723455157E-2</v>
      </c>
      <c r="S89" s="23"/>
      <c r="T89" s="24">
        <v>14967.857142857145</v>
      </c>
    </row>
    <row r="90" spans="2:20" x14ac:dyDescent="0.25">
      <c r="B90" s="26">
        <v>100518335</v>
      </c>
      <c r="C90" s="27" t="s">
        <v>90</v>
      </c>
      <c r="D90" s="18"/>
      <c r="E90" s="19">
        <v>22.5</v>
      </c>
      <c r="F90" s="20">
        <v>1</v>
      </c>
      <c r="G90" s="59">
        <v>10204.081632653062</v>
      </c>
      <c r="H90" s="59"/>
      <c r="I90" s="59">
        <v>10204.081632653062</v>
      </c>
      <c r="J90" s="59">
        <v>10204.081632653062</v>
      </c>
      <c r="K90" s="59">
        <v>1071.4285714285716</v>
      </c>
      <c r="L90" s="59">
        <v>11275.510204081635</v>
      </c>
      <c r="M90" s="59">
        <v>3382.6530612244901</v>
      </c>
      <c r="N90" s="59">
        <v>14658.163265306124</v>
      </c>
      <c r="O90" s="59">
        <v>5863.2653061224501</v>
      </c>
      <c r="P90" s="61">
        <v>20521.428571428572</v>
      </c>
      <c r="Q90" s="99"/>
      <c r="R90" s="23">
        <v>7.6258280462145223E-2</v>
      </c>
      <c r="S90" s="23"/>
      <c r="T90" s="24">
        <v>9481.0714285714294</v>
      </c>
    </row>
    <row r="91" spans="2:20" x14ac:dyDescent="0.25">
      <c r="B91" s="26">
        <v>100518332</v>
      </c>
      <c r="C91" s="27" t="s">
        <v>91</v>
      </c>
      <c r="D91" s="18"/>
      <c r="E91" s="19">
        <v>21.5</v>
      </c>
      <c r="F91" s="20">
        <v>1</v>
      </c>
      <c r="G91" s="59">
        <v>11734.693877551019</v>
      </c>
      <c r="H91" s="59"/>
      <c r="I91" s="59">
        <v>11734.693877551019</v>
      </c>
      <c r="J91" s="59">
        <v>11734.693877551019</v>
      </c>
      <c r="K91" s="59">
        <v>1232.1428571428569</v>
      </c>
      <c r="L91" s="59">
        <v>12966.836734693876</v>
      </c>
      <c r="M91" s="59">
        <v>3890.0510204081625</v>
      </c>
      <c r="N91" s="59">
        <v>16856.887755102038</v>
      </c>
      <c r="O91" s="59">
        <v>6742.7551020408155</v>
      </c>
      <c r="P91" s="61">
        <v>23599.642857142855</v>
      </c>
      <c r="Q91" s="99"/>
      <c r="R91" s="23">
        <v>0.15009775830945604</v>
      </c>
      <c r="S91" s="23"/>
      <c r="T91" s="24">
        <v>10203.214285714286</v>
      </c>
    </row>
    <row r="92" spans="2:20" x14ac:dyDescent="0.25">
      <c r="B92" s="26">
        <v>100518334</v>
      </c>
      <c r="C92" s="27" t="s">
        <v>92</v>
      </c>
      <c r="D92" s="18"/>
      <c r="E92" s="19">
        <v>22.5</v>
      </c>
      <c r="F92" s="20">
        <v>1</v>
      </c>
      <c r="G92" s="59">
        <v>10408.163265306122</v>
      </c>
      <c r="H92" s="59"/>
      <c r="I92" s="59">
        <v>10408.163265306122</v>
      </c>
      <c r="J92" s="59">
        <v>10408.163265306122</v>
      </c>
      <c r="K92" s="59">
        <v>1092.8571428571429</v>
      </c>
      <c r="L92" s="59">
        <v>11501.020408163266</v>
      </c>
      <c r="M92" s="59">
        <v>3450.3061224489797</v>
      </c>
      <c r="N92" s="59">
        <v>14951.326530612245</v>
      </c>
      <c r="O92" s="59">
        <v>5980.5306122448983</v>
      </c>
      <c r="P92" s="61">
        <v>20931.857142857145</v>
      </c>
      <c r="Q92" s="99"/>
      <c r="R92" s="23">
        <v>0.23938322458353078</v>
      </c>
      <c r="S92" s="23"/>
      <c r="T92" s="24">
        <v>8397.8571428571431</v>
      </c>
    </row>
    <row r="93" spans="2:20" x14ac:dyDescent="0.25">
      <c r="B93" s="26">
        <v>100518227</v>
      </c>
      <c r="C93" s="27" t="s">
        <v>93</v>
      </c>
      <c r="D93" s="18"/>
      <c r="E93" s="19">
        <v>22.5</v>
      </c>
      <c r="F93" s="20">
        <v>1</v>
      </c>
      <c r="G93" s="59">
        <v>12040.81632653061</v>
      </c>
      <c r="H93" s="59"/>
      <c r="I93" s="59">
        <v>12040.81632653061</v>
      </c>
      <c r="J93" s="59">
        <v>12040.81632653061</v>
      </c>
      <c r="K93" s="59">
        <v>1264.285714285714</v>
      </c>
      <c r="L93" s="59">
        <v>13305.102040816324</v>
      </c>
      <c r="M93" s="59">
        <v>3991.5306122448969</v>
      </c>
      <c r="N93" s="59">
        <v>17296.63265306122</v>
      </c>
      <c r="O93" s="59">
        <v>6918.6530612244887</v>
      </c>
      <c r="P93" s="61">
        <v>24215.28571428571</v>
      </c>
      <c r="Q93" s="99"/>
      <c r="R93" s="23">
        <v>0.43379627942016286</v>
      </c>
      <c r="S93" s="23"/>
      <c r="T93" s="24">
        <v>8397.8571428571431</v>
      </c>
    </row>
    <row r="94" spans="2:20" x14ac:dyDescent="0.25">
      <c r="B94" s="26">
        <v>100027726</v>
      </c>
      <c r="C94" s="27" t="s">
        <v>94</v>
      </c>
      <c r="D94" s="18"/>
      <c r="E94" s="87">
        <v>22.5</v>
      </c>
      <c r="F94" s="20">
        <v>1</v>
      </c>
      <c r="G94" s="59">
        <v>6195</v>
      </c>
      <c r="H94" s="59"/>
      <c r="I94" s="59">
        <v>6195</v>
      </c>
      <c r="J94" s="59">
        <v>6195</v>
      </c>
      <c r="K94" s="59">
        <v>650.47500000000002</v>
      </c>
      <c r="L94" s="59">
        <v>6845.4750000000004</v>
      </c>
      <c r="M94" s="59">
        <v>2053.6424999999999</v>
      </c>
      <c r="N94" s="59">
        <v>8899.1175000000003</v>
      </c>
      <c r="O94" s="59">
        <v>3559.6470000000004</v>
      </c>
      <c r="P94" s="61">
        <v>12458.764500000001</v>
      </c>
      <c r="Q94" s="99"/>
      <c r="R94" s="23">
        <v>0</v>
      </c>
      <c r="S94" s="23"/>
      <c r="T94" s="24">
        <v>6195</v>
      </c>
    </row>
    <row r="95" spans="2:20" x14ac:dyDescent="0.25">
      <c r="B95" s="48"/>
      <c r="C95" s="49"/>
      <c r="D95" s="49"/>
      <c r="E95" s="49"/>
      <c r="F95" s="50"/>
      <c r="G95" s="51"/>
      <c r="H95" s="50"/>
      <c r="I95" s="51"/>
      <c r="J95" s="51"/>
      <c r="K95" s="79">
        <v>0.21</v>
      </c>
      <c r="L95" s="85"/>
      <c r="M95" s="79">
        <v>0.3</v>
      </c>
      <c r="N95" s="85"/>
      <c r="O95" s="79">
        <v>0.4</v>
      </c>
      <c r="P95" s="86"/>
      <c r="Q95" s="109"/>
      <c r="R95" s="23"/>
      <c r="S95" s="23"/>
      <c r="T95" s="24"/>
    </row>
    <row r="96" spans="2:20" x14ac:dyDescent="0.25">
      <c r="B96" s="64">
        <v>100520837</v>
      </c>
      <c r="C96" s="65" t="s">
        <v>95</v>
      </c>
      <c r="D96" s="66">
        <v>7790360980625</v>
      </c>
      <c r="E96" s="87">
        <v>4.8</v>
      </c>
      <c r="F96" s="20">
        <v>12</v>
      </c>
      <c r="G96" s="52">
        <v>32505.614135081214</v>
      </c>
      <c r="H96" s="52"/>
      <c r="I96" s="52">
        <v>32505.614135081214</v>
      </c>
      <c r="J96" s="52">
        <v>2708.8011779234344</v>
      </c>
      <c r="K96" s="52">
        <v>568.84824736392125</v>
      </c>
      <c r="L96" s="52">
        <v>3277.6494252873554</v>
      </c>
      <c r="M96" s="52">
        <v>983.29482758620657</v>
      </c>
      <c r="N96" s="52">
        <v>4260.9442528735617</v>
      </c>
      <c r="O96" s="52">
        <v>1704.3777011494249</v>
      </c>
      <c r="P96" s="54">
        <v>5965.3219540229866</v>
      </c>
      <c r="Q96" s="104"/>
      <c r="R96" s="23">
        <v>0</v>
      </c>
      <c r="S96" s="23"/>
      <c r="T96" s="24">
        <v>32505.614135081214</v>
      </c>
    </row>
    <row r="97" spans="2:20" x14ac:dyDescent="0.25">
      <c r="B97" s="64">
        <v>100522395</v>
      </c>
      <c r="C97" s="65" t="s">
        <v>96</v>
      </c>
      <c r="D97" s="66">
        <v>7790360980625</v>
      </c>
      <c r="E97" s="87">
        <v>4.8</v>
      </c>
      <c r="F97" s="20">
        <v>12</v>
      </c>
      <c r="G97" s="52">
        <v>33155.72</v>
      </c>
      <c r="H97" s="52"/>
      <c r="I97" s="52">
        <v>33155.72</v>
      </c>
      <c r="J97" s="52">
        <v>2762.9766666666669</v>
      </c>
      <c r="K97" s="52">
        <v>580.2251</v>
      </c>
      <c r="L97" s="52">
        <v>3343.201766666667</v>
      </c>
      <c r="M97" s="52">
        <v>1002.9605300000001</v>
      </c>
      <c r="N97" s="52">
        <v>4346.1622966666673</v>
      </c>
      <c r="O97" s="52">
        <v>1738.464918666667</v>
      </c>
      <c r="P97" s="54">
        <v>6084.6272153333339</v>
      </c>
      <c r="Q97" s="104"/>
      <c r="R97" s="23">
        <v>0</v>
      </c>
      <c r="S97" s="23"/>
      <c r="T97" s="24">
        <v>33155.72</v>
      </c>
    </row>
    <row r="98" spans="2:20" x14ac:dyDescent="0.25">
      <c r="B98" s="48"/>
      <c r="C98" s="49"/>
      <c r="D98" s="49"/>
      <c r="E98" s="49"/>
      <c r="F98" s="50"/>
      <c r="G98" s="51"/>
      <c r="H98" s="50"/>
      <c r="I98" s="51"/>
      <c r="J98" s="51"/>
      <c r="K98" s="79">
        <v>0.21</v>
      </c>
      <c r="L98" s="85"/>
      <c r="M98" s="79">
        <v>0.35</v>
      </c>
      <c r="N98" s="85"/>
      <c r="O98" s="79">
        <v>0.45</v>
      </c>
      <c r="P98" s="86"/>
      <c r="Q98" s="109"/>
      <c r="R98" s="23"/>
      <c r="S98" s="23"/>
      <c r="T98" s="24"/>
    </row>
    <row r="99" spans="2:20" x14ac:dyDescent="0.25">
      <c r="B99" s="72">
        <v>100520902</v>
      </c>
      <c r="C99" s="73" t="s">
        <v>97</v>
      </c>
      <c r="D99" s="77">
        <v>7790360981042</v>
      </c>
      <c r="E99" s="88">
        <v>9.8000000000000007</v>
      </c>
      <c r="F99" s="32">
        <v>14</v>
      </c>
      <c r="G99" s="56">
        <v>29405.275323770627</v>
      </c>
      <c r="H99" s="63">
        <v>0.125</v>
      </c>
      <c r="I99" s="56">
        <v>25729.6159082993</v>
      </c>
      <c r="J99" s="56">
        <v>1837.8297077356642</v>
      </c>
      <c r="K99" s="56">
        <v>385.94423862448946</v>
      </c>
      <c r="L99" s="56">
        <v>2223.7739463601538</v>
      </c>
      <c r="M99" s="56">
        <v>778.32088122605376</v>
      </c>
      <c r="N99" s="56">
        <v>3002.0948275862074</v>
      </c>
      <c r="O99" s="56">
        <v>1350.9426724137934</v>
      </c>
      <c r="P99" s="57">
        <v>4353.0375000000004</v>
      </c>
      <c r="Q99" s="105"/>
      <c r="R99" s="23">
        <v>2.0833333333333481E-2</v>
      </c>
      <c r="S99" s="23"/>
      <c r="T99" s="24">
        <v>25204.521706089105</v>
      </c>
    </row>
    <row r="100" spans="2:20" x14ac:dyDescent="0.25">
      <c r="B100" s="48"/>
      <c r="C100" s="49"/>
      <c r="D100" s="49"/>
      <c r="E100" s="49"/>
      <c r="F100" s="50"/>
      <c r="G100" s="51"/>
      <c r="H100" s="50"/>
      <c r="I100" s="51"/>
      <c r="J100" s="51"/>
      <c r="K100" s="79">
        <v>0.21</v>
      </c>
      <c r="L100" s="85"/>
      <c r="M100" s="79">
        <v>0.35</v>
      </c>
      <c r="N100" s="85"/>
      <c r="O100" s="79">
        <v>0.45</v>
      </c>
      <c r="P100" s="86"/>
      <c r="Q100" s="109"/>
      <c r="R100" s="23"/>
      <c r="S100" s="23"/>
      <c r="T100" s="24"/>
    </row>
    <row r="101" spans="2:20" x14ac:dyDescent="0.25">
      <c r="B101" s="72">
        <v>100521457</v>
      </c>
      <c r="C101" s="73" t="s">
        <v>98</v>
      </c>
      <c r="D101" s="77">
        <v>7790360982254</v>
      </c>
      <c r="E101" s="88">
        <v>4.8</v>
      </c>
      <c r="F101" s="32">
        <v>16</v>
      </c>
      <c r="G101" s="56">
        <v>32843.545169563979</v>
      </c>
      <c r="H101" s="89">
        <v>7.4999999999999997E-2</v>
      </c>
      <c r="I101" s="56">
        <v>30380.279281846681</v>
      </c>
      <c r="J101" s="56">
        <v>1898.7674551154175</v>
      </c>
      <c r="K101" s="56">
        <v>398.74116557423764</v>
      </c>
      <c r="L101" s="56">
        <v>2297.5086206896553</v>
      </c>
      <c r="M101" s="56">
        <v>804.12801724137933</v>
      </c>
      <c r="N101" s="56">
        <v>3101.6366379310348</v>
      </c>
      <c r="O101" s="56">
        <v>1395.7364870689657</v>
      </c>
      <c r="P101" s="57">
        <v>4497.3731250000001</v>
      </c>
      <c r="Q101" s="105"/>
      <c r="R101" s="23">
        <v>0</v>
      </c>
      <c r="S101" s="23"/>
      <c r="T101" s="24">
        <v>30380.279281846681</v>
      </c>
    </row>
    <row r="102" spans="2:20" x14ac:dyDescent="0.25">
      <c r="B102" s="72">
        <v>100521455</v>
      </c>
      <c r="C102" s="73" t="s">
        <v>99</v>
      </c>
      <c r="D102" s="77">
        <v>7790360982247</v>
      </c>
      <c r="E102" s="88">
        <v>4.8</v>
      </c>
      <c r="F102" s="32">
        <v>16</v>
      </c>
      <c r="G102" s="56">
        <v>32843.545169563979</v>
      </c>
      <c r="H102" s="89">
        <v>7.4999999999999997E-2</v>
      </c>
      <c r="I102" s="56">
        <v>30380.279281846681</v>
      </c>
      <c r="J102" s="56">
        <v>1898.7674551154175</v>
      </c>
      <c r="K102" s="56">
        <v>398.74116557423764</v>
      </c>
      <c r="L102" s="56">
        <v>2297.5086206896553</v>
      </c>
      <c r="M102" s="56">
        <v>804.12801724137933</v>
      </c>
      <c r="N102" s="56">
        <v>3101.6366379310348</v>
      </c>
      <c r="O102" s="56">
        <v>1395.7364870689657</v>
      </c>
      <c r="P102" s="57">
        <v>4497.3731250000001</v>
      </c>
      <c r="Q102" s="105"/>
      <c r="R102" s="23">
        <v>0</v>
      </c>
      <c r="S102" s="23"/>
      <c r="T102" s="24">
        <v>30380.279281846681</v>
      </c>
    </row>
    <row r="103" spans="2:20" x14ac:dyDescent="0.25">
      <c r="B103" s="72">
        <v>100521453</v>
      </c>
      <c r="C103" s="73" t="s">
        <v>100</v>
      </c>
      <c r="D103" s="77">
        <v>7790360982223</v>
      </c>
      <c r="E103" s="88">
        <v>5.4</v>
      </c>
      <c r="F103" s="32">
        <v>18</v>
      </c>
      <c r="G103" s="56">
        <v>32330.364776289549</v>
      </c>
      <c r="H103" s="89">
        <v>7.4999999999999997E-2</v>
      </c>
      <c r="I103" s="56">
        <v>29905.587418067833</v>
      </c>
      <c r="J103" s="56">
        <v>1661.4215232259908</v>
      </c>
      <c r="K103" s="56">
        <v>348.89851987745806</v>
      </c>
      <c r="L103" s="56">
        <v>2010.3200431034488</v>
      </c>
      <c r="M103" s="56">
        <v>679.48817456896575</v>
      </c>
      <c r="N103" s="56">
        <v>2689.8082176724147</v>
      </c>
      <c r="O103" s="56">
        <v>1210.4136979525867</v>
      </c>
      <c r="P103" s="57">
        <v>3900.2219156250012</v>
      </c>
      <c r="Q103" s="105"/>
      <c r="R103" s="23">
        <v>0</v>
      </c>
      <c r="S103" s="23"/>
      <c r="T103" s="24">
        <v>29905.587418067833</v>
      </c>
    </row>
    <row r="104" spans="2:20" x14ac:dyDescent="0.25">
      <c r="B104" s="72">
        <v>100521454</v>
      </c>
      <c r="C104" s="73" t="s">
        <v>101</v>
      </c>
      <c r="D104" s="77">
        <v>7790360982230</v>
      </c>
      <c r="E104" s="88">
        <v>5.3999999999999995</v>
      </c>
      <c r="F104" s="32">
        <v>18</v>
      </c>
      <c r="G104" s="56">
        <v>32330.364776289549</v>
      </c>
      <c r="H104" s="63">
        <v>7.4999999999999997E-2</v>
      </c>
      <c r="I104" s="56">
        <v>29905.587418067833</v>
      </c>
      <c r="J104" s="56">
        <v>1661.4215232259908</v>
      </c>
      <c r="K104" s="56">
        <v>348.89851987745806</v>
      </c>
      <c r="L104" s="56">
        <v>2010.3200431034488</v>
      </c>
      <c r="M104" s="56">
        <v>679.48817456896575</v>
      </c>
      <c r="N104" s="56">
        <v>2689.8082176724147</v>
      </c>
      <c r="O104" s="56">
        <v>1210.4136979525867</v>
      </c>
      <c r="P104" s="57">
        <v>3900.2219156250012</v>
      </c>
      <c r="Q104" s="105"/>
      <c r="R104" s="23">
        <v>0</v>
      </c>
      <c r="S104" s="23"/>
      <c r="T104" s="24">
        <v>29905.587418067833</v>
      </c>
    </row>
    <row r="105" spans="2:20" x14ac:dyDescent="0.25">
      <c r="B105" s="48"/>
      <c r="C105" s="49"/>
      <c r="D105" s="49"/>
      <c r="E105" s="49"/>
      <c r="F105" s="50"/>
      <c r="G105" s="51"/>
      <c r="H105" s="50"/>
      <c r="I105" s="51"/>
      <c r="J105" s="51"/>
      <c r="K105" s="79">
        <v>0.21</v>
      </c>
      <c r="L105" s="85"/>
      <c r="M105" s="79">
        <v>0.22</v>
      </c>
      <c r="N105" s="85"/>
      <c r="O105" s="79">
        <v>0.35</v>
      </c>
      <c r="P105" s="86"/>
      <c r="Q105" s="110"/>
      <c r="T105" s="14"/>
    </row>
    <row r="106" spans="2:20" x14ac:dyDescent="0.25">
      <c r="B106" s="72">
        <v>100522246</v>
      </c>
      <c r="C106" s="73" t="s">
        <v>102</v>
      </c>
      <c r="D106" s="77">
        <v>7790360984234</v>
      </c>
      <c r="E106" s="88">
        <v>8.16</v>
      </c>
      <c r="F106" s="32">
        <v>48</v>
      </c>
      <c r="G106" s="56">
        <v>106193.37939755226</v>
      </c>
      <c r="H106" s="89">
        <v>0.20833333333333301</v>
      </c>
      <c r="I106" s="56">
        <v>84069.7586897289</v>
      </c>
      <c r="J106" s="56">
        <v>1751.4533060360188</v>
      </c>
      <c r="K106" s="56">
        <v>367.80519426756393</v>
      </c>
      <c r="L106" s="56">
        <v>2119.2585003035829</v>
      </c>
      <c r="M106" s="56">
        <v>466.23687006678824</v>
      </c>
      <c r="N106" s="56">
        <v>2585.4953703703713</v>
      </c>
      <c r="O106" s="56">
        <v>904.92337962962995</v>
      </c>
      <c r="P106" s="57">
        <v>3490.4187500000012</v>
      </c>
      <c r="Q106" s="105"/>
    </row>
    <row r="107" spans="2:20" ht="15.75" thickBot="1" x14ac:dyDescent="0.3">
      <c r="B107" s="90">
        <v>100522247</v>
      </c>
      <c r="C107" s="91" t="s">
        <v>103</v>
      </c>
      <c r="D107" s="92">
        <v>7790360984241</v>
      </c>
      <c r="E107" s="93">
        <v>8.16</v>
      </c>
      <c r="F107" s="94">
        <v>48</v>
      </c>
      <c r="G107" s="95">
        <v>106193.37939755226</v>
      </c>
      <c r="H107" s="96">
        <v>0.20833333333333301</v>
      </c>
      <c r="I107" s="95">
        <v>84069.7586897289</v>
      </c>
      <c r="J107" s="95">
        <v>1751.4533060360188</v>
      </c>
      <c r="K107" s="95">
        <v>367.80519426756393</v>
      </c>
      <c r="L107" s="95">
        <v>2119.2585003035829</v>
      </c>
      <c r="M107" s="95">
        <v>466.23687006678824</v>
      </c>
      <c r="N107" s="95">
        <v>2585.4953703703713</v>
      </c>
      <c r="O107" s="95">
        <v>904.92337962962995</v>
      </c>
      <c r="P107" s="97">
        <v>3490.4187500000012</v>
      </c>
      <c r="Q107" s="105"/>
    </row>
    <row r="108" spans="2:20" x14ac:dyDescent="0.25">
      <c r="G108"/>
      <c r="I108" s="111"/>
    </row>
  </sheetData>
  <conditionalFormatting sqref="B20:C20">
    <cfRule type="cellIs" dxfId="16" priority="17" stopIfTrue="1" operator="equal">
      <formula>0</formula>
    </cfRule>
  </conditionalFormatting>
  <conditionalFormatting sqref="B63:D63">
    <cfRule type="cellIs" dxfId="15" priority="11" stopIfTrue="1" operator="equal">
      <formula>0</formula>
    </cfRule>
  </conditionalFormatting>
  <conditionalFormatting sqref="B16:F19">
    <cfRule type="cellIs" dxfId="14" priority="15" stopIfTrue="1" operator="equal">
      <formula>0</formula>
    </cfRule>
  </conditionalFormatting>
  <conditionalFormatting sqref="B101:G103">
    <cfRule type="cellIs" dxfId="13" priority="5" stopIfTrue="1" operator="equal">
      <formula>0</formula>
    </cfRule>
  </conditionalFormatting>
  <conditionalFormatting sqref="B106:G107">
    <cfRule type="cellIs" dxfId="12" priority="3" stopIfTrue="1" operator="equal">
      <formula>0</formula>
    </cfRule>
  </conditionalFormatting>
  <conditionalFormatting sqref="B69:Q69">
    <cfRule type="cellIs" dxfId="11" priority="10" stopIfTrue="1" operator="equal">
      <formula>0</formula>
    </cfRule>
  </conditionalFormatting>
  <conditionalFormatting sqref="B73:Q74">
    <cfRule type="cellIs" dxfId="10" priority="9" stopIfTrue="1" operator="equal">
      <formula>0</formula>
    </cfRule>
  </conditionalFormatting>
  <conditionalFormatting sqref="B96:Q97">
    <cfRule type="cellIs" dxfId="9" priority="6" stopIfTrue="1" operator="equal">
      <formula>0</formula>
    </cfRule>
  </conditionalFormatting>
  <conditionalFormatting sqref="B99:Q99">
    <cfRule type="cellIs" dxfId="8" priority="7" stopIfTrue="1" operator="equal">
      <formula>0</formula>
    </cfRule>
  </conditionalFormatting>
  <conditionalFormatting sqref="B104:Q104">
    <cfRule type="cellIs" dxfId="7" priority="1" stopIfTrue="1" operator="equal">
      <formula>0</formula>
    </cfRule>
  </conditionalFormatting>
  <conditionalFormatting sqref="C28">
    <cfRule type="cellIs" dxfId="6" priority="14" stopIfTrue="1" operator="equal">
      <formula>0</formula>
    </cfRule>
  </conditionalFormatting>
  <conditionalFormatting sqref="E20:F20">
    <cfRule type="cellIs" dxfId="5" priority="16" stopIfTrue="1" operator="equal">
      <formula>0</formula>
    </cfRule>
  </conditionalFormatting>
  <conditionalFormatting sqref="E58:G61 J58:Q61">
    <cfRule type="cellIs" dxfId="4" priority="12" stopIfTrue="1" operator="equal">
      <formula>0</formula>
    </cfRule>
  </conditionalFormatting>
  <conditionalFormatting sqref="E89:Q94">
    <cfRule type="cellIs" dxfId="3" priority="8" stopIfTrue="1" operator="equal">
      <formula>0</formula>
    </cfRule>
  </conditionalFormatting>
  <conditionalFormatting sqref="G16:Q20">
    <cfRule type="cellIs" dxfId="2" priority="13" stopIfTrue="1" operator="equal">
      <formula>0</formula>
    </cfRule>
  </conditionalFormatting>
  <conditionalFormatting sqref="I101:Q103">
    <cfRule type="cellIs" dxfId="1" priority="4" stopIfTrue="1" operator="equal">
      <formula>0</formula>
    </cfRule>
  </conditionalFormatting>
  <conditionalFormatting sqref="I106:Q107">
    <cfRule type="cellIs" dxfId="0" priority="2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26</vt:lpstr>
    </vt:vector>
  </TitlesOfParts>
  <Company>Swift Argentina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Funes</dc:creator>
  <cp:lastModifiedBy>Nicolas Gentile</cp:lastModifiedBy>
  <dcterms:created xsi:type="dcterms:W3CDTF">2026-01-03T11:23:46Z</dcterms:created>
  <dcterms:modified xsi:type="dcterms:W3CDTF">2026-01-08T15:41:59Z</dcterms:modified>
</cp:coreProperties>
</file>