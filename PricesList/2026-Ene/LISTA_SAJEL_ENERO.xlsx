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Ene/"/>
    </mc:Choice>
  </mc:AlternateContent>
  <xr:revisionPtr revIDLastSave="0" documentId="8_{9B4B6FAE-8831-4B6B-80FF-B307FB068938}" xr6:coauthVersionLast="47" xr6:coauthVersionMax="47" xr10:uidLastSave="{00000000-0000-0000-0000-000000000000}"/>
  <bookViews>
    <workbookView xWindow="-120" yWindow="-120" windowWidth="20730" windowHeight="11040" xr2:uid="{AF304462-661B-4F09-9D60-68DB77C52EC4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" i="1" l="1"/>
  <c r="G107" i="1"/>
  <c r="F106" i="1"/>
  <c r="D106" i="1"/>
  <c r="C106" i="1"/>
  <c r="G105" i="1"/>
  <c r="C105" i="1"/>
  <c r="C104" i="1" s="1"/>
  <c r="G104" i="1"/>
  <c r="G103" i="1"/>
  <c r="C103" i="1"/>
  <c r="D103" i="1" s="1"/>
  <c r="G102" i="1"/>
  <c r="D102" i="1"/>
  <c r="C102" i="1"/>
  <c r="G100" i="1"/>
  <c r="C100" i="1"/>
  <c r="D100" i="1" s="1"/>
  <c r="G99" i="1"/>
  <c r="C99" i="1"/>
  <c r="C98" i="1" s="1"/>
  <c r="G97" i="1"/>
  <c r="C97" i="1"/>
  <c r="D97" i="1" s="1"/>
  <c r="G96" i="1"/>
  <c r="C96" i="1"/>
  <c r="D96" i="1" s="1"/>
  <c r="G94" i="1"/>
  <c r="C94" i="1"/>
  <c r="D94" i="1" s="1"/>
  <c r="G93" i="1"/>
  <c r="C93" i="1"/>
  <c r="D93" i="1" s="1"/>
  <c r="G92" i="1"/>
  <c r="C92" i="1"/>
  <c r="D92" i="1" s="1"/>
  <c r="G90" i="1"/>
  <c r="C90" i="1"/>
  <c r="D90" i="1" s="1"/>
  <c r="G89" i="1"/>
  <c r="C89" i="1"/>
  <c r="D89" i="1" s="1"/>
  <c r="G88" i="1"/>
  <c r="D88" i="1"/>
  <c r="C88" i="1"/>
  <c r="G87" i="1"/>
  <c r="C87" i="1"/>
  <c r="D87" i="1" s="1"/>
  <c r="G86" i="1"/>
  <c r="C86" i="1"/>
  <c r="D86" i="1" s="1"/>
  <c r="G85" i="1"/>
  <c r="C85" i="1"/>
  <c r="D85" i="1" s="1"/>
  <c r="G84" i="1"/>
  <c r="C84" i="1"/>
  <c r="D84" i="1" s="1"/>
  <c r="G83" i="1"/>
  <c r="C83" i="1"/>
  <c r="D83" i="1" s="1"/>
  <c r="G82" i="1"/>
  <c r="D82" i="1"/>
  <c r="C82" i="1"/>
  <c r="G81" i="1"/>
  <c r="C81" i="1"/>
  <c r="D81" i="1" s="1"/>
  <c r="G80" i="1"/>
  <c r="C80" i="1"/>
  <c r="D80" i="1" s="1"/>
  <c r="G79" i="1"/>
  <c r="C79" i="1"/>
  <c r="D79" i="1" s="1"/>
  <c r="G78" i="1"/>
  <c r="C78" i="1"/>
  <c r="D78" i="1" s="1"/>
  <c r="G76" i="1"/>
  <c r="C76" i="1"/>
  <c r="D76" i="1" s="1"/>
  <c r="G75" i="1"/>
  <c r="C75" i="1"/>
  <c r="D75" i="1" s="1"/>
  <c r="G74" i="1"/>
  <c r="C74" i="1"/>
  <c r="D74" i="1" s="1"/>
  <c r="G73" i="1"/>
  <c r="C73" i="1"/>
  <c r="D73" i="1" s="1"/>
  <c r="G72" i="1"/>
  <c r="C72" i="1"/>
  <c r="D72" i="1" s="1"/>
  <c r="G71" i="1"/>
  <c r="D71" i="1"/>
  <c r="C71" i="1"/>
  <c r="G70" i="1"/>
  <c r="C70" i="1"/>
  <c r="D70" i="1" s="1"/>
  <c r="G69" i="1"/>
  <c r="D69" i="1"/>
  <c r="C69" i="1"/>
  <c r="C67" i="1"/>
  <c r="D67" i="1" s="1"/>
  <c r="C66" i="1"/>
  <c r="D66" i="1" s="1"/>
  <c r="C65" i="1"/>
  <c r="D65" i="1" s="1"/>
  <c r="C64" i="1"/>
  <c r="D64" i="1" s="1"/>
  <c r="G63" i="1"/>
  <c r="D63" i="1"/>
  <c r="G62" i="1"/>
  <c r="D62" i="1"/>
  <c r="G61" i="1"/>
  <c r="D61" i="1"/>
  <c r="G60" i="1"/>
  <c r="D60" i="1"/>
  <c r="G59" i="1"/>
  <c r="D59" i="1"/>
  <c r="G58" i="1"/>
  <c r="D58" i="1"/>
  <c r="G57" i="1"/>
  <c r="D57" i="1"/>
  <c r="G56" i="1"/>
  <c r="D56" i="1"/>
  <c r="G55" i="1"/>
  <c r="D55" i="1"/>
  <c r="G54" i="1"/>
  <c r="D54" i="1"/>
  <c r="G53" i="1"/>
  <c r="D53" i="1"/>
  <c r="G52" i="1"/>
  <c r="D52" i="1"/>
  <c r="G51" i="1"/>
  <c r="D51" i="1"/>
  <c r="G50" i="1"/>
  <c r="D50" i="1"/>
  <c r="G49" i="1"/>
  <c r="D49" i="1"/>
  <c r="G48" i="1"/>
  <c r="D48" i="1"/>
  <c r="G47" i="1"/>
  <c r="D47" i="1"/>
  <c r="G46" i="1"/>
  <c r="D46" i="1"/>
  <c r="G45" i="1"/>
  <c r="C45" i="1"/>
  <c r="G44" i="1"/>
  <c r="C44" i="1"/>
  <c r="D44" i="1" s="1"/>
  <c r="G43" i="1"/>
  <c r="C43" i="1"/>
  <c r="D43" i="1" s="1"/>
  <c r="G42" i="1"/>
  <c r="C42" i="1"/>
  <c r="D42" i="1" s="1"/>
  <c r="G41" i="1"/>
  <c r="C41" i="1"/>
  <c r="G40" i="1"/>
  <c r="C40" i="1"/>
  <c r="D40" i="1" s="1"/>
  <c r="G39" i="1"/>
  <c r="C39" i="1"/>
  <c r="D39" i="1" s="1"/>
  <c r="G38" i="1"/>
  <c r="D38" i="1"/>
  <c r="C38" i="1"/>
  <c r="G37" i="1"/>
  <c r="C37" i="1"/>
  <c r="D37" i="1" s="1"/>
  <c r="G36" i="1"/>
  <c r="C36" i="1"/>
  <c r="D36" i="1" s="1"/>
  <c r="G35" i="1"/>
  <c r="F35" i="1" s="1"/>
  <c r="G34" i="1"/>
  <c r="C34" i="1"/>
  <c r="D34" i="1" s="1"/>
  <c r="G33" i="1"/>
  <c r="D33" i="1"/>
  <c r="C33" i="1"/>
  <c r="G32" i="1"/>
  <c r="C32" i="1"/>
  <c r="D32" i="1" s="1"/>
  <c r="G31" i="1"/>
  <c r="C31" i="1"/>
  <c r="D31" i="1" s="1"/>
  <c r="G30" i="1"/>
  <c r="C30" i="1"/>
  <c r="D30" i="1" s="1"/>
  <c r="G29" i="1"/>
  <c r="C29" i="1"/>
  <c r="D29" i="1" s="1"/>
  <c r="G28" i="1"/>
  <c r="C28" i="1"/>
  <c r="D28" i="1" s="1"/>
  <c r="G27" i="1"/>
  <c r="C27" i="1"/>
  <c r="D27" i="1" s="1"/>
  <c r="G26" i="1"/>
  <c r="C26" i="1"/>
  <c r="D26" i="1" s="1"/>
  <c r="G25" i="1"/>
  <c r="D25" i="1"/>
  <c r="C25" i="1"/>
  <c r="G24" i="1"/>
  <c r="C24" i="1"/>
  <c r="D24" i="1" s="1"/>
  <c r="G23" i="1"/>
  <c r="C23" i="1"/>
  <c r="D23" i="1" s="1"/>
  <c r="G22" i="1"/>
  <c r="C22" i="1"/>
  <c r="D22" i="1" s="1"/>
  <c r="G21" i="1"/>
  <c r="C21" i="1"/>
  <c r="D21" i="1" s="1"/>
  <c r="G20" i="1"/>
  <c r="C20" i="1"/>
  <c r="D20" i="1" s="1"/>
  <c r="G19" i="1"/>
  <c r="D19" i="1"/>
  <c r="C19" i="1"/>
  <c r="G18" i="1"/>
  <c r="C18" i="1"/>
  <c r="D18" i="1" s="1"/>
  <c r="G17" i="1"/>
  <c r="C17" i="1"/>
  <c r="D17" i="1" s="1"/>
  <c r="G16" i="1"/>
  <c r="D16" i="1"/>
  <c r="C16" i="1"/>
  <c r="G15" i="1"/>
  <c r="C15" i="1"/>
  <c r="D15" i="1" s="1"/>
  <c r="G14" i="1"/>
  <c r="C14" i="1"/>
  <c r="D14" i="1" s="1"/>
  <c r="G13" i="1"/>
  <c r="C13" i="1"/>
  <c r="D13" i="1" s="1"/>
  <c r="G12" i="1"/>
  <c r="C12" i="1"/>
  <c r="D12" i="1" s="1"/>
  <c r="G11" i="1"/>
  <c r="C11" i="1"/>
  <c r="D11" i="1" s="1"/>
  <c r="G10" i="1"/>
  <c r="C10" i="1"/>
  <c r="D10" i="1" s="1"/>
  <c r="G9" i="1"/>
  <c r="C9" i="1"/>
  <c r="D9" i="1" s="1"/>
  <c r="G8" i="1"/>
  <c r="C8" i="1"/>
  <c r="D8" i="1" s="1"/>
  <c r="G7" i="1"/>
  <c r="C7" i="1"/>
  <c r="D7" i="1" s="1"/>
  <c r="G6" i="1"/>
  <c r="C6" i="1"/>
  <c r="D6" i="1" s="1"/>
  <c r="G5" i="1"/>
  <c r="C5" i="1"/>
  <c r="D5" i="1" s="1"/>
  <c r="G4" i="1"/>
  <c r="C4" i="1"/>
  <c r="D4" i="1" s="1"/>
  <c r="G3" i="1"/>
  <c r="C3" i="1"/>
  <c r="D3" i="1" s="1"/>
  <c r="D2" i="1" l="1"/>
  <c r="C2" i="1"/>
  <c r="C35" i="1"/>
  <c r="D91" i="1"/>
  <c r="C101" i="1"/>
  <c r="C68" i="1"/>
  <c r="D45" i="1"/>
  <c r="D99" i="1"/>
  <c r="D98" i="1" s="1"/>
  <c r="D77" i="1"/>
  <c r="D95" i="1"/>
  <c r="D68" i="1"/>
  <c r="D101" i="1"/>
  <c r="D41" i="1"/>
  <c r="D35" i="1" s="1"/>
  <c r="D105" i="1"/>
  <c r="D104" i="1" s="1"/>
  <c r="C91" i="1"/>
  <c r="C77" i="1"/>
  <c r="C95" i="1"/>
  <c r="F98" i="1" l="1"/>
  <c r="G98" i="1"/>
  <c r="G101" i="1"/>
  <c r="F101" i="1"/>
  <c r="G77" i="1"/>
  <c r="F77" i="1"/>
  <c r="F64" i="1"/>
  <c r="G64" i="1"/>
  <c r="F91" i="1"/>
  <c r="G91" i="1"/>
  <c r="G68" i="1"/>
  <c r="F68" i="1"/>
  <c r="G67" i="1"/>
  <c r="F67" i="1"/>
  <c r="F95" i="1"/>
  <c r="G95" i="1"/>
  <c r="F66" i="1"/>
  <c r="G66" i="1"/>
  <c r="F65" i="1"/>
  <c r="G65" i="1"/>
</calcChain>
</file>

<file path=xl/sharedStrings.xml><?xml version="1.0" encoding="utf-8"?>
<sst xmlns="http://schemas.openxmlformats.org/spreadsheetml/2006/main" count="107" uniqueCount="107">
  <si>
    <t>Total categoría Hamburguesas</t>
  </si>
  <si>
    <t>HAMBURGUESAS 30x160g CLASICA x2</t>
  </si>
  <si>
    <t>HAMBURGUESA 18X4X80G CLASICA SWIFT</t>
  </si>
  <si>
    <t>HAMBURGUESA 8X12X80G CLASICA SWIFT</t>
  </si>
  <si>
    <t xml:space="preserve">HAMBURGUESA 6X20X80G CLASICA SWIFT </t>
  </si>
  <si>
    <t xml:space="preserve">HAMBURGUESA 30X250g CLASICA "XL" SWIFT </t>
  </si>
  <si>
    <t>HAMBURGUESAS 24X240G SWIFT TIPO CASERA</t>
  </si>
  <si>
    <t xml:space="preserve">HAMBURGUESA X-TREMA 36 x 185g </t>
  </si>
  <si>
    <t>MEDALLON 18X4X80G PARRILLERO SWIFT</t>
  </si>
  <si>
    <t>MEDALLONES 60X80g "SWIFT BURGER" PARRILLERAS FAMILY</t>
  </si>
  <si>
    <t>MEDALLONES 18X4X80G SWIFT RECETA ESPECIAL (MEDALLON- ARG)</t>
  </si>
  <si>
    <t>Medallón CAJITA 12x4 69 grs</t>
  </si>
  <si>
    <t>MEDALLONES BURGER 8x12un x 69gr</t>
  </si>
  <si>
    <t>MEDALLON 42X112G DOBLE BURGER SWIFT</t>
  </si>
  <si>
    <t>MED.DOBLE BURGER x 4 - 21x224g</t>
  </si>
  <si>
    <t>MEDALLON 30x160g MEGA BURGER SWIFT</t>
  </si>
  <si>
    <t>MEDALLON 42X112G LA BLANCA</t>
  </si>
  <si>
    <t>MEDALLON 12x4X69G LA BLANCA</t>
  </si>
  <si>
    <t>MEDALLONES 60 X 69 GRS SWIFT BURGUER PARRILLERAS FAMILY</t>
  </si>
  <si>
    <t>Medallon   60X69G Carne Vacuna</t>
  </si>
  <si>
    <t>Medallón Parrilero MC Swift  x60 80 grs</t>
  </si>
  <si>
    <t xml:space="preserve">MEDALLON 60x80g PROMOFIESTA </t>
  </si>
  <si>
    <t>MEDALLON 40X109G CARNE VACUNA PARRILLERO SWIFT</t>
  </si>
  <si>
    <t>MEDALLON 60X109G CARNE VACUNA PARRILLERO SWIFT</t>
  </si>
  <si>
    <t>MEDALLON GIGANTE 113,5 g</t>
  </si>
  <si>
    <t>Hamburguesa Dia 18 X 4</t>
  </si>
  <si>
    <t>Hamburguesa Dia 12 X 12</t>
  </si>
  <si>
    <t>Hamburguesa Dia 6 X 20</t>
  </si>
  <si>
    <t>Hamburguesa La Anonima X 4</t>
  </si>
  <si>
    <t>Hamburguesa La Anonima X 12</t>
  </si>
  <si>
    <t>Hamburguesa La Anonima X 20</t>
  </si>
  <si>
    <t>HAMBURGUESA 36 X 185 GR</t>
  </si>
  <si>
    <t>HAMBURGUESA 30x 106 GR</t>
  </si>
  <si>
    <t>Total categoría Salchichas</t>
  </si>
  <si>
    <t>SALCHICHAS 24X6 SWIFT</t>
  </si>
  <si>
    <t xml:space="preserve">SALCHICHAS SWIFT SIN GLUTEN 24x6 x 225 g </t>
  </si>
  <si>
    <t>SALCHICHAS 12X12 SWIFT</t>
  </si>
  <si>
    <t xml:space="preserve">SALCHICHAS SWIFT SIN GLUTEN 12X12 x 450 g </t>
  </si>
  <si>
    <t>SALCHICHAS  LARGAS  10 x 12  SWIFT  INSTITUCIONAL</t>
  </si>
  <si>
    <t xml:space="preserve">SALCHICHAS LARGAS SWIFT SIN GLUTEN 10X12 x 870 g  </t>
  </si>
  <si>
    <t>SALCHICHAS SIN PIEL "LA BLANCA"  24X6X190 Grs;</t>
  </si>
  <si>
    <t xml:space="preserve">SALCHICHAS LARGAS 10 x 12 x 870g  </t>
  </si>
  <si>
    <t>SALCHICHAS SIN PIEL 24X6 "SWIFT KIDS" X 190 g</t>
  </si>
  <si>
    <t>Total categoría Untables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</si>
  <si>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</si>
  <si>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</si>
  <si>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</si>
  <si>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</si>
  <si>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</si>
  <si>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</si>
  <si>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</si>
  <si>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</si>
  <si>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</si>
  <si>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</si>
  <si>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>PATE DE SALMON 24X85G SWIFT GOURMET</t>
  </si>
  <si>
    <t xml:space="preserve">PATE JAMON AHUMADO 24X85G </t>
  </si>
  <si>
    <t>PATE HONGOS 24X85G</t>
  </si>
  <si>
    <t xml:space="preserve">SURTIDO GOURMET 24X85G SWIFT GOURMET </t>
  </si>
  <si>
    <t>PICADILLO DE CARNE 24X90G LA BLANCA</t>
  </si>
  <si>
    <t>PATE DE FOIE 24X90G LA BLANCA</t>
  </si>
  <si>
    <t>PICADILLO DE CARNE 24X90G SAFRA</t>
  </si>
  <si>
    <t>PATE DE FOIE 24X90G SAFRA</t>
  </si>
  <si>
    <t xml:space="preserve">PICADILLO DE CARNE DIA 24X90G </t>
  </si>
  <si>
    <t xml:space="preserve">PATE  DIA 24X90G </t>
  </si>
  <si>
    <t>PATE DE FOI  PRIMER PRECIO  -  24 X 90  Grs.</t>
  </si>
  <si>
    <t>PICADILLO DE CARNE PRIMER PRECIO  -  24 X 90 Grs.</t>
  </si>
  <si>
    <t>Total categoría Milanesas de Soja</t>
  </si>
  <si>
    <t>MILANESAS DE SOJA RELLENAS CON JAMON Y QUESO</t>
  </si>
  <si>
    <t>MILANESAS DE SOJA RELLENAS CON ESPINACA Y QUESO</t>
  </si>
  <si>
    <t>MILANESAS DE SOJA RELLENAS CON TOMATE Y QUESO</t>
  </si>
  <si>
    <t>MILANESAS DE SOJA CLASICAS PREFRITAS</t>
  </si>
  <si>
    <t>MEDALLÓN A BASE DE CALABAZA Y CHOCLO PREFRITO SUPERCONGELADO</t>
  </si>
  <si>
    <t>MEDALLÓN A BASE DE ESPINACA CON SOJA PREFRITO SUPERCONGELADO 18x300g</t>
  </si>
  <si>
    <t>CROQUETA A BASE DE BRÓCOLI Y SOJA PREFRITO SUPERCONGELADO 300g</t>
  </si>
  <si>
    <t>CROQUETA A BASE DE ESPINACA Y SOJA REBOZADA SUPERCONGELADA 300g</t>
  </si>
  <si>
    <t>Total categoría Rebozados de Carne</t>
  </si>
  <si>
    <t>BOCADITOS DE CARNE "SWIFT" - 12x380g</t>
  </si>
  <si>
    <t>BOCADITOS DE POLLO "SWIFT" - 12x380g</t>
  </si>
  <si>
    <t>BOCADITOS DE CARNE "SWIFT" - 10x760g</t>
  </si>
  <si>
    <t>BOCADITOS DE POLLO "SWIFT" - 10x760g</t>
  </si>
  <si>
    <t>CRUNCHIES DE POLLO "SWIFT" - 12x380g</t>
  </si>
  <si>
    <t>CRUNCHIES DE POLLO "SWIFT" - 10x760g</t>
  </si>
  <si>
    <t>BOCADITOS DE POLLO "SWIFT KIDS" - 12x400g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</si>
  <si>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</si>
  <si>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</si>
  <si>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</si>
  <si>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</si>
  <si>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GASTRONOMICOS - 8x12x80g</t>
  </si>
  <si>
    <t>BOCADITOS DE POLLO GASTRONOMICOS "LA BLANCA" - x6kg</t>
  </si>
  <si>
    <t>Total categoría Milanesas</t>
  </si>
  <si>
    <t>Milanesa de Carne Vacuna  Cong. 24x500Grs.</t>
  </si>
  <si>
    <t>Milanesa de Carne Vacuna  Cong. 12x1 Kg.</t>
  </si>
  <si>
    <t>Milanesa de Carne Vacuna  Cong. X 5 Kg.</t>
  </si>
  <si>
    <t>Total categoría Grasa</t>
  </si>
  <si>
    <t>GRASA VACUNA REFINADA SWIFT 10 X 500</t>
  </si>
  <si>
    <t>GRASA VACUNA REFINADA SWIFT 12x1Kg</t>
  </si>
  <si>
    <t>Total categoría Carne Picada</t>
  </si>
  <si>
    <t>CARNE PICADA CONGELADA 20 X 1 Kg. SW</t>
  </si>
  <si>
    <t>CARNE PICADA CONGELADA 36 UN x 500 g SWIFT</t>
  </si>
  <si>
    <t>Total categoría Chorizos</t>
  </si>
  <si>
    <t>CHORIZOS FRESCOS DE CERDO LIBRE DE GLUTEN</t>
  </si>
  <si>
    <t>CHORIZOS CONG. DE CERDO LIBRE DE GLUTEN SWIFT  12 X 400 Grs.</t>
  </si>
  <si>
    <t>Total categoría Papas</t>
  </si>
  <si>
    <t>PAPAS PRE COCIDAS SUPERCONGELADAS LIBRES DE GLUTEN 700g</t>
  </si>
  <si>
    <t>Total categoría Atun</t>
  </si>
  <si>
    <t>LOMO DE ATUN AL NATURAL SWIFT 170g</t>
  </si>
  <si>
    <t>LOMO DE ATUN EN ACEITE SWIFT 170g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</si>
</sst>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_ ;\-#,##0\ "/>
    <numFmt numFmtId="165" formatCode="_ &quot;$ &quot;* #,##0.00_ ;_ &quot;$ &quot;* \-#,##0.00_ ;_ &quot;$ &quot;* \-??_ ;_ @_ "/>
    <numFmt numFmtId="166" formatCode="&quot;$ &quot;#,##0"/>
    <numFmt numFmtId="168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color indexed="9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theme="0" tint="-0.49998474074526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1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theme="1"/>
        <bgColor indexed="58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3" fillId="0" borderId="0" applyFill="0" applyBorder="0" applyAlignment="0" applyProtection="0"/>
    <xf numFmtId="165" fontId="3" fillId="0" borderId="0" applyFill="0" applyBorder="0" applyAlignment="0" applyProtection="0"/>
  </cellStyleXfs>
  <cellXfs count="31">
    <xf numFmtId="0" fontId="0" fillId="0" borderId="0" xfId="0"/>
    <xf numFmtId="0" fontId="4" fillId="2" borderId="0" xfId="2" applyNumberFormat="1" applyFont="1" applyFill="1" applyBorder="1" applyAlignment="1" applyProtection="1">
      <alignment horizontal="center" vertical="center" wrapText="1"/>
    </xf>
    <xf numFmtId="164" fontId="4" fillId="2" borderId="0" xfId="2" applyNumberFormat="1" applyFont="1" applyFill="1" applyBorder="1" applyAlignment="1" applyProtection="1">
      <alignment horizontal="center" vertical="center"/>
    </xf>
    <xf numFmtId="0" fontId="4" fillId="2" borderId="0" xfId="2" applyNumberFormat="1" applyFont="1" applyFill="1" applyBorder="1" applyAlignment="1" applyProtection="1">
      <alignment horizontal="center" vertical="center"/>
    </xf>
    <xf numFmtId="1" fontId="1" fillId="0" borderId="1" xfId="1" applyNumberFormat="1" applyFill="1" applyBorder="1" applyAlignment="1" applyProtection="1">
      <protection locked="0"/>
    </xf>
    <xf numFmtId="0" fontId="5" fillId="0" borderId="1" xfId="3" applyNumberFormat="1" applyFont="1" applyFill="1" applyBorder="1" applyAlignment="1" applyProtection="1">
      <protection locked="0"/>
    </xf>
    <xf numFmtId="9" fontId="6" fillId="3" borderId="4" xfId="4" applyFont="1" applyFill="1" applyBorder="1" applyAlignment="1" applyProtection="1">
      <alignment horizontal="center"/>
      <protection locked="0"/>
    </xf>
    <xf numFmtId="0" fontId="2" fillId="2" borderId="1" xfId="2" applyNumberFormat="1" applyFont="1" applyFill="1" applyBorder="1" applyAlignment="1" applyProtection="1">
      <alignment horizontal="center" vertical="center" wrapText="1"/>
    </xf>
    <xf numFmtId="3" fontId="2" fillId="2" borderId="0" xfId="2" applyNumberFormat="1" applyFont="1" applyFill="1" applyBorder="1" applyAlignment="1" applyProtection="1">
      <alignment horizontal="center" vertical="center"/>
    </xf>
    <xf numFmtId="9" fontId="6" fillId="5" borderId="4" xfId="4" applyFont="1" applyFill="1" applyBorder="1" applyAlignment="1" applyProtection="1">
      <alignment horizontal="center"/>
      <protection locked="0"/>
    </xf>
    <xf numFmtId="1" fontId="1" fillId="6" borderId="1" xfId="1" applyNumberFormat="1" applyFill="1" applyBorder="1" applyAlignment="1" applyProtection="1">
      <protection locked="0"/>
    </xf>
    <xf numFmtId="0" fontId="5" fillId="6" borderId="1" xfId="3" applyNumberFormat="1" applyFont="1" applyFill="1" applyBorder="1" applyAlignment="1" applyProtection="1">
      <protection locked="0"/>
    </xf>
    <xf numFmtId="9" fontId="6" fillId="8" borderId="4" xfId="4" applyFont="1" applyFill="1" applyBorder="1" applyAlignment="1" applyProtection="1">
      <alignment horizontal="center"/>
      <protection locked="0"/>
    </xf>
    <xf numFmtId="0" fontId="7" fillId="0" borderId="1" xfId="3" applyNumberFormat="1" applyFont="1" applyFill="1" applyBorder="1" applyAlignment="1" applyProtection="1">
      <protection locked="0"/>
    </xf>
    <xf numFmtId="3" fontId="2" fillId="9" borderId="0" xfId="2" applyNumberFormat="1" applyFont="1" applyFill="1" applyBorder="1" applyAlignment="1" applyProtection="1">
      <alignment horizontal="center" vertical="center"/>
    </xf>
    <xf numFmtId="166" fontId="2" fillId="9" borderId="6" xfId="5" applyNumberFormat="1" applyFont="1" applyFill="1" applyBorder="1" applyAlignment="1" applyProtection="1">
      <alignment horizontal="center" vertical="center"/>
    </xf>
    <xf numFmtId="166" fontId="8" fillId="9" borderId="0" xfId="5" applyNumberFormat="1" applyFont="1" applyFill="1" applyBorder="1" applyAlignment="1" applyProtection="1">
      <alignment horizontal="center" vertical="center"/>
    </xf>
    <xf numFmtId="0" fontId="7" fillId="10" borderId="1" xfId="3" applyNumberFormat="1" applyFont="1" applyFill="1" applyBorder="1" applyAlignment="1" applyProtection="1">
      <protection locked="0"/>
    </xf>
    <xf numFmtId="164" fontId="6" fillId="8" borderId="2" xfId="5" applyNumberFormat="1" applyFont="1" applyFill="1" applyBorder="1" applyAlignment="1" applyProtection="1">
      <alignment horizontal="center"/>
      <protection locked="0"/>
    </xf>
    <xf numFmtId="3" fontId="6" fillId="10" borderId="3" xfId="5" applyNumberFormat="1" applyFont="1" applyFill="1" applyBorder="1" applyAlignment="1" applyProtection="1">
      <alignment horizontal="center"/>
    </xf>
    <xf numFmtId="168" fontId="6" fillId="8" borderId="4" xfId="4" applyNumberFormat="1" applyFont="1" applyFill="1" applyBorder="1" applyAlignment="1" applyProtection="1">
      <alignment horizontal="center"/>
      <protection locked="0"/>
    </xf>
    <xf numFmtId="2" fontId="6" fillId="10" borderId="4" xfId="5" applyNumberFormat="1" applyFont="1" applyFill="1" applyBorder="1" applyAlignment="1" applyProtection="1">
      <alignment horizontal="center"/>
    </xf>
    <xf numFmtId="166" fontId="4" fillId="2" borderId="0" xfId="5" applyNumberFormat="1" applyFont="1" applyFill="1" applyBorder="1" applyAlignment="1" applyProtection="1">
      <alignment horizontal="center" vertical="center"/>
    </xf>
    <xf numFmtId="164" fontId="6" fillId="3" borderId="2" xfId="5" applyNumberFormat="1" applyFont="1" applyFill="1" applyBorder="1" applyAlignment="1" applyProtection="1">
      <alignment horizontal="center"/>
      <protection locked="0"/>
    </xf>
    <xf numFmtId="3" fontId="6" fillId="0" borderId="3" xfId="5" applyNumberFormat="1" applyFont="1" applyFill="1" applyBorder="1" applyAlignment="1" applyProtection="1">
      <alignment horizontal="center"/>
    </xf>
    <xf numFmtId="165" fontId="6" fillId="0" borderId="4" xfId="5" applyFont="1" applyFill="1" applyBorder="1" applyAlignment="1" applyProtection="1">
      <alignment horizontal="center"/>
    </xf>
    <xf numFmtId="2" fontId="6" fillId="0" borderId="4" xfId="5" applyNumberFormat="1" applyFont="1" applyFill="1" applyBorder="1" applyAlignment="1" applyProtection="1">
      <alignment horizontal="center"/>
    </xf>
    <xf numFmtId="165" fontId="6" fillId="4" borderId="4" xfId="5" applyFont="1" applyFill="1" applyBorder="1" applyAlignment="1" applyProtection="1">
      <alignment horizontal="center"/>
    </xf>
    <xf numFmtId="2" fontId="6" fillId="4" borderId="4" xfId="5" applyNumberFormat="1" applyFont="1" applyFill="1" applyBorder="1" applyAlignment="1" applyProtection="1">
      <alignment horizontal="center"/>
    </xf>
    <xf numFmtId="164" fontId="6" fillId="7" borderId="2" xfId="5" applyNumberFormat="1" applyFont="1" applyFill="1" applyBorder="1" applyAlignment="1" applyProtection="1">
      <alignment horizontal="center"/>
      <protection locked="0"/>
    </xf>
    <xf numFmtId="3" fontId="6" fillId="0" borderId="5" xfId="5" applyNumberFormat="1" applyFont="1" applyFill="1" applyBorder="1" applyAlignment="1" applyProtection="1">
      <alignment horizontal="center"/>
    </xf>
  </cellXfs>
  <cellStyles count="6">
    <cellStyle name="          _x000a__x000a_386grabber=VGA.3GR_x000a__x000a__Grilla ofertas confirmadas" xfId="2" xr:uid="{294A54DA-A064-4F96-8148-2B1AD6BBD4B7}"/>
    <cellStyle name="Millares" xfId="1" builtinId="3"/>
    <cellStyle name="Moneda 2" xfId="5" xr:uid="{9BFE44F0-961A-479A-848E-49A182CC0ABC}"/>
    <cellStyle name="Normal" xfId="0" builtinId="0"/>
    <cellStyle name="Normal_Grilla ofertas confirmadas SETIEMBRE" xfId="3" xr:uid="{850E0A2C-9354-4912-B5A2-4A19DBD4C21F}"/>
    <cellStyle name="Porcentaje 2" xfId="4" xr:uid="{7250EE64-A76C-478E-86E8-1BBAA32B4B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nervafoods-my.sharepoint.com/personal/nicolas_gentile_minervafoods_com/Documents/NG/Verbas/ENE%202026/SUPER_ENE_2026.xlsx" TargetMode="External"/><Relationship Id="rId1" Type="http://schemas.openxmlformats.org/officeDocument/2006/relationships/externalLinkPath" Target="/personal/nicolas_gentile_minervafoods_com/Documents/NG/Verbas/ENE%202026/SUPER_ENE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álisis Acciones Comerciales"/>
      <sheetName val="Resumen B. Even "/>
      <sheetName val="BE actualizar cada mes"/>
      <sheetName val="Listas DUX"/>
      <sheetName val="Contratos"/>
      <sheetName val="Informe De Clientes"/>
      <sheetName val="Hoja1"/>
      <sheetName val="INfo de ventas ultimos 3 meses"/>
      <sheetName val="Hoja3"/>
      <sheetName val="MILLAN2"/>
    </sheetNames>
    <sheetDataSet>
      <sheetData sheetId="0"/>
      <sheetData sheetId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</row>
        <row r="5">
          <cell r="A5" t="str">
            <v>MARGEN CONTRIBUCION " Todas las categorías "</v>
          </cell>
          <cell r="N5" t="str">
            <v>FORMULAS</v>
          </cell>
        </row>
        <row r="6">
          <cell r="A6" t="str">
            <v>Info actualizada al:</v>
          </cell>
          <cell r="N6">
            <v>0</v>
          </cell>
          <cell r="O6">
            <v>0</v>
          </cell>
          <cell r="T6">
            <v>0</v>
          </cell>
          <cell r="U6">
            <v>0</v>
          </cell>
        </row>
        <row r="7">
          <cell r="C7" t="str">
            <v>PRECIO DE</v>
          </cell>
        </row>
        <row r="8">
          <cell r="C8" t="str">
            <v>MERCADO</v>
          </cell>
          <cell r="T8" t="str">
            <v>los cf de ha salen de consolidado general (completar de carlos)!!!</v>
          </cell>
        </row>
        <row r="9">
          <cell r="C9" t="str">
            <v>( = )</v>
          </cell>
          <cell r="D9" t="str">
            <v>( - )</v>
          </cell>
          <cell r="F9" t="str">
            <v>( - )</v>
          </cell>
          <cell r="H9" t="str">
            <v>( - )</v>
          </cell>
          <cell r="J9" t="str">
            <v>( - )</v>
          </cell>
          <cell r="M9" t="str">
            <v>( = )</v>
          </cell>
          <cell r="N9" t="str">
            <v>( - )</v>
          </cell>
          <cell r="O9" t="str">
            <v>( - )</v>
          </cell>
          <cell r="P9" t="str">
            <v>( = )</v>
          </cell>
          <cell r="T9" t="str">
            <v>Costo</v>
          </cell>
          <cell r="U9" t="str">
            <v>Costo</v>
          </cell>
          <cell r="V9" t="str">
            <v>( = )</v>
          </cell>
          <cell r="AI9" t="str">
            <v>CONSOLIDADO GENERAL</v>
          </cell>
        </row>
        <row r="10">
          <cell r="A10" t="str">
            <v>R O S A R I O</v>
          </cell>
          <cell r="C10" t="str">
            <v>$</v>
          </cell>
          <cell r="D10" t="str">
            <v>Ing.Brutos</v>
          </cell>
          <cell r="E10" t="str">
            <v>%</v>
          </cell>
          <cell r="F10" t="str">
            <v>Abastos</v>
          </cell>
          <cell r="G10" t="str">
            <v>%</v>
          </cell>
          <cell r="H10" t="str">
            <v>Derechos</v>
          </cell>
          <cell r="I10" t="str">
            <v>%</v>
          </cell>
          <cell r="J10" t="str">
            <v>Bonif.</v>
          </cell>
          <cell r="K10" t="str">
            <v>%</v>
          </cell>
          <cell r="M10" t="str">
            <v>Rec.Neta</v>
          </cell>
          <cell r="N10" t="str">
            <v>Costo Marg.</v>
          </cell>
          <cell r="O10" t="str">
            <v>Flete</v>
          </cell>
          <cell r="P10" t="str">
            <v>Marg.Contrib.</v>
          </cell>
          <cell r="T10" t="str">
            <v>Fijo</v>
          </cell>
          <cell r="U10" t="str">
            <v>MKTG</v>
          </cell>
          <cell r="V10" t="str">
            <v>Res.Neto</v>
          </cell>
          <cell r="Y10" t="str">
            <v>Caja</v>
          </cell>
          <cell r="Z10" t="str">
            <v>Total kg</v>
          </cell>
          <cell r="AA10" t="str">
            <v>TOTAL</v>
          </cell>
          <cell r="AB10" t="str">
            <v>TOTAL Neto</v>
          </cell>
          <cell r="AD10" t="str">
            <v>MARGEN DE CONTRIBUCIÓN</v>
          </cell>
          <cell r="AI10" t="str">
            <v>RESULTADO NETO</v>
          </cell>
        </row>
        <row r="11">
          <cell r="A11" t="str">
            <v>Cod.</v>
          </cell>
          <cell r="B11" t="str">
            <v>Descripcion</v>
          </cell>
          <cell r="C11" t="str">
            <v>Cj</v>
          </cell>
          <cell r="D11" t="str">
            <v>$/Cx.</v>
          </cell>
          <cell r="E11">
            <v>0.02</v>
          </cell>
          <cell r="F11" t="str">
            <v>$/Cx.</v>
          </cell>
          <cell r="H11" t="str">
            <v>$/Cx.</v>
          </cell>
          <cell r="J11" t="str">
            <v>$/Cx.</v>
          </cell>
          <cell r="M11" t="str">
            <v>$/Cj.</v>
          </cell>
          <cell r="N11" t="str">
            <v>$/Cj.</v>
          </cell>
          <cell r="O11" t="str">
            <v>$/Cx.</v>
          </cell>
          <cell r="P11" t="str">
            <v>$/Cj.</v>
          </cell>
          <cell r="Q11" t="str">
            <v>$/Kg.</v>
          </cell>
          <cell r="R11" t="str">
            <v>%</v>
          </cell>
          <cell r="T11" t="str">
            <v>$/Cj.</v>
          </cell>
          <cell r="U11" t="str">
            <v>$/Cj.</v>
          </cell>
          <cell r="V11" t="str">
            <v>$/Cj.</v>
          </cell>
          <cell r="W11" t="str">
            <v>%</v>
          </cell>
          <cell r="Y11" t="str">
            <v>Kg</v>
          </cell>
          <cell r="Z11" t="str">
            <v>Kg</v>
          </cell>
          <cell r="AA11" t="str">
            <v>Caja</v>
          </cell>
          <cell r="AB11" t="str">
            <v>$/Caja</v>
          </cell>
          <cell r="AC11" t="str">
            <v>Importe</v>
          </cell>
          <cell r="AD11" t="str">
            <v>$/Caja</v>
          </cell>
          <cell r="AE11" t="str">
            <v>Importe</v>
          </cell>
          <cell r="AF11" t="str">
            <v>%</v>
          </cell>
          <cell r="AI11" t="str">
            <v>Caja</v>
          </cell>
          <cell r="AJ11" t="str">
            <v>$/Caja</v>
          </cell>
          <cell r="AK11" t="str">
            <v>Importe</v>
          </cell>
          <cell r="AL11" t="str">
            <v>Importe</v>
          </cell>
          <cell r="AM11" t="str">
            <v>%</v>
          </cell>
        </row>
        <row r="12">
          <cell r="F12">
            <v>-1.08</v>
          </cell>
          <cell r="K12">
            <v>0</v>
          </cell>
          <cell r="AK12" t="str">
            <v>Resultado Neto</v>
          </cell>
          <cell r="AL12" t="str">
            <v>Receta neta</v>
          </cell>
        </row>
        <row r="13">
          <cell r="A13">
            <v>100021632</v>
          </cell>
          <cell r="B13" t="str">
            <v>HAMBURGUESAS 30x160g CLASICA  SWIFT</v>
          </cell>
          <cell r="C13">
            <v>44292.652031936959</v>
          </cell>
          <cell r="D13">
            <v>-885.85304063873923</v>
          </cell>
          <cell r="E13">
            <v>-0.02</v>
          </cell>
          <cell r="F13">
            <v>-5.1840000000000002</v>
          </cell>
          <cell r="G13">
            <v>-1.1703972921427479E-4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43401.614991298222</v>
          </cell>
          <cell r="N13">
            <v>-25514.068819870099</v>
          </cell>
          <cell r="O13">
            <v>-1653.9949843222703</v>
          </cell>
          <cell r="P13">
            <v>16233.551187105852</v>
          </cell>
          <cell r="Q13">
            <v>3381.9898306470527</v>
          </cell>
          <cell r="R13">
            <v>0.37403103986707836</v>
          </cell>
          <cell r="T13">
            <v>-4292.9796264742445</v>
          </cell>
          <cell r="U13">
            <v>-1309.442611832367</v>
          </cell>
          <cell r="V13">
            <v>10631.128948799242</v>
          </cell>
          <cell r="W13">
            <v>0.24494777327826908</v>
          </cell>
          <cell r="Y13">
            <v>4.8</v>
          </cell>
          <cell r="Z13">
            <v>4.8</v>
          </cell>
          <cell r="AA13">
            <v>1</v>
          </cell>
          <cell r="AB13">
            <v>43401.614991298222</v>
          </cell>
          <cell r="AC13">
            <v>43401.614991298222</v>
          </cell>
          <cell r="AD13">
            <v>16233.551187105852</v>
          </cell>
          <cell r="AE13">
            <v>16233.551187105852</v>
          </cell>
          <cell r="AF13">
            <v>0.37403103986707836</v>
          </cell>
          <cell r="AI13">
            <v>1</v>
          </cell>
          <cell r="AJ13">
            <v>10631.128948799242</v>
          </cell>
          <cell r="AK13">
            <v>10631.128948799242</v>
          </cell>
          <cell r="AL13">
            <v>43401.614991298222</v>
          </cell>
          <cell r="AM13">
            <v>0.24494777327826908</v>
          </cell>
        </row>
        <row r="14">
          <cell r="A14">
            <v>100021652</v>
          </cell>
          <cell r="B14" t="str">
            <v>HAMBURGUESA 18X4X80G CLASICA SWIFT</v>
          </cell>
          <cell r="C14">
            <v>0</v>
          </cell>
          <cell r="D14">
            <v>0</v>
          </cell>
          <cell r="E14">
            <v>0</v>
          </cell>
          <cell r="F14">
            <v>-6.2208000000000006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M14">
            <v>-6.2208000000000006</v>
          </cell>
          <cell r="N14">
            <v>-31804.902644630289</v>
          </cell>
          <cell r="O14">
            <v>-2484.5822395365153</v>
          </cell>
          <cell r="P14">
            <v>-34295.705684166802</v>
          </cell>
          <cell r="Q14">
            <v>-5954.1155701678481</v>
          </cell>
          <cell r="R14">
            <v>5513.0699723776361</v>
          </cell>
          <cell r="T14">
            <v>-4993.1000995360055</v>
          </cell>
          <cell r="U14">
            <v>-1571.3311341988408</v>
          </cell>
          <cell r="V14">
            <v>-40860.136917901647</v>
          </cell>
          <cell r="W14">
            <v>6568.3090467305883</v>
          </cell>
          <cell r="Y14">
            <v>5.76</v>
          </cell>
          <cell r="Z14">
            <v>0</v>
          </cell>
          <cell r="AA14">
            <v>0</v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I14">
            <v>0</v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</row>
        <row r="15">
          <cell r="A15">
            <v>100021631</v>
          </cell>
          <cell r="B15" t="str">
            <v>HAMBURGUESA 8X12X80G CLASICA SWIFT</v>
          </cell>
          <cell r="C15">
            <v>0</v>
          </cell>
          <cell r="D15">
            <v>0</v>
          </cell>
          <cell r="E15">
            <v>0</v>
          </cell>
          <cell r="F15">
            <v>-8.2943999999999996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M15">
            <v>-8.2943999999999996</v>
          </cell>
          <cell r="N15">
            <v>-42816.230771288669</v>
          </cell>
          <cell r="O15">
            <v>-3811.5683448030259</v>
          </cell>
          <cell r="P15">
            <v>-46636.093516091692</v>
          </cell>
          <cell r="Q15">
            <v>-6072.4080099077728</v>
          </cell>
          <cell r="R15">
            <v>5622.6000091738633</v>
          </cell>
          <cell r="T15">
            <v>-6868.7674023587906</v>
          </cell>
          <cell r="U15">
            <v>-2095.1081789317873</v>
          </cell>
          <cell r="V15">
            <v>-55599.969097382273</v>
          </cell>
          <cell r="W15">
            <v>6703.314175513874</v>
          </cell>
          <cell r="Y15">
            <v>7.68</v>
          </cell>
          <cell r="Z15">
            <v>0</v>
          </cell>
          <cell r="AA15">
            <v>0</v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I15">
            <v>0</v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</row>
        <row r="16">
          <cell r="A16">
            <v>100021630</v>
          </cell>
          <cell r="B16" t="str">
            <v xml:space="preserve">HAMBURGUESA 6X20X80G CLASICA SWIFT </v>
          </cell>
          <cell r="C16">
            <v>0</v>
          </cell>
          <cell r="D16">
            <v>0</v>
          </cell>
          <cell r="E16">
            <v>0</v>
          </cell>
          <cell r="F16">
            <v>-10.368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M16">
            <v>-10.368</v>
          </cell>
          <cell r="N16">
            <v>-52365.3721110552</v>
          </cell>
          <cell r="O16">
            <v>-4371.5622959810053</v>
          </cell>
          <cell r="P16">
            <v>-56747.302407036208</v>
          </cell>
          <cell r="Q16">
            <v>-5911.1773340662721</v>
          </cell>
          <cell r="R16">
            <v>5473.3123463576585</v>
          </cell>
          <cell r="T16">
            <v>-8585.9592529484871</v>
          </cell>
          <cell r="U16">
            <v>-2618.885223664734</v>
          </cell>
          <cell r="V16">
            <v>-67952.146883649431</v>
          </cell>
          <cell r="W16">
            <v>6554.0265126976683</v>
          </cell>
          <cell r="Y16">
            <v>9.6</v>
          </cell>
          <cell r="Z16">
            <v>0</v>
          </cell>
          <cell r="AA16">
            <v>0</v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I16">
            <v>0</v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</row>
        <row r="17">
          <cell r="A17">
            <v>100517438</v>
          </cell>
          <cell r="B17" t="str">
            <v>HAMBURGUESA 12X4X69g SWIFT KIDS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#DIV/0!</v>
          </cell>
          <cell r="T17">
            <v>0</v>
          </cell>
          <cell r="U17">
            <v>0</v>
          </cell>
          <cell r="V17">
            <v>0</v>
          </cell>
          <cell r="W17" t="e">
            <v>#DIV/0!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I17">
            <v>0</v>
          </cell>
          <cell r="AJ17">
            <v>0</v>
          </cell>
          <cell r="AK17" t="str">
            <v/>
          </cell>
          <cell r="AL17">
            <v>0</v>
          </cell>
          <cell r="AM17" t="str">
            <v/>
          </cell>
        </row>
        <row r="18">
          <cell r="A18">
            <v>100021676</v>
          </cell>
          <cell r="B18" t="str">
            <v xml:space="preserve">HAMBURGUESA 30X250g CLASICA "XL" SWIFT </v>
          </cell>
          <cell r="C18">
            <v>68514.988564039537</v>
          </cell>
          <cell r="D18">
            <v>-1370.2997712807908</v>
          </cell>
          <cell r="E18">
            <v>-0.02</v>
          </cell>
          <cell r="F18">
            <v>-8.1000000000000014</v>
          </cell>
          <cell r="G18">
            <v>-1.182223068231136E-4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M18">
            <v>67136.588792758746</v>
          </cell>
          <cell r="N18">
            <v>-39845.364887697506</v>
          </cell>
          <cell r="O18">
            <v>-2743.6526391140428</v>
          </cell>
          <cell r="P18">
            <v>24547.571265947197</v>
          </cell>
          <cell r="Q18">
            <v>3273.0095021262928</v>
          </cell>
          <cell r="R18">
            <v>0.36563626045586134</v>
          </cell>
          <cell r="T18">
            <v>-6707.7806663660067</v>
          </cell>
          <cell r="U18">
            <v>-2046.0040809880736</v>
          </cell>
          <cell r="V18">
            <v>15793.786518593115</v>
          </cell>
          <cell r="W18">
            <v>0.23524857015518502</v>
          </cell>
          <cell r="Y18">
            <v>7.5</v>
          </cell>
          <cell r="Z18">
            <v>7.5</v>
          </cell>
          <cell r="AA18">
            <v>1</v>
          </cell>
          <cell r="AB18">
            <v>67136.588792758746</v>
          </cell>
          <cell r="AC18">
            <v>67136.588792758746</v>
          </cell>
          <cell r="AD18">
            <v>24547.571265947197</v>
          </cell>
          <cell r="AE18">
            <v>24547.571265947197</v>
          </cell>
          <cell r="AF18">
            <v>0.36563626045586134</v>
          </cell>
          <cell r="AI18">
            <v>1</v>
          </cell>
          <cell r="AJ18">
            <v>15793.786518593115</v>
          </cell>
          <cell r="AK18">
            <v>15793.786518593115</v>
          </cell>
          <cell r="AL18">
            <v>67136.588792758746</v>
          </cell>
          <cell r="AM18">
            <v>0.23524857015518502</v>
          </cell>
        </row>
        <row r="19">
          <cell r="A19">
            <v>100021653</v>
          </cell>
          <cell r="B19" t="str">
            <v>MEDALLON 18X4X80G PARRILLERO SWIFT</v>
          </cell>
          <cell r="C19">
            <v>0</v>
          </cell>
          <cell r="D19">
            <v>0</v>
          </cell>
          <cell r="E19">
            <v>0</v>
          </cell>
          <cell r="F19">
            <v>-6.2208000000000006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-6.2208000000000006</v>
          </cell>
          <cell r="N19">
            <v>-31272.007154987408</v>
          </cell>
          <cell r="O19">
            <v>-3027.3633401641923</v>
          </cell>
          <cell r="P19">
            <v>-34305.5912951516</v>
          </cell>
          <cell r="Q19">
            <v>-5955.8318220749306</v>
          </cell>
          <cell r="R19">
            <v>5514.6590945138241</v>
          </cell>
          <cell r="T19">
            <v>-4993.1000995360055</v>
          </cell>
          <cell r="U19">
            <v>-1571.3311341988406</v>
          </cell>
          <cell r="V19">
            <v>-40870.022528886446</v>
          </cell>
          <cell r="W19">
            <v>6569.8981688667764</v>
          </cell>
          <cell r="Y19">
            <v>5.76</v>
          </cell>
          <cell r="Z19">
            <v>0</v>
          </cell>
          <cell r="AA19">
            <v>0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I19">
            <v>0</v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</row>
        <row r="20">
          <cell r="A20">
            <v>100021638</v>
          </cell>
          <cell r="B20" t="str">
            <v>MEDALLON "SWIFT BURGUER" PARRILLERAS FAMILY 60 X 80 Grs,</v>
          </cell>
          <cell r="C20">
            <v>0</v>
          </cell>
          <cell r="D20">
            <v>0</v>
          </cell>
          <cell r="E20">
            <v>0</v>
          </cell>
          <cell r="F20">
            <v>-5.1840000000000002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M20">
            <v>-5.1840000000000002</v>
          </cell>
          <cell r="N20">
            <v>-24380.663500779552</v>
          </cell>
          <cell r="O20">
            <v>-1487.6285253352498</v>
          </cell>
          <cell r="P20">
            <v>-25873.476026114804</v>
          </cell>
          <cell r="Q20">
            <v>-5390.3075054405845</v>
          </cell>
          <cell r="R20">
            <v>4991.025468000541</v>
          </cell>
          <cell r="T20">
            <v>-4292.9796264742445</v>
          </cell>
          <cell r="U20">
            <v>-1309.4426118323674</v>
          </cell>
          <cell r="V20">
            <v>-31475.898264421416</v>
          </cell>
          <cell r="W20">
            <v>6071.7396343405508</v>
          </cell>
          <cell r="Y20">
            <v>4.8</v>
          </cell>
          <cell r="Z20">
            <v>0</v>
          </cell>
          <cell r="AA20">
            <v>0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I20">
            <v>0</v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</row>
        <row r="21">
          <cell r="A21">
            <v>100516169</v>
          </cell>
          <cell r="B21" t="str">
            <v>MEDALLONES 18X4X80G SWIFT RECETA ESPECIAL</v>
          </cell>
          <cell r="C21">
            <v>0</v>
          </cell>
          <cell r="D21">
            <v>0</v>
          </cell>
          <cell r="E21">
            <v>0</v>
          </cell>
          <cell r="F21">
            <v>-6.2208000000000006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-6.2208000000000006</v>
          </cell>
          <cell r="N21">
            <v>-30929.140991868771</v>
          </cell>
          <cell r="O21">
            <v>-1817.6843876168214</v>
          </cell>
          <cell r="P21">
            <v>-32753.046179485591</v>
          </cell>
          <cell r="Q21">
            <v>-5686.2927394940261</v>
          </cell>
          <cell r="R21">
            <v>5265.0858699018754</v>
          </cell>
          <cell r="T21">
            <v>-4993.1000995360055</v>
          </cell>
          <cell r="U21">
            <v>-1571.3311341988406</v>
          </cell>
          <cell r="V21">
            <v>-39317.477413220433</v>
          </cell>
          <cell r="W21">
            <v>6320.3249442548276</v>
          </cell>
          <cell r="Y21">
            <v>5.76</v>
          </cell>
          <cell r="Z21">
            <v>0</v>
          </cell>
          <cell r="AA21">
            <v>0</v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I21">
            <v>0</v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</row>
        <row r="22">
          <cell r="A22">
            <v>100516170</v>
          </cell>
          <cell r="B22" t="str">
            <v>MEDALLONES 30X160 Grs. RECETA ESPECIAL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#DIV/0!</v>
          </cell>
          <cell r="T22">
            <v>0</v>
          </cell>
          <cell r="U22">
            <v>0</v>
          </cell>
          <cell r="V22">
            <v>0</v>
          </cell>
          <cell r="W22" t="e">
            <v>#DIV/0!</v>
          </cell>
          <cell r="Y22">
            <v>0</v>
          </cell>
          <cell r="Z22">
            <v>0</v>
          </cell>
          <cell r="AA22">
            <v>0</v>
          </cell>
          <cell r="AB22" t="str">
            <v/>
          </cell>
          <cell r="AC22" t="str">
            <v/>
          </cell>
          <cell r="AD22">
            <v>0</v>
          </cell>
          <cell r="AE22">
            <v>0</v>
          </cell>
          <cell r="AF22" t="str">
            <v/>
          </cell>
          <cell r="AI22">
            <v>0</v>
          </cell>
          <cell r="AJ22">
            <v>0</v>
          </cell>
          <cell r="AK22" t="str">
            <v/>
          </cell>
          <cell r="AL22" t="str">
            <v/>
          </cell>
          <cell r="AM22" t="str">
            <v/>
          </cell>
        </row>
        <row r="23">
          <cell r="A23">
            <v>100021503</v>
          </cell>
          <cell r="B23" t="str">
            <v>Medallón Swift x4 u. 276 gr</v>
          </cell>
          <cell r="C23">
            <v>0</v>
          </cell>
          <cell r="D23">
            <v>0</v>
          </cell>
          <cell r="E23">
            <v>0</v>
          </cell>
          <cell r="F23">
            <v>-3.5769600000000001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M23">
            <v>-3.5769600000000001</v>
          </cell>
          <cell r="N23">
            <v>-12433.776113659073</v>
          </cell>
          <cell r="O23">
            <v>-1296.5347795743696</v>
          </cell>
          <cell r="P23">
            <v>-13733.887853233442</v>
          </cell>
          <cell r="Q23">
            <v>-4146.7052696960882</v>
          </cell>
          <cell r="R23">
            <v>3839.5419163852662</v>
          </cell>
          <cell r="T23">
            <v>-2871.0325572332031</v>
          </cell>
          <cell r="U23">
            <v>-903.51540216433341</v>
          </cell>
          <cell r="V23">
            <v>-17508.435812630978</v>
          </cell>
          <cell r="W23">
            <v>4894.780990738218</v>
          </cell>
          <cell r="Y23">
            <v>3.3119999999999998</v>
          </cell>
          <cell r="Z23">
            <v>0</v>
          </cell>
          <cell r="AA23">
            <v>0</v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I23">
            <v>0</v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</row>
        <row r="24">
          <cell r="A24">
            <v>100520337</v>
          </cell>
          <cell r="B24" t="str">
            <v>MEDALLON 30x160g MEGA BURGER SWIFT</v>
          </cell>
          <cell r="C24">
            <v>0</v>
          </cell>
          <cell r="D24">
            <v>0</v>
          </cell>
          <cell r="E24">
            <v>0</v>
          </cell>
          <cell r="F24">
            <v>-5.1840000000000002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M24">
            <v>-5.1840000000000002</v>
          </cell>
          <cell r="N24">
            <v>-18511.434860701836</v>
          </cell>
          <cell r="O24">
            <v>-1840.8329628087095</v>
          </cell>
          <cell r="P24">
            <v>-20357.451823510546</v>
          </cell>
          <cell r="Q24">
            <v>-4241.1357965646976</v>
          </cell>
          <cell r="R24">
            <v>3926.9775894117565</v>
          </cell>
          <cell r="T24">
            <v>-4292.9796264742445</v>
          </cell>
          <cell r="U24">
            <v>-1309.442611832367</v>
          </cell>
          <cell r="V24">
            <v>-25959.874061817158</v>
          </cell>
          <cell r="W24">
            <v>5007.6917557517663</v>
          </cell>
          <cell r="Y24">
            <v>4.8</v>
          </cell>
          <cell r="Z24">
            <v>0</v>
          </cell>
          <cell r="AA24">
            <v>0</v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I24">
            <v>0</v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</row>
        <row r="25">
          <cell r="A25">
            <v>100516201</v>
          </cell>
          <cell r="B25" t="str">
            <v>MEDALLONES BURGER 8x12un x 69gr</v>
          </cell>
          <cell r="C25">
            <v>0</v>
          </cell>
          <cell r="D25">
            <v>0</v>
          </cell>
          <cell r="E25">
            <v>0</v>
          </cell>
          <cell r="F25">
            <v>-7.1539200000000003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-7.1539200000000003</v>
          </cell>
          <cell r="N25">
            <v>-24850.047131847969</v>
          </cell>
          <cell r="O25">
            <v>-3034.9418017899229</v>
          </cell>
          <cell r="P25">
            <v>-27892.142853637892</v>
          </cell>
          <cell r="Q25">
            <v>-4210.7703583390539</v>
          </cell>
          <cell r="R25">
            <v>3898.861442906531</v>
          </cell>
          <cell r="T25">
            <v>-6220.5274787611797</v>
          </cell>
          <cell r="U25">
            <v>-1807.0308043286668</v>
          </cell>
          <cell r="V25">
            <v>-35919.701136727737</v>
          </cell>
          <cell r="W25">
            <v>5020.9816627426271</v>
          </cell>
          <cell r="Y25">
            <v>6.6239999999999997</v>
          </cell>
          <cell r="Z25">
            <v>0</v>
          </cell>
          <cell r="AA25">
            <v>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I25">
            <v>0</v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</row>
        <row r="26">
          <cell r="A26">
            <v>100021575</v>
          </cell>
          <cell r="B26" t="str">
            <v>MEDALLONES 60 X 69 GRS SWIFT BURGUER PARRILLERAS FAMILY</v>
          </cell>
          <cell r="C26">
            <v>0</v>
          </cell>
          <cell r="D26">
            <v>0</v>
          </cell>
          <cell r="E26">
            <v>0</v>
          </cell>
          <cell r="F26">
            <v>-4.4711999999999996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-4.4711999999999996</v>
          </cell>
          <cell r="N26">
            <v>-20894.258148734833</v>
          </cell>
          <cell r="O26">
            <v>-1713.7965043034778</v>
          </cell>
          <cell r="P26">
            <v>-22612.525853038311</v>
          </cell>
          <cell r="Q26">
            <v>-5461.9627664343752</v>
          </cell>
          <cell r="R26">
            <v>5057.3729318836804</v>
          </cell>
          <cell r="T26">
            <v>-3887.8296742257376</v>
          </cell>
          <cell r="U26">
            <v>-1129.3942527054169</v>
          </cell>
          <cell r="V26">
            <v>-27629.749779969465</v>
          </cell>
          <cell r="W26">
            <v>6179.4931517197774</v>
          </cell>
          <cell r="Y26">
            <v>4.1399999999999997</v>
          </cell>
          <cell r="Z26">
            <v>0</v>
          </cell>
          <cell r="AA26">
            <v>0</v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I26">
            <v>0</v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</row>
        <row r="27">
          <cell r="A27">
            <v>100021514</v>
          </cell>
          <cell r="B27" t="str">
            <v>Medallon   60X69G Carne Vacuna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M27">
            <v>0</v>
          </cell>
          <cell r="N27" t="e">
            <v>#N/A</v>
          </cell>
          <cell r="O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T27" t="e">
            <v>#N/A</v>
          </cell>
          <cell r="U27" t="e">
            <v>#N/A</v>
          </cell>
          <cell r="V27" t="e">
            <v>#N/A</v>
          </cell>
          <cell r="W27" t="e">
            <v>#N/A</v>
          </cell>
          <cell r="Y27">
            <v>0</v>
          </cell>
          <cell r="Z27">
            <v>0</v>
          </cell>
          <cell r="AA27">
            <v>0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I27">
            <v>0</v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</row>
        <row r="28">
          <cell r="A28">
            <v>100516208</v>
          </cell>
          <cell r="B28" t="str">
            <v>MEDALLON 60x80g PARRILLERO MC   (MEDALLON- ARG)</v>
          </cell>
          <cell r="C28">
            <v>0</v>
          </cell>
          <cell r="D28">
            <v>0</v>
          </cell>
          <cell r="E28">
            <v>0</v>
          </cell>
          <cell r="F28">
            <v>-5.1840000000000002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M28">
            <v>-5.1840000000000002</v>
          </cell>
          <cell r="N28">
            <v>-13228.502328535316</v>
          </cell>
          <cell r="O28">
            <v>-1456.976259412241</v>
          </cell>
          <cell r="P28">
            <v>-14690.662587947556</v>
          </cell>
          <cell r="Q28">
            <v>-3060.5547058224074</v>
          </cell>
          <cell r="R28">
            <v>2833.8469498355626</v>
          </cell>
          <cell r="T28">
            <v>-4292.9796264742454</v>
          </cell>
          <cell r="U28">
            <v>-1309.442611832367</v>
          </cell>
          <cell r="V28">
            <v>-20293.084826254169</v>
          </cell>
          <cell r="W28">
            <v>3914.5611161755728</v>
          </cell>
          <cell r="Y28">
            <v>4.8</v>
          </cell>
          <cell r="Z28">
            <v>0</v>
          </cell>
          <cell r="AA28">
            <v>0</v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I28">
            <v>0</v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</row>
        <row r="29">
          <cell r="A29">
            <v>100516191</v>
          </cell>
          <cell r="B29" t="str">
            <v xml:space="preserve">MEDALLON 60x80g PROMOFIESTA </v>
          </cell>
          <cell r="C29">
            <v>0</v>
          </cell>
          <cell r="D29">
            <v>0</v>
          </cell>
          <cell r="E29">
            <v>0</v>
          </cell>
          <cell r="F29">
            <v>-5.1840000000000002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-5.1840000000000002</v>
          </cell>
          <cell r="N29">
            <v>-13288.059074351646</v>
          </cell>
          <cell r="O29">
            <v>-1331.9106531147418</v>
          </cell>
          <cell r="P29">
            <v>-14625.153727466386</v>
          </cell>
          <cell r="Q29">
            <v>-3046.9070265554974</v>
          </cell>
          <cell r="R29">
            <v>2821.2102097736083</v>
          </cell>
          <cell r="T29">
            <v>-4292.9796264742445</v>
          </cell>
          <cell r="U29">
            <v>0</v>
          </cell>
          <cell r="V29">
            <v>-18918.13335394063</v>
          </cell>
          <cell r="W29">
            <v>3649.3312796953373</v>
          </cell>
          <cell r="Y29">
            <v>4.8</v>
          </cell>
          <cell r="Z29">
            <v>0</v>
          </cell>
          <cell r="AA29">
            <v>0</v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I29">
            <v>0</v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</row>
        <row r="30">
          <cell r="A30">
            <v>100021530</v>
          </cell>
          <cell r="B30" t="str">
            <v>MEDALLON 40X109G CARNE VACUNA PARRILLERO SWIFT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#DIV/0!</v>
          </cell>
          <cell r="T30">
            <v>0</v>
          </cell>
          <cell r="U30">
            <v>0</v>
          </cell>
          <cell r="V30">
            <v>0</v>
          </cell>
          <cell r="W30" t="e">
            <v>#DIV/0!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 t="str">
            <v/>
          </cell>
          <cell r="AD30">
            <v>0</v>
          </cell>
          <cell r="AE30">
            <v>0</v>
          </cell>
          <cell r="AF30" t="str">
            <v/>
          </cell>
          <cell r="AI30">
            <v>0</v>
          </cell>
          <cell r="AJ30">
            <v>0</v>
          </cell>
          <cell r="AK30" t="str">
            <v/>
          </cell>
          <cell r="AL30">
            <v>0</v>
          </cell>
          <cell r="AM30" t="str">
            <v/>
          </cell>
        </row>
        <row r="31">
          <cell r="A31">
            <v>100518346</v>
          </cell>
          <cell r="B31" t="str">
            <v>MEDALLON 60X109G CARNE VACUNA PARRILLERO SWIFT</v>
          </cell>
          <cell r="C31">
            <v>0</v>
          </cell>
          <cell r="D31">
            <v>0</v>
          </cell>
          <cell r="E31">
            <v>0</v>
          </cell>
          <cell r="F31">
            <v>-7.0632000000000001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-7.0632000000000001</v>
          </cell>
          <cell r="N31">
            <v>-21418.641473067029</v>
          </cell>
          <cell r="O31">
            <v>-1889.4005204362113</v>
          </cell>
          <cell r="P31">
            <v>-23315.105193503241</v>
          </cell>
          <cell r="Q31">
            <v>-3565.0007941136455</v>
          </cell>
          <cell r="R31">
            <v>3300.9266612163383</v>
          </cell>
          <cell r="T31">
            <v>-6083.1521307140047</v>
          </cell>
          <cell r="U31">
            <v>-1252.8474167155391</v>
          </cell>
          <cell r="V31">
            <v>-30651.104740932784</v>
          </cell>
          <cell r="W31">
            <v>4339.5493177218232</v>
          </cell>
          <cell r="Y31">
            <v>6.54</v>
          </cell>
          <cell r="Z31">
            <v>0</v>
          </cell>
          <cell r="AA31">
            <v>0</v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I31">
            <v>0</v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</row>
        <row r="32">
          <cell r="A32">
            <v>100516259</v>
          </cell>
          <cell r="B32" t="str">
            <v>MEDALLON GIGANTE 113,5 g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#DIV/0!</v>
          </cell>
          <cell r="T32">
            <v>0</v>
          </cell>
          <cell r="U32">
            <v>0</v>
          </cell>
          <cell r="V32">
            <v>0</v>
          </cell>
          <cell r="W32" t="e">
            <v>#DIV/0!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 t="str">
            <v/>
          </cell>
          <cell r="AD32">
            <v>0</v>
          </cell>
          <cell r="AE32">
            <v>0</v>
          </cell>
          <cell r="AF32" t="str">
            <v/>
          </cell>
          <cell r="AI32">
            <v>0</v>
          </cell>
          <cell r="AJ32">
            <v>0</v>
          </cell>
          <cell r="AK32" t="str">
            <v/>
          </cell>
          <cell r="AL32">
            <v>0</v>
          </cell>
          <cell r="AM32" t="str">
            <v/>
          </cell>
        </row>
        <row r="33">
          <cell r="A33">
            <v>100021664</v>
          </cell>
          <cell r="B33" t="str">
            <v>Swiftx125g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Y33">
            <v>0</v>
          </cell>
          <cell r="Z33">
            <v>0</v>
          </cell>
          <cell r="AA33">
            <v>0</v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I33">
            <v>0</v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</row>
        <row r="34">
          <cell r="A34">
            <v>100021643</v>
          </cell>
          <cell r="B34" t="str">
            <v>MEDALLON 42X112G DOBLE BURGER SWIFT</v>
          </cell>
          <cell r="C34">
            <v>29909.912749373951</v>
          </cell>
          <cell r="D34">
            <v>-598.198254987479</v>
          </cell>
          <cell r="E34">
            <v>-0.02</v>
          </cell>
          <cell r="F34">
            <v>-5.0803200000000004</v>
          </cell>
          <cell r="G34">
            <v>-1.6985405616425068E-4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M34">
            <v>29306.634174386472</v>
          </cell>
          <cell r="N34">
            <v>-16829.762470049718</v>
          </cell>
          <cell r="O34">
            <v>-1804.0163035525352</v>
          </cell>
          <cell r="P34">
            <v>10672.855400784219</v>
          </cell>
          <cell r="Q34">
            <v>2268.889328398006</v>
          </cell>
          <cell r="R34">
            <v>0.36417881825925008</v>
          </cell>
          <cell r="T34">
            <v>-4711.974438018131</v>
          </cell>
          <cell r="U34">
            <v>-1283.2537595957197</v>
          </cell>
          <cell r="V34">
            <v>4677.6272031703684</v>
          </cell>
          <cell r="W34">
            <v>0.15960984039779427</v>
          </cell>
          <cell r="Y34">
            <v>4.7039999999999997</v>
          </cell>
          <cell r="Z34">
            <v>3.1359999999999997</v>
          </cell>
          <cell r="AA34">
            <v>0.66666666666666663</v>
          </cell>
          <cell r="AB34">
            <v>29306.634174386472</v>
          </cell>
          <cell r="AC34">
            <v>19537.756116257646</v>
          </cell>
          <cell r="AD34">
            <v>10672.855400784219</v>
          </cell>
          <cell r="AE34">
            <v>7115.2369338561457</v>
          </cell>
          <cell r="AF34">
            <v>0.36417881825925008</v>
          </cell>
          <cell r="AI34">
            <v>0.66666666666666663</v>
          </cell>
          <cell r="AJ34">
            <v>4677.6272031703684</v>
          </cell>
          <cell r="AK34">
            <v>3118.4181354469119</v>
          </cell>
          <cell r="AL34">
            <v>19537.756116257646</v>
          </cell>
          <cell r="AM34">
            <v>0.15960984039779427</v>
          </cell>
        </row>
        <row r="35">
          <cell r="A35">
            <v>100021644</v>
          </cell>
          <cell r="B35" t="str">
            <v>MEDALLON 42X112G LA BLANCA</v>
          </cell>
          <cell r="C35">
            <v>20393.117540744555</v>
          </cell>
          <cell r="D35">
            <v>-407.8623508148911</v>
          </cell>
          <cell r="E35">
            <v>-0.02</v>
          </cell>
          <cell r="F35">
            <v>-5.0803200000000004</v>
          </cell>
          <cell r="G35">
            <v>-2.4911934086829752E-4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19980.174869929662</v>
          </cell>
          <cell r="N35">
            <v>-12828.536877699518</v>
          </cell>
          <cell r="O35">
            <v>-1706.7379400006273</v>
          </cell>
          <cell r="P35">
            <v>5444.9000522295164</v>
          </cell>
          <cell r="Q35">
            <v>1157.5042628038939</v>
          </cell>
          <cell r="R35">
            <v>0.2725151350113626</v>
          </cell>
          <cell r="T35">
            <v>-4159.2523829134925</v>
          </cell>
          <cell r="U35">
            <v>-901.13061899539696</v>
          </cell>
          <cell r="V35">
            <v>384.51705032062694</v>
          </cell>
          <cell r="W35">
            <v>1.9244929177238006E-2</v>
          </cell>
          <cell r="Y35">
            <v>4.7039999999999997</v>
          </cell>
          <cell r="Z35">
            <v>7.839999999999999</v>
          </cell>
          <cell r="AA35">
            <v>1.6666666666666665</v>
          </cell>
          <cell r="AB35">
            <v>19980.174869929662</v>
          </cell>
          <cell r="AC35">
            <v>33300.291449882767</v>
          </cell>
          <cell r="AD35">
            <v>5444.9000522295164</v>
          </cell>
          <cell r="AE35">
            <v>9074.833420382527</v>
          </cell>
          <cell r="AF35">
            <v>0.2725151350113626</v>
          </cell>
          <cell r="AI35">
            <v>1.6666666666666665</v>
          </cell>
          <cell r="AJ35">
            <v>384.51705032062694</v>
          </cell>
          <cell r="AK35">
            <v>640.86175053437819</v>
          </cell>
          <cell r="AL35">
            <v>33300.291449882767</v>
          </cell>
          <cell r="AM35">
            <v>1.9244929177238006E-2</v>
          </cell>
        </row>
        <row r="36">
          <cell r="A36">
            <v>100021677</v>
          </cell>
          <cell r="B36" t="str">
            <v>MEDALLON 12x4X69G LA BLANCA</v>
          </cell>
          <cell r="C36">
            <v>0</v>
          </cell>
          <cell r="D36">
            <v>0</v>
          </cell>
          <cell r="E36">
            <v>0</v>
          </cell>
          <cell r="F36">
            <v>-3.5769600000000006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-3.5769600000000006</v>
          </cell>
          <cell r="N36">
            <v>-10015.081327390015</v>
          </cell>
          <cell r="O36">
            <v>-1179.0411256799421</v>
          </cell>
          <cell r="P36">
            <v>-11197.699413069957</v>
          </cell>
          <cell r="Q36">
            <v>-3380.9478904196726</v>
          </cell>
          <cell r="R36">
            <v>3130.5073059441411</v>
          </cell>
          <cell r="T36">
            <v>-2871.0325572332031</v>
          </cell>
          <cell r="U36">
            <v>-634.46951745594276</v>
          </cell>
          <cell r="V36">
            <v>-14703.201487759103</v>
          </cell>
          <cell r="W36">
            <v>4110.5300276656999</v>
          </cell>
          <cell r="Y36">
            <v>3.3120000000000003</v>
          </cell>
          <cell r="Z36">
            <v>0</v>
          </cell>
          <cell r="AA36">
            <v>0</v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I36">
            <v>0</v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</row>
        <row r="37">
          <cell r="A37">
            <v>100021669</v>
          </cell>
          <cell r="B37" t="str">
            <v>Hamburguesa Dia 18 X 4</v>
          </cell>
          <cell r="C37">
            <v>0</v>
          </cell>
          <cell r="D37">
            <v>0</v>
          </cell>
          <cell r="E37">
            <v>0</v>
          </cell>
          <cell r="F37">
            <v>-6.2208000000000006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M37">
            <v>-6.2208000000000006</v>
          </cell>
          <cell r="N37" t="e">
            <v>#N/A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Y37">
            <v>5.76</v>
          </cell>
          <cell r="Z37">
            <v>0</v>
          </cell>
          <cell r="AA37">
            <v>0</v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I37">
            <v>0</v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</row>
        <row r="38">
          <cell r="A38">
            <v>100021670</v>
          </cell>
          <cell r="B38" t="str">
            <v>Hamburguesa Dia 12 X 12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Y38">
            <v>0</v>
          </cell>
          <cell r="Z38">
            <v>0</v>
          </cell>
          <cell r="AA38">
            <v>0</v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I38">
            <v>0</v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</row>
        <row r="39">
          <cell r="A39">
            <v>100021671</v>
          </cell>
          <cell r="B39" t="str">
            <v>Hamburguesa Dia 6 X 20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Y39">
            <v>0</v>
          </cell>
          <cell r="Z39">
            <v>0</v>
          </cell>
          <cell r="AA39">
            <v>0</v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I39">
            <v>0</v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</row>
        <row r="40">
          <cell r="A40">
            <v>100021680</v>
          </cell>
          <cell r="B40" t="str">
            <v>HAMBURGUESAS 18X2X120g CLL BRA/ARG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Y40">
            <v>0</v>
          </cell>
          <cell r="Z40">
            <v>0</v>
          </cell>
          <cell r="AA40">
            <v>0</v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I40">
            <v>0</v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</row>
        <row r="41">
          <cell r="A41">
            <v>100516325</v>
          </cell>
          <cell r="B41" t="str">
            <v>MED.DOBLE BURGER x 4 - 21x224g</v>
          </cell>
          <cell r="C41">
            <v>0</v>
          </cell>
          <cell r="D41">
            <v>0</v>
          </cell>
          <cell r="E41">
            <v>0</v>
          </cell>
          <cell r="F41">
            <v>-5.0803200000000004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M41">
            <v>-5.0803200000000004</v>
          </cell>
          <cell r="N41">
            <v>-16633.225377371386</v>
          </cell>
          <cell r="O41">
            <v>-1470.4169217771746</v>
          </cell>
          <cell r="P41">
            <v>-18108.722619148561</v>
          </cell>
          <cell r="Q41">
            <v>-3849.6434139346434</v>
          </cell>
          <cell r="R41">
            <v>3564.4846425320766</v>
          </cell>
          <cell r="T41">
            <v>-4159.2523829134925</v>
          </cell>
          <cell r="U41">
            <v>-1283.2537595957197</v>
          </cell>
          <cell r="V41">
            <v>-23551.228761657771</v>
          </cell>
          <cell r="W41">
            <v>4635.7766364437221</v>
          </cell>
          <cell r="Y41">
            <v>4.7039999999999997</v>
          </cell>
          <cell r="Z41">
            <v>0</v>
          </cell>
          <cell r="AA41">
            <v>0</v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I41">
            <v>0</v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</row>
        <row r="42">
          <cell r="A42">
            <v>100516008</v>
          </cell>
          <cell r="B42" t="str">
            <v>HAMBURGUESA 24X240 Grs. SWIFT TIPO CASERA</v>
          </cell>
          <cell r="C42">
            <v>0</v>
          </cell>
          <cell r="D42">
            <v>0</v>
          </cell>
          <cell r="E42">
            <v>0</v>
          </cell>
          <cell r="F42">
            <v>-6.2208000000000006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M42">
            <v>-6.2208000000000006</v>
          </cell>
          <cell r="N42">
            <v>-33550.979666608495</v>
          </cell>
          <cell r="O42">
            <v>-2747.6889107686079</v>
          </cell>
          <cell r="P42">
            <v>-36304.889377377105</v>
          </cell>
          <cell r="Q42">
            <v>-6302.932183572414</v>
          </cell>
          <cell r="R42">
            <v>5836.0483181226055</v>
          </cell>
          <cell r="T42">
            <v>-5666.7331069460015</v>
          </cell>
          <cell r="U42">
            <v>-1571.3311341988406</v>
          </cell>
          <cell r="V42">
            <v>-43542.95361852194</v>
          </cell>
          <cell r="W42">
            <v>6999.574591454787</v>
          </cell>
          <cell r="Y42">
            <v>5.76</v>
          </cell>
          <cell r="Z42">
            <v>0</v>
          </cell>
          <cell r="AA42">
            <v>0</v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I42">
            <v>0</v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</row>
        <row r="43">
          <cell r="A43">
            <v>100520834</v>
          </cell>
          <cell r="B43" t="str">
            <v xml:space="preserve">HAMBURGUESA X-TREMA 36 x 185g </v>
          </cell>
          <cell r="C43">
            <v>71028.920613000009</v>
          </cell>
          <cell r="D43">
            <v>-1420.5784122600003</v>
          </cell>
          <cell r="E43">
            <v>-0.02</v>
          </cell>
          <cell r="F43">
            <v>-7.192800000000001</v>
          </cell>
          <cell r="G43">
            <v>-1.0126579339688775E-4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M43">
            <v>69601.149400740003</v>
          </cell>
          <cell r="N43">
            <v>-38842.27238547086</v>
          </cell>
          <cell r="O43">
            <v>-2872.798214464096</v>
          </cell>
          <cell r="P43">
            <v>27886.078800805048</v>
          </cell>
          <cell r="Q43">
            <v>4187.0989190397968</v>
          </cell>
          <cell r="R43">
            <v>0.40065543516022112</v>
          </cell>
          <cell r="T43">
            <v>-5956.5092317330154</v>
          </cell>
          <cell r="U43">
            <v>-1816.8516239174094</v>
          </cell>
          <cell r="V43">
            <v>20112.717945154622</v>
          </cell>
          <cell r="W43">
            <v>0.28897106036787351</v>
          </cell>
          <cell r="Y43">
            <v>6.66</v>
          </cell>
          <cell r="Z43">
            <v>2.2200000000000002</v>
          </cell>
          <cell r="AA43">
            <v>0.33333333333333337</v>
          </cell>
          <cell r="AB43">
            <v>69601.149400740003</v>
          </cell>
          <cell r="AC43">
            <v>23200.383133580002</v>
          </cell>
          <cell r="AD43">
            <v>27886.078800805048</v>
          </cell>
          <cell r="AE43">
            <v>9295.3596002683498</v>
          </cell>
          <cell r="AF43">
            <v>0.40065543516022112</v>
          </cell>
          <cell r="AI43">
            <v>0.33333333333333337</v>
          </cell>
          <cell r="AJ43">
            <v>20112.717945154622</v>
          </cell>
          <cell r="AK43">
            <v>6704.2393150515409</v>
          </cell>
          <cell r="AL43">
            <v>23200.383133580002</v>
          </cell>
          <cell r="AM43">
            <v>0.28897106036787351</v>
          </cell>
        </row>
        <row r="44">
          <cell r="A44">
            <v>100518095</v>
          </cell>
          <cell r="B44" t="str">
            <v>HAMBURGUESA 36 X 185 GR</v>
          </cell>
          <cell r="C44">
            <v>0</v>
          </cell>
          <cell r="D44">
            <v>0</v>
          </cell>
          <cell r="E44">
            <v>0</v>
          </cell>
          <cell r="F44">
            <v>-7.192800000000001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M44">
            <v>-7.192800000000001</v>
          </cell>
          <cell r="N44">
            <v>-38284.980947067394</v>
          </cell>
          <cell r="O44">
            <v>-2419.8961560082607</v>
          </cell>
          <cell r="P44">
            <v>-40712.069903075651</v>
          </cell>
          <cell r="Q44">
            <v>-6112.9234088702178</v>
          </cell>
          <cell r="R44">
            <v>5660.1142674724233</v>
          </cell>
          <cell r="T44">
            <v>-6014.450048148</v>
          </cell>
          <cell r="U44">
            <v>0</v>
          </cell>
          <cell r="V44">
            <v>-46726.51995122365</v>
          </cell>
          <cell r="W44">
            <v>6496.2907283983486</v>
          </cell>
          <cell r="Y44">
            <v>6.66</v>
          </cell>
          <cell r="Z44">
            <v>0</v>
          </cell>
          <cell r="AA44">
            <v>0</v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I44">
            <v>0</v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</row>
        <row r="45">
          <cell r="A45">
            <v>100518223</v>
          </cell>
          <cell r="B45" t="str">
            <v>HAMBURGUESA 30x 106 GR</v>
          </cell>
          <cell r="C45">
            <v>0</v>
          </cell>
          <cell r="D45">
            <v>0</v>
          </cell>
          <cell r="E45">
            <v>0</v>
          </cell>
          <cell r="F45">
            <v>-6.8688000000000011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M45">
            <v>-6.8688000000000011</v>
          </cell>
          <cell r="N45">
            <v>-30166.359086300254</v>
          </cell>
          <cell r="O45">
            <v>-916.77977231370357</v>
          </cell>
          <cell r="P45">
            <v>-31090.007658613958</v>
          </cell>
          <cell r="Q45">
            <v>-4888.3659840587979</v>
          </cell>
          <cell r="R45">
            <v>4526.2648000544423</v>
          </cell>
          <cell r="T45">
            <v>-5688.198005078375</v>
          </cell>
          <cell r="U45">
            <v>0</v>
          </cell>
          <cell r="V45">
            <v>-36778.205663692337</v>
          </cell>
          <cell r="W45">
            <v>5354.3858699761722</v>
          </cell>
          <cell r="Y45">
            <v>6.36</v>
          </cell>
          <cell r="Z45">
            <v>0</v>
          </cell>
          <cell r="AA45">
            <v>0</v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I45">
            <v>0</v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</row>
        <row r="46">
          <cell r="A46">
            <v>100021647</v>
          </cell>
          <cell r="B46" t="str">
            <v>Hamburguesa La Anonima X 4</v>
          </cell>
          <cell r="C46">
            <v>0</v>
          </cell>
          <cell r="D46">
            <v>0</v>
          </cell>
          <cell r="E46">
            <v>0</v>
          </cell>
          <cell r="F46">
            <v>-6.2208000000000006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M46">
            <v>-6.2208000000000006</v>
          </cell>
          <cell r="N46">
            <v>-34089.237312269026</v>
          </cell>
          <cell r="O46">
            <v>-1499.8686289602961</v>
          </cell>
          <cell r="P46">
            <v>-35595.326741229328</v>
          </cell>
          <cell r="Q46">
            <v>-6179.7442259078698</v>
          </cell>
          <cell r="R46">
            <v>5721.9853943591379</v>
          </cell>
          <cell r="T46">
            <v>-5201.6865281279997</v>
          </cell>
          <cell r="U46">
            <v>0</v>
          </cell>
          <cell r="V46">
            <v>-40797.013269357325</v>
          </cell>
          <cell r="W46">
            <v>6558.1618552850632</v>
          </cell>
          <cell r="Y46">
            <v>5.76</v>
          </cell>
          <cell r="Z46">
            <v>0</v>
          </cell>
          <cell r="AA46">
            <v>0</v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I46">
            <v>0</v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</row>
        <row r="47">
          <cell r="A47">
            <v>100021648</v>
          </cell>
          <cell r="B47" t="str">
            <v>Hamburguesa La Anonima X 12</v>
          </cell>
          <cell r="C47">
            <v>0</v>
          </cell>
          <cell r="D47">
            <v>0</v>
          </cell>
          <cell r="E47">
            <v>0</v>
          </cell>
          <cell r="F47">
            <v>-8.2943999999999996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M47">
            <v>-8.2943999999999996</v>
          </cell>
          <cell r="N47">
            <v>-45907.965269187393</v>
          </cell>
          <cell r="O47">
            <v>-1999.8248386137282</v>
          </cell>
          <cell r="P47">
            <v>-47916.084507801119</v>
          </cell>
          <cell r="Q47">
            <v>-6239.0735036199376</v>
          </cell>
          <cell r="R47">
            <v>5776.9199107592012</v>
          </cell>
          <cell r="T47">
            <v>-6935.5820375040003</v>
          </cell>
          <cell r="U47">
            <v>0</v>
          </cell>
          <cell r="V47">
            <v>-54851.666545305117</v>
          </cell>
          <cell r="W47">
            <v>6613.0963716851275</v>
          </cell>
          <cell r="Y47">
            <v>7.68</v>
          </cell>
          <cell r="Z47">
            <v>0</v>
          </cell>
          <cell r="AA47">
            <v>0</v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I47">
            <v>0</v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</row>
        <row r="48">
          <cell r="A48">
            <v>100021649</v>
          </cell>
          <cell r="B48" t="str">
            <v>Hamburguesa La Anonima X 20</v>
          </cell>
          <cell r="C48">
            <v>0</v>
          </cell>
          <cell r="D48">
            <v>0</v>
          </cell>
          <cell r="E48">
            <v>0</v>
          </cell>
          <cell r="F48">
            <v>-10.368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M48">
            <v>-10.368</v>
          </cell>
          <cell r="N48">
            <v>-56986.100749622332</v>
          </cell>
          <cell r="O48">
            <v>-2499.7810482671603</v>
          </cell>
          <cell r="P48">
            <v>-59496.249797889497</v>
          </cell>
          <cell r="Q48">
            <v>-6197.5260206134899</v>
          </cell>
          <cell r="R48">
            <v>5738.4500190865638</v>
          </cell>
          <cell r="T48">
            <v>-8669.4775468799999</v>
          </cell>
          <cell r="U48">
            <v>0</v>
          </cell>
          <cell r="V48">
            <v>-68165.72734476949</v>
          </cell>
          <cell r="W48">
            <v>6574.6264800124891</v>
          </cell>
          <cell r="Y48">
            <v>9.6</v>
          </cell>
          <cell r="Z48">
            <v>0</v>
          </cell>
          <cell r="AA48">
            <v>0</v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I48">
            <v>0</v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</row>
        <row r="49">
          <cell r="A49">
            <v>100021649</v>
          </cell>
          <cell r="B49" t="str">
            <v>Hamburguesa La Anonima X 20</v>
          </cell>
          <cell r="C49">
            <v>0</v>
          </cell>
          <cell r="D49">
            <v>0</v>
          </cell>
          <cell r="E49">
            <v>0</v>
          </cell>
          <cell r="F49">
            <v>-10.368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M49">
            <v>-10.368</v>
          </cell>
          <cell r="N49">
            <v>-56986.100749622332</v>
          </cell>
          <cell r="O49">
            <v>-2499.7810482671603</v>
          </cell>
          <cell r="P49">
            <v>-59496.249797889497</v>
          </cell>
          <cell r="Q49">
            <v>-6197.5260206134899</v>
          </cell>
          <cell r="R49">
            <v>5738.4500190865638</v>
          </cell>
          <cell r="T49">
            <v>-8669.4775468799999</v>
          </cell>
          <cell r="U49">
            <v>0</v>
          </cell>
          <cell r="V49">
            <v>-68165.72734476949</v>
          </cell>
          <cell r="W49">
            <v>6574.6264800124891</v>
          </cell>
          <cell r="Y49">
            <v>9.6</v>
          </cell>
          <cell r="Z49">
            <v>0</v>
          </cell>
          <cell r="AA49">
            <v>0</v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I49">
            <v>0</v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</row>
        <row r="50">
          <cell r="A50">
            <v>100021649</v>
          </cell>
          <cell r="B50" t="str">
            <v>Hamburguesa La Anonima X 20</v>
          </cell>
          <cell r="C50">
            <v>0</v>
          </cell>
          <cell r="D50">
            <v>0</v>
          </cell>
          <cell r="E50">
            <v>0</v>
          </cell>
          <cell r="F50">
            <v>-10.368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M50">
            <v>-10.368</v>
          </cell>
          <cell r="N50">
            <v>-56986.100749622332</v>
          </cell>
          <cell r="O50">
            <v>-2499.7810482671603</v>
          </cell>
          <cell r="P50">
            <v>-59496.249797889497</v>
          </cell>
          <cell r="Q50">
            <v>-6197.5260206134899</v>
          </cell>
          <cell r="R50">
            <v>5738.4500190865638</v>
          </cell>
          <cell r="T50">
            <v>-8669.4775468799999</v>
          </cell>
          <cell r="U50">
            <v>0</v>
          </cell>
          <cell r="V50">
            <v>-68165.72734476949</v>
          </cell>
          <cell r="W50">
            <v>6574.6264800124891</v>
          </cell>
          <cell r="Y50">
            <v>9.6</v>
          </cell>
          <cell r="Z50">
            <v>0</v>
          </cell>
          <cell r="AA50">
            <v>0</v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I50">
            <v>0</v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</row>
        <row r="51">
          <cell r="N51">
            <v>0</v>
          </cell>
          <cell r="O51">
            <v>0</v>
          </cell>
          <cell r="T51">
            <v>0</v>
          </cell>
          <cell r="U51">
            <v>0</v>
          </cell>
          <cell r="Y51">
            <v>0</v>
          </cell>
          <cell r="Z51">
            <v>25.495999999999999</v>
          </cell>
          <cell r="AA51">
            <v>4.6666666666666661</v>
          </cell>
          <cell r="AB51">
            <v>39980.707389380877</v>
          </cell>
          <cell r="AC51">
            <v>186576.63448377739</v>
          </cell>
          <cell r="AD51">
            <v>14199.975515905731</v>
          </cell>
          <cell r="AE51">
            <v>66266.55240756007</v>
          </cell>
          <cell r="AF51">
            <v>0.3551706921443149</v>
          </cell>
          <cell r="AI51">
            <v>4.6666666666666661</v>
          </cell>
          <cell r="AJ51">
            <v>7904.6645718053978</v>
          </cell>
          <cell r="AK51">
            <v>36888.434668425187</v>
          </cell>
          <cell r="AL51">
            <v>186576.63448377739</v>
          </cell>
          <cell r="AM51">
            <v>0.19771197379826566</v>
          </cell>
        </row>
        <row r="52">
          <cell r="A52">
            <v>100022085</v>
          </cell>
          <cell r="B52" t="str">
            <v>SALCHICHAS 24X6 SWIFT</v>
          </cell>
          <cell r="C52">
            <v>0</v>
          </cell>
          <cell r="D52">
            <v>0</v>
          </cell>
          <cell r="E52">
            <v>0</v>
          </cell>
          <cell r="F52">
            <v>-5.8319999999999999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-5.8319999999999999</v>
          </cell>
          <cell r="N52">
            <v>-11583.182105363492</v>
          </cell>
          <cell r="O52">
            <v>-1605.4045950533111</v>
          </cell>
          <cell r="P52">
            <v>-13194.418700416803</v>
          </cell>
          <cell r="Q52">
            <v>-2443.4108704475566</v>
          </cell>
          <cell r="R52">
            <v>2262.4174726366264</v>
          </cell>
          <cell r="T52">
            <v>-3964.9542616799995</v>
          </cell>
          <cell r="U52">
            <v>0</v>
          </cell>
          <cell r="V52">
            <v>-17159.372962096804</v>
          </cell>
          <cell r="W52">
            <v>2942.2793144884781</v>
          </cell>
          <cell r="Y52">
            <v>5.3999999999999995</v>
          </cell>
          <cell r="Z52">
            <v>0</v>
          </cell>
          <cell r="AA52">
            <v>0</v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I52">
            <v>0</v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</row>
        <row r="53">
          <cell r="A53">
            <v>100522204</v>
          </cell>
          <cell r="B53" t="str">
            <v xml:space="preserve">SALCHICHAS SWIFT SIN GLUTEN 24x6 x 225 g </v>
          </cell>
          <cell r="C53">
            <v>0</v>
          </cell>
          <cell r="D53">
            <v>0</v>
          </cell>
          <cell r="E53">
            <v>0</v>
          </cell>
          <cell r="F53">
            <v>-5.8319999999999999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-5.8319999999999999</v>
          </cell>
          <cell r="N53">
            <v>-11685.385219631176</v>
          </cell>
          <cell r="O53">
            <v>-1605.4045950533111</v>
          </cell>
          <cell r="P53">
            <v>-13296.621814684488</v>
          </cell>
          <cell r="Q53">
            <v>-2462.3373730897201</v>
          </cell>
          <cell r="R53">
            <v>2279.942012120111</v>
          </cell>
          <cell r="T53">
            <v>-3891.2504194189419</v>
          </cell>
          <cell r="U53">
            <v>-767.97114695598714</v>
          </cell>
          <cell r="V53">
            <v>-17955.843381059418</v>
          </cell>
          <cell r="W53">
            <v>3078.8483163682131</v>
          </cell>
          <cell r="Y53">
            <v>5.3999999999999995</v>
          </cell>
          <cell r="Z53">
            <v>0</v>
          </cell>
          <cell r="AA53">
            <v>0</v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I53">
            <v>0</v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</row>
        <row r="54">
          <cell r="A54">
            <v>100022072</v>
          </cell>
          <cell r="B54" t="str">
            <v>SALCHICHAS 12X12 SWIFT</v>
          </cell>
          <cell r="C54">
            <v>0</v>
          </cell>
          <cell r="D54">
            <v>0</v>
          </cell>
          <cell r="E54">
            <v>0</v>
          </cell>
          <cell r="F54">
            <v>-5.8319999999999999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M54">
            <v>-5.8319999999999999</v>
          </cell>
          <cell r="N54">
            <v>-11637.383595279382</v>
          </cell>
          <cell r="O54">
            <v>-1774.96822897833</v>
          </cell>
          <cell r="P54">
            <v>-13418.183824257712</v>
          </cell>
          <cell r="Q54">
            <v>-2484.848856344021</v>
          </cell>
          <cell r="R54">
            <v>2300.7859780963158</v>
          </cell>
          <cell r="T54">
            <v>-3964.9542616799995</v>
          </cell>
          <cell r="U54">
            <v>0</v>
          </cell>
          <cell r="V54">
            <v>-17383.138085937713</v>
          </cell>
          <cell r="W54">
            <v>2980.6478199481676</v>
          </cell>
          <cell r="Y54">
            <v>5.3999999999999995</v>
          </cell>
          <cell r="Z54">
            <v>0</v>
          </cell>
          <cell r="AA54">
            <v>0</v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I54">
            <v>0</v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</row>
        <row r="55">
          <cell r="A55">
            <v>100522205</v>
          </cell>
          <cell r="B55" t="str">
            <v xml:space="preserve">SALCHICHAS SWIFT SIN GLUTEN 12X12 x 450 g </v>
          </cell>
          <cell r="C55">
            <v>0</v>
          </cell>
          <cell r="D55">
            <v>0</v>
          </cell>
          <cell r="E55">
            <v>0</v>
          </cell>
          <cell r="F55">
            <v>-5.8319999999999999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M55">
            <v>-5.8319999999999999</v>
          </cell>
          <cell r="N55">
            <v>-11671.626907416559</v>
          </cell>
          <cell r="O55">
            <v>-1605.4045950533111</v>
          </cell>
          <cell r="P55">
            <v>-13282.863502469871</v>
          </cell>
          <cell r="Q55">
            <v>-2459.7895374944205</v>
          </cell>
          <cell r="R55">
            <v>2277.5829050874263</v>
          </cell>
          <cell r="T55">
            <v>-3891.2504194189419</v>
          </cell>
          <cell r="U55">
            <v>-767.97114695598714</v>
          </cell>
          <cell r="V55">
            <v>-17942.085068844801</v>
          </cell>
          <cell r="W55">
            <v>3076.4892093355284</v>
          </cell>
          <cell r="Y55">
            <v>5.3999999999999995</v>
          </cell>
          <cell r="Z55">
            <v>0</v>
          </cell>
          <cell r="AA55">
            <v>0</v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I55">
            <v>0</v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</row>
        <row r="56">
          <cell r="A56">
            <v>100022039</v>
          </cell>
          <cell r="B56" t="str">
            <v>SALCHICHAS  LARGAS  10 x 12  SWIFT  INSTITUCIONAL</v>
          </cell>
          <cell r="C56">
            <v>0</v>
          </cell>
          <cell r="D56">
            <v>0</v>
          </cell>
          <cell r="E56">
            <v>0</v>
          </cell>
          <cell r="F56">
            <v>-9.395999999999999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M56">
            <v>-9.395999999999999</v>
          </cell>
          <cell r="N56">
            <v>-18590.108328826875</v>
          </cell>
          <cell r="O56">
            <v>-2844.1625454565515</v>
          </cell>
          <cell r="P56">
            <v>-21443.666874283426</v>
          </cell>
          <cell r="Q56">
            <v>-2464.7892958946468</v>
          </cell>
          <cell r="R56">
            <v>2282.2123110135622</v>
          </cell>
          <cell r="T56">
            <v>-6387.9818660399997</v>
          </cell>
          <cell r="U56">
            <v>0</v>
          </cell>
          <cell r="V56">
            <v>-27831.648740323428</v>
          </cell>
          <cell r="W56">
            <v>2962.0741528654139</v>
          </cell>
          <cell r="Y56">
            <v>8.6999999999999993</v>
          </cell>
          <cell r="Z56">
            <v>0</v>
          </cell>
          <cell r="AA56">
            <v>0</v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I56">
            <v>0</v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</row>
        <row r="57">
          <cell r="A57">
            <v>100522206</v>
          </cell>
          <cell r="B57" t="str">
            <v xml:space="preserve">SALCHICHAS LARGAS SWIFT SIN GLUTEN 10X12 x 870 g  </v>
          </cell>
          <cell r="C57">
            <v>0</v>
          </cell>
          <cell r="D57">
            <v>0</v>
          </cell>
          <cell r="E57">
            <v>0</v>
          </cell>
          <cell r="F57">
            <v>-9.395999999999999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M57">
            <v>-9.395999999999999</v>
          </cell>
          <cell r="N57">
            <v>-17612.675375427505</v>
          </cell>
          <cell r="O57">
            <v>-2844.1625454565515</v>
          </cell>
          <cell r="P57">
            <v>-20466.233920884057</v>
          </cell>
          <cell r="Q57">
            <v>-2352.4406805613862</v>
          </cell>
          <cell r="R57">
            <v>2178.1858153346166</v>
          </cell>
          <cell r="T57">
            <v>-6269.2367868416286</v>
          </cell>
          <cell r="U57">
            <v>0</v>
          </cell>
          <cell r="V57">
            <v>-26735.470707725686</v>
          </cell>
          <cell r="W57">
            <v>2845.4098241513079</v>
          </cell>
          <cell r="Y57">
            <v>8.6999999999999993</v>
          </cell>
          <cell r="Z57">
            <v>0</v>
          </cell>
          <cell r="AA57">
            <v>0</v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I57">
            <v>0</v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</row>
        <row r="58">
          <cell r="A58">
            <v>100022089</v>
          </cell>
          <cell r="B58" t="str">
            <v>SALCHICHAS 24X6 LA ANONIMA</v>
          </cell>
          <cell r="C58">
            <v>0</v>
          </cell>
          <cell r="D58">
            <v>0</v>
          </cell>
          <cell r="E58">
            <v>0</v>
          </cell>
          <cell r="F58">
            <v>-5.8319999999999999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M58">
            <v>-5.8319999999999999</v>
          </cell>
          <cell r="N58">
            <v>-15488.483302812238</v>
          </cell>
          <cell r="O58">
            <v>-3358.9071042361311</v>
          </cell>
          <cell r="P58">
            <v>-18853.222407048368</v>
          </cell>
          <cell r="Q58">
            <v>-3491.3374827867351</v>
          </cell>
          <cell r="R58">
            <v>3232.719891469199</v>
          </cell>
          <cell r="T58">
            <v>-3891.2504194189419</v>
          </cell>
          <cell r="U58">
            <v>0</v>
          </cell>
          <cell r="V58">
            <v>-22744.47282646731</v>
          </cell>
          <cell r="W58">
            <v>3899.9439002858899</v>
          </cell>
          <cell r="Y58">
            <v>5.3999999999999995</v>
          </cell>
          <cell r="Z58">
            <v>0</v>
          </cell>
          <cell r="AA58">
            <v>0</v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I58">
            <v>0</v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</row>
        <row r="59">
          <cell r="A59">
            <v>100022080</v>
          </cell>
          <cell r="B59" t="str">
            <v>SALCHICHAS 12x12 LA ANONIMA</v>
          </cell>
          <cell r="C59">
            <v>0</v>
          </cell>
          <cell r="D59">
            <v>0</v>
          </cell>
          <cell r="E59">
            <v>0</v>
          </cell>
          <cell r="F59">
            <v>-5.8319999999999999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M59">
            <v>-5.8319999999999999</v>
          </cell>
          <cell r="N59">
            <v>-15339.385668231489</v>
          </cell>
          <cell r="O59">
            <v>-3384.5337209272493</v>
          </cell>
          <cell r="P59">
            <v>-18729.751389158737</v>
          </cell>
          <cell r="Q59">
            <v>-3468.4724794738404</v>
          </cell>
          <cell r="R59">
            <v>3211.5485921054078</v>
          </cell>
          <cell r="T59">
            <v>-3774.512906836374</v>
          </cell>
          <cell r="U59">
            <v>0</v>
          </cell>
          <cell r="V59">
            <v>-22504.264295995112</v>
          </cell>
          <cell r="W59">
            <v>3858.755880657598</v>
          </cell>
          <cell r="Y59">
            <v>5.3999999999999995</v>
          </cell>
          <cell r="Z59">
            <v>0</v>
          </cell>
          <cell r="AA59">
            <v>0</v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I59">
            <v>0</v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</row>
        <row r="60">
          <cell r="A60">
            <v>100022081</v>
          </cell>
          <cell r="B60" t="str">
            <v>SALCHICHAS 6x24 LA ANONIMA</v>
          </cell>
          <cell r="C60">
            <v>0</v>
          </cell>
          <cell r="D60">
            <v>0</v>
          </cell>
          <cell r="E60">
            <v>0</v>
          </cell>
          <cell r="F60">
            <v>-5.8319999999999999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M60">
            <v>-5.8319999999999999</v>
          </cell>
          <cell r="N60">
            <v>-14854.918618951329</v>
          </cell>
          <cell r="O60">
            <v>0</v>
          </cell>
          <cell r="P60">
            <v>-14860.75061895133</v>
          </cell>
          <cell r="Q60">
            <v>-2751.9908553613577</v>
          </cell>
          <cell r="R60">
            <v>2548.1396808901459</v>
          </cell>
          <cell r="T60">
            <v>-3964.9542616799995</v>
          </cell>
          <cell r="U60">
            <v>0</v>
          </cell>
          <cell r="V60">
            <v>-18825.704880631329</v>
          </cell>
          <cell r="W60">
            <v>3228.0015227419976</v>
          </cell>
          <cell r="Y60">
            <v>5.3999999999999995</v>
          </cell>
          <cell r="Z60">
            <v>0</v>
          </cell>
          <cell r="AA60">
            <v>0</v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I60">
            <v>0</v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</row>
        <row r="61">
          <cell r="A61">
            <v>100022058</v>
          </cell>
          <cell r="B61" t="str">
            <v>SALCHICHAS SIN PIEL "LA BLANCA"  24X6X190 Grs;</v>
          </cell>
          <cell r="C61">
            <v>0</v>
          </cell>
          <cell r="D61">
            <v>0</v>
          </cell>
          <cell r="E61">
            <v>0</v>
          </cell>
          <cell r="F61">
            <v>-4.9247999989632012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M61">
            <v>-4.9247999989632012</v>
          </cell>
          <cell r="N61">
            <v>-8732.6910230803169</v>
          </cell>
          <cell r="O61">
            <v>-1452.9462794314218</v>
          </cell>
          <cell r="P61">
            <v>-10190.562102510703</v>
          </cell>
          <cell r="Q61">
            <v>-2234.7723913719483</v>
          </cell>
          <cell r="R61">
            <v>2069.2336957147663</v>
          </cell>
          <cell r="T61">
            <v>-3450.2420378250958</v>
          </cell>
          <cell r="U61">
            <v>-410.47708833381864</v>
          </cell>
          <cell r="V61">
            <v>-14051.281228669617</v>
          </cell>
          <cell r="W61">
            <v>2853.1678914123981</v>
          </cell>
          <cell r="Y61">
            <v>4.5599999990400004</v>
          </cell>
          <cell r="Z61">
            <v>0</v>
          </cell>
          <cell r="AA61">
            <v>0</v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I61">
            <v>0</v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</row>
        <row r="62">
          <cell r="A62">
            <v>100516849</v>
          </cell>
          <cell r="B62" t="str">
            <v>SALCHICHAS SIN PIEL 24X6 "SWIFT KIDS" X 190 g</v>
          </cell>
          <cell r="C62">
            <v>0</v>
          </cell>
          <cell r="D62">
            <v>0</v>
          </cell>
          <cell r="E62">
            <v>0</v>
          </cell>
          <cell r="F62">
            <v>-4.9248000000000012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M62">
            <v>-4.9248000000000012</v>
          </cell>
          <cell r="N62">
            <v>-10179.088832540632</v>
          </cell>
          <cell r="O62">
            <v>-1994.7349063187194</v>
          </cell>
          <cell r="P62">
            <v>-12178.748538859352</v>
          </cell>
          <cell r="Q62">
            <v>-2670.778188346349</v>
          </cell>
          <cell r="R62">
            <v>2472.9427669873598</v>
          </cell>
          <cell r="T62">
            <v>-3285.9447986204405</v>
          </cell>
          <cell r="U62">
            <v>-648.50896854061148</v>
          </cell>
          <cell r="V62">
            <v>-16113.202306020403</v>
          </cell>
          <cell r="W62">
            <v>3271.849071235461</v>
          </cell>
          <cell r="Y62">
            <v>4.5600000000000005</v>
          </cell>
          <cell r="Z62">
            <v>0</v>
          </cell>
          <cell r="AA62">
            <v>0</v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I62">
            <v>0</v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</row>
        <row r="63">
          <cell r="A63">
            <v>100022057</v>
          </cell>
          <cell r="B63" t="str">
            <v>SALCHICHAS GASTRONÓMICAS  SW  10X12X720 Grs:</v>
          </cell>
          <cell r="C63">
            <v>0</v>
          </cell>
          <cell r="D63">
            <v>0</v>
          </cell>
          <cell r="E63">
            <v>0</v>
          </cell>
          <cell r="F63">
            <v>-7.7759999999999998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M63">
            <v>-7.7759999999999998</v>
          </cell>
          <cell r="N63">
            <v>-13279.465221562863</v>
          </cell>
          <cell r="O63">
            <v>0</v>
          </cell>
          <cell r="P63">
            <v>-13287.241221562863</v>
          </cell>
          <cell r="Q63">
            <v>-1845.4501696615089</v>
          </cell>
          <cell r="R63">
            <v>1708.7501570939896</v>
          </cell>
          <cell r="T63">
            <v>-5286.6056822399996</v>
          </cell>
          <cell r="U63">
            <v>0</v>
          </cell>
          <cell r="V63">
            <v>-18573.846903802863</v>
          </cell>
          <cell r="W63">
            <v>2388.6119989458416</v>
          </cell>
          <cell r="Y63">
            <v>7.1999999999999993</v>
          </cell>
          <cell r="Z63">
            <v>0</v>
          </cell>
          <cell r="AA63">
            <v>0</v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I63">
            <v>0</v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</row>
        <row r="64">
          <cell r="A64">
            <v>100518151</v>
          </cell>
          <cell r="B64" t="str">
            <v xml:space="preserve">SALCHICHAS LARGAS 10 x 12 x 870g  </v>
          </cell>
          <cell r="C64">
            <v>0</v>
          </cell>
          <cell r="D64">
            <v>0</v>
          </cell>
          <cell r="E64">
            <v>0</v>
          </cell>
          <cell r="F64">
            <v>-9.395999999999999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M64">
            <v>-9.395999999999999</v>
          </cell>
          <cell r="N64">
            <v>-24407.802667126176</v>
          </cell>
          <cell r="O64">
            <v>-2411.4764920599218</v>
          </cell>
          <cell r="P64">
            <v>-26828.675159186099</v>
          </cell>
          <cell r="Q64">
            <v>-3083.7557654236898</v>
          </cell>
          <cell r="R64">
            <v>2855.3294124293425</v>
          </cell>
          <cell r="T64">
            <v>-6269.2367868416286</v>
          </cell>
          <cell r="U64">
            <v>0</v>
          </cell>
          <cell r="V64">
            <v>-33097.911946027729</v>
          </cell>
          <cell r="W64">
            <v>3522.5534212460338</v>
          </cell>
          <cell r="Y64">
            <v>8.6999999999999993</v>
          </cell>
          <cell r="Z64">
            <v>0</v>
          </cell>
          <cell r="AA64">
            <v>0</v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I64">
            <v>0</v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</row>
        <row r="65">
          <cell r="N65">
            <v>0</v>
          </cell>
          <cell r="O65">
            <v>0</v>
          </cell>
          <cell r="T65">
            <v>0</v>
          </cell>
          <cell r="U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I65">
            <v>0</v>
          </cell>
          <cell r="AJ65" t="str">
            <v/>
          </cell>
          <cell r="AK65">
            <v>0</v>
          </cell>
          <cell r="AL65">
            <v>0</v>
          </cell>
          <cell r="AM65">
            <v>0</v>
          </cell>
        </row>
        <row r="66">
          <cell r="A66">
            <v>100021000</v>
          </cell>
          <cell r="B66" t="str">
            <v>PATE DE FOIE 24X90G SWIFT</v>
          </cell>
          <cell r="C66">
            <v>12639.499999999993</v>
          </cell>
          <cell r="D66">
            <v>-252.78999999999985</v>
          </cell>
          <cell r="E66">
            <v>-0.02</v>
          </cell>
          <cell r="F66">
            <v>-2.3328000000000002</v>
          </cell>
          <cell r="G66">
            <v>-1.8456426282685245E-4</v>
          </cell>
          <cell r="I66">
            <v>0</v>
          </cell>
          <cell r="J66">
            <v>0</v>
          </cell>
          <cell r="K66">
            <v>0</v>
          </cell>
          <cell r="M66">
            <v>12384.377199999994</v>
          </cell>
          <cell r="N66">
            <v>-4988.6687574018024</v>
          </cell>
          <cell r="O66">
            <v>-642.31704442189891</v>
          </cell>
          <cell r="P66">
            <v>6753.3913981762926</v>
          </cell>
          <cell r="Q66">
            <v>3126.5700917482832</v>
          </cell>
          <cell r="R66">
            <v>0.54531538317294603</v>
          </cell>
          <cell r="T66">
            <v>-2172.6961678390312</v>
          </cell>
          <cell r="U66">
            <v>-446.93470370786292</v>
          </cell>
          <cell r="V66">
            <v>4133.7605266293986</v>
          </cell>
          <cell r="W66">
            <v>0.33378832539349662</v>
          </cell>
          <cell r="Y66">
            <v>2.16</v>
          </cell>
          <cell r="Z66">
            <v>1555.2</v>
          </cell>
          <cell r="AA66">
            <v>720</v>
          </cell>
          <cell r="AB66">
            <v>12384.377199999994</v>
          </cell>
          <cell r="AC66">
            <v>8916751.5839999951</v>
          </cell>
          <cell r="AD66">
            <v>6753.3913981762926</v>
          </cell>
          <cell r="AE66">
            <v>4862441.8066869304</v>
          </cell>
          <cell r="AF66">
            <v>0.54531538317294603</v>
          </cell>
          <cell r="AI66">
            <v>720</v>
          </cell>
          <cell r="AJ66">
            <v>4133.7605266293986</v>
          </cell>
          <cell r="AK66">
            <v>2976307.5791731668</v>
          </cell>
          <cell r="AL66">
            <v>8916751.5839999951</v>
          </cell>
          <cell r="AM66">
            <v>0.33378832539349662</v>
          </cell>
        </row>
        <row r="67">
          <cell r="A67">
            <v>100021001</v>
          </cell>
          <cell r="B67" t="str">
            <v xml:space="preserve">PICADILLO DE CARNE 24X90G SWIFT </v>
          </cell>
          <cell r="C67">
            <v>12639.5</v>
          </cell>
          <cell r="D67">
            <v>-252.79</v>
          </cell>
          <cell r="E67">
            <v>-0.02</v>
          </cell>
          <cell r="F67">
            <v>-2.3328000000000002</v>
          </cell>
          <cell r="G67">
            <v>-1.8456426282685234E-4</v>
          </cell>
          <cell r="I67">
            <v>0</v>
          </cell>
          <cell r="J67">
            <v>0</v>
          </cell>
          <cell r="K67">
            <v>0</v>
          </cell>
          <cell r="M67">
            <v>12384.377199999999</v>
          </cell>
          <cell r="N67">
            <v>-4934.7295429952192</v>
          </cell>
          <cell r="O67">
            <v>-614.50118354760127</v>
          </cell>
          <cell r="P67">
            <v>6835.1464734571782</v>
          </cell>
          <cell r="Q67">
            <v>3164.4196636375823</v>
          </cell>
          <cell r="R67">
            <v>0.5519168516166626</v>
          </cell>
          <cell r="T67">
            <v>-2172.6961678390312</v>
          </cell>
          <cell r="U67">
            <v>-446.93470370786292</v>
          </cell>
          <cell r="V67">
            <v>4215.5156019102842</v>
          </cell>
          <cell r="W67">
            <v>0.34038979383721329</v>
          </cell>
          <cell r="Y67">
            <v>2.16</v>
          </cell>
          <cell r="Z67">
            <v>1555.2</v>
          </cell>
          <cell r="AA67">
            <v>720</v>
          </cell>
          <cell r="AB67">
            <v>12384.377199999999</v>
          </cell>
          <cell r="AC67">
            <v>8916751.5839999989</v>
          </cell>
          <cell r="AD67">
            <v>6835.1464734571782</v>
          </cell>
          <cell r="AE67">
            <v>4921305.4608891681</v>
          </cell>
          <cell r="AF67">
            <v>0.5519168516166626</v>
          </cell>
          <cell r="AI67">
            <v>720</v>
          </cell>
          <cell r="AJ67">
            <v>4215.5156019102842</v>
          </cell>
          <cell r="AK67">
            <v>3035171.2333754045</v>
          </cell>
          <cell r="AL67">
            <v>8916751.5839999989</v>
          </cell>
          <cell r="AM67">
            <v>0.34038979383721329</v>
          </cell>
        </row>
        <row r="68">
          <cell r="A68">
            <v>100522277</v>
          </cell>
          <cell r="B68" t="str">
            <v>PICADILLO DE CARNE PICANTE CHILE CHIPOTLE 24x90 g</v>
          </cell>
          <cell r="C68">
            <v>12639.5</v>
          </cell>
          <cell r="D68">
            <v>-252.79</v>
          </cell>
          <cell r="E68">
            <v>-0.02</v>
          </cell>
          <cell r="F68">
            <v>-2.3328000000000002</v>
          </cell>
          <cell r="G68">
            <v>-1.8456426282685234E-4</v>
          </cell>
          <cell r="I68">
            <v>0</v>
          </cell>
          <cell r="J68">
            <v>0</v>
          </cell>
          <cell r="K68">
            <v>0</v>
          </cell>
          <cell r="M68">
            <v>12384.377199999999</v>
          </cell>
          <cell r="N68">
            <v>-6150.7942287270871</v>
          </cell>
          <cell r="O68">
            <v>-632.28229761480986</v>
          </cell>
          <cell r="P68">
            <v>5601.3006736581019</v>
          </cell>
          <cell r="Q68">
            <v>2593.1947563231952</v>
          </cell>
          <cell r="R68">
            <v>0.45228763491296942</v>
          </cell>
          <cell r="T68">
            <v>-2172.6961678390312</v>
          </cell>
          <cell r="U68">
            <v>-446.93470370786292</v>
          </cell>
          <cell r="V68">
            <v>2981.6698021112079</v>
          </cell>
          <cell r="W68">
            <v>0.24076057713352014</v>
          </cell>
          <cell r="Y68">
            <v>2.16</v>
          </cell>
          <cell r="Z68">
            <v>2.16</v>
          </cell>
          <cell r="AA68">
            <v>1</v>
          </cell>
          <cell r="AB68">
            <v>12384.377199999999</v>
          </cell>
          <cell r="AC68">
            <v>12384.377199999999</v>
          </cell>
          <cell r="AD68">
            <v>5601.3006736581019</v>
          </cell>
          <cell r="AE68">
            <v>5601.3006736581019</v>
          </cell>
          <cell r="AF68">
            <v>0.45228763491296942</v>
          </cell>
          <cell r="AI68">
            <v>1</v>
          </cell>
          <cell r="AJ68">
            <v>2981.6698021112079</v>
          </cell>
          <cell r="AK68">
            <v>2981.6698021112079</v>
          </cell>
          <cell r="AL68">
            <v>12384.377199999999</v>
          </cell>
          <cell r="AM68">
            <v>0.24076057713352014</v>
          </cell>
        </row>
        <row r="69">
          <cell r="A69">
            <v>100522333</v>
          </cell>
          <cell r="B69" t="str">
            <v>PATE DE FOIE JALAPEÑO 24x90 Swift</v>
          </cell>
          <cell r="C69">
            <v>12639.5</v>
          </cell>
          <cell r="D69">
            <v>-252.79</v>
          </cell>
          <cell r="E69">
            <v>-0.02</v>
          </cell>
          <cell r="F69">
            <v>-2.3328000000000002</v>
          </cell>
          <cell r="G69">
            <v>-1.8456426282685234E-4</v>
          </cell>
          <cell r="I69">
            <v>0</v>
          </cell>
          <cell r="J69">
            <v>0</v>
          </cell>
          <cell r="K69">
            <v>0</v>
          </cell>
          <cell r="M69">
            <v>12384.377199999999</v>
          </cell>
          <cell r="N69">
            <v>-6239.1784346511686</v>
          </cell>
          <cell r="O69">
            <v>-851.01063010542055</v>
          </cell>
          <cell r="P69">
            <v>5294.1881352434102</v>
          </cell>
          <cell r="Q69">
            <v>2451.0130255756526</v>
          </cell>
          <cell r="R69">
            <v>0.42748925115454417</v>
          </cell>
          <cell r="T69">
            <v>-2172.6961678390312</v>
          </cell>
          <cell r="U69">
            <v>-446.93470370786292</v>
          </cell>
          <cell r="V69">
            <v>2674.5572636965162</v>
          </cell>
          <cell r="W69">
            <v>0.2159621933750949</v>
          </cell>
          <cell r="Y69">
            <v>2.16</v>
          </cell>
          <cell r="Z69">
            <v>2.16</v>
          </cell>
          <cell r="AA69">
            <v>1</v>
          </cell>
          <cell r="AB69">
            <v>12384.377199999999</v>
          </cell>
          <cell r="AC69">
            <v>12384.377199999999</v>
          </cell>
          <cell r="AD69">
            <v>5294.1881352434102</v>
          </cell>
          <cell r="AE69">
            <v>5294.1881352434102</v>
          </cell>
          <cell r="AF69">
            <v>0.42748925115454417</v>
          </cell>
          <cell r="AI69">
            <v>1</v>
          </cell>
          <cell r="AJ69">
            <v>2674.5572636965162</v>
          </cell>
          <cell r="AK69">
            <v>2674.5572636965162</v>
          </cell>
          <cell r="AL69">
            <v>12384.377199999999</v>
          </cell>
          <cell r="AM69">
            <v>0.2159621933750949</v>
          </cell>
        </row>
        <row r="70">
          <cell r="A70">
            <v>100021045</v>
          </cell>
          <cell r="B70" t="str">
            <v>PICADILLO DE CARNE PICANTE 24X90G SWIFT</v>
          </cell>
          <cell r="C70">
            <v>0</v>
          </cell>
          <cell r="D70">
            <v>0</v>
          </cell>
          <cell r="E70">
            <v>0</v>
          </cell>
          <cell r="F70">
            <v>-2.3328000000000002</v>
          </cell>
          <cell r="G70">
            <v>0</v>
          </cell>
          <cell r="I70">
            <v>0</v>
          </cell>
          <cell r="J70">
            <v>0</v>
          </cell>
          <cell r="K70">
            <v>0</v>
          </cell>
          <cell r="M70">
            <v>-2.3328000000000002</v>
          </cell>
          <cell r="N70">
            <v>-5988.0847686115094</v>
          </cell>
          <cell r="O70">
            <v>-851.01063010542055</v>
          </cell>
          <cell r="P70">
            <v>-6841.4281987169297</v>
          </cell>
          <cell r="Q70">
            <v>-3167.3278697763562</v>
          </cell>
          <cell r="R70">
            <v>2932.7109905336629</v>
          </cell>
          <cell r="T70">
            <v>-2172.6961678390312</v>
          </cell>
          <cell r="U70">
            <v>-446.93470370786292</v>
          </cell>
          <cell r="V70">
            <v>-9461.0590702638237</v>
          </cell>
          <cell r="W70">
            <v>4055.6666110527362</v>
          </cell>
          <cell r="Y70">
            <v>2.16</v>
          </cell>
          <cell r="Z70">
            <v>0</v>
          </cell>
          <cell r="AA70">
            <v>0</v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I70">
            <v>0</v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</row>
        <row r="71">
          <cell r="A71">
            <v>100021004</v>
          </cell>
          <cell r="B71" t="str">
            <v>PATE DE FOIE A LA CREMA 24X88G SWIFT</v>
          </cell>
          <cell r="C71">
            <v>0</v>
          </cell>
          <cell r="D71">
            <v>0</v>
          </cell>
          <cell r="E71">
            <v>0</v>
          </cell>
          <cell r="F71">
            <v>-2.2809600000000003</v>
          </cell>
          <cell r="G71">
            <v>0</v>
          </cell>
          <cell r="I71">
            <v>0</v>
          </cell>
          <cell r="J71">
            <v>0</v>
          </cell>
          <cell r="K71">
            <v>0</v>
          </cell>
          <cell r="M71">
            <v>-2.2809600000000003</v>
          </cell>
          <cell r="N71">
            <v>-6764.2329971098152</v>
          </cell>
          <cell r="O71">
            <v>-654.39192163326425</v>
          </cell>
          <cell r="P71">
            <v>-7420.9058787430795</v>
          </cell>
          <cell r="Q71">
            <v>-3513.6864956169884</v>
          </cell>
          <cell r="R71">
            <v>3253.4134218675813</v>
          </cell>
          <cell r="T71">
            <v>-2166.90231139146</v>
          </cell>
          <cell r="U71">
            <v>-437.00282140324367</v>
          </cell>
          <cell r="V71">
            <v>-10024.811011537784</v>
          </cell>
          <cell r="W71">
            <v>4394.9964100807474</v>
          </cell>
          <cell r="Y71">
            <v>2.1120000000000001</v>
          </cell>
          <cell r="Z71">
            <v>0</v>
          </cell>
          <cell r="AA71">
            <v>0</v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I71">
            <v>0</v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</row>
        <row r="72">
          <cell r="A72">
            <v>100021006</v>
          </cell>
          <cell r="B72" t="str">
            <v>JAMON DEL DIABLO 24X88G SWIFT</v>
          </cell>
          <cell r="C72">
            <v>0</v>
          </cell>
          <cell r="D72">
            <v>0</v>
          </cell>
          <cell r="E72">
            <v>0</v>
          </cell>
          <cell r="F72">
            <v>-2.2809600000000003</v>
          </cell>
          <cell r="G72">
            <v>0</v>
          </cell>
          <cell r="I72">
            <v>0</v>
          </cell>
          <cell r="J72">
            <v>0</v>
          </cell>
          <cell r="K72">
            <v>0</v>
          </cell>
          <cell r="M72">
            <v>-2.2809600000000003</v>
          </cell>
          <cell r="N72">
            <v>-8633.5252760099647</v>
          </cell>
          <cell r="O72">
            <v>-972.20642232765829</v>
          </cell>
          <cell r="P72">
            <v>-9608.0126583376223</v>
          </cell>
          <cell r="Q72">
            <v>-4549.248417773495</v>
          </cell>
          <cell r="R72">
            <v>4212.2670534939771</v>
          </cell>
          <cell r="T72">
            <v>-2166.9023113914604</v>
          </cell>
          <cell r="U72">
            <v>-437.00282140324379</v>
          </cell>
          <cell r="V72">
            <v>-12211.917791132328</v>
          </cell>
          <cell r="W72">
            <v>5353.8500417071436</v>
          </cell>
          <cell r="Y72">
            <v>2.1120000000000001</v>
          </cell>
          <cell r="Z72">
            <v>0</v>
          </cell>
          <cell r="AA72">
            <v>0</v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I72">
            <v>0</v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</row>
        <row r="73">
          <cell r="A73">
            <v>100021007</v>
          </cell>
          <cell r="B73" t="str">
            <v>PATE DE FOIE DE POLLO 24X85G SWIFT</v>
          </cell>
          <cell r="C73">
            <v>0</v>
          </cell>
          <cell r="D73">
            <v>0</v>
          </cell>
          <cell r="E73">
            <v>0</v>
          </cell>
          <cell r="F73">
            <v>-2.2032000000000003</v>
          </cell>
          <cell r="G73">
            <v>0</v>
          </cell>
          <cell r="I73">
            <v>0</v>
          </cell>
          <cell r="J73">
            <v>0</v>
          </cell>
          <cell r="K73">
            <v>0</v>
          </cell>
          <cell r="M73">
            <v>-2.2032000000000003</v>
          </cell>
          <cell r="N73">
            <v>-6756.2444855693902</v>
          </cell>
          <cell r="O73">
            <v>-773.44537856421766</v>
          </cell>
          <cell r="P73">
            <v>-7531.8930641336083</v>
          </cell>
          <cell r="Q73">
            <v>-3692.1044432027493</v>
          </cell>
          <cell r="R73">
            <v>3418.6152251877302</v>
          </cell>
          <cell r="T73">
            <v>-4001.3821091035484</v>
          </cell>
          <cell r="U73">
            <v>-422.10499794631494</v>
          </cell>
          <cell r="V73">
            <v>-11955.380171183471</v>
          </cell>
          <cell r="W73">
            <v>5426.3708111762298</v>
          </cell>
          <cell r="Y73">
            <v>2.04</v>
          </cell>
          <cell r="Z73">
            <v>0</v>
          </cell>
          <cell r="AA73">
            <v>0</v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I73">
            <v>0</v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</row>
        <row r="74">
          <cell r="A74">
            <v>100021013</v>
          </cell>
          <cell r="B74" t="str">
            <v>PATE DE FOIE TIPO PROVENZAL 24X85G SWIFT GOURMET</v>
          </cell>
          <cell r="C74">
            <v>0</v>
          </cell>
          <cell r="D74">
            <v>0</v>
          </cell>
          <cell r="E74">
            <v>0</v>
          </cell>
          <cell r="F74">
            <v>-2.2032000000000003</v>
          </cell>
          <cell r="G74">
            <v>0</v>
          </cell>
          <cell r="I74">
            <v>0</v>
          </cell>
          <cell r="J74">
            <v>0</v>
          </cell>
          <cell r="K74">
            <v>0</v>
          </cell>
          <cell r="M74">
            <v>-2.2032000000000003</v>
          </cell>
          <cell r="N74">
            <v>-7179.1884401095913</v>
          </cell>
          <cell r="O74">
            <v>-764.24081604932871</v>
          </cell>
          <cell r="P74">
            <v>-7945.6324561589199</v>
          </cell>
          <cell r="Q74">
            <v>-3894.9178706661373</v>
          </cell>
          <cell r="R74">
            <v>3606.4054358019785</v>
          </cell>
          <cell r="T74">
            <v>-4001.3821091035488</v>
          </cell>
          <cell r="U74">
            <v>-422.104997946315</v>
          </cell>
          <cell r="V74">
            <v>-12369.119563208784</v>
          </cell>
          <cell r="W74">
            <v>5614.1610217904781</v>
          </cell>
          <cell r="Y74">
            <v>2.04</v>
          </cell>
          <cell r="Z74">
            <v>0</v>
          </cell>
          <cell r="AA74">
            <v>0</v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I74">
            <v>0</v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</row>
        <row r="75">
          <cell r="A75">
            <v>100021014</v>
          </cell>
          <cell r="B75" t="str">
            <v>PATE DE FOIE C/PIMIENTA VERDE 24X85G SWIFT GOURMET</v>
          </cell>
          <cell r="C75">
            <v>0</v>
          </cell>
          <cell r="D75">
            <v>0</v>
          </cell>
          <cell r="E75">
            <v>0</v>
          </cell>
          <cell r="F75">
            <v>-2.2032000000000003</v>
          </cell>
          <cell r="G75">
            <v>0</v>
          </cell>
          <cell r="I75">
            <v>0</v>
          </cell>
          <cell r="J75">
            <v>0</v>
          </cell>
          <cell r="K75">
            <v>0</v>
          </cell>
          <cell r="M75">
            <v>-2.2032000000000003</v>
          </cell>
          <cell r="N75">
            <v>-7623.7554182195454</v>
          </cell>
          <cell r="O75">
            <v>-820.58922742622451</v>
          </cell>
          <cell r="P75">
            <v>-8446.5478456457695</v>
          </cell>
          <cell r="Q75">
            <v>-4140.4646302185147</v>
          </cell>
          <cell r="R75">
            <v>3833.7635464986242</v>
          </cell>
          <cell r="T75">
            <v>-4001.3821091035488</v>
          </cell>
          <cell r="U75">
            <v>-422.104997946315</v>
          </cell>
          <cell r="V75">
            <v>-12870.034952695632</v>
          </cell>
          <cell r="W75">
            <v>5841.5191324871239</v>
          </cell>
          <cell r="Y75">
            <v>2.04</v>
          </cell>
          <cell r="Z75">
            <v>0</v>
          </cell>
          <cell r="AA75">
            <v>0</v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I75">
            <v>0</v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</row>
        <row r="76">
          <cell r="A76">
            <v>100021054</v>
          </cell>
          <cell r="B76" t="str">
            <v xml:space="preserve">PATE JAMON AHUMADO 24X85G </v>
          </cell>
          <cell r="C76">
            <v>0</v>
          </cell>
          <cell r="D76">
            <v>0</v>
          </cell>
          <cell r="E76">
            <v>0</v>
          </cell>
          <cell r="F76">
            <v>-2.2032000000000003</v>
          </cell>
          <cell r="G76">
            <v>0</v>
          </cell>
          <cell r="I76">
            <v>0</v>
          </cell>
          <cell r="J76">
            <v>0</v>
          </cell>
          <cell r="K76">
            <v>0</v>
          </cell>
          <cell r="M76">
            <v>-2.2032000000000003</v>
          </cell>
          <cell r="N76">
            <v>-8632.5077892726931</v>
          </cell>
          <cell r="O76">
            <v>-1027.6488022614669</v>
          </cell>
          <cell r="P76">
            <v>-9662.3597915341597</v>
          </cell>
          <cell r="Q76">
            <v>-4736.4508782030198</v>
          </cell>
          <cell r="R76">
            <v>4385.6026650027952</v>
          </cell>
          <cell r="T76">
            <v>-4001.3821091035488</v>
          </cell>
          <cell r="U76">
            <v>-422.104997946315</v>
          </cell>
          <cell r="V76">
            <v>-14085.846898584025</v>
          </cell>
          <cell r="W76">
            <v>6393.3582509912958</v>
          </cell>
          <cell r="Y76">
            <v>2.04</v>
          </cell>
          <cell r="Z76">
            <v>0</v>
          </cell>
          <cell r="AA76">
            <v>0</v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I76">
            <v>0</v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</row>
        <row r="77">
          <cell r="A77">
            <v>100021055</v>
          </cell>
          <cell r="B77" t="str">
            <v>PATE HONGOS 24X85G</v>
          </cell>
          <cell r="C77">
            <v>0</v>
          </cell>
          <cell r="D77">
            <v>0</v>
          </cell>
          <cell r="E77">
            <v>0</v>
          </cell>
          <cell r="F77">
            <v>-2.2032000000000003</v>
          </cell>
          <cell r="G77">
            <v>0</v>
          </cell>
          <cell r="I77">
            <v>0</v>
          </cell>
          <cell r="J77">
            <v>0</v>
          </cell>
          <cell r="K77">
            <v>0</v>
          </cell>
          <cell r="M77">
            <v>-2.2032000000000003</v>
          </cell>
          <cell r="N77">
            <v>-7762.4125455040612</v>
          </cell>
          <cell r="O77">
            <v>-779.27971810475583</v>
          </cell>
          <cell r="P77">
            <v>-8543.8954636088165</v>
          </cell>
          <cell r="Q77">
            <v>-4188.1840507886354</v>
          </cell>
          <cell r="R77">
            <v>3877.948195174662</v>
          </cell>
          <cell r="T77">
            <v>-4001.3821091035488</v>
          </cell>
          <cell r="U77">
            <v>-422.104997946315</v>
          </cell>
          <cell r="V77">
            <v>-12967.382570658681</v>
          </cell>
          <cell r="W77">
            <v>5885.7037811631626</v>
          </cell>
          <cell r="Y77">
            <v>2.04</v>
          </cell>
          <cell r="Z77">
            <v>0</v>
          </cell>
          <cell r="AA77">
            <v>0</v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I77">
            <v>0</v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</row>
        <row r="78">
          <cell r="A78">
            <v>100021015</v>
          </cell>
          <cell r="B78" t="str">
            <v>PATE DE SALMON 24X85G SWIFT GOURMET</v>
          </cell>
          <cell r="C78">
            <v>0</v>
          </cell>
          <cell r="D78">
            <v>0</v>
          </cell>
          <cell r="E78">
            <v>0</v>
          </cell>
          <cell r="F78">
            <v>-2.2032000000000003</v>
          </cell>
          <cell r="G78">
            <v>0</v>
          </cell>
          <cell r="I78">
            <v>0</v>
          </cell>
          <cell r="J78">
            <v>0</v>
          </cell>
          <cell r="K78">
            <v>0</v>
          </cell>
          <cell r="M78">
            <v>-2.2032000000000003</v>
          </cell>
          <cell r="N78">
            <v>-14928.079946429534</v>
          </cell>
          <cell r="O78">
            <v>-959.94427107330921</v>
          </cell>
          <cell r="P78">
            <v>-15890.227417502843</v>
          </cell>
          <cell r="Q78">
            <v>-7789.3271654425698</v>
          </cell>
          <cell r="R78">
            <v>7212.3399680023786</v>
          </cell>
          <cell r="T78">
            <v>-4001.3821091035488</v>
          </cell>
          <cell r="U78">
            <v>-422.104997946315</v>
          </cell>
          <cell r="V78">
            <v>-20313.714524552706</v>
          </cell>
          <cell r="W78">
            <v>9220.0955539908791</v>
          </cell>
          <cell r="Y78">
            <v>2.04</v>
          </cell>
          <cell r="Z78">
            <v>0</v>
          </cell>
          <cell r="AA78">
            <v>0</v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I78">
            <v>0</v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</row>
        <row r="79">
          <cell r="A79">
            <v>100517846</v>
          </cell>
          <cell r="B79" t="str">
            <v xml:space="preserve">SURTIDO GOURMET 24X85G SWIFT GOURMET </v>
          </cell>
          <cell r="C79">
            <v>0</v>
          </cell>
          <cell r="D79">
            <v>0</v>
          </cell>
          <cell r="E79">
            <v>0</v>
          </cell>
          <cell r="F79">
            <v>-2.2032000000000003</v>
          </cell>
          <cell r="G79">
            <v>0</v>
          </cell>
          <cell r="I79">
            <v>0</v>
          </cell>
          <cell r="J79">
            <v>0</v>
          </cell>
          <cell r="K79">
            <v>0</v>
          </cell>
          <cell r="M79">
            <v>-2.2032000000000003</v>
          </cell>
          <cell r="N79" t="e">
            <v>#N/A</v>
          </cell>
          <cell r="O79" t="e">
            <v>#N/A</v>
          </cell>
          <cell r="P79" t="e">
            <v>#N/A</v>
          </cell>
          <cell r="Q79" t="e">
            <v>#N/A</v>
          </cell>
          <cell r="R79" t="e">
            <v>#N/A</v>
          </cell>
          <cell r="T79" t="e">
            <v>#N/A</v>
          </cell>
          <cell r="U79" t="e">
            <v>#N/A</v>
          </cell>
          <cell r="V79" t="e">
            <v>#N/A</v>
          </cell>
          <cell r="W79" t="e">
            <v>#N/A</v>
          </cell>
          <cell r="Y79">
            <v>2.04</v>
          </cell>
          <cell r="Z79">
            <v>204</v>
          </cell>
          <cell r="AA79">
            <v>100</v>
          </cell>
          <cell r="AB79">
            <v>-2.2032000000000003</v>
          </cell>
          <cell r="AC79">
            <v>-220.32000000000002</v>
          </cell>
          <cell r="AD79" t="e">
            <v>#N/A</v>
          </cell>
          <cell r="AE79">
            <v>0</v>
          </cell>
          <cell r="AF79">
            <v>0</v>
          </cell>
          <cell r="AI79">
            <v>100</v>
          </cell>
          <cell r="AJ79">
            <v>0</v>
          </cell>
          <cell r="AK79">
            <v>0</v>
          </cell>
          <cell r="AL79">
            <v>-220.32000000000002</v>
          </cell>
          <cell r="AM79">
            <v>0</v>
          </cell>
        </row>
        <row r="80">
          <cell r="A80">
            <v>100021008</v>
          </cell>
          <cell r="B80" t="str">
            <v>PICADILLO DE CARNE 24X90G LA BLANCA</v>
          </cell>
          <cell r="C80">
            <v>0</v>
          </cell>
          <cell r="D80">
            <v>0</v>
          </cell>
          <cell r="E80">
            <v>0</v>
          </cell>
          <cell r="F80">
            <v>-2.3328000000000002</v>
          </cell>
          <cell r="G80">
            <v>0</v>
          </cell>
          <cell r="I80">
            <v>0</v>
          </cell>
          <cell r="J80">
            <v>0</v>
          </cell>
          <cell r="K80">
            <v>0</v>
          </cell>
          <cell r="M80">
            <v>-2.3328000000000002</v>
          </cell>
          <cell r="N80">
            <v>-4644.9386719979975</v>
          </cell>
          <cell r="O80">
            <v>-506.61513958315601</v>
          </cell>
          <cell r="P80">
            <v>-5153.8866115811534</v>
          </cell>
          <cell r="Q80">
            <v>-2386.0586164727561</v>
          </cell>
          <cell r="R80">
            <v>2209.3135337710705</v>
          </cell>
          <cell r="T80">
            <v>-2172.6961678390312</v>
          </cell>
          <cell r="U80">
            <v>-394.09432795525129</v>
          </cell>
          <cell r="V80">
            <v>-7720.6771073754362</v>
          </cell>
          <cell r="W80">
            <v>3309.6181015841203</v>
          </cell>
          <cell r="Y80">
            <v>2.16</v>
          </cell>
          <cell r="Z80">
            <v>0</v>
          </cell>
          <cell r="AA80">
            <v>0</v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I80">
            <v>0</v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</row>
        <row r="81">
          <cell r="A81">
            <v>100021009</v>
          </cell>
          <cell r="B81" t="str">
            <v>PATE DE FOIE 24X90G LA BLANCA</v>
          </cell>
          <cell r="C81">
            <v>0</v>
          </cell>
          <cell r="D81">
            <v>0</v>
          </cell>
          <cell r="E81">
            <v>0</v>
          </cell>
          <cell r="F81">
            <v>-2.3328000000000002</v>
          </cell>
          <cell r="G81">
            <v>0</v>
          </cell>
          <cell r="I81">
            <v>0</v>
          </cell>
          <cell r="J81">
            <v>0</v>
          </cell>
          <cell r="K81">
            <v>0</v>
          </cell>
          <cell r="M81">
            <v>-2.3328000000000002</v>
          </cell>
          <cell r="N81">
            <v>-4781.5293564374542</v>
          </cell>
          <cell r="O81">
            <v>-470.69605273297054</v>
          </cell>
          <cell r="P81">
            <v>-5254.5582091704246</v>
          </cell>
          <cell r="Q81">
            <v>-2432.6658375789002</v>
          </cell>
          <cell r="R81">
            <v>2252.468368128611</v>
          </cell>
          <cell r="T81">
            <v>-2172.6961678390312</v>
          </cell>
          <cell r="U81">
            <v>-394.09432795525129</v>
          </cell>
          <cell r="V81">
            <v>-7821.3487049647074</v>
          </cell>
          <cell r="W81">
            <v>3352.7729359416608</v>
          </cell>
          <cell r="Y81">
            <v>2.16</v>
          </cell>
          <cell r="Z81">
            <v>0</v>
          </cell>
          <cell r="AA81">
            <v>0</v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I81">
            <v>0</v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</row>
        <row r="82">
          <cell r="A82">
            <v>100021010</v>
          </cell>
          <cell r="B82" t="str">
            <v>PICADILLO DE CARNE 24X90G SAFRA</v>
          </cell>
          <cell r="C82">
            <v>0</v>
          </cell>
          <cell r="D82">
            <v>0</v>
          </cell>
          <cell r="E82">
            <v>0</v>
          </cell>
          <cell r="F82">
            <v>-2.3328000000000002</v>
          </cell>
          <cell r="G82">
            <v>0</v>
          </cell>
          <cell r="I82">
            <v>0</v>
          </cell>
          <cell r="J82">
            <v>0</v>
          </cell>
          <cell r="K82">
            <v>0</v>
          </cell>
          <cell r="M82">
            <v>-2.3328000000000002</v>
          </cell>
          <cell r="N82">
            <v>-4749.5047924871078</v>
          </cell>
          <cell r="O82">
            <v>-577.60425191707759</v>
          </cell>
          <cell r="P82">
            <v>-5329.4418444041858</v>
          </cell>
          <cell r="Q82">
            <v>-2467.3341872241599</v>
          </cell>
          <cell r="R82">
            <v>2284.5686918742222</v>
          </cell>
          <cell r="T82">
            <v>-2172.6961678390312</v>
          </cell>
          <cell r="U82">
            <v>0</v>
          </cell>
          <cell r="V82">
            <v>-7502.1380122432165</v>
          </cell>
          <cell r="W82">
            <v>3215.9370765788822</v>
          </cell>
          <cell r="Y82">
            <v>2.16</v>
          </cell>
          <cell r="Z82">
            <v>0</v>
          </cell>
          <cell r="AA82">
            <v>0</v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I82">
            <v>0</v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</row>
        <row r="83">
          <cell r="A83">
            <v>100021011</v>
          </cell>
          <cell r="B83" t="str">
            <v>PATE DE FOIE 24X90G SAFRA</v>
          </cell>
          <cell r="C83">
            <v>0</v>
          </cell>
          <cell r="D83">
            <v>0</v>
          </cell>
          <cell r="E83">
            <v>0</v>
          </cell>
          <cell r="F83">
            <v>-2.3328000000000002</v>
          </cell>
          <cell r="G83">
            <v>0</v>
          </cell>
          <cell r="I83">
            <v>0</v>
          </cell>
          <cell r="J83">
            <v>0</v>
          </cell>
          <cell r="K83">
            <v>0</v>
          </cell>
          <cell r="M83">
            <v>-2.3328000000000002</v>
          </cell>
          <cell r="N83">
            <v>-5120.0730414561494</v>
          </cell>
          <cell r="O83">
            <v>-957.78640695926822</v>
          </cell>
          <cell r="P83">
            <v>-6080.1922484154175</v>
          </cell>
          <cell r="Q83">
            <v>-2814.9038187108413</v>
          </cell>
          <cell r="R83">
            <v>2606.3924247322602</v>
          </cell>
          <cell r="T83">
            <v>-2230.0228152</v>
          </cell>
          <cell r="U83">
            <v>0</v>
          </cell>
          <cell r="V83">
            <v>-8310.2150636154183</v>
          </cell>
          <cell r="W83">
            <v>3562.3349895470756</v>
          </cell>
          <cell r="Y83">
            <v>2.16</v>
          </cell>
          <cell r="Z83">
            <v>0</v>
          </cell>
          <cell r="AA83">
            <v>0</v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I83">
            <v>0</v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</row>
        <row r="84">
          <cell r="A84">
            <v>100021027</v>
          </cell>
          <cell r="B84" t="str">
            <v>PATE DE FOI  PRIMER PRECIO  -  24 X 90  Grs.</v>
          </cell>
          <cell r="C84">
            <v>0</v>
          </cell>
          <cell r="D84">
            <v>0</v>
          </cell>
          <cell r="E84">
            <v>0</v>
          </cell>
          <cell r="F84">
            <v>-2.3328000000000002</v>
          </cell>
          <cell r="G84">
            <v>0</v>
          </cell>
          <cell r="I84">
            <v>0</v>
          </cell>
          <cell r="J84">
            <v>0</v>
          </cell>
          <cell r="K84">
            <v>0</v>
          </cell>
          <cell r="M84">
            <v>-2.3328000000000002</v>
          </cell>
          <cell r="N84">
            <v>-5027.1653093882442</v>
          </cell>
          <cell r="O84">
            <v>0</v>
          </cell>
          <cell r="P84">
            <v>-5029.4981093882443</v>
          </cell>
          <cell r="Q84">
            <v>-2328.4713469390017</v>
          </cell>
          <cell r="R84">
            <v>2155.9919879064832</v>
          </cell>
          <cell r="T84">
            <v>-2230.0228152</v>
          </cell>
          <cell r="U84">
            <v>0</v>
          </cell>
          <cell r="V84">
            <v>-7259.5209245882443</v>
          </cell>
          <cell r="W84">
            <v>3111.9345527212977</v>
          </cell>
          <cell r="Y84">
            <v>2.16</v>
          </cell>
          <cell r="Z84">
            <v>0</v>
          </cell>
          <cell r="AA84">
            <v>0</v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I84">
            <v>0</v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</row>
        <row r="85">
          <cell r="A85">
            <v>100021028</v>
          </cell>
          <cell r="B85" t="str">
            <v>PICADILLO DE CARNE PRIMER PRECIO  -  24 X 90 Grs.</v>
          </cell>
          <cell r="C85">
            <v>0</v>
          </cell>
          <cell r="D85">
            <v>0</v>
          </cell>
          <cell r="E85">
            <v>0</v>
          </cell>
          <cell r="F85">
            <v>-2.3328000000000002</v>
          </cell>
          <cell r="G85">
            <v>0</v>
          </cell>
          <cell r="I85">
            <v>0</v>
          </cell>
          <cell r="J85">
            <v>0</v>
          </cell>
          <cell r="K85">
            <v>0</v>
          </cell>
          <cell r="M85">
            <v>-2.3328000000000002</v>
          </cell>
          <cell r="N85">
            <v>-5276.2884663352916</v>
          </cell>
          <cell r="O85">
            <v>-946.92890838580365</v>
          </cell>
          <cell r="P85">
            <v>-6225.5501747210956</v>
          </cell>
          <cell r="Q85">
            <v>-2882.1991549634699</v>
          </cell>
          <cell r="R85">
            <v>2668.702921262472</v>
          </cell>
          <cell r="T85">
            <v>-2230.0228152</v>
          </cell>
          <cell r="U85">
            <v>0</v>
          </cell>
          <cell r="V85">
            <v>-8455.5729899210965</v>
          </cell>
          <cell r="W85">
            <v>3624.6454860772874</v>
          </cell>
          <cell r="Y85">
            <v>2.16</v>
          </cell>
          <cell r="Z85">
            <v>0</v>
          </cell>
          <cell r="AA85">
            <v>0</v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I85">
            <v>0</v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</row>
        <row r="86">
          <cell r="A86">
            <v>100021133</v>
          </cell>
          <cell r="B86" t="str">
            <v>PICADILLO DE CARNE DÍA  -  24 X 90 Grs.</v>
          </cell>
          <cell r="C86">
            <v>0</v>
          </cell>
          <cell r="D86">
            <v>0</v>
          </cell>
          <cell r="E86">
            <v>0</v>
          </cell>
          <cell r="F86">
            <v>-2.3328000000000002</v>
          </cell>
          <cell r="G86">
            <v>0</v>
          </cell>
          <cell r="I86">
            <v>0</v>
          </cell>
          <cell r="J86">
            <v>0</v>
          </cell>
          <cell r="K86">
            <v>0</v>
          </cell>
          <cell r="M86">
            <v>-2.3328000000000002</v>
          </cell>
          <cell r="N86">
            <v>-4555.2524428430133</v>
          </cell>
          <cell r="O86">
            <v>-710.7934070871853</v>
          </cell>
          <cell r="P86">
            <v>-5268.3786499301987</v>
          </cell>
          <cell r="Q86">
            <v>-2439.0641897824994</v>
          </cell>
          <cell r="R86">
            <v>2258.3927683171287</v>
          </cell>
          <cell r="T86">
            <v>-2172.6961678390312</v>
          </cell>
          <cell r="U86">
            <v>0</v>
          </cell>
          <cell r="V86">
            <v>-7441.0748177692294</v>
          </cell>
          <cell r="W86">
            <v>3189.7611530217887</v>
          </cell>
          <cell r="Y86">
            <v>2.16</v>
          </cell>
          <cell r="Z86">
            <v>0</v>
          </cell>
          <cell r="AA86">
            <v>0</v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I86">
            <v>0</v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</row>
        <row r="87">
          <cell r="A87">
            <v>100021134</v>
          </cell>
          <cell r="B87" t="str">
            <v>PATE DE FOI DIA   -  24 X 90  Grs.</v>
          </cell>
          <cell r="C87">
            <v>0</v>
          </cell>
          <cell r="D87">
            <v>0</v>
          </cell>
          <cell r="E87">
            <v>0</v>
          </cell>
          <cell r="F87">
            <v>-2.3328000000000002</v>
          </cell>
          <cell r="G87">
            <v>0</v>
          </cell>
          <cell r="I87">
            <v>0</v>
          </cell>
          <cell r="J87">
            <v>0</v>
          </cell>
          <cell r="K87">
            <v>0</v>
          </cell>
          <cell r="M87">
            <v>-2.3328000000000002</v>
          </cell>
          <cell r="N87">
            <v>-4744.257994422197</v>
          </cell>
          <cell r="O87">
            <v>-743.04501826108083</v>
          </cell>
          <cell r="P87">
            <v>-5489.6358126832783</v>
          </cell>
          <cell r="Q87">
            <v>-2541.4980614274436</v>
          </cell>
          <cell r="R87">
            <v>2353.2389457661511</v>
          </cell>
          <cell r="T87">
            <v>-2172.6961678390312</v>
          </cell>
          <cell r="U87">
            <v>0</v>
          </cell>
          <cell r="V87">
            <v>-7662.3319805223091</v>
          </cell>
          <cell r="W87">
            <v>3284.6073304708111</v>
          </cell>
          <cell r="Y87">
            <v>2.16</v>
          </cell>
          <cell r="Z87">
            <v>0</v>
          </cell>
          <cell r="AA87">
            <v>0</v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I87">
            <v>0</v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</row>
        <row r="88">
          <cell r="N88">
            <v>0</v>
          </cell>
          <cell r="O88">
            <v>0</v>
          </cell>
          <cell r="T88">
            <v>0</v>
          </cell>
          <cell r="U88">
            <v>0</v>
          </cell>
          <cell r="Y88">
            <v>0</v>
          </cell>
          <cell r="Z88">
            <v>3318.72</v>
          </cell>
          <cell r="AA88">
            <v>1542</v>
          </cell>
          <cell r="AB88">
            <v>11581.097018417635</v>
          </cell>
          <cell r="AC88">
            <v>17858051.602399994</v>
          </cell>
          <cell r="AD88">
            <v>6351.9084023249034</v>
          </cell>
          <cell r="AE88">
            <v>9794642.7563850004</v>
          </cell>
          <cell r="AF88">
            <v>0.54847208275894288</v>
          </cell>
          <cell r="AI88">
            <v>1542</v>
          </cell>
          <cell r="AJ88">
            <v>3902.1628013063419</v>
          </cell>
          <cell r="AK88">
            <v>6017135.0396143794</v>
          </cell>
          <cell r="AL88">
            <v>17858051.602399994</v>
          </cell>
          <cell r="AM88">
            <v>0.3369424153083822</v>
          </cell>
        </row>
        <row r="89">
          <cell r="A89">
            <v>100516214</v>
          </cell>
          <cell r="B89" t="str">
            <v>MILANESAS DE SOJA RELLENAS CON JAMON Y QUESO</v>
          </cell>
          <cell r="C89">
            <v>0</v>
          </cell>
          <cell r="D89">
            <v>0</v>
          </cell>
          <cell r="E89">
            <v>0</v>
          </cell>
          <cell r="F89">
            <v>-7.5600000000000005</v>
          </cell>
          <cell r="G89">
            <v>0</v>
          </cell>
          <cell r="I89">
            <v>0</v>
          </cell>
          <cell r="J89">
            <v>0</v>
          </cell>
          <cell r="K89">
            <v>0</v>
          </cell>
          <cell r="M89">
            <v>-7.5600000000000005</v>
          </cell>
          <cell r="N89">
            <v>-25064.71</v>
          </cell>
          <cell r="O89">
            <v>-2800</v>
          </cell>
          <cell r="P89">
            <v>-27872.27</v>
          </cell>
          <cell r="Q89">
            <v>-3981.752857142857</v>
          </cell>
          <cell r="R89">
            <v>3686.8082010582007</v>
          </cell>
          <cell r="T89">
            <v>-1811.20615</v>
          </cell>
          <cell r="U89">
            <v>0</v>
          </cell>
          <cell r="V89">
            <v>-29683.476150000002</v>
          </cell>
          <cell r="W89">
            <v>3926.3857341269841</v>
          </cell>
          <cell r="Y89">
            <v>7</v>
          </cell>
          <cell r="Z89">
            <v>0</v>
          </cell>
          <cell r="AA89">
            <v>0</v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I89">
            <v>0</v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</row>
        <row r="90">
          <cell r="A90">
            <v>100516215</v>
          </cell>
          <cell r="B90" t="str">
            <v>MILANESAS DE SOJA RELLENAS CON ESPINACA Y QUESO</v>
          </cell>
          <cell r="C90">
            <v>0</v>
          </cell>
          <cell r="D90">
            <v>0</v>
          </cell>
          <cell r="E90">
            <v>0</v>
          </cell>
          <cell r="F90">
            <v>-7.5600000000000005</v>
          </cell>
          <cell r="G90">
            <v>0</v>
          </cell>
          <cell r="I90">
            <v>0</v>
          </cell>
          <cell r="J90">
            <v>0</v>
          </cell>
          <cell r="K90">
            <v>0</v>
          </cell>
          <cell r="M90">
            <v>-7.5600000000000005</v>
          </cell>
          <cell r="N90">
            <v>-25064.71</v>
          </cell>
          <cell r="O90">
            <v>-2800</v>
          </cell>
          <cell r="P90">
            <v>-27872.27</v>
          </cell>
          <cell r="Q90">
            <v>-3981.752857142857</v>
          </cell>
          <cell r="R90">
            <v>3686.8082010582007</v>
          </cell>
          <cell r="T90">
            <v>-1811.20615</v>
          </cell>
          <cell r="U90">
            <v>0</v>
          </cell>
          <cell r="V90">
            <v>-29683.476150000002</v>
          </cell>
          <cell r="W90">
            <v>3926.3857341269841</v>
          </cell>
          <cell r="Y90">
            <v>7</v>
          </cell>
          <cell r="Z90">
            <v>0</v>
          </cell>
          <cell r="AA90">
            <v>0</v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I90">
            <v>0</v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</row>
        <row r="91">
          <cell r="A91">
            <v>100516216</v>
          </cell>
          <cell r="B91" t="str">
            <v>MILANESAS DE SOJA RELLENAS CON TOMATE Y QUESO</v>
          </cell>
          <cell r="C91">
            <v>0</v>
          </cell>
          <cell r="D91">
            <v>0</v>
          </cell>
          <cell r="E91">
            <v>0</v>
          </cell>
          <cell r="F91">
            <v>-7.5600000000000005</v>
          </cell>
          <cell r="G91">
            <v>0</v>
          </cell>
          <cell r="I91">
            <v>0</v>
          </cell>
          <cell r="J91">
            <v>0</v>
          </cell>
          <cell r="K91">
            <v>0</v>
          </cell>
          <cell r="M91">
            <v>-7.5600000000000005</v>
          </cell>
          <cell r="N91">
            <v>-25064.71</v>
          </cell>
          <cell r="O91">
            <v>-2800</v>
          </cell>
          <cell r="P91">
            <v>-27872.27</v>
          </cell>
          <cell r="Q91">
            <v>-3981.752857142857</v>
          </cell>
          <cell r="R91">
            <v>3686.8082010582007</v>
          </cell>
          <cell r="T91">
            <v>-1811.20615</v>
          </cell>
          <cell r="U91">
            <v>0</v>
          </cell>
          <cell r="V91">
            <v>-29683.476150000002</v>
          </cell>
          <cell r="W91">
            <v>3926.3857341269841</v>
          </cell>
          <cell r="Y91">
            <v>7</v>
          </cell>
          <cell r="Z91">
            <v>0</v>
          </cell>
          <cell r="AA91">
            <v>0</v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I91">
            <v>0</v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</row>
        <row r="92">
          <cell r="A92">
            <v>100516217</v>
          </cell>
          <cell r="B92" t="str">
            <v>MILANESAS DE SOJA CLASICAS PREFRITAS</v>
          </cell>
          <cell r="C92">
            <v>0</v>
          </cell>
          <cell r="D92">
            <v>0</v>
          </cell>
          <cell r="E92">
            <v>0</v>
          </cell>
          <cell r="F92">
            <v>-6.2640000000000002</v>
          </cell>
          <cell r="G92">
            <v>0</v>
          </cell>
          <cell r="I92">
            <v>0</v>
          </cell>
          <cell r="J92">
            <v>0</v>
          </cell>
          <cell r="K92">
            <v>0</v>
          </cell>
          <cell r="M92">
            <v>-6.2640000000000002</v>
          </cell>
          <cell r="N92">
            <v>-17837.12</v>
          </cell>
          <cell r="O92">
            <v>-2320</v>
          </cell>
          <cell r="P92">
            <v>-20163.383999999998</v>
          </cell>
          <cell r="Q92">
            <v>-3476.4455172413791</v>
          </cell>
          <cell r="R92">
            <v>3218.9310344827582</v>
          </cell>
          <cell r="T92">
            <v>-1310.2128</v>
          </cell>
          <cell r="U92">
            <v>0</v>
          </cell>
          <cell r="V92">
            <v>-21473.596799999999</v>
          </cell>
          <cell r="W92">
            <v>3428.0965517241375</v>
          </cell>
          <cell r="Y92">
            <v>5.8</v>
          </cell>
          <cell r="Z92">
            <v>0</v>
          </cell>
          <cell r="AA92">
            <v>0</v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I92">
            <v>0</v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</row>
        <row r="93">
          <cell r="A93">
            <v>100521453</v>
          </cell>
          <cell r="B93" t="str">
            <v>MEDALLÓN A BASE DE CALABAZA Y CHOCLO PREFRITO SUPERCONGELADO</v>
          </cell>
          <cell r="C93">
            <v>0</v>
          </cell>
          <cell r="D93">
            <v>0</v>
          </cell>
          <cell r="E93">
            <v>0</v>
          </cell>
          <cell r="F93">
            <v>-5.8320000000000007</v>
          </cell>
          <cell r="G93">
            <v>0</v>
          </cell>
          <cell r="I93">
            <v>0</v>
          </cell>
          <cell r="J93">
            <v>0</v>
          </cell>
          <cell r="K93">
            <v>0</v>
          </cell>
          <cell r="M93">
            <v>-5.8320000000000007</v>
          </cell>
          <cell r="N93">
            <v>-22830.21</v>
          </cell>
          <cell r="O93">
            <v>-2160</v>
          </cell>
          <cell r="P93">
            <v>-24996.041999999998</v>
          </cell>
          <cell r="Q93">
            <v>-4628.8966666666656</v>
          </cell>
          <cell r="R93">
            <v>4286.0154320987649</v>
          </cell>
          <cell r="T93">
            <v>-1624.36365</v>
          </cell>
          <cell r="U93">
            <v>0</v>
          </cell>
          <cell r="V93">
            <v>-26620.405649999997</v>
          </cell>
          <cell r="W93">
            <v>4564.5414351851841</v>
          </cell>
          <cell r="Y93">
            <v>5.4</v>
          </cell>
          <cell r="Z93">
            <v>0</v>
          </cell>
          <cell r="AA93">
            <v>0</v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I93">
            <v>0</v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</row>
        <row r="94">
          <cell r="A94">
            <v>100521454</v>
          </cell>
          <cell r="B94" t="str">
            <v>MEDALLÓN A BASE DE ESPINACA CON SOJA PREFRITO SUPERCONGELADO 18x300g</v>
          </cell>
          <cell r="C94">
            <v>0</v>
          </cell>
          <cell r="D94">
            <v>0</v>
          </cell>
          <cell r="E94">
            <v>0</v>
          </cell>
          <cell r="F94">
            <v>-5.8320000000000007</v>
          </cell>
          <cell r="G94">
            <v>0</v>
          </cell>
          <cell r="I94">
            <v>0</v>
          </cell>
          <cell r="J94">
            <v>0</v>
          </cell>
          <cell r="K94">
            <v>0</v>
          </cell>
          <cell r="M94">
            <v>-5.8320000000000007</v>
          </cell>
          <cell r="N94">
            <v>-22830.21</v>
          </cell>
          <cell r="O94">
            <v>-2160</v>
          </cell>
          <cell r="P94">
            <v>-24996.041999999998</v>
          </cell>
          <cell r="Q94">
            <v>-4628.8966666666656</v>
          </cell>
          <cell r="R94">
            <v>4286.0154320987649</v>
          </cell>
          <cell r="T94">
            <v>-1624.36365</v>
          </cell>
          <cell r="U94">
            <v>0</v>
          </cell>
          <cell r="V94">
            <v>-26620.405649999997</v>
          </cell>
          <cell r="W94">
            <v>4564.5414351851841</v>
          </cell>
          <cell r="Y94">
            <v>5.4</v>
          </cell>
          <cell r="Z94">
            <v>0</v>
          </cell>
          <cell r="AA94">
            <v>0</v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I94">
            <v>0</v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</row>
        <row r="95">
          <cell r="A95">
            <v>100521455</v>
          </cell>
          <cell r="B95" t="str">
            <v>CROQUETA A BASE DE BRÓCOLI Y SOJA PREFRITO SUPERCONGELADO 300g</v>
          </cell>
          <cell r="C95">
            <v>0</v>
          </cell>
          <cell r="D95">
            <v>0</v>
          </cell>
          <cell r="E95">
            <v>0</v>
          </cell>
          <cell r="F95">
            <v>-5.1840000000000002</v>
          </cell>
          <cell r="G95">
            <v>0</v>
          </cell>
          <cell r="I95">
            <v>0</v>
          </cell>
          <cell r="J95">
            <v>0</v>
          </cell>
          <cell r="K95">
            <v>0</v>
          </cell>
          <cell r="M95">
            <v>-5.1840000000000002</v>
          </cell>
          <cell r="N95">
            <v>-24828.77</v>
          </cell>
          <cell r="O95">
            <v>-1920</v>
          </cell>
          <cell r="P95">
            <v>-26753.954000000002</v>
          </cell>
          <cell r="Q95">
            <v>-5573.7404166666674</v>
          </cell>
          <cell r="R95">
            <v>5160.8707561728397</v>
          </cell>
          <cell r="T95">
            <v>-1738.6700500000002</v>
          </cell>
          <cell r="U95">
            <v>0</v>
          </cell>
          <cell r="V95">
            <v>-28492.624050000002</v>
          </cell>
          <cell r="W95">
            <v>5496.2623553240746</v>
          </cell>
          <cell r="Y95">
            <v>4.8</v>
          </cell>
          <cell r="Z95">
            <v>0</v>
          </cell>
          <cell r="AA95">
            <v>0</v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I95">
            <v>0</v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</row>
        <row r="96">
          <cell r="A96">
            <v>100521457</v>
          </cell>
          <cell r="B96" t="str">
            <v>CROQUETA A BASE DE ESPINACA Y SOJA REBOZADA SUPERCONGELADA 300g</v>
          </cell>
          <cell r="C96">
            <v>0</v>
          </cell>
          <cell r="D96">
            <v>0</v>
          </cell>
          <cell r="E96">
            <v>0</v>
          </cell>
          <cell r="F96">
            <v>-5.1840000000000002</v>
          </cell>
          <cell r="G96">
            <v>0</v>
          </cell>
          <cell r="I96">
            <v>0</v>
          </cell>
          <cell r="J96">
            <v>0</v>
          </cell>
          <cell r="K96">
            <v>0</v>
          </cell>
          <cell r="M96">
            <v>-5.1840000000000002</v>
          </cell>
          <cell r="N96">
            <v>-22682.57</v>
          </cell>
          <cell r="O96">
            <v>-1920</v>
          </cell>
          <cell r="P96">
            <v>-24607.754000000001</v>
          </cell>
          <cell r="Q96">
            <v>-5126.6154166666674</v>
          </cell>
          <cell r="R96">
            <v>4746.8661265432102</v>
          </cell>
          <cell r="T96">
            <v>-1599.16705</v>
          </cell>
          <cell r="U96">
            <v>0</v>
          </cell>
          <cell r="V96">
            <v>-26206.921050000001</v>
          </cell>
          <cell r="W96">
            <v>5055.3474247685181</v>
          </cell>
          <cell r="Y96">
            <v>4.8</v>
          </cell>
          <cell r="Z96">
            <v>0</v>
          </cell>
          <cell r="AA96">
            <v>0</v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I96">
            <v>0</v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</row>
        <row r="97">
          <cell r="N97">
            <v>0</v>
          </cell>
          <cell r="O97">
            <v>0</v>
          </cell>
          <cell r="T97">
            <v>0</v>
          </cell>
          <cell r="U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</row>
        <row r="98">
          <cell r="A98">
            <v>100021704</v>
          </cell>
          <cell r="B98" t="str">
            <v>BOCADITOS DE CARNE "SWIFT" - 12x380g</v>
          </cell>
          <cell r="C98">
            <v>42835.112079412145</v>
          </cell>
          <cell r="D98">
            <v>-856.70224158824294</v>
          </cell>
          <cell r="E98">
            <v>-0.02</v>
          </cell>
          <cell r="F98">
            <v>-4.9248000000000012</v>
          </cell>
          <cell r="G98">
            <v>-1.1497110106470364E-4</v>
          </cell>
          <cell r="I98">
            <v>0</v>
          </cell>
          <cell r="J98">
            <v>0</v>
          </cell>
          <cell r="K98">
            <v>0</v>
          </cell>
          <cell r="M98">
            <v>41973.485037823899</v>
          </cell>
          <cell r="N98">
            <v>-14437.372317481226</v>
          </cell>
          <cell r="O98">
            <v>-1850.6220418776954</v>
          </cell>
          <cell r="P98">
            <v>25685.490678464979</v>
          </cell>
          <cell r="Q98">
            <v>5632.7830435230208</v>
          </cell>
          <cell r="R98">
            <v>0.61194562842038991</v>
          </cell>
          <cell r="T98">
            <v>-2481.2170891105657</v>
          </cell>
          <cell r="U98">
            <v>-627.07023213682123</v>
          </cell>
          <cell r="V98">
            <v>22577.20335721759</v>
          </cell>
          <cell r="W98">
            <v>0.53789203676731667</v>
          </cell>
          <cell r="Y98">
            <v>4.5600000000000005</v>
          </cell>
          <cell r="Z98">
            <v>3.0399999999999996</v>
          </cell>
          <cell r="AA98">
            <v>0.66666666666666652</v>
          </cell>
          <cell r="AB98">
            <v>41973.485037823899</v>
          </cell>
          <cell r="AC98">
            <v>27982.32335854926</v>
          </cell>
          <cell r="AD98">
            <v>25685.490678464979</v>
          </cell>
          <cell r="AE98">
            <v>17123.660452309981</v>
          </cell>
          <cell r="AF98">
            <v>0.61194562842038991</v>
          </cell>
          <cell r="AI98">
            <v>0.66666666666666652</v>
          </cell>
          <cell r="AJ98">
            <v>22577.20335721759</v>
          </cell>
          <cell r="AK98">
            <v>15051.468904811723</v>
          </cell>
          <cell r="AL98">
            <v>27982.32335854926</v>
          </cell>
          <cell r="AM98">
            <v>0.53789203676731667</v>
          </cell>
        </row>
        <row r="99">
          <cell r="A99">
            <v>100021705</v>
          </cell>
          <cell r="B99" t="str">
            <v>BOCADITOS DE POLLO "SWIFT" - 12x380g</v>
          </cell>
          <cell r="C99">
            <v>38938.110479737807</v>
          </cell>
          <cell r="D99">
            <v>-778.7622095947562</v>
          </cell>
          <cell r="E99">
            <v>-0.02</v>
          </cell>
          <cell r="F99">
            <v>-4.9248000000000012</v>
          </cell>
          <cell r="G99">
            <v>-1.2647763179373368E-4</v>
          </cell>
          <cell r="I99">
            <v>0</v>
          </cell>
          <cell r="J99">
            <v>0</v>
          </cell>
          <cell r="K99">
            <v>0</v>
          </cell>
          <cell r="M99">
            <v>38154.423470143047</v>
          </cell>
          <cell r="N99">
            <v>-12747.899281933354</v>
          </cell>
          <cell r="O99">
            <v>-1934.1348583949548</v>
          </cell>
          <cell r="P99">
            <v>23472.389329814738</v>
          </cell>
          <cell r="Q99">
            <v>5147.4538003979678</v>
          </cell>
          <cell r="R99">
            <v>0.61519444392031164</v>
          </cell>
          <cell r="T99">
            <v>-2890.1348400000006</v>
          </cell>
          <cell r="U99">
            <v>0</v>
          </cell>
          <cell r="V99">
            <v>20582.254489814739</v>
          </cell>
          <cell r="W99">
            <v>0.53944608823459106</v>
          </cell>
          <cell r="Y99">
            <v>4.5600000000000005</v>
          </cell>
          <cell r="Z99">
            <v>6.0799999999999992</v>
          </cell>
          <cell r="AA99">
            <v>1.333333333333333</v>
          </cell>
          <cell r="AB99">
            <v>38154.423470143047</v>
          </cell>
          <cell r="AC99">
            <v>50872.564626857384</v>
          </cell>
          <cell r="AD99">
            <v>23472.389329814738</v>
          </cell>
          <cell r="AE99">
            <v>31296.519106419644</v>
          </cell>
          <cell r="AF99">
            <v>0.61519444392031164</v>
          </cell>
          <cell r="AI99">
            <v>1.333333333333333</v>
          </cell>
          <cell r="AJ99">
            <v>20582.254489814739</v>
          </cell>
          <cell r="AK99">
            <v>27443.005986419645</v>
          </cell>
          <cell r="AL99">
            <v>50872.564626857384</v>
          </cell>
          <cell r="AM99">
            <v>0.53944608823459106</v>
          </cell>
        </row>
        <row r="100">
          <cell r="A100">
            <v>100021707</v>
          </cell>
          <cell r="B100" t="str">
            <v>BOCADITOS DE CARNE "SWIFT" - 10x760g</v>
          </cell>
          <cell r="C100">
            <v>0</v>
          </cell>
          <cell r="D100">
            <v>0</v>
          </cell>
          <cell r="E100">
            <v>0</v>
          </cell>
          <cell r="F100">
            <v>-8.2080000000000002</v>
          </cell>
          <cell r="G100">
            <v>0</v>
          </cell>
          <cell r="I100">
            <v>0</v>
          </cell>
          <cell r="J100">
            <v>0</v>
          </cell>
          <cell r="K100">
            <v>0</v>
          </cell>
          <cell r="M100">
            <v>-8.2080000000000002</v>
          </cell>
          <cell r="N100">
            <v>-22815.119445422944</v>
          </cell>
          <cell r="O100">
            <v>0</v>
          </cell>
          <cell r="P100">
            <v>-22823.327445422943</v>
          </cell>
          <cell r="Q100">
            <v>-3003.0694007135453</v>
          </cell>
          <cell r="R100">
            <v>2780.6198154755048</v>
          </cell>
          <cell r="T100">
            <v>-4816.8914000000004</v>
          </cell>
          <cell r="U100">
            <v>0</v>
          </cell>
          <cell r="V100">
            <v>-27640.218845422944</v>
          </cell>
          <cell r="W100">
            <v>3367.4730562162454</v>
          </cell>
          <cell r="Y100">
            <v>7.6</v>
          </cell>
          <cell r="Z100">
            <v>0</v>
          </cell>
          <cell r="AA100">
            <v>0</v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I100">
            <v>0</v>
          </cell>
          <cell r="AJ100" t="str">
            <v/>
          </cell>
          <cell r="AK100" t="str">
            <v/>
          </cell>
          <cell r="AL100" t="str">
            <v/>
          </cell>
          <cell r="AM100" t="str">
            <v/>
          </cell>
        </row>
        <row r="101">
          <cell r="A101">
            <v>100021709</v>
          </cell>
          <cell r="B101" t="str">
            <v>BOCADITOS DE POLLO "SWIFT" - 10x760g</v>
          </cell>
          <cell r="C101">
            <v>52073</v>
          </cell>
          <cell r="D101">
            <v>-1041.46</v>
          </cell>
          <cell r="E101">
            <v>-0.02</v>
          </cell>
          <cell r="F101">
            <v>-8.2080000000000002</v>
          </cell>
          <cell r="G101">
            <v>-1.5762487277475851E-4</v>
          </cell>
          <cell r="I101">
            <v>0</v>
          </cell>
          <cell r="J101">
            <v>0</v>
          </cell>
          <cell r="K101">
            <v>0</v>
          </cell>
          <cell r="M101">
            <v>51023.332000000002</v>
          </cell>
          <cell r="N101">
            <v>-20232.957553982022</v>
          </cell>
          <cell r="O101">
            <v>-3537.6503007396318</v>
          </cell>
          <cell r="P101">
            <v>27252.724145278349</v>
          </cell>
          <cell r="Q101">
            <v>3585.8847559576775</v>
          </cell>
          <cell r="R101">
            <v>0.53412278416623882</v>
          </cell>
          <cell r="T101">
            <v>-4011.3009607287477</v>
          </cell>
          <cell r="U101">
            <v>-1045.1170535613687</v>
          </cell>
          <cell r="V101">
            <v>22196.306130988236</v>
          </cell>
          <cell r="W101">
            <v>0.43502267023620167</v>
          </cell>
          <cell r="Y101">
            <v>7.6</v>
          </cell>
          <cell r="Z101">
            <v>7.5999999999999988</v>
          </cell>
          <cell r="AA101">
            <v>0.99999999999999989</v>
          </cell>
          <cell r="AB101">
            <v>51023.332000000002</v>
          </cell>
          <cell r="AC101">
            <v>51023.331999999995</v>
          </cell>
          <cell r="AD101">
            <v>27252.724145278349</v>
          </cell>
          <cell r="AE101">
            <v>27252.724145278346</v>
          </cell>
          <cell r="AF101">
            <v>0.53412278416623882</v>
          </cell>
          <cell r="AI101">
            <v>0.99999999999999989</v>
          </cell>
          <cell r="AJ101">
            <v>22196.306130988236</v>
          </cell>
          <cell r="AK101">
            <v>22196.306130988232</v>
          </cell>
          <cell r="AL101">
            <v>51023.331999999995</v>
          </cell>
          <cell r="AM101">
            <v>0.43502267023620161</v>
          </cell>
        </row>
        <row r="102">
          <cell r="A102">
            <v>100521357</v>
          </cell>
          <cell r="B102" t="str">
            <v>CRUNCHIES DE POLLO "SWIFT" - 12x380g</v>
          </cell>
          <cell r="C102">
            <v>35377.670159999994</v>
          </cell>
          <cell r="D102">
            <v>-707.55340319999993</v>
          </cell>
          <cell r="E102">
            <v>-0.02</v>
          </cell>
          <cell r="F102">
            <v>-4.9248000000000012</v>
          </cell>
          <cell r="G102">
            <v>-1.3920645361118947E-4</v>
          </cell>
          <cell r="I102">
            <v>0</v>
          </cell>
          <cell r="J102">
            <v>0</v>
          </cell>
          <cell r="K102">
            <v>0</v>
          </cell>
          <cell r="M102">
            <v>34665.191956799994</v>
          </cell>
          <cell r="N102">
            <v>-12506.375014153407</v>
          </cell>
          <cell r="O102">
            <v>-2122.5901804437794</v>
          </cell>
          <cell r="P102">
            <v>20036.226762202808</v>
          </cell>
          <cell r="Q102">
            <v>4393.9093776760537</v>
          </cell>
          <cell r="R102">
            <v>0.57799266731804333</v>
          </cell>
          <cell r="T102">
            <v>-2481.2170891105657</v>
          </cell>
          <cell r="U102">
            <v>-627.07023213682123</v>
          </cell>
          <cell r="V102">
            <v>16927.939440955419</v>
          </cell>
          <cell r="W102">
            <v>0.48832671868804695</v>
          </cell>
          <cell r="Y102">
            <v>4.5600000000000005</v>
          </cell>
          <cell r="Z102">
            <v>3.0399999999999996</v>
          </cell>
          <cell r="AA102">
            <v>0.66666666666666652</v>
          </cell>
          <cell r="AB102">
            <v>34665.191956799994</v>
          </cell>
          <cell r="AC102">
            <v>23110.127971199992</v>
          </cell>
          <cell r="AD102">
            <v>20036.226762202808</v>
          </cell>
          <cell r="AE102">
            <v>13357.484508135203</v>
          </cell>
          <cell r="AF102">
            <v>0.57799266731804333</v>
          </cell>
          <cell r="AI102">
            <v>0.66666666666666652</v>
          </cell>
          <cell r="AJ102">
            <v>16927.939440955419</v>
          </cell>
          <cell r="AK102">
            <v>11285.292960636943</v>
          </cell>
          <cell r="AL102">
            <v>23110.127971199992</v>
          </cell>
          <cell r="AM102">
            <v>0.48832671868804695</v>
          </cell>
        </row>
        <row r="103">
          <cell r="A103">
            <v>100521358</v>
          </cell>
          <cell r="B103" t="str">
            <v>CRUNCHIES DE POLLO "SWIFT" - 10x760g</v>
          </cell>
          <cell r="C103">
            <v>0</v>
          </cell>
          <cell r="D103">
            <v>0</v>
          </cell>
          <cell r="E103">
            <v>0</v>
          </cell>
          <cell r="F103">
            <v>-8.2080000000000002</v>
          </cell>
          <cell r="G103">
            <v>0</v>
          </cell>
          <cell r="I103">
            <v>0</v>
          </cell>
          <cell r="J103">
            <v>0</v>
          </cell>
          <cell r="K103">
            <v>0</v>
          </cell>
          <cell r="M103">
            <v>-8.2080000000000002</v>
          </cell>
          <cell r="N103">
            <v>-20416.60442168692</v>
          </cell>
          <cell r="O103">
            <v>0</v>
          </cell>
          <cell r="P103">
            <v>-20424.812421686918</v>
          </cell>
          <cell r="Q103">
            <v>-2687.4753186430157</v>
          </cell>
          <cell r="R103">
            <v>2488.4030728176072</v>
          </cell>
          <cell r="T103">
            <v>-4816.8914000000004</v>
          </cell>
          <cell r="U103">
            <v>0</v>
          </cell>
          <cell r="V103">
            <v>-25241.703821686919</v>
          </cell>
          <cell r="W103">
            <v>3075.2563135583478</v>
          </cell>
          <cell r="Y103">
            <v>7.6</v>
          </cell>
          <cell r="Z103">
            <v>0</v>
          </cell>
          <cell r="AA103">
            <v>0</v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I103">
            <v>0</v>
          </cell>
          <cell r="AJ103" t="str">
            <v/>
          </cell>
          <cell r="AK103" t="str">
            <v/>
          </cell>
          <cell r="AL103" t="str">
            <v/>
          </cell>
          <cell r="AM103" t="str">
            <v/>
          </cell>
        </row>
        <row r="104">
          <cell r="A104">
            <v>100521663</v>
          </cell>
          <cell r="B104" t="str">
            <v>MILANESITAS DE CARNE "SWIFT" - 12x400g</v>
          </cell>
          <cell r="C104">
            <v>0</v>
          </cell>
          <cell r="D104">
            <v>0</v>
          </cell>
          <cell r="E104">
            <v>0</v>
          </cell>
          <cell r="F104">
            <v>-5.1840000000000011</v>
          </cell>
          <cell r="G104">
            <v>0</v>
          </cell>
          <cell r="I104">
            <v>0</v>
          </cell>
          <cell r="J104">
            <v>0</v>
          </cell>
          <cell r="K104">
            <v>0</v>
          </cell>
          <cell r="M104">
            <v>-5.1840000000000011</v>
          </cell>
          <cell r="N104">
            <v>-15233.263180766493</v>
          </cell>
          <cell r="O104">
            <v>-1536.8069102189222</v>
          </cell>
          <cell r="P104">
            <v>-16775.254090985414</v>
          </cell>
          <cell r="Q104">
            <v>-3494.8446022886274</v>
          </cell>
          <cell r="R104">
            <v>3235.9672243413215</v>
          </cell>
          <cell r="T104">
            <v>-2533.453238354999</v>
          </cell>
          <cell r="U104">
            <v>-660.07392856507499</v>
          </cell>
          <cell r="V104">
            <v>-19968.781257905488</v>
          </cell>
          <cell r="W104">
            <v>3852.0025574663355</v>
          </cell>
          <cell r="Y104">
            <v>4.8000000000000007</v>
          </cell>
          <cell r="Z104">
            <v>0</v>
          </cell>
          <cell r="AA104">
            <v>0</v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  <cell r="AI104">
            <v>0</v>
          </cell>
          <cell r="AJ104" t="str">
            <v/>
          </cell>
          <cell r="AK104" t="str">
            <v/>
          </cell>
          <cell r="AL104" t="str">
            <v/>
          </cell>
          <cell r="AM104" t="str">
            <v/>
          </cell>
        </row>
        <row r="105">
          <cell r="A105">
            <v>100522130</v>
          </cell>
          <cell r="B105" t="str">
            <v>BOCADITOS DE POLLO "SWIFT KIDS" - 12x400g</v>
          </cell>
          <cell r="C105">
            <v>0</v>
          </cell>
          <cell r="D105">
            <v>0</v>
          </cell>
          <cell r="E105">
            <v>0</v>
          </cell>
          <cell r="F105">
            <v>-5.1840000000000011</v>
          </cell>
          <cell r="G105">
            <v>0</v>
          </cell>
          <cell r="I105">
            <v>0</v>
          </cell>
          <cell r="J105">
            <v>0</v>
          </cell>
          <cell r="K105">
            <v>0</v>
          </cell>
          <cell r="M105">
            <v>-5.1840000000000011</v>
          </cell>
          <cell r="N105">
            <v>-11482.015495556716</v>
          </cell>
          <cell r="O105">
            <v>-2234.3054530987151</v>
          </cell>
          <cell r="P105">
            <v>-13721.504948655431</v>
          </cell>
          <cell r="Q105">
            <v>-2858.6468643032144</v>
          </cell>
          <cell r="R105">
            <v>2646.8952447251982</v>
          </cell>
          <cell r="T105">
            <v>-2611.8074622216482</v>
          </cell>
          <cell r="U105">
            <v>-660.07392856507499</v>
          </cell>
          <cell r="V105">
            <v>-16993.386339442153</v>
          </cell>
          <cell r="W105">
            <v>3278.0452043676987</v>
          </cell>
          <cell r="Y105">
            <v>4.8000000000000007</v>
          </cell>
          <cell r="Z105">
            <v>0</v>
          </cell>
          <cell r="AA105">
            <v>0</v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  <cell r="AF105" t="str">
            <v/>
          </cell>
          <cell r="AI105">
            <v>0</v>
          </cell>
          <cell r="AJ105" t="str">
            <v/>
          </cell>
          <cell r="AK105" t="str">
            <v/>
          </cell>
          <cell r="AL105" t="str">
            <v/>
          </cell>
          <cell r="AM105" t="str">
            <v/>
          </cell>
        </row>
        <row r="106">
          <cell r="A106">
            <v>100517055</v>
          </cell>
          <cell r="B106" t="str">
            <v>PALITO DE POLLO "SWIFT"  12 X 260 Grs.</v>
          </cell>
          <cell r="C106">
            <v>23576</v>
          </cell>
          <cell r="D106">
            <v>-471.52</v>
          </cell>
          <cell r="E106">
            <v>-0.02</v>
          </cell>
          <cell r="F106">
            <v>-3.3696000000000002</v>
          </cell>
          <cell r="G106">
            <v>-1.4292500848320325E-4</v>
          </cell>
          <cell r="I106">
            <v>0</v>
          </cell>
          <cell r="J106">
            <v>0</v>
          </cell>
          <cell r="K106">
            <v>0</v>
          </cell>
          <cell r="M106">
            <v>23101.110399999998</v>
          </cell>
          <cell r="N106">
            <v>-9434.2652890025456</v>
          </cell>
          <cell r="O106">
            <v>-1122.5270003264313</v>
          </cell>
          <cell r="P106">
            <v>12544.318110671022</v>
          </cell>
          <cell r="Q106">
            <v>4020.6147790612249</v>
          </cell>
          <cell r="R106">
            <v>0.54301797158075238</v>
          </cell>
          <cell r="T106">
            <v>-2716.279760710514</v>
          </cell>
          <cell r="U106">
            <v>-429.04805356729872</v>
          </cell>
          <cell r="V106">
            <v>9398.9902963932091</v>
          </cell>
          <cell r="W106">
            <v>0.40686313920188055</v>
          </cell>
          <cell r="Y106">
            <v>3.12</v>
          </cell>
          <cell r="Z106">
            <v>4.16</v>
          </cell>
          <cell r="AA106">
            <v>1.3333333333333333</v>
          </cell>
          <cell r="AB106">
            <v>23101.110399999998</v>
          </cell>
          <cell r="AC106">
            <v>30801.480533333328</v>
          </cell>
          <cell r="AD106">
            <v>12544.318110671022</v>
          </cell>
          <cell r="AE106">
            <v>16725.757480894696</v>
          </cell>
          <cell r="AF106">
            <v>0.54301797158075238</v>
          </cell>
          <cell r="AI106">
            <v>1.3333333333333333</v>
          </cell>
          <cell r="AJ106">
            <v>9398.9902963932091</v>
          </cell>
          <cell r="AK106">
            <v>12531.987061857611</v>
          </cell>
          <cell r="AL106">
            <v>30801.480533333328</v>
          </cell>
          <cell r="AM106">
            <v>0.40686313920188055</v>
          </cell>
        </row>
        <row r="107">
          <cell r="A107">
            <v>100517186</v>
          </cell>
          <cell r="B107" t="str">
            <v>PALITO DE POLLO "SWIFT"  8 X 1 Kg..</v>
          </cell>
          <cell r="C107">
            <v>70559.852851935357</v>
          </cell>
          <cell r="D107">
            <v>-1411.1970570387073</v>
          </cell>
          <cell r="E107">
            <v>-0.02</v>
          </cell>
          <cell r="F107">
            <v>-8.64</v>
          </cell>
          <cell r="G107">
            <v>-1.224492349513597E-4</v>
          </cell>
          <cell r="I107">
            <v>0</v>
          </cell>
          <cell r="J107">
            <v>0</v>
          </cell>
          <cell r="K107">
            <v>0</v>
          </cell>
          <cell r="M107">
            <v>69140.015794896652</v>
          </cell>
          <cell r="N107">
            <v>-22491.327037103754</v>
          </cell>
          <cell r="O107">
            <v>-3632.6723374038866</v>
          </cell>
          <cell r="P107">
            <v>43016.016420389016</v>
          </cell>
          <cell r="Q107">
            <v>5377.002052548627</v>
          </cell>
          <cell r="R107">
            <v>0.62215803577476336</v>
          </cell>
          <cell r="T107">
            <v>-6964.8198992577272</v>
          </cell>
          <cell r="U107">
            <v>-1100.1232142751248</v>
          </cell>
          <cell r="V107">
            <v>34951.073306856168</v>
          </cell>
          <cell r="W107">
            <v>0.50551150307136561</v>
          </cell>
          <cell r="Y107">
            <v>8</v>
          </cell>
          <cell r="Z107">
            <v>16</v>
          </cell>
          <cell r="AA107">
            <v>2</v>
          </cell>
          <cell r="AB107">
            <v>69140.015794896652</v>
          </cell>
          <cell r="AC107">
            <v>138280.0315897933</v>
          </cell>
          <cell r="AD107">
            <v>43016.016420389016</v>
          </cell>
          <cell r="AE107">
            <v>86032.032840778033</v>
          </cell>
          <cell r="AF107">
            <v>0.62215803577476336</v>
          </cell>
          <cell r="AI107">
            <v>2</v>
          </cell>
          <cell r="AJ107">
            <v>34951.073306856168</v>
          </cell>
          <cell r="AK107">
            <v>69902.146613712335</v>
          </cell>
          <cell r="AL107">
            <v>138280.0315897933</v>
          </cell>
          <cell r="AM107">
            <v>0.50551150307136561</v>
          </cell>
        </row>
        <row r="108">
          <cell r="A108">
            <v>100517679</v>
          </cell>
          <cell r="B108" t="str">
            <v>MEDALLONES DE POLLO GASTRONOMICOS - 8x12x80g</v>
          </cell>
          <cell r="C108">
            <v>0</v>
          </cell>
          <cell r="D108">
            <v>0</v>
          </cell>
          <cell r="E108">
            <v>0</v>
          </cell>
          <cell r="F108">
            <v>-8.2943999999999996</v>
          </cell>
          <cell r="G108">
            <v>0</v>
          </cell>
          <cell r="I108">
            <v>0</v>
          </cell>
          <cell r="J108">
            <v>0</v>
          </cell>
          <cell r="K108">
            <v>0</v>
          </cell>
          <cell r="M108">
            <v>-8.2943999999999996</v>
          </cell>
          <cell r="N108">
            <v>-14680.46409740323</v>
          </cell>
          <cell r="O108">
            <v>-2760.5878963966402</v>
          </cell>
          <cell r="P108">
            <v>-17449.346393799871</v>
          </cell>
          <cell r="Q108">
            <v>-2272.0503116926916</v>
          </cell>
          <cell r="R108">
            <v>2103.750288604344</v>
          </cell>
          <cell r="T108">
            <v>-4053.5251813679979</v>
          </cell>
          <cell r="U108">
            <v>-1056.1182857041199</v>
          </cell>
          <cell r="V108">
            <v>-22558.989860871989</v>
          </cell>
          <cell r="W108">
            <v>2719.7856217293584</v>
          </cell>
          <cell r="Y108">
            <v>7.68</v>
          </cell>
          <cell r="Z108">
            <v>0</v>
          </cell>
          <cell r="AA108">
            <v>0</v>
          </cell>
          <cell r="AB108" t="str">
            <v/>
          </cell>
          <cell r="AC108" t="str">
            <v/>
          </cell>
          <cell r="AD108" t="str">
            <v/>
          </cell>
          <cell r="AE108" t="str">
            <v/>
          </cell>
          <cell r="AF108" t="str">
            <v/>
          </cell>
          <cell r="AI108">
            <v>0</v>
          </cell>
          <cell r="AJ108" t="str">
            <v/>
          </cell>
          <cell r="AK108" t="str">
            <v/>
          </cell>
          <cell r="AL108" t="str">
            <v/>
          </cell>
          <cell r="AM108" t="str">
            <v/>
          </cell>
        </row>
        <row r="109">
          <cell r="A109">
            <v>100021728</v>
          </cell>
          <cell r="B109" t="str">
            <v>MEDALLONES DE POLLO "SWIFT" - 12x4x80g</v>
          </cell>
          <cell r="C109">
            <v>0</v>
          </cell>
          <cell r="D109">
            <v>0</v>
          </cell>
          <cell r="E109">
            <v>0</v>
          </cell>
          <cell r="F109">
            <v>-4.1471999999999998</v>
          </cell>
          <cell r="G109">
            <v>0</v>
          </cell>
          <cell r="I109">
            <v>0</v>
          </cell>
          <cell r="J109">
            <v>0</v>
          </cell>
          <cell r="K109">
            <v>0</v>
          </cell>
          <cell r="M109">
            <v>-4.1471999999999998</v>
          </cell>
          <cell r="N109">
            <v>-11509.240364070805</v>
          </cell>
          <cell r="O109">
            <v>-1822.0892957154904</v>
          </cell>
          <cell r="P109">
            <v>-13335.476859786295</v>
          </cell>
          <cell r="Q109">
            <v>-3472.7804322360143</v>
          </cell>
          <cell r="R109">
            <v>3215.5374372555689</v>
          </cell>
          <cell r="T109">
            <v>-2235.7071876617306</v>
          </cell>
          <cell r="U109">
            <v>-528.05914285205995</v>
          </cell>
          <cell r="V109">
            <v>-16099.243190300085</v>
          </cell>
          <cell r="W109">
            <v>3881.9548587722043</v>
          </cell>
          <cell r="Y109">
            <v>3.84</v>
          </cell>
          <cell r="Z109">
            <v>0</v>
          </cell>
          <cell r="AA109">
            <v>0</v>
          </cell>
          <cell r="AB109" t="str">
            <v/>
          </cell>
          <cell r="AC109" t="str">
            <v/>
          </cell>
          <cell r="AD109" t="str">
            <v/>
          </cell>
          <cell r="AE109" t="str">
            <v/>
          </cell>
          <cell r="AF109" t="str">
            <v/>
          </cell>
          <cell r="AI109">
            <v>0</v>
          </cell>
          <cell r="AJ109" t="str">
            <v/>
          </cell>
          <cell r="AK109" t="str">
            <v/>
          </cell>
          <cell r="AL109" t="str">
            <v/>
          </cell>
          <cell r="AM109" t="str">
            <v/>
          </cell>
        </row>
        <row r="110">
          <cell r="A110">
            <v>100021725</v>
          </cell>
          <cell r="B110" t="str">
            <v>BOCADITOS DE POLLO GASTRONÓMICO L B   x 6 Kg.</v>
          </cell>
          <cell r="C110">
            <v>0</v>
          </cell>
          <cell r="D110">
            <v>0</v>
          </cell>
          <cell r="E110">
            <v>0</v>
          </cell>
          <cell r="F110">
            <v>-6.48</v>
          </cell>
          <cell r="G110">
            <v>0</v>
          </cell>
          <cell r="I110">
            <v>0</v>
          </cell>
          <cell r="J110">
            <v>0</v>
          </cell>
          <cell r="K110">
            <v>0</v>
          </cell>
          <cell r="M110">
            <v>-6.48</v>
          </cell>
          <cell r="N110">
            <v>-7275.5652914625634</v>
          </cell>
          <cell r="O110">
            <v>-1819.3234923923428</v>
          </cell>
          <cell r="P110">
            <v>-9101.3687838549049</v>
          </cell>
          <cell r="Q110">
            <v>-1516.8947973091508</v>
          </cell>
          <cell r="R110">
            <v>1404.532219730695</v>
          </cell>
          <cell r="T110">
            <v>-3166.8165479437475</v>
          </cell>
          <cell r="U110">
            <v>-825.09241070634357</v>
          </cell>
          <cell r="V110">
            <v>-13093.277742504997</v>
          </cell>
          <cell r="W110">
            <v>2020.5675528557092</v>
          </cell>
          <cell r="Y110">
            <v>6</v>
          </cell>
          <cell r="Z110">
            <v>0</v>
          </cell>
          <cell r="AA110">
            <v>0</v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I110">
            <v>0</v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</row>
        <row r="111">
          <cell r="N111">
            <v>0</v>
          </cell>
          <cell r="O111">
            <v>0</v>
          </cell>
          <cell r="T111">
            <v>0</v>
          </cell>
          <cell r="U111">
            <v>0</v>
          </cell>
          <cell r="Y111">
            <v>0</v>
          </cell>
          <cell r="Z111">
            <v>39.92</v>
          </cell>
          <cell r="AA111">
            <v>6.9999999999999991</v>
          </cell>
          <cell r="AB111">
            <v>46009.980011390471</v>
          </cell>
          <cell r="AC111">
            <v>322069.86007973325</v>
          </cell>
          <cell r="AD111">
            <v>27398.31121911656</v>
          </cell>
          <cell r="AE111">
            <v>191788.1785338159</v>
          </cell>
          <cell r="AF111">
            <v>0.59548626650856384</v>
          </cell>
          <cell r="AI111">
            <v>6.9999999999999991</v>
          </cell>
          <cell r="AJ111">
            <v>22630.029665489503</v>
          </cell>
          <cell r="AK111">
            <v>158410.20765842649</v>
          </cell>
          <cell r="AL111">
            <v>322069.86007973325</v>
          </cell>
          <cell r="AM111">
            <v>0.49185045635505803</v>
          </cell>
        </row>
        <row r="112">
          <cell r="A112">
            <v>100518158</v>
          </cell>
          <cell r="B112" t="str">
            <v>Milanesa de Carne Vacuna  Cong. 24x500Grs.</v>
          </cell>
          <cell r="C112">
            <v>0</v>
          </cell>
          <cell r="D112">
            <v>0</v>
          </cell>
          <cell r="E112">
            <v>0</v>
          </cell>
          <cell r="F112">
            <v>-12.96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M112">
            <v>-12.96</v>
          </cell>
          <cell r="N112">
            <v>-52800</v>
          </cell>
          <cell r="O112">
            <v>-3842.017275547305</v>
          </cell>
          <cell r="P112">
            <v>-56654.977275547302</v>
          </cell>
          <cell r="Q112">
            <v>-4721.2481062956085</v>
          </cell>
          <cell r="R112">
            <v>4371.5260243477851</v>
          </cell>
          <cell r="T112">
            <v>0</v>
          </cell>
          <cell r="U112" t="e">
            <v>#DIV/0!</v>
          </cell>
          <cell r="V112" t="e">
            <v>#DIV/0!</v>
          </cell>
          <cell r="W112" t="e">
            <v>#DIV/0!</v>
          </cell>
          <cell r="Y112">
            <v>12</v>
          </cell>
          <cell r="Z112">
            <v>0</v>
          </cell>
          <cell r="AA112">
            <v>0</v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I112">
            <v>0</v>
          </cell>
          <cell r="AJ112" t="str">
            <v/>
          </cell>
          <cell r="AK112" t="str">
            <v/>
          </cell>
          <cell r="AL112" t="str">
            <v/>
          </cell>
          <cell r="AM112" t="str">
            <v/>
          </cell>
        </row>
        <row r="113">
          <cell r="A113">
            <v>100518160</v>
          </cell>
          <cell r="B113" t="str">
            <v>Milanesa de Carne Vacuna  Cong. 12x1 Kg.</v>
          </cell>
          <cell r="C113">
            <v>0</v>
          </cell>
          <cell r="D113">
            <v>0</v>
          </cell>
          <cell r="E113">
            <v>0</v>
          </cell>
          <cell r="F113">
            <v>-12.96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M113">
            <v>-12.96</v>
          </cell>
          <cell r="N113">
            <v>-52800</v>
          </cell>
          <cell r="O113">
            <v>-3814.7049040399943</v>
          </cell>
          <cell r="P113">
            <v>-56627.664904039993</v>
          </cell>
          <cell r="Q113">
            <v>-4718.9720753366664</v>
          </cell>
          <cell r="R113">
            <v>4369.4185882746906</v>
          </cell>
          <cell r="T113">
            <v>0</v>
          </cell>
          <cell r="U113" t="e">
            <v>#DIV/0!</v>
          </cell>
          <cell r="V113" t="e">
            <v>#DIV/0!</v>
          </cell>
          <cell r="W113" t="e">
            <v>#DIV/0!</v>
          </cell>
          <cell r="Y113">
            <v>12</v>
          </cell>
          <cell r="Z113">
            <v>0</v>
          </cell>
          <cell r="AA113">
            <v>0</v>
          </cell>
          <cell r="AB113" t="str">
            <v/>
          </cell>
          <cell r="AC113" t="str">
            <v/>
          </cell>
          <cell r="AD113" t="str">
            <v/>
          </cell>
          <cell r="AE113" t="str">
            <v/>
          </cell>
          <cell r="AF113" t="str">
            <v/>
          </cell>
          <cell r="AI113">
            <v>0</v>
          </cell>
          <cell r="AJ113" t="str">
            <v/>
          </cell>
          <cell r="AK113" t="str">
            <v/>
          </cell>
          <cell r="AL113" t="str">
            <v/>
          </cell>
          <cell r="AM113" t="str">
            <v/>
          </cell>
        </row>
        <row r="114">
          <cell r="A114">
            <v>100518463</v>
          </cell>
          <cell r="B114" t="str">
            <v>Milanesa de Carne Vacuna  Cong. X 5 Kg.</v>
          </cell>
          <cell r="C114">
            <v>0</v>
          </cell>
          <cell r="D114">
            <v>0</v>
          </cell>
          <cell r="E114">
            <v>0</v>
          </cell>
          <cell r="F114">
            <v>-5.4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M114">
            <v>-5.4</v>
          </cell>
          <cell r="N114">
            <v>-22000</v>
          </cell>
          <cell r="O114">
            <v>-1589.4603766833311</v>
          </cell>
          <cell r="P114">
            <v>-23594.860376683333</v>
          </cell>
          <cell r="Q114">
            <v>-4718.9720753366664</v>
          </cell>
          <cell r="R114">
            <v>4369.4185882746906</v>
          </cell>
          <cell r="T114">
            <v>0</v>
          </cell>
          <cell r="U114" t="e">
            <v>#DIV/0!</v>
          </cell>
          <cell r="V114" t="e">
            <v>#DIV/0!</v>
          </cell>
          <cell r="W114" t="e">
            <v>#DIV/0!</v>
          </cell>
          <cell r="Y114">
            <v>5</v>
          </cell>
          <cell r="Z114">
            <v>0</v>
          </cell>
          <cell r="AA114">
            <v>0</v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I114">
            <v>0</v>
          </cell>
          <cell r="AJ114" t="str">
            <v/>
          </cell>
          <cell r="AK114" t="str">
            <v/>
          </cell>
          <cell r="AL114" t="str">
            <v/>
          </cell>
          <cell r="AM114" t="str">
            <v/>
          </cell>
        </row>
        <row r="115"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</row>
        <row r="116">
          <cell r="A116">
            <v>100518291</v>
          </cell>
          <cell r="B116" t="str">
            <v>GRASA VACUNA REFINADA SWIFT 10 X 500</v>
          </cell>
          <cell r="C116">
            <v>13277.869109883337</v>
          </cell>
          <cell r="D116">
            <v>-265.55738219766675</v>
          </cell>
          <cell r="E116">
            <v>-0.02</v>
          </cell>
          <cell r="F116">
            <v>-5.4</v>
          </cell>
          <cell r="G116">
            <v>-4.0669176321225586E-4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M116">
            <v>13006.91172768567</v>
          </cell>
          <cell r="N116">
            <v>-9078.8364688316542</v>
          </cell>
          <cell r="O116">
            <v>-2250</v>
          </cell>
          <cell r="P116">
            <v>1678.0752588540163</v>
          </cell>
          <cell r="Q116">
            <v>335.61505177080323</v>
          </cell>
          <cell r="R116">
            <v>0.12901411910731844</v>
          </cell>
          <cell r="T116">
            <v>-736.37437047405751</v>
          </cell>
          <cell r="U116">
            <v>0</v>
          </cell>
          <cell r="V116">
            <v>941.70088837995877</v>
          </cell>
          <cell r="W116">
            <v>7.240003684929415E-2</v>
          </cell>
          <cell r="Y116">
            <v>5</v>
          </cell>
          <cell r="Z116">
            <v>15</v>
          </cell>
          <cell r="AA116">
            <v>3</v>
          </cell>
          <cell r="AB116">
            <v>13006.91172768567</v>
          </cell>
          <cell r="AC116">
            <v>39020.735183057011</v>
          </cell>
          <cell r="AD116">
            <v>1678.0752588540163</v>
          </cell>
          <cell r="AE116">
            <v>5034.2257765620488</v>
          </cell>
          <cell r="AF116">
            <v>0.12901411910731844</v>
          </cell>
          <cell r="AI116">
            <v>3</v>
          </cell>
          <cell r="AJ116">
            <v>941.70088837995866</v>
          </cell>
          <cell r="AK116">
            <v>2825.1026651398761</v>
          </cell>
          <cell r="AL116">
            <v>39020.735183057011</v>
          </cell>
          <cell r="AM116">
            <v>7.240003684929415E-2</v>
          </cell>
        </row>
        <row r="117">
          <cell r="A117">
            <v>100518292</v>
          </cell>
          <cell r="B117" t="str">
            <v>GRASA VACUNA REFINADA SWIFT 12 X 1kg</v>
          </cell>
          <cell r="C117">
            <v>31331.033218410539</v>
          </cell>
          <cell r="D117">
            <v>-626.62066436821078</v>
          </cell>
          <cell r="E117">
            <v>-0.02</v>
          </cell>
          <cell r="F117">
            <v>-12.96</v>
          </cell>
          <cell r="G117">
            <v>-4.1364738627210448E-4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M117">
            <v>30691.452554042327</v>
          </cell>
          <cell r="N117">
            <v>-21562.163399730791</v>
          </cell>
          <cell r="O117">
            <v>-5400</v>
          </cell>
          <cell r="P117">
            <v>3729.2891543115365</v>
          </cell>
          <cell r="Q117">
            <v>310.77409619262806</v>
          </cell>
          <cell r="R117">
            <v>0.12150904711156649</v>
          </cell>
          <cell r="T117">
            <v>-1752.5406209825014</v>
          </cell>
          <cell r="U117">
            <v>0</v>
          </cell>
          <cell r="V117">
            <v>1976.7485333290351</v>
          </cell>
          <cell r="W117">
            <v>6.4407135173818297E-2</v>
          </cell>
          <cell r="Y117">
            <v>12</v>
          </cell>
          <cell r="Z117">
            <v>16</v>
          </cell>
          <cell r="AA117">
            <v>1.3333333333333333</v>
          </cell>
          <cell r="AB117">
            <v>30691.452554042327</v>
          </cell>
          <cell r="AC117">
            <v>40921.936738723103</v>
          </cell>
          <cell r="AD117">
            <v>3729.2891543115365</v>
          </cell>
          <cell r="AE117">
            <v>4972.3855390820481</v>
          </cell>
          <cell r="AF117">
            <v>0.12150904711156649</v>
          </cell>
          <cell r="AI117">
            <v>1.3333333333333333</v>
          </cell>
          <cell r="AJ117">
            <v>1976.7485333290349</v>
          </cell>
          <cell r="AK117">
            <v>2635.6647111053799</v>
          </cell>
          <cell r="AL117">
            <v>40921.936738723103</v>
          </cell>
          <cell r="AM117">
            <v>6.4407135173818297E-2</v>
          </cell>
        </row>
        <row r="118">
          <cell r="Z118">
            <v>31</v>
          </cell>
          <cell r="AA118">
            <v>4.333333333333333</v>
          </cell>
          <cell r="AB118">
            <v>18448.308905026181</v>
          </cell>
          <cell r="AC118">
            <v>79942.671921780115</v>
          </cell>
          <cell r="AD118">
            <v>2309.2179959178688</v>
          </cell>
          <cell r="AE118">
            <v>10006.611315644097</v>
          </cell>
          <cell r="AF118">
            <v>0.1251723400668302</v>
          </cell>
          <cell r="AI118">
            <v>4.333333333333333</v>
          </cell>
          <cell r="AJ118">
            <v>1260.1770868258284</v>
          </cell>
          <cell r="AK118">
            <v>5460.7673762452559</v>
          </cell>
          <cell r="AL118">
            <v>79942.671921780115</v>
          </cell>
          <cell r="AM118">
            <v>6.8308542171174144E-2</v>
          </cell>
        </row>
        <row r="119">
          <cell r="A119">
            <v>100517914</v>
          </cell>
          <cell r="B119" t="str">
            <v>CARNE PICADA CONGELADA 20 X 1 Kg. SW</v>
          </cell>
          <cell r="C119">
            <v>0</v>
          </cell>
          <cell r="D119">
            <v>0</v>
          </cell>
          <cell r="E119">
            <v>0</v>
          </cell>
          <cell r="F119">
            <v>-21.6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M119">
            <v>-21.6</v>
          </cell>
          <cell r="N119">
            <v>-130439.049740741</v>
          </cell>
          <cell r="O119">
            <v>-7000</v>
          </cell>
          <cell r="P119">
            <v>-137460.64974074101</v>
          </cell>
          <cell r="Q119">
            <v>-6873.0324870370505</v>
          </cell>
          <cell r="R119">
            <v>6363.9189694787501</v>
          </cell>
          <cell r="T119">
            <v>-2748.7809948148201</v>
          </cell>
          <cell r="U119">
            <v>0</v>
          </cell>
          <cell r="V119">
            <v>-140209.43073555583</v>
          </cell>
          <cell r="W119">
            <v>6491.1773488683248</v>
          </cell>
          <cell r="Y119">
            <v>20</v>
          </cell>
          <cell r="Z119">
            <v>0</v>
          </cell>
          <cell r="AA119">
            <v>0</v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I119">
            <v>0</v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</row>
        <row r="120">
          <cell r="A120">
            <v>100517915</v>
          </cell>
          <cell r="B120" t="str">
            <v>CARNE PICADA CONGELADA 36 UN x 500 g SWIFT</v>
          </cell>
          <cell r="C120">
            <v>0</v>
          </cell>
          <cell r="D120">
            <v>0</v>
          </cell>
          <cell r="E120">
            <v>0</v>
          </cell>
          <cell r="F120">
            <v>-19.440000000000001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M120">
            <v>-19.440000000000001</v>
          </cell>
          <cell r="N120">
            <v>-119718.419905987</v>
          </cell>
          <cell r="O120">
            <v>-6300</v>
          </cell>
          <cell r="P120">
            <v>-126037.859905987</v>
          </cell>
          <cell r="Q120">
            <v>-7002.1033281103892</v>
          </cell>
          <cell r="R120">
            <v>6483.4290075096187</v>
          </cell>
          <cell r="T120">
            <v>-2520.36839811974</v>
          </cell>
          <cell r="U120">
            <v>0</v>
          </cell>
          <cell r="V120">
            <v>-128558.22830410674</v>
          </cell>
          <cell r="W120">
            <v>6613.0775876598118</v>
          </cell>
          <cell r="Y120">
            <v>18</v>
          </cell>
          <cell r="Z120">
            <v>0</v>
          </cell>
          <cell r="AA120">
            <v>0</v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I120">
            <v>0</v>
          </cell>
          <cell r="AJ120" t="str">
            <v/>
          </cell>
          <cell r="AK120" t="str">
            <v/>
          </cell>
          <cell r="AL120" t="str">
            <v/>
          </cell>
          <cell r="AM120" t="str">
            <v/>
          </cell>
        </row>
        <row r="121"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>
            <v>100520837</v>
          </cell>
          <cell r="B122" t="str">
            <v>CHORIZOS FRESCOS DE CERDO LIBRE DE GLUTEN</v>
          </cell>
          <cell r="C122">
            <v>0</v>
          </cell>
          <cell r="D122">
            <v>0</v>
          </cell>
          <cell r="E122">
            <v>0</v>
          </cell>
          <cell r="F122">
            <v>-5.1840000000000002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M122">
            <v>-5.1840000000000002</v>
          </cell>
          <cell r="N122">
            <v>-25920</v>
          </cell>
          <cell r="O122">
            <v>-1920</v>
          </cell>
          <cell r="P122">
            <v>-27845.184000000001</v>
          </cell>
          <cell r="Q122">
            <v>-5801.0800000000008</v>
          </cell>
          <cell r="R122">
            <v>5371.3703703703704</v>
          </cell>
          <cell r="T122">
            <v>-1809.6000000000001</v>
          </cell>
          <cell r="U122">
            <v>0</v>
          </cell>
          <cell r="V122">
            <v>-29654.784</v>
          </cell>
          <cell r="W122">
            <v>5720.4444444444443</v>
          </cell>
          <cell r="Y122">
            <v>4.8</v>
          </cell>
          <cell r="Z122">
            <v>0</v>
          </cell>
          <cell r="AA122">
            <v>0</v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  <cell r="AF122" t="str">
            <v/>
          </cell>
          <cell r="AI122">
            <v>0</v>
          </cell>
          <cell r="AJ122" t="str">
            <v/>
          </cell>
          <cell r="AK122" t="str">
            <v/>
          </cell>
          <cell r="AL122" t="str">
            <v/>
          </cell>
          <cell r="AM122" t="str">
            <v/>
          </cell>
        </row>
        <row r="123">
          <cell r="A123">
            <v>100522395</v>
          </cell>
          <cell r="B123" t="str">
            <v>CHORIZOS CONG. DE CERDO LIBRE DE GLUTEN SWIFT  12 X 400 Grs.</v>
          </cell>
          <cell r="C123">
            <v>0</v>
          </cell>
          <cell r="D123">
            <v>0</v>
          </cell>
          <cell r="E123">
            <v>0</v>
          </cell>
          <cell r="F123">
            <v>-5.1840000000000002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M123">
            <v>-5.1840000000000002</v>
          </cell>
          <cell r="N123">
            <v>-26438.400000000001</v>
          </cell>
          <cell r="O123">
            <v>-1920</v>
          </cell>
          <cell r="P123">
            <v>-28363.584000000003</v>
          </cell>
          <cell r="Q123">
            <v>-5909.0800000000008</v>
          </cell>
          <cell r="R123">
            <v>5471.3703703703704</v>
          </cell>
          <cell r="T123">
            <v>-1843.296</v>
          </cell>
          <cell r="U123">
            <v>0</v>
          </cell>
          <cell r="V123">
            <v>-30206.880000000001</v>
          </cell>
          <cell r="W123">
            <v>5826.9444444444443</v>
          </cell>
          <cell r="Y123">
            <v>4.8</v>
          </cell>
          <cell r="Z123">
            <v>0</v>
          </cell>
          <cell r="AA123">
            <v>0</v>
          </cell>
          <cell r="AB123" t="str">
            <v/>
          </cell>
          <cell r="AC123" t="str">
            <v/>
          </cell>
          <cell r="AD123" t="str">
            <v/>
          </cell>
          <cell r="AE123" t="str">
            <v/>
          </cell>
          <cell r="AF123" t="str">
            <v/>
          </cell>
          <cell r="AI123">
            <v>0</v>
          </cell>
          <cell r="AJ123" t="str">
            <v/>
          </cell>
          <cell r="AK123" t="str">
            <v/>
          </cell>
          <cell r="AL123" t="str">
            <v/>
          </cell>
          <cell r="AM123" t="str">
            <v/>
          </cell>
        </row>
        <row r="124"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A125">
            <v>100520902</v>
          </cell>
          <cell r="B125" t="str">
            <v>PAPAS PRE COCIDAS SUPERCONGELADAS LIBRES DE GLUTEN 700g</v>
          </cell>
          <cell r="C125">
            <v>29077.171261707997</v>
          </cell>
          <cell r="D125">
            <v>-581.54342523415994</v>
          </cell>
          <cell r="E125">
            <v>-0.02</v>
          </cell>
          <cell r="F125">
            <v>-10.584000000000001</v>
          </cell>
          <cell r="G125">
            <v>-3.6399689312069264E-4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M125">
            <v>28485.04383647384</v>
          </cell>
          <cell r="N125">
            <v>-18130</v>
          </cell>
          <cell r="O125">
            <v>-4410</v>
          </cell>
          <cell r="P125">
            <v>5945.0438364738402</v>
          </cell>
          <cell r="Q125">
            <v>606.6371261708</v>
          </cell>
          <cell r="R125">
            <v>0.20870755441357175</v>
          </cell>
          <cell r="T125">
            <v>-1465.1000000000001</v>
          </cell>
          <cell r="U125">
            <v>0</v>
          </cell>
          <cell r="V125">
            <v>4479.9438364738398</v>
          </cell>
          <cell r="W125">
            <v>0.15727354545045388</v>
          </cell>
          <cell r="Y125">
            <v>9.8000000000000007</v>
          </cell>
          <cell r="Z125">
            <v>6.5333333333333341</v>
          </cell>
          <cell r="AA125">
            <v>0.66666666666666674</v>
          </cell>
          <cell r="AB125">
            <v>28485.04383647384</v>
          </cell>
          <cell r="AC125">
            <v>18990.029224315895</v>
          </cell>
          <cell r="AD125">
            <v>5945.0438364738402</v>
          </cell>
          <cell r="AE125">
            <v>3963.3625576492273</v>
          </cell>
          <cell r="AF125">
            <v>0.20870755441357175</v>
          </cell>
          <cell r="AI125">
            <v>0.66666666666666674</v>
          </cell>
          <cell r="AJ125">
            <v>4479.9438364738398</v>
          </cell>
          <cell r="AK125">
            <v>2986.6292243158937</v>
          </cell>
          <cell r="AL125">
            <v>18990.029224315895</v>
          </cell>
          <cell r="AM125">
            <v>0.15727354545045391</v>
          </cell>
        </row>
        <row r="126">
          <cell r="Z126">
            <v>6.5333333333333341</v>
          </cell>
          <cell r="AA126">
            <v>0.66666666666666674</v>
          </cell>
          <cell r="AB126">
            <v>28485.04383647384</v>
          </cell>
          <cell r="AC126">
            <v>18990.029224315895</v>
          </cell>
          <cell r="AD126">
            <v>5945.0438364738402</v>
          </cell>
          <cell r="AE126">
            <v>3963.3625576492273</v>
          </cell>
          <cell r="AF126">
            <v>0.20870755441357175</v>
          </cell>
          <cell r="AI126">
            <v>0.66666666666666674</v>
          </cell>
          <cell r="AJ126">
            <v>4479.9438364738398</v>
          </cell>
          <cell r="AK126">
            <v>2986.6292243158937</v>
          </cell>
          <cell r="AL126">
            <v>18990.029224315895</v>
          </cell>
          <cell r="AM126">
            <v>0.15727354545045391</v>
          </cell>
        </row>
        <row r="127">
          <cell r="Z127">
            <v>3421.6693333333333</v>
          </cell>
          <cell r="AA127">
            <v>1558.6666666666667</v>
          </cell>
          <cell r="AB127">
            <v>144505.13716068902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F171-377B-49F2-ADF3-8306BB0A8F76}">
  <dimension ref="A2:G108"/>
  <sheetViews>
    <sheetView tabSelected="1" workbookViewId="0">
      <selection activeCell="B7" sqref="B7"/>
    </sheetView>
  </sheetViews>
  <sheetFormatPr baseColWidth="10" defaultRowHeight="15" x14ac:dyDescent="0.25"/>
  <cols>
    <col min="2" max="2" width="65" bestFit="1" customWidth="1"/>
    <col min="3" max="3" width="8.140625" hidden="1" customWidth="1"/>
    <col min="4" max="4" width="0" hidden="1" customWidth="1"/>
    <col min="5" max="5" width="11.7109375" bestFit="1" customWidth="1"/>
    <col min="7" max="7" width="9.42578125" bestFit="1" customWidth="1"/>
  </cols>
  <sheetData>
    <row r="2" spans="1:7" x14ac:dyDescent="0.25">
      <c r="A2" s="1" t="s">
        <v>0</v>
      </c>
      <c r="B2" s="1"/>
      <c r="C2" s="2" t="e">
        <f>SUM(C3:C34)</f>
        <v>#N/A</v>
      </c>
      <c r="D2" s="2" t="e">
        <f>SUM(D3:D32)</f>
        <v>#N/A</v>
      </c>
      <c r="E2" s="3"/>
      <c r="F2" s="22"/>
      <c r="G2" s="22"/>
    </row>
    <row r="3" spans="1:7" x14ac:dyDescent="0.25">
      <c r="A3" s="4">
        <v>100021632</v>
      </c>
      <c r="B3" s="5" t="s">
        <v>1</v>
      </c>
      <c r="C3" s="23">
        <f t="shared" ref="C3:C34" si="0">IF(E3="",0,IF(AE3&lt;1,0,IF(ISERROR(AE3/AT3),"",(AE3/AT3))))</f>
        <v>0</v>
      </c>
      <c r="D3" s="24" t="str">
        <f>+IF(C3&gt;=1,IF(ISERROR(VLOOKUP(A3,'[1]Resumen B. Even '!$A$13:$AM$111,26,0)),"",(VLOOKUP(A3,'[1]Resumen B. Even '!$A$13:$AM$111,26,0))),"")</f>
        <v/>
      </c>
      <c r="E3" s="25">
        <v>50523.463489000002</v>
      </c>
      <c r="F3" s="6">
        <v>0.12332510534278041</v>
      </c>
      <c r="G3" s="26">
        <f>E3-(E3*F3)</f>
        <v>44292.652031936959</v>
      </c>
    </row>
    <row r="4" spans="1:7" x14ac:dyDescent="0.25">
      <c r="A4" s="4">
        <v>100021652</v>
      </c>
      <c r="B4" s="5" t="s">
        <v>2</v>
      </c>
      <c r="C4" s="23">
        <f t="shared" si="0"/>
        <v>0</v>
      </c>
      <c r="D4" s="24" t="str">
        <f>+IF(C4&gt;=1,IF(ISERROR(VLOOKUP(A4,'[1]Resumen B. Even '!$A$13:$AM$111,26,0)),"",(VLOOKUP(A4,'[1]Resumen B. Even '!$A$13:$AM$111,26,0))),"")</f>
        <v/>
      </c>
      <c r="E4" s="25">
        <v>67304.843343</v>
      </c>
      <c r="F4" s="6">
        <v>0.26769994687341947</v>
      </c>
      <c r="G4" s="26">
        <f t="shared" ref="G4:G21" si="1">E4-(E4*F4)</f>
        <v>49287.340355755077</v>
      </c>
    </row>
    <row r="5" spans="1:7" x14ac:dyDescent="0.25">
      <c r="A5" s="4">
        <v>100021631</v>
      </c>
      <c r="B5" s="5" t="s">
        <v>3</v>
      </c>
      <c r="C5" s="23">
        <f t="shared" si="0"/>
        <v>0</v>
      </c>
      <c r="D5" s="24" t="str">
        <f>+IF(C5&gt;=1,IF(ISERROR(VLOOKUP(A5,'[1]Resumen B. Even '!$A$13:$AM$111,26,0)),"",(VLOOKUP(A5,'[1]Resumen B. Even '!$A$13:$AM$111,26,0))),"")</f>
        <v/>
      </c>
      <c r="E5" s="25">
        <v>86741.645288000014</v>
      </c>
      <c r="F5" s="6">
        <v>0.18504778455748661</v>
      </c>
      <c r="G5" s="26">
        <f t="shared" si="1"/>
        <v>70690.295998584261</v>
      </c>
    </row>
    <row r="6" spans="1:7" x14ac:dyDescent="0.25">
      <c r="A6" s="4">
        <v>100021630</v>
      </c>
      <c r="B6" s="5" t="s">
        <v>4</v>
      </c>
      <c r="C6" s="23">
        <f t="shared" si="0"/>
        <v>0</v>
      </c>
      <c r="D6" s="24" t="str">
        <f>+IF(C6&gt;=1,IF(ISERROR(VLOOKUP(A6,'[1]Resumen B. Even '!$A$13:$AM$111,26,0)),"",(VLOOKUP(A6,'[1]Resumen B. Even '!$A$13:$AM$111,26,0))),"")</f>
        <v/>
      </c>
      <c r="E6" s="25">
        <v>108427.067219</v>
      </c>
      <c r="F6" s="6"/>
      <c r="G6" s="26">
        <f t="shared" si="1"/>
        <v>108427.067219</v>
      </c>
    </row>
    <row r="7" spans="1:7" x14ac:dyDescent="0.25">
      <c r="A7" s="4">
        <v>100021676</v>
      </c>
      <c r="B7" s="5" t="s">
        <v>5</v>
      </c>
      <c r="C7" s="23">
        <f t="shared" si="0"/>
        <v>0</v>
      </c>
      <c r="D7" s="24" t="str">
        <f>+IF(C7&gt;=1,IF(ISERROR(VLOOKUP(A7,'[1]Resumen B. Even '!$A$13:$AM$111,26,0)),"",(VLOOKUP(A7,'[1]Resumen B. Even '!$A$13:$AM$111,26,0))),"")</f>
        <v/>
      </c>
      <c r="E7" s="25">
        <v>82349.742077000003</v>
      </c>
      <c r="F7" s="6">
        <v>0.16799996167595121</v>
      </c>
      <c r="G7" s="26">
        <f>E7-(E7*F7)</f>
        <v>68514.988564039537</v>
      </c>
    </row>
    <row r="8" spans="1:7" x14ac:dyDescent="0.25">
      <c r="A8" s="4">
        <v>100516008</v>
      </c>
      <c r="B8" s="5" t="s">
        <v>6</v>
      </c>
      <c r="C8" s="23">
        <f t="shared" si="0"/>
        <v>0</v>
      </c>
      <c r="D8" s="24" t="str">
        <f>+IF(C8&gt;=1,IF(ISERROR(VLOOKUP(A8,'[1]Resumen B. Even '!$A$13:$AM$111,26,0)),"",(VLOOKUP(A8,'[1]Resumen B. Even '!$A$13:$AM$111,26,0))),"")</f>
        <v/>
      </c>
      <c r="E8" s="25">
        <v>68630.734945000018</v>
      </c>
      <c r="F8" s="6">
        <v>5.2070885436814263E-2</v>
      </c>
      <c r="G8" s="26">
        <f>E8-(E8*F8)</f>
        <v>65057.071808234556</v>
      </c>
    </row>
    <row r="9" spans="1:7" x14ac:dyDescent="0.25">
      <c r="A9" s="4">
        <v>100520834</v>
      </c>
      <c r="B9" s="5" t="s">
        <v>7</v>
      </c>
      <c r="C9" s="23">
        <f t="shared" si="0"/>
        <v>0</v>
      </c>
      <c r="D9" s="24" t="str">
        <f>+IF(C9&gt;=1,IF(ISERROR(VLOOKUP(A9,'[1]Resumen B. Even '!$A$13:$AM$111,26,0)),"",(VLOOKUP(A9,'[1]Resumen B. Even '!$A$13:$AM$111,26,0))),"")</f>
        <v/>
      </c>
      <c r="E9" s="25">
        <v>71028.920613000009</v>
      </c>
      <c r="F9" s="6"/>
      <c r="G9" s="26">
        <f t="shared" si="1"/>
        <v>71028.920613000009</v>
      </c>
    </row>
    <row r="10" spans="1:7" x14ac:dyDescent="0.25">
      <c r="A10" s="4">
        <v>100021653</v>
      </c>
      <c r="B10" s="5" t="s">
        <v>8</v>
      </c>
      <c r="C10" s="23">
        <f t="shared" si="0"/>
        <v>0</v>
      </c>
      <c r="D10" s="24" t="str">
        <f>+IF(C10&gt;=1,IF(ISERROR(VLOOKUP(A10,'[1]Resumen B. Even '!$A$13:$AM$111,26,0)),"",(VLOOKUP(A10,'[1]Resumen B. Even '!$A$13:$AM$111,26,0))),"")</f>
        <v/>
      </c>
      <c r="E10" s="25">
        <v>66745.505036000002</v>
      </c>
      <c r="F10" s="6"/>
      <c r="G10" s="26">
        <f t="shared" si="1"/>
        <v>66745.505036000002</v>
      </c>
    </row>
    <row r="11" spans="1:7" x14ac:dyDescent="0.25">
      <c r="A11" s="4">
        <v>100021638</v>
      </c>
      <c r="B11" s="5" t="s">
        <v>9</v>
      </c>
      <c r="C11" s="23">
        <f t="shared" si="0"/>
        <v>0</v>
      </c>
      <c r="D11" s="24" t="str">
        <f>+IF(C11&gt;=1,IF(ISERROR(VLOOKUP(A11,'[1]Resumen B. Even '!$A$13:$AM$111,26,0)),"",(VLOOKUP(A11,'[1]Resumen B. Even '!$A$13:$AM$111,26,0))),"")</f>
        <v/>
      </c>
      <c r="E11" s="25">
        <v>55622.477767999997</v>
      </c>
      <c r="F11" s="6"/>
      <c r="G11" s="26">
        <f t="shared" si="1"/>
        <v>55622.477767999997</v>
      </c>
    </row>
    <row r="12" spans="1:7" x14ac:dyDescent="0.25">
      <c r="A12" s="4">
        <v>100516169</v>
      </c>
      <c r="B12" s="5" t="s">
        <v>10</v>
      </c>
      <c r="C12" s="23">
        <f t="shared" si="0"/>
        <v>0</v>
      </c>
      <c r="D12" s="24" t="str">
        <f>+IF(C12&gt;=1,IF(ISERROR(VLOOKUP(A12,'[1]Resumen B. Even '!$A$13:$AM$111,26,0)),"",(VLOOKUP(A12,'[1]Resumen B. Even '!$A$13:$AM$111,26,0))),"")</f>
        <v/>
      </c>
      <c r="E12" s="25">
        <v>58550.636031000002</v>
      </c>
      <c r="F12" s="6"/>
      <c r="G12" s="26">
        <f t="shared" si="1"/>
        <v>58550.636031000002</v>
      </c>
    </row>
    <row r="13" spans="1:7" x14ac:dyDescent="0.25">
      <c r="A13" s="4">
        <v>100021503</v>
      </c>
      <c r="B13" s="5" t="s">
        <v>11</v>
      </c>
      <c r="C13" s="23">
        <f t="shared" si="0"/>
        <v>0</v>
      </c>
      <c r="D13" s="24" t="str">
        <f>+IF(C13&gt;=1,IF(ISERROR(VLOOKUP(A13,'[1]Resumen B. Even '!$A$13:$AM$111,26,0)),"",(VLOOKUP(A13,'[1]Resumen B. Even '!$A$13:$AM$111,26,0))),"")</f>
        <v/>
      </c>
      <c r="E13" s="25">
        <v>29825.039263999999</v>
      </c>
      <c r="F13" s="6">
        <v>0.28237914689858845</v>
      </c>
      <c r="G13" s="26">
        <f t="shared" si="1"/>
        <v>21403.070120414777</v>
      </c>
    </row>
    <row r="14" spans="1:7" x14ac:dyDescent="0.25">
      <c r="A14" s="4">
        <v>100516201</v>
      </c>
      <c r="B14" s="5" t="s">
        <v>12</v>
      </c>
      <c r="C14" s="23">
        <f t="shared" si="0"/>
        <v>0</v>
      </c>
      <c r="D14" s="24" t="str">
        <f>+IF(C14&gt;=1,IF(ISERROR(VLOOKUP(A14,'[1]Resumen B. Even '!$A$13:$AM$111,26,0)),"",(VLOOKUP(A14,'[1]Resumen B. Even '!$A$13:$AM$111,26,0))),"")</f>
        <v/>
      </c>
      <c r="E14" s="25">
        <v>51905.519137000003</v>
      </c>
      <c r="F14" s="6">
        <v>9.3880033052548661E-2</v>
      </c>
      <c r="G14" s="26">
        <f t="shared" si="1"/>
        <v>47032.627284808746</v>
      </c>
    </row>
    <row r="15" spans="1:7" x14ac:dyDescent="0.25">
      <c r="A15" s="4">
        <v>100021643</v>
      </c>
      <c r="B15" s="5" t="s">
        <v>13</v>
      </c>
      <c r="C15" s="23">
        <f t="shared" si="0"/>
        <v>0</v>
      </c>
      <c r="D15" s="24" t="str">
        <f>+IF(C15&gt;=1,IF(ISERROR(VLOOKUP(A15,'[1]Resumen B. Even '!$A$13:$AM$111,26,0)),"",(VLOOKUP(A15,'[1]Resumen B. Even '!$A$13:$AM$111,26,0))),"")</f>
        <v/>
      </c>
      <c r="E15" s="25">
        <v>44741.325090999999</v>
      </c>
      <c r="F15" s="6">
        <v>0.331492469466656</v>
      </c>
      <c r="G15" s="26">
        <f>E15-(E15*F15)</f>
        <v>29909.912749373951</v>
      </c>
    </row>
    <row r="16" spans="1:7" x14ac:dyDescent="0.25">
      <c r="A16" s="4">
        <v>100516325</v>
      </c>
      <c r="B16" s="5" t="s">
        <v>14</v>
      </c>
      <c r="C16" s="23">
        <f t="shared" si="0"/>
        <v>0</v>
      </c>
      <c r="D16" s="24" t="str">
        <f>+IF(C16&gt;=1,IF(ISERROR(VLOOKUP(A16,'[1]Resumen B. Even '!$A$13:$AM$111,26,0)),"",(VLOOKUP(A16,'[1]Resumen B. Even '!$A$13:$AM$111,26,0))),"")</f>
        <v/>
      </c>
      <c r="E16" s="25">
        <v>36504.476273</v>
      </c>
      <c r="F16" s="6">
        <v>9.3455911832005745E-2</v>
      </c>
      <c r="G16" s="26">
        <f t="shared" si="1"/>
        <v>33092.917156956966</v>
      </c>
    </row>
    <row r="17" spans="1:7" x14ac:dyDescent="0.25">
      <c r="A17" s="4">
        <v>100520337</v>
      </c>
      <c r="B17" s="5" t="s">
        <v>15</v>
      </c>
      <c r="C17" s="23">
        <f t="shared" si="0"/>
        <v>0</v>
      </c>
      <c r="D17" s="24" t="str">
        <f>+IF(C17&gt;=1,IF(ISERROR(VLOOKUP(A17,'[1]Resumen B. Even '!$A$13:$AM$111,26,0)),"",(VLOOKUP(A17,'[1]Resumen B. Even '!$A$13:$AM$111,26,0))),"")</f>
        <v/>
      </c>
      <c r="E17" s="25">
        <v>35855.958712</v>
      </c>
      <c r="F17" s="6">
        <v>0.18749847093385485</v>
      </c>
      <c r="G17" s="26">
        <f t="shared" si="1"/>
        <v>29133.021279632569</v>
      </c>
    </row>
    <row r="18" spans="1:7" x14ac:dyDescent="0.25">
      <c r="A18" s="4">
        <v>100021644</v>
      </c>
      <c r="B18" s="5" t="s">
        <v>16</v>
      </c>
      <c r="C18" s="23">
        <f t="shared" si="0"/>
        <v>0</v>
      </c>
      <c r="D18" s="24" t="str">
        <f>+IF(C18&gt;=1,IF(ISERROR(VLOOKUP(A18,'[1]Resumen B. Even '!$A$13:$AM$111,26,0)),"",(VLOOKUP(A18,'[1]Resumen B. Even '!$A$13:$AM$111,26,0))),"")</f>
        <v/>
      </c>
      <c r="E18" s="25">
        <v>25956.382541999999</v>
      </c>
      <c r="F18" s="6">
        <v>0.21433129182209931</v>
      </c>
      <c r="G18" s="26">
        <f t="shared" si="1"/>
        <v>20393.117540744555</v>
      </c>
    </row>
    <row r="19" spans="1:7" x14ac:dyDescent="0.25">
      <c r="A19" s="4">
        <v>100021677</v>
      </c>
      <c r="B19" s="5" t="s">
        <v>17</v>
      </c>
      <c r="C19" s="23">
        <f t="shared" si="0"/>
        <v>0</v>
      </c>
      <c r="D19" s="24" t="str">
        <f>+IF(C19&gt;=1,IF(ISERROR(VLOOKUP(A19,'[1]Resumen B. Even '!$A$13:$AM$111,26,0)),"",(VLOOKUP(A19,'[1]Resumen B. Even '!$A$13:$AM$111,26,0))),"")</f>
        <v/>
      </c>
      <c r="E19" s="25">
        <v>22136.622701</v>
      </c>
      <c r="F19" s="6"/>
      <c r="G19" s="26">
        <f t="shared" si="1"/>
        <v>22136.622701</v>
      </c>
    </row>
    <row r="20" spans="1:7" x14ac:dyDescent="0.25">
      <c r="A20" s="4">
        <v>100021575</v>
      </c>
      <c r="B20" s="5" t="s">
        <v>18</v>
      </c>
      <c r="C20" s="23">
        <f t="shared" si="0"/>
        <v>0</v>
      </c>
      <c r="D20" s="24" t="str">
        <f>+IF(C20&gt;=1,IF(ISERROR(VLOOKUP(A20,'[1]Resumen B. Even '!$A$13:$AM$111,26,0)),"",(VLOOKUP(A20,'[1]Resumen B. Even '!$A$13:$AM$111,26,0))),"")</f>
        <v/>
      </c>
      <c r="E20" s="25">
        <v>45619.262277000002</v>
      </c>
      <c r="F20" s="6"/>
      <c r="G20" s="26">
        <f t="shared" si="1"/>
        <v>45619.262277000002</v>
      </c>
    </row>
    <row r="21" spans="1:7" x14ac:dyDescent="0.25">
      <c r="A21" s="4">
        <v>100021514</v>
      </c>
      <c r="B21" s="5" t="s">
        <v>19</v>
      </c>
      <c r="C21" s="23">
        <f t="shared" si="0"/>
        <v>0</v>
      </c>
      <c r="D21" s="24" t="str">
        <f>+IF(C21&gt;=1,IF(ISERROR(VLOOKUP(A21,'[1]Resumen B. Even '!$A$13:$AM$111,26,0)),"",(VLOOKUP(A21,'[1]Resumen B. Even '!$A$13:$AM$111,26,0))),"")</f>
        <v/>
      </c>
      <c r="E21" s="25">
        <v>41513.282225000003</v>
      </c>
      <c r="F21" s="6"/>
      <c r="G21" s="26">
        <f t="shared" si="1"/>
        <v>41513.282225000003</v>
      </c>
    </row>
    <row r="22" spans="1:7" x14ac:dyDescent="0.25">
      <c r="A22" s="4">
        <v>100516208</v>
      </c>
      <c r="B22" s="5" t="s">
        <v>20</v>
      </c>
      <c r="C22" s="23">
        <f t="shared" si="0"/>
        <v>0</v>
      </c>
      <c r="D22" s="24" t="str">
        <f>+IF(C22&gt;=1,IF(ISERROR(VLOOKUP(A22,'[1]Resumen B. Even '!$A$13:$AM$111,26,0)),"",(VLOOKUP(A22,'[1]Resumen B. Even '!$A$13:$AM$111,26,0))),"")</f>
        <v/>
      </c>
      <c r="E22" s="25">
        <v>48131.356778000001</v>
      </c>
      <c r="F22" s="6"/>
      <c r="G22" s="26">
        <f>E22-(E22*$F$13)</f>
        <v>34540.065311956772</v>
      </c>
    </row>
    <row r="23" spans="1:7" hidden="1" x14ac:dyDescent="0.25">
      <c r="A23" s="4">
        <v>100516191</v>
      </c>
      <c r="B23" s="5" t="s">
        <v>21</v>
      </c>
      <c r="C23" s="23" t="e">
        <f t="shared" si="0"/>
        <v>#N/A</v>
      </c>
      <c r="D23" s="24" t="e">
        <f>+IF(C23&gt;=1,IF(ISERROR(VLOOKUP(A23,'[1]Resumen B. Even '!$A$13:$AM$111,26,0)),"",(VLOOKUP(A23,'[1]Resumen B. Even '!$A$13:$AM$111,26,0))),"")</f>
        <v>#N/A</v>
      </c>
      <c r="E23" s="25" t="e">
        <v>#N/A</v>
      </c>
      <c r="F23" s="6"/>
      <c r="G23" s="26" t="e">
        <f t="shared" ref="G23:G45" si="2">E23-(E23*$F$13)</f>
        <v>#N/A</v>
      </c>
    </row>
    <row r="24" spans="1:7" hidden="1" x14ac:dyDescent="0.25">
      <c r="A24" s="4">
        <v>100021530</v>
      </c>
      <c r="B24" s="5" t="s">
        <v>22</v>
      </c>
      <c r="C24" s="23" t="e">
        <f t="shared" si="0"/>
        <v>#N/A</v>
      </c>
      <c r="D24" s="24" t="e">
        <f>+IF(C24&gt;=1,IF(ISERROR(VLOOKUP(A24,'[1]Resumen B. Even '!$A$13:$AM$111,26,0)),"",(VLOOKUP(A24,'[1]Resumen B. Even '!$A$13:$AM$111,26,0))),"")</f>
        <v>#N/A</v>
      </c>
      <c r="E24" s="25" t="e">
        <v>#N/A</v>
      </c>
      <c r="F24" s="6"/>
      <c r="G24" s="26" t="e">
        <f t="shared" si="2"/>
        <v>#N/A</v>
      </c>
    </row>
    <row r="25" spans="1:7" x14ac:dyDescent="0.25">
      <c r="A25" s="4">
        <v>100518346</v>
      </c>
      <c r="B25" s="5" t="s">
        <v>23</v>
      </c>
      <c r="C25" s="23">
        <f t="shared" si="0"/>
        <v>0</v>
      </c>
      <c r="D25" s="24" t="str">
        <f>+IF(C25&gt;=1,IF(ISERROR(VLOOKUP(A25,'[1]Resumen B. Even '!$A$13:$AM$111,26,0)),"",(VLOOKUP(A25,'[1]Resumen B. Even '!$A$13:$AM$111,26,0))),"")</f>
        <v/>
      </c>
      <c r="E25" s="25">
        <v>68793.667967000001</v>
      </c>
      <c r="F25" s="6"/>
      <c r="G25" s="26">
        <f t="shared" si="2"/>
        <v>49367.770694453793</v>
      </c>
    </row>
    <row r="26" spans="1:7" x14ac:dyDescent="0.25">
      <c r="A26" s="4">
        <v>100516259</v>
      </c>
      <c r="B26" s="5" t="s">
        <v>24</v>
      </c>
      <c r="C26" s="23">
        <f t="shared" si="0"/>
        <v>0</v>
      </c>
      <c r="D26" s="24" t="str">
        <f>+IF(C26&gt;=1,IF(ISERROR(VLOOKUP(A26,'[1]Resumen B. Even '!$A$13:$AM$111,26,0)),"",(VLOOKUP(A26,'[1]Resumen B. Even '!$A$13:$AM$111,26,0))),"")</f>
        <v/>
      </c>
      <c r="E26" s="25">
        <v>159167.155879</v>
      </c>
      <c r="F26" s="6"/>
      <c r="G26" s="26">
        <f t="shared" si="2"/>
        <v>114221.67018761333</v>
      </c>
    </row>
    <row r="27" spans="1:7" hidden="1" x14ac:dyDescent="0.25">
      <c r="A27" s="4">
        <v>100021669</v>
      </c>
      <c r="B27" s="5" t="s">
        <v>25</v>
      </c>
      <c r="C27" s="23" t="e">
        <f t="shared" si="0"/>
        <v>#VALUE!</v>
      </c>
      <c r="D27" s="24" t="e">
        <f>+IF(C27&gt;=1,IF(ISERROR(VLOOKUP(A27,'[1]Resumen B. Even '!$A$13:$AM$111,26,0)),"",(VLOOKUP(A27,'[1]Resumen B. Even '!$A$13:$AM$111,26,0))),"")</f>
        <v>#VALUE!</v>
      </c>
      <c r="E27" s="25" t="e">
        <v>#VALUE!</v>
      </c>
      <c r="F27" s="6"/>
      <c r="G27" s="26" t="e">
        <f t="shared" si="2"/>
        <v>#VALUE!</v>
      </c>
    </row>
    <row r="28" spans="1:7" hidden="1" x14ac:dyDescent="0.25">
      <c r="A28" s="4">
        <v>100021670</v>
      </c>
      <c r="B28" s="5" t="s">
        <v>26</v>
      </c>
      <c r="C28" s="23" t="e">
        <f t="shared" si="0"/>
        <v>#VALUE!</v>
      </c>
      <c r="D28" s="24" t="e">
        <f>+IF(C28&gt;=1,IF(ISERROR(VLOOKUP(A28,'[1]Resumen B. Even '!$A$13:$AM$111,26,0)),"",(VLOOKUP(A28,'[1]Resumen B. Even '!$A$13:$AM$111,26,0))),"")</f>
        <v>#VALUE!</v>
      </c>
      <c r="E28" s="25" t="e">
        <v>#VALUE!</v>
      </c>
      <c r="F28" s="6"/>
      <c r="G28" s="26" t="e">
        <f t="shared" si="2"/>
        <v>#VALUE!</v>
      </c>
    </row>
    <row r="29" spans="1:7" hidden="1" x14ac:dyDescent="0.25">
      <c r="A29" s="4">
        <v>100021671</v>
      </c>
      <c r="B29" s="5" t="s">
        <v>27</v>
      </c>
      <c r="C29" s="23" t="e">
        <f t="shared" si="0"/>
        <v>#VALUE!</v>
      </c>
      <c r="D29" s="24" t="e">
        <f>+IF(C29&gt;=1,IF(ISERROR(VLOOKUP(A29,'[1]Resumen B. Even '!$A$13:$AM$111,26,0)),"",(VLOOKUP(A29,'[1]Resumen B. Even '!$A$13:$AM$111,26,0))),"")</f>
        <v>#VALUE!</v>
      </c>
      <c r="E29" s="25" t="e">
        <v>#VALUE!</v>
      </c>
      <c r="F29" s="6"/>
      <c r="G29" s="26" t="e">
        <f t="shared" si="2"/>
        <v>#VALUE!</v>
      </c>
    </row>
    <row r="30" spans="1:7" hidden="1" x14ac:dyDescent="0.25">
      <c r="A30" s="4">
        <v>100021647</v>
      </c>
      <c r="B30" s="5" t="s">
        <v>28</v>
      </c>
      <c r="C30" s="23" t="e">
        <f t="shared" si="0"/>
        <v>#VALUE!</v>
      </c>
      <c r="D30" s="24" t="e">
        <f>+IF(C30&gt;=1,IF(ISERROR(VLOOKUP(A30,'[1]Resumen B. Even '!$A$13:$AM$111,26,0)),"",(VLOOKUP(A30,'[1]Resumen B. Even '!$A$13:$AM$111,26,0))),"")</f>
        <v>#VALUE!</v>
      </c>
      <c r="E30" s="25" t="e">
        <v>#VALUE!</v>
      </c>
      <c r="F30" s="6"/>
      <c r="G30" s="26" t="e">
        <f t="shared" si="2"/>
        <v>#VALUE!</v>
      </c>
    </row>
    <row r="31" spans="1:7" hidden="1" x14ac:dyDescent="0.25">
      <c r="A31" s="4">
        <v>100021648</v>
      </c>
      <c r="B31" s="5" t="s">
        <v>29</v>
      </c>
      <c r="C31" s="23" t="e">
        <f t="shared" si="0"/>
        <v>#VALUE!</v>
      </c>
      <c r="D31" s="24" t="e">
        <f>+IF(C31&gt;=1,IF(ISERROR(VLOOKUP(A31,'[1]Resumen B. Even '!$A$13:$AM$111,26,0)),"",(VLOOKUP(A31,'[1]Resumen B. Even '!$A$13:$AM$111,26,0))),"")</f>
        <v>#VALUE!</v>
      </c>
      <c r="E31" s="25" t="e">
        <v>#VALUE!</v>
      </c>
      <c r="F31" s="6"/>
      <c r="G31" s="26" t="e">
        <f t="shared" si="2"/>
        <v>#VALUE!</v>
      </c>
    </row>
    <row r="32" spans="1:7" hidden="1" x14ac:dyDescent="0.25">
      <c r="A32" s="4">
        <v>100021649</v>
      </c>
      <c r="B32" s="5" t="s">
        <v>30</v>
      </c>
      <c r="C32" s="23" t="e">
        <f t="shared" si="0"/>
        <v>#VALUE!</v>
      </c>
      <c r="D32" s="24" t="e">
        <f>+IF(C32&gt;=1,IF(ISERROR(VLOOKUP(A32,'[1]Resumen B. Even '!$A$13:$AM$111,26,0)),"",(VLOOKUP(A32,'[1]Resumen B. Even '!$A$13:$AM$111,26,0))),"")</f>
        <v>#VALUE!</v>
      </c>
      <c r="E32" s="25" t="e">
        <v>#VALUE!</v>
      </c>
      <c r="F32" s="6"/>
      <c r="G32" s="26" t="e">
        <f>E32-(E32*$F$13)</f>
        <v>#VALUE!</v>
      </c>
    </row>
    <row r="33" spans="1:7" x14ac:dyDescent="0.25">
      <c r="A33" s="4">
        <v>100518095</v>
      </c>
      <c r="B33" s="5" t="s">
        <v>31</v>
      </c>
      <c r="C33" s="23">
        <f t="shared" si="0"/>
        <v>0</v>
      </c>
      <c r="D33" s="24" t="str">
        <f>+IF(C33&gt;=1,IF(ISERROR(VLOOKUP(A33,'[1]Resumen B. Even '!$A$13:$AM$111,26,0)),"",(VLOOKUP(A33,'[1]Resumen B. Even '!$A$13:$AM$111,26,0))),"")</f>
        <v/>
      </c>
      <c r="E33" s="25">
        <v>79304.502890000018</v>
      </c>
      <c r="F33" s="6"/>
      <c r="G33" s="26">
        <f t="shared" si="2"/>
        <v>56910.565018705165</v>
      </c>
    </row>
    <row r="34" spans="1:7" x14ac:dyDescent="0.25">
      <c r="A34" s="4">
        <v>100518223</v>
      </c>
      <c r="B34" s="5" t="s">
        <v>32</v>
      </c>
      <c r="C34" s="23">
        <f t="shared" si="0"/>
        <v>0</v>
      </c>
      <c r="D34" s="24" t="str">
        <f>+IF(C34&gt;=1,IF(ISERROR(VLOOKUP(A34,'[1]Resumen B. Even '!$A$13:$AM$111,26,0)),"",(VLOOKUP(A34,'[1]Resumen B. Even '!$A$13:$AM$111,26,0))),"")</f>
        <v/>
      </c>
      <c r="E34" s="25">
        <v>61742.958394000008</v>
      </c>
      <c r="F34" s="6"/>
      <c r="G34" s="26">
        <f t="shared" si="2"/>
        <v>44308.034475707245</v>
      </c>
    </row>
    <row r="35" spans="1:7" x14ac:dyDescent="0.25">
      <c r="A35" s="7" t="s">
        <v>33</v>
      </c>
      <c r="B35" s="7"/>
      <c r="C35" s="8">
        <f>+SUM(C36:C44)</f>
        <v>0</v>
      </c>
      <c r="D35" s="8">
        <f>SUM(D36:D44)</f>
        <v>0</v>
      </c>
      <c r="E35" s="27" t="e">
        <v>#N/A</v>
      </c>
      <c r="F35" s="9" t="e">
        <f t="shared" ref="F35:F98" si="3">1-(E35/G35)</f>
        <v>#N/A</v>
      </c>
      <c r="G35" s="28" t="e">
        <f t="shared" si="2"/>
        <v>#N/A</v>
      </c>
    </row>
    <row r="36" spans="1:7" x14ac:dyDescent="0.25">
      <c r="A36" s="4">
        <v>100022085</v>
      </c>
      <c r="B36" s="5" t="s">
        <v>34</v>
      </c>
      <c r="C36" s="23">
        <f t="shared" ref="C36:C44" si="4">IF(E36="",0,IF(AE36&lt;1,0,IF(ISERROR(AE36/AT36),"",(AE36/AT36))))</f>
        <v>0</v>
      </c>
      <c r="D36" s="24" t="str">
        <f>+IF(C36&gt;=1,IF(ISERROR(VLOOKUP(A36,'[1]Resumen B. Even '!$A$13:$AM$111,26,0)),"",(VLOOKUP(A36,'[1]Resumen B. Even '!$A$13:$AM$111,26,0))),"")</f>
        <v/>
      </c>
      <c r="E36" s="25">
        <v>39953.265975000002</v>
      </c>
      <c r="F36" s="6">
        <v>0.31945830206027315</v>
      </c>
      <c r="G36" s="26">
        <f t="shared" si="2"/>
        <v>28671.2968131671</v>
      </c>
    </row>
    <row r="37" spans="1:7" x14ac:dyDescent="0.25">
      <c r="A37" s="4">
        <v>100522204</v>
      </c>
      <c r="B37" s="5" t="s">
        <v>35</v>
      </c>
      <c r="C37" s="23">
        <f t="shared" si="4"/>
        <v>0</v>
      </c>
      <c r="D37" s="24" t="str">
        <f>+IF(C37&gt;=1,IF(ISERROR(VLOOKUP(A37,'[1]Resumen B. Even '!$A$13:$AM$111,26,0)),"",(VLOOKUP(A37,'[1]Resumen B. Even '!$A$13:$AM$111,26,0))),"")</f>
        <v/>
      </c>
      <c r="E37" s="25">
        <v>39953.254950000002</v>
      </c>
      <c r="F37" s="6">
        <v>0.31945830206027315</v>
      </c>
      <c r="G37" s="26">
        <f t="shared" si="2"/>
        <v>28671.288901397194</v>
      </c>
    </row>
    <row r="38" spans="1:7" x14ac:dyDescent="0.25">
      <c r="A38" s="4">
        <v>100022072</v>
      </c>
      <c r="B38" s="5" t="s">
        <v>36</v>
      </c>
      <c r="C38" s="23">
        <f t="shared" si="4"/>
        <v>0</v>
      </c>
      <c r="D38" s="24" t="str">
        <f>+IF(C38&gt;=1,IF(ISERROR(VLOOKUP(A38,'[1]Resumen B. Even '!$A$13:$AM$111,26,0)),"",(VLOOKUP(A38,'[1]Resumen B. Even '!$A$13:$AM$111,26,0))),"")</f>
        <v/>
      </c>
      <c r="E38" s="25">
        <v>35328.796649999997</v>
      </c>
      <c r="F38" s="6">
        <v>0.20728807525726956</v>
      </c>
      <c r="G38" s="26">
        <f t="shared" si="2"/>
        <v>25352.681191019288</v>
      </c>
    </row>
    <row r="39" spans="1:7" x14ac:dyDescent="0.25">
      <c r="A39" s="4">
        <v>100522205</v>
      </c>
      <c r="B39" s="5" t="s">
        <v>37</v>
      </c>
      <c r="C39" s="23">
        <f t="shared" si="4"/>
        <v>0</v>
      </c>
      <c r="D39" s="24" t="str">
        <f>+IF(C39&gt;=1,IF(ISERROR(VLOOKUP(A39,'[1]Resumen B. Even '!$A$13:$AM$111,26,0)),"",(VLOOKUP(A39,'[1]Resumen B. Even '!$A$13:$AM$111,26,0))),"")</f>
        <v/>
      </c>
      <c r="E39" s="25">
        <v>35328.796649999997</v>
      </c>
      <c r="F39" s="6">
        <v>0.20728807525726956</v>
      </c>
      <c r="G39" s="26">
        <f t="shared" si="2"/>
        <v>25352.681191019288</v>
      </c>
    </row>
    <row r="40" spans="1:7" x14ac:dyDescent="0.25">
      <c r="A40" s="4">
        <v>100022039</v>
      </c>
      <c r="B40" s="5" t="s">
        <v>38</v>
      </c>
      <c r="C40" s="23">
        <f t="shared" si="4"/>
        <v>0</v>
      </c>
      <c r="D40" s="24" t="str">
        <f>+IF(C40&gt;=1,IF(ISERROR(VLOOKUP(A40,'[1]Resumen B. Even '!$A$13:$AM$111,26,0)),"",(VLOOKUP(A40,'[1]Resumen B. Even '!$A$13:$AM$111,26,0))),"")</f>
        <v/>
      </c>
      <c r="E40" s="25">
        <v>64984.128300000004</v>
      </c>
      <c r="F40" s="6">
        <v>4.7859383620811768E-2</v>
      </c>
      <c r="G40" s="26">
        <f t="shared" si="2"/>
        <v>46633.965588697582</v>
      </c>
    </row>
    <row r="41" spans="1:7" x14ac:dyDescent="0.25">
      <c r="A41" s="4">
        <v>100522206</v>
      </c>
      <c r="B41" s="5" t="s">
        <v>39</v>
      </c>
      <c r="C41" s="23">
        <f t="shared" si="4"/>
        <v>0</v>
      </c>
      <c r="D41" s="24" t="str">
        <f>+IF(C41&gt;=1,IF(ISERROR(VLOOKUP(A41,'[1]Resumen B. Even '!$A$13:$AM$111,26,0)),"",(VLOOKUP(A41,'[1]Resumen B. Even '!$A$13:$AM$111,26,0))),"")</f>
        <v/>
      </c>
      <c r="E41" s="25">
        <v>64984.128300000004</v>
      </c>
      <c r="F41" s="6">
        <v>4.7859383620811768E-2</v>
      </c>
      <c r="G41" s="26">
        <f t="shared" si="2"/>
        <v>46633.965588697582</v>
      </c>
    </row>
    <row r="42" spans="1:7" x14ac:dyDescent="0.25">
      <c r="A42" s="4">
        <v>100022058</v>
      </c>
      <c r="B42" s="5" t="s">
        <v>40</v>
      </c>
      <c r="C42" s="23">
        <f t="shared" si="4"/>
        <v>0</v>
      </c>
      <c r="D42" s="24" t="str">
        <f>+IF(C42&gt;=1,IF(ISERROR(VLOOKUP(A42,'[1]Resumen B. Even '!$A$13:$AM$111,26,0)),"",(VLOOKUP(A42,'[1]Resumen B. Even '!$A$13:$AM$111,26,0))),"")</f>
        <v/>
      </c>
      <c r="E42" s="25">
        <v>21134.726550000003</v>
      </c>
      <c r="F42" s="6">
        <v>0.29357912149586818</v>
      </c>
      <c r="G42" s="26">
        <f t="shared" si="2"/>
        <v>15166.720496876054</v>
      </c>
    </row>
    <row r="43" spans="1:7" x14ac:dyDescent="0.25">
      <c r="A43" s="4">
        <v>100518151</v>
      </c>
      <c r="B43" s="5" t="s">
        <v>41</v>
      </c>
      <c r="C43" s="23">
        <f t="shared" si="4"/>
        <v>0</v>
      </c>
      <c r="D43" s="24" t="str">
        <f>+IF(C43&gt;=1,IF(ISERROR(VLOOKUP(A43,'[1]Resumen B. Even '!$A$13:$AM$111,26,0)),"",(VLOOKUP(A43,'[1]Resumen B. Even '!$A$13:$AM$111,26,0))),"")</f>
        <v/>
      </c>
      <c r="E43" s="25">
        <v>40280.642325000008</v>
      </c>
      <c r="F43" s="6"/>
      <c r="G43" s="26">
        <f t="shared" si="2"/>
        <v>28906.228908739329</v>
      </c>
    </row>
    <row r="44" spans="1:7" x14ac:dyDescent="0.25">
      <c r="A44" s="4">
        <v>100516849</v>
      </c>
      <c r="B44" s="5" t="s">
        <v>42</v>
      </c>
      <c r="C44" s="23">
        <f t="shared" si="4"/>
        <v>0</v>
      </c>
      <c r="D44" s="24" t="str">
        <f>+IF(C44&gt;=1,IF(ISERROR(VLOOKUP(A44,'[1]Resumen B. Even '!$A$13:$AM$111,26,0)),"",(VLOOKUP(A44,'[1]Resumen B. Even '!$A$13:$AM$111,26,0))),"")</f>
        <v/>
      </c>
      <c r="E44" s="25">
        <v>33379.124624999997</v>
      </c>
      <c r="F44" s="6">
        <v>0.32897480527774559</v>
      </c>
      <c r="G44" s="26">
        <f t="shared" si="2"/>
        <v>23953.555889170832</v>
      </c>
    </row>
    <row r="45" spans="1:7" x14ac:dyDescent="0.25">
      <c r="A45" s="7" t="s">
        <v>43</v>
      </c>
      <c r="B45" s="7"/>
      <c r="C45" s="8">
        <f>SUM(C46:C63)</f>
        <v>1542</v>
      </c>
      <c r="D45" s="8" t="e">
        <f>SUM(D46:D67)</f>
        <v>#N/A</v>
      </c>
      <c r="E45" s="27" t="e">
        <v>#N/A</v>
      </c>
      <c r="F45" s="9"/>
      <c r="G45" s="28" t="e">
        <f t="shared" si="2"/>
        <v>#N/A</v>
      </c>
    </row>
    <row r="46" spans="1:7" x14ac:dyDescent="0.25">
      <c r="A46" s="4">
        <v>100021000</v>
      </c>
      <c r="B46" s="5" t="s">
        <v>44</v>
      </c>
      <c r="C46" s="23">
        <v>720</v>
      </c>
      <c r="D46" s="24">
        <f>+IF(C46&gt;=1,IF(ISERROR(VLOOKUP(A46,'[1]Resumen B. Even '!$A$13:$AM$111,26,0)),"",(VLOOKUP(A46,'[1]Resumen B. Even '!$A$13:$AM$111,26,0))),"")</f>
        <v>1555.2</v>
      </c>
      <c r="E46" s="25">
        <v>18093.68629116872</v>
      </c>
      <c r="F46" s="6">
        <v>0.30144140908593298</v>
      </c>
      <c r="G46" s="26">
        <f>E46-(E46*F46)</f>
        <v>12639.499999999993</v>
      </c>
    </row>
    <row r="47" spans="1:7" x14ac:dyDescent="0.25">
      <c r="A47" s="4">
        <v>100021001</v>
      </c>
      <c r="B47" s="5" t="s">
        <v>45</v>
      </c>
      <c r="C47" s="23">
        <v>720</v>
      </c>
      <c r="D47" s="24">
        <f>+IF(C47&gt;=1,IF(ISERROR(VLOOKUP(A47,'[1]Resumen B. Even '!$A$13:$AM$111,26,0)),"",(VLOOKUP(A47,'[1]Resumen B. Even '!$A$13:$AM$111,26,0))),"")</f>
        <v>1555.2</v>
      </c>
      <c r="E47" s="25">
        <v>18093.68629116872</v>
      </c>
      <c r="F47" s="6">
        <v>0.30144140908593253</v>
      </c>
      <c r="G47" s="26">
        <f t="shared" ref="G47:G105" si="5">E47-(E47*F47)</f>
        <v>12639.5</v>
      </c>
    </row>
    <row r="48" spans="1:7" x14ac:dyDescent="0.25">
      <c r="A48" s="10">
        <v>100522277</v>
      </c>
      <c r="B48" s="11" t="s">
        <v>46</v>
      </c>
      <c r="C48" s="23">
        <v>1</v>
      </c>
      <c r="D48" s="24">
        <f>+IF(C48&gt;=1,IF(ISERROR(VLOOKUP(A48,'[1]Resumen B. Even '!$A$13:$AM$111,26,0)),"",(VLOOKUP(A48,'[1]Resumen B. Even '!$A$13:$AM$111,26,0))),"")</f>
        <v>2.16</v>
      </c>
      <c r="E48" s="25">
        <v>18093.68629116872</v>
      </c>
      <c r="F48" s="6">
        <v>0.30144140908593253</v>
      </c>
      <c r="G48" s="26">
        <f t="shared" si="5"/>
        <v>12639.5</v>
      </c>
    </row>
    <row r="49" spans="1:7" x14ac:dyDescent="0.25">
      <c r="A49" s="10">
        <v>100522333</v>
      </c>
      <c r="B49" s="11" t="s">
        <v>47</v>
      </c>
      <c r="C49" s="23">
        <v>1</v>
      </c>
      <c r="D49" s="24">
        <f>+IF(C49&gt;=1,IF(ISERROR(VLOOKUP(A49,'[1]Resumen B. Even '!$A$13:$AM$111,26,0)),"",(VLOOKUP(A49,'[1]Resumen B. Even '!$A$13:$AM$111,26,0))),"")</f>
        <v>2.16</v>
      </c>
      <c r="E49" s="25">
        <v>18093.68629116872</v>
      </c>
      <c r="F49" s="6">
        <v>0.30144140908593253</v>
      </c>
      <c r="G49" s="26">
        <f t="shared" si="5"/>
        <v>12639.5</v>
      </c>
    </row>
    <row r="50" spans="1:7" x14ac:dyDescent="0.25">
      <c r="A50" s="4">
        <v>100021045</v>
      </c>
      <c r="B50" s="5" t="s">
        <v>48</v>
      </c>
      <c r="C50" s="23"/>
      <c r="D50" s="24" t="str">
        <f>+IF(C50&gt;=1,IF(ISERROR(VLOOKUP(A50,'[1]Resumen B. Even '!$A$13:$AM$111,26,0)),"",(VLOOKUP(A50,'[1]Resumen B. Even '!$A$13:$AM$111,26,0))),"")</f>
        <v/>
      </c>
      <c r="E50" s="25">
        <v>18093.68629116872</v>
      </c>
      <c r="F50" s="6">
        <v>0.30144140908593253</v>
      </c>
      <c r="G50" s="26">
        <f t="shared" si="5"/>
        <v>12639.5</v>
      </c>
    </row>
    <row r="51" spans="1:7" x14ac:dyDescent="0.25">
      <c r="A51" s="4">
        <v>100021004</v>
      </c>
      <c r="B51" s="5" t="s">
        <v>49</v>
      </c>
      <c r="C51" s="23"/>
      <c r="D51" s="24" t="str">
        <f>+IF(C51&gt;=1,IF(ISERROR(VLOOKUP(A51,'[1]Resumen B. Even '!$A$13:$AM$111,26,0)),"",(VLOOKUP(A51,'[1]Resumen B. Even '!$A$13:$AM$111,26,0))),"")</f>
        <v/>
      </c>
      <c r="E51" s="25">
        <v>18093.68629116872</v>
      </c>
      <c r="F51" s="6">
        <v>0.30144140908593253</v>
      </c>
      <c r="G51" s="26">
        <f t="shared" si="5"/>
        <v>12639.5</v>
      </c>
    </row>
    <row r="52" spans="1:7" x14ac:dyDescent="0.25">
      <c r="A52" s="4">
        <v>100021006</v>
      </c>
      <c r="B52" s="5" t="s">
        <v>50</v>
      </c>
      <c r="C52" s="23"/>
      <c r="D52" s="24" t="str">
        <f>+IF(C52&gt;=1,IF(ISERROR(VLOOKUP(A52,'[1]Resumen B. Even '!$A$13:$AM$111,26,0)),"",(VLOOKUP(A52,'[1]Resumen B. Even '!$A$13:$AM$111,26,0))),"")</f>
        <v/>
      </c>
      <c r="E52" s="25">
        <v>18093.68629116872</v>
      </c>
      <c r="F52" s="6">
        <v>0.30144140908593253</v>
      </c>
      <c r="G52" s="26">
        <f t="shared" si="5"/>
        <v>12639.5</v>
      </c>
    </row>
    <row r="53" spans="1:7" x14ac:dyDescent="0.25">
      <c r="A53" s="4">
        <v>100021007</v>
      </c>
      <c r="B53" s="5" t="s">
        <v>51</v>
      </c>
      <c r="C53" s="23"/>
      <c r="D53" s="24" t="str">
        <f>+IF(C53&gt;=1,IF(ISERROR(VLOOKUP(A53,'[1]Resumen B. Even '!$A$13:$AM$111,26,0)),"",(VLOOKUP(A53,'[1]Resumen B. Even '!$A$13:$AM$111,26,0))),"")</f>
        <v/>
      </c>
      <c r="E53" s="25">
        <v>23485.790794108114</v>
      </c>
      <c r="F53" s="6">
        <v>0.36091569745657293</v>
      </c>
      <c r="G53" s="26">
        <f t="shared" si="5"/>
        <v>15009.400229333425</v>
      </c>
    </row>
    <row r="54" spans="1:7" x14ac:dyDescent="0.25">
      <c r="A54" s="4">
        <v>100021013</v>
      </c>
      <c r="B54" s="5" t="s">
        <v>52</v>
      </c>
      <c r="C54" s="23"/>
      <c r="D54" s="24" t="str">
        <f>+IF(C54&gt;=1,IF(ISERROR(VLOOKUP(A54,'[1]Resumen B. Even '!$A$13:$AM$111,26,0)),"",(VLOOKUP(A54,'[1]Resumen B. Even '!$A$13:$AM$111,26,0))),"")</f>
        <v/>
      </c>
      <c r="E54" s="25">
        <v>23485.790794108114</v>
      </c>
      <c r="F54" s="6">
        <v>0.36091569745657293</v>
      </c>
      <c r="G54" s="26">
        <f t="shared" si="5"/>
        <v>15009.400229333425</v>
      </c>
    </row>
    <row r="55" spans="1:7" x14ac:dyDescent="0.25">
      <c r="A55" s="4">
        <v>100021014</v>
      </c>
      <c r="B55" s="5" t="s">
        <v>53</v>
      </c>
      <c r="C55" s="23"/>
      <c r="D55" s="24" t="str">
        <f>+IF(C55&gt;=1,IF(ISERROR(VLOOKUP(A55,'[1]Resumen B. Even '!$A$13:$AM$111,26,0)),"",(VLOOKUP(A55,'[1]Resumen B. Even '!$A$13:$AM$111,26,0))),"")</f>
        <v/>
      </c>
      <c r="E55" s="25">
        <v>23485.790794108114</v>
      </c>
      <c r="F55" s="6">
        <v>0.36091569745657293</v>
      </c>
      <c r="G55" s="26">
        <f t="shared" si="5"/>
        <v>15009.400229333425</v>
      </c>
    </row>
    <row r="56" spans="1:7" x14ac:dyDescent="0.25">
      <c r="A56" s="4">
        <v>100021015</v>
      </c>
      <c r="B56" s="5" t="s">
        <v>54</v>
      </c>
      <c r="C56" s="23"/>
      <c r="D56" s="24" t="str">
        <f>+IF(C56&gt;=1,IF(ISERROR(VLOOKUP(A56,'[1]Resumen B. Even '!$A$13:$AM$111,26,0)),"",(VLOOKUP(A56,'[1]Resumen B. Even '!$A$13:$AM$111,26,0))),"")</f>
        <v/>
      </c>
      <c r="E56" s="25">
        <v>25163.347279401547</v>
      </c>
      <c r="F56" s="6">
        <v>0.36091569745657293</v>
      </c>
      <c r="G56" s="26">
        <f t="shared" si="5"/>
        <v>16081.50024571438</v>
      </c>
    </row>
    <row r="57" spans="1:7" x14ac:dyDescent="0.25">
      <c r="A57" s="4">
        <v>100021054</v>
      </c>
      <c r="B57" s="5" t="s">
        <v>55</v>
      </c>
      <c r="C57" s="23"/>
      <c r="D57" s="24" t="str">
        <f>+IF(C57&gt;=1,IF(ISERROR(VLOOKUP(A57,'[1]Resumen B. Even '!$A$13:$AM$111,26,0)),"",(VLOOKUP(A57,'[1]Resumen B. Even '!$A$13:$AM$111,26,0))),"")</f>
        <v/>
      </c>
      <c r="E57" s="25">
        <v>23485.790794108114</v>
      </c>
      <c r="F57" s="6">
        <v>0.36091569745657293</v>
      </c>
      <c r="G57" s="26">
        <f>E57-(E57*F57)</f>
        <v>15009.400229333425</v>
      </c>
    </row>
    <row r="58" spans="1:7" x14ac:dyDescent="0.25">
      <c r="A58" s="4">
        <v>100021055</v>
      </c>
      <c r="B58" s="5" t="s">
        <v>56</v>
      </c>
      <c r="C58" s="23"/>
      <c r="D58" s="24" t="str">
        <f>+IF(C58&gt;=1,IF(ISERROR(VLOOKUP(A58,'[1]Resumen B. Even '!$A$13:$AM$111,26,0)),"",(VLOOKUP(A58,'[1]Resumen B. Even '!$A$13:$AM$111,26,0))),"")</f>
        <v/>
      </c>
      <c r="E58" s="25">
        <v>23485.790794108114</v>
      </c>
      <c r="F58" s="6">
        <v>0.40352128037657309</v>
      </c>
      <c r="G58" s="26">
        <f t="shared" si="5"/>
        <v>14008.774422213275</v>
      </c>
    </row>
    <row r="59" spans="1:7" hidden="1" x14ac:dyDescent="0.25">
      <c r="A59" s="4">
        <v>100517846</v>
      </c>
      <c r="B59" s="5" t="s">
        <v>57</v>
      </c>
      <c r="C59" s="23">
        <v>100</v>
      </c>
      <c r="D59" s="24">
        <f>+IF(C59&gt;=1,IF(ISERROR(VLOOKUP(A59,'[1]Resumen B. Even '!$A$13:$AM$111,26,0)),"",(VLOOKUP(A59,'[1]Resumen B. Even '!$A$13:$AM$111,26,0))),"")</f>
        <v>204</v>
      </c>
      <c r="E59" s="25" t="e">
        <v>#N/A</v>
      </c>
      <c r="F59" s="6">
        <v>0.40112651031273738</v>
      </c>
      <c r="G59" s="26" t="e">
        <f t="shared" si="5"/>
        <v>#N/A</v>
      </c>
    </row>
    <row r="60" spans="1:7" x14ac:dyDescent="0.25">
      <c r="A60" s="4">
        <v>100021008</v>
      </c>
      <c r="B60" s="5" t="s">
        <v>58</v>
      </c>
      <c r="C60" s="23"/>
      <c r="D60" s="24" t="str">
        <f>+IF(C60&gt;=1,IF(ISERROR(VLOOKUP(A60,'[1]Resumen B. Even '!$A$13:$AM$111,26,0)),"",(VLOOKUP(A60,'[1]Resumen B. Even '!$A$13:$AM$111,26,0))),"")</f>
        <v/>
      </c>
      <c r="E60" s="25">
        <v>14252.568653482602</v>
      </c>
      <c r="F60" s="6">
        <v>0.40112651031273738</v>
      </c>
      <c r="G60" s="26">
        <f t="shared" si="5"/>
        <v>8535.485526518416</v>
      </c>
    </row>
    <row r="61" spans="1:7" x14ac:dyDescent="0.25">
      <c r="A61" s="4">
        <v>100021009</v>
      </c>
      <c r="B61" s="5" t="s">
        <v>59</v>
      </c>
      <c r="C61" s="23"/>
      <c r="D61" s="24" t="str">
        <f>+IF(C61&gt;=1,IF(ISERROR(VLOOKUP(A61,'[1]Resumen B. Even '!$A$13:$AM$111,26,0)),"",(VLOOKUP(A61,'[1]Resumen B. Even '!$A$13:$AM$111,26,0))),"")</f>
        <v/>
      </c>
      <c r="E61" s="25">
        <v>14252.568653482602</v>
      </c>
      <c r="F61" s="6">
        <v>0.40112651031273738</v>
      </c>
      <c r="G61" s="26">
        <f t="shared" si="5"/>
        <v>8535.485526518416</v>
      </c>
    </row>
    <row r="62" spans="1:7" x14ac:dyDescent="0.25">
      <c r="A62" s="4">
        <v>100021010</v>
      </c>
      <c r="B62" s="5" t="s">
        <v>60</v>
      </c>
      <c r="C62" s="23"/>
      <c r="D62" s="24" t="str">
        <f>+IF(C62&gt;=1,IF(ISERROR(VLOOKUP(A62,'[1]Resumen B. Even '!$A$13:$AM$111,26,0)),"",(VLOOKUP(A62,'[1]Resumen B. Even '!$A$13:$AM$111,26,0))),"")</f>
        <v/>
      </c>
      <c r="E62" s="25">
        <v>14252.568653482602</v>
      </c>
      <c r="F62" s="6">
        <v>0.40112651031273738</v>
      </c>
      <c r="G62" s="26">
        <f t="shared" si="5"/>
        <v>8535.485526518416</v>
      </c>
    </row>
    <row r="63" spans="1:7" x14ac:dyDescent="0.25">
      <c r="A63" s="4">
        <v>100021011</v>
      </c>
      <c r="B63" s="5" t="s">
        <v>61</v>
      </c>
      <c r="C63" s="23"/>
      <c r="D63" s="24" t="str">
        <f>+IF(C63&gt;=1,IF(ISERROR(VLOOKUP(A63,'[1]Resumen B. Even '!$A$13:$AM$111,26,0)),"",(VLOOKUP(A63,'[1]Resumen B. Even '!$A$13:$AM$111,26,0))),"")</f>
        <v/>
      </c>
      <c r="E63" s="25">
        <v>14252.568653482602</v>
      </c>
      <c r="F63" s="6">
        <v>0.34284068872144158</v>
      </c>
      <c r="G63" s="26">
        <f t="shared" si="5"/>
        <v>9366.2082002729985</v>
      </c>
    </row>
    <row r="64" spans="1:7" hidden="1" x14ac:dyDescent="0.25">
      <c r="A64" s="4">
        <v>100021133</v>
      </c>
      <c r="B64" s="5" t="s">
        <v>62</v>
      </c>
      <c r="C64" s="29" t="e">
        <f t="shared" ref="C64:C67" si="6">IF(E64="",0,IF(AE64&lt;1,0,IF(ISERROR(AE64/AT64),"",(AE64/AT64))))</f>
        <v>#N/A</v>
      </c>
      <c r="D64" s="30" t="e">
        <f>+IF(C64&gt;=1,IF(ISERROR(VLOOKUP(A64,'[1]Resumen B. Even '!$A$13:$AM$111,26,0)),"",(VLOOKUP(A64,'[1]Resumen B. Even '!$A$13:$AM$111,26,0))),"")</f>
        <v>#N/A</v>
      </c>
      <c r="E64" s="25" t="e">
        <v>#N/A</v>
      </c>
      <c r="F64" s="6" t="e">
        <f t="shared" ca="1" si="3"/>
        <v>#VALUE!</v>
      </c>
      <c r="G64" s="26">
        <f t="shared" ca="1" si="5"/>
        <v>10344.092245684318</v>
      </c>
    </row>
    <row r="65" spans="1:7" hidden="1" x14ac:dyDescent="0.25">
      <c r="A65" s="4">
        <v>100021134</v>
      </c>
      <c r="B65" s="5" t="s">
        <v>63</v>
      </c>
      <c r="C65" s="29" t="e">
        <f t="shared" si="6"/>
        <v>#N/A</v>
      </c>
      <c r="D65" s="30" t="e">
        <f>+IF(C65&gt;=1,IF(ISERROR(VLOOKUP(A65,'[1]Resumen B. Even '!$A$13:$AM$111,26,0)),"",(VLOOKUP(A65,'[1]Resumen B. Even '!$A$13:$AM$111,26,0))),"")</f>
        <v>#N/A</v>
      </c>
      <c r="E65" s="25" t="e">
        <v>#N/A</v>
      </c>
      <c r="F65" s="6" t="e">
        <f t="shared" ca="1" si="3"/>
        <v>#VALUE!</v>
      </c>
      <c r="G65" s="26">
        <f t="shared" ca="1" si="5"/>
        <v>10344.092245684318</v>
      </c>
    </row>
    <row r="66" spans="1:7" hidden="1" x14ac:dyDescent="0.25">
      <c r="A66" s="4">
        <v>100021027</v>
      </c>
      <c r="B66" s="5" t="s">
        <v>64</v>
      </c>
      <c r="C66" s="29" t="e">
        <f t="shared" si="6"/>
        <v>#N/A</v>
      </c>
      <c r="D66" s="30" t="e">
        <f>+IF(C66&gt;=1,IF(ISERROR(VLOOKUP(A66,'[1]Resumen B. Even '!$A$13:$AM$111,26,0)),"",(VLOOKUP(A66,'[1]Resumen B. Even '!$A$13:$AM$111,26,0))),"")</f>
        <v>#N/A</v>
      </c>
      <c r="E66" s="25" t="e">
        <v>#N/A</v>
      </c>
      <c r="F66" s="6" t="e">
        <f t="shared" ca="1" si="3"/>
        <v>#VALUE!</v>
      </c>
      <c r="G66" s="26">
        <f t="shared" ca="1" si="5"/>
        <v>10344.092245684318</v>
      </c>
    </row>
    <row r="67" spans="1:7" hidden="1" x14ac:dyDescent="0.25">
      <c r="A67" s="4">
        <v>100021028</v>
      </c>
      <c r="B67" s="5" t="s">
        <v>65</v>
      </c>
      <c r="C67" s="29" t="e">
        <f t="shared" si="6"/>
        <v>#N/A</v>
      </c>
      <c r="D67" s="30" t="e">
        <f>+IF(C67&gt;=1,IF(ISERROR(VLOOKUP(A67,'[1]Resumen B. Even '!$A$13:$AM$111,26,0)),"",(VLOOKUP(A67,'[1]Resumen B. Even '!$A$13:$AM$111,26,0))),"")</f>
        <v>#N/A</v>
      </c>
      <c r="E67" s="25" t="e">
        <v>#N/A</v>
      </c>
      <c r="F67" s="6" t="e">
        <f t="shared" ca="1" si="3"/>
        <v>#VALUE!</v>
      </c>
      <c r="G67" s="26">
        <f t="shared" ca="1" si="5"/>
        <v>10344.092245684318</v>
      </c>
    </row>
    <row r="68" spans="1:7" x14ac:dyDescent="0.25">
      <c r="A68" s="7" t="s">
        <v>66</v>
      </c>
      <c r="B68" s="7"/>
      <c r="C68" s="8">
        <f>SUM(C69:C72)</f>
        <v>0</v>
      </c>
      <c r="D68" s="8">
        <f>SUM(D69:D72)</f>
        <v>0</v>
      </c>
      <c r="E68" s="27" t="e">
        <v>#N/A</v>
      </c>
      <c r="F68" s="9" t="e">
        <f t="shared" ca="1" si="3"/>
        <v>#VALUE!</v>
      </c>
      <c r="G68" s="28">
        <f t="shared" ca="1" si="5"/>
        <v>10344.092245684318</v>
      </c>
    </row>
    <row r="69" spans="1:7" x14ac:dyDescent="0.25">
      <c r="A69" s="4">
        <v>100516214</v>
      </c>
      <c r="B69" s="5" t="s">
        <v>67</v>
      </c>
      <c r="C69" s="23">
        <f>IF(E69="",0,IF(AE69&lt;1,0,IF(ISERROR(AE69/AT69),"",(AE69/AT69))))</f>
        <v>0</v>
      </c>
      <c r="D69" s="24" t="str">
        <f>+IF(C69&gt;=1,IF(ISERROR(VLOOKUP(A69,'[1]Resumen B. Even '!$A$13:$AM$111,26,0)),"",(VLOOKUP(A69,'[1]Resumen B. Even '!$A$13:$AM$111,26,0))),"")</f>
        <v/>
      </c>
      <c r="E69" s="25">
        <v>39879.457600000002</v>
      </c>
      <c r="F69" s="6">
        <v>7.4999999999999997E-2</v>
      </c>
      <c r="G69" s="26">
        <f t="shared" si="5"/>
        <v>36888.49828</v>
      </c>
    </row>
    <row r="70" spans="1:7" x14ac:dyDescent="0.25">
      <c r="A70" s="4">
        <v>100516215</v>
      </c>
      <c r="B70" s="5" t="s">
        <v>68</v>
      </c>
      <c r="C70" s="23">
        <f>IF(E70="",0,IF(AE70&lt;1,0,IF(ISERROR(AE70/AT70),"",(AE70/AT70))))</f>
        <v>0</v>
      </c>
      <c r="D70" s="24" t="str">
        <f>+IF(C70&gt;=1,IF(ISERROR(VLOOKUP(A70,'[1]Resumen B. Even '!$A$13:$AM$111,26,0)),"",(VLOOKUP(A70,'[1]Resumen B. Even '!$A$13:$AM$111,26,0))),"")</f>
        <v/>
      </c>
      <c r="E70" s="25">
        <v>39879.457600000002</v>
      </c>
      <c r="F70" s="6">
        <v>7.4999999999999997E-2</v>
      </c>
      <c r="G70" s="26">
        <f t="shared" si="5"/>
        <v>36888.49828</v>
      </c>
    </row>
    <row r="71" spans="1:7" x14ac:dyDescent="0.25">
      <c r="A71" s="4">
        <v>100516216</v>
      </c>
      <c r="B71" s="5" t="s">
        <v>69</v>
      </c>
      <c r="C71" s="23">
        <f>IF(E71="",0,IF(AE71&lt;1,0,IF(ISERROR(AE71/AT71),"",(AE71/AT71))))</f>
        <v>0</v>
      </c>
      <c r="D71" s="24" t="str">
        <f>+IF(C71&gt;=1,IF(ISERROR(VLOOKUP(A71,'[1]Resumen B. Even '!$A$13:$AM$111,26,0)),"",(VLOOKUP(A71,'[1]Resumen B. Even '!$A$13:$AM$111,26,0))),"")</f>
        <v/>
      </c>
      <c r="E71" s="25">
        <v>39879.457600000002</v>
      </c>
      <c r="F71" s="6">
        <v>7.4999999999999997E-2</v>
      </c>
      <c r="G71" s="26">
        <f t="shared" si="5"/>
        <v>36888.49828</v>
      </c>
    </row>
    <row r="72" spans="1:7" x14ac:dyDescent="0.25">
      <c r="A72" s="4">
        <v>100516217</v>
      </c>
      <c r="B72" s="5" t="s">
        <v>70</v>
      </c>
      <c r="C72" s="23">
        <f t="shared" ref="C72:C76" si="7">IF(E72="",0,IF(AE72&lt;1,0,IF(ISERROR(AE72/AT72),"",(AE72/AT72))))</f>
        <v>0</v>
      </c>
      <c r="D72" s="24" t="str">
        <f>+IF(C72&gt;=1,IF(ISERROR(VLOOKUP(A72,'[1]Resumen B. Even '!$A$13:$AM$111,26,0)),"",(VLOOKUP(A72,'[1]Resumen B. Even '!$A$13:$AM$111,26,0))),"")</f>
        <v/>
      </c>
      <c r="E72" s="25">
        <v>28488.825105000004</v>
      </c>
      <c r="F72" s="6">
        <v>7.4999999999999997E-2</v>
      </c>
      <c r="G72" s="26">
        <f t="shared" si="5"/>
        <v>26352.163222125004</v>
      </c>
    </row>
    <row r="73" spans="1:7" x14ac:dyDescent="0.25">
      <c r="A73" s="4">
        <v>100521453</v>
      </c>
      <c r="B73" s="5" t="s">
        <v>71</v>
      </c>
      <c r="C73" s="23">
        <f t="shared" si="7"/>
        <v>0</v>
      </c>
      <c r="D73" s="24" t="str">
        <f>+IF(C73&gt;=1,IF(ISERROR(VLOOKUP(A73,'[1]Resumen B. Even '!$A$13:$AM$111,26,0)),"",(VLOOKUP(A73,'[1]Resumen B. Even '!$A$13:$AM$111,26,0))),"")</f>
        <v/>
      </c>
      <c r="E73" s="25">
        <v>36747.112500000003</v>
      </c>
      <c r="F73" s="6">
        <v>7.4999999999999997E-2</v>
      </c>
      <c r="G73" s="26">
        <f t="shared" si="5"/>
        <v>33991.079062500001</v>
      </c>
    </row>
    <row r="74" spans="1:7" x14ac:dyDescent="0.25">
      <c r="A74" s="4">
        <v>100521454</v>
      </c>
      <c r="B74" s="5" t="s">
        <v>72</v>
      </c>
      <c r="C74" s="23">
        <f t="shared" si="7"/>
        <v>0</v>
      </c>
      <c r="D74" s="24" t="str">
        <f>+IF(C74&gt;=1,IF(ISERROR(VLOOKUP(A74,'[1]Resumen B. Even '!$A$13:$AM$111,26,0)),"",(VLOOKUP(A74,'[1]Resumen B. Even '!$A$13:$AM$111,26,0))),"")</f>
        <v/>
      </c>
      <c r="E74" s="25">
        <v>36747.112500000003</v>
      </c>
      <c r="F74" s="6">
        <v>7.4999999999999997E-2</v>
      </c>
      <c r="G74" s="26">
        <f t="shared" si="5"/>
        <v>33991.079062500001</v>
      </c>
    </row>
    <row r="75" spans="1:7" x14ac:dyDescent="0.25">
      <c r="A75" s="4">
        <v>100521455</v>
      </c>
      <c r="B75" s="5" t="s">
        <v>73</v>
      </c>
      <c r="C75" s="23">
        <f t="shared" si="7"/>
        <v>0</v>
      </c>
      <c r="D75" s="24" t="str">
        <f>+IF(C75&gt;=1,IF(ISERROR(VLOOKUP(A75,'[1]Resumen B. Even '!$A$13:$AM$111,26,0)),"",(VLOOKUP(A75,'[1]Resumen B. Even '!$A$13:$AM$111,26,0))),"")</f>
        <v/>
      </c>
      <c r="E75" s="25">
        <v>37321.063500000004</v>
      </c>
      <c r="F75" s="6">
        <v>0.125</v>
      </c>
      <c r="G75" s="26">
        <f t="shared" si="5"/>
        <v>32655.930562500005</v>
      </c>
    </row>
    <row r="76" spans="1:7" x14ac:dyDescent="0.25">
      <c r="A76" s="4">
        <v>100521457</v>
      </c>
      <c r="B76" s="5" t="s">
        <v>74</v>
      </c>
      <c r="C76" s="23">
        <f t="shared" si="7"/>
        <v>0</v>
      </c>
      <c r="D76" s="24" t="str">
        <f>+IF(C76&gt;=1,IF(ISERROR(VLOOKUP(A76,'[1]Resumen B. Even '!$A$13:$AM$111,26,0)),"",(VLOOKUP(A76,'[1]Resumen B. Even '!$A$13:$AM$111,26,0))),"")</f>
        <v/>
      </c>
      <c r="E76" s="25">
        <v>37321.063500000004</v>
      </c>
      <c r="F76" s="6">
        <v>0.125</v>
      </c>
      <c r="G76" s="26">
        <f t="shared" si="5"/>
        <v>32655.930562500005</v>
      </c>
    </row>
    <row r="77" spans="1:7" x14ac:dyDescent="0.25">
      <c r="A77" s="7" t="s">
        <v>75</v>
      </c>
      <c r="B77" s="7"/>
      <c r="C77" s="8" t="e">
        <f>SUM(C78:C90)</f>
        <v>#N/A</v>
      </c>
      <c r="D77" s="8" t="e">
        <f>SUM(D78:D90)</f>
        <v>#N/A</v>
      </c>
      <c r="E77" s="27" t="e">
        <v>#N/A</v>
      </c>
      <c r="F77" s="9" t="e">
        <f t="shared" ca="1" si="3"/>
        <v>#VALUE!</v>
      </c>
      <c r="G77" s="28">
        <f t="shared" ca="1" si="5"/>
        <v>10344.092245684318</v>
      </c>
    </row>
    <row r="78" spans="1:7" x14ac:dyDescent="0.25">
      <c r="A78" s="4">
        <v>100021704</v>
      </c>
      <c r="B78" s="5" t="s">
        <v>76</v>
      </c>
      <c r="C78" s="23">
        <f t="shared" ref="C78:C94" si="8">IF(E78="",0,IF(AE78&lt;1,0,IF(ISERROR(AE78/AT78),"",(AE78/AT78))))</f>
        <v>0</v>
      </c>
      <c r="D78" s="24" t="str">
        <f>+IF(C78&gt;=1,IF(ISERROR(VLOOKUP(A78,'[1]Resumen B. Even '!$A$13:$AM$111,26,0)),"",(VLOOKUP(A78,'[1]Resumen B. Even '!$A$13:$AM$111,26,0))),"")</f>
        <v/>
      </c>
      <c r="E78" s="25">
        <v>42835.112079412145</v>
      </c>
      <c r="F78" s="6"/>
      <c r="G78" s="26">
        <f t="shared" si="5"/>
        <v>42835.112079412145</v>
      </c>
    </row>
    <row r="79" spans="1:7" x14ac:dyDescent="0.25">
      <c r="A79" s="4">
        <v>100021705</v>
      </c>
      <c r="B79" s="5" t="s">
        <v>77</v>
      </c>
      <c r="C79" s="23">
        <f t="shared" si="8"/>
        <v>0</v>
      </c>
      <c r="D79" s="24" t="str">
        <f>+IF(C79&gt;=1,IF(ISERROR(VLOOKUP(A79,'[1]Resumen B. Even '!$A$13:$AM$111,26,0)),"",(VLOOKUP(A79,'[1]Resumen B. Even '!$A$13:$AM$111,26,0))),"")</f>
        <v/>
      </c>
      <c r="E79" s="25">
        <v>38938.110479737807</v>
      </c>
      <c r="F79" s="6"/>
      <c r="G79" s="26">
        <f t="shared" si="5"/>
        <v>38938.110479737807</v>
      </c>
    </row>
    <row r="80" spans="1:7" hidden="1" x14ac:dyDescent="0.25">
      <c r="A80" s="4">
        <v>100021707</v>
      </c>
      <c r="B80" s="5" t="s">
        <v>78</v>
      </c>
      <c r="C80" s="23" t="e">
        <f t="shared" si="8"/>
        <v>#N/A</v>
      </c>
      <c r="D80" s="24" t="e">
        <f>+IF(C80&gt;=1,IF(ISERROR(VLOOKUP(A80,'[1]Resumen B. Even '!$A$13:$AM$111,26,0)),"",(VLOOKUP(A80,'[1]Resumen B. Even '!$A$13:$AM$111,26,0))),"")</f>
        <v>#N/A</v>
      </c>
      <c r="E80" s="25" t="e">
        <v>#N/A</v>
      </c>
      <c r="F80" s="6"/>
      <c r="G80" s="26" t="e">
        <f t="shared" si="5"/>
        <v>#N/A</v>
      </c>
    </row>
    <row r="81" spans="1:7" x14ac:dyDescent="0.25">
      <c r="A81" s="4">
        <v>100021709</v>
      </c>
      <c r="B81" s="5" t="s">
        <v>79</v>
      </c>
      <c r="C81" s="23">
        <f t="shared" si="8"/>
        <v>0</v>
      </c>
      <c r="D81" s="24" t="str">
        <f>+IF(C81&gt;=1,IF(ISERROR(VLOOKUP(A81,'[1]Resumen B. Even '!$A$13:$AM$111,26,0)),"",(VLOOKUP(A81,'[1]Resumen B. Even '!$A$13:$AM$111,26,0))),"")</f>
        <v/>
      </c>
      <c r="E81" s="25">
        <v>62482.083460346563</v>
      </c>
      <c r="F81" s="6">
        <v>0.16659309171328374</v>
      </c>
      <c r="G81" s="26">
        <f t="shared" si="5"/>
        <v>52073</v>
      </c>
    </row>
    <row r="82" spans="1:7" x14ac:dyDescent="0.25">
      <c r="A82" s="4">
        <v>100521357</v>
      </c>
      <c r="B82" s="5" t="s">
        <v>80</v>
      </c>
      <c r="C82" s="23">
        <f t="shared" si="8"/>
        <v>0</v>
      </c>
      <c r="D82" s="24" t="str">
        <f>+IF(C82&gt;=1,IF(ISERROR(VLOOKUP(A82,'[1]Resumen B. Even '!$A$13:$AM$111,26,0)),"",(VLOOKUP(A82,'[1]Resumen B. Even '!$A$13:$AM$111,26,0))),"")</f>
        <v/>
      </c>
      <c r="E82" s="25">
        <v>47170.226879999995</v>
      </c>
      <c r="F82" s="12">
        <v>0.25</v>
      </c>
      <c r="G82" s="26">
        <f t="shared" si="5"/>
        <v>35377.670159999994</v>
      </c>
    </row>
    <row r="83" spans="1:7" x14ac:dyDescent="0.25">
      <c r="A83" s="4">
        <v>100521358</v>
      </c>
      <c r="B83" s="5" t="s">
        <v>81</v>
      </c>
      <c r="C83" s="23">
        <f t="shared" si="8"/>
        <v>0</v>
      </c>
      <c r="D83" s="24" t="str">
        <f>+IF(C83&gt;=1,IF(ISERROR(VLOOKUP(A83,'[1]Resumen B. Even '!$A$13:$AM$111,26,0)),"",(VLOOKUP(A83,'[1]Resumen B. Even '!$A$13:$AM$111,26,0))),"")</f>
        <v/>
      </c>
      <c r="E83" s="25">
        <v>70755.340320000003</v>
      </c>
      <c r="F83" s="6"/>
      <c r="G83" s="26">
        <f t="shared" si="5"/>
        <v>70755.340320000003</v>
      </c>
    </row>
    <row r="84" spans="1:7" x14ac:dyDescent="0.25">
      <c r="A84" s="4">
        <v>100522130</v>
      </c>
      <c r="B84" s="5" t="s">
        <v>82</v>
      </c>
      <c r="C84" s="23">
        <f t="shared" si="8"/>
        <v>0</v>
      </c>
      <c r="D84" s="24" t="str">
        <f>+IF(C84&gt;=1,IF(ISERROR(VLOOKUP(A84,'[1]Resumen B. Even '!$A$13:$AM$111,26,0)),"",(VLOOKUP(A84,'[1]Resumen B. Even '!$A$13:$AM$111,26,0))),"")</f>
        <v/>
      </c>
      <c r="E84" s="25">
        <v>35271.784368000015</v>
      </c>
      <c r="F84" s="6">
        <v>0.22018360191170994</v>
      </c>
      <c r="G84" s="26">
        <f t="shared" si="5"/>
        <v>27505.515840000626</v>
      </c>
    </row>
    <row r="85" spans="1:7" x14ac:dyDescent="0.25">
      <c r="A85" s="4">
        <v>100517055</v>
      </c>
      <c r="B85" s="5" t="s">
        <v>83</v>
      </c>
      <c r="C85" s="23">
        <f t="shared" si="8"/>
        <v>0</v>
      </c>
      <c r="D85" s="24" t="str">
        <f>+IF(C85&gt;=1,IF(ISERROR(VLOOKUP(A85,'[1]Resumen B. Even '!$A$13:$AM$111,26,0)),"",(VLOOKUP(A85,'[1]Resumen B. Even '!$A$13:$AM$111,26,0))),"")</f>
        <v/>
      </c>
      <c r="E85" s="25">
        <v>32252.532386768791</v>
      </c>
      <c r="F85" s="6">
        <v>0.26901863961318684</v>
      </c>
      <c r="G85" s="26">
        <f t="shared" si="5"/>
        <v>23576</v>
      </c>
    </row>
    <row r="86" spans="1:7" x14ac:dyDescent="0.25">
      <c r="A86" s="4">
        <v>100517186</v>
      </c>
      <c r="B86" s="5" t="s">
        <v>84</v>
      </c>
      <c r="C86" s="23">
        <f t="shared" si="8"/>
        <v>0</v>
      </c>
      <c r="D86" s="24" t="str">
        <f>+IF(C86&gt;=1,IF(ISERROR(VLOOKUP(A86,'[1]Resumen B. Even '!$A$13:$AM$111,26,0)),"",(VLOOKUP(A86,'[1]Resumen B. Even '!$A$13:$AM$111,26,0))),"")</f>
        <v/>
      </c>
      <c r="E86" s="25">
        <v>81496.656617923683</v>
      </c>
      <c r="F86" s="6">
        <v>0.1341994165142596</v>
      </c>
      <c r="G86" s="26">
        <f t="shared" si="5"/>
        <v>70559.852851935357</v>
      </c>
    </row>
    <row r="87" spans="1:7" x14ac:dyDescent="0.25">
      <c r="A87" s="4">
        <v>100521663</v>
      </c>
      <c r="B87" s="5" t="s">
        <v>85</v>
      </c>
      <c r="C87" s="23">
        <f t="shared" si="8"/>
        <v>0</v>
      </c>
      <c r="D87" s="24" t="str">
        <f>+IF(C87&gt;=1,IF(ISERROR(VLOOKUP(A87,'[1]Resumen B. Even '!$A$13:$AM$111,26,0)),"",(VLOOKUP(A87,'[1]Resumen B. Even '!$A$13:$AM$111,26,0))),"")</f>
        <v/>
      </c>
      <c r="E87" s="25">
        <v>47923.548750000009</v>
      </c>
      <c r="F87" s="12">
        <v>0.25</v>
      </c>
      <c r="G87" s="26">
        <f t="shared" si="5"/>
        <v>35942.661562500005</v>
      </c>
    </row>
    <row r="88" spans="1:7" x14ac:dyDescent="0.25">
      <c r="A88" s="4">
        <v>100021728</v>
      </c>
      <c r="B88" s="5" t="s">
        <v>86</v>
      </c>
      <c r="C88" s="23">
        <f t="shared" si="8"/>
        <v>0</v>
      </c>
      <c r="D88" s="24" t="str">
        <f>+IF(C88&gt;=1,IF(ISERROR(VLOOKUP(A88,'[1]Resumen B. Even '!$A$13:$AM$111,26,0)),"",(VLOOKUP(A88,'[1]Resumen B. Even '!$A$13:$AM$111,26,0))),"")</f>
        <v/>
      </c>
      <c r="E88" s="25">
        <v>40542.82075708804</v>
      </c>
      <c r="F88" s="6"/>
      <c r="G88" s="26">
        <f t="shared" si="5"/>
        <v>40542.82075708804</v>
      </c>
    </row>
    <row r="89" spans="1:7" x14ac:dyDescent="0.25">
      <c r="A89" s="4">
        <v>100517679</v>
      </c>
      <c r="B89" s="5" t="s">
        <v>87</v>
      </c>
      <c r="C89" s="23">
        <f t="shared" si="8"/>
        <v>0</v>
      </c>
      <c r="D89" s="24" t="str">
        <f>+IF(C89&gt;=1,IF(ISERROR(VLOOKUP(A89,'[1]Resumen B. Even '!$A$13:$AM$111,26,0)),"",(VLOOKUP(A89,'[1]Resumen B. Even '!$A$13:$AM$111,26,0))),"")</f>
        <v/>
      </c>
      <c r="E89" s="25">
        <v>40725.454111689301</v>
      </c>
      <c r="F89" s="6">
        <v>0.13419958372055374</v>
      </c>
      <c r="G89" s="26">
        <f t="shared" si="5"/>
        <v>35260.115123070085</v>
      </c>
    </row>
    <row r="90" spans="1:7" x14ac:dyDescent="0.25">
      <c r="A90" s="4">
        <v>100021725</v>
      </c>
      <c r="B90" s="5" t="s">
        <v>88</v>
      </c>
      <c r="C90" s="23">
        <f t="shared" si="8"/>
        <v>0</v>
      </c>
      <c r="D90" s="24" t="str">
        <f>+IF(C90&gt;=1,IF(ISERROR(VLOOKUP(A90,'[1]Resumen B. Even '!$A$13:$AM$111,26,0)),"",(VLOOKUP(A90,'[1]Resumen B. Even '!$A$13:$AM$111,26,0))),"")</f>
        <v/>
      </c>
      <c r="E90" s="25">
        <v>32295.896444290342</v>
      </c>
      <c r="F90" s="6">
        <v>0.1341997973688881</v>
      </c>
      <c r="G90" s="26">
        <f t="shared" si="5"/>
        <v>27961.793685619985</v>
      </c>
    </row>
    <row r="91" spans="1:7" x14ac:dyDescent="0.25">
      <c r="A91" s="7" t="s">
        <v>89</v>
      </c>
      <c r="B91" s="7"/>
      <c r="C91" s="8">
        <f>+SUM(C92:C94)</f>
        <v>0</v>
      </c>
      <c r="D91" s="8">
        <f>SUM(D92:D93)</f>
        <v>0</v>
      </c>
      <c r="E91" s="27" t="e">
        <v>#N/A</v>
      </c>
      <c r="F91" s="9" t="e">
        <f t="shared" ca="1" si="3"/>
        <v>#VALUE!</v>
      </c>
      <c r="G91" s="28">
        <f t="shared" ca="1" si="5"/>
        <v>10344.092245684318</v>
      </c>
    </row>
    <row r="92" spans="1:7" x14ac:dyDescent="0.25">
      <c r="A92" s="13">
        <v>100518158</v>
      </c>
      <c r="B92" s="13" t="s">
        <v>90</v>
      </c>
      <c r="C92" s="23">
        <f t="shared" si="8"/>
        <v>0</v>
      </c>
      <c r="D92" s="24" t="str">
        <f>+IF(C92&gt;=1,IF(ISERROR(VLOOKUP(A92,'[1]Resumen B. Even '!$A:$AM,26,0)),"",(VLOOKUP(A92,'[1]Resumen B. Even '!$A:$AM,26,0))),"")</f>
        <v/>
      </c>
      <c r="E92" s="25">
        <v>77847.240735803804</v>
      </c>
      <c r="F92" s="6">
        <v>0</v>
      </c>
      <c r="G92" s="26">
        <f t="shared" si="5"/>
        <v>77847.240735803804</v>
      </c>
    </row>
    <row r="93" spans="1:7" x14ac:dyDescent="0.25">
      <c r="A93" s="13">
        <v>100518160</v>
      </c>
      <c r="B93" s="13" t="s">
        <v>91</v>
      </c>
      <c r="C93" s="23">
        <f t="shared" si="8"/>
        <v>0</v>
      </c>
      <c r="D93" s="24" t="str">
        <f>+IF(C93&gt;=1,IF(ISERROR(VLOOKUP(A93,'[1]Resumen B. Even '!$A:$AM,26,0)),"",(VLOOKUP(A93,'[1]Resumen B. Even '!$A:$AM,26,0))),"")</f>
        <v/>
      </c>
      <c r="E93" s="25">
        <v>77847.240735803804</v>
      </c>
      <c r="F93" s="6">
        <v>0</v>
      </c>
      <c r="G93" s="26">
        <f t="shared" si="5"/>
        <v>77847.240735803804</v>
      </c>
    </row>
    <row r="94" spans="1:7" x14ac:dyDescent="0.25">
      <c r="A94" s="13">
        <v>100518463</v>
      </c>
      <c r="B94" s="13" t="s">
        <v>92</v>
      </c>
      <c r="C94" s="23">
        <f t="shared" si="8"/>
        <v>0</v>
      </c>
      <c r="D94" s="24" t="str">
        <f>+IF(C94&gt;=1,IF(ISERROR(VLOOKUP(A94,'[1]Resumen B. Even '!$A:$AM,26,0)),"",(VLOOKUP(A94,'[1]Resumen B. Even '!$A:$AM,26,0))),"")</f>
        <v/>
      </c>
      <c r="E94" s="25">
        <v>37914.58267893146</v>
      </c>
      <c r="F94" s="6">
        <v>0</v>
      </c>
      <c r="G94" s="26">
        <f t="shared" si="5"/>
        <v>37914.58267893146</v>
      </c>
    </row>
    <row r="95" spans="1:7" x14ac:dyDescent="0.25">
      <c r="A95" s="7" t="s">
        <v>93</v>
      </c>
      <c r="B95" s="7"/>
      <c r="C95" s="8">
        <f>SUM(C96:C97)</f>
        <v>0</v>
      </c>
      <c r="D95" s="8">
        <f>SUM(D96:D97)</f>
        <v>0</v>
      </c>
      <c r="E95" s="27" t="e">
        <v>#N/A</v>
      </c>
      <c r="F95" s="9" t="e">
        <f t="shared" ca="1" si="3"/>
        <v>#VALUE!</v>
      </c>
      <c r="G95" s="28">
        <f t="shared" ca="1" si="5"/>
        <v>10344.092245684318</v>
      </c>
    </row>
    <row r="96" spans="1:7" x14ac:dyDescent="0.25">
      <c r="A96" s="13">
        <v>100518291</v>
      </c>
      <c r="B96" s="13" t="s">
        <v>94</v>
      </c>
      <c r="C96" s="23">
        <f>IF(E96="",0,IF(AE96&lt;1,0,IF(ISERROR(AE96/AT96),"",(AE96/AT96))))</f>
        <v>0</v>
      </c>
      <c r="D96" s="24" t="str">
        <f>+IF(C96&gt;=1,IF(ISERROR(VLOOKUP(A96,'[1]Resumen B. Even '!$A:$AM,26,0)),"",(VLOOKUP(A96,'[1]Resumen B. Even '!$A:$AM,26,0))),"")</f>
        <v/>
      </c>
      <c r="E96" s="25">
        <v>15621.022482215691</v>
      </c>
      <c r="F96" s="6">
        <v>0.15</v>
      </c>
      <c r="G96" s="26">
        <f t="shared" si="5"/>
        <v>13277.869109883337</v>
      </c>
    </row>
    <row r="97" spans="1:7" x14ac:dyDescent="0.25">
      <c r="A97" s="13">
        <v>100518292</v>
      </c>
      <c r="B97" s="13" t="s">
        <v>95</v>
      </c>
      <c r="C97" s="23">
        <f t="shared" ref="C97" si="9">IF(E97="",0,IF(AE97&lt;1,0,IF(ISERROR(AE97/AT97),"",(AE97/AT97))))</f>
        <v>0</v>
      </c>
      <c r="D97" s="24" t="str">
        <f>+IF(C97&gt;=1,IF(ISERROR(VLOOKUP(A97,'[1]Resumen B. Even '!$A:$AM,26,0)),"",(VLOOKUP(A97,'[1]Resumen B. Even '!$A:$AM,26,0))),"")</f>
        <v/>
      </c>
      <c r="E97" s="25">
        <v>36860.039080482988</v>
      </c>
      <c r="F97" s="6">
        <v>0.15</v>
      </c>
      <c r="G97" s="26">
        <f t="shared" si="5"/>
        <v>31331.033218410539</v>
      </c>
    </row>
    <row r="98" spans="1:7" x14ac:dyDescent="0.25">
      <c r="A98" s="7" t="s">
        <v>96</v>
      </c>
      <c r="B98" s="7"/>
      <c r="C98" s="8">
        <f>SUM(C99:C100)</f>
        <v>0</v>
      </c>
      <c r="D98" s="14">
        <f>SUM(D99:D100)</f>
        <v>0</v>
      </c>
      <c r="E98" s="27" t="e">
        <v>#N/A</v>
      </c>
      <c r="F98" s="9" t="e">
        <f t="shared" ca="1" si="3"/>
        <v>#VALUE!</v>
      </c>
      <c r="G98" s="28">
        <f t="shared" ca="1" si="5"/>
        <v>10344.092245684318</v>
      </c>
    </row>
    <row r="99" spans="1:7" x14ac:dyDescent="0.25">
      <c r="A99" s="13">
        <v>100517914</v>
      </c>
      <c r="B99" s="13" t="s">
        <v>97</v>
      </c>
      <c r="C99" s="23">
        <f>IF(E99="",0,IF(AE99&lt;1,0,IF(ISERROR(AE99/AT99),"",(AE99/AT99))))</f>
        <v>0</v>
      </c>
      <c r="D99" s="24" t="str">
        <f>+IF(C99&gt;=1,IF(ISERROR(VLOOKUP(A99,'[1]Resumen B. Even '!$A:$AM,26,0)),"",(VLOOKUP(A99,'[1]Resumen B. Even '!$A:$AM,26,0))),"")</f>
        <v/>
      </c>
      <c r="E99" s="25">
        <v>180910.07958400002</v>
      </c>
      <c r="F99" s="6">
        <v>0</v>
      </c>
      <c r="G99" s="26">
        <f t="shared" si="5"/>
        <v>180910.07958400002</v>
      </c>
    </row>
    <row r="100" spans="1:7" x14ac:dyDescent="0.25">
      <c r="A100" s="13">
        <v>100517915</v>
      </c>
      <c r="B100" s="13" t="s">
        <v>98</v>
      </c>
      <c r="C100" s="23">
        <f>IF(E100="",0,IF(AE100&lt;1,0,IF(ISERROR(AE100/AT100),"",(AE100/AT100))))</f>
        <v>0</v>
      </c>
      <c r="D100" s="24" t="str">
        <f>+IF(C100&gt;=1,IF(ISERROR(VLOOKUP(A100,'[1]Resumen B. Even '!$A:$AM,26,0)),"",(VLOOKUP(A100,'[1]Resumen B. Even '!$A:$AM,26,0))),"")</f>
        <v/>
      </c>
      <c r="E100" s="25">
        <v>165786.65084799999</v>
      </c>
      <c r="F100" s="6">
        <v>0</v>
      </c>
      <c r="G100" s="26">
        <f t="shared" si="5"/>
        <v>165786.65084799999</v>
      </c>
    </row>
    <row r="101" spans="1:7" x14ac:dyDescent="0.25">
      <c r="A101" s="7" t="s">
        <v>99</v>
      </c>
      <c r="B101" s="7"/>
      <c r="C101" s="8">
        <f>SUM(C102:C103)</f>
        <v>0</v>
      </c>
      <c r="D101" s="8">
        <f>SUM(D102:D103)</f>
        <v>0</v>
      </c>
      <c r="E101" s="27" t="e">
        <v>#N/A</v>
      </c>
      <c r="F101" s="9" t="e">
        <f t="shared" ref="F101:F108" ca="1" si="10">1-(E101/G101)</f>
        <v>#VALUE!</v>
      </c>
      <c r="G101" s="28">
        <f t="shared" ca="1" si="5"/>
        <v>10344.092245684318</v>
      </c>
    </row>
    <row r="102" spans="1:7" x14ac:dyDescent="0.25">
      <c r="A102" s="13">
        <v>100520837</v>
      </c>
      <c r="B102" s="13" t="s">
        <v>100</v>
      </c>
      <c r="C102" s="23">
        <f>IF(E102="",0,IF(AE102&lt;1,0,IF(ISERROR(AE102/AT102),"",(AE102/AT102))))</f>
        <v>0</v>
      </c>
      <c r="D102" s="24" t="str">
        <f>+IF(C102&gt;=1,IF(ISERROR(VLOOKUP(A102,'[1]Resumen B. Even '!$A:$AM,26,0)),"",(VLOOKUP(A102,'[1]Resumen B. Even '!$A:$AM,26,0))),"")</f>
        <v/>
      </c>
      <c r="E102" s="25">
        <v>36946.300453212476</v>
      </c>
      <c r="F102" s="6">
        <v>0</v>
      </c>
      <c r="G102" s="26">
        <f t="shared" si="5"/>
        <v>36946.300453212476</v>
      </c>
    </row>
    <row r="103" spans="1:7" x14ac:dyDescent="0.25">
      <c r="A103" s="13">
        <v>100522395</v>
      </c>
      <c r="B103" s="13" t="s">
        <v>101</v>
      </c>
      <c r="C103" s="23">
        <f>IF(E103="",0,IF(AE103&lt;1,0,IF(ISERROR(AE103/AT103),"",(AE103/AT103))))</f>
        <v>0</v>
      </c>
      <c r="D103" s="24" t="str">
        <f>+IF(C103&gt;=1,IF(ISERROR(VLOOKUP(A103,'[1]Resumen B. Even '!$A:$AM,26,0)),"",(VLOOKUP(A103,'[1]Resumen B. Even '!$A:$AM,26,0))),"")</f>
        <v/>
      </c>
      <c r="E103" s="25">
        <v>37685.226462276725</v>
      </c>
      <c r="F103" s="6">
        <v>0.5</v>
      </c>
      <c r="G103" s="26">
        <f t="shared" si="5"/>
        <v>18842.613231138363</v>
      </c>
    </row>
    <row r="104" spans="1:7" x14ac:dyDescent="0.25">
      <c r="A104" s="7" t="s">
        <v>102</v>
      </c>
      <c r="B104" s="7"/>
      <c r="C104" s="8">
        <f>+C105</f>
        <v>0</v>
      </c>
      <c r="D104" s="8">
        <f>SUM(D105)</f>
        <v>0</v>
      </c>
      <c r="E104" s="27" t="e">
        <v>#N/A</v>
      </c>
      <c r="F104" s="9">
        <v>0</v>
      </c>
      <c r="G104" s="28" t="e">
        <f t="shared" si="5"/>
        <v>#N/A</v>
      </c>
    </row>
    <row r="105" spans="1:7" ht="15.75" thickBot="1" x14ac:dyDescent="0.3">
      <c r="A105" s="13">
        <v>100520902</v>
      </c>
      <c r="B105" s="13" t="s">
        <v>103</v>
      </c>
      <c r="C105" s="23">
        <f>IF(E105="",0,IF(AE105&lt;1,0,IF(ISERROR(AE105/AT105),"",(AE105/AT105))))</f>
        <v>0</v>
      </c>
      <c r="D105" s="24" t="str">
        <f>+IF(C105&gt;=1,IF(ISERROR(VLOOKUP(A105,'[1]Resumen B. Even '!$A:$AM,26,0)),"",(VLOOKUP(A105,'[1]Resumen B. Even '!$A:$AM,26,0))),"")</f>
        <v/>
      </c>
      <c r="E105" s="25">
        <v>33422.0359329977</v>
      </c>
      <c r="F105" s="6">
        <v>0.13</v>
      </c>
      <c r="G105" s="26">
        <f t="shared" si="5"/>
        <v>29077.171261707997</v>
      </c>
    </row>
    <row r="106" spans="1:7" x14ac:dyDescent="0.25">
      <c r="A106" s="7" t="s">
        <v>104</v>
      </c>
      <c r="B106" s="7"/>
      <c r="C106" s="8">
        <f>+C107</f>
        <v>1</v>
      </c>
      <c r="D106" s="8">
        <f>SUM(D107)</f>
        <v>8.16</v>
      </c>
      <c r="E106" s="27" t="e">
        <v>#N/A</v>
      </c>
      <c r="F106" s="15">
        <f>+IFERROR((E107*F107)/C107,0)</f>
        <v>0</v>
      </c>
      <c r="G106" s="16"/>
    </row>
    <row r="107" spans="1:7" x14ac:dyDescent="0.25">
      <c r="A107" s="17">
        <v>100522246</v>
      </c>
      <c r="B107" s="17" t="s">
        <v>105</v>
      </c>
      <c r="C107" s="18">
        <v>1</v>
      </c>
      <c r="D107" s="19">
        <v>8.16</v>
      </c>
      <c r="E107" s="25">
        <v>89234.946871310502</v>
      </c>
      <c r="F107" s="20"/>
      <c r="G107" s="21">
        <f t="shared" ref="G107:G108" si="11">IF(ISERROR(E107-(E107*F107)),0,+E107-(E107*F107))</f>
        <v>89234.946871310502</v>
      </c>
    </row>
    <row r="108" spans="1:7" x14ac:dyDescent="0.25">
      <c r="A108" s="17">
        <v>100522247</v>
      </c>
      <c r="B108" s="17" t="s">
        <v>106</v>
      </c>
      <c r="C108" s="18">
        <v>1</v>
      </c>
      <c r="D108" s="19">
        <v>8.16</v>
      </c>
      <c r="E108" s="25">
        <v>89234.946871310502</v>
      </c>
      <c r="F108" s="20"/>
      <c r="G108" s="21">
        <f t="shared" si="11"/>
        <v>89234.946871310502</v>
      </c>
    </row>
  </sheetData>
  <mergeCells count="11">
    <mergeCell ref="A95:B95"/>
    <mergeCell ref="A98:B98"/>
    <mergeCell ref="A101:B101"/>
    <mergeCell ref="A104:B104"/>
    <mergeCell ref="A106:B106"/>
    <mergeCell ref="A2:B2"/>
    <mergeCell ref="A35:B35"/>
    <mergeCell ref="A45:B45"/>
    <mergeCell ref="A68:B68"/>
    <mergeCell ref="A77:B77"/>
    <mergeCell ref="A91:B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Swift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Gentile</dc:creator>
  <cp:lastModifiedBy>Nicolas Gentile</cp:lastModifiedBy>
  <dcterms:created xsi:type="dcterms:W3CDTF">2026-01-23T17:30:08Z</dcterms:created>
  <dcterms:modified xsi:type="dcterms:W3CDTF">2026-01-23T20:53:05Z</dcterms:modified>
</cp:coreProperties>
</file>