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0" documentId="8_{EA8D505C-8D5F-4027-81B6-A111365EE02A}" xr6:coauthVersionLast="47" xr6:coauthVersionMax="47" xr10:uidLastSave="{00000000-0000-0000-0000-000000000000}"/>
  <bookViews>
    <workbookView xWindow="-120" yWindow="-120" windowWidth="20730" windowHeight="11040" xr2:uid="{0222ACF9-068E-4B9B-87F6-A185C33F0E5E}"/>
  </bookViews>
  <sheets>
    <sheet name="Litoral" sheetId="1" r:id="rId1"/>
    <sheet name="Sub Litoral" sheetId="4" state="hidden" r:id="rId2"/>
    <sheet name="Sub NEA" sheetId="5" state="hidden" r:id="rId3"/>
    <sheet name="Sub NOA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1" l="1"/>
  <c r="H107" i="1" s="1"/>
  <c r="I107" i="1" s="1"/>
  <c r="F106" i="1"/>
  <c r="H106" i="1" s="1"/>
  <c r="I106" i="1" s="1"/>
  <c r="G33" i="1"/>
  <c r="G32" i="1"/>
  <c r="F33" i="1"/>
  <c r="F31" i="1"/>
  <c r="F30" i="1"/>
  <c r="G107" i="1"/>
  <c r="G106" i="1"/>
  <c r="P97" i="4"/>
  <c r="G97" i="4"/>
  <c r="P97" i="5"/>
  <c r="G97" i="5"/>
  <c r="P97" i="6"/>
  <c r="G97" i="6"/>
  <c r="J106" i="1" l="1"/>
  <c r="K106" i="1" s="1"/>
  <c r="J107" i="1"/>
  <c r="K107" i="1" s="1"/>
  <c r="G38" i="4"/>
  <c r="G37" i="4"/>
  <c r="G35" i="4"/>
  <c r="H72" i="1"/>
  <c r="I72" i="1" s="1"/>
  <c r="L107" i="1" l="1"/>
  <c r="M107" i="1" s="1"/>
  <c r="L106" i="1"/>
  <c r="M106" i="1" s="1"/>
  <c r="J72" i="1"/>
  <c r="K72" i="1" s="1"/>
  <c r="L72" i="1" s="1"/>
  <c r="N106" i="1" l="1"/>
  <c r="O106" i="1" s="1"/>
  <c r="N107" i="1"/>
  <c r="O107" i="1" s="1"/>
  <c r="M72" i="1"/>
  <c r="G36" i="6"/>
  <c r="I36" i="6" s="1"/>
  <c r="J36" i="6" s="1"/>
  <c r="G31" i="6"/>
  <c r="I31" i="6" s="1"/>
  <c r="J31" i="6" s="1"/>
  <c r="K31" i="6" s="1"/>
  <c r="L31" i="6" s="1"/>
  <c r="H99" i="6"/>
  <c r="G33" i="6"/>
  <c r="I33" i="6" s="1"/>
  <c r="J33" i="6" s="1"/>
  <c r="H99" i="5"/>
  <c r="P36" i="5"/>
  <c r="P33" i="5"/>
  <c r="P31" i="5"/>
  <c r="G36" i="5"/>
  <c r="I36" i="5" s="1"/>
  <c r="J36" i="5" s="1"/>
  <c r="G33" i="5"/>
  <c r="I33" i="5" s="1"/>
  <c r="J33" i="5" s="1"/>
  <c r="G31" i="5"/>
  <c r="I31" i="5" s="1"/>
  <c r="J31" i="5" s="1"/>
  <c r="H99" i="4"/>
  <c r="I11" i="4"/>
  <c r="I12" i="4"/>
  <c r="I13" i="4"/>
  <c r="I14" i="4"/>
  <c r="I15" i="4"/>
  <c r="I16" i="4"/>
  <c r="P36" i="4"/>
  <c r="G36" i="4"/>
  <c r="I36" i="4" s="1"/>
  <c r="J36" i="4" s="1"/>
  <c r="N72" i="1" l="1"/>
  <c r="O72" i="1" s="1"/>
  <c r="K36" i="6"/>
  <c r="L36" i="6" s="1"/>
  <c r="K36" i="4"/>
  <c r="L36" i="4" s="1"/>
  <c r="K36" i="5"/>
  <c r="L36" i="5" s="1"/>
  <c r="K33" i="6"/>
  <c r="L33" i="6" s="1"/>
  <c r="K33" i="5"/>
  <c r="L33" i="5" s="1"/>
  <c r="M31" i="6"/>
  <c r="N31" i="6" s="1"/>
  <c r="K31" i="5"/>
  <c r="L31" i="5" s="1"/>
  <c r="O31" i="6" l="1"/>
  <c r="P31" i="6"/>
  <c r="M36" i="4"/>
  <c r="N36" i="4" s="1"/>
  <c r="O36" i="4" s="1"/>
  <c r="M36" i="5"/>
  <c r="N36" i="5" s="1"/>
  <c r="O36" i="5" s="1"/>
  <c r="M36" i="6"/>
  <c r="N36" i="6" s="1"/>
  <c r="M33" i="6"/>
  <c r="N33" i="6" s="1"/>
  <c r="M33" i="5"/>
  <c r="N33" i="5" s="1"/>
  <c r="O33" i="5" s="1"/>
  <c r="M31" i="5"/>
  <c r="N31" i="5" s="1"/>
  <c r="O31" i="5" s="1"/>
  <c r="O33" i="6" l="1"/>
  <c r="P33" i="6"/>
  <c r="O36" i="6"/>
  <c r="P36" i="6" s="1"/>
  <c r="G31" i="1" l="1"/>
  <c r="G30" i="1"/>
  <c r="H33" i="1"/>
  <c r="P33" i="1" s="1"/>
  <c r="H36" i="1"/>
  <c r="I36" i="1" s="1"/>
  <c r="I33" i="1" l="1"/>
  <c r="J33" i="1" s="1"/>
  <c r="K33" i="1" s="1"/>
  <c r="L33" i="1" s="1"/>
  <c r="G33" i="4"/>
  <c r="I33" i="4" s="1"/>
  <c r="J33" i="4" s="1"/>
  <c r="K33" i="4" s="1"/>
  <c r="L33" i="4" s="1"/>
  <c r="M33" i="4" s="1"/>
  <c r="N33" i="4" s="1"/>
  <c r="H31" i="1"/>
  <c r="P31" i="1" s="1"/>
  <c r="J36" i="1"/>
  <c r="K36" i="1" s="1"/>
  <c r="O33" i="4" l="1"/>
  <c r="P33" i="4"/>
  <c r="I31" i="1"/>
  <c r="J31" i="1" s="1"/>
  <c r="K31" i="1" s="1"/>
  <c r="L31" i="1" s="1"/>
  <c r="M31" i="1" s="1"/>
  <c r="N31" i="1" s="1"/>
  <c r="G31" i="4"/>
  <c r="I31" i="4" s="1"/>
  <c r="J31" i="4" s="1"/>
  <c r="K31" i="4" s="1"/>
  <c r="L31" i="4" s="1"/>
  <c r="M31" i="4" s="1"/>
  <c r="N31" i="4" s="1"/>
  <c r="M33" i="1"/>
  <c r="L36" i="1"/>
  <c r="M36" i="1"/>
  <c r="O31" i="4" l="1"/>
  <c r="P31" i="4" s="1"/>
  <c r="O31" i="1"/>
  <c r="N33" i="1"/>
  <c r="O33" i="1" s="1"/>
  <c r="N36" i="1"/>
  <c r="O36" i="1" s="1"/>
  <c r="F97" i="1" l="1"/>
  <c r="H97" i="1" s="1"/>
  <c r="I97" i="1" s="1"/>
  <c r="I97" i="4"/>
  <c r="J97" i="4" s="1"/>
  <c r="I97" i="5"/>
  <c r="J97" i="5" s="1"/>
  <c r="I97" i="6"/>
  <c r="J97" i="6" s="1"/>
  <c r="F19" i="1"/>
  <c r="F11" i="1"/>
  <c r="F4" i="1"/>
  <c r="F5" i="1"/>
  <c r="K97" i="4" l="1"/>
  <c r="L97" i="4" s="1"/>
  <c r="J97" i="1"/>
  <c r="K97" i="1" s="1"/>
  <c r="K97" i="6"/>
  <c r="L97" i="6" s="1"/>
  <c r="K97" i="5"/>
  <c r="L97" i="5" s="1"/>
  <c r="M97" i="6" l="1"/>
  <c r="N97" i="6" s="1"/>
  <c r="O97" i="6" s="1"/>
  <c r="M97" i="5"/>
  <c r="N97" i="5" s="1"/>
  <c r="O97" i="5" s="1"/>
  <c r="L97" i="1"/>
  <c r="M97" i="1" s="1"/>
  <c r="M97" i="4"/>
  <c r="N97" i="4" s="1"/>
  <c r="O97" i="4" s="1"/>
  <c r="N97" i="1" l="1"/>
  <c r="O97" i="1" s="1"/>
  <c r="G104" i="5" l="1"/>
  <c r="G103" i="5"/>
  <c r="G65" i="4"/>
  <c r="P100" i="1" l="1"/>
  <c r="AN107" i="1" l="1"/>
  <c r="AN106" i="1"/>
  <c r="AN105" i="1"/>
  <c r="AN100" i="1"/>
  <c r="G43" i="4" l="1"/>
  <c r="G42" i="4"/>
  <c r="G104" i="4"/>
  <c r="G103" i="4"/>
  <c r="G102" i="4"/>
  <c r="G67" i="6"/>
  <c r="I67" i="6" s="1"/>
  <c r="J67" i="6" s="1"/>
  <c r="G67" i="5"/>
  <c r="I67" i="5" s="1"/>
  <c r="J67" i="5" s="1"/>
  <c r="G67" i="4"/>
  <c r="I67" i="4" s="1"/>
  <c r="J67" i="4" s="1"/>
  <c r="G94" i="6"/>
  <c r="I94" i="6" s="1"/>
  <c r="J94" i="6" s="1"/>
  <c r="G43" i="6"/>
  <c r="G42" i="6"/>
  <c r="G104" i="6"/>
  <c r="G103" i="6"/>
  <c r="G102" i="6"/>
  <c r="K67" i="6" l="1"/>
  <c r="L67" i="6" s="1"/>
  <c r="K67" i="5"/>
  <c r="L67" i="5" s="1"/>
  <c r="K67" i="4"/>
  <c r="L67" i="4" s="1"/>
  <c r="K94" i="6"/>
  <c r="L94" i="6" s="1"/>
  <c r="M67" i="6" l="1"/>
  <c r="N67" i="6" s="1"/>
  <c r="M67" i="5"/>
  <c r="N67" i="5" s="1"/>
  <c r="M67" i="4"/>
  <c r="N67" i="4" s="1"/>
  <c r="M94" i="6"/>
  <c r="N94" i="6" s="1"/>
  <c r="O67" i="6" l="1"/>
  <c r="P67" i="6" s="1"/>
  <c r="O67" i="5"/>
  <c r="P67" i="5" s="1"/>
  <c r="O67" i="4"/>
  <c r="P67" i="4" s="1"/>
  <c r="O94" i="6"/>
  <c r="P94" i="6" s="1"/>
  <c r="G94" i="4" l="1"/>
  <c r="I94" i="4" s="1"/>
  <c r="J94" i="4" s="1"/>
  <c r="G94" i="5"/>
  <c r="I94" i="5" s="1"/>
  <c r="J94" i="5" s="1"/>
  <c r="F94" i="1"/>
  <c r="I43" i="4"/>
  <c r="J43" i="4" s="1"/>
  <c r="G43" i="5"/>
  <c r="I43" i="5" s="1"/>
  <c r="J43" i="5" s="1"/>
  <c r="I43" i="6"/>
  <c r="J43" i="6" s="1"/>
  <c r="F43" i="1"/>
  <c r="I42" i="4"/>
  <c r="J42" i="4" s="1"/>
  <c r="G42" i="5"/>
  <c r="I42" i="5" s="1"/>
  <c r="J42" i="5" s="1"/>
  <c r="I42" i="6"/>
  <c r="J42" i="6" s="1"/>
  <c r="F42" i="1"/>
  <c r="H42" i="1" l="1"/>
  <c r="H43" i="1"/>
  <c r="H94" i="1"/>
  <c r="K94" i="5"/>
  <c r="L94" i="5" s="1"/>
  <c r="K94" i="4"/>
  <c r="L94" i="4" s="1"/>
  <c r="K43" i="6"/>
  <c r="L43" i="6" s="1"/>
  <c r="K43" i="5"/>
  <c r="L43" i="5" s="1"/>
  <c r="K43" i="4"/>
  <c r="L43" i="4" s="1"/>
  <c r="K42" i="5"/>
  <c r="L42" i="5" s="1"/>
  <c r="K42" i="4"/>
  <c r="L42" i="4" s="1"/>
  <c r="K42" i="6"/>
  <c r="L42" i="6" s="1"/>
  <c r="I43" i="1" l="1"/>
  <c r="J43" i="1" s="1"/>
  <c r="K43" i="1" s="1"/>
  <c r="L43" i="1" s="1"/>
  <c r="M43" i="1" s="1"/>
  <c r="P43" i="1"/>
  <c r="AN43" i="1"/>
  <c r="I42" i="1"/>
  <c r="J42" i="1" s="1"/>
  <c r="K42" i="1" s="1"/>
  <c r="L42" i="1" s="1"/>
  <c r="M42" i="1" s="1"/>
  <c r="P42" i="1"/>
  <c r="AN42" i="1"/>
  <c r="I94" i="1"/>
  <c r="J94" i="1" s="1"/>
  <c r="K94" i="1" s="1"/>
  <c r="L94" i="1" s="1"/>
  <c r="P94" i="1"/>
  <c r="AN94" i="1"/>
  <c r="M94" i="4"/>
  <c r="N94" i="4" s="1"/>
  <c r="M94" i="5"/>
  <c r="N94" i="5" s="1"/>
  <c r="M43" i="5"/>
  <c r="N43" i="5" s="1"/>
  <c r="M43" i="4"/>
  <c r="N43" i="4" s="1"/>
  <c r="M43" i="6"/>
  <c r="N43" i="6" s="1"/>
  <c r="M42" i="6"/>
  <c r="N42" i="6" s="1"/>
  <c r="M42" i="4"/>
  <c r="N42" i="4" s="1"/>
  <c r="M42" i="5"/>
  <c r="N42" i="5" s="1"/>
  <c r="Y46" i="1"/>
  <c r="Y47" i="1" s="1"/>
  <c r="Y39" i="1"/>
  <c r="Y40" i="1" s="1"/>
  <c r="F67" i="1"/>
  <c r="F104" i="1"/>
  <c r="F103" i="1"/>
  <c r="F102" i="1"/>
  <c r="F101" i="1"/>
  <c r="F100" i="1"/>
  <c r="F99" i="1"/>
  <c r="F98" i="1"/>
  <c r="F96" i="1"/>
  <c r="F95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1" i="1"/>
  <c r="F70" i="1"/>
  <c r="F69" i="1"/>
  <c r="F68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1" i="1"/>
  <c r="F40" i="1"/>
  <c r="F39" i="1"/>
  <c r="F38" i="1"/>
  <c r="F37" i="1"/>
  <c r="H37" i="1" s="1"/>
  <c r="F35" i="1"/>
  <c r="F34" i="1"/>
  <c r="F32" i="1"/>
  <c r="F29" i="1"/>
  <c r="F28" i="1"/>
  <c r="F27" i="1"/>
  <c r="F26" i="1"/>
  <c r="F25" i="1"/>
  <c r="F24" i="1"/>
  <c r="F23" i="1"/>
  <c r="F22" i="1"/>
  <c r="F21" i="1"/>
  <c r="F20" i="1"/>
  <c r="F18" i="1"/>
  <c r="F17" i="1"/>
  <c r="F16" i="1"/>
  <c r="F15" i="1"/>
  <c r="F14" i="1"/>
  <c r="F13" i="1"/>
  <c r="F12" i="1"/>
  <c r="F10" i="1"/>
  <c r="F9" i="1"/>
  <c r="F8" i="1"/>
  <c r="F7" i="1"/>
  <c r="F6" i="1"/>
  <c r="G4" i="6"/>
  <c r="I72" i="6"/>
  <c r="J72" i="6" s="1"/>
  <c r="G68" i="6"/>
  <c r="I68" i="6" s="1"/>
  <c r="J68" i="6" s="1"/>
  <c r="G66" i="6"/>
  <c r="I66" i="6" s="1"/>
  <c r="J66" i="6" s="1"/>
  <c r="I72" i="5"/>
  <c r="J72" i="5" s="1"/>
  <c r="G68" i="5"/>
  <c r="I68" i="5" s="1"/>
  <c r="J68" i="5" s="1"/>
  <c r="G66" i="5"/>
  <c r="I66" i="5" s="1"/>
  <c r="J66" i="5" s="1"/>
  <c r="I72" i="4"/>
  <c r="J72" i="4" s="1"/>
  <c r="G68" i="4"/>
  <c r="I68" i="4" s="1"/>
  <c r="J68" i="4" s="1"/>
  <c r="G66" i="4"/>
  <c r="I66" i="4" s="1"/>
  <c r="J66" i="4" s="1"/>
  <c r="O94" i="5" l="1"/>
  <c r="P94" i="5" s="1"/>
  <c r="O94" i="4"/>
  <c r="P94" i="4" s="1"/>
  <c r="M94" i="1"/>
  <c r="N94" i="1" s="1"/>
  <c r="O94" i="1" s="1"/>
  <c r="O43" i="5"/>
  <c r="P43" i="5" s="1"/>
  <c r="O42" i="5"/>
  <c r="P42" i="5" s="1"/>
  <c r="O43" i="4"/>
  <c r="P43" i="4" s="1"/>
  <c r="O42" i="4"/>
  <c r="P42" i="4" s="1"/>
  <c r="H68" i="1"/>
  <c r="H66" i="1"/>
  <c r="H101" i="1"/>
  <c r="H102" i="1"/>
  <c r="H67" i="1"/>
  <c r="H103" i="1"/>
  <c r="H104" i="1"/>
  <c r="Y48" i="1"/>
  <c r="Y49" i="1" s="1"/>
  <c r="O42" i="6"/>
  <c r="P42" i="6" s="1"/>
  <c r="O43" i="6"/>
  <c r="P43" i="6" s="1"/>
  <c r="Y41" i="1"/>
  <c r="Y44" i="1" s="1"/>
  <c r="N43" i="1"/>
  <c r="O43" i="1" s="1"/>
  <c r="N42" i="1"/>
  <c r="O42" i="1" s="1"/>
  <c r="S66" i="4"/>
  <c r="S68" i="4"/>
  <c r="S72" i="4"/>
  <c r="K66" i="6"/>
  <c r="L66" i="6" s="1"/>
  <c r="K68" i="6"/>
  <c r="L68" i="6" s="1"/>
  <c r="K72" i="6"/>
  <c r="L72" i="6" s="1"/>
  <c r="K72" i="5"/>
  <c r="L72" i="5" s="1"/>
  <c r="K66" i="5"/>
  <c r="L66" i="5" s="1"/>
  <c r="K68" i="5"/>
  <c r="L68" i="5" s="1"/>
  <c r="K72" i="4"/>
  <c r="L72" i="4" s="1"/>
  <c r="K68" i="4"/>
  <c r="L68" i="4" s="1"/>
  <c r="K66" i="4"/>
  <c r="L66" i="4" s="1"/>
  <c r="P101" i="1" l="1"/>
  <c r="AN101" i="1"/>
  <c r="P72" i="1"/>
  <c r="AN72" i="1"/>
  <c r="P67" i="1"/>
  <c r="AN67" i="1"/>
  <c r="P104" i="1"/>
  <c r="AN104" i="1"/>
  <c r="P102" i="1"/>
  <c r="AN102" i="1"/>
  <c r="P103" i="1"/>
  <c r="AN103" i="1"/>
  <c r="P68" i="1"/>
  <c r="AN68" i="1"/>
  <c r="P66" i="1"/>
  <c r="AN66" i="1"/>
  <c r="P37" i="1"/>
  <c r="AN37" i="1"/>
  <c r="I67" i="1"/>
  <c r="J67" i="1" s="1"/>
  <c r="K67" i="1" s="1"/>
  <c r="L67" i="1" s="1"/>
  <c r="M67" i="1" s="1"/>
  <c r="AG67" i="1"/>
  <c r="I66" i="1"/>
  <c r="J66" i="1" s="1"/>
  <c r="K66" i="1" s="1"/>
  <c r="L66" i="1" s="1"/>
  <c r="M66" i="1" s="1"/>
  <c r="AG66" i="1"/>
  <c r="I68" i="1"/>
  <c r="J68" i="1" s="1"/>
  <c r="K68" i="1" s="1"/>
  <c r="L68" i="1" s="1"/>
  <c r="M68" i="1" s="1"/>
  <c r="N68" i="1" s="1"/>
  <c r="O68" i="1" s="1"/>
  <c r="AG68" i="1"/>
  <c r="M68" i="6"/>
  <c r="N68" i="6" s="1"/>
  <c r="M66" i="6"/>
  <c r="N66" i="6" s="1"/>
  <c r="M72" i="6"/>
  <c r="N72" i="6" s="1"/>
  <c r="M72" i="5"/>
  <c r="N72" i="5" s="1"/>
  <c r="M68" i="5"/>
  <c r="N68" i="5" s="1"/>
  <c r="M66" i="5"/>
  <c r="N66" i="5" s="1"/>
  <c r="M72" i="4"/>
  <c r="N72" i="4" s="1"/>
  <c r="M68" i="4"/>
  <c r="N68" i="4" s="1"/>
  <c r="M66" i="4"/>
  <c r="N66" i="4" s="1"/>
  <c r="N67" i="1" l="1"/>
  <c r="O67" i="1" s="1"/>
  <c r="O68" i="6"/>
  <c r="P68" i="6" s="1"/>
  <c r="O66" i="6"/>
  <c r="P66" i="6" s="1"/>
  <c r="O72" i="6"/>
  <c r="P72" i="6" s="1"/>
  <c r="O72" i="5"/>
  <c r="P72" i="5" s="1"/>
  <c r="O68" i="5"/>
  <c r="P68" i="5" s="1"/>
  <c r="O66" i="5"/>
  <c r="P66" i="5" s="1"/>
  <c r="O72" i="4"/>
  <c r="P72" i="4" s="1"/>
  <c r="O68" i="4"/>
  <c r="P68" i="4" s="1"/>
  <c r="O66" i="4"/>
  <c r="P66" i="4" s="1"/>
  <c r="N66" i="1"/>
  <c r="O66" i="1" s="1"/>
  <c r="Z104" i="1" l="1"/>
  <c r="AA104" i="1" s="1"/>
  <c r="AB104" i="1" s="1"/>
  <c r="Z103" i="1"/>
  <c r="AA103" i="1" s="1"/>
  <c r="AB103" i="1" s="1"/>
  <c r="Z102" i="1"/>
  <c r="AA102" i="1" s="1"/>
  <c r="AB102" i="1" s="1"/>
  <c r="Z101" i="1"/>
  <c r="AA101" i="1" s="1"/>
  <c r="AB101" i="1" s="1"/>
  <c r="AG104" i="1"/>
  <c r="AG103" i="1"/>
  <c r="AG102" i="1"/>
  <c r="AG101" i="1"/>
  <c r="J104" i="6" l="1"/>
  <c r="J103" i="6"/>
  <c r="K103" i="6" s="1"/>
  <c r="L103" i="6" s="1"/>
  <c r="J102" i="6"/>
  <c r="G101" i="6"/>
  <c r="J101" i="6" s="1"/>
  <c r="I101" i="6" l="1"/>
  <c r="S101" i="6" s="1"/>
  <c r="I102" i="6"/>
  <c r="S102" i="6" s="1"/>
  <c r="I103" i="6"/>
  <c r="S103" i="6" s="1"/>
  <c r="I104" i="6"/>
  <c r="S104" i="6" s="1"/>
  <c r="M103" i="6"/>
  <c r="N103" i="6" s="1"/>
  <c r="K104" i="6"/>
  <c r="L104" i="6" s="1"/>
  <c r="K102" i="6"/>
  <c r="L102" i="6" s="1"/>
  <c r="K101" i="6"/>
  <c r="L101" i="6" s="1"/>
  <c r="G99" i="6"/>
  <c r="I99" i="6" s="1"/>
  <c r="S99" i="6" s="1"/>
  <c r="G98" i="6"/>
  <c r="I98" i="6" s="1"/>
  <c r="S98" i="6" s="1"/>
  <c r="G96" i="6"/>
  <c r="I96" i="6" s="1"/>
  <c r="S96" i="6" s="1"/>
  <c r="G95" i="6"/>
  <c r="I95" i="6" s="1"/>
  <c r="S95" i="6" s="1"/>
  <c r="G93" i="6"/>
  <c r="G92" i="6"/>
  <c r="I92" i="6" s="1"/>
  <c r="S92" i="6" s="1"/>
  <c r="G91" i="6"/>
  <c r="I91" i="6" s="1"/>
  <c r="S91" i="6" s="1"/>
  <c r="G90" i="6"/>
  <c r="I90" i="6" s="1"/>
  <c r="S90" i="6" s="1"/>
  <c r="G89" i="6"/>
  <c r="I89" i="6" s="1"/>
  <c r="S89" i="6" s="1"/>
  <c r="G88" i="6"/>
  <c r="I88" i="6" s="1"/>
  <c r="S88" i="6" s="1"/>
  <c r="G87" i="6"/>
  <c r="I87" i="6" s="1"/>
  <c r="S87" i="6" s="1"/>
  <c r="G86" i="6"/>
  <c r="I86" i="6" s="1"/>
  <c r="S86" i="6" s="1"/>
  <c r="G85" i="6"/>
  <c r="I85" i="6" s="1"/>
  <c r="S85" i="6" s="1"/>
  <c r="G84" i="6"/>
  <c r="I84" i="6" s="1"/>
  <c r="S84" i="6" s="1"/>
  <c r="G83" i="6"/>
  <c r="I83" i="6" s="1"/>
  <c r="S83" i="6" s="1"/>
  <c r="G82" i="6"/>
  <c r="I82" i="6" s="1"/>
  <c r="S82" i="6" s="1"/>
  <c r="G81" i="6"/>
  <c r="G80" i="6"/>
  <c r="I80" i="6" s="1"/>
  <c r="S80" i="6" s="1"/>
  <c r="G79" i="6"/>
  <c r="I79" i="6" s="1"/>
  <c r="S79" i="6" s="1"/>
  <c r="G78" i="6"/>
  <c r="I78" i="6" s="1"/>
  <c r="S78" i="6" s="1"/>
  <c r="G77" i="6"/>
  <c r="I77" i="6" s="1"/>
  <c r="S77" i="6" s="1"/>
  <c r="G76" i="6"/>
  <c r="I76" i="6" s="1"/>
  <c r="S76" i="6" s="1"/>
  <c r="G75" i="6"/>
  <c r="I75" i="6" s="1"/>
  <c r="S75" i="6" s="1"/>
  <c r="G74" i="6"/>
  <c r="I74" i="6" s="1"/>
  <c r="S74" i="6" s="1"/>
  <c r="G73" i="6"/>
  <c r="I73" i="6" s="1"/>
  <c r="S73" i="6" s="1"/>
  <c r="G71" i="6"/>
  <c r="I71" i="6" s="1"/>
  <c r="S71" i="6" s="1"/>
  <c r="G70" i="6"/>
  <c r="I70" i="6" s="1"/>
  <c r="S70" i="6" s="1"/>
  <c r="G69" i="6"/>
  <c r="I69" i="6" s="1"/>
  <c r="S69" i="6" s="1"/>
  <c r="G65" i="6"/>
  <c r="G65" i="5" s="1"/>
  <c r="G64" i="6"/>
  <c r="I64" i="6" s="1"/>
  <c r="S64" i="6" s="1"/>
  <c r="G63" i="6"/>
  <c r="I63" i="6" s="1"/>
  <c r="S63" i="6" s="1"/>
  <c r="G62" i="6"/>
  <c r="I62" i="6" s="1"/>
  <c r="S62" i="6" s="1"/>
  <c r="G61" i="6"/>
  <c r="I61" i="6" s="1"/>
  <c r="S61" i="6" s="1"/>
  <c r="G60" i="6"/>
  <c r="I60" i="6" s="1"/>
  <c r="S60" i="6" s="1"/>
  <c r="G59" i="6"/>
  <c r="I59" i="6" s="1"/>
  <c r="S59" i="6" s="1"/>
  <c r="G58" i="6"/>
  <c r="I58" i="6" s="1"/>
  <c r="S58" i="6" s="1"/>
  <c r="G57" i="6"/>
  <c r="I57" i="6" s="1"/>
  <c r="S57" i="6" s="1"/>
  <c r="G56" i="6"/>
  <c r="I56" i="6" s="1"/>
  <c r="S56" i="6" s="1"/>
  <c r="G55" i="6"/>
  <c r="I55" i="6" s="1"/>
  <c r="S55" i="6" s="1"/>
  <c r="G54" i="6"/>
  <c r="I54" i="6" s="1"/>
  <c r="S54" i="6" s="1"/>
  <c r="G53" i="6"/>
  <c r="G52" i="6"/>
  <c r="I52" i="6" s="1"/>
  <c r="S52" i="6" s="1"/>
  <c r="G51" i="6"/>
  <c r="I51" i="6" s="1"/>
  <c r="S51" i="6" s="1"/>
  <c r="G50" i="6"/>
  <c r="I50" i="6" s="1"/>
  <c r="S50" i="6" s="1"/>
  <c r="G49" i="6"/>
  <c r="I49" i="6" s="1"/>
  <c r="S49" i="6" s="1"/>
  <c r="G48" i="6"/>
  <c r="I48" i="6" s="1"/>
  <c r="S48" i="6" s="1"/>
  <c r="G47" i="6"/>
  <c r="I47" i="6" s="1"/>
  <c r="S47" i="6" s="1"/>
  <c r="G46" i="6"/>
  <c r="I46" i="6" s="1"/>
  <c r="S46" i="6" s="1"/>
  <c r="G45" i="6"/>
  <c r="I45" i="6" s="1"/>
  <c r="S45" i="6" s="1"/>
  <c r="G44" i="6"/>
  <c r="I44" i="6" s="1"/>
  <c r="S44" i="6" s="1"/>
  <c r="G41" i="6"/>
  <c r="I41" i="6" s="1"/>
  <c r="S41" i="6" s="1"/>
  <c r="G40" i="6"/>
  <c r="I40" i="6" s="1"/>
  <c r="S40" i="6" s="1"/>
  <c r="G39" i="6"/>
  <c r="I39" i="6" s="1"/>
  <c r="S39" i="6" s="1"/>
  <c r="G38" i="6"/>
  <c r="I38" i="6" s="1"/>
  <c r="S38" i="6" s="1"/>
  <c r="G37" i="6"/>
  <c r="I37" i="6" s="1"/>
  <c r="S37" i="6" s="1"/>
  <c r="G35" i="6"/>
  <c r="I35" i="6" s="1"/>
  <c r="S35" i="6" s="1"/>
  <c r="G34" i="6"/>
  <c r="I34" i="6" s="1"/>
  <c r="S34" i="6" s="1"/>
  <c r="G32" i="6"/>
  <c r="I32" i="6" s="1"/>
  <c r="S32" i="6" s="1"/>
  <c r="G30" i="6"/>
  <c r="I30" i="6" s="1"/>
  <c r="S30" i="6" s="1"/>
  <c r="G29" i="6"/>
  <c r="I29" i="6" s="1"/>
  <c r="S29" i="6" s="1"/>
  <c r="G28" i="6"/>
  <c r="I28" i="6" s="1"/>
  <c r="S28" i="6" s="1"/>
  <c r="G27" i="6"/>
  <c r="I27" i="6" s="1"/>
  <c r="S27" i="6" s="1"/>
  <c r="G26" i="6"/>
  <c r="I26" i="6" s="1"/>
  <c r="S26" i="6" s="1"/>
  <c r="G25" i="6"/>
  <c r="I25" i="6" s="1"/>
  <c r="S25" i="6" s="1"/>
  <c r="G24" i="6"/>
  <c r="I24" i="6" s="1"/>
  <c r="S24" i="6" s="1"/>
  <c r="G23" i="6"/>
  <c r="I23" i="6" s="1"/>
  <c r="S23" i="6" s="1"/>
  <c r="G22" i="6"/>
  <c r="I22" i="6" s="1"/>
  <c r="S22" i="6" s="1"/>
  <c r="G21" i="6"/>
  <c r="I21" i="6" s="1"/>
  <c r="S21" i="6" s="1"/>
  <c r="G20" i="6"/>
  <c r="I20" i="6" s="1"/>
  <c r="S20" i="6" s="1"/>
  <c r="G19" i="6"/>
  <c r="I19" i="6" s="1"/>
  <c r="S19" i="6" s="1"/>
  <c r="G18" i="6"/>
  <c r="I18" i="6" s="1"/>
  <c r="S18" i="6" s="1"/>
  <c r="G17" i="6"/>
  <c r="I17" i="6" s="1"/>
  <c r="S17" i="6" s="1"/>
  <c r="G16" i="6"/>
  <c r="I16" i="6" s="1"/>
  <c r="S16" i="6" s="1"/>
  <c r="G15" i="6"/>
  <c r="I15" i="6" s="1"/>
  <c r="S15" i="6" s="1"/>
  <c r="G14" i="6"/>
  <c r="I14" i="6" s="1"/>
  <c r="S14" i="6" s="1"/>
  <c r="G13" i="6"/>
  <c r="I13" i="6" s="1"/>
  <c r="S13" i="6" s="1"/>
  <c r="G12" i="6"/>
  <c r="I12" i="6" s="1"/>
  <c r="S12" i="6" s="1"/>
  <c r="G11" i="6"/>
  <c r="I11" i="6" s="1"/>
  <c r="S11" i="6" s="1"/>
  <c r="G10" i="6"/>
  <c r="I10" i="6" s="1"/>
  <c r="S10" i="6" s="1"/>
  <c r="G9" i="6"/>
  <c r="I9" i="6" s="1"/>
  <c r="S9" i="6" s="1"/>
  <c r="G8" i="6"/>
  <c r="I8" i="6" s="1"/>
  <c r="S8" i="6" s="1"/>
  <c r="G7" i="6"/>
  <c r="I7" i="6" s="1"/>
  <c r="S7" i="6" s="1"/>
  <c r="G6" i="6"/>
  <c r="I6" i="6" s="1"/>
  <c r="S6" i="6" s="1"/>
  <c r="G5" i="6"/>
  <c r="I5" i="6" s="1"/>
  <c r="S5" i="6" s="1"/>
  <c r="I4" i="6"/>
  <c r="S4" i="6" s="1"/>
  <c r="I93" i="6"/>
  <c r="S93" i="6" s="1"/>
  <c r="I81" i="6"/>
  <c r="S81" i="6" s="1"/>
  <c r="I65" i="6"/>
  <c r="S65" i="6" s="1"/>
  <c r="I53" i="6"/>
  <c r="S53" i="6" s="1"/>
  <c r="I104" i="5"/>
  <c r="I103" i="5"/>
  <c r="G102" i="5"/>
  <c r="I102" i="5" s="1"/>
  <c r="G101" i="5"/>
  <c r="I101" i="5" s="1"/>
  <c r="G99" i="5"/>
  <c r="I99" i="5" s="1"/>
  <c r="S99" i="5" s="1"/>
  <c r="G98" i="5"/>
  <c r="I98" i="5" s="1"/>
  <c r="S98" i="5" s="1"/>
  <c r="G96" i="5"/>
  <c r="I96" i="5" s="1"/>
  <c r="S96" i="5" s="1"/>
  <c r="G95" i="5"/>
  <c r="I95" i="5" s="1"/>
  <c r="S95" i="5" s="1"/>
  <c r="G93" i="5"/>
  <c r="I93" i="5" s="1"/>
  <c r="S93" i="5" s="1"/>
  <c r="G92" i="5"/>
  <c r="I92" i="5" s="1"/>
  <c r="S92" i="5" s="1"/>
  <c r="G91" i="5"/>
  <c r="I91" i="5" s="1"/>
  <c r="S91" i="5" s="1"/>
  <c r="G90" i="5"/>
  <c r="I90" i="5" s="1"/>
  <c r="S90" i="5" s="1"/>
  <c r="G89" i="5"/>
  <c r="I89" i="5" s="1"/>
  <c r="S89" i="5" s="1"/>
  <c r="G88" i="5"/>
  <c r="I88" i="5" s="1"/>
  <c r="S88" i="5" s="1"/>
  <c r="G87" i="5"/>
  <c r="I87" i="5" s="1"/>
  <c r="G86" i="5"/>
  <c r="I86" i="5" s="1"/>
  <c r="G85" i="5"/>
  <c r="I85" i="5" s="1"/>
  <c r="S85" i="5" s="1"/>
  <c r="G84" i="5"/>
  <c r="I84" i="5" s="1"/>
  <c r="G83" i="5"/>
  <c r="I83" i="5" s="1"/>
  <c r="G82" i="5"/>
  <c r="I82" i="5" s="1"/>
  <c r="S82" i="5" s="1"/>
  <c r="G81" i="5"/>
  <c r="I81" i="5" s="1"/>
  <c r="S81" i="5" s="1"/>
  <c r="G80" i="5"/>
  <c r="I80" i="5" s="1"/>
  <c r="S80" i="5" s="1"/>
  <c r="G79" i="5"/>
  <c r="I79" i="5" s="1"/>
  <c r="S79" i="5" s="1"/>
  <c r="G78" i="5"/>
  <c r="I78" i="5" s="1"/>
  <c r="S78" i="5" s="1"/>
  <c r="G77" i="5"/>
  <c r="I77" i="5" s="1"/>
  <c r="S77" i="5" s="1"/>
  <c r="G76" i="5"/>
  <c r="I76" i="5" s="1"/>
  <c r="S76" i="5" s="1"/>
  <c r="G75" i="5"/>
  <c r="I75" i="5" s="1"/>
  <c r="S75" i="5" s="1"/>
  <c r="G74" i="5"/>
  <c r="I74" i="5" s="1"/>
  <c r="S74" i="5" s="1"/>
  <c r="G73" i="5"/>
  <c r="I73" i="5" s="1"/>
  <c r="S73" i="5" s="1"/>
  <c r="G71" i="5"/>
  <c r="I71" i="5" s="1"/>
  <c r="S71" i="5" s="1"/>
  <c r="G70" i="5"/>
  <c r="I70" i="5" s="1"/>
  <c r="S70" i="5" s="1"/>
  <c r="G69" i="5"/>
  <c r="I69" i="5" s="1"/>
  <c r="S69" i="5" s="1"/>
  <c r="I65" i="5"/>
  <c r="G64" i="5"/>
  <c r="I64" i="5" s="1"/>
  <c r="S64" i="5" s="1"/>
  <c r="G63" i="5"/>
  <c r="I63" i="5" s="1"/>
  <c r="S63" i="5" s="1"/>
  <c r="G62" i="5"/>
  <c r="I62" i="5" s="1"/>
  <c r="S62" i="5" s="1"/>
  <c r="G61" i="5"/>
  <c r="I61" i="5" s="1"/>
  <c r="G60" i="5"/>
  <c r="I60" i="5" s="1"/>
  <c r="G59" i="5"/>
  <c r="I59" i="5" s="1"/>
  <c r="G58" i="5"/>
  <c r="I58" i="5" s="1"/>
  <c r="S58" i="5" s="1"/>
  <c r="G57" i="5"/>
  <c r="I57" i="5" s="1"/>
  <c r="S57" i="5" s="1"/>
  <c r="G56" i="5"/>
  <c r="I56" i="5" s="1"/>
  <c r="S56" i="5" s="1"/>
  <c r="G55" i="5"/>
  <c r="I55" i="5" s="1"/>
  <c r="S55" i="5" s="1"/>
  <c r="G54" i="5"/>
  <c r="I54" i="5" s="1"/>
  <c r="G53" i="5"/>
  <c r="I53" i="5" s="1"/>
  <c r="G52" i="5"/>
  <c r="I52" i="5" s="1"/>
  <c r="G51" i="5"/>
  <c r="I51" i="5" s="1"/>
  <c r="G50" i="5"/>
  <c r="I50" i="5" s="1"/>
  <c r="G49" i="5"/>
  <c r="I49" i="5" s="1"/>
  <c r="G48" i="5"/>
  <c r="I48" i="5" s="1"/>
  <c r="G47" i="5"/>
  <c r="I47" i="5" s="1"/>
  <c r="G46" i="5"/>
  <c r="G41" i="5"/>
  <c r="I41" i="5" s="1"/>
  <c r="G40" i="5"/>
  <c r="I40" i="5" s="1"/>
  <c r="G39" i="5"/>
  <c r="I39" i="5" s="1"/>
  <c r="S39" i="5" s="1"/>
  <c r="G38" i="5"/>
  <c r="I38" i="5" s="1"/>
  <c r="S38" i="5" s="1"/>
  <c r="G37" i="5"/>
  <c r="I37" i="5" s="1"/>
  <c r="G35" i="5"/>
  <c r="I35" i="5" s="1"/>
  <c r="S35" i="5" s="1"/>
  <c r="G34" i="5"/>
  <c r="I34" i="5" s="1"/>
  <c r="G32" i="5"/>
  <c r="I32" i="5" s="1"/>
  <c r="S32" i="5" s="1"/>
  <c r="G30" i="5"/>
  <c r="I30" i="5" s="1"/>
  <c r="G29" i="5"/>
  <c r="I29" i="5" s="1"/>
  <c r="S29" i="5" s="1"/>
  <c r="G28" i="5"/>
  <c r="I28" i="5" s="1"/>
  <c r="S28" i="5" s="1"/>
  <c r="G27" i="5"/>
  <c r="I27" i="5" s="1"/>
  <c r="S27" i="5" s="1"/>
  <c r="G26" i="5"/>
  <c r="I26" i="5" s="1"/>
  <c r="S26" i="5" s="1"/>
  <c r="G25" i="5"/>
  <c r="I25" i="5" s="1"/>
  <c r="S25" i="5" s="1"/>
  <c r="G24" i="5"/>
  <c r="I24" i="5" s="1"/>
  <c r="S24" i="5" s="1"/>
  <c r="G23" i="5"/>
  <c r="I23" i="5" s="1"/>
  <c r="S23" i="5" s="1"/>
  <c r="G22" i="5"/>
  <c r="I22" i="5" s="1"/>
  <c r="S22" i="5" s="1"/>
  <c r="G21" i="5"/>
  <c r="I21" i="5" s="1"/>
  <c r="S21" i="5" s="1"/>
  <c r="G20" i="5"/>
  <c r="I20" i="5" s="1"/>
  <c r="S20" i="5" s="1"/>
  <c r="G19" i="5"/>
  <c r="I19" i="5" s="1"/>
  <c r="S19" i="5" s="1"/>
  <c r="G18" i="5"/>
  <c r="I18" i="5" s="1"/>
  <c r="S18" i="5" s="1"/>
  <c r="G17" i="5"/>
  <c r="I17" i="5" s="1"/>
  <c r="S17" i="5" s="1"/>
  <c r="G16" i="5"/>
  <c r="I16" i="5" s="1"/>
  <c r="S16" i="5" s="1"/>
  <c r="G15" i="5"/>
  <c r="I15" i="5" s="1"/>
  <c r="S15" i="5" s="1"/>
  <c r="G14" i="5"/>
  <c r="I14" i="5" s="1"/>
  <c r="S14" i="5" s="1"/>
  <c r="G13" i="5"/>
  <c r="I13" i="5" s="1"/>
  <c r="S13" i="5" s="1"/>
  <c r="G12" i="5"/>
  <c r="I12" i="5" s="1"/>
  <c r="S12" i="5" s="1"/>
  <c r="G11" i="5"/>
  <c r="I11" i="5" s="1"/>
  <c r="S11" i="5" s="1"/>
  <c r="G10" i="5"/>
  <c r="I10" i="5" s="1"/>
  <c r="S10" i="5" s="1"/>
  <c r="G9" i="5"/>
  <c r="I9" i="5" s="1"/>
  <c r="S9" i="5" s="1"/>
  <c r="G8" i="5"/>
  <c r="I8" i="5" s="1"/>
  <c r="S8" i="5" s="1"/>
  <c r="G7" i="5"/>
  <c r="I7" i="5" s="1"/>
  <c r="S7" i="5" s="1"/>
  <c r="G6" i="5"/>
  <c r="I6" i="5" s="1"/>
  <c r="S6" i="5" s="1"/>
  <c r="G5" i="5"/>
  <c r="I5" i="5" s="1"/>
  <c r="S5" i="5" s="1"/>
  <c r="G4" i="5"/>
  <c r="I4" i="5" s="1"/>
  <c r="S4" i="5" s="1"/>
  <c r="I46" i="5" l="1"/>
  <c r="G45" i="5"/>
  <c r="J104" i="5"/>
  <c r="K104" i="5" s="1"/>
  <c r="L104" i="5" s="1"/>
  <c r="S104" i="5"/>
  <c r="J103" i="5"/>
  <c r="K103" i="5" s="1"/>
  <c r="L103" i="5" s="1"/>
  <c r="M103" i="5" s="1"/>
  <c r="N103" i="5" s="1"/>
  <c r="S103" i="5"/>
  <c r="J102" i="5"/>
  <c r="K102" i="5" s="1"/>
  <c r="L102" i="5" s="1"/>
  <c r="S102" i="5"/>
  <c r="J101" i="5"/>
  <c r="K101" i="5" s="1"/>
  <c r="L101" i="5" s="1"/>
  <c r="S101" i="5"/>
  <c r="M102" i="6"/>
  <c r="N102" i="6" s="1"/>
  <c r="M101" i="6"/>
  <c r="N101" i="6" s="1"/>
  <c r="M104" i="6"/>
  <c r="N104" i="6" s="1"/>
  <c r="O103" i="6"/>
  <c r="P103" i="6" s="1"/>
  <c r="G100" i="4"/>
  <c r="I100" i="4" s="1"/>
  <c r="I104" i="4"/>
  <c r="I103" i="4"/>
  <c r="I102" i="4"/>
  <c r="G101" i="4"/>
  <c r="I101" i="4" s="1"/>
  <c r="I85" i="4"/>
  <c r="S85" i="4" s="1"/>
  <c r="I82" i="4"/>
  <c r="S82" i="4" s="1"/>
  <c r="I78" i="4"/>
  <c r="S78" i="4" s="1"/>
  <c r="I77" i="4"/>
  <c r="S77" i="4" s="1"/>
  <c r="I76" i="4"/>
  <c r="S76" i="4" s="1"/>
  <c r="I75" i="4"/>
  <c r="S75" i="4" s="1"/>
  <c r="G99" i="4"/>
  <c r="I99" i="4" s="1"/>
  <c r="S99" i="4" s="1"/>
  <c r="G98" i="4"/>
  <c r="I98" i="4" s="1"/>
  <c r="S98" i="4" s="1"/>
  <c r="G96" i="4"/>
  <c r="I96" i="4" s="1"/>
  <c r="S96" i="4" s="1"/>
  <c r="G95" i="4"/>
  <c r="I95" i="4" s="1"/>
  <c r="S95" i="4" s="1"/>
  <c r="G93" i="4"/>
  <c r="I93" i="4" s="1"/>
  <c r="S93" i="4" s="1"/>
  <c r="G92" i="4"/>
  <c r="I92" i="4" s="1"/>
  <c r="S92" i="4" s="1"/>
  <c r="G91" i="4"/>
  <c r="I91" i="4" s="1"/>
  <c r="S91" i="4" s="1"/>
  <c r="G90" i="4"/>
  <c r="I90" i="4" s="1"/>
  <c r="S90" i="4" s="1"/>
  <c r="G89" i="4"/>
  <c r="I89" i="4" s="1"/>
  <c r="S89" i="4" s="1"/>
  <c r="G88" i="4"/>
  <c r="I88" i="4" s="1"/>
  <c r="S88" i="4" s="1"/>
  <c r="G87" i="4"/>
  <c r="I87" i="4" s="1"/>
  <c r="S87" i="4" s="1"/>
  <c r="G86" i="4"/>
  <c r="I86" i="4" s="1"/>
  <c r="S86" i="4" s="1"/>
  <c r="G84" i="4"/>
  <c r="I84" i="4" s="1"/>
  <c r="S84" i="4" s="1"/>
  <c r="G83" i="4"/>
  <c r="I83" i="4" s="1"/>
  <c r="S83" i="4" s="1"/>
  <c r="G81" i="4"/>
  <c r="I81" i="4" s="1"/>
  <c r="S81" i="4" s="1"/>
  <c r="G80" i="4"/>
  <c r="I80" i="4" s="1"/>
  <c r="S80" i="4" s="1"/>
  <c r="G79" i="4"/>
  <c r="I79" i="4" s="1"/>
  <c r="S79" i="4" s="1"/>
  <c r="G74" i="4"/>
  <c r="I74" i="4" s="1"/>
  <c r="S74" i="4" s="1"/>
  <c r="G73" i="4"/>
  <c r="I73" i="4" s="1"/>
  <c r="S73" i="4" s="1"/>
  <c r="G71" i="4"/>
  <c r="I71" i="4" s="1"/>
  <c r="S71" i="4" s="1"/>
  <c r="G70" i="4"/>
  <c r="I70" i="4" s="1"/>
  <c r="S70" i="4" s="1"/>
  <c r="G69" i="4"/>
  <c r="I69" i="4" s="1"/>
  <c r="S69" i="4" s="1"/>
  <c r="I65" i="4"/>
  <c r="S65" i="4" s="1"/>
  <c r="G64" i="4"/>
  <c r="I64" i="4" s="1"/>
  <c r="S64" i="4" s="1"/>
  <c r="G63" i="4"/>
  <c r="I63" i="4" s="1"/>
  <c r="S63" i="4" s="1"/>
  <c r="G61" i="4"/>
  <c r="G60" i="4"/>
  <c r="G59" i="4"/>
  <c r="G58" i="4"/>
  <c r="I58" i="4" s="1"/>
  <c r="S58" i="4" s="1"/>
  <c r="G56" i="4"/>
  <c r="I56" i="4" s="1"/>
  <c r="S56" i="4" s="1"/>
  <c r="G55" i="4"/>
  <c r="I55" i="4" s="1"/>
  <c r="S55" i="4" s="1"/>
  <c r="G54" i="4"/>
  <c r="G53" i="4"/>
  <c r="G52" i="4"/>
  <c r="G51" i="4"/>
  <c r="G50" i="4"/>
  <c r="G49" i="4"/>
  <c r="G48" i="4"/>
  <c r="G47" i="4"/>
  <c r="G46" i="4"/>
  <c r="G45" i="4"/>
  <c r="G44" i="4"/>
  <c r="G41" i="4"/>
  <c r="G40" i="4"/>
  <c r="I38" i="4"/>
  <c r="S38" i="4" s="1"/>
  <c r="I35" i="4"/>
  <c r="S35" i="4" s="1"/>
  <c r="G28" i="4"/>
  <c r="I28" i="4" s="1"/>
  <c r="S28" i="4" s="1"/>
  <c r="G27" i="4"/>
  <c r="I27" i="4" s="1"/>
  <c r="S27" i="4" s="1"/>
  <c r="G26" i="4"/>
  <c r="I26" i="4" s="1"/>
  <c r="S26" i="4" s="1"/>
  <c r="G25" i="4"/>
  <c r="I25" i="4" s="1"/>
  <c r="S25" i="4" s="1"/>
  <c r="G24" i="4"/>
  <c r="I24" i="4" s="1"/>
  <c r="S24" i="4" s="1"/>
  <c r="G23" i="4"/>
  <c r="I23" i="4" s="1"/>
  <c r="S23" i="4" s="1"/>
  <c r="G22" i="4"/>
  <c r="I22" i="4" s="1"/>
  <c r="S22" i="4" s="1"/>
  <c r="G21" i="4"/>
  <c r="I21" i="4" s="1"/>
  <c r="S21" i="4" s="1"/>
  <c r="G20" i="4"/>
  <c r="I20" i="4" s="1"/>
  <c r="S20" i="4" s="1"/>
  <c r="G19" i="4"/>
  <c r="I19" i="4" s="1"/>
  <c r="S19" i="4" s="1"/>
  <c r="G18" i="4"/>
  <c r="I18" i="4" s="1"/>
  <c r="S18" i="4" s="1"/>
  <c r="G17" i="4"/>
  <c r="I17" i="4" s="1"/>
  <c r="S17" i="4" s="1"/>
  <c r="G16" i="4"/>
  <c r="S16" i="4" s="1"/>
  <c r="G15" i="4"/>
  <c r="S15" i="4" s="1"/>
  <c r="G14" i="4"/>
  <c r="S14" i="4" s="1"/>
  <c r="G13" i="4"/>
  <c r="S13" i="4" s="1"/>
  <c r="G12" i="4"/>
  <c r="S12" i="4" s="1"/>
  <c r="G11" i="4"/>
  <c r="S11" i="4" s="1"/>
  <c r="G10" i="4"/>
  <c r="I10" i="4" s="1"/>
  <c r="S10" i="4" s="1"/>
  <c r="G9" i="4"/>
  <c r="I9" i="4" s="1"/>
  <c r="S9" i="4" s="1"/>
  <c r="G8" i="4"/>
  <c r="I8" i="4" s="1"/>
  <c r="S8" i="4" s="1"/>
  <c r="G7" i="4"/>
  <c r="I7" i="4" s="1"/>
  <c r="S7" i="4" s="1"/>
  <c r="G6" i="4"/>
  <c r="I6" i="4" s="1"/>
  <c r="S6" i="4" s="1"/>
  <c r="G5" i="4"/>
  <c r="I5" i="4" s="1"/>
  <c r="S5" i="4" s="1"/>
  <c r="G4" i="4"/>
  <c r="I4" i="4" s="1"/>
  <c r="S4" i="4" s="1"/>
  <c r="S62" i="4"/>
  <c r="S57" i="4"/>
  <c r="S39" i="4"/>
  <c r="S29" i="4"/>
  <c r="G44" i="5" l="1"/>
  <c r="I44" i="5" s="1"/>
  <c r="I45" i="5"/>
  <c r="J101" i="4"/>
  <c r="K101" i="4" s="1"/>
  <c r="L101" i="4" s="1"/>
  <c r="S101" i="4"/>
  <c r="J102" i="4"/>
  <c r="S102" i="4"/>
  <c r="J103" i="4"/>
  <c r="K103" i="4" s="1"/>
  <c r="L103" i="4" s="1"/>
  <c r="M103" i="4" s="1"/>
  <c r="N103" i="4" s="1"/>
  <c r="S103" i="4"/>
  <c r="J104" i="4"/>
  <c r="K104" i="4" s="1"/>
  <c r="L104" i="4" s="1"/>
  <c r="M104" i="4" s="1"/>
  <c r="N104" i="4" s="1"/>
  <c r="S104" i="4"/>
  <c r="I37" i="4"/>
  <c r="S37" i="4" s="1"/>
  <c r="O104" i="6"/>
  <c r="P104" i="6" s="1"/>
  <c r="O102" i="6"/>
  <c r="P102" i="6" s="1"/>
  <c r="O101" i="6"/>
  <c r="P101" i="6" s="1"/>
  <c r="M101" i="5"/>
  <c r="N101" i="5" s="1"/>
  <c r="M102" i="5"/>
  <c r="N102" i="5" s="1"/>
  <c r="O103" i="5"/>
  <c r="P103" i="5" s="1"/>
  <c r="M104" i="5"/>
  <c r="N104" i="5" s="1"/>
  <c r="M101" i="4"/>
  <c r="N101" i="4" s="1"/>
  <c r="K102" i="4"/>
  <c r="L102" i="4" s="1"/>
  <c r="O102" i="5" l="1"/>
  <c r="P102" i="5" s="1"/>
  <c r="O101" i="5"/>
  <c r="P101" i="5" s="1"/>
  <c r="O104" i="5"/>
  <c r="P104" i="5" s="1"/>
  <c r="M102" i="4"/>
  <c r="N102" i="4" s="1"/>
  <c r="O103" i="4"/>
  <c r="P103" i="4" s="1"/>
  <c r="O101" i="4"/>
  <c r="P101" i="4" s="1"/>
  <c r="O104" i="4"/>
  <c r="P104" i="4" s="1"/>
  <c r="O102" i="4" l="1"/>
  <c r="P102" i="4" s="1"/>
  <c r="I104" i="1" l="1"/>
  <c r="I103" i="1"/>
  <c r="J103" i="1" s="1"/>
  <c r="K103" i="1" s="1"/>
  <c r="L103" i="1" s="1"/>
  <c r="I102" i="1"/>
  <c r="I101" i="1"/>
  <c r="J101" i="1" s="1"/>
  <c r="K101" i="1" s="1"/>
  <c r="L101" i="1" l="1"/>
  <c r="M101" i="1" s="1"/>
  <c r="M103" i="1"/>
  <c r="J104" i="1"/>
  <c r="K104" i="1" s="1"/>
  <c r="L104" i="1" s="1"/>
  <c r="J102" i="1"/>
  <c r="K102" i="1" s="1"/>
  <c r="H98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65" i="1"/>
  <c r="H64" i="1"/>
  <c r="H63" i="1"/>
  <c r="H62" i="1"/>
  <c r="H61" i="1"/>
  <c r="H60" i="1"/>
  <c r="H59" i="1"/>
  <c r="H57" i="1"/>
  <c r="H56" i="1"/>
  <c r="H55" i="1"/>
  <c r="H52" i="1"/>
  <c r="H51" i="1"/>
  <c r="H50" i="1"/>
  <c r="H49" i="1"/>
  <c r="H48" i="1"/>
  <c r="H47" i="1"/>
  <c r="H46" i="1"/>
  <c r="H45" i="1"/>
  <c r="H44" i="1"/>
  <c r="H41" i="1"/>
  <c r="H40" i="1"/>
  <c r="H39" i="1"/>
  <c r="H38" i="1"/>
  <c r="H35" i="1"/>
  <c r="H34" i="1"/>
  <c r="G34" i="4" s="1"/>
  <c r="I34" i="4" s="1"/>
  <c r="S34" i="4" s="1"/>
  <c r="H32" i="1"/>
  <c r="G32" i="4" s="1"/>
  <c r="I32" i="4" s="1"/>
  <c r="S32" i="4" s="1"/>
  <c r="H30" i="1"/>
  <c r="G30" i="4" s="1"/>
  <c r="I30" i="4" s="1"/>
  <c r="S30" i="4" s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S34" i="5"/>
  <c r="AG63" i="1" l="1"/>
  <c r="P63" i="1"/>
  <c r="AN63" i="1"/>
  <c r="AG80" i="1"/>
  <c r="P80" i="1"/>
  <c r="AN80" i="1"/>
  <c r="AG20" i="1"/>
  <c r="P20" i="1"/>
  <c r="AN20" i="1"/>
  <c r="AG21" i="1"/>
  <c r="P21" i="1"/>
  <c r="AN21" i="1"/>
  <c r="P51" i="1"/>
  <c r="AN51" i="1"/>
  <c r="P83" i="1"/>
  <c r="AN83" i="1"/>
  <c r="AG39" i="1"/>
  <c r="P39" i="1"/>
  <c r="AN39" i="1"/>
  <c r="P40" i="1"/>
  <c r="AN40" i="1"/>
  <c r="AG25" i="1"/>
  <c r="P25" i="1"/>
  <c r="AN25" i="1"/>
  <c r="AG74" i="1"/>
  <c r="P74" i="1"/>
  <c r="AN74" i="1"/>
  <c r="AG14" i="1"/>
  <c r="P14" i="1"/>
  <c r="AN14" i="1"/>
  <c r="AG26" i="1"/>
  <c r="P26" i="1"/>
  <c r="AN26" i="1"/>
  <c r="P44" i="1"/>
  <c r="AN44" i="1"/>
  <c r="P59" i="1"/>
  <c r="AN59" i="1"/>
  <c r="AG75" i="1"/>
  <c r="P75" i="1"/>
  <c r="AN75" i="1"/>
  <c r="P87" i="1"/>
  <c r="AN87" i="1"/>
  <c r="AG6" i="1"/>
  <c r="P6" i="1"/>
  <c r="AN6" i="1"/>
  <c r="AG79" i="1"/>
  <c r="P79" i="1"/>
  <c r="AN79" i="1"/>
  <c r="AG7" i="1"/>
  <c r="P7" i="1"/>
  <c r="AN7" i="1"/>
  <c r="AG64" i="1"/>
  <c r="P64" i="1"/>
  <c r="AN64" i="1"/>
  <c r="P50" i="1"/>
  <c r="AN50" i="1"/>
  <c r="AG82" i="1"/>
  <c r="P82" i="1"/>
  <c r="AN82" i="1"/>
  <c r="AG38" i="1"/>
  <c r="P38" i="1"/>
  <c r="AN38" i="1"/>
  <c r="AG70" i="1"/>
  <c r="P70" i="1"/>
  <c r="AN70" i="1"/>
  <c r="AG23" i="1"/>
  <c r="P23" i="1"/>
  <c r="AN23" i="1"/>
  <c r="AG71" i="1"/>
  <c r="P71" i="1"/>
  <c r="AN71" i="1"/>
  <c r="AG12" i="1"/>
  <c r="P12" i="1"/>
  <c r="AN12" i="1"/>
  <c r="AG85" i="1"/>
  <c r="P85" i="1"/>
  <c r="AN85" i="1"/>
  <c r="P41" i="1"/>
  <c r="AN41" i="1"/>
  <c r="P86" i="1"/>
  <c r="AN86" i="1"/>
  <c r="AG15" i="1"/>
  <c r="P15" i="1"/>
  <c r="AN15" i="1"/>
  <c r="AG27" i="1"/>
  <c r="P27" i="1"/>
  <c r="AN27" i="1"/>
  <c r="P45" i="1"/>
  <c r="AN45" i="1"/>
  <c r="P60" i="1"/>
  <c r="AN60" i="1"/>
  <c r="AG76" i="1"/>
  <c r="P76" i="1"/>
  <c r="AN76" i="1"/>
  <c r="AG88" i="1"/>
  <c r="P88" i="1"/>
  <c r="AN88" i="1"/>
  <c r="AG18" i="1"/>
  <c r="P18" i="1"/>
  <c r="AN18" i="1"/>
  <c r="P48" i="1"/>
  <c r="AN48" i="1"/>
  <c r="P49" i="1"/>
  <c r="AN49" i="1"/>
  <c r="AG8" i="1"/>
  <c r="P8" i="1"/>
  <c r="AN8" i="1"/>
  <c r="AG81" i="1"/>
  <c r="P81" i="1"/>
  <c r="AN81" i="1"/>
  <c r="AG9" i="1"/>
  <c r="P9" i="1"/>
  <c r="AN9" i="1"/>
  <c r="AG95" i="1"/>
  <c r="P95" i="1"/>
  <c r="AN95" i="1"/>
  <c r="AG10" i="1"/>
  <c r="P10" i="1"/>
  <c r="AN10" i="1"/>
  <c r="P52" i="1"/>
  <c r="AN52" i="1"/>
  <c r="P84" i="1"/>
  <c r="AN84" i="1"/>
  <c r="AG73" i="1"/>
  <c r="P73" i="1"/>
  <c r="AN73" i="1"/>
  <c r="AG57" i="1"/>
  <c r="P57" i="1"/>
  <c r="AN57" i="1"/>
  <c r="AG16" i="1"/>
  <c r="P16" i="1"/>
  <c r="AN16" i="1"/>
  <c r="AG28" i="1"/>
  <c r="P28" i="1"/>
  <c r="AN28" i="1"/>
  <c r="P46" i="1"/>
  <c r="AN46" i="1"/>
  <c r="P61" i="1"/>
  <c r="AN61" i="1"/>
  <c r="AG77" i="1"/>
  <c r="P77" i="1"/>
  <c r="AN77" i="1"/>
  <c r="AG89" i="1"/>
  <c r="P89" i="1"/>
  <c r="AN89" i="1"/>
  <c r="AG91" i="1"/>
  <c r="P91" i="1"/>
  <c r="AN91" i="1"/>
  <c r="AG92" i="1"/>
  <c r="P92" i="1"/>
  <c r="AN92" i="1"/>
  <c r="AG93" i="1"/>
  <c r="P93" i="1"/>
  <c r="AN93" i="1"/>
  <c r="AG35" i="1"/>
  <c r="P35" i="1"/>
  <c r="AN35" i="1"/>
  <c r="AG69" i="1"/>
  <c r="P69" i="1"/>
  <c r="AN69" i="1"/>
  <c r="AG22" i="1"/>
  <c r="P22" i="1"/>
  <c r="AN22" i="1"/>
  <c r="AG98" i="1"/>
  <c r="P98" i="1"/>
  <c r="AN98" i="1"/>
  <c r="AG55" i="1"/>
  <c r="P55" i="1"/>
  <c r="AN55" i="1"/>
  <c r="AG24" i="1"/>
  <c r="P24" i="1"/>
  <c r="AN24" i="1"/>
  <c r="AG56" i="1"/>
  <c r="P56" i="1"/>
  <c r="AN56" i="1"/>
  <c r="AG13" i="1"/>
  <c r="P13" i="1"/>
  <c r="AN13" i="1"/>
  <c r="AG17" i="1"/>
  <c r="P17" i="1"/>
  <c r="AN17" i="1"/>
  <c r="AG29" i="1"/>
  <c r="P29" i="1"/>
  <c r="AN29" i="1"/>
  <c r="P47" i="1"/>
  <c r="AN47" i="1"/>
  <c r="AG62" i="1"/>
  <c r="P62" i="1"/>
  <c r="AN62" i="1"/>
  <c r="AG78" i="1"/>
  <c r="P78" i="1"/>
  <c r="AN78" i="1"/>
  <c r="AG90" i="1"/>
  <c r="P90" i="1"/>
  <c r="AN90" i="1"/>
  <c r="AG5" i="1"/>
  <c r="P5" i="1"/>
  <c r="AN5" i="1"/>
  <c r="AG19" i="1"/>
  <c r="P19" i="1"/>
  <c r="AN19" i="1"/>
  <c r="AG11" i="1"/>
  <c r="P11" i="1"/>
  <c r="AN11" i="1"/>
  <c r="P4" i="1"/>
  <c r="AN4" i="1"/>
  <c r="P65" i="1"/>
  <c r="AN65" i="1"/>
  <c r="P34" i="1"/>
  <c r="AN34" i="1"/>
  <c r="AG32" i="1"/>
  <c r="P32" i="1"/>
  <c r="AN32" i="1"/>
  <c r="P30" i="1"/>
  <c r="AN30" i="1"/>
  <c r="Y106" i="1"/>
  <c r="H58" i="1"/>
  <c r="H96" i="1"/>
  <c r="Y92" i="1"/>
  <c r="AG4" i="1"/>
  <c r="AG34" i="1"/>
  <c r="L102" i="1"/>
  <c r="M102" i="1" s="1"/>
  <c r="M104" i="1"/>
  <c r="N103" i="1"/>
  <c r="O103" i="1" s="1"/>
  <c r="N101" i="1"/>
  <c r="O101" i="1" s="1"/>
  <c r="Z96" i="1" l="1"/>
  <c r="AA96" i="1" s="1"/>
  <c r="AB96" i="1" s="1"/>
  <c r="P96" i="1"/>
  <c r="AN96" i="1"/>
  <c r="AG58" i="1"/>
  <c r="P58" i="1"/>
  <c r="AN58" i="1"/>
  <c r="AG96" i="1"/>
  <c r="N104" i="1"/>
  <c r="O104" i="1" s="1"/>
  <c r="N102" i="1"/>
  <c r="O102" i="1" s="1"/>
  <c r="S87" i="5"/>
  <c r="S86" i="5"/>
  <c r="S83" i="5"/>
  <c r="S84" i="5"/>
  <c r="S61" i="5"/>
  <c r="S60" i="5"/>
  <c r="S59" i="5"/>
  <c r="S65" i="5"/>
  <c r="S52" i="5"/>
  <c r="S51" i="5"/>
  <c r="S50" i="5"/>
  <c r="S49" i="5"/>
  <c r="S48" i="5"/>
  <c r="S47" i="5"/>
  <c r="S46" i="5"/>
  <c r="S45" i="5"/>
  <c r="S44" i="5"/>
  <c r="S41" i="5"/>
  <c r="S40" i="5"/>
  <c r="S37" i="5"/>
  <c r="S30" i="5"/>
  <c r="I61" i="4"/>
  <c r="S61" i="4" s="1"/>
  <c r="I60" i="4"/>
  <c r="S60" i="4" s="1"/>
  <c r="I59" i="4"/>
  <c r="S59" i="4" s="1"/>
  <c r="I54" i="4"/>
  <c r="S54" i="4" s="1"/>
  <c r="I53" i="4"/>
  <c r="S53" i="4" s="1"/>
  <c r="I52" i="4"/>
  <c r="S52" i="4" s="1"/>
  <c r="I51" i="4"/>
  <c r="S51" i="4" s="1"/>
  <c r="I50" i="4"/>
  <c r="S50" i="4" s="1"/>
  <c r="I49" i="4"/>
  <c r="S49" i="4" s="1"/>
  <c r="I48" i="4"/>
  <c r="S48" i="4" s="1"/>
  <c r="I47" i="4"/>
  <c r="S47" i="4" s="1"/>
  <c r="I46" i="4"/>
  <c r="S46" i="4" s="1"/>
  <c r="I45" i="4"/>
  <c r="S45" i="4" s="1"/>
  <c r="I44" i="4"/>
  <c r="S44" i="4" s="1"/>
  <c r="I41" i="4"/>
  <c r="S41" i="4" s="1"/>
  <c r="I40" i="4"/>
  <c r="S40" i="4" s="1"/>
  <c r="AG37" i="1" l="1"/>
  <c r="AG30" i="1"/>
  <c r="AG87" i="1"/>
  <c r="AG86" i="1"/>
  <c r="AG84" i="1"/>
  <c r="AG83" i="1"/>
  <c r="AG61" i="1"/>
  <c r="AG60" i="1"/>
  <c r="AG59" i="1"/>
  <c r="AG65" i="1"/>
  <c r="AG52" i="1"/>
  <c r="AG51" i="1"/>
  <c r="AG50" i="1"/>
  <c r="AG49" i="1"/>
  <c r="I49" i="1"/>
  <c r="AG40" i="1"/>
  <c r="J99" i="6"/>
  <c r="J96" i="6"/>
  <c r="J93" i="6"/>
  <c r="J92" i="6"/>
  <c r="J91" i="6"/>
  <c r="J90" i="6"/>
  <c r="K90" i="6" s="1"/>
  <c r="L90" i="6" s="1"/>
  <c r="J89" i="6"/>
  <c r="K89" i="6" s="1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K73" i="6" s="1"/>
  <c r="L73" i="6" s="1"/>
  <c r="J71" i="6"/>
  <c r="K71" i="6" s="1"/>
  <c r="L71" i="6" s="1"/>
  <c r="J70" i="6"/>
  <c r="J69" i="6"/>
  <c r="J65" i="6"/>
  <c r="K65" i="6" s="1"/>
  <c r="L65" i="6" s="1"/>
  <c r="J64" i="6"/>
  <c r="E64" i="6"/>
  <c r="J63" i="6"/>
  <c r="E63" i="6"/>
  <c r="J62" i="6"/>
  <c r="J61" i="6"/>
  <c r="J60" i="6"/>
  <c r="J59" i="6"/>
  <c r="J58" i="6"/>
  <c r="J57" i="6"/>
  <c r="J56" i="6"/>
  <c r="J55" i="6"/>
  <c r="K55" i="6" s="1"/>
  <c r="L55" i="6" s="1"/>
  <c r="J54" i="6"/>
  <c r="K54" i="6" s="1"/>
  <c r="L54" i="6" s="1"/>
  <c r="J53" i="6"/>
  <c r="J52" i="6"/>
  <c r="J51" i="6"/>
  <c r="J50" i="6"/>
  <c r="J49" i="6"/>
  <c r="J48" i="6"/>
  <c r="J47" i="6"/>
  <c r="K47" i="6" s="1"/>
  <c r="J46" i="6"/>
  <c r="K46" i="6" s="1"/>
  <c r="J45" i="6"/>
  <c r="J44" i="6"/>
  <c r="J41" i="6"/>
  <c r="J40" i="6"/>
  <c r="J39" i="6"/>
  <c r="J38" i="6"/>
  <c r="J37" i="6"/>
  <c r="J35" i="6"/>
  <c r="J34" i="6"/>
  <c r="K34" i="6" s="1"/>
  <c r="L34" i="6" s="1"/>
  <c r="J32" i="6"/>
  <c r="J30" i="6"/>
  <c r="J29" i="6"/>
  <c r="J28" i="6"/>
  <c r="E28" i="6"/>
  <c r="J27" i="6"/>
  <c r="J26" i="6"/>
  <c r="J25" i="6"/>
  <c r="J24" i="6"/>
  <c r="E24" i="6"/>
  <c r="J23" i="6"/>
  <c r="J22" i="6"/>
  <c r="J21" i="6"/>
  <c r="K21" i="6" s="1"/>
  <c r="L21" i="6" s="1"/>
  <c r="J20" i="6"/>
  <c r="J19" i="6"/>
  <c r="K19" i="6" s="1"/>
  <c r="J18" i="6"/>
  <c r="J17" i="6"/>
  <c r="J16" i="6"/>
  <c r="J15" i="6"/>
  <c r="J14" i="6"/>
  <c r="K14" i="6" s="1"/>
  <c r="L14" i="6" s="1"/>
  <c r="J13" i="6"/>
  <c r="K13" i="6" s="1"/>
  <c r="L13" i="6" s="1"/>
  <c r="J12" i="6"/>
  <c r="J11" i="6"/>
  <c r="K11" i="6" s="1"/>
  <c r="J10" i="6"/>
  <c r="J9" i="6"/>
  <c r="J8" i="6"/>
  <c r="J7" i="6"/>
  <c r="K7" i="6" s="1"/>
  <c r="L7" i="6" s="1"/>
  <c r="J6" i="6"/>
  <c r="J5" i="6"/>
  <c r="K5" i="6" s="1"/>
  <c r="L5" i="6" s="1"/>
  <c r="J4" i="6"/>
  <c r="J99" i="5"/>
  <c r="K99" i="5" s="1"/>
  <c r="L99" i="5" s="1"/>
  <c r="J96" i="5"/>
  <c r="J93" i="5"/>
  <c r="J92" i="5"/>
  <c r="K92" i="5" s="1"/>
  <c r="L92" i="5" s="1"/>
  <c r="J91" i="5"/>
  <c r="J90" i="5"/>
  <c r="J89" i="5"/>
  <c r="J87" i="5"/>
  <c r="K87" i="5" s="1"/>
  <c r="J86" i="5"/>
  <c r="K86" i="5" s="1"/>
  <c r="L86" i="5" s="1"/>
  <c r="J85" i="5"/>
  <c r="J84" i="5"/>
  <c r="K84" i="5" s="1"/>
  <c r="L84" i="5" s="1"/>
  <c r="J83" i="5"/>
  <c r="J82" i="5"/>
  <c r="J81" i="5"/>
  <c r="J80" i="5"/>
  <c r="K80" i="5" s="1"/>
  <c r="L80" i="5" s="1"/>
  <c r="J79" i="5"/>
  <c r="K79" i="5" s="1"/>
  <c r="J78" i="5"/>
  <c r="J77" i="5"/>
  <c r="K77" i="5" s="1"/>
  <c r="J76" i="5"/>
  <c r="J75" i="5"/>
  <c r="J74" i="5"/>
  <c r="J73" i="5"/>
  <c r="J71" i="5"/>
  <c r="J70" i="5"/>
  <c r="K70" i="5" s="1"/>
  <c r="L70" i="5" s="1"/>
  <c r="J69" i="5"/>
  <c r="K69" i="5" s="1"/>
  <c r="J65" i="5"/>
  <c r="J64" i="5"/>
  <c r="K64" i="5" s="1"/>
  <c r="L64" i="5" s="1"/>
  <c r="E64" i="5"/>
  <c r="J63" i="5"/>
  <c r="K63" i="5" s="1"/>
  <c r="L63" i="5" s="1"/>
  <c r="E63" i="5"/>
  <c r="J62" i="5"/>
  <c r="J61" i="5"/>
  <c r="J60" i="5"/>
  <c r="K60" i="5" s="1"/>
  <c r="L60" i="5" s="1"/>
  <c r="J59" i="5"/>
  <c r="J58" i="5"/>
  <c r="J57" i="5"/>
  <c r="J56" i="5"/>
  <c r="J55" i="5"/>
  <c r="J52" i="5"/>
  <c r="K52" i="5" s="1"/>
  <c r="J51" i="5"/>
  <c r="J50" i="5"/>
  <c r="K50" i="5" s="1"/>
  <c r="L50" i="5" s="1"/>
  <c r="J49" i="5"/>
  <c r="J48" i="5"/>
  <c r="J47" i="5"/>
  <c r="J46" i="5"/>
  <c r="K46" i="5" s="1"/>
  <c r="L46" i="5" s="1"/>
  <c r="J45" i="5"/>
  <c r="K45" i="5" s="1"/>
  <c r="J44" i="5"/>
  <c r="K44" i="5" s="1"/>
  <c r="J41" i="5"/>
  <c r="K41" i="5" s="1"/>
  <c r="J40" i="5"/>
  <c r="J39" i="5"/>
  <c r="J38" i="5"/>
  <c r="J37" i="5"/>
  <c r="K37" i="5" s="1"/>
  <c r="L37" i="5" s="1"/>
  <c r="J35" i="5"/>
  <c r="J34" i="5"/>
  <c r="J32" i="5"/>
  <c r="K32" i="5" s="1"/>
  <c r="L32" i="5" s="1"/>
  <c r="J30" i="5"/>
  <c r="K30" i="5" s="1"/>
  <c r="L30" i="5" s="1"/>
  <c r="J29" i="5"/>
  <c r="J28" i="5"/>
  <c r="K28" i="5" s="1"/>
  <c r="L28" i="5" s="1"/>
  <c r="E28" i="5"/>
  <c r="J27" i="5"/>
  <c r="K27" i="5" s="1"/>
  <c r="L27" i="5" s="1"/>
  <c r="J26" i="5"/>
  <c r="K26" i="5" s="1"/>
  <c r="J25" i="5"/>
  <c r="K25" i="5" s="1"/>
  <c r="J24" i="5"/>
  <c r="E24" i="5"/>
  <c r="J23" i="5"/>
  <c r="J22" i="5"/>
  <c r="J21" i="5"/>
  <c r="K21" i="5" s="1"/>
  <c r="L21" i="5" s="1"/>
  <c r="M21" i="5" s="1"/>
  <c r="J20" i="5"/>
  <c r="J19" i="5"/>
  <c r="K19" i="5" s="1"/>
  <c r="L19" i="5" s="1"/>
  <c r="J18" i="5"/>
  <c r="K18" i="5" s="1"/>
  <c r="L18" i="5" s="1"/>
  <c r="M18" i="5" s="1"/>
  <c r="J17" i="5"/>
  <c r="K17" i="5" s="1"/>
  <c r="J16" i="5"/>
  <c r="K16" i="5" s="1"/>
  <c r="J15" i="5"/>
  <c r="J14" i="5"/>
  <c r="J13" i="5"/>
  <c r="J12" i="5"/>
  <c r="J11" i="5"/>
  <c r="K11" i="5" s="1"/>
  <c r="J10" i="5"/>
  <c r="K10" i="5" s="1"/>
  <c r="J9" i="5"/>
  <c r="K9" i="5" s="1"/>
  <c r="J8" i="5"/>
  <c r="K8" i="5" s="1"/>
  <c r="J7" i="5"/>
  <c r="J6" i="5"/>
  <c r="J5" i="5"/>
  <c r="J4" i="5"/>
  <c r="J99" i="4"/>
  <c r="K99" i="4" s="1"/>
  <c r="L99" i="4" s="1"/>
  <c r="J96" i="4"/>
  <c r="K96" i="4" s="1"/>
  <c r="J93" i="4"/>
  <c r="K93" i="4" s="1"/>
  <c r="J92" i="4"/>
  <c r="K92" i="4" s="1"/>
  <c r="J91" i="4"/>
  <c r="J90" i="4"/>
  <c r="J89" i="4"/>
  <c r="J87" i="4"/>
  <c r="J86" i="4"/>
  <c r="K86" i="4" s="1"/>
  <c r="J85" i="4"/>
  <c r="J84" i="4"/>
  <c r="K84" i="4" s="1"/>
  <c r="L84" i="4" s="1"/>
  <c r="J83" i="4"/>
  <c r="K83" i="4" s="1"/>
  <c r="J82" i="4"/>
  <c r="J81" i="4"/>
  <c r="K81" i="4" s="1"/>
  <c r="J80" i="4"/>
  <c r="K80" i="4" s="1"/>
  <c r="J79" i="4"/>
  <c r="J78" i="4"/>
  <c r="J77" i="4"/>
  <c r="K77" i="4" s="1"/>
  <c r="J76" i="4"/>
  <c r="J75" i="4"/>
  <c r="J74" i="4"/>
  <c r="J73" i="4"/>
  <c r="J71" i="4"/>
  <c r="J70" i="4"/>
  <c r="J69" i="4"/>
  <c r="K69" i="4" s="1"/>
  <c r="L69" i="4" s="1"/>
  <c r="M69" i="4" s="1"/>
  <c r="J65" i="4"/>
  <c r="J64" i="4"/>
  <c r="K64" i="4" s="1"/>
  <c r="E64" i="4"/>
  <c r="J63" i="4"/>
  <c r="K63" i="4" s="1"/>
  <c r="E63" i="4"/>
  <c r="J62" i="4"/>
  <c r="J61" i="4"/>
  <c r="J60" i="4"/>
  <c r="K60" i="4" s="1"/>
  <c r="J59" i="4"/>
  <c r="J58" i="4"/>
  <c r="J57" i="4"/>
  <c r="J56" i="4"/>
  <c r="J55" i="4"/>
  <c r="J54" i="4"/>
  <c r="K54" i="4" s="1"/>
  <c r="L54" i="4" s="1"/>
  <c r="M54" i="4" s="1"/>
  <c r="J53" i="4"/>
  <c r="K53" i="4" s="1"/>
  <c r="L53" i="4" s="1"/>
  <c r="M53" i="4" s="1"/>
  <c r="J52" i="4"/>
  <c r="K52" i="4" s="1"/>
  <c r="L52" i="4" s="1"/>
  <c r="J51" i="4"/>
  <c r="K51" i="4" s="1"/>
  <c r="J50" i="4"/>
  <c r="K50" i="4" s="1"/>
  <c r="J49" i="4"/>
  <c r="J48" i="4"/>
  <c r="J47" i="4"/>
  <c r="J46" i="4"/>
  <c r="K46" i="4" s="1"/>
  <c r="L46" i="4" s="1"/>
  <c r="M46" i="4" s="1"/>
  <c r="J45" i="4"/>
  <c r="J44" i="4"/>
  <c r="K44" i="4" s="1"/>
  <c r="L44" i="4" s="1"/>
  <c r="J41" i="4"/>
  <c r="J40" i="4"/>
  <c r="K40" i="4" s="1"/>
  <c r="J39" i="4"/>
  <c r="J38" i="4"/>
  <c r="K38" i="4" s="1"/>
  <c r="J35" i="4"/>
  <c r="J34" i="4"/>
  <c r="J32" i="4"/>
  <c r="K32" i="4" s="1"/>
  <c r="L32" i="4" s="1"/>
  <c r="J30" i="4"/>
  <c r="J29" i="4"/>
  <c r="J28" i="4"/>
  <c r="E28" i="4"/>
  <c r="J27" i="4"/>
  <c r="J26" i="4"/>
  <c r="K26" i="4" s="1"/>
  <c r="L26" i="4" s="1"/>
  <c r="J25" i="4"/>
  <c r="K25" i="4" s="1"/>
  <c r="L25" i="4" s="1"/>
  <c r="J24" i="4"/>
  <c r="E24" i="4"/>
  <c r="J23" i="4"/>
  <c r="J22" i="4"/>
  <c r="J21" i="4"/>
  <c r="J20" i="4"/>
  <c r="J19" i="4"/>
  <c r="K19" i="4" s="1"/>
  <c r="L19" i="4" s="1"/>
  <c r="J18" i="4"/>
  <c r="K18" i="4" s="1"/>
  <c r="J17" i="4"/>
  <c r="K17" i="4" s="1"/>
  <c r="L17" i="4" s="1"/>
  <c r="J16" i="4"/>
  <c r="K16" i="4" s="1"/>
  <c r="L16" i="4" s="1"/>
  <c r="J15" i="4"/>
  <c r="J14" i="4"/>
  <c r="J13" i="4"/>
  <c r="J12" i="4"/>
  <c r="J11" i="4"/>
  <c r="K11" i="4" s="1"/>
  <c r="L11" i="4" s="1"/>
  <c r="J10" i="4"/>
  <c r="J9" i="4"/>
  <c r="K9" i="4" s="1"/>
  <c r="L9" i="4" s="1"/>
  <c r="J8" i="4"/>
  <c r="K8" i="4" s="1"/>
  <c r="L8" i="4" s="1"/>
  <c r="J7" i="4"/>
  <c r="J6" i="4"/>
  <c r="J5" i="4"/>
  <c r="J4" i="4"/>
  <c r="I96" i="1"/>
  <c r="J96" i="1" s="1"/>
  <c r="I93" i="1"/>
  <c r="J93" i="1" s="1"/>
  <c r="I92" i="1"/>
  <c r="J92" i="1" s="1"/>
  <c r="I91" i="1"/>
  <c r="I90" i="1"/>
  <c r="J90" i="1" s="1"/>
  <c r="K90" i="1" s="1"/>
  <c r="I89" i="1"/>
  <c r="J89" i="1" s="1"/>
  <c r="I87" i="1"/>
  <c r="J87" i="1" s="1"/>
  <c r="K87" i="1" s="1"/>
  <c r="I86" i="1"/>
  <c r="I85" i="1"/>
  <c r="I82" i="1"/>
  <c r="I81" i="1"/>
  <c r="J81" i="1" s="1"/>
  <c r="I80" i="1"/>
  <c r="J80" i="1" s="1"/>
  <c r="K80" i="1" s="1"/>
  <c r="I79" i="1"/>
  <c r="J79" i="1" s="1"/>
  <c r="K79" i="1" s="1"/>
  <c r="I78" i="1"/>
  <c r="I77" i="1"/>
  <c r="I76" i="1"/>
  <c r="I75" i="1"/>
  <c r="I74" i="1"/>
  <c r="I73" i="1"/>
  <c r="I71" i="1"/>
  <c r="I70" i="1"/>
  <c r="J70" i="1" s="1"/>
  <c r="K70" i="1" s="1"/>
  <c r="I69" i="1"/>
  <c r="I64" i="1"/>
  <c r="J64" i="1" s="1"/>
  <c r="D64" i="1"/>
  <c r="I63" i="1"/>
  <c r="J63" i="1" s="1"/>
  <c r="D63" i="1"/>
  <c r="I62" i="1"/>
  <c r="I58" i="1"/>
  <c r="I57" i="1"/>
  <c r="I56" i="1"/>
  <c r="I55" i="1"/>
  <c r="I52" i="1"/>
  <c r="I51" i="1"/>
  <c r="J51" i="1" s="1"/>
  <c r="I50" i="1"/>
  <c r="J50" i="1" s="1"/>
  <c r="I40" i="1"/>
  <c r="J40" i="1" s="1"/>
  <c r="I39" i="1"/>
  <c r="I38" i="1"/>
  <c r="J38" i="1" s="1"/>
  <c r="I37" i="1"/>
  <c r="I35" i="1"/>
  <c r="I34" i="1"/>
  <c r="I32" i="1"/>
  <c r="I30" i="1"/>
  <c r="J30" i="1" s="1"/>
  <c r="K30" i="1" s="1"/>
  <c r="I29" i="1"/>
  <c r="I28" i="1"/>
  <c r="J28" i="1" s="1"/>
  <c r="K28" i="1" s="1"/>
  <c r="D28" i="1"/>
  <c r="I27" i="1"/>
  <c r="J27" i="1" s="1"/>
  <c r="K27" i="1" s="1"/>
  <c r="I26" i="1"/>
  <c r="J26" i="1" s="1"/>
  <c r="K26" i="1" s="1"/>
  <c r="I25" i="1"/>
  <c r="J25" i="1" s="1"/>
  <c r="K25" i="1" s="1"/>
  <c r="L25" i="1" s="1"/>
  <c r="M25" i="1" s="1"/>
  <c r="N25" i="1" s="1"/>
  <c r="O25" i="1" s="1"/>
  <c r="D25" i="1"/>
  <c r="I24" i="1"/>
  <c r="D24" i="1"/>
  <c r="I23" i="1"/>
  <c r="J23" i="1" s="1"/>
  <c r="I22" i="1"/>
  <c r="J22" i="1" s="1"/>
  <c r="I21" i="1"/>
  <c r="I20" i="1"/>
  <c r="J20" i="1" s="1"/>
  <c r="I19" i="1"/>
  <c r="J19" i="1" s="1"/>
  <c r="I18" i="1"/>
  <c r="I17" i="1"/>
  <c r="J17" i="1" s="1"/>
  <c r="K17" i="1" s="1"/>
  <c r="I16" i="1"/>
  <c r="J16" i="1" s="1"/>
  <c r="K16" i="1" s="1"/>
  <c r="I15" i="1"/>
  <c r="I14" i="1"/>
  <c r="J14" i="1" s="1"/>
  <c r="I13" i="1"/>
  <c r="I12" i="1"/>
  <c r="J12" i="1" s="1"/>
  <c r="K12" i="1" s="1"/>
  <c r="I11" i="1"/>
  <c r="J11" i="1" s="1"/>
  <c r="I10" i="1"/>
  <c r="I9" i="1"/>
  <c r="J9" i="1" s="1"/>
  <c r="K9" i="1" s="1"/>
  <c r="I8" i="1"/>
  <c r="J8" i="1" s="1"/>
  <c r="K8" i="1" s="1"/>
  <c r="I7" i="1"/>
  <c r="I6" i="1"/>
  <c r="J6" i="1" s="1"/>
  <c r="I5" i="1"/>
  <c r="I4" i="1"/>
  <c r="J74" i="1" l="1"/>
  <c r="K74" i="1" s="1"/>
  <c r="L74" i="1" s="1"/>
  <c r="M74" i="1" s="1"/>
  <c r="I45" i="1"/>
  <c r="J45" i="1" s="1"/>
  <c r="K45" i="1" s="1"/>
  <c r="AG45" i="1"/>
  <c r="I47" i="1"/>
  <c r="J47" i="1" s="1"/>
  <c r="AG47" i="1"/>
  <c r="I59" i="1"/>
  <c r="J59" i="1" s="1"/>
  <c r="K59" i="1" s="1"/>
  <c r="I83" i="1"/>
  <c r="J83" i="1" s="1"/>
  <c r="K83" i="1" s="1"/>
  <c r="L83" i="1" s="1"/>
  <c r="M83" i="1" s="1"/>
  <c r="I60" i="1"/>
  <c r="J60" i="1" s="1"/>
  <c r="I84" i="1"/>
  <c r="J84" i="1" s="1"/>
  <c r="K84" i="1" s="1"/>
  <c r="I41" i="1"/>
  <c r="J41" i="1" s="1"/>
  <c r="K41" i="1" s="1"/>
  <c r="AG41" i="1"/>
  <c r="I44" i="1"/>
  <c r="J44" i="1" s="1"/>
  <c r="K44" i="1" s="1"/>
  <c r="AG44" i="1"/>
  <c r="I46" i="1"/>
  <c r="J46" i="1" s="1"/>
  <c r="K46" i="1" s="1"/>
  <c r="AG46" i="1"/>
  <c r="I65" i="1"/>
  <c r="J65" i="1" s="1"/>
  <c r="K65" i="1" s="1"/>
  <c r="I48" i="1"/>
  <c r="J48" i="1" s="1"/>
  <c r="K48" i="1" s="1"/>
  <c r="L48" i="1" s="1"/>
  <c r="M48" i="1" s="1"/>
  <c r="AG48" i="1"/>
  <c r="I61" i="1"/>
  <c r="J61" i="1" s="1"/>
  <c r="K61" i="1" s="1"/>
  <c r="L61" i="1" s="1"/>
  <c r="M61" i="1" s="1"/>
  <c r="K4" i="6"/>
  <c r="L4" i="6" s="1"/>
  <c r="K12" i="6"/>
  <c r="L12" i="6" s="1"/>
  <c r="K20" i="6"/>
  <c r="L20" i="6" s="1"/>
  <c r="M20" i="6" s="1"/>
  <c r="N20" i="6" s="1"/>
  <c r="K32" i="6"/>
  <c r="L32" i="6" s="1"/>
  <c r="M32" i="6" s="1"/>
  <c r="N32" i="6" s="1"/>
  <c r="K6" i="6"/>
  <c r="L6" i="6" s="1"/>
  <c r="M6" i="6" s="1"/>
  <c r="N6" i="6" s="1"/>
  <c r="O6" i="6" s="1"/>
  <c r="P6" i="6" s="1"/>
  <c r="L47" i="6"/>
  <c r="M47" i="6" s="1"/>
  <c r="N47" i="6" s="1"/>
  <c r="L11" i="6"/>
  <c r="M11" i="6" s="1"/>
  <c r="N11" i="6" s="1"/>
  <c r="L19" i="6"/>
  <c r="M19" i="6" s="1"/>
  <c r="N19" i="6" s="1"/>
  <c r="K51" i="6"/>
  <c r="L51" i="6" s="1"/>
  <c r="M51" i="6" s="1"/>
  <c r="N51" i="6" s="1"/>
  <c r="K61" i="6"/>
  <c r="L61" i="6" s="1"/>
  <c r="L87" i="5"/>
  <c r="M87" i="5" s="1"/>
  <c r="N87" i="5" s="1"/>
  <c r="L26" i="5"/>
  <c r="M26" i="5" s="1"/>
  <c r="N26" i="5" s="1"/>
  <c r="K35" i="5"/>
  <c r="L35" i="5" s="1"/>
  <c r="L25" i="5"/>
  <c r="M25" i="5" s="1"/>
  <c r="N25" i="5" s="1"/>
  <c r="L11" i="5"/>
  <c r="M11" i="5" s="1"/>
  <c r="N11" i="5" s="1"/>
  <c r="L44" i="5"/>
  <c r="M44" i="5" s="1"/>
  <c r="N44" i="5" s="1"/>
  <c r="K59" i="5"/>
  <c r="L59" i="5" s="1"/>
  <c r="M59" i="5" s="1"/>
  <c r="N59" i="5" s="1"/>
  <c r="N21" i="5"/>
  <c r="O21" i="5" s="1"/>
  <c r="L77" i="5"/>
  <c r="L10" i="5"/>
  <c r="M10" i="5" s="1"/>
  <c r="N10" i="5" s="1"/>
  <c r="L41" i="5"/>
  <c r="M41" i="5" s="1"/>
  <c r="N41" i="5" s="1"/>
  <c r="L8" i="5"/>
  <c r="M8" i="5" s="1"/>
  <c r="N8" i="5" s="1"/>
  <c r="L79" i="5"/>
  <c r="M79" i="5" s="1"/>
  <c r="N79" i="5" s="1"/>
  <c r="L16" i="5"/>
  <c r="M16" i="5" s="1"/>
  <c r="N16" i="5" s="1"/>
  <c r="L92" i="4"/>
  <c r="M92" i="4" s="1"/>
  <c r="N92" i="4" s="1"/>
  <c r="K20" i="4"/>
  <c r="L20" i="4" s="1"/>
  <c r="M20" i="4" s="1"/>
  <c r="N20" i="4" s="1"/>
  <c r="N46" i="4"/>
  <c r="O46" i="4" s="1"/>
  <c r="L96" i="4"/>
  <c r="M96" i="4" s="1"/>
  <c r="L40" i="4"/>
  <c r="K59" i="4"/>
  <c r="L59" i="4" s="1"/>
  <c r="M59" i="4" s="1"/>
  <c r="N59" i="4" s="1"/>
  <c r="K65" i="4"/>
  <c r="L65" i="4" s="1"/>
  <c r="M65" i="4" s="1"/>
  <c r="L86" i="4"/>
  <c r="M86" i="4" s="1"/>
  <c r="L83" i="4"/>
  <c r="M83" i="4" s="1"/>
  <c r="L63" i="4"/>
  <c r="M63" i="4" s="1"/>
  <c r="N63" i="4" s="1"/>
  <c r="L51" i="4"/>
  <c r="M51" i="4" s="1"/>
  <c r="K79" i="4"/>
  <c r="L79" i="4" s="1"/>
  <c r="M79" i="4" s="1"/>
  <c r="N79" i="4" s="1"/>
  <c r="K27" i="4"/>
  <c r="L27" i="4" s="1"/>
  <c r="M27" i="4" s="1"/>
  <c r="N27" i="4" s="1"/>
  <c r="K30" i="4"/>
  <c r="L30" i="4" s="1"/>
  <c r="K34" i="4"/>
  <c r="L34" i="4" s="1"/>
  <c r="M34" i="4" s="1"/>
  <c r="N34" i="4" s="1"/>
  <c r="K45" i="4"/>
  <c r="L45" i="4" s="1"/>
  <c r="M45" i="4" s="1"/>
  <c r="K10" i="4"/>
  <c r="L10" i="4" s="1"/>
  <c r="M10" i="4" s="1"/>
  <c r="N10" i="4" s="1"/>
  <c r="K28" i="4"/>
  <c r="L28" i="4" s="1"/>
  <c r="M28" i="4" s="1"/>
  <c r="N28" i="4" s="1"/>
  <c r="K49" i="4"/>
  <c r="L49" i="4" s="1"/>
  <c r="K41" i="4"/>
  <c r="L41" i="4" s="1"/>
  <c r="M41" i="4" s="1"/>
  <c r="N41" i="4" s="1"/>
  <c r="L18" i="4"/>
  <c r="M18" i="4" s="1"/>
  <c r="K61" i="4"/>
  <c r="L61" i="4" s="1"/>
  <c r="M61" i="4" s="1"/>
  <c r="L81" i="4"/>
  <c r="M81" i="4" s="1"/>
  <c r="N81" i="4" s="1"/>
  <c r="J37" i="1"/>
  <c r="K37" i="1" s="1"/>
  <c r="L37" i="1" s="1"/>
  <c r="M37" i="1" s="1"/>
  <c r="N37" i="1" s="1"/>
  <c r="O37" i="1" s="1"/>
  <c r="J5" i="1"/>
  <c r="K5" i="1" s="1"/>
  <c r="L5" i="1" s="1"/>
  <c r="M5" i="1" s="1"/>
  <c r="J58" i="1"/>
  <c r="K58" i="1" s="1"/>
  <c r="L79" i="1"/>
  <c r="M79" i="1" s="1"/>
  <c r="J76" i="1"/>
  <c r="K76" i="1" s="1"/>
  <c r="L76" i="1" s="1"/>
  <c r="M76" i="1" s="1"/>
  <c r="J13" i="1"/>
  <c r="K13" i="1" s="1"/>
  <c r="J91" i="1"/>
  <c r="K91" i="1" s="1"/>
  <c r="L91" i="1" s="1"/>
  <c r="M91" i="1" s="1"/>
  <c r="N91" i="1" s="1"/>
  <c r="O91" i="1" s="1"/>
  <c r="K20" i="1"/>
  <c r="L20" i="1" s="1"/>
  <c r="M20" i="1" s="1"/>
  <c r="J35" i="1"/>
  <c r="K35" i="1" s="1"/>
  <c r="L35" i="1" s="1"/>
  <c r="M35" i="1" s="1"/>
  <c r="K19" i="1"/>
  <c r="L19" i="1" s="1"/>
  <c r="M19" i="1" s="1"/>
  <c r="J77" i="1"/>
  <c r="K77" i="1" s="1"/>
  <c r="J49" i="1"/>
  <c r="K49" i="1" s="1"/>
  <c r="J34" i="1"/>
  <c r="K34" i="1" s="1"/>
  <c r="J56" i="1"/>
  <c r="K56" i="1" s="1"/>
  <c r="L56" i="1" s="1"/>
  <c r="M56" i="1" s="1"/>
  <c r="J21" i="1"/>
  <c r="K21" i="1" s="1"/>
  <c r="J73" i="1"/>
  <c r="K73" i="1" s="1"/>
  <c r="L73" i="1" s="1"/>
  <c r="M73" i="1" s="1"/>
  <c r="J4" i="1"/>
  <c r="K4" i="1" s="1"/>
  <c r="L4" i="1" s="1"/>
  <c r="M4" i="1" s="1"/>
  <c r="J15" i="1"/>
  <c r="K15" i="1" s="1"/>
  <c r="K11" i="1"/>
  <c r="L11" i="1" s="1"/>
  <c r="M11" i="1" s="1"/>
  <c r="K51" i="1"/>
  <c r="L51" i="1" s="1"/>
  <c r="M51" i="1" s="1"/>
  <c r="J24" i="1"/>
  <c r="K24" i="1" s="1"/>
  <c r="J7" i="1"/>
  <c r="K7" i="1" s="1"/>
  <c r="L7" i="1" s="1"/>
  <c r="M7" i="1" s="1"/>
  <c r="J55" i="1"/>
  <c r="K55" i="1" s="1"/>
  <c r="L55" i="1" s="1"/>
  <c r="M55" i="1" s="1"/>
  <c r="K81" i="1"/>
  <c r="K23" i="1"/>
  <c r="L23" i="1" s="1"/>
  <c r="M23" i="1" s="1"/>
  <c r="K89" i="1"/>
  <c r="L89" i="1" s="1"/>
  <c r="M89" i="1" s="1"/>
  <c r="M25" i="4"/>
  <c r="N25" i="4" s="1"/>
  <c r="M8" i="4"/>
  <c r="N8" i="4" s="1"/>
  <c r="M26" i="4"/>
  <c r="N26" i="4" s="1"/>
  <c r="M16" i="4"/>
  <c r="N16" i="4" s="1"/>
  <c r="M19" i="5"/>
  <c r="N19" i="5" s="1"/>
  <c r="M32" i="4"/>
  <c r="N32" i="4" s="1"/>
  <c r="M17" i="4"/>
  <c r="N17" i="4" s="1"/>
  <c r="M52" i="4"/>
  <c r="N52" i="4" s="1"/>
  <c r="M11" i="4"/>
  <c r="N11" i="4" s="1"/>
  <c r="M99" i="4"/>
  <c r="N99" i="4" s="1"/>
  <c r="M44" i="4"/>
  <c r="N44" i="4" s="1"/>
  <c r="M46" i="5"/>
  <c r="N46" i="5" s="1"/>
  <c r="M9" i="4"/>
  <c r="N9" i="4" s="1"/>
  <c r="M19" i="4"/>
  <c r="N19" i="4" s="1"/>
  <c r="M84" i="4"/>
  <c r="N84" i="4" s="1"/>
  <c r="M32" i="5"/>
  <c r="N32" i="5" s="1"/>
  <c r="K74" i="4"/>
  <c r="L74" i="4" s="1"/>
  <c r="M80" i="5"/>
  <c r="N80" i="5" s="1"/>
  <c r="M86" i="5"/>
  <c r="N86" i="5" s="1"/>
  <c r="M90" i="6"/>
  <c r="N90" i="6" s="1"/>
  <c r="K48" i="4"/>
  <c r="L48" i="4" s="1"/>
  <c r="L64" i="4"/>
  <c r="N18" i="5"/>
  <c r="K24" i="5"/>
  <c r="L24" i="5" s="1"/>
  <c r="M27" i="5"/>
  <c r="N27" i="5" s="1"/>
  <c r="M30" i="5"/>
  <c r="N30" i="5" s="1"/>
  <c r="K40" i="5"/>
  <c r="L40" i="5" s="1"/>
  <c r="M34" i="6"/>
  <c r="N34" i="6" s="1"/>
  <c r="M55" i="6"/>
  <c r="N55" i="6" s="1"/>
  <c r="K7" i="4"/>
  <c r="L7" i="4" s="1"/>
  <c r="K15" i="4"/>
  <c r="L15" i="4" s="1"/>
  <c r="K23" i="4"/>
  <c r="L23" i="4" s="1"/>
  <c r="K24" i="4"/>
  <c r="L24" i="4" s="1"/>
  <c r="N54" i="4"/>
  <c r="K76" i="4"/>
  <c r="L76" i="4" s="1"/>
  <c r="L80" i="4"/>
  <c r="L9" i="5"/>
  <c r="K91" i="4"/>
  <c r="L91" i="4" s="1"/>
  <c r="K6" i="4"/>
  <c r="L6" i="4" s="1"/>
  <c r="K14" i="4"/>
  <c r="L14" i="4" s="1"/>
  <c r="K22" i="4"/>
  <c r="L22" i="4" s="1"/>
  <c r="M37" i="5"/>
  <c r="N37" i="5" s="1"/>
  <c r="M50" i="5"/>
  <c r="N50" i="5" s="1"/>
  <c r="M70" i="5"/>
  <c r="N70" i="5" s="1"/>
  <c r="M7" i="6"/>
  <c r="N7" i="6" s="1"/>
  <c r="K15" i="5"/>
  <c r="L15" i="5" s="1"/>
  <c r="K5" i="4"/>
  <c r="L5" i="4" s="1"/>
  <c r="K13" i="4"/>
  <c r="L13" i="4" s="1"/>
  <c r="K21" i="4"/>
  <c r="L21" i="4" s="1"/>
  <c r="K35" i="4"/>
  <c r="L35" i="4" s="1"/>
  <c r="L77" i="4"/>
  <c r="M28" i="5"/>
  <c r="N28" i="5" s="1"/>
  <c r="K87" i="6"/>
  <c r="L87" i="6" s="1"/>
  <c r="K58" i="4"/>
  <c r="L58" i="4" s="1"/>
  <c r="K4" i="4"/>
  <c r="L4" i="4" s="1"/>
  <c r="K12" i="4"/>
  <c r="L12" i="4" s="1"/>
  <c r="K7" i="5"/>
  <c r="L7" i="5" s="1"/>
  <c r="K23" i="5"/>
  <c r="L23" i="5" s="1"/>
  <c r="K38" i="5"/>
  <c r="L38" i="5" s="1"/>
  <c r="M63" i="5"/>
  <c r="N63" i="5" s="1"/>
  <c r="M73" i="6"/>
  <c r="N73" i="6" s="1"/>
  <c r="L38" i="4"/>
  <c r="L50" i="4"/>
  <c r="N53" i="4"/>
  <c r="K56" i="4"/>
  <c r="L56" i="4" s="1"/>
  <c r="L60" i="4"/>
  <c r="N69" i="4"/>
  <c r="L93" i="4"/>
  <c r="L17" i="5"/>
  <c r="L45" i="5"/>
  <c r="M14" i="6"/>
  <c r="N14" i="6" s="1"/>
  <c r="M99" i="5"/>
  <c r="N99" i="5" s="1"/>
  <c r="K27" i="6"/>
  <c r="L27" i="6" s="1"/>
  <c r="K70" i="6"/>
  <c r="L70" i="6" s="1"/>
  <c r="K51" i="5"/>
  <c r="L51" i="5" s="1"/>
  <c r="K81" i="5"/>
  <c r="L81" i="5" s="1"/>
  <c r="K28" i="6"/>
  <c r="L28" i="6" s="1"/>
  <c r="M71" i="6"/>
  <c r="N71" i="6" s="1"/>
  <c r="L89" i="6"/>
  <c r="K47" i="4"/>
  <c r="L47" i="4" s="1"/>
  <c r="K55" i="4"/>
  <c r="L55" i="4" s="1"/>
  <c r="K73" i="4"/>
  <c r="L73" i="4" s="1"/>
  <c r="K90" i="4"/>
  <c r="L90" i="4" s="1"/>
  <c r="K6" i="5"/>
  <c r="L6" i="5" s="1"/>
  <c r="K14" i="5"/>
  <c r="L14" i="5" s="1"/>
  <c r="K22" i="5"/>
  <c r="L22" i="5" s="1"/>
  <c r="K49" i="5"/>
  <c r="L49" i="5" s="1"/>
  <c r="M64" i="5"/>
  <c r="N64" i="5" s="1"/>
  <c r="M92" i="5"/>
  <c r="N92" i="5" s="1"/>
  <c r="K71" i="4"/>
  <c r="L71" i="4" s="1"/>
  <c r="K89" i="4"/>
  <c r="L89" i="4" s="1"/>
  <c r="K5" i="5"/>
  <c r="L5" i="5" s="1"/>
  <c r="K13" i="5"/>
  <c r="L13" i="5" s="1"/>
  <c r="K48" i="5"/>
  <c r="L48" i="5" s="1"/>
  <c r="L52" i="5"/>
  <c r="K65" i="5"/>
  <c r="L65" i="5" s="1"/>
  <c r="K83" i="5"/>
  <c r="L83" i="5" s="1"/>
  <c r="K30" i="6"/>
  <c r="L30" i="6" s="1"/>
  <c r="K53" i="6"/>
  <c r="L53" i="6" s="1"/>
  <c r="K70" i="4"/>
  <c r="L70" i="4" s="1"/>
  <c r="K87" i="4"/>
  <c r="L87" i="4" s="1"/>
  <c r="K4" i="5"/>
  <c r="L4" i="5" s="1"/>
  <c r="K12" i="5"/>
  <c r="L12" i="5" s="1"/>
  <c r="K20" i="5"/>
  <c r="L20" i="5" s="1"/>
  <c r="K34" i="5"/>
  <c r="L34" i="5" s="1"/>
  <c r="K47" i="5"/>
  <c r="L47" i="5" s="1"/>
  <c r="M60" i="5"/>
  <c r="N60" i="5" s="1"/>
  <c r="L69" i="5"/>
  <c r="M5" i="6"/>
  <c r="N5" i="6" s="1"/>
  <c r="M13" i="6"/>
  <c r="N13" i="6" s="1"/>
  <c r="M21" i="6"/>
  <c r="N21" i="6" s="1"/>
  <c r="K45" i="6"/>
  <c r="L45" i="6" s="1"/>
  <c r="M65" i="6"/>
  <c r="N65" i="6" s="1"/>
  <c r="K61" i="5"/>
  <c r="L61" i="5" s="1"/>
  <c r="M84" i="5"/>
  <c r="N84" i="5" s="1"/>
  <c r="K96" i="5"/>
  <c r="L96" i="5" s="1"/>
  <c r="K10" i="6"/>
  <c r="L10" i="6" s="1"/>
  <c r="K18" i="6"/>
  <c r="L18" i="6" s="1"/>
  <c r="L46" i="6"/>
  <c r="M54" i="6"/>
  <c r="N54" i="6" s="1"/>
  <c r="K93" i="5"/>
  <c r="L93" i="5" s="1"/>
  <c r="K9" i="6"/>
  <c r="L9" i="6" s="1"/>
  <c r="K17" i="6"/>
  <c r="L17" i="6" s="1"/>
  <c r="K26" i="6"/>
  <c r="L26" i="6" s="1"/>
  <c r="K44" i="6"/>
  <c r="L44" i="6" s="1"/>
  <c r="K52" i="6"/>
  <c r="L52" i="6" s="1"/>
  <c r="K69" i="6"/>
  <c r="L69" i="6" s="1"/>
  <c r="K84" i="6"/>
  <c r="L84" i="6" s="1"/>
  <c r="K86" i="6"/>
  <c r="L86" i="6" s="1"/>
  <c r="K99" i="6"/>
  <c r="L99" i="6" s="1"/>
  <c r="K8" i="6"/>
  <c r="L8" i="6" s="1"/>
  <c r="K16" i="6"/>
  <c r="L16" i="6" s="1"/>
  <c r="K25" i="6"/>
  <c r="L25" i="6" s="1"/>
  <c r="K41" i="6"/>
  <c r="L41" i="6" s="1"/>
  <c r="K81" i="6"/>
  <c r="L81" i="6" s="1"/>
  <c r="K83" i="6"/>
  <c r="L83" i="6" s="1"/>
  <c r="K96" i="6"/>
  <c r="L96" i="6" s="1"/>
  <c r="K56" i="5"/>
  <c r="L56" i="5" s="1"/>
  <c r="K58" i="5"/>
  <c r="L58" i="5" s="1"/>
  <c r="K74" i="5"/>
  <c r="L74" i="5" s="1"/>
  <c r="K76" i="5"/>
  <c r="L76" i="5" s="1"/>
  <c r="K91" i="5"/>
  <c r="L91" i="5" s="1"/>
  <c r="K15" i="6"/>
  <c r="L15" i="6" s="1"/>
  <c r="K23" i="6"/>
  <c r="L23" i="6" s="1"/>
  <c r="K24" i="6"/>
  <c r="L24" i="6" s="1"/>
  <c r="K38" i="6"/>
  <c r="L38" i="6" s="1"/>
  <c r="K40" i="6"/>
  <c r="L40" i="6" s="1"/>
  <c r="K50" i="6"/>
  <c r="L50" i="6" s="1"/>
  <c r="K60" i="6"/>
  <c r="L60" i="6" s="1"/>
  <c r="K63" i="6"/>
  <c r="L63" i="6" s="1"/>
  <c r="K64" i="6"/>
  <c r="L64" i="6" s="1"/>
  <c r="K80" i="6"/>
  <c r="L80" i="6" s="1"/>
  <c r="K93" i="6"/>
  <c r="L93" i="6" s="1"/>
  <c r="K55" i="5"/>
  <c r="L55" i="5" s="1"/>
  <c r="K73" i="5"/>
  <c r="L73" i="5" s="1"/>
  <c r="K90" i="5"/>
  <c r="L90" i="5" s="1"/>
  <c r="K22" i="6"/>
  <c r="L22" i="6" s="1"/>
  <c r="K37" i="6"/>
  <c r="L37" i="6" s="1"/>
  <c r="K49" i="6"/>
  <c r="L49" i="6" s="1"/>
  <c r="K59" i="6"/>
  <c r="L59" i="6" s="1"/>
  <c r="K77" i="6"/>
  <c r="L77" i="6" s="1"/>
  <c r="K79" i="6"/>
  <c r="L79" i="6" s="1"/>
  <c r="K92" i="6"/>
  <c r="L92" i="6" s="1"/>
  <c r="K71" i="5"/>
  <c r="L71" i="5" s="1"/>
  <c r="K89" i="5"/>
  <c r="L89" i="5" s="1"/>
  <c r="K35" i="6"/>
  <c r="L35" i="6" s="1"/>
  <c r="K48" i="6"/>
  <c r="L48" i="6" s="1"/>
  <c r="K56" i="6"/>
  <c r="L56" i="6" s="1"/>
  <c r="K58" i="6"/>
  <c r="L58" i="6" s="1"/>
  <c r="K74" i="6"/>
  <c r="L74" i="6" s="1"/>
  <c r="K76" i="6"/>
  <c r="L76" i="6" s="1"/>
  <c r="K91" i="6"/>
  <c r="L91" i="6" s="1"/>
  <c r="L90" i="1"/>
  <c r="M90" i="1" s="1"/>
  <c r="L28" i="1"/>
  <c r="M28" i="1" s="1"/>
  <c r="L26" i="1"/>
  <c r="M26" i="1" s="1"/>
  <c r="L30" i="1"/>
  <c r="M30" i="1" s="1"/>
  <c r="N30" i="1" s="1"/>
  <c r="L80" i="1"/>
  <c r="M80" i="1" s="1"/>
  <c r="L70" i="1"/>
  <c r="M70" i="1" s="1"/>
  <c r="L8" i="1"/>
  <c r="M8" i="1" s="1"/>
  <c r="L16" i="1"/>
  <c r="M16" i="1" s="1"/>
  <c r="L27" i="1"/>
  <c r="M27" i="1" s="1"/>
  <c r="L45" i="1"/>
  <c r="M45" i="1" s="1"/>
  <c r="L87" i="1"/>
  <c r="M87" i="1" s="1"/>
  <c r="L9" i="1"/>
  <c r="M9" i="1" s="1"/>
  <c r="L17" i="1"/>
  <c r="M17" i="1" s="1"/>
  <c r="K6" i="1"/>
  <c r="K14" i="1"/>
  <c r="K22" i="1"/>
  <c r="K38" i="1"/>
  <c r="K40" i="1"/>
  <c r="K50" i="1"/>
  <c r="K63" i="1"/>
  <c r="K64" i="1"/>
  <c r="K93" i="1"/>
  <c r="J10" i="1"/>
  <c r="K10" i="1" s="1"/>
  <c r="L12" i="1"/>
  <c r="M12" i="1" s="1"/>
  <c r="J18" i="1"/>
  <c r="K18" i="1" s="1"/>
  <c r="J32" i="1"/>
  <c r="K32" i="1" s="1"/>
  <c r="L32" i="1" s="1"/>
  <c r="J71" i="1"/>
  <c r="K71" i="1" s="1"/>
  <c r="K92" i="1"/>
  <c r="J52" i="1"/>
  <c r="K52" i="1" s="1"/>
  <c r="J69" i="1"/>
  <c r="K69" i="1" s="1"/>
  <c r="J86" i="1"/>
  <c r="K86" i="1" s="1"/>
  <c r="K96" i="1"/>
  <c r="L34" i="1" l="1"/>
  <c r="M34" i="1" s="1"/>
  <c r="K60" i="1"/>
  <c r="L60" i="1" s="1"/>
  <c r="M60" i="1" s="1"/>
  <c r="P46" i="4"/>
  <c r="K47" i="1"/>
  <c r="L47" i="1" s="1"/>
  <c r="M47" i="1" s="1"/>
  <c r="N47" i="1" s="1"/>
  <c r="O47" i="1" s="1"/>
  <c r="M61" i="6"/>
  <c r="N61" i="6" s="1"/>
  <c r="M12" i="6"/>
  <c r="N12" i="6" s="1"/>
  <c r="O12" i="6" s="1"/>
  <c r="P12" i="6" s="1"/>
  <c r="M4" i="6"/>
  <c r="N4" i="6" s="1"/>
  <c r="O4" i="6" s="1"/>
  <c r="P4" i="6" s="1"/>
  <c r="P21" i="5"/>
  <c r="M35" i="5"/>
  <c r="N35" i="5" s="1"/>
  <c r="M77" i="5"/>
  <c r="N77" i="5" s="1"/>
  <c r="N51" i="4"/>
  <c r="O51" i="4" s="1"/>
  <c r="P51" i="4" s="1"/>
  <c r="N83" i="4"/>
  <c r="O83" i="4" s="1"/>
  <c r="P83" i="4" s="1"/>
  <c r="N61" i="4"/>
  <c r="O61" i="4" s="1"/>
  <c r="P61" i="4" s="1"/>
  <c r="N86" i="4"/>
  <c r="O86" i="4" s="1"/>
  <c r="P86" i="4" s="1"/>
  <c r="M49" i="4"/>
  <c r="N49" i="4" s="1"/>
  <c r="N18" i="4"/>
  <c r="O18" i="4" s="1"/>
  <c r="P18" i="4" s="1"/>
  <c r="M40" i="4"/>
  <c r="N40" i="4" s="1"/>
  <c r="O40" i="4" s="1"/>
  <c r="P40" i="4" s="1"/>
  <c r="N96" i="4"/>
  <c r="O96" i="4" s="1"/>
  <c r="P96" i="4" s="1"/>
  <c r="N65" i="4"/>
  <c r="O65" i="4" s="1"/>
  <c r="P65" i="4" s="1"/>
  <c r="M30" i="4"/>
  <c r="N30" i="4" s="1"/>
  <c r="O30" i="4" s="1"/>
  <c r="P30" i="4" s="1"/>
  <c r="N45" i="4"/>
  <c r="O45" i="4" s="1"/>
  <c r="P45" i="4" s="1"/>
  <c r="L58" i="1"/>
  <c r="M58" i="1" s="1"/>
  <c r="N58" i="1" s="1"/>
  <c r="O58" i="1" s="1"/>
  <c r="L24" i="1"/>
  <c r="M24" i="1" s="1"/>
  <c r="N24" i="1" s="1"/>
  <c r="O24" i="1" s="1"/>
  <c r="L49" i="1"/>
  <c r="M49" i="1" s="1"/>
  <c r="N49" i="1" s="1"/>
  <c r="O49" i="1" s="1"/>
  <c r="L15" i="1"/>
  <c r="M15" i="1" s="1"/>
  <c r="N79" i="1"/>
  <c r="O79" i="1" s="1"/>
  <c r="L21" i="1"/>
  <c r="M21" i="1" s="1"/>
  <c r="N5" i="1"/>
  <c r="O5" i="1" s="1"/>
  <c r="L41" i="1"/>
  <c r="M41" i="1" s="1"/>
  <c r="N41" i="1" s="1"/>
  <c r="O41" i="1" s="1"/>
  <c r="L65" i="1"/>
  <c r="M65" i="1" s="1"/>
  <c r="N65" i="1" s="1"/>
  <c r="O65" i="1" s="1"/>
  <c r="L13" i="1"/>
  <c r="M13" i="1" s="1"/>
  <c r="N13" i="1" s="1"/>
  <c r="O13" i="1" s="1"/>
  <c r="L77" i="1"/>
  <c r="M77" i="1" s="1"/>
  <c r="N77" i="1" s="1"/>
  <c r="O77" i="1" s="1"/>
  <c r="L59" i="1"/>
  <c r="M59" i="1" s="1"/>
  <c r="N59" i="1" s="1"/>
  <c r="O59" i="1" s="1"/>
  <c r="L81" i="1"/>
  <c r="M81" i="1" s="1"/>
  <c r="N81" i="1" s="1"/>
  <c r="O81" i="1" s="1"/>
  <c r="M77" i="6"/>
  <c r="N77" i="6" s="1"/>
  <c r="M96" i="6"/>
  <c r="N96" i="6" s="1"/>
  <c r="M86" i="6"/>
  <c r="N86" i="6" s="1"/>
  <c r="M93" i="5"/>
  <c r="N93" i="5" s="1"/>
  <c r="M10" i="6"/>
  <c r="N10" i="6" s="1"/>
  <c r="O60" i="5"/>
  <c r="P60" i="5" s="1"/>
  <c r="M70" i="4"/>
  <c r="N70" i="4" s="1"/>
  <c r="M14" i="5"/>
  <c r="N14" i="5" s="1"/>
  <c r="O99" i="5"/>
  <c r="P99" i="5" s="1"/>
  <c r="O63" i="5"/>
  <c r="P63" i="5" s="1"/>
  <c r="M87" i="6"/>
  <c r="N87" i="6" s="1"/>
  <c r="M24" i="5"/>
  <c r="N24" i="5" s="1"/>
  <c r="O99" i="4"/>
  <c r="P99" i="4" s="1"/>
  <c r="O17" i="4"/>
  <c r="P17" i="4" s="1"/>
  <c r="O10" i="4"/>
  <c r="P10" i="4" s="1"/>
  <c r="M80" i="6"/>
  <c r="N80" i="6" s="1"/>
  <c r="M96" i="5"/>
  <c r="N96" i="5" s="1"/>
  <c r="M89" i="4"/>
  <c r="N89" i="4" s="1"/>
  <c r="O92" i="5"/>
  <c r="P92" i="5" s="1"/>
  <c r="M6" i="5"/>
  <c r="N6" i="5" s="1"/>
  <c r="O59" i="5"/>
  <c r="P59" i="5" s="1"/>
  <c r="O14" i="6"/>
  <c r="P14" i="6" s="1"/>
  <c r="O44" i="5"/>
  <c r="P44" i="5" s="1"/>
  <c r="M5" i="4"/>
  <c r="N5" i="4" s="1"/>
  <c r="O59" i="4"/>
  <c r="P59" i="4" s="1"/>
  <c r="O55" i="6"/>
  <c r="P55" i="6" s="1"/>
  <c r="O90" i="6"/>
  <c r="P90" i="6" s="1"/>
  <c r="O79" i="4"/>
  <c r="P79" i="4" s="1"/>
  <c r="O28" i="4"/>
  <c r="P28" i="4" s="1"/>
  <c r="O26" i="4"/>
  <c r="P26" i="4" s="1"/>
  <c r="M49" i="6"/>
  <c r="N49" i="6" s="1"/>
  <c r="M15" i="6"/>
  <c r="N15" i="6" s="1"/>
  <c r="M81" i="6"/>
  <c r="N81" i="6" s="1"/>
  <c r="M69" i="6"/>
  <c r="N69" i="6" s="1"/>
  <c r="O84" i="5"/>
  <c r="P84" i="5" s="1"/>
  <c r="O32" i="6"/>
  <c r="P32" i="6" s="1"/>
  <c r="M47" i="5"/>
  <c r="N47" i="5" s="1"/>
  <c r="M71" i="4"/>
  <c r="N71" i="4" s="1"/>
  <c r="O87" i="5"/>
  <c r="P87" i="5" s="1"/>
  <c r="M51" i="5"/>
  <c r="N51" i="5" s="1"/>
  <c r="O28" i="5"/>
  <c r="P28" i="5" s="1"/>
  <c r="M15" i="5"/>
  <c r="N15" i="5" s="1"/>
  <c r="O34" i="6"/>
  <c r="P34" i="6" s="1"/>
  <c r="O11" i="6"/>
  <c r="P11" i="6" s="1"/>
  <c r="M89" i="5"/>
  <c r="N89" i="5" s="1"/>
  <c r="M37" i="6"/>
  <c r="N37" i="6" s="1"/>
  <c r="M63" i="6"/>
  <c r="N63" i="6" s="1"/>
  <c r="M91" i="5"/>
  <c r="N91" i="5" s="1"/>
  <c r="M41" i="6"/>
  <c r="N41" i="6" s="1"/>
  <c r="M52" i="6"/>
  <c r="N52" i="6" s="1"/>
  <c r="M73" i="4"/>
  <c r="N73" i="4" s="1"/>
  <c r="M70" i="6"/>
  <c r="N70" i="6" s="1"/>
  <c r="O63" i="4"/>
  <c r="P63" i="4" s="1"/>
  <c r="M76" i="4"/>
  <c r="N76" i="4" s="1"/>
  <c r="O86" i="5"/>
  <c r="P86" i="5" s="1"/>
  <c r="M7" i="4"/>
  <c r="N7" i="4" s="1"/>
  <c r="M91" i="6"/>
  <c r="N91" i="6" s="1"/>
  <c r="M71" i="5"/>
  <c r="N71" i="5" s="1"/>
  <c r="M22" i="6"/>
  <c r="N22" i="6" s="1"/>
  <c r="M60" i="6"/>
  <c r="N60" i="6" s="1"/>
  <c r="M76" i="5"/>
  <c r="N76" i="5" s="1"/>
  <c r="M25" i="6"/>
  <c r="N25" i="6" s="1"/>
  <c r="M44" i="6"/>
  <c r="N44" i="6" s="1"/>
  <c r="O54" i="6"/>
  <c r="P54" i="6" s="1"/>
  <c r="M20" i="5"/>
  <c r="N20" i="5" s="1"/>
  <c r="O20" i="6"/>
  <c r="P20" i="6" s="1"/>
  <c r="M55" i="4"/>
  <c r="N55" i="4" s="1"/>
  <c r="O51" i="6"/>
  <c r="P51" i="6" s="1"/>
  <c r="O26" i="5"/>
  <c r="P26" i="5" s="1"/>
  <c r="M12" i="4"/>
  <c r="N12" i="4" s="1"/>
  <c r="O41" i="4"/>
  <c r="P41" i="4" s="1"/>
  <c r="M22" i="4"/>
  <c r="N22" i="4" s="1"/>
  <c r="O80" i="5"/>
  <c r="P80" i="5" s="1"/>
  <c r="O11" i="4"/>
  <c r="P11" i="4" s="1"/>
  <c r="M76" i="6"/>
  <c r="N76" i="6" s="1"/>
  <c r="M90" i="5"/>
  <c r="N90" i="5" s="1"/>
  <c r="M50" i="6"/>
  <c r="N50" i="6" s="1"/>
  <c r="M74" i="5"/>
  <c r="N74" i="5" s="1"/>
  <c r="M16" i="6"/>
  <c r="N16" i="6" s="1"/>
  <c r="M26" i="6"/>
  <c r="N26" i="6" s="1"/>
  <c r="M61" i="5"/>
  <c r="N61" i="5" s="1"/>
  <c r="M12" i="5"/>
  <c r="N12" i="5" s="1"/>
  <c r="M47" i="4"/>
  <c r="N47" i="4" s="1"/>
  <c r="M28" i="6"/>
  <c r="N28" i="6" s="1"/>
  <c r="M23" i="5"/>
  <c r="N23" i="5" s="1"/>
  <c r="M4" i="4"/>
  <c r="N4" i="4" s="1"/>
  <c r="M14" i="4"/>
  <c r="N14" i="4" s="1"/>
  <c r="O41" i="5"/>
  <c r="P41" i="5" s="1"/>
  <c r="M40" i="5"/>
  <c r="N40" i="5" s="1"/>
  <c r="O8" i="5"/>
  <c r="P8" i="5" s="1"/>
  <c r="O46" i="5"/>
  <c r="P46" i="5" s="1"/>
  <c r="O27" i="4"/>
  <c r="P27" i="4" s="1"/>
  <c r="O34" i="4"/>
  <c r="P34" i="4" s="1"/>
  <c r="M56" i="6"/>
  <c r="N56" i="6" s="1"/>
  <c r="M74" i="6"/>
  <c r="N74" i="6" s="1"/>
  <c r="M92" i="6"/>
  <c r="N92" i="6" s="1"/>
  <c r="M73" i="5"/>
  <c r="N73" i="5" s="1"/>
  <c r="M40" i="6"/>
  <c r="N40" i="6" s="1"/>
  <c r="M58" i="5"/>
  <c r="N58" i="5" s="1"/>
  <c r="M8" i="6"/>
  <c r="N8" i="6" s="1"/>
  <c r="M17" i="6"/>
  <c r="N17" i="6" s="1"/>
  <c r="O65" i="6"/>
  <c r="P65" i="6" s="1"/>
  <c r="O5" i="6"/>
  <c r="P5" i="6" s="1"/>
  <c r="M48" i="5"/>
  <c r="N48" i="5" s="1"/>
  <c r="M81" i="5"/>
  <c r="N81" i="5" s="1"/>
  <c r="O10" i="5"/>
  <c r="P10" i="5" s="1"/>
  <c r="M35" i="4"/>
  <c r="N35" i="4" s="1"/>
  <c r="O7" i="6"/>
  <c r="P7" i="6" s="1"/>
  <c r="M6" i="4"/>
  <c r="N6" i="4" s="1"/>
  <c r="M23" i="4"/>
  <c r="N23" i="4" s="1"/>
  <c r="O30" i="5"/>
  <c r="P30" i="5" s="1"/>
  <c r="O32" i="5"/>
  <c r="P32" i="5" s="1"/>
  <c r="O44" i="4"/>
  <c r="P44" i="4" s="1"/>
  <c r="O25" i="4"/>
  <c r="P25" i="4" s="1"/>
  <c r="M64" i="6"/>
  <c r="N64" i="6" s="1"/>
  <c r="M79" i="6"/>
  <c r="N79" i="6" s="1"/>
  <c r="M87" i="4"/>
  <c r="N87" i="4" s="1"/>
  <c r="M13" i="5"/>
  <c r="N13" i="5" s="1"/>
  <c r="M22" i="5"/>
  <c r="N22" i="5" s="1"/>
  <c r="O47" i="6"/>
  <c r="P47" i="6" s="1"/>
  <c r="M58" i="4"/>
  <c r="N58" i="4" s="1"/>
  <c r="M21" i="4"/>
  <c r="N21" i="4" s="1"/>
  <c r="O70" i="5"/>
  <c r="P70" i="5" s="1"/>
  <c r="O25" i="5"/>
  <c r="P25" i="5" s="1"/>
  <c r="M15" i="4"/>
  <c r="N15" i="4" s="1"/>
  <c r="O27" i="5"/>
  <c r="P27" i="5" s="1"/>
  <c r="O84" i="4"/>
  <c r="P84" i="4" s="1"/>
  <c r="O20" i="4"/>
  <c r="P20" i="4" s="1"/>
  <c r="M9" i="6"/>
  <c r="N9" i="6" s="1"/>
  <c r="M52" i="5"/>
  <c r="N52" i="5" s="1"/>
  <c r="M35" i="6"/>
  <c r="N35" i="6" s="1"/>
  <c r="O92" i="4"/>
  <c r="P92" i="4" s="1"/>
  <c r="M49" i="5"/>
  <c r="N49" i="5" s="1"/>
  <c r="O11" i="5"/>
  <c r="P11" i="5" s="1"/>
  <c r="O19" i="4"/>
  <c r="P19" i="4" s="1"/>
  <c r="O19" i="5"/>
  <c r="P19" i="5" s="1"/>
  <c r="M50" i="4"/>
  <c r="N50" i="4" s="1"/>
  <c r="M13" i="4"/>
  <c r="N13" i="4" s="1"/>
  <c r="O50" i="5"/>
  <c r="P50" i="5" s="1"/>
  <c r="M74" i="4"/>
  <c r="N74" i="4" s="1"/>
  <c r="O16" i="4"/>
  <c r="P16" i="4" s="1"/>
  <c r="O8" i="4"/>
  <c r="P8" i="4" s="1"/>
  <c r="M84" i="6"/>
  <c r="N84" i="6" s="1"/>
  <c r="M18" i="6"/>
  <c r="N18" i="6" s="1"/>
  <c r="M56" i="5"/>
  <c r="N56" i="5" s="1"/>
  <c r="M30" i="6"/>
  <c r="N30" i="6" s="1"/>
  <c r="M65" i="5"/>
  <c r="N65" i="5" s="1"/>
  <c r="O64" i="5"/>
  <c r="P64" i="5" s="1"/>
  <c r="M27" i="6"/>
  <c r="N27" i="6" s="1"/>
  <c r="M56" i="4"/>
  <c r="N56" i="4" s="1"/>
  <c r="M9" i="5"/>
  <c r="N9" i="5" s="1"/>
  <c r="O18" i="5"/>
  <c r="P18" i="5" s="1"/>
  <c r="O32" i="4"/>
  <c r="P32" i="4" s="1"/>
  <c r="M45" i="6"/>
  <c r="N45" i="6" s="1"/>
  <c r="O21" i="6"/>
  <c r="P21" i="6" s="1"/>
  <c r="M55" i="5"/>
  <c r="N55" i="5" s="1"/>
  <c r="M23" i="6"/>
  <c r="N23" i="6" s="1"/>
  <c r="M38" i="5"/>
  <c r="N38" i="5" s="1"/>
  <c r="M80" i="4"/>
  <c r="N80" i="4" s="1"/>
  <c r="O52" i="4"/>
  <c r="P52" i="4" s="1"/>
  <c r="M38" i="6"/>
  <c r="N38" i="6" s="1"/>
  <c r="O13" i="6"/>
  <c r="P13" i="6" s="1"/>
  <c r="M93" i="6"/>
  <c r="N93" i="6" s="1"/>
  <c r="O81" i="4"/>
  <c r="P81" i="4" s="1"/>
  <c r="M5" i="5"/>
  <c r="N5" i="5" s="1"/>
  <c r="M89" i="6"/>
  <c r="N89" i="6" s="1"/>
  <c r="M17" i="5"/>
  <c r="N17" i="5" s="1"/>
  <c r="O53" i="4"/>
  <c r="P53" i="4" s="1"/>
  <c r="M7" i="5"/>
  <c r="N7" i="5" s="1"/>
  <c r="M34" i="5"/>
  <c r="N34" i="5" s="1"/>
  <c r="O37" i="5"/>
  <c r="P37" i="5" s="1"/>
  <c r="M48" i="4"/>
  <c r="N48" i="4" s="1"/>
  <c r="M48" i="6"/>
  <c r="N48" i="6" s="1"/>
  <c r="M24" i="4"/>
  <c r="N24" i="4" s="1"/>
  <c r="M53" i="6"/>
  <c r="N53" i="6" s="1"/>
  <c r="M93" i="4"/>
  <c r="N93" i="4" s="1"/>
  <c r="M38" i="4"/>
  <c r="N38" i="4" s="1"/>
  <c r="M64" i="4"/>
  <c r="N64" i="4" s="1"/>
  <c r="M59" i="6"/>
  <c r="N59" i="6" s="1"/>
  <c r="M24" i="6"/>
  <c r="N24" i="6" s="1"/>
  <c r="M58" i="6"/>
  <c r="N58" i="6" s="1"/>
  <c r="M45" i="5"/>
  <c r="N45" i="5" s="1"/>
  <c r="M46" i="6"/>
  <c r="N46" i="6" s="1"/>
  <c r="M69" i="5"/>
  <c r="N69" i="5" s="1"/>
  <c r="O69" i="4"/>
  <c r="P69" i="4" s="1"/>
  <c r="M77" i="4"/>
  <c r="N77" i="4" s="1"/>
  <c r="O16" i="5"/>
  <c r="P16" i="5" s="1"/>
  <c r="O54" i="4"/>
  <c r="P54" i="4" s="1"/>
  <c r="O9" i="4"/>
  <c r="P9" i="4" s="1"/>
  <c r="O79" i="5"/>
  <c r="P79" i="5" s="1"/>
  <c r="M83" i="6"/>
  <c r="N83" i="6" s="1"/>
  <c r="O73" i="6"/>
  <c r="P73" i="6" s="1"/>
  <c r="O19" i="6"/>
  <c r="P19" i="6" s="1"/>
  <c r="M4" i="5"/>
  <c r="N4" i="5" s="1"/>
  <c r="M90" i="4"/>
  <c r="N90" i="4" s="1"/>
  <c r="M99" i="6"/>
  <c r="N99" i="6" s="1"/>
  <c r="M83" i="5"/>
  <c r="N83" i="5" s="1"/>
  <c r="O71" i="6"/>
  <c r="P71" i="6" s="1"/>
  <c r="M60" i="4"/>
  <c r="N60" i="4" s="1"/>
  <c r="M91" i="4"/>
  <c r="N91" i="4" s="1"/>
  <c r="L52" i="1"/>
  <c r="M52" i="1" s="1"/>
  <c r="L18" i="1"/>
  <c r="M18" i="1" s="1"/>
  <c r="N27" i="1"/>
  <c r="O27" i="1" s="1"/>
  <c r="N26" i="1"/>
  <c r="O26" i="1" s="1"/>
  <c r="N73" i="1"/>
  <c r="O73" i="1" s="1"/>
  <c r="L84" i="1"/>
  <c r="M84" i="1" s="1"/>
  <c r="N17" i="1"/>
  <c r="O17" i="1" s="1"/>
  <c r="O30" i="1"/>
  <c r="L44" i="1"/>
  <c r="M44" i="1" s="1"/>
  <c r="N56" i="1"/>
  <c r="O56" i="1" s="1"/>
  <c r="N89" i="1"/>
  <c r="O89" i="1" s="1"/>
  <c r="N16" i="1"/>
  <c r="O16" i="1" s="1"/>
  <c r="N74" i="1"/>
  <c r="O74" i="1" s="1"/>
  <c r="L10" i="1"/>
  <c r="M10" i="1" s="1"/>
  <c r="N28" i="1"/>
  <c r="O28" i="1" s="1"/>
  <c r="L71" i="1"/>
  <c r="M71" i="1" s="1"/>
  <c r="N48" i="1"/>
  <c r="O48" i="1" s="1"/>
  <c r="N4" i="1"/>
  <c r="O4" i="1" s="1"/>
  <c r="N55" i="1"/>
  <c r="O55" i="1" s="1"/>
  <c r="N61" i="1"/>
  <c r="O61" i="1" s="1"/>
  <c r="N80" i="1"/>
  <c r="O80" i="1" s="1"/>
  <c r="N19" i="1"/>
  <c r="O19" i="1" s="1"/>
  <c r="L46" i="1"/>
  <c r="M46" i="1" s="1"/>
  <c r="N11" i="1"/>
  <c r="O11" i="1" s="1"/>
  <c r="M32" i="1"/>
  <c r="L69" i="1"/>
  <c r="M69" i="1" s="1"/>
  <c r="N20" i="1"/>
  <c r="O20" i="1" s="1"/>
  <c r="L86" i="1"/>
  <c r="M86" i="1" s="1"/>
  <c r="N76" i="1"/>
  <c r="O76" i="1" s="1"/>
  <c r="N35" i="1"/>
  <c r="O35" i="1" s="1"/>
  <c r="N7" i="1"/>
  <c r="O7" i="1" s="1"/>
  <c r="N83" i="1"/>
  <c r="O83" i="1" s="1"/>
  <c r="L64" i="1"/>
  <c r="M64" i="1" s="1"/>
  <c r="L63" i="1"/>
  <c r="M63" i="1" s="1"/>
  <c r="N23" i="1"/>
  <c r="O23" i="1" s="1"/>
  <c r="L92" i="1"/>
  <c r="M92" i="1" s="1"/>
  <c r="L96" i="1"/>
  <c r="M96" i="1" s="1"/>
  <c r="L50" i="1"/>
  <c r="M50" i="1" s="1"/>
  <c r="N9" i="1"/>
  <c r="O9" i="1" s="1"/>
  <c r="N12" i="1"/>
  <c r="O12" i="1" s="1"/>
  <c r="N90" i="1"/>
  <c r="O90" i="1" s="1"/>
  <c r="L40" i="1"/>
  <c r="M40" i="1" s="1"/>
  <c r="N8" i="1"/>
  <c r="O8" i="1" s="1"/>
  <c r="N45" i="1"/>
  <c r="O45" i="1" s="1"/>
  <c r="L38" i="1"/>
  <c r="M38" i="1" s="1"/>
  <c r="L22" i="1"/>
  <c r="M22" i="1" s="1"/>
  <c r="L93" i="1"/>
  <c r="M93" i="1" s="1"/>
  <c r="L14" i="1"/>
  <c r="M14" i="1" s="1"/>
  <c r="N87" i="1"/>
  <c r="O87" i="1" s="1"/>
  <c r="N51" i="1"/>
  <c r="O51" i="1" s="1"/>
  <c r="L6" i="1"/>
  <c r="M6" i="1" s="1"/>
  <c r="N70" i="1"/>
  <c r="O70" i="1" s="1"/>
  <c r="N34" i="1" l="1"/>
  <c r="O34" i="1" s="1"/>
  <c r="O61" i="6"/>
  <c r="P61" i="6" s="1"/>
  <c r="O77" i="5"/>
  <c r="P77" i="5" s="1"/>
  <c r="O35" i="5"/>
  <c r="P35" i="5" s="1"/>
  <c r="O49" i="4"/>
  <c r="P49" i="4" s="1"/>
  <c r="N21" i="1"/>
  <c r="O21" i="1" s="1"/>
  <c r="N15" i="1"/>
  <c r="O15" i="1" s="1"/>
  <c r="O46" i="6"/>
  <c r="P46" i="6" s="1"/>
  <c r="O79" i="6"/>
  <c r="P79" i="6" s="1"/>
  <c r="O69" i="6"/>
  <c r="P69" i="6" s="1"/>
  <c r="O64" i="6"/>
  <c r="P64" i="6" s="1"/>
  <c r="O26" i="6"/>
  <c r="P26" i="6" s="1"/>
  <c r="O55" i="4"/>
  <c r="P55" i="4" s="1"/>
  <c r="O81" i="6"/>
  <c r="P81" i="6" s="1"/>
  <c r="O90" i="4"/>
  <c r="P90" i="4" s="1"/>
  <c r="O93" i="4"/>
  <c r="P93" i="4" s="1"/>
  <c r="O38" i="5"/>
  <c r="P38" i="5" s="1"/>
  <c r="O9" i="5"/>
  <c r="P9" i="5" s="1"/>
  <c r="O65" i="5"/>
  <c r="P65" i="5" s="1"/>
  <c r="O8" i="6"/>
  <c r="P8" i="6" s="1"/>
  <c r="O56" i="6"/>
  <c r="P56" i="6" s="1"/>
  <c r="O14" i="4"/>
  <c r="P14" i="4" s="1"/>
  <c r="O16" i="6"/>
  <c r="P16" i="6" s="1"/>
  <c r="O15" i="6"/>
  <c r="P15" i="6" s="1"/>
  <c r="O10" i="6"/>
  <c r="P10" i="6" s="1"/>
  <c r="O48" i="4"/>
  <c r="P48" i="4" s="1"/>
  <c r="O60" i="6"/>
  <c r="P60" i="6" s="1"/>
  <c r="O60" i="4"/>
  <c r="P60" i="4" s="1"/>
  <c r="O83" i="6"/>
  <c r="P83" i="6" s="1"/>
  <c r="O58" i="6"/>
  <c r="P58" i="6" s="1"/>
  <c r="O53" i="6"/>
  <c r="P53" i="6" s="1"/>
  <c r="O23" i="6"/>
  <c r="P23" i="6" s="1"/>
  <c r="O74" i="4"/>
  <c r="P74" i="4" s="1"/>
  <c r="O15" i="4"/>
  <c r="P15" i="4" s="1"/>
  <c r="O58" i="5"/>
  <c r="P58" i="5" s="1"/>
  <c r="O4" i="4"/>
  <c r="P4" i="4" s="1"/>
  <c r="O74" i="5"/>
  <c r="P74" i="5" s="1"/>
  <c r="O22" i="4"/>
  <c r="P22" i="4" s="1"/>
  <c r="O20" i="5"/>
  <c r="P20" i="5" s="1"/>
  <c r="O71" i="5"/>
  <c r="P71" i="5" s="1"/>
  <c r="O70" i="6"/>
  <c r="P70" i="6" s="1"/>
  <c r="O89" i="5"/>
  <c r="P89" i="5" s="1"/>
  <c r="O24" i="5"/>
  <c r="P24" i="5" s="1"/>
  <c r="O93" i="5"/>
  <c r="P93" i="5" s="1"/>
  <c r="O91" i="4"/>
  <c r="P91" i="4" s="1"/>
  <c r="O27" i="6"/>
  <c r="P27" i="6" s="1"/>
  <c r="O61" i="5"/>
  <c r="P61" i="5" s="1"/>
  <c r="O76" i="4"/>
  <c r="P76" i="4" s="1"/>
  <c r="O70" i="4"/>
  <c r="P70" i="4" s="1"/>
  <c r="O38" i="4"/>
  <c r="P38" i="4" s="1"/>
  <c r="O6" i="5"/>
  <c r="P6" i="5" s="1"/>
  <c r="O24" i="6"/>
  <c r="P24" i="6" s="1"/>
  <c r="O34" i="5"/>
  <c r="P34" i="5" s="1"/>
  <c r="O93" i="6"/>
  <c r="P93" i="6" s="1"/>
  <c r="O55" i="5"/>
  <c r="P55" i="5" s="1"/>
  <c r="O22" i="5"/>
  <c r="P22" i="5" s="1"/>
  <c r="O81" i="5"/>
  <c r="P81" i="5" s="1"/>
  <c r="O40" i="6"/>
  <c r="P40" i="6" s="1"/>
  <c r="O23" i="5"/>
  <c r="P23" i="5" s="1"/>
  <c r="O50" i="6"/>
  <c r="P50" i="6" s="1"/>
  <c r="O73" i="4"/>
  <c r="P73" i="4" s="1"/>
  <c r="O87" i="6"/>
  <c r="P87" i="6" s="1"/>
  <c r="O86" i="6"/>
  <c r="P86" i="6" s="1"/>
  <c r="O99" i="6"/>
  <c r="P99" i="6" s="1"/>
  <c r="O80" i="4"/>
  <c r="P80" i="4" s="1"/>
  <c r="O17" i="6"/>
  <c r="P17" i="6" s="1"/>
  <c r="O7" i="5"/>
  <c r="P7" i="5" s="1"/>
  <c r="O56" i="5"/>
  <c r="P56" i="5" s="1"/>
  <c r="O52" i="5"/>
  <c r="P52" i="5" s="1"/>
  <c r="O48" i="5"/>
  <c r="P48" i="5" s="1"/>
  <c r="O28" i="6"/>
  <c r="P28" i="6" s="1"/>
  <c r="O12" i="4"/>
  <c r="P12" i="4" s="1"/>
  <c r="O44" i="6"/>
  <c r="P44" i="6" s="1"/>
  <c r="O52" i="6"/>
  <c r="P52" i="6" s="1"/>
  <c r="O47" i="5"/>
  <c r="P47" i="5" s="1"/>
  <c r="O96" i="6"/>
  <c r="P96" i="6" s="1"/>
  <c r="O76" i="6"/>
  <c r="P76" i="6" s="1"/>
  <c r="O50" i="4"/>
  <c r="P50" i="4" s="1"/>
  <c r="O48" i="6"/>
  <c r="P48" i="6" s="1"/>
  <c r="O89" i="6"/>
  <c r="P89" i="6" s="1"/>
  <c r="O38" i="6"/>
  <c r="P38" i="6" s="1"/>
  <c r="O45" i="6"/>
  <c r="P45" i="6" s="1"/>
  <c r="O18" i="6"/>
  <c r="P18" i="6" s="1"/>
  <c r="O9" i="6"/>
  <c r="P9" i="6" s="1"/>
  <c r="O23" i="4"/>
  <c r="P23" i="4" s="1"/>
  <c r="O47" i="4"/>
  <c r="P47" i="4" s="1"/>
  <c r="O25" i="6"/>
  <c r="P25" i="6" s="1"/>
  <c r="O7" i="4"/>
  <c r="P7" i="4" s="1"/>
  <c r="O41" i="6"/>
  <c r="P41" i="6" s="1"/>
  <c r="O15" i="5"/>
  <c r="P15" i="5" s="1"/>
  <c r="O96" i="5"/>
  <c r="P96" i="5" s="1"/>
  <c r="O40" i="5"/>
  <c r="P40" i="5" s="1"/>
  <c r="O63" i="6"/>
  <c r="P63" i="6" s="1"/>
  <c r="O58" i="4"/>
  <c r="P58" i="4" s="1"/>
  <c r="O74" i="6"/>
  <c r="P74" i="6" s="1"/>
  <c r="O69" i="5"/>
  <c r="P69" i="5" s="1"/>
  <c r="O84" i="6"/>
  <c r="P84" i="6" s="1"/>
  <c r="O87" i="4"/>
  <c r="P87" i="4" s="1"/>
  <c r="O6" i="4"/>
  <c r="P6" i="4" s="1"/>
  <c r="O12" i="5"/>
  <c r="P12" i="5" s="1"/>
  <c r="O76" i="5"/>
  <c r="P76" i="5" s="1"/>
  <c r="O91" i="5"/>
  <c r="P91" i="5" s="1"/>
  <c r="O80" i="6"/>
  <c r="P80" i="6" s="1"/>
  <c r="O14" i="5"/>
  <c r="P14" i="5" s="1"/>
  <c r="O5" i="4"/>
  <c r="P5" i="4" s="1"/>
  <c r="O13" i="4"/>
  <c r="P13" i="4" s="1"/>
  <c r="O35" i="4"/>
  <c r="P35" i="4" s="1"/>
  <c r="O51" i="5"/>
  <c r="P51" i="5" s="1"/>
  <c r="O49" i="6"/>
  <c r="P49" i="6" s="1"/>
  <c r="O49" i="5"/>
  <c r="P49" i="5" s="1"/>
  <c r="O21" i="4"/>
  <c r="P21" i="4" s="1"/>
  <c r="O59" i="6"/>
  <c r="P59" i="6" s="1"/>
  <c r="O5" i="5"/>
  <c r="P5" i="5" s="1"/>
  <c r="O73" i="5"/>
  <c r="P73" i="5" s="1"/>
  <c r="O37" i="6"/>
  <c r="P37" i="6" s="1"/>
  <c r="O71" i="4"/>
  <c r="P71" i="4" s="1"/>
  <c r="O89" i="4"/>
  <c r="P89" i="4" s="1"/>
  <c r="O92" i="6"/>
  <c r="P92" i="6" s="1"/>
  <c r="O90" i="5"/>
  <c r="P90" i="5" s="1"/>
  <c r="O77" i="6"/>
  <c r="P77" i="6" s="1"/>
  <c r="O13" i="5"/>
  <c r="P13" i="5" s="1"/>
  <c r="O22" i="6"/>
  <c r="P22" i="6" s="1"/>
  <c r="O83" i="5"/>
  <c r="P83" i="5" s="1"/>
  <c r="O4" i="5"/>
  <c r="P4" i="5" s="1"/>
  <c r="O77" i="4"/>
  <c r="P77" i="4" s="1"/>
  <c r="O45" i="5"/>
  <c r="P45" i="5" s="1"/>
  <c r="O64" i="4"/>
  <c r="P64" i="4" s="1"/>
  <c r="O24" i="4"/>
  <c r="P24" i="4" s="1"/>
  <c r="O17" i="5"/>
  <c r="P17" i="5" s="1"/>
  <c r="O56" i="4"/>
  <c r="P56" i="4" s="1"/>
  <c r="O30" i="6"/>
  <c r="P30" i="6" s="1"/>
  <c r="O35" i="6"/>
  <c r="P35" i="6" s="1"/>
  <c r="O91" i="6"/>
  <c r="P91" i="6" s="1"/>
  <c r="N63" i="1"/>
  <c r="O63" i="1" s="1"/>
  <c r="N60" i="1"/>
  <c r="O60" i="1" s="1"/>
  <c r="N32" i="1"/>
  <c r="O32" i="1" s="1"/>
  <c r="N71" i="1"/>
  <c r="O71" i="1" s="1"/>
  <c r="N14" i="1"/>
  <c r="O14" i="1" s="1"/>
  <c r="N69" i="1"/>
  <c r="O69" i="1" s="1"/>
  <c r="N22" i="1"/>
  <c r="O22" i="1" s="1"/>
  <c r="N6" i="1"/>
  <c r="O6" i="1" s="1"/>
  <c r="N18" i="1"/>
  <c r="O18" i="1" s="1"/>
  <c r="N93" i="1"/>
  <c r="O93" i="1" s="1"/>
  <c r="N40" i="1"/>
  <c r="O40" i="1" s="1"/>
  <c r="N84" i="1"/>
  <c r="O84" i="1" s="1"/>
  <c r="N64" i="1"/>
  <c r="O64" i="1" s="1"/>
  <c r="N96" i="1"/>
  <c r="O96" i="1" s="1"/>
  <c r="N86" i="1"/>
  <c r="O86" i="1" s="1"/>
  <c r="N38" i="1"/>
  <c r="O38" i="1" s="1"/>
  <c r="N50" i="1"/>
  <c r="O50" i="1" s="1"/>
  <c r="N44" i="1"/>
  <c r="O44" i="1" s="1"/>
  <c r="N52" i="1"/>
  <c r="O52" i="1" s="1"/>
  <c r="N92" i="1"/>
  <c r="O92" i="1" s="1"/>
  <c r="N46" i="1"/>
  <c r="O46" i="1" s="1"/>
  <c r="N10" i="1"/>
  <c r="O10" i="1" s="1"/>
  <c r="S53" i="5" l="1"/>
  <c r="J53" i="5"/>
  <c r="J54" i="5" l="1"/>
  <c r="K54" i="5" s="1"/>
  <c r="L54" i="5" s="1"/>
  <c r="S54" i="5"/>
  <c r="K53" i="5"/>
  <c r="L53" i="5" s="1"/>
  <c r="M53" i="5" l="1"/>
  <c r="N53" i="5" s="1"/>
  <c r="M54" i="5"/>
  <c r="N54" i="5" s="1"/>
  <c r="O53" i="5" l="1"/>
  <c r="P53" i="5" s="1"/>
  <c r="O54" i="5"/>
  <c r="P54" i="5" s="1"/>
  <c r="H53" i="1" l="1"/>
  <c r="I53" i="1" l="1"/>
  <c r="P53" i="1"/>
  <c r="AN53" i="1"/>
  <c r="J53" i="1"/>
  <c r="K53" i="1" s="1"/>
  <c r="AG53" i="1"/>
  <c r="L53" i="1" l="1"/>
  <c r="M53" i="1" s="1"/>
  <c r="N53" i="1" l="1"/>
  <c r="O53" i="1" s="1"/>
  <c r="H54" i="1"/>
  <c r="AG54" i="1" l="1"/>
  <c r="P54" i="1"/>
  <c r="AN54" i="1"/>
  <c r="I54" i="1"/>
  <c r="J54" i="1" l="1"/>
  <c r="K54" i="1" s="1"/>
  <c r="L54" i="1" l="1"/>
  <c r="M54" i="1" s="1"/>
  <c r="N54" i="1" l="1"/>
  <c r="O54" i="1" s="1"/>
  <c r="H99" i="1" l="1"/>
  <c r="P99" i="1" l="1"/>
  <c r="AN99" i="1"/>
  <c r="Y91" i="1"/>
  <c r="Z99" i="1"/>
  <c r="AA99" i="1" s="1"/>
  <c r="AB99" i="1" s="1"/>
  <c r="I99" i="1"/>
  <c r="AG99" i="1"/>
  <c r="J99" i="1" l="1"/>
  <c r="K99" i="1" s="1"/>
  <c r="L99" i="1" l="1"/>
  <c r="M99" i="1" s="1"/>
  <c r="N99" i="1" l="1"/>
  <c r="O99" i="1" s="1"/>
  <c r="J37" i="4" l="1"/>
  <c r="K37" i="4" s="1"/>
  <c r="L37" i="4" s="1"/>
  <c r="M37" i="4" l="1"/>
  <c r="N37" i="4" s="1"/>
  <c r="O37" i="4" l="1"/>
  <c r="P37" i="4" s="1"/>
</calcChain>
</file>

<file path=xl/sharedStrings.xml><?xml version="1.0" encoding="utf-8"?>
<sst xmlns="http://schemas.openxmlformats.org/spreadsheetml/2006/main" count="481" uniqueCount="145">
  <si>
    <t>Código</t>
  </si>
  <si>
    <t>Descripción</t>
  </si>
  <si>
    <t>EAN</t>
  </si>
  <si>
    <t>Kg. x Caja</t>
  </si>
  <si>
    <t>Cant. X Caja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</si>
  <si>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</si>
  <si>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</si>
  <si>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</si>
  <si>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</si>
  <si>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</si>
  <si>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</si>
  <si>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</si>
  <si>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</si>
  <si>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</si>
  <si>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</si>
  <si>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</si>
  <si>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</si>
  <si>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</si>
  <si>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</si>
  <si>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</si>
  <si>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</si>
  <si>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</si>
  <si>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</si>
  <si>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</si>
  <si>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</si>
  <si>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</si>
  <si>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</si>
  <si>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</si>
  <si>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</si>
  <si>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</si>
  <si>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</si>
  <si>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</si>
  <si>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</si>
  <si>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</si>
  <si>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</si>
  <si>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</si>
  <si>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</si>
  <si>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</si>
  <si>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</si>
  <si>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</si>
  <si>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</si>
  <si>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</si>
  <si>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</si>
  <si>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</si>
  <si>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</si>
  <si>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</si>
  <si>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</si>
  <si>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</si>
  <si>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</si>
  <si>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</si>
  <si>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</si>
  <si>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</si>
  <si>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</si>
  <si>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</si>
  <si>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</si>
  <si>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</si>
  <si>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</si>
  <si>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</si>
  <si>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</si>
  <si>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</si>
  <si>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</si>
  <si>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</si>
  <si>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</si>
  <si>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</si>
  <si>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</si>
  <si>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</si>
  <si>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BOCADITOS DE POLLO GASTRONOMICOS "LA BLANCA" - x6kg</t>
  </si>
  <si>
    <t>PALITO DE POLLO "SWIFT"  12 X 260 Grs.</t>
  </si>
  <si>
    <t>PALITO DE POLLO "SWIFT"  8 X 1 Kg..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</si>
  <si>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</si>
  <si>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</si>
  <si>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</si>
  <si>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</si>
  <si>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</si>
  <si>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</si>
  <si>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</si>
  <si>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</si>
  <si>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</si>
  <si>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</si>
  <si>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</si>
  <si>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</si>
  <si>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</si>
  <si>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</si>
  <si>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</si>
  <si>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</si>
  <si>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CHORIZOS FRESCOS DE CERDO LIBRE DE GLUTEN</t>
  </si>
  <si>
    <t>PAPAS PRE COCIDAS SUPERCONGELADAS LIBRES DE GLUTEN 700G</t>
  </si>
  <si>
    <t>Precio de Lista</t>
  </si>
  <si>
    <t>MILANESAS DE CARNE VACUNA CONG GRANEL 5 kg (CAL GR)</t>
  </si>
  <si>
    <t>DCTO VIA NC - SUJETO A LA COMPRA DE 5 CAJAS DE C/U GOURMET</t>
  </si>
  <si>
    <t>Dcto</t>
  </si>
  <si>
    <t>PATY VIENA</t>
  </si>
  <si>
    <t>VIENISSIMA</t>
  </si>
  <si>
    <t>PALADINI</t>
  </si>
  <si>
    <t>ICB</t>
  </si>
  <si>
    <t>PANCHIN</t>
  </si>
  <si>
    <t>PATY FUN</t>
  </si>
  <si>
    <t>Precio de factura</t>
  </si>
  <si>
    <t>dcto</t>
  </si>
  <si>
    <t>%</t>
  </si>
  <si>
    <t>NUGGETS DE ESPINACA 300GR</t>
  </si>
  <si>
    <t>NUGGETS DE BRÓCOLI 300GR</t>
  </si>
  <si>
    <t>MEDALLÓN DE CALABAZA Y CHOCLO 300GR</t>
  </si>
  <si>
    <t>MEDALLÓN DE ESPINACA 300GR</t>
  </si>
  <si>
    <t>Con la compra de 1 caja de 21632 + 2 unidades de Chorizos --&gt; 10% de dcto en ambos SKU</t>
  </si>
  <si>
    <t>VER CUPOS</t>
  </si>
  <si>
    <t>PX ABR</t>
  </si>
  <si>
    <t>PX ABRIL</t>
  </si>
  <si>
    <t>Con la compra de 1 caja de 21632 + 7 unidades de PAPAS --&gt; 10% de dcto en ambos SKU</t>
  </si>
  <si>
    <t>Con la compra de 1 caja de 21632 + 1 unidades de cada veggie --&gt; 10% de dcto en 21632 Y 15% de dcto en veggies</t>
  </si>
  <si>
    <t>CRUNCHIES DE POLLO "SWIFT" - 12x380g</t>
  </si>
  <si>
    <t>BOCADITOS DE POLLO "SWIFT KIDS" - 12x400g</t>
  </si>
  <si>
    <t>MILANESITAS DE CARNE "SWIFT" - 12x400g</t>
  </si>
  <si>
    <t>PX MAYO</t>
  </si>
  <si>
    <t>CRUNCHIES DE POLLO "SWIFT" - 10x760g</t>
  </si>
  <si>
    <t>LUCHETTI</t>
  </si>
  <si>
    <t>PX 22058</t>
  </si>
  <si>
    <t>SEP</t>
  </si>
  <si>
    <t>Picadillo de Carne Picante Chile Chipotle 24x90 g</t>
  </si>
  <si>
    <t>Pate de Foie Jalapeño 24x90 Swift</t>
  </si>
  <si>
    <t>BONDIOLA DE CERDO CONGELADA</t>
  </si>
  <si>
    <t>fela</t>
  </si>
  <si>
    <t>OCT</t>
  </si>
  <si>
    <t>PATITAS</t>
  </si>
  <si>
    <t>MISMO PX MES ANT</t>
  </si>
  <si>
    <t>CHORIZOS FRESCOS DE CERDO CONGELADOS LIBRE DE GLUTEN 12u x 400g</t>
  </si>
  <si>
    <t>NOV</t>
  </si>
  <si>
    <t>Contra 11 estuches + 1 de regalo</t>
  </si>
  <si>
    <t>Contra 14 flow + 1 de regalo</t>
  </si>
  <si>
    <t>OFERTA Compra 10 FLOW + 1 de regalo</t>
  </si>
  <si>
    <t>Conveniencia vs 22085: Oferta $3.800</t>
  </si>
  <si>
    <t>5% DCTO PARA OFERTA A PX EN FACTURA</t>
  </si>
  <si>
    <t>OFERTA INCORPORACION Compra 4 bolsa + 2 de regalo</t>
  </si>
  <si>
    <t>Oferta a px en factura para $2.700 público</t>
  </si>
  <si>
    <t>Oferta a px en factura para $5.300 público</t>
  </si>
  <si>
    <t>Ver posicionamiento por verba según necesidad de la zona</t>
  </si>
  <si>
    <t>LOMO DE ATUN AL NATURAL SWIFT 170g</t>
  </si>
  <si>
    <t>LOMO DE ATUN EN ACEITE SWIFT 170g</t>
  </si>
  <si>
    <t>Px LISTA: $2.200 + compra 11 estuches + 1 de regalo ----&gt; OFERTA $2.000 público</t>
  </si>
  <si>
    <t>Oferta incluida en lista: $1.650</t>
  </si>
  <si>
    <t>Oferta a px en factura para $4.500 público</t>
  </si>
  <si>
    <t>Oferta a px en factura para $3.900 público</t>
  </si>
  <si>
    <t>Oferta lanzamiento:  38+10</t>
  </si>
  <si>
    <t>OFERTA compra 6 bolsas + 1 de regalo</t>
  </si>
  <si>
    <t>Dinámica 2+1. Compra 2, recibe 3 ----&gt; oferta $4.100 (para distribuidores estratégios, según objetivo asignado)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</si>
</sst>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#,##0.0_ ;[Red]\-#,##0.0\ "/>
    <numFmt numFmtId="167" formatCode="0.0%"/>
    <numFmt numFmtId="170" formatCode="0.000%"/>
    <numFmt numFmtId="171" formatCode="_-&quot;$&quot;\ * #,##0_-;\-&quot;$&quot;\ * #,##0_-;_-&quot;$&quot;\ * &quot;-&quot;??_-;_-@_-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4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2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5" applyNumberFormat="0" applyFill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28" applyNumberFormat="0" applyAlignment="0" applyProtection="0"/>
    <xf numFmtId="0" fontId="22" fillId="13" borderId="29" applyNumberFormat="0" applyAlignment="0" applyProtection="0"/>
    <xf numFmtId="0" fontId="23" fillId="13" borderId="28" applyNumberFormat="0" applyAlignment="0" applyProtection="0"/>
    <xf numFmtId="0" fontId="24" fillId="0" borderId="30" applyNumberFormat="0" applyFill="0" applyAlignment="0" applyProtection="0"/>
    <xf numFmtId="0" fontId="25" fillId="14" borderId="31" applyNumberFormat="0" applyAlignment="0" applyProtection="0"/>
    <xf numFmtId="0" fontId="26" fillId="0" borderId="0" applyNumberFormat="0" applyFill="0" applyBorder="0" applyAlignment="0" applyProtection="0"/>
    <xf numFmtId="0" fontId="1" fillId="15" borderId="32" applyNumberFormat="0" applyFont="0" applyAlignment="0" applyProtection="0"/>
    <xf numFmtId="0" fontId="27" fillId="0" borderId="0" applyNumberFormat="0" applyFill="0" applyBorder="0" applyAlignment="0" applyProtection="0"/>
    <xf numFmtId="0" fontId="12" fillId="0" borderId="33" applyNumberFormat="0" applyFill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4" fillId="2" borderId="1" xfId="2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distributed"/>
    </xf>
    <xf numFmtId="2" fontId="4" fillId="2" borderId="2" xfId="2" applyNumberFormat="1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14" fontId="4" fillId="3" borderId="3" xfId="2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 applyProtection="1">
      <alignment horizontal="center" vertical="center"/>
      <protection hidden="1"/>
    </xf>
    <xf numFmtId="0" fontId="5" fillId="4" borderId="5" xfId="2" applyFont="1" applyFill="1" applyBorder="1" applyAlignment="1" applyProtection="1">
      <alignment vertical="center"/>
      <protection hidden="1"/>
    </xf>
    <xf numFmtId="0" fontId="5" fillId="4" borderId="5" xfId="2" applyFont="1" applyFill="1" applyBorder="1" applyAlignment="1" applyProtection="1">
      <alignment horizontal="center" vertical="center"/>
      <protection hidden="1"/>
    </xf>
    <xf numFmtId="2" fontId="5" fillId="4" borderId="5" xfId="2" applyNumberFormat="1" applyFont="1" applyFill="1" applyBorder="1" applyAlignment="1" applyProtection="1">
      <alignment vertical="center"/>
      <protection hidden="1"/>
    </xf>
    <xf numFmtId="0" fontId="2" fillId="5" borderId="5" xfId="0" applyFont="1" applyFill="1" applyBorder="1"/>
    <xf numFmtId="9" fontId="2" fillId="5" borderId="5" xfId="0" applyNumberFormat="1" applyFont="1" applyFill="1" applyBorder="1"/>
    <xf numFmtId="1" fontId="2" fillId="5" borderId="6" xfId="0" applyNumberFormat="1" applyFont="1" applyFill="1" applyBorder="1"/>
    <xf numFmtId="0" fontId="6" fillId="0" borderId="7" xfId="3" applyFont="1" applyBorder="1" applyAlignment="1">
      <alignment horizontal="center"/>
    </xf>
    <xf numFmtId="0" fontId="6" fillId="0" borderId="8" xfId="3" applyFont="1" applyBorder="1"/>
    <xf numFmtId="1" fontId="6" fillId="0" borderId="8" xfId="2" applyNumberFormat="1" applyFon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5" fillId="0" borderId="8" xfId="2" applyNumberFormat="1" applyFont="1" applyBorder="1" applyAlignment="1">
      <alignment horizontal="center"/>
    </xf>
    <xf numFmtId="2" fontId="6" fillId="0" borderId="8" xfId="2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0" fontId="6" fillId="0" borderId="7" xfId="3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2" fontId="6" fillId="6" borderId="8" xfId="2" applyNumberFormat="1" applyFont="1" applyFill="1" applyBorder="1" applyAlignment="1">
      <alignment horizontal="center"/>
    </xf>
    <xf numFmtId="0" fontId="6" fillId="0" borderId="8" xfId="3" applyFont="1" applyFill="1" applyBorder="1"/>
    <xf numFmtId="1" fontId="6" fillId="0" borderId="8" xfId="3" applyNumberFormat="1" applyFont="1" applyFill="1" applyBorder="1" applyAlignment="1">
      <alignment horizontal="center"/>
    </xf>
    <xf numFmtId="0" fontId="5" fillId="4" borderId="7" xfId="2" applyFont="1" applyFill="1" applyBorder="1" applyAlignment="1" applyProtection="1">
      <alignment horizontal="center" vertical="center"/>
      <protection hidden="1"/>
    </xf>
    <xf numFmtId="0" fontId="5" fillId="4" borderId="8" xfId="2" applyFont="1" applyFill="1" applyBorder="1" applyAlignment="1" applyProtection="1">
      <alignment vertical="center"/>
      <protection hidden="1"/>
    </xf>
    <xf numFmtId="0" fontId="5" fillId="4" borderId="8" xfId="2" applyFont="1" applyFill="1" applyBorder="1" applyAlignment="1" applyProtection="1">
      <alignment horizontal="center" vertical="center"/>
      <protection hidden="1"/>
    </xf>
    <xf numFmtId="165" fontId="5" fillId="4" borderId="8" xfId="2" applyNumberFormat="1" applyFont="1" applyFill="1" applyBorder="1" applyAlignment="1" applyProtection="1">
      <alignment vertical="center"/>
      <protection hidden="1"/>
    </xf>
    <xf numFmtId="2" fontId="6" fillId="4" borderId="8" xfId="2" applyNumberFormat="1" applyFont="1" applyFill="1" applyBorder="1" applyAlignment="1" applyProtection="1">
      <alignment vertical="center"/>
      <protection hidden="1"/>
    </xf>
    <xf numFmtId="0" fontId="2" fillId="5" borderId="8" xfId="0" applyFont="1" applyFill="1" applyBorder="1"/>
    <xf numFmtId="9" fontId="2" fillId="5" borderId="8" xfId="0" applyNumberFormat="1" applyFont="1" applyFill="1" applyBorder="1"/>
    <xf numFmtId="1" fontId="2" fillId="5" borderId="9" xfId="0" applyNumberFormat="1" applyFont="1" applyFill="1" applyBorder="1"/>
    <xf numFmtId="2" fontId="2" fillId="0" borderId="8" xfId="2" applyNumberFormat="1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8" xfId="2" applyFont="1" applyBorder="1" applyAlignment="1">
      <alignment horizontal="left"/>
    </xf>
    <xf numFmtId="1" fontId="8" fillId="0" borderId="8" xfId="2" applyNumberFormat="1" applyFont="1" applyBorder="1" applyAlignment="1">
      <alignment horizontal="center"/>
    </xf>
    <xf numFmtId="164" fontId="9" fillId="0" borderId="8" xfId="2" applyNumberFormat="1" applyFont="1" applyBorder="1" applyAlignment="1">
      <alignment horizontal="center"/>
    </xf>
    <xf numFmtId="165" fontId="9" fillId="0" borderId="8" xfId="2" applyNumberFormat="1" applyFont="1" applyBorder="1" applyAlignment="1">
      <alignment horizontal="center"/>
    </xf>
    <xf numFmtId="2" fontId="8" fillId="0" borderId="8" xfId="2" applyNumberFormat="1" applyFont="1" applyBorder="1" applyAlignment="1">
      <alignment horizontal="center"/>
    </xf>
    <xf numFmtId="1" fontId="8" fillId="0" borderId="9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left"/>
    </xf>
    <xf numFmtId="0" fontId="5" fillId="4" borderId="10" xfId="2" applyFont="1" applyFill="1" applyBorder="1" applyAlignment="1" applyProtection="1">
      <alignment horizontal="center" vertical="center"/>
      <protection hidden="1"/>
    </xf>
    <xf numFmtId="0" fontId="5" fillId="4" borderId="11" xfId="2" applyFont="1" applyFill="1" applyBorder="1" applyAlignment="1" applyProtection="1">
      <alignment vertical="center"/>
      <protection hidden="1"/>
    </xf>
    <xf numFmtId="0" fontId="5" fillId="4" borderId="11" xfId="2" applyFont="1" applyFill="1" applyBorder="1" applyAlignment="1" applyProtection="1">
      <alignment horizontal="center" vertical="center"/>
      <protection hidden="1"/>
    </xf>
    <xf numFmtId="165" fontId="5" fillId="4" borderId="11" xfId="2" applyNumberFormat="1" applyFont="1" applyFill="1" applyBorder="1" applyAlignment="1" applyProtection="1">
      <alignment vertical="center"/>
      <protection hidden="1"/>
    </xf>
    <xf numFmtId="2" fontId="6" fillId="4" borderId="11" xfId="2" applyNumberFormat="1" applyFont="1" applyFill="1" applyBorder="1" applyAlignment="1" applyProtection="1">
      <alignment vertical="center"/>
      <protection hidden="1"/>
    </xf>
    <xf numFmtId="1" fontId="6" fillId="4" borderId="12" xfId="2" applyNumberFormat="1" applyFont="1" applyFill="1" applyBorder="1" applyAlignment="1" applyProtection="1">
      <alignment vertical="center"/>
      <protection hidden="1"/>
    </xf>
    <xf numFmtId="0" fontId="6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1" fontId="8" fillId="0" borderId="16" xfId="2" applyNumberFormat="1" applyFont="1" applyBorder="1" applyAlignment="1">
      <alignment horizontal="left"/>
    </xf>
    <xf numFmtId="164" fontId="5" fillId="0" borderId="15" xfId="2" applyNumberFormat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2" fontId="6" fillId="0" borderId="15" xfId="2" applyNumberFormat="1" applyFont="1" applyBorder="1" applyAlignment="1">
      <alignment horizontal="center"/>
    </xf>
    <xf numFmtId="1" fontId="6" fillId="0" borderId="17" xfId="2" applyNumberFormat="1" applyFont="1" applyBorder="1" applyAlignment="1">
      <alignment horizontal="center"/>
    </xf>
    <xf numFmtId="1" fontId="8" fillId="0" borderId="18" xfId="2" applyNumberFormat="1" applyFont="1" applyBorder="1" applyAlignment="1">
      <alignment horizontal="left"/>
    </xf>
    <xf numFmtId="0" fontId="6" fillId="0" borderId="19" xfId="2" applyFont="1" applyBorder="1" applyAlignment="1">
      <alignment horizontal="center"/>
    </xf>
    <xf numFmtId="0" fontId="6" fillId="0" borderId="20" xfId="2" applyFont="1" applyBorder="1" applyAlignment="1">
      <alignment horizontal="left"/>
    </xf>
    <xf numFmtId="1" fontId="8" fillId="0" borderId="21" xfId="2" applyNumberFormat="1" applyFont="1" applyBorder="1" applyAlignment="1">
      <alignment horizontal="left"/>
    </xf>
    <xf numFmtId="164" fontId="5" fillId="0" borderId="20" xfId="2" applyNumberFormat="1" applyFont="1" applyBorder="1" applyAlignment="1">
      <alignment horizontal="center"/>
    </xf>
    <xf numFmtId="165" fontId="5" fillId="0" borderId="20" xfId="2" applyNumberFormat="1" applyFont="1" applyBorder="1" applyAlignment="1">
      <alignment horizontal="center"/>
    </xf>
    <xf numFmtId="2" fontId="6" fillId="0" borderId="20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0" fontId="5" fillId="4" borderId="22" xfId="2" applyFont="1" applyFill="1" applyBorder="1" applyAlignment="1" applyProtection="1">
      <alignment horizontal="center" vertical="center"/>
      <protection hidden="1"/>
    </xf>
    <xf numFmtId="0" fontId="5" fillId="4" borderId="23" xfId="2" applyFont="1" applyFill="1" applyBorder="1" applyAlignment="1" applyProtection="1">
      <alignment vertical="center"/>
      <protection hidden="1"/>
    </xf>
    <xf numFmtId="0" fontId="5" fillId="4" borderId="23" xfId="2" applyFont="1" applyFill="1" applyBorder="1" applyAlignment="1" applyProtection="1">
      <alignment horizontal="center" vertical="center"/>
      <protection hidden="1"/>
    </xf>
    <xf numFmtId="165" fontId="5" fillId="4" borderId="23" xfId="2" applyNumberFormat="1" applyFont="1" applyFill="1" applyBorder="1" applyAlignment="1" applyProtection="1">
      <alignment vertical="center"/>
      <protection hidden="1"/>
    </xf>
    <xf numFmtId="2" fontId="6" fillId="4" borderId="23" xfId="2" applyNumberFormat="1" applyFont="1" applyFill="1" applyBorder="1" applyAlignment="1" applyProtection="1">
      <alignment vertical="center"/>
      <protection hidden="1"/>
    </xf>
    <xf numFmtId="1" fontId="6" fillId="4" borderId="24" xfId="2" applyNumberFormat="1" applyFont="1" applyFill="1" applyBorder="1" applyAlignment="1" applyProtection="1">
      <alignment vertical="center"/>
      <protection hidden="1"/>
    </xf>
    <xf numFmtId="1" fontId="0" fillId="0" borderId="0" xfId="0" applyNumberFormat="1"/>
    <xf numFmtId="10" fontId="6" fillId="4" borderId="23" xfId="1" applyNumberFormat="1" applyFont="1" applyFill="1" applyBorder="1" applyAlignment="1" applyProtection="1">
      <alignment vertical="center"/>
      <protection hidden="1"/>
    </xf>
    <xf numFmtId="10" fontId="6" fillId="4" borderId="24" xfId="1" applyNumberFormat="1" applyFont="1" applyFill="1" applyBorder="1" applyAlignment="1" applyProtection="1">
      <alignment vertical="center"/>
      <protection hidden="1"/>
    </xf>
    <xf numFmtId="0" fontId="8" fillId="0" borderId="8" xfId="2" applyFont="1" applyBorder="1" applyAlignment="1">
      <alignment horizontal="center"/>
    </xf>
    <xf numFmtId="166" fontId="5" fillId="0" borderId="8" xfId="2" applyNumberFormat="1" applyFont="1" applyBorder="1" applyAlignment="1">
      <alignment horizontal="center"/>
    </xf>
    <xf numFmtId="2" fontId="0" fillId="0" borderId="0" xfId="0" applyNumberFormat="1"/>
    <xf numFmtId="0" fontId="6" fillId="7" borderId="7" xfId="2" applyFont="1" applyFill="1" applyBorder="1" applyAlignment="1">
      <alignment horizontal="center"/>
    </xf>
    <xf numFmtId="2" fontId="6" fillId="7" borderId="8" xfId="2" applyNumberFormat="1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5" fillId="4" borderId="19" xfId="2" applyFont="1" applyFill="1" applyBorder="1" applyAlignment="1" applyProtection="1">
      <alignment horizontal="center" vertical="center"/>
      <protection hidden="1"/>
    </xf>
    <xf numFmtId="0" fontId="5" fillId="4" borderId="20" xfId="2" applyFont="1" applyFill="1" applyBorder="1" applyAlignment="1" applyProtection="1">
      <alignment vertical="center"/>
      <protection hidden="1"/>
    </xf>
    <xf numFmtId="0" fontId="5" fillId="4" borderId="20" xfId="2" applyFont="1" applyFill="1" applyBorder="1" applyAlignment="1" applyProtection="1">
      <alignment horizontal="center" vertical="center"/>
      <protection hidden="1"/>
    </xf>
    <xf numFmtId="165" fontId="5" fillId="4" borderId="20" xfId="2" applyNumberFormat="1" applyFont="1" applyFill="1" applyBorder="1" applyAlignment="1" applyProtection="1">
      <alignment vertical="center"/>
      <protection hidden="1"/>
    </xf>
    <xf numFmtId="2" fontId="6" fillId="4" borderId="20" xfId="2" applyNumberFormat="1" applyFont="1" applyFill="1" applyBorder="1" applyAlignment="1" applyProtection="1">
      <alignment vertical="center"/>
      <protection hidden="1"/>
    </xf>
    <xf numFmtId="0" fontId="2" fillId="5" borderId="23" xfId="0" applyFont="1" applyFill="1" applyBorder="1"/>
    <xf numFmtId="167" fontId="2" fillId="5" borderId="23" xfId="0" applyNumberFormat="1" applyFont="1" applyFill="1" applyBorder="1"/>
    <xf numFmtId="9" fontId="2" fillId="5" borderId="23" xfId="0" applyNumberFormat="1" applyFont="1" applyFill="1" applyBorder="1"/>
    <xf numFmtId="1" fontId="2" fillId="5" borderId="24" xfId="0" applyNumberFormat="1" applyFont="1" applyFill="1" applyBorder="1"/>
    <xf numFmtId="167" fontId="5" fillId="7" borderId="8" xfId="1" applyNumberFormat="1" applyFont="1" applyFill="1" applyBorder="1" applyAlignment="1">
      <alignment horizontal="center"/>
    </xf>
    <xf numFmtId="0" fontId="6" fillId="7" borderId="8" xfId="2" applyFont="1" applyFill="1" applyBorder="1" applyAlignment="1">
      <alignment horizontal="left"/>
    </xf>
    <xf numFmtId="1" fontId="6" fillId="7" borderId="8" xfId="2" applyNumberFormat="1" applyFont="1" applyFill="1" applyBorder="1" applyAlignment="1">
      <alignment horizontal="center"/>
    </xf>
    <xf numFmtId="164" fontId="5" fillId="7" borderId="8" xfId="2" applyNumberFormat="1" applyFont="1" applyFill="1" applyBorder="1" applyAlignment="1">
      <alignment horizontal="center"/>
    </xf>
    <xf numFmtId="165" fontId="5" fillId="7" borderId="8" xfId="2" applyNumberFormat="1" applyFont="1" applyFill="1" applyBorder="1" applyAlignment="1">
      <alignment horizontal="center"/>
    </xf>
    <xf numFmtId="1" fontId="6" fillId="7" borderId="9" xfId="2" applyNumberFormat="1" applyFont="1" applyFill="1" applyBorder="1" applyAlignment="1">
      <alignment horizontal="center"/>
    </xf>
    <xf numFmtId="9" fontId="5" fillId="7" borderId="8" xfId="1" applyFont="1" applyFill="1" applyBorder="1" applyAlignment="1">
      <alignment horizontal="center"/>
    </xf>
    <xf numFmtId="0" fontId="10" fillId="7" borderId="19" xfId="4" applyFont="1" applyFill="1" applyBorder="1" applyAlignment="1">
      <alignment horizontal="center"/>
    </xf>
    <xf numFmtId="0" fontId="10" fillId="7" borderId="20" xfId="4" applyFont="1" applyFill="1" applyBorder="1"/>
    <xf numFmtId="1" fontId="8" fillId="7" borderId="21" xfId="2" applyNumberFormat="1" applyFont="1" applyFill="1" applyBorder="1" applyAlignment="1">
      <alignment horizontal="left"/>
    </xf>
    <xf numFmtId="0" fontId="11" fillId="7" borderId="20" xfId="4" applyFont="1" applyFill="1" applyBorder="1"/>
    <xf numFmtId="2" fontId="6" fillId="7" borderId="20" xfId="2" applyNumberFormat="1" applyFont="1" applyFill="1" applyBorder="1" applyAlignment="1">
      <alignment horizontal="center"/>
    </xf>
    <xf numFmtId="1" fontId="6" fillId="7" borderId="13" xfId="2" applyNumberFormat="1" applyFont="1" applyFill="1" applyBorder="1" applyAlignment="1">
      <alignment horizontal="center"/>
    </xf>
    <xf numFmtId="1" fontId="8" fillId="7" borderId="16" xfId="2" applyNumberFormat="1" applyFont="1" applyFill="1" applyBorder="1" applyAlignment="1">
      <alignment horizontal="left"/>
    </xf>
    <xf numFmtId="2" fontId="6" fillId="7" borderId="15" xfId="2" applyNumberFormat="1" applyFont="1" applyFill="1" applyBorder="1" applyAlignment="1">
      <alignment horizontal="center"/>
    </xf>
    <xf numFmtId="1" fontId="6" fillId="7" borderId="17" xfId="2" applyNumberFormat="1" applyFont="1" applyFill="1" applyBorder="1" applyAlignment="1">
      <alignment horizontal="center"/>
    </xf>
    <xf numFmtId="0" fontId="10" fillId="7" borderId="14" xfId="4" applyFont="1" applyFill="1" applyBorder="1" applyAlignment="1">
      <alignment horizontal="center"/>
    </xf>
    <xf numFmtId="0" fontId="10" fillId="7" borderId="15" xfId="4" applyFont="1" applyFill="1" applyBorder="1"/>
    <xf numFmtId="0" fontId="11" fillId="7" borderId="15" xfId="4" applyFont="1" applyFill="1" applyBorder="1"/>
    <xf numFmtId="10" fontId="5" fillId="7" borderId="8" xfId="1" applyNumberFormat="1" applyFont="1" applyFill="1" applyBorder="1" applyAlignment="1">
      <alignment horizontal="center"/>
    </xf>
    <xf numFmtId="9" fontId="0" fillId="0" borderId="0" xfId="1" applyFont="1"/>
    <xf numFmtId="0" fontId="0" fillId="7" borderId="0" xfId="0" applyFill="1"/>
    <xf numFmtId="44" fontId="0" fillId="0" borderId="0" xfId="32" applyFont="1"/>
    <xf numFmtId="9" fontId="0" fillId="0" borderId="0" xfId="1" applyFont="1" applyAlignment="1">
      <alignment horizontal="center"/>
    </xf>
    <xf numFmtId="0" fontId="12" fillId="0" borderId="0" xfId="0" applyFont="1"/>
    <xf numFmtId="0" fontId="8" fillId="7" borderId="8" xfId="2" applyFont="1" applyFill="1" applyBorder="1" applyAlignment="1">
      <alignment horizontal="center"/>
    </xf>
    <xf numFmtId="0" fontId="8" fillId="7" borderId="8" xfId="2" applyFont="1" applyFill="1" applyBorder="1" applyAlignment="1">
      <alignment horizontal="left"/>
    </xf>
    <xf numFmtId="1" fontId="8" fillId="7" borderId="8" xfId="2" applyNumberFormat="1" applyFont="1" applyFill="1" applyBorder="1" applyAlignment="1">
      <alignment horizontal="center"/>
    </xf>
    <xf numFmtId="166" fontId="5" fillId="7" borderId="8" xfId="2" applyNumberFormat="1" applyFont="1" applyFill="1" applyBorder="1" applyAlignment="1">
      <alignment horizontal="center"/>
    </xf>
    <xf numFmtId="10" fontId="0" fillId="0" borderId="0" xfId="1" applyNumberFormat="1" applyFont="1"/>
    <xf numFmtId="0" fontId="13" fillId="0" borderId="0" xfId="0" applyFont="1"/>
    <xf numFmtId="0" fontId="0" fillId="0" borderId="0" xfId="0" applyAlignment="1">
      <alignment horizontal="center"/>
    </xf>
    <xf numFmtId="10" fontId="5" fillId="4" borderId="8" xfId="2" applyNumberFormat="1" applyFont="1" applyFill="1" applyBorder="1" applyAlignment="1" applyProtection="1">
      <alignment vertical="center"/>
      <protection hidden="1"/>
    </xf>
    <xf numFmtId="10" fontId="5" fillId="0" borderId="8" xfId="2" applyNumberFormat="1" applyFont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10" fontId="9" fillId="0" borderId="8" xfId="2" applyNumberFormat="1" applyFont="1" applyBorder="1" applyAlignment="1">
      <alignment horizontal="center"/>
    </xf>
    <xf numFmtId="10" fontId="5" fillId="4" borderId="11" xfId="2" applyNumberFormat="1" applyFont="1" applyFill="1" applyBorder="1" applyAlignment="1" applyProtection="1">
      <alignment vertical="center"/>
      <protection hidden="1"/>
    </xf>
    <xf numFmtId="10" fontId="5" fillId="0" borderId="15" xfId="2" applyNumberFormat="1" applyFont="1" applyBorder="1" applyAlignment="1">
      <alignment horizontal="center"/>
    </xf>
    <xf numFmtId="10" fontId="5" fillId="0" borderId="20" xfId="2" applyNumberFormat="1" applyFont="1" applyBorder="1" applyAlignment="1">
      <alignment horizontal="center"/>
    </xf>
    <xf numFmtId="10" fontId="5" fillId="4" borderId="23" xfId="2" applyNumberFormat="1" applyFont="1" applyFill="1" applyBorder="1" applyAlignment="1" applyProtection="1">
      <alignment vertical="center"/>
      <protection hidden="1"/>
    </xf>
    <xf numFmtId="167" fontId="12" fillId="7" borderId="8" xfId="1" applyNumberFormat="1" applyFont="1" applyFill="1" applyBorder="1"/>
    <xf numFmtId="10" fontId="5" fillId="7" borderId="8" xfId="2" applyNumberFormat="1" applyFont="1" applyFill="1" applyBorder="1" applyAlignment="1">
      <alignment horizontal="center"/>
    </xf>
    <xf numFmtId="9" fontId="5" fillId="0" borderId="8" xfId="1" applyFont="1" applyFill="1" applyBorder="1" applyAlignment="1">
      <alignment horizontal="center"/>
    </xf>
    <xf numFmtId="167" fontId="5" fillId="0" borderId="8" xfId="1" applyNumberFormat="1" applyFont="1" applyFill="1" applyBorder="1" applyAlignment="1">
      <alignment horizontal="center"/>
    </xf>
    <xf numFmtId="9" fontId="5" fillId="8" borderId="8" xfId="1" applyFont="1" applyFill="1" applyBorder="1" applyAlignment="1">
      <alignment horizontal="center"/>
    </xf>
    <xf numFmtId="44" fontId="0" fillId="0" borderId="0" xfId="32" applyFont="1" applyBorder="1"/>
    <xf numFmtId="0" fontId="6" fillId="0" borderId="22" xfId="2" applyFont="1" applyBorder="1" applyAlignment="1">
      <alignment horizontal="center"/>
    </xf>
    <xf numFmtId="0" fontId="6" fillId="0" borderId="23" xfId="2" applyFont="1" applyBorder="1" applyAlignment="1">
      <alignment horizontal="left"/>
    </xf>
    <xf numFmtId="1" fontId="6" fillId="0" borderId="23" xfId="2" applyNumberFormat="1" applyFont="1" applyBorder="1" applyAlignment="1">
      <alignment horizontal="center"/>
    </xf>
    <xf numFmtId="2" fontId="6" fillId="0" borderId="23" xfId="2" applyNumberFormat="1" applyFont="1" applyBorder="1" applyAlignment="1">
      <alignment horizontal="center"/>
    </xf>
    <xf numFmtId="0" fontId="29" fillId="0" borderId="0" xfId="0" applyFont="1"/>
    <xf numFmtId="9" fontId="7" fillId="0" borderId="0" xfId="1" applyFont="1" applyAlignment="1">
      <alignment horizontal="center"/>
    </xf>
    <xf numFmtId="9" fontId="0" fillId="0" borderId="0" xfId="1" applyFont="1" applyBorder="1" applyAlignment="1">
      <alignment horizontal="center"/>
    </xf>
    <xf numFmtId="10" fontId="5" fillId="7" borderId="23" xfId="2" applyNumberFormat="1" applyFont="1" applyFill="1" applyBorder="1" applyAlignment="1">
      <alignment horizontal="center"/>
    </xf>
    <xf numFmtId="170" fontId="5" fillId="7" borderId="8" xfId="1" applyNumberFormat="1" applyFont="1" applyFill="1" applyBorder="1" applyAlignment="1">
      <alignment horizontal="center"/>
    </xf>
    <xf numFmtId="171" fontId="0" fillId="0" borderId="0" xfId="32" applyNumberFormat="1" applyFont="1" applyBorder="1"/>
    <xf numFmtId="9" fontId="13" fillId="0" borderId="0" xfId="1" applyFont="1" applyAlignment="1">
      <alignment horizontal="center"/>
    </xf>
    <xf numFmtId="9" fontId="13" fillId="7" borderId="0" xfId="1" applyFont="1" applyFill="1" applyAlignment="1">
      <alignment horizontal="center"/>
    </xf>
    <xf numFmtId="2" fontId="7" fillId="7" borderId="0" xfId="2" applyNumberFormat="1" applyFont="1" applyFill="1" applyAlignment="1">
      <alignment horizontal="left"/>
    </xf>
    <xf numFmtId="2" fontId="7" fillId="0" borderId="0" xfId="2" applyNumberFormat="1" applyFont="1" applyAlignment="1">
      <alignment horizontal="left"/>
    </xf>
    <xf numFmtId="2" fontId="6" fillId="0" borderId="9" xfId="2" applyNumberFormat="1" applyFont="1" applyBorder="1" applyAlignment="1">
      <alignment horizontal="center"/>
    </xf>
    <xf numFmtId="43" fontId="10" fillId="0" borderId="0" xfId="157" applyFont="1" applyFill="1" applyAlignment="1">
      <alignment horizontal="center" vertical="center"/>
    </xf>
    <xf numFmtId="167" fontId="13" fillId="7" borderId="0" xfId="1" applyNumberFormat="1" applyFont="1" applyFill="1" applyAlignment="1">
      <alignment horizontal="center"/>
    </xf>
    <xf numFmtId="167" fontId="5" fillId="0" borderId="8" xfId="2" applyNumberFormat="1" applyFont="1" applyBorder="1" applyAlignment="1">
      <alignment horizontal="center"/>
    </xf>
    <xf numFmtId="9" fontId="13" fillId="0" borderId="8" xfId="1" applyFont="1" applyFill="1" applyBorder="1" applyAlignment="1">
      <alignment horizontal="center"/>
    </xf>
    <xf numFmtId="9" fontId="13" fillId="7" borderId="8" xfId="1" applyFont="1" applyFill="1" applyBorder="1" applyAlignment="1">
      <alignment horizontal="center"/>
    </xf>
    <xf numFmtId="2" fontId="6" fillId="40" borderId="8" xfId="2" applyNumberFormat="1" applyFont="1" applyFill="1" applyBorder="1" applyAlignment="1">
      <alignment horizontal="center"/>
    </xf>
    <xf numFmtId="0" fontId="10" fillId="0" borderId="14" xfId="4" applyFont="1" applyBorder="1" applyAlignment="1">
      <alignment horizontal="center"/>
    </xf>
    <xf numFmtId="0" fontId="10" fillId="0" borderId="19" xfId="4" applyFont="1" applyBorder="1" applyAlignment="1">
      <alignment horizontal="center"/>
    </xf>
    <xf numFmtId="9" fontId="5" fillId="4" borderId="23" xfId="2" applyNumberFormat="1" applyFont="1" applyFill="1" applyBorder="1" applyAlignment="1" applyProtection="1">
      <alignment vertical="center"/>
      <protection hidden="1"/>
    </xf>
    <xf numFmtId="10" fontId="6" fillId="7" borderId="8" xfId="2" applyNumberFormat="1" applyFont="1" applyFill="1" applyBorder="1" applyAlignment="1">
      <alignment horizontal="center"/>
    </xf>
  </cellXfs>
  <cellStyles count="162">
    <cellStyle name="20% - Énfasis1" xfId="79" builtinId="30" customBuiltin="1"/>
    <cellStyle name="20% - Énfasis2" xfId="83" builtinId="34" customBuiltin="1"/>
    <cellStyle name="20% - Énfasis3" xfId="87" builtinId="38" customBuiltin="1"/>
    <cellStyle name="20% - Énfasis4" xfId="91" builtinId="42" customBuiltin="1"/>
    <cellStyle name="20% - Énfasis5" xfId="95" builtinId="46" customBuiltin="1"/>
    <cellStyle name="20% - Énfasis6" xfId="99" builtinId="50" customBuiltin="1"/>
    <cellStyle name="40% - Énfasis1" xfId="80" builtinId="31" customBuiltin="1"/>
    <cellStyle name="40% - Énfasis2" xfId="84" builtinId="35" customBuiltin="1"/>
    <cellStyle name="40% - Énfasis3" xfId="88" builtinId="39" customBuiltin="1"/>
    <cellStyle name="40% - Énfasis4" xfId="92" builtinId="43" customBuiltin="1"/>
    <cellStyle name="40% - Énfasis5" xfId="96" builtinId="47" customBuiltin="1"/>
    <cellStyle name="40% - Énfasis6" xfId="100" builtinId="51" customBuiltin="1"/>
    <cellStyle name="60% - Énfasis1" xfId="81" builtinId="32" customBuiltin="1"/>
    <cellStyle name="60% - Énfasis2" xfId="85" builtinId="36" customBuiltin="1"/>
    <cellStyle name="60% - Énfasis3" xfId="89" builtinId="40" customBuiltin="1"/>
    <cellStyle name="60% - Énfasis4" xfId="93" builtinId="44" customBuiltin="1"/>
    <cellStyle name="60% - Énfasis5" xfId="97" builtinId="48" customBuiltin="1"/>
    <cellStyle name="60% - Énfasis6" xfId="101" builtinId="52" customBuiltin="1"/>
    <cellStyle name="Bueno" xfId="66" builtinId="26" customBuiltin="1"/>
    <cellStyle name="Cálculo" xfId="71" builtinId="22" customBuiltin="1"/>
    <cellStyle name="Celda de comprobación" xfId="73" builtinId="23" customBuiltin="1"/>
    <cellStyle name="Celda vinculada" xfId="72" builtinId="24" customBuiltin="1"/>
    <cellStyle name="Encabezado 1" xfId="62" builtinId="16" customBuiltin="1"/>
    <cellStyle name="Encabezado 4" xfId="65" builtinId="19" customBuiltin="1"/>
    <cellStyle name="Énfasis1" xfId="78" builtinId="29" customBuiltin="1"/>
    <cellStyle name="Énfasis2" xfId="82" builtinId="33" customBuiltin="1"/>
    <cellStyle name="Énfasis3" xfId="86" builtinId="37" customBuiltin="1"/>
    <cellStyle name="Énfasis4" xfId="90" builtinId="41" customBuiltin="1"/>
    <cellStyle name="Énfasis5" xfId="94" builtinId="45" customBuiltin="1"/>
    <cellStyle name="Énfasis6" xfId="98" builtinId="49" customBuiltin="1"/>
    <cellStyle name="Entrada" xfId="69" builtinId="20" customBuiltin="1"/>
    <cellStyle name="Incorrecto" xfId="67" builtinId="27" customBuiltin="1"/>
    <cellStyle name="Millares" xfId="157" builtinId="3"/>
    <cellStyle name="Millares 2" xfId="34" xr:uid="{29FB26D7-D76A-42C5-8244-D8DBAAB3F98E}"/>
    <cellStyle name="Millares 2 2" xfId="110" xr:uid="{D2CD46DD-D280-49A5-9B25-F11DB7D954A2}"/>
    <cellStyle name="Millares 3" xfId="158" xr:uid="{D5AF361B-12B7-483B-AA6A-A25C715A7919}"/>
    <cellStyle name="Millares 4" xfId="160" xr:uid="{55537979-78CE-49DC-90F5-71FF024EFBC2}"/>
    <cellStyle name="Moneda" xfId="32" builtinId="4"/>
    <cellStyle name="Moneda 10" xfId="118" xr:uid="{14900CE8-1537-465B-968D-D9E5AA178B74}"/>
    <cellStyle name="Moneda 11" xfId="102" xr:uid="{A0B2EE46-5609-4687-837D-0BA48BAB3686}"/>
    <cellStyle name="Moneda 12" xfId="156" xr:uid="{C06C348E-7E27-4A0B-ADE7-24F34A6BFD31}"/>
    <cellStyle name="Moneda 13" xfId="159" xr:uid="{D38BFAF7-8CC5-4DF6-921E-43ECF148D411}"/>
    <cellStyle name="Moneda 14" xfId="161" xr:uid="{32492404-BDFC-47D4-8A1B-9497670D1CB2}"/>
    <cellStyle name="Moneda 2" xfId="8" xr:uid="{A67CDCCC-5616-4DA1-816B-43BAAD207ABB}"/>
    <cellStyle name="Moneda 2 2" xfId="13" xr:uid="{7E6828FC-9C8F-4831-9EE3-22A495EAB50E}"/>
    <cellStyle name="Moneda 2 2 2" xfId="24" xr:uid="{66602B43-3E3A-4844-921C-E14205994D4C}"/>
    <cellStyle name="Moneda 2 2 2 2" xfId="52" xr:uid="{55D40DCA-7326-4AD7-8D9A-56D5FEEFAFB8}"/>
    <cellStyle name="Moneda 2 2 2 2 2" xfId="147" xr:uid="{3B24C31A-20DD-4ABA-8A23-157AC30951A1}"/>
    <cellStyle name="Moneda 2 2 2 3" xfId="125" xr:uid="{F94B2C6C-EC29-4051-A518-CD3940B47BD9}"/>
    <cellStyle name="Moneda 2 2 3" xfId="41" xr:uid="{AFC52BBA-9E90-4690-AF42-D17465E9EF71}"/>
    <cellStyle name="Moneda 2 2 3 2" xfId="136" xr:uid="{D9D1D0CD-D42B-4348-BB58-BD1048F79E07}"/>
    <cellStyle name="Moneda 2 2 4" xfId="107" xr:uid="{67DBF92C-B285-438F-A03F-86B7679506C2}"/>
    <cellStyle name="Moneda 2 3" xfId="17" xr:uid="{DD395E67-B92E-46F7-80E1-C014996B2592}"/>
    <cellStyle name="Moneda 2 3 2" xfId="28" xr:uid="{7F0DF8CA-9B3E-401A-8141-E4E8FF6ED7E3}"/>
    <cellStyle name="Moneda 2 3 2 2" xfId="56" xr:uid="{5B94D618-0B3C-4A42-91F3-2E6E1295B663}"/>
    <cellStyle name="Moneda 2 3 2 2 2" xfId="151" xr:uid="{6B654391-58A2-4F2A-A1AD-32C5B971859F}"/>
    <cellStyle name="Moneda 2 3 2 3" xfId="111" xr:uid="{18DDCE53-9B63-464C-8A52-B2832BCFA9F5}"/>
    <cellStyle name="Moneda 2 3 3" xfId="45" xr:uid="{D7C87B8A-96D2-4174-AEF3-53C931A3C25B}"/>
    <cellStyle name="Moneda 2 3 3 2" xfId="140" xr:uid="{B2DFDD56-2154-4522-A2FB-3399E99469E6}"/>
    <cellStyle name="Moneda 2 3 4" xfId="129" xr:uid="{CA818A90-746A-4181-B217-18AE1D8188C9}"/>
    <cellStyle name="Moneda 2 4" xfId="9" xr:uid="{FEC1AA6B-6EDE-4C1E-88C4-1835BBC866DA}"/>
    <cellStyle name="Moneda 2 4 2" xfId="37" xr:uid="{481A13C2-6CB9-443B-AB5F-F7C58D82E808}"/>
    <cellStyle name="Moneda 2 4 2 2" xfId="132" xr:uid="{94C3DE59-E59A-4556-BAA6-E211E55DE45C}"/>
    <cellStyle name="Moneda 2 4 3" xfId="113" xr:uid="{FCDCC74F-11F8-4B27-BE3E-C2249DE0571A}"/>
    <cellStyle name="Moneda 2 5" xfId="20" xr:uid="{26FBDE1B-5F39-480C-94B8-0BB08EF2FF2F}"/>
    <cellStyle name="Moneda 2 5 2" xfId="48" xr:uid="{70C0A4B3-9C15-4D42-964F-62AD908D7CEA}"/>
    <cellStyle name="Moneda 2 5 2 2" xfId="143" xr:uid="{4F8A83E9-1E66-4190-9195-2C3B9A43FFBB}"/>
    <cellStyle name="Moneda 2 5 3" xfId="120" xr:uid="{F8E4C78B-E9E8-4BD6-A728-169A438563E9}"/>
    <cellStyle name="Moneda 2 6" xfId="36" xr:uid="{A9644D3F-7C97-4615-BEA1-7F98F76CC208}"/>
    <cellStyle name="Moneda 2 6 2" xfId="131" xr:uid="{341A6F85-212B-4A1F-916C-DEAA8052C879}"/>
    <cellStyle name="Moneda 2 7" xfId="117" xr:uid="{8BA4CACE-6EFE-492F-9656-E11F28BB3E11}"/>
    <cellStyle name="Moneda 3" xfId="10" xr:uid="{546173A2-D58B-4527-94EC-9BE304921061}"/>
    <cellStyle name="Moneda 3 2" xfId="14" xr:uid="{C6C1589C-FE8B-4106-A624-9A0F5267D169}"/>
    <cellStyle name="Moneda 3 2 2" xfId="25" xr:uid="{0E8AE5A7-010F-42D5-8792-E3AE70F69E8D}"/>
    <cellStyle name="Moneda 3 2 2 2" xfId="53" xr:uid="{AA7F046E-CEDB-472A-84C6-DF7C1B593DF2}"/>
    <cellStyle name="Moneda 3 2 2 2 2" xfId="148" xr:uid="{6495175D-7689-4B97-9DFB-BA9A06349993}"/>
    <cellStyle name="Moneda 3 2 2 3" xfId="122" xr:uid="{3B85BEE8-AA49-4DFC-B1AE-B405DF34CF50}"/>
    <cellStyle name="Moneda 3 2 3" xfId="42" xr:uid="{C3133EDE-93AC-4BEF-B276-A23E5DFEBD9F}"/>
    <cellStyle name="Moneda 3 2 3 2" xfId="137" xr:uid="{99FF4999-696F-46CD-8FBF-F0C7711CE07A}"/>
    <cellStyle name="Moneda 3 2 4" xfId="108" xr:uid="{EC8980E2-5549-4CD7-9EA1-8EE337063304}"/>
    <cellStyle name="Moneda 3 3" xfId="18" xr:uid="{82438289-3D5C-4428-863C-2B71063FED80}"/>
    <cellStyle name="Moneda 3 3 2" xfId="29" xr:uid="{4574627F-4AF7-4435-B0C2-DC8FC5969454}"/>
    <cellStyle name="Moneda 3 3 2 2" xfId="57" xr:uid="{EAA2A0D6-AFB8-433C-92D3-8D8EEBAE949A}"/>
    <cellStyle name="Moneda 3 3 2 2 2" xfId="152" xr:uid="{37E70E50-FE80-43BB-BA9D-96E742532F30}"/>
    <cellStyle name="Moneda 3 3 2 3" xfId="127" xr:uid="{28CF6426-259F-4328-B36E-7FC7C4E7CEA8}"/>
    <cellStyle name="Moneda 3 3 3" xfId="46" xr:uid="{8C7E75FC-59CF-4D46-A8C1-805DEF295831}"/>
    <cellStyle name="Moneda 3 3 3 2" xfId="141" xr:uid="{AB1118F3-FE28-4965-BFFC-26036AA8C621}"/>
    <cellStyle name="Moneda 3 3 4" xfId="126" xr:uid="{7E2FEEDA-331E-4BFE-8CF8-371B2605A969}"/>
    <cellStyle name="Moneda 3 4" xfId="21" xr:uid="{C6A0D681-AB4A-4A8C-B381-AC10DE7E918D}"/>
    <cellStyle name="Moneda 3 4 2" xfId="49" xr:uid="{4EB9BFA7-F673-4812-AF29-FEDC6365E667}"/>
    <cellStyle name="Moneda 3 4 2 2" xfId="144" xr:uid="{5C9FA252-43DF-4207-B446-275E4995825D}"/>
    <cellStyle name="Moneda 3 4 3" xfId="116" xr:uid="{63714987-784E-48C5-A41F-234BAB81114C}"/>
    <cellStyle name="Moneda 3 5" xfId="38" xr:uid="{1E021BAB-1A45-4A14-8582-3397379A60A1}"/>
    <cellStyle name="Moneda 3 5 2" xfId="133" xr:uid="{B987FC2F-05A9-4FA3-A3FA-9DCFE3FD8BCA}"/>
    <cellStyle name="Moneda 3 6" xfId="109" xr:uid="{55F268E0-A6E2-45E3-A8AD-0FB275B61501}"/>
    <cellStyle name="Moneda 4" xfId="11" xr:uid="{275AB8A0-01D1-4C2E-A2D8-E03E3C1BF73F}"/>
    <cellStyle name="Moneda 4 2" xfId="19" xr:uid="{5185B0A7-A31E-4F9D-80CA-179D2101E33A}"/>
    <cellStyle name="Moneda 4 2 2" xfId="30" xr:uid="{3F841A54-6CFE-488F-8102-8C079DDEB100}"/>
    <cellStyle name="Moneda 4 2 2 2" xfId="58" xr:uid="{D3FBF03C-086E-4277-9423-9FE328981EFD}"/>
    <cellStyle name="Moneda 4 2 2 2 2" xfId="153" xr:uid="{48547832-5468-483A-9EC9-C6D2FA78CD97}"/>
    <cellStyle name="Moneda 4 2 2 3" xfId="124" xr:uid="{9B90E050-B43D-4AA3-B0EE-6BD980E831FB}"/>
    <cellStyle name="Moneda 4 2 3" xfId="47" xr:uid="{0CC96D79-FFC1-449E-AE9A-4778972DE16D}"/>
    <cellStyle name="Moneda 4 2 3 2" xfId="142" xr:uid="{41B5A3FA-831A-4D03-A6C5-6ED286B00888}"/>
    <cellStyle name="Moneda 4 2 4" xfId="123" xr:uid="{35AD57E6-ACDD-4491-A479-2AB29EC9813A}"/>
    <cellStyle name="Moneda 4 3" xfId="22" xr:uid="{4BD919E8-7286-47B5-B20F-CAD8594E1D8F}"/>
    <cellStyle name="Moneda 4 3 2" xfId="50" xr:uid="{6EAD3018-F2D9-48E2-B56F-94C6828FD51C}"/>
    <cellStyle name="Moneda 4 3 2 2" xfId="145" xr:uid="{2D530C55-0CCB-415E-83DD-47E2AB8EC89A}"/>
    <cellStyle name="Moneda 4 3 3" xfId="112" xr:uid="{FD2A642B-B22B-4FD9-BBE4-3AF9759A1C15}"/>
    <cellStyle name="Moneda 4 4" xfId="39" xr:uid="{3BDE76EF-F7E5-42DF-8291-DC0B9282456A}"/>
    <cellStyle name="Moneda 4 4 2" xfId="134" xr:uid="{16AAC9A7-14E8-4505-BC26-C66F40E08068}"/>
    <cellStyle name="Moneda 4 5" xfId="104" xr:uid="{C32A5F4F-FE69-4695-8F7D-38B7F57E6D5F}"/>
    <cellStyle name="Moneda 5" xfId="12" xr:uid="{F5DB0D7C-ADC1-4643-9570-6F9CAB66875F}"/>
    <cellStyle name="Moneda 5 2" xfId="16" xr:uid="{72DD87A7-A135-4BE1-B41D-9FFC0A8BD58F}"/>
    <cellStyle name="Moneda 5 2 2" xfId="27" xr:uid="{3F83F38F-50B3-4BDE-A61C-73429232793F}"/>
    <cellStyle name="Moneda 5 2 2 2" xfId="55" xr:uid="{7E741CB5-80F0-4ACD-990E-B523C3D279BC}"/>
    <cellStyle name="Moneda 5 2 2 2 2" xfId="150" xr:uid="{A3CFA0EB-D88B-4C5D-B580-C202BF755850}"/>
    <cellStyle name="Moneda 5 2 2 3" xfId="115" xr:uid="{F29D983E-BF66-4BA4-8BD6-0C4AD0FB5D52}"/>
    <cellStyle name="Moneda 5 2 3" xfId="44" xr:uid="{1E972E4C-1D67-4E2C-AB1A-F35F071A3CDD}"/>
    <cellStyle name="Moneda 5 2 3 2" xfId="139" xr:uid="{B83494EB-B04D-44FF-8E51-3635A8DEACFE}"/>
    <cellStyle name="Moneda 5 2 4" xfId="105" xr:uid="{F4AA0E69-D871-4A3C-BD14-B6820521C19B}"/>
    <cellStyle name="Moneda 5 3" xfId="23" xr:uid="{9AD40182-55CE-40C6-80A1-4E4D0FF24323}"/>
    <cellStyle name="Moneda 5 3 2" xfId="51" xr:uid="{84C9B33E-2EC5-4053-8161-DB2360F5ED6F}"/>
    <cellStyle name="Moneda 5 3 2 2" xfId="146" xr:uid="{DABCDD00-4BF4-43CB-946A-C1C9F64F3EDC}"/>
    <cellStyle name="Moneda 5 3 3" xfId="128" xr:uid="{E6818C49-B009-47CE-8BE7-AE4F7E7CD3F6}"/>
    <cellStyle name="Moneda 5 4" xfId="40" xr:uid="{8CB2D1AA-7904-4893-8C6F-8D56D2E8DFDF}"/>
    <cellStyle name="Moneda 5 4 2" xfId="135" xr:uid="{91EBC11C-B47A-4A96-859B-E47744D3BD89}"/>
    <cellStyle name="Moneda 5 5" xfId="103" xr:uid="{3C04B6F3-1EB8-42F2-87FA-CFCECE1F0881}"/>
    <cellStyle name="Moneda 6" xfId="15" xr:uid="{D5AE2924-FC88-4A74-98B1-F1DD187D4229}"/>
    <cellStyle name="Moneda 6 2" xfId="26" xr:uid="{78DC1817-0A75-43E5-926C-190F5DB09619}"/>
    <cellStyle name="Moneda 6 2 2" xfId="54" xr:uid="{D3EFF5FB-CE8A-4C00-9DF7-BB9AF7515F3D}"/>
    <cellStyle name="Moneda 6 2 2 2" xfId="149" xr:uid="{B3A5FA31-4204-4BB6-831E-15CFD7CE8E83}"/>
    <cellStyle name="Moneda 6 2 3" xfId="119" xr:uid="{4FA6CFB0-D64D-44ED-BCEC-8A03959609EC}"/>
    <cellStyle name="Moneda 6 3" xfId="43" xr:uid="{11804A18-5D29-48A9-816A-582136BA998C}"/>
    <cellStyle name="Moneda 6 3 2" xfId="138" xr:uid="{47362EA3-244D-4F90-8957-E2D12FAA96F2}"/>
    <cellStyle name="Moneda 6 4" xfId="106" xr:uid="{4BFFD461-35E5-4F56-B93F-73EC86FDEE7B}"/>
    <cellStyle name="Moneda 7" xfId="31" xr:uid="{B5858E36-3681-4BDE-834F-66D575C33C9C}"/>
    <cellStyle name="Moneda 7 2" xfId="59" xr:uid="{D6D4755E-C9CE-4821-8266-B648AB24B869}"/>
    <cellStyle name="Moneda 7 2 2" xfId="154" xr:uid="{749DB460-DBF7-46BA-A6C8-38043AE4EF5B}"/>
    <cellStyle name="Moneda 7 3" xfId="121" xr:uid="{335905D4-720A-41F0-8281-6C1E12A0DD7A}"/>
    <cellStyle name="Moneda 8" xfId="33" xr:uid="{97F7F235-5542-4303-A51D-B67DB136003E}"/>
    <cellStyle name="Moneda 8 2" xfId="60" xr:uid="{19FA0ECF-8298-481E-980C-19FD6808B880}"/>
    <cellStyle name="Moneda 8 2 2" xfId="155" xr:uid="{9EB91662-221B-4425-A415-4487409067CF}"/>
    <cellStyle name="Moneda 8 3" xfId="114" xr:uid="{DFD47348-26C2-4A71-BB41-869F7D30AB6F}"/>
    <cellStyle name="Moneda 9" xfId="35" xr:uid="{FE290F6D-42BF-4D74-8890-E726CD4F081B}"/>
    <cellStyle name="Moneda 9 2" xfId="130" xr:uid="{38FBBCD5-823C-4969-8B42-4835DF9F15B3}"/>
    <cellStyle name="Neutral" xfId="68" builtinId="28" customBuiltin="1"/>
    <cellStyle name="Normal" xfId="0" builtinId="0"/>
    <cellStyle name="Normal 2 2" xfId="5" xr:uid="{7133E2F9-2C5D-48F5-99B6-69D7054D688E}"/>
    <cellStyle name="Normal 3" xfId="3" xr:uid="{2EB3D19B-D8CE-44C2-B506-8DBDB62568D6}"/>
    <cellStyle name="Normal_ARQUITECTURA DE PRECIOS 1 0" xfId="2" xr:uid="{BAEA6EC7-A56C-4C02-BF1A-A8CCDB903C15}"/>
    <cellStyle name="Normal_Precio públicos al 01-03" xfId="4" xr:uid="{EE6BA769-AE04-4E7B-89F2-37C4808A43AF}"/>
    <cellStyle name="Notas" xfId="75" builtinId="10" customBuiltin="1"/>
    <cellStyle name="Porcentaje" xfId="1" builtinId="5"/>
    <cellStyle name="Porcentaje 2" xfId="7" xr:uid="{66E51866-3ECF-42E8-9503-69727C81520D}"/>
    <cellStyle name="Porcentaje 3" xfId="6" xr:uid="{5643A4AB-FFE8-4810-B375-2CC30B310AE9}"/>
    <cellStyle name="Salida" xfId="70" builtinId="21" customBuiltin="1"/>
    <cellStyle name="Texto de advertencia" xfId="74" builtinId="11" customBuiltin="1"/>
    <cellStyle name="Texto explicativo" xfId="76" builtinId="53" customBuiltin="1"/>
    <cellStyle name="Título" xfId="61" builtinId="15" customBuiltin="1"/>
    <cellStyle name="Título 2" xfId="63" builtinId="17" customBuiltin="1"/>
    <cellStyle name="Título 3" xfId="64" builtinId="18" customBuiltin="1"/>
    <cellStyle name="Total" xfId="77" builtinId="25" customBuiltin="1"/>
  </cellStyles>
  <dxfs count="12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40C-8631-47D3-83A2-691024AA7E5B}">
  <dimension ref="A1:GF108"/>
  <sheetViews>
    <sheetView tabSelected="1" topLeftCell="E86" zoomScale="90" zoomScaleNormal="90" workbookViewId="0">
      <selection activeCell="S11" sqref="S11"/>
    </sheetView>
  </sheetViews>
  <sheetFormatPr baseColWidth="10" defaultColWidth="11.42578125" defaultRowHeight="15" outlineLevelCol="1" x14ac:dyDescent="0.25"/>
  <cols>
    <col min="1" max="1" width="11" customWidth="1" collapsed="1"/>
    <col min="2" max="2" width="36.140625" customWidth="1"/>
    <col min="3" max="3" width="14.140625" customWidth="1"/>
    <col min="4" max="4" width="7.85546875" bestFit="1" customWidth="1"/>
    <col min="5" max="5" width="6" customWidth="1"/>
    <col min="6" max="6" width="9.42578125" style="81" customWidth="1"/>
    <col min="7" max="7" width="6.5703125" bestFit="1" customWidth="1"/>
    <col min="8" max="8" width="9.42578125" style="81" customWidth="1"/>
    <col min="9" max="9" width="10.140625" customWidth="1"/>
    <col min="10" max="14" width="9.140625" customWidth="1"/>
    <col min="15" max="15" width="10.140625" style="76" customWidth="1"/>
    <col min="16" max="16" width="8" style="76" customWidth="1"/>
    <col min="17" max="17" width="10" style="1" customWidth="1"/>
    <col min="18" max="18" width="6.42578125" customWidth="1"/>
    <col min="19" max="19" width="79" bestFit="1" customWidth="1"/>
    <col min="20" max="20" width="11.5703125" bestFit="1" customWidth="1"/>
    <col min="21" max="22" width="10.5703125" bestFit="1" customWidth="1"/>
    <col min="23" max="23" width="10.42578125" bestFit="1" customWidth="1"/>
    <col min="24" max="24" width="102.140625" bestFit="1" customWidth="1"/>
    <col min="25" max="25" width="14.140625" customWidth="1"/>
    <col min="26" max="26" width="14.85546875" customWidth="1"/>
    <col min="27" max="27" width="10.85546875" customWidth="1"/>
    <col min="28" max="28" width="10.42578125" customWidth="1"/>
    <col min="29" max="29" width="10.42578125" hidden="1" customWidth="1"/>
    <col min="30" max="30" width="8.85546875" hidden="1" customWidth="1"/>
    <col min="31" max="31" width="1.85546875" hidden="1" customWidth="1"/>
    <col min="32" max="32" width="8" hidden="1" customWidth="1"/>
    <col min="33" max="33" width="7.140625" hidden="1" customWidth="1"/>
    <col min="34" max="34" width="2.85546875" hidden="1" customWidth="1"/>
    <col min="35" max="35" width="11.42578125" hidden="1" customWidth="1"/>
    <col min="36" max="36" width="4" hidden="1" customWidth="1"/>
    <col min="37" max="39" width="11.42578125" hidden="1" customWidth="1"/>
    <col min="40" max="40" width="8.5703125" hidden="1" customWidth="1"/>
    <col min="41" max="41" width="11.42578125" hidden="1" customWidth="1"/>
    <col min="42" max="42" width="10.140625" customWidth="1"/>
    <col min="43" max="43" width="11.42578125" customWidth="1"/>
    <col min="44" max="44" width="10.140625" bestFit="1" customWidth="1"/>
    <col min="45" max="45" width="11.42578125" customWidth="1"/>
    <col min="46" max="46" width="10.140625" bestFit="1" customWidth="1"/>
    <col min="47" max="47" width="11.42578125" customWidth="1"/>
    <col min="48" max="48" width="10.140625" customWidth="1"/>
    <col min="49" max="49" width="11.42578125" customWidth="1"/>
    <col min="50" max="50" width="10.140625" customWidth="1"/>
    <col min="51" max="51" width="11.42578125" customWidth="1"/>
    <col min="52" max="52" width="10.140625" customWidth="1"/>
    <col min="53" max="53" width="11.42578125" customWidth="1"/>
    <col min="54" max="54" width="10.140625" customWidth="1"/>
    <col min="55" max="55" width="11.42578125" customWidth="1"/>
    <col min="56" max="56" width="10.140625" customWidth="1"/>
    <col min="57" max="57" width="11.42578125" customWidth="1"/>
    <col min="58" max="58" width="10.140625" customWidth="1"/>
    <col min="59" max="59" width="11.42578125" customWidth="1"/>
    <col min="60" max="60" width="10.140625" customWidth="1"/>
    <col min="61" max="61" width="11.42578125" customWidth="1"/>
    <col min="62" max="62" width="9.140625" customWidth="1"/>
    <col min="63" max="69" width="11.42578125" customWidth="1"/>
    <col min="70" max="70" width="9.140625" customWidth="1"/>
    <col min="71" max="71" width="11.42578125" customWidth="1"/>
    <col min="72" max="72" width="9.140625" customWidth="1"/>
    <col min="73" max="73" width="11.42578125" customWidth="1"/>
    <col min="74" max="74" width="9.140625" customWidth="1"/>
    <col min="75" max="75" width="11.42578125" customWidth="1"/>
    <col min="76" max="76" width="9.140625" customWidth="1"/>
    <col min="77" max="77" width="11.42578125" customWidth="1"/>
    <col min="78" max="78" width="9.140625" customWidth="1"/>
    <col min="79" max="79" width="11.42578125" customWidth="1"/>
    <col min="80" max="80" width="10" customWidth="1"/>
    <col min="81" max="81" width="11.42578125" customWidth="1"/>
    <col min="82" max="82" width="10" customWidth="1"/>
    <col min="83" max="83" width="11.42578125" customWidth="1"/>
    <col min="84" max="84" width="10" customWidth="1"/>
    <col min="85" max="85" width="11.42578125" customWidth="1"/>
    <col min="86" max="86" width="10" customWidth="1"/>
    <col min="87" max="87" width="11.42578125" customWidth="1"/>
    <col min="88" max="88" width="9.140625" customWidth="1"/>
    <col min="89" max="89" width="11.42578125" customWidth="1"/>
    <col min="90" max="90" width="11.5703125" customWidth="1"/>
    <col min="91" max="91" width="3.42578125" customWidth="1"/>
    <col min="92" max="92" width="11.5703125" customWidth="1"/>
    <col min="93" max="93" width="2.85546875" customWidth="1"/>
    <col min="94" max="94" width="11.5703125" customWidth="1"/>
    <col min="95" max="95" width="3.42578125" customWidth="1"/>
    <col min="96" max="96" width="11.5703125" customWidth="1"/>
    <col min="97" max="97" width="3.42578125" customWidth="1"/>
    <col min="98" max="98" width="11.5703125" customWidth="1"/>
    <col min="99" max="99" width="3.42578125" customWidth="1"/>
    <col min="100" max="100" width="11.5703125" customWidth="1"/>
    <col min="101" max="101" width="3.42578125" customWidth="1"/>
    <col min="102" max="102" width="11.5703125" customWidth="1"/>
    <col min="103" max="103" width="3.42578125" customWidth="1"/>
    <col min="104" max="104" width="11.5703125" customWidth="1"/>
    <col min="105" max="105" width="3.42578125" customWidth="1"/>
    <col min="106" max="106" width="11.5703125" customWidth="1"/>
    <col min="107" max="107" width="3.42578125" customWidth="1"/>
    <col min="108" max="108" width="11.5703125" customWidth="1"/>
    <col min="109" max="109" width="3" customWidth="1"/>
    <col min="110" max="110" width="11.5703125" customWidth="1"/>
    <col min="111" max="111" width="4.85546875" customWidth="1"/>
    <col min="112" max="112" width="11.5703125" customWidth="1"/>
    <col min="113" max="113" width="4.85546875" customWidth="1"/>
    <col min="114" max="114" width="11.42578125" customWidth="1"/>
    <col min="115" max="115" width="4.85546875" customWidth="1"/>
    <col min="116" max="116" width="11.42578125" customWidth="1"/>
    <col min="117" max="117" width="4.85546875" customWidth="1"/>
    <col min="118" max="172" width="11.42578125" customWidth="1"/>
    <col min="173" max="173" width="11.42578125" customWidth="1" outlineLevel="1"/>
    <col min="174" max="175" width="11.42578125" customWidth="1"/>
    <col min="177" max="183" width="11.42578125" outlineLevel="1"/>
    <col min="186" max="188" width="11.42578125" outlineLevel="1"/>
  </cols>
  <sheetData>
    <row r="1" spans="1:40" ht="15.75" thickBot="1" x14ac:dyDescent="0.3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3"/>
    </row>
    <row r="2" spans="1:40" ht="36.75" thickBot="1" x14ac:dyDescent="0.3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87</v>
      </c>
      <c r="G2" s="6" t="s">
        <v>90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126</v>
      </c>
      <c r="AF2" t="s">
        <v>117</v>
      </c>
      <c r="AG2" t="s">
        <v>99</v>
      </c>
    </row>
    <row r="3" spans="1:40" x14ac:dyDescent="0.2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0.35</v>
      </c>
      <c r="M3" s="16"/>
      <c r="N3" s="17">
        <v>0.45</v>
      </c>
      <c r="O3" s="18"/>
      <c r="P3" s="3"/>
      <c r="Q3" s="18"/>
    </row>
    <row r="4" spans="1:40" x14ac:dyDescent="0.25">
      <c r="A4" s="19">
        <v>100021632</v>
      </c>
      <c r="B4" s="20" t="s">
        <v>13</v>
      </c>
      <c r="C4" s="21">
        <v>7790360026606</v>
      </c>
      <c r="D4" s="22">
        <v>4.8</v>
      </c>
      <c r="E4" s="23">
        <v>30</v>
      </c>
      <c r="F4" s="24">
        <f t="shared" ref="F4:F29" si="0">+VLOOKUP(A4,$AK$4:$AL$108,2,FALSE)</f>
        <v>38344.554243659186</v>
      </c>
      <c r="G4" s="23"/>
      <c r="H4" s="24">
        <f>+F4*(1-G4)</f>
        <v>38344.554243659186</v>
      </c>
      <c r="I4" s="24">
        <f>+H4/E4</f>
        <v>1278.1518081219729</v>
      </c>
      <c r="J4" s="24">
        <f>+I4*J$3</f>
        <v>268.4118797056143</v>
      </c>
      <c r="K4" s="24">
        <f>+I4+J4</f>
        <v>1546.5636878275873</v>
      </c>
      <c r="L4" s="24">
        <f>+K4*L$3</f>
        <v>541.29729073965552</v>
      </c>
      <c r="M4" s="24">
        <f>+K4+L4</f>
        <v>2087.8609785672429</v>
      </c>
      <c r="N4" s="24">
        <f>+M4*N$3</f>
        <v>939.53744035525938</v>
      </c>
      <c r="O4" s="25">
        <f>+M4+N4</f>
        <v>3027.3984189225021</v>
      </c>
      <c r="P4" s="145">
        <f t="shared" ref="P4:P39" si="1">H4/Q4-1</f>
        <v>8.0000000000000071E-2</v>
      </c>
      <c r="Q4" s="25">
        <v>35504.216892277022</v>
      </c>
      <c r="AF4">
        <v>29534.055286406387</v>
      </c>
      <c r="AG4">
        <f>+(H4-AF4)/AF4</f>
        <v>0.29831660000000065</v>
      </c>
      <c r="AK4" s="19">
        <v>100021632</v>
      </c>
      <c r="AL4" s="160">
        <v>38344.554243659186</v>
      </c>
      <c r="AN4" s="114">
        <f>+Q4/H4</f>
        <v>0.92592592592592582</v>
      </c>
    </row>
    <row r="5" spans="1:40" x14ac:dyDescent="0.25">
      <c r="A5" s="26">
        <v>100021652</v>
      </c>
      <c r="B5" s="20" t="s">
        <v>14</v>
      </c>
      <c r="C5" s="21">
        <v>7790360026576</v>
      </c>
      <c r="D5" s="22">
        <v>5.76</v>
      </c>
      <c r="E5" s="23">
        <v>18</v>
      </c>
      <c r="F5" s="24">
        <f t="shared" si="0"/>
        <v>46159.859095468812</v>
      </c>
      <c r="G5" s="23"/>
      <c r="H5" s="24">
        <f t="shared" ref="H5:H77" si="2">+F5*(1-G5)</f>
        <v>46159.859095468812</v>
      </c>
      <c r="I5" s="24">
        <f t="shared" ref="I5:I77" si="3">+H5/E5</f>
        <v>2564.4366164149342</v>
      </c>
      <c r="J5" s="24">
        <f t="shared" ref="J5:J77" si="4">+I5*J$3</f>
        <v>538.53168944713616</v>
      </c>
      <c r="K5" s="24">
        <f t="shared" ref="K5:K77" si="5">+I5+J5</f>
        <v>3102.9683058620703</v>
      </c>
      <c r="L5" s="24">
        <f t="shared" ref="L5:L77" si="6">+K5*L$3</f>
        <v>1086.0389070517244</v>
      </c>
      <c r="M5" s="24">
        <f t="shared" ref="M5:M77" si="7">+K5+L5</f>
        <v>4189.0072129137952</v>
      </c>
      <c r="N5" s="24">
        <f t="shared" ref="N5:N77" si="8">+M5*N$3</f>
        <v>1885.0532458112079</v>
      </c>
      <c r="O5" s="25">
        <f t="shared" ref="O5:O77" si="9">+M5+N5</f>
        <v>6074.0604587250036</v>
      </c>
      <c r="P5" s="145">
        <f t="shared" si="1"/>
        <v>8.0000000000000071E-2</v>
      </c>
      <c r="Q5" s="25">
        <v>42740.610273582228</v>
      </c>
      <c r="AF5">
        <v>38042.376745511545</v>
      </c>
      <c r="AG5">
        <f t="shared" ref="AG5:AG77" si="10">+(H5-AF5)/AF5</f>
        <v>0.21338000000000035</v>
      </c>
      <c r="AK5" s="26">
        <v>100021652</v>
      </c>
      <c r="AL5" s="24">
        <v>46159.859095468812</v>
      </c>
      <c r="AN5" s="114">
        <f t="shared" ref="AN5:AN71" si="11">+Q5/H5</f>
        <v>0.92592592592592582</v>
      </c>
    </row>
    <row r="6" spans="1:40" x14ac:dyDescent="0.25">
      <c r="A6" s="26">
        <v>100021631</v>
      </c>
      <c r="B6" s="20" t="s">
        <v>15</v>
      </c>
      <c r="C6" s="21">
        <v>7790360026590</v>
      </c>
      <c r="D6" s="22">
        <v>7.68</v>
      </c>
      <c r="E6" s="23">
        <v>8</v>
      </c>
      <c r="F6" s="24">
        <f t="shared" si="0"/>
        <v>58510.949438472533</v>
      </c>
      <c r="G6" s="23"/>
      <c r="H6" s="24">
        <f t="shared" si="2"/>
        <v>58510.949438472533</v>
      </c>
      <c r="I6" s="24">
        <f t="shared" si="3"/>
        <v>7313.8686798090666</v>
      </c>
      <c r="J6" s="24">
        <f t="shared" si="4"/>
        <v>1535.9124227599038</v>
      </c>
      <c r="K6" s="24">
        <f t="shared" si="5"/>
        <v>8849.7811025689698</v>
      </c>
      <c r="L6" s="24">
        <f t="shared" si="6"/>
        <v>3097.4233858991392</v>
      </c>
      <c r="M6" s="24">
        <f t="shared" si="7"/>
        <v>11947.204488468109</v>
      </c>
      <c r="N6" s="24">
        <f t="shared" si="8"/>
        <v>5376.2420198106493</v>
      </c>
      <c r="O6" s="25">
        <f t="shared" si="9"/>
        <v>17323.446508278757</v>
      </c>
      <c r="P6" s="145">
        <f t="shared" si="1"/>
        <v>3.0000000000000027E-2</v>
      </c>
      <c r="Q6" s="25">
        <v>56806.747027643236</v>
      </c>
      <c r="AF6">
        <v>63884.503588871055</v>
      </c>
      <c r="AG6">
        <f t="shared" si="10"/>
        <v>-8.4113577605299222E-2</v>
      </c>
      <c r="AK6" s="26">
        <v>100021631</v>
      </c>
      <c r="AL6" s="24">
        <v>58510.949438472533</v>
      </c>
      <c r="AN6" s="114">
        <f t="shared" si="11"/>
        <v>0.970873786407767</v>
      </c>
    </row>
    <row r="7" spans="1:40" x14ac:dyDescent="0.25">
      <c r="A7" s="26">
        <v>100021630</v>
      </c>
      <c r="B7" s="20" t="s">
        <v>16</v>
      </c>
      <c r="C7" s="21">
        <v>7790360026583</v>
      </c>
      <c r="D7" s="22">
        <v>9.6</v>
      </c>
      <c r="E7" s="23">
        <v>6</v>
      </c>
      <c r="F7" s="24">
        <f t="shared" si="0"/>
        <v>71718.51812239959</v>
      </c>
      <c r="G7" s="23"/>
      <c r="H7" s="24">
        <f t="shared" si="2"/>
        <v>71718.51812239959</v>
      </c>
      <c r="I7" s="24">
        <f t="shared" si="3"/>
        <v>11953.086353733264</v>
      </c>
      <c r="J7" s="24">
        <f t="shared" si="4"/>
        <v>2510.1481342839852</v>
      </c>
      <c r="K7" s="24">
        <f t="shared" si="5"/>
        <v>14463.23448801725</v>
      </c>
      <c r="L7" s="24">
        <f t="shared" si="6"/>
        <v>5062.1320708060366</v>
      </c>
      <c r="M7" s="24">
        <f t="shared" si="7"/>
        <v>19525.366558823287</v>
      </c>
      <c r="N7" s="24">
        <f t="shared" si="8"/>
        <v>8786.4149514704786</v>
      </c>
      <c r="O7" s="25">
        <f t="shared" si="9"/>
        <v>28311.781510293767</v>
      </c>
      <c r="P7" s="145">
        <f t="shared" si="1"/>
        <v>1.0000000000000009E-2</v>
      </c>
      <c r="Q7" s="25">
        <v>71008.433784554043</v>
      </c>
      <c r="AF7">
        <v>79885.735284198541</v>
      </c>
      <c r="AG7">
        <f t="shared" si="10"/>
        <v>-0.10223623945806547</v>
      </c>
      <c r="AK7" s="26">
        <v>100021630</v>
      </c>
      <c r="AL7" s="24">
        <v>71718.51812239959</v>
      </c>
      <c r="AN7" s="114">
        <f t="shared" si="11"/>
        <v>0.99009900990098998</v>
      </c>
    </row>
    <row r="8" spans="1:40" x14ac:dyDescent="0.25">
      <c r="A8" s="27">
        <v>100021653</v>
      </c>
      <c r="B8" s="28" t="s">
        <v>17</v>
      </c>
      <c r="C8" s="21">
        <v>7790360026682</v>
      </c>
      <c r="D8" s="22">
        <v>5.76</v>
      </c>
      <c r="E8" s="23">
        <v>18</v>
      </c>
      <c r="F8" s="24">
        <f t="shared" si="0"/>
        <v>50614.811601630128</v>
      </c>
      <c r="G8" s="23"/>
      <c r="H8" s="24">
        <f t="shared" si="2"/>
        <v>50614.811601630128</v>
      </c>
      <c r="I8" s="24">
        <f t="shared" si="3"/>
        <v>2811.9339778683407</v>
      </c>
      <c r="J8" s="24">
        <f t="shared" si="4"/>
        <v>590.50613535235152</v>
      </c>
      <c r="K8" s="24">
        <f t="shared" si="5"/>
        <v>3402.4401132206922</v>
      </c>
      <c r="L8" s="24">
        <f t="shared" si="6"/>
        <v>1190.8540396272422</v>
      </c>
      <c r="M8" s="24">
        <f t="shared" si="7"/>
        <v>4593.2941528479341</v>
      </c>
      <c r="N8" s="24">
        <f t="shared" si="8"/>
        <v>2066.9823687815706</v>
      </c>
      <c r="O8" s="25">
        <f t="shared" si="9"/>
        <v>6660.2765216295047</v>
      </c>
      <c r="P8" s="145">
        <f t="shared" si="1"/>
        <v>8.0000000000000071E-2</v>
      </c>
      <c r="Q8" s="25">
        <v>46865.566297805672</v>
      </c>
      <c r="AF8">
        <v>50298.202194078498</v>
      </c>
      <c r="AG8">
        <f t="shared" si="10"/>
        <v>6.2946466024764612E-3</v>
      </c>
      <c r="AK8" s="27">
        <v>100021653</v>
      </c>
      <c r="AL8" s="24">
        <v>50614.811601630128</v>
      </c>
      <c r="AN8" s="114">
        <f t="shared" si="11"/>
        <v>0.92592592592592582</v>
      </c>
    </row>
    <row r="9" spans="1:40" x14ac:dyDescent="0.25">
      <c r="A9" s="27">
        <v>100516169</v>
      </c>
      <c r="B9" s="28" t="s">
        <v>18</v>
      </c>
      <c r="C9" s="21">
        <v>7790360967961</v>
      </c>
      <c r="D9" s="22">
        <v>5.76</v>
      </c>
      <c r="E9" s="23">
        <v>18</v>
      </c>
      <c r="F9" s="24">
        <f t="shared" si="0"/>
        <v>46670.247357300017</v>
      </c>
      <c r="G9" s="23"/>
      <c r="H9" s="24">
        <f t="shared" si="2"/>
        <v>46670.247357300017</v>
      </c>
      <c r="I9" s="24">
        <f t="shared" si="3"/>
        <v>2592.7915198500009</v>
      </c>
      <c r="J9" s="24">
        <f t="shared" si="4"/>
        <v>544.48621916850016</v>
      </c>
      <c r="K9" s="24">
        <f t="shared" si="5"/>
        <v>3137.2777390185011</v>
      </c>
      <c r="L9" s="24">
        <f t="shared" si="6"/>
        <v>1098.0472086564753</v>
      </c>
      <c r="M9" s="24">
        <f t="shared" si="7"/>
        <v>4235.3249476749761</v>
      </c>
      <c r="N9" s="24">
        <f t="shared" si="8"/>
        <v>1905.8962264537392</v>
      </c>
      <c r="O9" s="25">
        <f t="shared" si="9"/>
        <v>6141.2211741287156</v>
      </c>
      <c r="P9" s="145">
        <f t="shared" si="1"/>
        <v>8.0000000000000071E-2</v>
      </c>
      <c r="Q9" s="25">
        <v>43213.191997500013</v>
      </c>
      <c r="AF9">
        <v>41155.420950000007</v>
      </c>
      <c r="AG9">
        <f t="shared" si="10"/>
        <v>0.13400000000000023</v>
      </c>
      <c r="AK9" s="27">
        <v>100516169</v>
      </c>
      <c r="AL9" s="24">
        <v>46670.247357300017</v>
      </c>
      <c r="AN9" s="114">
        <f t="shared" si="11"/>
        <v>0.92592592592592582</v>
      </c>
    </row>
    <row r="10" spans="1:40" x14ac:dyDescent="0.25">
      <c r="A10" s="27">
        <v>100520337</v>
      </c>
      <c r="B10" s="28" t="s">
        <v>19</v>
      </c>
      <c r="C10" s="21">
        <v>7790360977960</v>
      </c>
      <c r="D10" s="22">
        <v>4.8</v>
      </c>
      <c r="E10" s="23">
        <v>30</v>
      </c>
      <c r="F10" s="24">
        <f t="shared" si="0"/>
        <v>27112.262752921066</v>
      </c>
      <c r="G10" s="23"/>
      <c r="H10" s="24">
        <f t="shared" si="2"/>
        <v>27112.262752921066</v>
      </c>
      <c r="I10" s="24">
        <f>+H10/E10</f>
        <v>903.74209176403554</v>
      </c>
      <c r="J10" s="24">
        <f>+I10*J$3</f>
        <v>189.78583927044747</v>
      </c>
      <c r="K10" s="24">
        <f>+I10+J10</f>
        <v>1093.5279310344831</v>
      </c>
      <c r="L10" s="24">
        <f>+K10*L$3</f>
        <v>382.73477586206906</v>
      </c>
      <c r="M10" s="24">
        <f>+K10+L10</f>
        <v>1476.2627068965521</v>
      </c>
      <c r="N10" s="24">
        <f>+M10*N$3</f>
        <v>664.31821810344843</v>
      </c>
      <c r="O10" s="25">
        <f>+M10+N10</f>
        <v>2140.5809250000007</v>
      </c>
      <c r="P10" s="145">
        <f t="shared" si="1"/>
        <v>8.0000000000000071E-2</v>
      </c>
      <c r="Q10" s="25">
        <v>25103.946993445428</v>
      </c>
      <c r="AF10">
        <v>25103.946993445428</v>
      </c>
      <c r="AG10">
        <f t="shared" si="10"/>
        <v>8.0000000000000127E-2</v>
      </c>
      <c r="AK10" s="27">
        <v>100520337</v>
      </c>
      <c r="AL10" s="24">
        <v>27112.262752921066</v>
      </c>
      <c r="AN10" s="114">
        <f t="shared" si="11"/>
        <v>0.92592592592592582</v>
      </c>
    </row>
    <row r="11" spans="1:40" x14ac:dyDescent="0.25">
      <c r="A11" s="82">
        <v>100021503</v>
      </c>
      <c r="B11" s="95" t="s">
        <v>20</v>
      </c>
      <c r="C11" s="96">
        <v>7790360966841</v>
      </c>
      <c r="D11" s="97">
        <v>3.3119999999999998</v>
      </c>
      <c r="E11" s="98">
        <v>12</v>
      </c>
      <c r="F11" s="83">
        <f t="shared" si="0"/>
        <v>20700.91308064976</v>
      </c>
      <c r="G11" s="151">
        <v>8.3299999999999999E-2</v>
      </c>
      <c r="H11" s="83">
        <f t="shared" si="2"/>
        <v>18976.527021031634</v>
      </c>
      <c r="I11" s="83">
        <f t="shared" si="3"/>
        <v>1581.3772517526361</v>
      </c>
      <c r="J11" s="83">
        <f t="shared" si="4"/>
        <v>332.08922286805358</v>
      </c>
      <c r="K11" s="83">
        <f t="shared" si="5"/>
        <v>1913.4664746206897</v>
      </c>
      <c r="L11" s="83">
        <f t="shared" si="6"/>
        <v>669.71326611724135</v>
      </c>
      <c r="M11" s="83">
        <f t="shared" si="7"/>
        <v>2583.1797407379308</v>
      </c>
      <c r="N11" s="83">
        <f t="shared" si="8"/>
        <v>1162.430883332069</v>
      </c>
      <c r="O11" s="99">
        <f t="shared" si="9"/>
        <v>3745.6106240700001</v>
      </c>
      <c r="P11" s="145">
        <f t="shared" si="1"/>
        <v>8.0000000000000071E-2</v>
      </c>
      <c r="Q11" s="25">
        <v>17570.858352807067</v>
      </c>
      <c r="S11" s="152" t="s">
        <v>127</v>
      </c>
      <c r="AF11">
        <v>15081.219720718156</v>
      </c>
      <c r="AG11">
        <f t="shared" si="10"/>
        <v>0.25828861142857124</v>
      </c>
      <c r="AK11" s="27">
        <v>100021503</v>
      </c>
      <c r="AL11" s="160">
        <v>20700.91308064976</v>
      </c>
      <c r="AN11" s="114">
        <f t="shared" si="11"/>
        <v>0.92592592592592582</v>
      </c>
    </row>
    <row r="12" spans="1:40" x14ac:dyDescent="0.25">
      <c r="A12" s="27">
        <v>100516201</v>
      </c>
      <c r="B12" s="28" t="s">
        <v>21</v>
      </c>
      <c r="C12" s="21">
        <v>7790360968548</v>
      </c>
      <c r="D12" s="22">
        <v>6.6239999999999997</v>
      </c>
      <c r="E12" s="23">
        <v>8</v>
      </c>
      <c r="F12" s="24">
        <f t="shared" si="0"/>
        <v>45229.533886165504</v>
      </c>
      <c r="G12" s="150"/>
      <c r="H12" s="24">
        <f t="shared" si="2"/>
        <v>45229.533886165504</v>
      </c>
      <c r="I12" s="24">
        <f t="shared" si="3"/>
        <v>5653.691735770688</v>
      </c>
      <c r="J12" s="24">
        <f t="shared" si="4"/>
        <v>1187.2752645118444</v>
      </c>
      <c r="K12" s="24">
        <f t="shared" si="5"/>
        <v>6840.9670002825324</v>
      </c>
      <c r="L12" s="24">
        <f t="shared" si="6"/>
        <v>2394.3384500988864</v>
      </c>
      <c r="M12" s="24">
        <f t="shared" si="7"/>
        <v>9235.3054503814183</v>
      </c>
      <c r="N12" s="24">
        <f t="shared" si="8"/>
        <v>4155.8874526716381</v>
      </c>
      <c r="O12" s="25">
        <f t="shared" si="9"/>
        <v>13391.192903053055</v>
      </c>
      <c r="P12" s="145">
        <f t="shared" si="1"/>
        <v>8.0000000000000071E-2</v>
      </c>
      <c r="Q12" s="25">
        <v>41879.198042745833</v>
      </c>
      <c r="S12" s="153"/>
      <c r="AF12">
        <v>37985.667158953132</v>
      </c>
      <c r="AG12">
        <f t="shared" si="10"/>
        <v>0.19070000000000023</v>
      </c>
      <c r="AK12" s="27">
        <v>100516201</v>
      </c>
      <c r="AL12" s="24">
        <v>45229.533886165504</v>
      </c>
      <c r="AN12" s="114">
        <f t="shared" si="11"/>
        <v>0.92592592592592582</v>
      </c>
    </row>
    <row r="13" spans="1:40" x14ac:dyDescent="0.25">
      <c r="A13" s="27">
        <v>100021643</v>
      </c>
      <c r="B13" s="28" t="s">
        <v>22</v>
      </c>
      <c r="C13" s="21">
        <v>7790360966797</v>
      </c>
      <c r="D13" s="22">
        <v>4.7039999999999997</v>
      </c>
      <c r="E13" s="23">
        <v>42</v>
      </c>
      <c r="F13" s="24">
        <f t="shared" si="0"/>
        <v>27737.901120547176</v>
      </c>
      <c r="G13" s="150"/>
      <c r="H13" s="24">
        <f t="shared" si="2"/>
        <v>27737.901120547176</v>
      </c>
      <c r="I13" s="24">
        <f t="shared" si="3"/>
        <v>660.42621715588518</v>
      </c>
      <c r="J13" s="24">
        <f t="shared" si="4"/>
        <v>138.68950560273589</v>
      </c>
      <c r="K13" s="24">
        <f t="shared" si="5"/>
        <v>799.11572275862113</v>
      </c>
      <c r="L13" s="24">
        <f t="shared" si="6"/>
        <v>279.6905029655174</v>
      </c>
      <c r="M13" s="24">
        <f t="shared" si="7"/>
        <v>1078.8062257241386</v>
      </c>
      <c r="N13" s="24">
        <f t="shared" si="8"/>
        <v>485.46280157586239</v>
      </c>
      <c r="O13" s="25">
        <f t="shared" si="9"/>
        <v>1564.269027300001</v>
      </c>
      <c r="P13" s="145">
        <f t="shared" si="1"/>
        <v>8.0000000000000071E-2</v>
      </c>
      <c r="Q13" s="25">
        <v>25683.24177828442</v>
      </c>
      <c r="S13" s="153"/>
      <c r="AF13">
        <v>23295.457395269314</v>
      </c>
      <c r="AG13">
        <f t="shared" si="10"/>
        <v>0.1907000000000002</v>
      </c>
      <c r="AK13" s="27">
        <v>100021643</v>
      </c>
      <c r="AL13" s="24">
        <v>27737.901120547176</v>
      </c>
      <c r="AN13" s="114">
        <f t="shared" si="11"/>
        <v>0.92592592592592582</v>
      </c>
    </row>
    <row r="14" spans="1:40" x14ac:dyDescent="0.25">
      <c r="A14" s="27">
        <v>100516325</v>
      </c>
      <c r="B14" s="28" t="s">
        <v>23</v>
      </c>
      <c r="C14" s="21">
        <v>7790360967763</v>
      </c>
      <c r="D14" s="22">
        <v>4.7039999999999997</v>
      </c>
      <c r="E14" s="23">
        <v>21</v>
      </c>
      <c r="F14" s="24">
        <f t="shared" si="0"/>
        <v>31195.330158146397</v>
      </c>
      <c r="G14" s="150"/>
      <c r="H14" s="24">
        <f t="shared" si="2"/>
        <v>31195.330158146397</v>
      </c>
      <c r="I14" s="24">
        <f t="shared" si="3"/>
        <v>1485.4919122926856</v>
      </c>
      <c r="J14" s="24">
        <f t="shared" si="4"/>
        <v>311.95330158146396</v>
      </c>
      <c r="K14" s="24">
        <f t="shared" si="5"/>
        <v>1797.4452138741494</v>
      </c>
      <c r="L14" s="24">
        <f t="shared" si="6"/>
        <v>629.10582485595228</v>
      </c>
      <c r="M14" s="24">
        <f t="shared" si="7"/>
        <v>2426.5510387301019</v>
      </c>
      <c r="N14" s="24">
        <f t="shared" si="8"/>
        <v>1091.947967428546</v>
      </c>
      <c r="O14" s="25">
        <f t="shared" si="9"/>
        <v>3518.4990061586477</v>
      </c>
      <c r="P14" s="145">
        <f t="shared" si="1"/>
        <v>8.0000000000000071E-2</v>
      </c>
      <c r="Q14" s="25">
        <v>28884.564961246662</v>
      </c>
      <c r="S14" s="153"/>
      <c r="AF14">
        <v>27509.109486901583</v>
      </c>
      <c r="AG14">
        <f t="shared" si="10"/>
        <v>0.13400000000000004</v>
      </c>
      <c r="AK14" s="27">
        <v>100516325</v>
      </c>
      <c r="AL14" s="24">
        <v>31195.330158146397</v>
      </c>
      <c r="AN14" s="114">
        <f t="shared" si="11"/>
        <v>0.92592592592592593</v>
      </c>
    </row>
    <row r="15" spans="1:40" x14ac:dyDescent="0.25">
      <c r="A15" s="82">
        <v>100021676</v>
      </c>
      <c r="B15" s="95" t="s">
        <v>24</v>
      </c>
      <c r="C15" s="96">
        <v>7790360967411</v>
      </c>
      <c r="D15" s="97">
        <v>7.5</v>
      </c>
      <c r="E15" s="98">
        <v>30</v>
      </c>
      <c r="F15" s="83">
        <f t="shared" si="0"/>
        <v>60777.549233399848</v>
      </c>
      <c r="G15" s="151">
        <v>6.6699999999999995E-2</v>
      </c>
      <c r="H15" s="83">
        <f t="shared" si="2"/>
        <v>56723.686699532082</v>
      </c>
      <c r="I15" s="83">
        <f t="shared" si="3"/>
        <v>1890.7895566510695</v>
      </c>
      <c r="J15" s="83">
        <f t="shared" si="4"/>
        <v>397.06580689672455</v>
      </c>
      <c r="K15" s="83">
        <f t="shared" si="5"/>
        <v>2287.8553635477938</v>
      </c>
      <c r="L15" s="83">
        <f t="shared" si="6"/>
        <v>800.74937724172776</v>
      </c>
      <c r="M15" s="83">
        <f t="shared" si="7"/>
        <v>3088.6047407895217</v>
      </c>
      <c r="N15" s="83">
        <f t="shared" si="8"/>
        <v>1389.8721333552849</v>
      </c>
      <c r="O15" s="99">
        <f t="shared" si="9"/>
        <v>4478.4768741448061</v>
      </c>
      <c r="P15" s="145">
        <f t="shared" si="1"/>
        <v>8.0000000000000071E-2</v>
      </c>
      <c r="Q15" s="25">
        <v>52521.932129196364</v>
      </c>
      <c r="S15" s="152" t="s">
        <v>128</v>
      </c>
      <c r="AF15">
        <v>53595.722428042187</v>
      </c>
      <c r="AG15">
        <f t="shared" si="10"/>
        <v>5.8362200000000204E-2</v>
      </c>
      <c r="AK15" s="27">
        <v>100021676</v>
      </c>
      <c r="AL15" s="24">
        <v>60777.549233399848</v>
      </c>
      <c r="AN15" s="114">
        <f t="shared" si="11"/>
        <v>0.92592592592592582</v>
      </c>
    </row>
    <row r="16" spans="1:40" x14ac:dyDescent="0.25">
      <c r="A16" s="82">
        <v>100516008</v>
      </c>
      <c r="B16" s="95" t="s">
        <v>25</v>
      </c>
      <c r="C16" s="96">
        <v>7790360967701</v>
      </c>
      <c r="D16" s="97">
        <v>5.76</v>
      </c>
      <c r="E16" s="98">
        <v>24</v>
      </c>
      <c r="F16" s="83">
        <f t="shared" si="0"/>
        <v>50957.08677852885</v>
      </c>
      <c r="G16" s="151">
        <v>9.0899999999999995E-2</v>
      </c>
      <c r="H16" s="83">
        <f t="shared" si="2"/>
        <v>46325.087590360577</v>
      </c>
      <c r="I16" s="83">
        <f t="shared" si="3"/>
        <v>1930.2119829316907</v>
      </c>
      <c r="J16" s="83">
        <f t="shared" si="4"/>
        <v>405.34451641565505</v>
      </c>
      <c r="K16" s="83">
        <f t="shared" si="5"/>
        <v>2335.5564993473458</v>
      </c>
      <c r="L16" s="83">
        <f t="shared" si="6"/>
        <v>817.44477477157102</v>
      </c>
      <c r="M16" s="83">
        <f t="shared" si="7"/>
        <v>3153.0012741189166</v>
      </c>
      <c r="N16" s="83">
        <f t="shared" si="8"/>
        <v>1418.8505733535126</v>
      </c>
      <c r="O16" s="99">
        <f t="shared" si="9"/>
        <v>4571.8518474724297</v>
      </c>
      <c r="P16" s="145">
        <f t="shared" si="1"/>
        <v>2.0000000000000018E-2</v>
      </c>
      <c r="Q16" s="25">
        <v>45416.752539569192</v>
      </c>
      <c r="S16" s="152" t="s">
        <v>129</v>
      </c>
      <c r="AF16">
        <v>47578.979251660923</v>
      </c>
      <c r="AG16">
        <f t="shared" si="10"/>
        <v>-2.6353899999999979E-2</v>
      </c>
      <c r="AK16" s="27">
        <v>100516008</v>
      </c>
      <c r="AL16" s="24">
        <v>50957.08677852885</v>
      </c>
      <c r="AN16" s="114">
        <f t="shared" si="11"/>
        <v>0.98039215686274506</v>
      </c>
    </row>
    <row r="17" spans="1:40" x14ac:dyDescent="0.25">
      <c r="A17" s="27">
        <v>100520834</v>
      </c>
      <c r="B17" s="28" t="s">
        <v>26</v>
      </c>
      <c r="C17" s="21">
        <v>7790360980618</v>
      </c>
      <c r="D17" s="22">
        <v>6.66</v>
      </c>
      <c r="E17" s="23">
        <v>36</v>
      </c>
      <c r="F17" s="24">
        <f t="shared" si="0"/>
        <v>63095.588372348466</v>
      </c>
      <c r="G17" s="23"/>
      <c r="H17" s="24">
        <f t="shared" si="2"/>
        <v>63095.588372348466</v>
      </c>
      <c r="I17" s="24">
        <f t="shared" si="3"/>
        <v>1752.6552325652351</v>
      </c>
      <c r="J17" s="24">
        <f t="shared" si="4"/>
        <v>368.05759883869933</v>
      </c>
      <c r="K17" s="24">
        <f t="shared" si="5"/>
        <v>2120.7128314039346</v>
      </c>
      <c r="L17" s="24">
        <f t="shared" si="6"/>
        <v>742.24949099137712</v>
      </c>
      <c r="M17" s="24">
        <f t="shared" si="7"/>
        <v>2862.9623223953117</v>
      </c>
      <c r="N17" s="24">
        <f t="shared" si="8"/>
        <v>1288.3330450778903</v>
      </c>
      <c r="O17" s="25">
        <f t="shared" si="9"/>
        <v>4151.2953674732016</v>
      </c>
      <c r="P17" s="145">
        <f t="shared" si="1"/>
        <v>8.0000000000000071E-2</v>
      </c>
      <c r="Q17" s="25">
        <v>58421.841085507833</v>
      </c>
      <c r="AF17">
        <v>55639.848652864603</v>
      </c>
      <c r="AG17">
        <f t="shared" si="10"/>
        <v>0.13400000000000012</v>
      </c>
      <c r="AK17" s="27">
        <v>100520834</v>
      </c>
      <c r="AL17" s="24">
        <v>63095.588372348466</v>
      </c>
      <c r="AN17" s="114">
        <f t="shared" si="11"/>
        <v>0.92592592592592582</v>
      </c>
    </row>
    <row r="18" spans="1:40" x14ac:dyDescent="0.25">
      <c r="A18" s="27">
        <v>100021680</v>
      </c>
      <c r="B18" s="28" t="s">
        <v>27</v>
      </c>
      <c r="C18" s="21">
        <v>7790360967688</v>
      </c>
      <c r="D18" s="22">
        <v>4.32</v>
      </c>
      <c r="E18" s="23">
        <v>18</v>
      </c>
      <c r="F18" s="24">
        <f t="shared" si="0"/>
        <v>50536.766687081057</v>
      </c>
      <c r="G18" s="23"/>
      <c r="H18" s="24">
        <f t="shared" si="2"/>
        <v>50536.766687081057</v>
      </c>
      <c r="I18" s="24">
        <f t="shared" si="3"/>
        <v>2807.5981492822812</v>
      </c>
      <c r="J18" s="24">
        <f t="shared" si="4"/>
        <v>589.59561134927901</v>
      </c>
      <c r="K18" s="24">
        <f t="shared" si="5"/>
        <v>3397.1937606315601</v>
      </c>
      <c r="L18" s="24">
        <f t="shared" si="6"/>
        <v>1189.0178162210459</v>
      </c>
      <c r="M18" s="24">
        <f t="shared" si="7"/>
        <v>4586.2115768526055</v>
      </c>
      <c r="N18" s="24">
        <f t="shared" si="8"/>
        <v>2063.7952095836727</v>
      </c>
      <c r="O18" s="25">
        <f t="shared" si="9"/>
        <v>6650.0067864362782</v>
      </c>
      <c r="P18" s="145">
        <f t="shared" si="1"/>
        <v>8.0000000000000071E-2</v>
      </c>
      <c r="Q18" s="25">
        <v>46793.302488038011</v>
      </c>
      <c r="AF18">
        <v>44565.049988607629</v>
      </c>
      <c r="AG18">
        <f t="shared" si="10"/>
        <v>0.13400000000000015</v>
      </c>
      <c r="AK18" s="27">
        <v>100021680</v>
      </c>
      <c r="AL18" s="24">
        <v>50536.766687081057</v>
      </c>
      <c r="AN18" s="114">
        <f t="shared" si="11"/>
        <v>0.92592592592592582</v>
      </c>
    </row>
    <row r="19" spans="1:40" x14ac:dyDescent="0.25">
      <c r="A19" s="27">
        <v>100021644</v>
      </c>
      <c r="B19" s="28" t="s">
        <v>28</v>
      </c>
      <c r="C19" s="21">
        <v>7790360008541</v>
      </c>
      <c r="D19" s="22">
        <v>4.7039999999999997</v>
      </c>
      <c r="E19" s="23">
        <v>42</v>
      </c>
      <c r="F19" s="24">
        <f t="shared" si="0"/>
        <v>19172.581341933932</v>
      </c>
      <c r="G19" s="23"/>
      <c r="H19" s="24">
        <f t="shared" si="2"/>
        <v>19172.581341933932</v>
      </c>
      <c r="I19" s="24">
        <f t="shared" si="3"/>
        <v>456.49003195080792</v>
      </c>
      <c r="J19" s="24">
        <f t="shared" si="4"/>
        <v>95.862906709669659</v>
      </c>
      <c r="K19" s="24">
        <f t="shared" si="5"/>
        <v>552.35293866047755</v>
      </c>
      <c r="L19" s="29">
        <f>+K19*0.3</f>
        <v>165.70588159814326</v>
      </c>
      <c r="M19" s="24">
        <f t="shared" si="7"/>
        <v>718.05882025862081</v>
      </c>
      <c r="N19" s="24">
        <f t="shared" si="8"/>
        <v>323.12646911637938</v>
      </c>
      <c r="O19" s="25">
        <f t="shared" si="9"/>
        <v>1041.1852893750001</v>
      </c>
      <c r="P19" s="145">
        <f t="shared" si="1"/>
        <v>0.10000000000000009</v>
      </c>
      <c r="Q19" s="25">
        <v>17429.619401758118</v>
      </c>
      <c r="AF19">
        <v>14434.467413464281</v>
      </c>
      <c r="AG19">
        <f t="shared" si="10"/>
        <v>0.32825000000000004</v>
      </c>
      <c r="AK19" s="27">
        <v>100021644</v>
      </c>
      <c r="AL19" s="160">
        <v>19172.581341933932</v>
      </c>
      <c r="AN19" s="114">
        <f t="shared" si="11"/>
        <v>0.90909090909090895</v>
      </c>
    </row>
    <row r="20" spans="1:40" x14ac:dyDescent="0.25">
      <c r="A20" s="27">
        <v>100021677</v>
      </c>
      <c r="B20" s="28" t="s">
        <v>29</v>
      </c>
      <c r="C20" s="21">
        <v>7790360967404</v>
      </c>
      <c r="D20" s="22">
        <v>3.3119999999999998</v>
      </c>
      <c r="E20" s="23">
        <v>12</v>
      </c>
      <c r="F20" s="24">
        <f t="shared" si="0"/>
        <v>15215.664444176517</v>
      </c>
      <c r="G20" s="23"/>
      <c r="H20" s="24">
        <f t="shared" si="2"/>
        <v>15215.664444176517</v>
      </c>
      <c r="I20" s="24">
        <f t="shared" si="3"/>
        <v>1267.9720370147097</v>
      </c>
      <c r="J20" s="24">
        <f t="shared" si="4"/>
        <v>266.27412777308905</v>
      </c>
      <c r="K20" s="24">
        <f t="shared" si="5"/>
        <v>1534.2461647877988</v>
      </c>
      <c r="L20" s="29">
        <f>+K20*0.3</f>
        <v>460.27384943633962</v>
      </c>
      <c r="M20" s="24">
        <f t="shared" si="7"/>
        <v>1994.5200142241383</v>
      </c>
      <c r="N20" s="24">
        <f t="shared" si="8"/>
        <v>897.53400640086227</v>
      </c>
      <c r="O20" s="25">
        <f t="shared" si="9"/>
        <v>2892.0540206250007</v>
      </c>
      <c r="P20" s="145">
        <f t="shared" si="1"/>
        <v>0.10000000000000009</v>
      </c>
      <c r="Q20" s="25">
        <v>13832.42222197865</v>
      </c>
      <c r="AF20">
        <v>13173.735449503476</v>
      </c>
      <c r="AG20">
        <f t="shared" si="10"/>
        <v>0.15500000000000014</v>
      </c>
      <c r="AK20" s="27">
        <v>100021677</v>
      </c>
      <c r="AL20" s="24">
        <v>15215.664444176517</v>
      </c>
      <c r="AN20" s="114">
        <f t="shared" si="11"/>
        <v>0.90909090909090895</v>
      </c>
    </row>
    <row r="21" spans="1:40" x14ac:dyDescent="0.25">
      <c r="A21" s="27">
        <v>100021638</v>
      </c>
      <c r="B21" s="28" t="s">
        <v>30</v>
      </c>
      <c r="C21" s="21">
        <v>7790360026699</v>
      </c>
      <c r="D21" s="22">
        <v>4.8</v>
      </c>
      <c r="E21" s="23">
        <v>60</v>
      </c>
      <c r="F21" s="24">
        <f t="shared" si="0"/>
        <v>47532.848742384136</v>
      </c>
      <c r="G21" s="23"/>
      <c r="H21" s="24">
        <f t="shared" si="2"/>
        <v>47532.848742384136</v>
      </c>
      <c r="I21" s="24">
        <f t="shared" si="3"/>
        <v>792.21414570640229</v>
      </c>
      <c r="J21" s="24">
        <f t="shared" si="4"/>
        <v>166.36497059834448</v>
      </c>
      <c r="K21" s="24">
        <f t="shared" si="5"/>
        <v>958.57911630474678</v>
      </c>
      <c r="L21" s="24">
        <f t="shared" si="6"/>
        <v>335.50269070666133</v>
      </c>
      <c r="M21" s="24">
        <f t="shared" si="7"/>
        <v>1294.081807011408</v>
      </c>
      <c r="N21" s="24">
        <f t="shared" si="8"/>
        <v>582.33681315513365</v>
      </c>
      <c r="O21" s="25">
        <f t="shared" si="9"/>
        <v>1876.4186201665416</v>
      </c>
      <c r="P21" s="145">
        <f t="shared" si="1"/>
        <v>8.0000000000000071E-2</v>
      </c>
      <c r="Q21" s="25">
        <v>44011.89698368901</v>
      </c>
      <c r="AF21">
        <v>41916.092365418102</v>
      </c>
      <c r="AG21">
        <f t="shared" si="10"/>
        <v>0.1340000000000002</v>
      </c>
      <c r="AK21" s="27">
        <v>100021638</v>
      </c>
      <c r="AL21" s="24">
        <v>47532.848742384136</v>
      </c>
      <c r="AN21" s="114">
        <f t="shared" si="11"/>
        <v>0.92592592592592582</v>
      </c>
    </row>
    <row r="22" spans="1:40" x14ac:dyDescent="0.25">
      <c r="A22" s="27">
        <v>100021575</v>
      </c>
      <c r="B22" s="28" t="s">
        <v>31</v>
      </c>
      <c r="C22" s="21">
        <v>7790360007032</v>
      </c>
      <c r="D22" s="22">
        <v>4.1399999999999997</v>
      </c>
      <c r="E22" s="23">
        <v>60</v>
      </c>
      <c r="F22" s="24">
        <f t="shared" si="0"/>
        <v>38984.491685431865</v>
      </c>
      <c r="G22" s="23"/>
      <c r="H22" s="24">
        <f t="shared" si="2"/>
        <v>38984.491685431865</v>
      </c>
      <c r="I22" s="24">
        <f t="shared" si="3"/>
        <v>649.74152809053112</v>
      </c>
      <c r="J22" s="24">
        <f t="shared" si="4"/>
        <v>136.44572089901152</v>
      </c>
      <c r="K22" s="24">
        <f t="shared" si="5"/>
        <v>786.1872489895427</v>
      </c>
      <c r="L22" s="24">
        <f t="shared" si="6"/>
        <v>275.16553714633994</v>
      </c>
      <c r="M22" s="24">
        <f t="shared" si="7"/>
        <v>1061.3527861358825</v>
      </c>
      <c r="N22" s="24">
        <f t="shared" si="8"/>
        <v>477.60875376114717</v>
      </c>
      <c r="O22" s="25">
        <f t="shared" si="9"/>
        <v>1538.9615398970298</v>
      </c>
      <c r="P22" s="145">
        <f t="shared" si="1"/>
        <v>8.0000000000000071E-2</v>
      </c>
      <c r="Q22" s="25">
        <v>36096.751560585057</v>
      </c>
      <c r="AF22">
        <v>34377.858629128626</v>
      </c>
      <c r="AG22">
        <f t="shared" si="10"/>
        <v>0.13400000000000009</v>
      </c>
      <c r="AK22" s="27">
        <v>100021575</v>
      </c>
      <c r="AL22" s="24">
        <v>38984.491685431865</v>
      </c>
      <c r="AN22" s="114">
        <f t="shared" si="11"/>
        <v>0.92592592592592582</v>
      </c>
    </row>
    <row r="23" spans="1:40" x14ac:dyDescent="0.25">
      <c r="A23" s="27">
        <v>100021514</v>
      </c>
      <c r="B23" s="28" t="s">
        <v>32</v>
      </c>
      <c r="C23" s="21">
        <v>7790360006943</v>
      </c>
      <c r="D23" s="22">
        <v>4.1399999999999997</v>
      </c>
      <c r="E23" s="23">
        <v>60</v>
      </c>
      <c r="F23" s="24">
        <f t="shared" si="0"/>
        <v>35475.666407342178</v>
      </c>
      <c r="G23" s="23"/>
      <c r="H23" s="24">
        <f t="shared" si="2"/>
        <v>35475.666407342178</v>
      </c>
      <c r="I23" s="24">
        <f t="shared" si="3"/>
        <v>591.26110678903626</v>
      </c>
      <c r="J23" s="24">
        <f t="shared" si="4"/>
        <v>124.16483242569761</v>
      </c>
      <c r="K23" s="24">
        <f t="shared" si="5"/>
        <v>715.42593921473383</v>
      </c>
      <c r="L23" s="24">
        <f t="shared" si="6"/>
        <v>250.39907872515681</v>
      </c>
      <c r="M23" s="24">
        <f t="shared" si="7"/>
        <v>965.82501793989059</v>
      </c>
      <c r="N23" s="24">
        <f t="shared" si="8"/>
        <v>434.62125807295075</v>
      </c>
      <c r="O23" s="25">
        <f t="shared" si="9"/>
        <v>1400.4462760128413</v>
      </c>
      <c r="P23" s="145">
        <f t="shared" si="1"/>
        <v>8.0000000000000071E-2</v>
      </c>
      <c r="Q23" s="25">
        <v>32847.83926605757</v>
      </c>
      <c r="AF23">
        <v>31283.656443864355</v>
      </c>
      <c r="AG23">
        <f t="shared" si="10"/>
        <v>0.13400000000000001</v>
      </c>
      <c r="AK23" s="27">
        <v>100021514</v>
      </c>
      <c r="AL23" s="24">
        <v>35475.666407342178</v>
      </c>
      <c r="AN23" s="114">
        <f t="shared" si="11"/>
        <v>0.92592592592592582</v>
      </c>
    </row>
    <row r="24" spans="1:40" x14ac:dyDescent="0.25">
      <c r="A24" s="26">
        <v>100516208</v>
      </c>
      <c r="B24" s="30" t="s">
        <v>33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41131.229126030012</v>
      </c>
      <c r="G24" s="23"/>
      <c r="H24" s="24">
        <f t="shared" si="2"/>
        <v>41131.229126030012</v>
      </c>
      <c r="I24" s="24">
        <f t="shared" si="3"/>
        <v>685.52048543383353</v>
      </c>
      <c r="J24" s="24">
        <f t="shared" si="4"/>
        <v>143.95930194110502</v>
      </c>
      <c r="K24" s="24">
        <f t="shared" si="5"/>
        <v>829.4797873749385</v>
      </c>
      <c r="L24" s="24">
        <f t="shared" si="6"/>
        <v>290.31792558122845</v>
      </c>
      <c r="M24" s="24">
        <f t="shared" si="7"/>
        <v>1119.7977129561668</v>
      </c>
      <c r="N24" s="24">
        <f t="shared" si="8"/>
        <v>503.90897083027511</v>
      </c>
      <c r="O24" s="25">
        <f t="shared" si="9"/>
        <v>1623.706683786442</v>
      </c>
      <c r="P24" s="145">
        <f t="shared" si="1"/>
        <v>8.0000000000000071E-2</v>
      </c>
      <c r="Q24" s="25">
        <v>38084.471412990752</v>
      </c>
      <c r="AF24">
        <v>36270.925155229284</v>
      </c>
      <c r="AG24">
        <f t="shared" si="10"/>
        <v>0.13400000000000009</v>
      </c>
      <c r="AK24" s="26">
        <v>100516208</v>
      </c>
      <c r="AL24" s="24">
        <v>41131.229126030012</v>
      </c>
      <c r="AN24" s="114">
        <f t="shared" si="11"/>
        <v>0.92592592592592593</v>
      </c>
    </row>
    <row r="25" spans="1:40" x14ac:dyDescent="0.25">
      <c r="A25" s="27">
        <v>100518346</v>
      </c>
      <c r="B25" s="28" t="s">
        <v>34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58788.441909204194</v>
      </c>
      <c r="G25" s="23"/>
      <c r="H25" s="24">
        <f t="shared" si="2"/>
        <v>58788.441909204194</v>
      </c>
      <c r="I25" s="24">
        <f t="shared" si="3"/>
        <v>979.80736515340323</v>
      </c>
      <c r="J25" s="24">
        <f>I25*J3</f>
        <v>205.75954668221468</v>
      </c>
      <c r="K25" s="24">
        <f>J25+I25</f>
        <v>1185.5669118356179</v>
      </c>
      <c r="L25" s="24">
        <f>K25*L3</f>
        <v>414.94841914246626</v>
      </c>
      <c r="M25" s="24">
        <f>L25+K25</f>
        <v>1600.5153309780842</v>
      </c>
      <c r="N25" s="24">
        <f>M25*N3</f>
        <v>720.23189894013785</v>
      </c>
      <c r="O25" s="25">
        <f>N25+M25</f>
        <v>2320.7472299182218</v>
      </c>
      <c r="P25" s="145">
        <f t="shared" si="1"/>
        <v>8.0000000000000071E-2</v>
      </c>
      <c r="Q25" s="25">
        <v>54433.742508522395</v>
      </c>
      <c r="AF25">
        <v>51841.659531926089</v>
      </c>
      <c r="AG25">
        <f t="shared" si="10"/>
        <v>0.13400000000000017</v>
      </c>
      <c r="AK25" s="27">
        <v>100518346</v>
      </c>
      <c r="AL25" s="24">
        <v>58788.441909204194</v>
      </c>
      <c r="AN25" s="114">
        <f t="shared" si="11"/>
        <v>0.92592592592592582</v>
      </c>
    </row>
    <row r="26" spans="1:40" x14ac:dyDescent="0.25">
      <c r="A26" s="27">
        <v>100516259</v>
      </c>
      <c r="B26" s="28" t="s">
        <v>35</v>
      </c>
      <c r="C26" s="21">
        <v>7790360968340</v>
      </c>
      <c r="D26" s="22">
        <v>18.16</v>
      </c>
      <c r="E26" s="23">
        <v>48</v>
      </c>
      <c r="F26" s="24">
        <f t="shared" si="0"/>
        <v>136018.21056842804</v>
      </c>
      <c r="G26" s="23"/>
      <c r="H26" s="24">
        <f t="shared" si="2"/>
        <v>136018.21056842804</v>
      </c>
      <c r="I26" s="24">
        <f t="shared" si="3"/>
        <v>2833.7127201755843</v>
      </c>
      <c r="J26" s="24">
        <f t="shared" si="4"/>
        <v>595.07967123687263</v>
      </c>
      <c r="K26" s="24">
        <f t="shared" si="5"/>
        <v>3428.7923914124567</v>
      </c>
      <c r="L26" s="24">
        <f t="shared" si="6"/>
        <v>1200.0773369943597</v>
      </c>
      <c r="M26" s="24">
        <f t="shared" si="7"/>
        <v>4628.8697284068166</v>
      </c>
      <c r="N26" s="24">
        <f t="shared" si="8"/>
        <v>2082.9913777830675</v>
      </c>
      <c r="O26" s="25">
        <f t="shared" si="9"/>
        <v>6711.8611061898846</v>
      </c>
      <c r="P26" s="145">
        <f t="shared" si="1"/>
        <v>8.0000000000000071E-2</v>
      </c>
      <c r="Q26" s="25">
        <v>125942.78756335929</v>
      </c>
      <c r="AF26">
        <v>119945.51196510409</v>
      </c>
      <c r="AG26">
        <f t="shared" si="10"/>
        <v>0.13400000000000004</v>
      </c>
      <c r="AK26" s="27">
        <v>100516259</v>
      </c>
      <c r="AL26" s="24">
        <v>136018.21056842804</v>
      </c>
      <c r="AN26" s="114">
        <f t="shared" si="11"/>
        <v>0.92592592592592593</v>
      </c>
    </row>
    <row r="27" spans="1:40" x14ac:dyDescent="0.25">
      <c r="A27" s="27">
        <v>100518095</v>
      </c>
      <c r="B27" s="28" t="s">
        <v>36</v>
      </c>
      <c r="C27" s="21">
        <v>7790360974785</v>
      </c>
      <c r="D27" s="22">
        <v>6.66</v>
      </c>
      <c r="E27" s="23">
        <v>36</v>
      </c>
      <c r="F27" s="24">
        <f t="shared" si="0"/>
        <v>67770.615852323346</v>
      </c>
      <c r="G27" s="23"/>
      <c r="H27" s="24">
        <f t="shared" si="2"/>
        <v>67770.615852323346</v>
      </c>
      <c r="I27" s="24">
        <f t="shared" si="3"/>
        <v>1882.5171070089818</v>
      </c>
      <c r="J27" s="24">
        <f>+I27*J$3</f>
        <v>395.32859247188617</v>
      </c>
      <c r="K27" s="24">
        <f>+I27+J27</f>
        <v>2277.845699480868</v>
      </c>
      <c r="L27" s="24">
        <f>+K27*L$3</f>
        <v>797.24599481830376</v>
      </c>
      <c r="M27" s="24">
        <f>+K27+L27</f>
        <v>3075.0916942991716</v>
      </c>
      <c r="N27" s="24">
        <f>+M27*N$3</f>
        <v>1383.7912624346272</v>
      </c>
      <c r="O27" s="25">
        <f>+M27+N27</f>
        <v>4458.8829567337989</v>
      </c>
      <c r="P27" s="145">
        <f t="shared" si="1"/>
        <v>8.0000000000000071E-2</v>
      </c>
      <c r="Q27" s="25">
        <v>62750.570233632723</v>
      </c>
      <c r="AF27">
        <v>59762.447841554975</v>
      </c>
      <c r="AG27">
        <f t="shared" si="10"/>
        <v>0.13400000000000009</v>
      </c>
      <c r="AK27" s="27">
        <v>100518095</v>
      </c>
      <c r="AL27" s="24">
        <v>67770.615852323346</v>
      </c>
      <c r="AN27" s="114">
        <f t="shared" si="11"/>
        <v>0.92592592592592582</v>
      </c>
    </row>
    <row r="28" spans="1:40" x14ac:dyDescent="0.25">
      <c r="A28" s="27">
        <v>100518223</v>
      </c>
      <c r="B28" s="28" t="s">
        <v>37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52763.190760900543</v>
      </c>
      <c r="G28" s="23"/>
      <c r="H28" s="24">
        <f t="shared" si="2"/>
        <v>52763.190760900543</v>
      </c>
      <c r="I28" s="24">
        <f t="shared" si="3"/>
        <v>1758.7730253633515</v>
      </c>
      <c r="J28" s="24">
        <f>+I28*J$3</f>
        <v>369.34233532630378</v>
      </c>
      <c r="K28" s="24">
        <f>+I28+J28</f>
        <v>2128.1153606896551</v>
      </c>
      <c r="L28" s="24">
        <f>+K28*L$3</f>
        <v>744.8403762413792</v>
      </c>
      <c r="M28" s="24">
        <f>+K28+L28</f>
        <v>2872.9557369310342</v>
      </c>
      <c r="N28" s="24">
        <f>+M28*N$3</f>
        <v>1292.8300816189653</v>
      </c>
      <c r="O28" s="25">
        <f>+M28+N28</f>
        <v>4165.785818549999</v>
      </c>
      <c r="P28" s="145">
        <f t="shared" si="1"/>
        <v>8.0000000000000071E-2</v>
      </c>
      <c r="Q28" s="25">
        <v>48854.806260093093</v>
      </c>
      <c r="AF28">
        <v>46528.386914374372</v>
      </c>
      <c r="AG28">
        <f t="shared" si="10"/>
        <v>0.13400000000000009</v>
      </c>
      <c r="AK28" s="27">
        <v>100518223</v>
      </c>
      <c r="AL28" s="24">
        <v>52763.190760900543</v>
      </c>
      <c r="AN28" s="114">
        <f t="shared" si="11"/>
        <v>0.92592592592592593</v>
      </c>
    </row>
    <row r="29" spans="1:40" x14ac:dyDescent="0.2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2"/>
        <v>#N/A</v>
      </c>
      <c r="I29" s="37" t="e">
        <f t="shared" si="3"/>
        <v>#N/A</v>
      </c>
      <c r="J29" s="38"/>
      <c r="K29" s="37"/>
      <c r="L29" s="38"/>
      <c r="M29" s="37"/>
      <c r="N29" s="38"/>
      <c r="O29" s="39"/>
      <c r="P29" s="145" t="e">
        <f t="shared" si="1"/>
        <v>#N/A</v>
      </c>
      <c r="Q29" s="25" t="e">
        <v>#N/A</v>
      </c>
      <c r="Y29" t="s">
        <v>122</v>
      </c>
      <c r="Z29" t="s">
        <v>91</v>
      </c>
      <c r="AA29" t="s">
        <v>92</v>
      </c>
      <c r="AB29" t="s">
        <v>93</v>
      </c>
      <c r="AF29" t="e">
        <v>#N/A</v>
      </c>
      <c r="AG29" t="e">
        <f t="shared" si="10"/>
        <v>#N/A</v>
      </c>
      <c r="AK29" s="32"/>
      <c r="AL29" s="36"/>
      <c r="AN29" s="114" t="e">
        <f t="shared" si="11"/>
        <v>#N/A</v>
      </c>
    </row>
    <row r="30" spans="1:40" x14ac:dyDescent="0.25">
      <c r="A30" s="82">
        <v>100022085</v>
      </c>
      <c r="B30" s="95" t="s">
        <v>38</v>
      </c>
      <c r="C30" s="96">
        <v>7790360000132</v>
      </c>
      <c r="D30" s="97">
        <v>5.4</v>
      </c>
      <c r="E30" s="98">
        <v>24</v>
      </c>
      <c r="F30" s="83">
        <f t="shared" ref="F30:F35" si="12">+VLOOKUP(A30,$AK$4:$AL$108,2,FALSE)</f>
        <v>22291.884360849879</v>
      </c>
      <c r="G30" s="100">
        <f>0.0833333333333333*100%</f>
        <v>8.3333333333333301E-2</v>
      </c>
      <c r="H30" s="83">
        <f t="shared" si="2"/>
        <v>20434.227330779057</v>
      </c>
      <c r="I30" s="83">
        <f t="shared" si="3"/>
        <v>851.42613878246073</v>
      </c>
      <c r="J30" s="83">
        <f t="shared" si="4"/>
        <v>178.79948914431674</v>
      </c>
      <c r="K30" s="83">
        <f t="shared" si="5"/>
        <v>1030.2256279267774</v>
      </c>
      <c r="L30" s="83">
        <f t="shared" si="6"/>
        <v>360.57896977437207</v>
      </c>
      <c r="M30" s="83">
        <f t="shared" si="7"/>
        <v>1390.8045977011495</v>
      </c>
      <c r="N30" s="83">
        <f>+M30*0.438</f>
        <v>609.17241379310349</v>
      </c>
      <c r="O30" s="99">
        <f t="shared" si="9"/>
        <v>1999.977011494253</v>
      </c>
      <c r="P30" s="145">
        <f t="shared" si="1"/>
        <v>-5.2899972002862228E-7</v>
      </c>
      <c r="Q30" s="25">
        <v>20434.238140485311</v>
      </c>
      <c r="S30" s="1" t="s">
        <v>138</v>
      </c>
      <c r="Y30" s="115">
        <v>1900</v>
      </c>
      <c r="Z30" s="118">
        <v>2080</v>
      </c>
      <c r="AA30" s="118">
        <v>2435</v>
      </c>
      <c r="AB30" s="118">
        <v>2328</v>
      </c>
      <c r="AF30">
        <v>18238.814477058993</v>
      </c>
      <c r="AG30">
        <f t="shared" si="10"/>
        <v>0.12037037037037032</v>
      </c>
      <c r="AK30" s="27">
        <v>100022085</v>
      </c>
      <c r="AL30" s="24">
        <v>22291.884360849879</v>
      </c>
      <c r="AN30" s="114">
        <f t="shared" si="11"/>
        <v>1.0000005289999998</v>
      </c>
    </row>
    <row r="31" spans="1:40" x14ac:dyDescent="0.25">
      <c r="A31" s="27">
        <v>100522204</v>
      </c>
      <c r="B31" s="28" t="s">
        <v>38</v>
      </c>
      <c r="C31" s="21">
        <v>7790360983947</v>
      </c>
      <c r="D31" s="22">
        <v>5.4</v>
      </c>
      <c r="E31" s="23">
        <v>24</v>
      </c>
      <c r="F31" s="83">
        <f t="shared" si="12"/>
        <v>22291.884360849879</v>
      </c>
      <c r="G31" s="100">
        <f>0.0833333333333333*100%</f>
        <v>8.3333333333333301E-2</v>
      </c>
      <c r="H31" s="83">
        <f t="shared" ref="H31" si="13">+F31*(1-G31)</f>
        <v>20434.227330779057</v>
      </c>
      <c r="I31" s="83">
        <f t="shared" ref="I31" si="14">+H31/E31</f>
        <v>851.42613878246073</v>
      </c>
      <c r="J31" s="83">
        <f t="shared" ref="J31" si="15">+I31*J$3</f>
        <v>178.79948914431674</v>
      </c>
      <c r="K31" s="83">
        <f t="shared" ref="K31" si="16">+I31+J31</f>
        <v>1030.2256279267774</v>
      </c>
      <c r="L31" s="83">
        <f t="shared" ref="L31" si="17">+K31*L$3</f>
        <v>360.57896977437207</v>
      </c>
      <c r="M31" s="83">
        <f t="shared" ref="M31" si="18">+K31+L31</f>
        <v>1390.8045977011495</v>
      </c>
      <c r="N31" s="83">
        <f>+M31*0.438</f>
        <v>609.17241379310349</v>
      </c>
      <c r="O31" s="99">
        <f t="shared" ref="O31" si="19">+M31+N31</f>
        <v>1999.977011494253</v>
      </c>
      <c r="P31" s="145">
        <f t="shared" si="1"/>
        <v>-5.2899972002862228E-7</v>
      </c>
      <c r="Q31" s="25">
        <v>20434.238140485311</v>
      </c>
      <c r="S31" s="1" t="s">
        <v>138</v>
      </c>
      <c r="T31" s="139"/>
      <c r="U31" s="139"/>
      <c r="V31" s="149"/>
      <c r="W31" s="115"/>
      <c r="Y31" s="115"/>
      <c r="Z31" s="118"/>
      <c r="AA31" s="118"/>
      <c r="AB31" s="118"/>
      <c r="AK31" s="27">
        <v>100522204</v>
      </c>
      <c r="AL31" s="24">
        <v>22291.884360849879</v>
      </c>
      <c r="AN31" s="114"/>
    </row>
    <row r="32" spans="1:40" x14ac:dyDescent="0.25">
      <c r="A32" s="82">
        <v>100022072</v>
      </c>
      <c r="B32" s="95" t="s">
        <v>39</v>
      </c>
      <c r="C32" s="96">
        <v>7790360024541</v>
      </c>
      <c r="D32" s="97">
        <v>5.4</v>
      </c>
      <c r="E32" s="98">
        <v>12</v>
      </c>
      <c r="F32" s="83">
        <f t="shared" si="12"/>
        <v>21177.290142807386</v>
      </c>
      <c r="G32" s="100">
        <f>0.0833333333333333*100%</f>
        <v>8.3333333333333301E-2</v>
      </c>
      <c r="H32" s="83">
        <f t="shared" si="2"/>
        <v>19412.515964240105</v>
      </c>
      <c r="I32" s="83">
        <f t="shared" si="3"/>
        <v>1617.7096636866754</v>
      </c>
      <c r="J32" s="83">
        <f t="shared" si="4"/>
        <v>339.7190293742018</v>
      </c>
      <c r="K32" s="83">
        <f t="shared" si="5"/>
        <v>1957.4286930608773</v>
      </c>
      <c r="L32" s="83">
        <f>+K32*0.3388</f>
        <v>663.17684120902527</v>
      </c>
      <c r="M32" s="83">
        <f t="shared" si="7"/>
        <v>2620.6055342699028</v>
      </c>
      <c r="N32" s="83">
        <f t="shared" si="8"/>
        <v>1179.2724904214563</v>
      </c>
      <c r="O32" s="99">
        <f t="shared" si="9"/>
        <v>3799.8780246913593</v>
      </c>
      <c r="P32" s="145">
        <f t="shared" si="1"/>
        <v>-3.636231409742674E-5</v>
      </c>
      <c r="Q32" s="25">
        <v>19413.221873911527</v>
      </c>
      <c r="S32" s="1" t="s">
        <v>130</v>
      </c>
      <c r="Y32" s="115">
        <v>3600</v>
      </c>
      <c r="Z32" s="118">
        <v>4090</v>
      </c>
      <c r="AA32" s="118">
        <v>4495</v>
      </c>
      <c r="AB32">
        <v>4400</v>
      </c>
      <c r="AF32">
        <v>17225.547006111272</v>
      </c>
      <c r="AG32">
        <f t="shared" si="10"/>
        <v>0.12696078431372548</v>
      </c>
      <c r="AK32" s="27">
        <v>100022072</v>
      </c>
      <c r="AL32" s="24">
        <v>21177.290142807386</v>
      </c>
      <c r="AN32" s="114">
        <f t="shared" si="11"/>
        <v>1.0000363636363634</v>
      </c>
    </row>
    <row r="33" spans="1:40" x14ac:dyDescent="0.25">
      <c r="A33" s="27">
        <v>100522205</v>
      </c>
      <c r="B33" s="28" t="s">
        <v>39</v>
      </c>
      <c r="C33" s="21">
        <v>7790360983954</v>
      </c>
      <c r="D33" s="22">
        <v>5.4</v>
      </c>
      <c r="E33" s="23">
        <v>12</v>
      </c>
      <c r="F33" s="83">
        <f t="shared" si="12"/>
        <v>21177.290142807386</v>
      </c>
      <c r="G33" s="100">
        <f>0.0833333333333333*100%</f>
        <v>8.3333333333333301E-2</v>
      </c>
      <c r="H33" s="83">
        <f t="shared" ref="H33" si="20">+F33*(1-G33)</f>
        <v>19412.515964240105</v>
      </c>
      <c r="I33" s="83">
        <f t="shared" ref="I33" si="21">+H33/E33</f>
        <v>1617.7096636866754</v>
      </c>
      <c r="J33" s="83">
        <f t="shared" ref="J33" si="22">+I33*J$3</f>
        <v>339.7190293742018</v>
      </c>
      <c r="K33" s="83">
        <f t="shared" ref="K33" si="23">+I33+J33</f>
        <v>1957.4286930608773</v>
      </c>
      <c r="L33" s="83">
        <f>+K33*0.3388</f>
        <v>663.17684120902527</v>
      </c>
      <c r="M33" s="83">
        <f t="shared" ref="M33" si="24">+K33+L33</f>
        <v>2620.6055342699028</v>
      </c>
      <c r="N33" s="83">
        <f t="shared" ref="N33" si="25">+M33*N$3</f>
        <v>1179.2724904214563</v>
      </c>
      <c r="O33" s="99">
        <f t="shared" ref="O33" si="26">+M33+N33</f>
        <v>3799.8780246913593</v>
      </c>
      <c r="P33" s="145">
        <f t="shared" si="1"/>
        <v>-3.636231409742674E-5</v>
      </c>
      <c r="Q33" s="25">
        <v>19413.221873911527</v>
      </c>
      <c r="S33" s="1" t="s">
        <v>130</v>
      </c>
      <c r="Y33" s="115"/>
      <c r="Z33" s="118"/>
      <c r="AA33" s="118"/>
      <c r="AK33" s="27">
        <v>100522205</v>
      </c>
      <c r="AL33" s="24">
        <v>21177.290142807386</v>
      </c>
      <c r="AN33" s="114"/>
    </row>
    <row r="34" spans="1:40" x14ac:dyDescent="0.25">
      <c r="A34" s="82">
        <v>100516849</v>
      </c>
      <c r="B34" s="95" t="s">
        <v>40</v>
      </c>
      <c r="C34" s="96">
        <v>7790360970053</v>
      </c>
      <c r="D34" s="97">
        <v>4.5599999990400004</v>
      </c>
      <c r="E34" s="98">
        <v>24</v>
      </c>
      <c r="F34" s="83">
        <f t="shared" si="12"/>
        <v>17165.375130616507</v>
      </c>
      <c r="G34" s="100"/>
      <c r="H34" s="83">
        <f t="shared" si="2"/>
        <v>17165.375130616507</v>
      </c>
      <c r="I34" s="83">
        <f t="shared" si="3"/>
        <v>715.22396377568782</v>
      </c>
      <c r="J34" s="83">
        <f t="shared" si="4"/>
        <v>150.19703239289444</v>
      </c>
      <c r="K34" s="83">
        <f t="shared" si="5"/>
        <v>865.42099616858229</v>
      </c>
      <c r="L34" s="83">
        <f>+K34*0.339</f>
        <v>293.37771770114944</v>
      </c>
      <c r="M34" s="83">
        <f t="shared" si="7"/>
        <v>1158.7987138697317</v>
      </c>
      <c r="N34" s="83">
        <f>+M34*0.424</f>
        <v>491.33065468076626</v>
      </c>
      <c r="O34" s="99">
        <f t="shared" si="9"/>
        <v>1650.1293685504979</v>
      </c>
      <c r="P34" s="145">
        <f t="shared" si="1"/>
        <v>4.9999999999999822E-2</v>
      </c>
      <c r="Q34" s="25">
        <v>16347.976314872867</v>
      </c>
      <c r="S34" s="1" t="s">
        <v>139</v>
      </c>
      <c r="Y34" s="115">
        <v>1650</v>
      </c>
      <c r="Z34" s="118">
        <v>1888</v>
      </c>
      <c r="AA34" t="s">
        <v>96</v>
      </c>
      <c r="AF34">
        <v>15705.64579968969</v>
      </c>
      <c r="AG34">
        <f t="shared" si="10"/>
        <v>9.2942967741935084E-2</v>
      </c>
      <c r="AK34" s="27">
        <v>100516849</v>
      </c>
      <c r="AL34" s="24">
        <v>17165.375130616507</v>
      </c>
      <c r="AN34" s="114">
        <f t="shared" si="11"/>
        <v>0.95238095238095255</v>
      </c>
    </row>
    <row r="35" spans="1:40" x14ac:dyDescent="0.25">
      <c r="A35" s="82">
        <v>100022039</v>
      </c>
      <c r="B35" s="95" t="s">
        <v>41</v>
      </c>
      <c r="C35" s="96">
        <v>7790360007063</v>
      </c>
      <c r="D35" s="97">
        <v>8.6999999999999993</v>
      </c>
      <c r="E35" s="98">
        <v>10</v>
      </c>
      <c r="F35" s="83">
        <f t="shared" si="12"/>
        <v>56041.789445698298</v>
      </c>
      <c r="G35" s="100"/>
      <c r="H35" s="83">
        <f t="shared" si="2"/>
        <v>56041.789445698298</v>
      </c>
      <c r="I35" s="83">
        <f t="shared" si="3"/>
        <v>5604.1789445698296</v>
      </c>
      <c r="J35" s="83">
        <f t="shared" si="4"/>
        <v>1176.8775783596641</v>
      </c>
      <c r="K35" s="83">
        <f t="shared" si="5"/>
        <v>6781.0565229294934</v>
      </c>
      <c r="L35" s="83">
        <f t="shared" si="6"/>
        <v>2373.3697830253227</v>
      </c>
      <c r="M35" s="83">
        <f t="shared" si="7"/>
        <v>9154.4263059548157</v>
      </c>
      <c r="N35" s="83">
        <f t="shared" si="8"/>
        <v>4119.4918376796668</v>
      </c>
      <c r="O35" s="99">
        <f t="shared" si="9"/>
        <v>13273.918143634482</v>
      </c>
      <c r="P35" s="145">
        <f t="shared" si="1"/>
        <v>0</v>
      </c>
      <c r="Q35" s="25">
        <v>56041.789445698298</v>
      </c>
      <c r="Z35" t="s">
        <v>94</v>
      </c>
      <c r="AA35">
        <v>66</v>
      </c>
      <c r="AB35" t="s">
        <v>95</v>
      </c>
      <c r="AC35" t="s">
        <v>121</v>
      </c>
      <c r="AF35">
        <v>44083.413984393745</v>
      </c>
      <c r="AG35">
        <f t="shared" si="10"/>
        <v>0.27126700000000037</v>
      </c>
      <c r="AK35" s="27">
        <v>100022039</v>
      </c>
      <c r="AL35" s="24">
        <v>56041.789445698298</v>
      </c>
      <c r="AN35" s="114">
        <f t="shared" si="11"/>
        <v>1</v>
      </c>
    </row>
    <row r="36" spans="1:40" x14ac:dyDescent="0.25">
      <c r="A36" s="27">
        <v>100522206</v>
      </c>
      <c r="B36" s="28" t="s">
        <v>41</v>
      </c>
      <c r="C36" s="21">
        <v>7790360983961</v>
      </c>
      <c r="D36" s="22">
        <v>8.6999999999999993</v>
      </c>
      <c r="E36" s="23">
        <v>10</v>
      </c>
      <c r="F36" s="24">
        <v>56041.789445698298</v>
      </c>
      <c r="G36" s="100"/>
      <c r="H36" s="83">
        <f t="shared" ref="H36" si="27">+F36*(1-G36)</f>
        <v>56041.789445698298</v>
      </c>
      <c r="I36" s="83">
        <f t="shared" ref="I36" si="28">+H36/E36</f>
        <v>5604.1789445698296</v>
      </c>
      <c r="J36" s="83">
        <f t="shared" ref="J36" si="29">+I36*J$3</f>
        <v>1176.8775783596641</v>
      </c>
      <c r="K36" s="83">
        <f t="shared" ref="K36" si="30">+I36+J36</f>
        <v>6781.0565229294934</v>
      </c>
      <c r="L36" s="83">
        <f t="shared" ref="L36" si="31">+K36*L$3</f>
        <v>2373.3697830253227</v>
      </c>
      <c r="M36" s="83">
        <f t="shared" ref="M36" si="32">+K36+L36</f>
        <v>9154.4263059548157</v>
      </c>
      <c r="N36" s="83">
        <f t="shared" ref="N36" si="33">+M36*N$3</f>
        <v>4119.4918376796668</v>
      </c>
      <c r="O36" s="99">
        <f t="shared" ref="O36" si="34">+M36+N36</f>
        <v>13273.918143634482</v>
      </c>
      <c r="P36" s="145"/>
      <c r="Q36" s="25">
        <v>56041.789445698298</v>
      </c>
      <c r="AK36" s="27">
        <v>100522206</v>
      </c>
      <c r="AL36" s="24">
        <v>56041.789445698298</v>
      </c>
      <c r="AN36" s="114"/>
    </row>
    <row r="37" spans="1:40" x14ac:dyDescent="0.25">
      <c r="A37" s="27">
        <v>100022058</v>
      </c>
      <c r="B37" s="28" t="s">
        <v>42</v>
      </c>
      <c r="C37" s="21">
        <v>7790360026002</v>
      </c>
      <c r="D37" s="22">
        <v>4.5599999990400004</v>
      </c>
      <c r="E37" s="23">
        <v>24</v>
      </c>
      <c r="F37" s="40">
        <f t="shared" ref="F37:F68" si="35">+VLOOKUP(A37,$AK$4:$AL$108,2,FALSE)</f>
        <v>15783.589451301053</v>
      </c>
      <c r="G37" s="136"/>
      <c r="H37" s="40">
        <f t="shared" si="2"/>
        <v>15783.589451301053</v>
      </c>
      <c r="I37" s="24">
        <f t="shared" si="3"/>
        <v>657.64956047087719</v>
      </c>
      <c r="J37" s="24">
        <f t="shared" si="4"/>
        <v>138.1064076988842</v>
      </c>
      <c r="K37" s="24">
        <f t="shared" si="5"/>
        <v>795.75596816976145</v>
      </c>
      <c r="L37" s="24">
        <f>+K37*0.3</f>
        <v>238.72679045092843</v>
      </c>
      <c r="M37" s="24">
        <f t="shared" si="7"/>
        <v>1034.4827586206898</v>
      </c>
      <c r="N37" s="24">
        <f t="shared" si="8"/>
        <v>465.51724137931041</v>
      </c>
      <c r="O37" s="25">
        <f t="shared" si="9"/>
        <v>1500.0000000000002</v>
      </c>
      <c r="P37" s="145">
        <f t="shared" si="1"/>
        <v>-0.11598840977879243</v>
      </c>
      <c r="Q37" s="25">
        <v>17854.505105924574</v>
      </c>
      <c r="S37" s="1"/>
      <c r="T37" s="81"/>
      <c r="Y37" s="115">
        <v>1130</v>
      </c>
      <c r="Z37" s="118">
        <v>1190</v>
      </c>
      <c r="AA37" s="118">
        <v>1000</v>
      </c>
      <c r="AB37" s="118">
        <v>1198</v>
      </c>
      <c r="AC37" s="118">
        <v>1500</v>
      </c>
      <c r="AD37" s="115" t="s">
        <v>124</v>
      </c>
      <c r="AF37">
        <v>11449.922421709256</v>
      </c>
      <c r="AG37">
        <f t="shared" si="10"/>
        <v>0.37848876786929908</v>
      </c>
      <c r="AK37" s="27">
        <v>100022058</v>
      </c>
      <c r="AL37" s="40">
        <v>15783.589451301053</v>
      </c>
      <c r="AN37" s="114">
        <f t="shared" si="11"/>
        <v>1.1312068880791126</v>
      </c>
    </row>
    <row r="38" spans="1:40" x14ac:dyDescent="0.25">
      <c r="A38" s="27">
        <v>100518151</v>
      </c>
      <c r="B38" s="28" t="s">
        <v>43</v>
      </c>
      <c r="C38" s="21">
        <v>7790360974990</v>
      </c>
      <c r="D38" s="22">
        <v>8.6999999999999993</v>
      </c>
      <c r="E38" s="23">
        <v>10</v>
      </c>
      <c r="F38" s="40">
        <f t="shared" si="35"/>
        <v>63845.739564772135</v>
      </c>
      <c r="G38" s="23"/>
      <c r="H38" s="40">
        <f t="shared" si="2"/>
        <v>63845.739564772135</v>
      </c>
      <c r="I38" s="24">
        <f t="shared" si="3"/>
        <v>6384.5739564772139</v>
      </c>
      <c r="J38" s="24">
        <f>+I38*J$3</f>
        <v>1340.7605308602149</v>
      </c>
      <c r="K38" s="24">
        <f>+I38+J38</f>
        <v>7725.334487337429</v>
      </c>
      <c r="L38" s="29">
        <f>+K38*0.3</f>
        <v>2317.6003462012286</v>
      </c>
      <c r="M38" s="24">
        <f>+K38+L38</f>
        <v>10042.934833538657</v>
      </c>
      <c r="N38" s="24">
        <f>+M38*N$3</f>
        <v>4519.3206750923955</v>
      </c>
      <c r="O38" s="25">
        <f>+M38+N38</f>
        <v>14562.255508631053</v>
      </c>
      <c r="P38" s="145">
        <f t="shared" si="1"/>
        <v>0</v>
      </c>
      <c r="Q38" s="25">
        <v>63845.739564772135</v>
      </c>
      <c r="AF38">
        <v>50222.132380351351</v>
      </c>
      <c r="AG38">
        <f t="shared" si="10"/>
        <v>0.27126700000000026</v>
      </c>
      <c r="AK38" s="27">
        <v>100518151</v>
      </c>
      <c r="AL38" s="40">
        <v>63845.739564772135</v>
      </c>
      <c r="AN38" s="114">
        <f t="shared" si="11"/>
        <v>1</v>
      </c>
    </row>
    <row r="39" spans="1:40" x14ac:dyDescent="0.25">
      <c r="A39" s="32"/>
      <c r="B39" s="33"/>
      <c r="C39" s="34"/>
      <c r="D39" s="33"/>
      <c r="E39" s="35"/>
      <c r="F39" s="36" t="e">
        <f t="shared" si="35"/>
        <v>#N/A</v>
      </c>
      <c r="G39" s="35"/>
      <c r="H39" s="36" t="e">
        <f t="shared" si="2"/>
        <v>#N/A</v>
      </c>
      <c r="I39" s="37" t="e">
        <f t="shared" si="3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45" t="e">
        <f t="shared" si="1"/>
        <v>#N/A</v>
      </c>
      <c r="Q39" s="25" t="e">
        <v>#N/A</v>
      </c>
      <c r="Y39">
        <f>+Y37*24</f>
        <v>27120</v>
      </c>
      <c r="AF39" t="e">
        <v>#N/A</v>
      </c>
      <c r="AG39" t="e">
        <f t="shared" si="10"/>
        <v>#N/A</v>
      </c>
      <c r="AK39" s="32"/>
      <c r="AL39" s="36">
        <v>0</v>
      </c>
      <c r="AN39" s="114" t="e">
        <f t="shared" si="11"/>
        <v>#N/A</v>
      </c>
    </row>
    <row r="40" spans="1:40" ht="15.75" x14ac:dyDescent="0.25">
      <c r="A40" s="82">
        <v>100021000</v>
      </c>
      <c r="B40" s="95" t="s">
        <v>44</v>
      </c>
      <c r="C40" s="96">
        <v>7790360720382</v>
      </c>
      <c r="D40" s="97">
        <v>2.16</v>
      </c>
      <c r="E40" s="98">
        <v>24</v>
      </c>
      <c r="F40" s="83">
        <f t="shared" si="35"/>
        <v>12345.022579393355</v>
      </c>
      <c r="G40" s="100"/>
      <c r="H40" s="83">
        <f t="shared" si="2"/>
        <v>12345.022579393355</v>
      </c>
      <c r="I40" s="83">
        <f t="shared" si="3"/>
        <v>514.3759408080565</v>
      </c>
      <c r="J40" s="83">
        <f t="shared" si="4"/>
        <v>108.01894756969186</v>
      </c>
      <c r="K40" s="83">
        <f t="shared" si="5"/>
        <v>622.39488837774832</v>
      </c>
      <c r="L40" s="83">
        <f>+K40*L$39</f>
        <v>136.92687544310462</v>
      </c>
      <c r="M40" s="83">
        <f t="shared" si="7"/>
        <v>759.32176382085299</v>
      </c>
      <c r="N40" s="83">
        <f>+M40*N$39</f>
        <v>265.76261733729854</v>
      </c>
      <c r="O40" s="99">
        <f t="shared" si="9"/>
        <v>1025.0843811581515</v>
      </c>
      <c r="P40" s="145">
        <f>H40/Q40-1</f>
        <v>0</v>
      </c>
      <c r="Q40" s="25">
        <v>12345.022579393355</v>
      </c>
      <c r="S40" s="144"/>
      <c r="T40" s="1"/>
      <c r="U40" s="1"/>
      <c r="V40" s="1"/>
      <c r="W40" s="1"/>
      <c r="X40" s="1"/>
      <c r="Y40" s="115">
        <f>+Y39/1.21/1.35/1.45</f>
        <v>11449.922421709256</v>
      </c>
      <c r="Z40" s="115" t="s">
        <v>116</v>
      </c>
      <c r="AF40">
        <v>10353.088375875002</v>
      </c>
      <c r="AG40">
        <f t="shared" si="10"/>
        <v>0.19240000000000021</v>
      </c>
      <c r="AK40" s="27">
        <v>100021000</v>
      </c>
      <c r="AL40" s="24">
        <v>12345.022579393355</v>
      </c>
      <c r="AN40" s="114">
        <f t="shared" si="11"/>
        <v>1</v>
      </c>
    </row>
    <row r="41" spans="1:40" ht="15.75" x14ac:dyDescent="0.25">
      <c r="A41" s="82">
        <v>100021001</v>
      </c>
      <c r="B41" s="95" t="s">
        <v>45</v>
      </c>
      <c r="C41" s="96">
        <v>7790360720115</v>
      </c>
      <c r="D41" s="97">
        <v>2.16</v>
      </c>
      <c r="E41" s="98">
        <v>24</v>
      </c>
      <c r="F41" s="83">
        <f t="shared" si="35"/>
        <v>12345.022579393355</v>
      </c>
      <c r="G41" s="100"/>
      <c r="H41" s="83">
        <f t="shared" si="2"/>
        <v>12345.022579393355</v>
      </c>
      <c r="I41" s="83">
        <f t="shared" si="3"/>
        <v>514.3759408080565</v>
      </c>
      <c r="J41" s="83">
        <f t="shared" si="4"/>
        <v>108.01894756969186</v>
      </c>
      <c r="K41" s="83">
        <f t="shared" si="5"/>
        <v>622.39488837774832</v>
      </c>
      <c r="L41" s="83">
        <f t="shared" ref="L41:L56" si="36">+K41*L$39</f>
        <v>136.92687544310462</v>
      </c>
      <c r="M41" s="83">
        <f t="shared" si="7"/>
        <v>759.32176382085299</v>
      </c>
      <c r="N41" s="83">
        <f t="shared" ref="N41:N56" si="37">+M41*N$39</f>
        <v>265.76261733729854</v>
      </c>
      <c r="O41" s="99">
        <f t="shared" si="9"/>
        <v>1025.0843811581515</v>
      </c>
      <c r="P41" s="145">
        <f t="shared" ref="P41:P104" si="38">H41/Q41-1</f>
        <v>0</v>
      </c>
      <c r="Q41" s="25">
        <v>12345.022579393355</v>
      </c>
      <c r="S41" s="144"/>
      <c r="T41" s="1"/>
      <c r="U41" s="1"/>
      <c r="V41" s="1"/>
      <c r="W41" s="1"/>
      <c r="X41" s="1"/>
      <c r="Y41" s="81">
        <f>+F37-Y40</f>
        <v>4333.6670295917975</v>
      </c>
      <c r="AF41">
        <v>10353.088375875002</v>
      </c>
      <c r="AG41">
        <f t="shared" si="10"/>
        <v>0.19240000000000021</v>
      </c>
      <c r="AK41" s="27">
        <v>100021001</v>
      </c>
      <c r="AL41" s="24">
        <v>12345.022579393355</v>
      </c>
      <c r="AN41" s="114">
        <f t="shared" si="11"/>
        <v>1</v>
      </c>
    </row>
    <row r="42" spans="1:40" ht="15.75" x14ac:dyDescent="0.25">
      <c r="A42" s="84">
        <v>100522277</v>
      </c>
      <c r="B42" s="28" t="s">
        <v>118</v>
      </c>
      <c r="C42" s="21"/>
      <c r="D42" s="22">
        <v>2.16</v>
      </c>
      <c r="E42" s="23">
        <v>24</v>
      </c>
      <c r="F42" s="83">
        <f t="shared" si="35"/>
        <v>12345.022579393355</v>
      </c>
      <c r="G42" s="100"/>
      <c r="H42" s="83">
        <f t="shared" ref="H42:H43" si="39">+F42*(1-G42)</f>
        <v>12345.022579393355</v>
      </c>
      <c r="I42" s="83">
        <f t="shared" ref="I42:I43" si="40">+H42/E42</f>
        <v>514.3759408080565</v>
      </c>
      <c r="J42" s="83">
        <f t="shared" ref="J42:J43" si="41">+I42*J$3</f>
        <v>108.01894756969186</v>
      </c>
      <c r="K42" s="83">
        <f t="shared" ref="K42:K43" si="42">+I42+J42</f>
        <v>622.39488837774832</v>
      </c>
      <c r="L42" s="83">
        <f t="shared" ref="L42:L43" si="43">+K42*L$39</f>
        <v>136.92687544310462</v>
      </c>
      <c r="M42" s="83">
        <f t="shared" ref="M42:M43" si="44">+K42+L42</f>
        <v>759.32176382085299</v>
      </c>
      <c r="N42" s="83">
        <f t="shared" ref="N42:N43" si="45">+M42*N$39</f>
        <v>265.76261733729854</v>
      </c>
      <c r="O42" s="99">
        <f t="shared" ref="O42:O43" si="46">+M42+N42</f>
        <v>1025.0843811581515</v>
      </c>
      <c r="P42" s="145">
        <f t="shared" si="38"/>
        <v>0</v>
      </c>
      <c r="Q42" s="25">
        <v>12345.022579393355</v>
      </c>
      <c r="S42" s="144"/>
      <c r="T42" s="1"/>
      <c r="U42" s="1"/>
      <c r="V42" s="1"/>
      <c r="W42" s="1"/>
      <c r="X42" s="1"/>
      <c r="Y42" s="81"/>
      <c r="AK42" s="84">
        <v>100522277</v>
      </c>
      <c r="AL42" s="24">
        <v>12345.022579393355</v>
      </c>
      <c r="AN42" s="114">
        <f t="shared" si="11"/>
        <v>1</v>
      </c>
    </row>
    <row r="43" spans="1:40" x14ac:dyDescent="0.25">
      <c r="A43" s="84">
        <v>100522333</v>
      </c>
      <c r="B43" s="28" t="s">
        <v>119</v>
      </c>
      <c r="C43" s="21"/>
      <c r="D43" s="22">
        <v>2.16</v>
      </c>
      <c r="E43" s="23">
        <v>24</v>
      </c>
      <c r="F43" s="83">
        <f t="shared" si="35"/>
        <v>12345.022579393355</v>
      </c>
      <c r="G43" s="100"/>
      <c r="H43" s="83">
        <f t="shared" si="39"/>
        <v>12345.022579393355</v>
      </c>
      <c r="I43" s="83">
        <f t="shared" si="40"/>
        <v>514.3759408080565</v>
      </c>
      <c r="J43" s="83">
        <f t="shared" si="41"/>
        <v>108.01894756969186</v>
      </c>
      <c r="K43" s="83">
        <f t="shared" si="42"/>
        <v>622.39488837774832</v>
      </c>
      <c r="L43" s="83">
        <f t="shared" si="43"/>
        <v>136.92687544310462</v>
      </c>
      <c r="M43" s="83">
        <f t="shared" si="44"/>
        <v>759.32176382085299</v>
      </c>
      <c r="N43" s="83">
        <f t="shared" si="45"/>
        <v>265.76261733729854</v>
      </c>
      <c r="O43" s="99">
        <f t="shared" si="46"/>
        <v>1025.0843811581515</v>
      </c>
      <c r="P43" s="145">
        <f t="shared" si="38"/>
        <v>0</v>
      </c>
      <c r="Q43" s="25">
        <v>12345.022579393355</v>
      </c>
      <c r="S43" s="1"/>
      <c r="T43" s="1"/>
      <c r="U43" s="1"/>
      <c r="V43" s="1"/>
      <c r="W43" s="1"/>
      <c r="X43" s="1"/>
      <c r="Y43" s="81"/>
      <c r="AK43" s="84">
        <v>100522333</v>
      </c>
      <c r="AL43" s="24">
        <v>12345.022579393355</v>
      </c>
      <c r="AN43" s="114">
        <f t="shared" si="11"/>
        <v>1</v>
      </c>
    </row>
    <row r="44" spans="1:40" x14ac:dyDescent="0.25">
      <c r="A44" s="82">
        <v>100021045</v>
      </c>
      <c r="B44" s="95" t="s">
        <v>46</v>
      </c>
      <c r="C44" s="96">
        <v>7790360966582</v>
      </c>
      <c r="D44" s="97">
        <v>2.16</v>
      </c>
      <c r="E44" s="98">
        <v>24</v>
      </c>
      <c r="F44" s="83">
        <f t="shared" si="35"/>
        <v>12345.022579393353</v>
      </c>
      <c r="G44" s="100"/>
      <c r="H44" s="83">
        <f t="shared" si="2"/>
        <v>12345.022579393353</v>
      </c>
      <c r="I44" s="83">
        <f t="shared" si="3"/>
        <v>514.37594080805638</v>
      </c>
      <c r="J44" s="83">
        <f t="shared" si="4"/>
        <v>108.01894756969183</v>
      </c>
      <c r="K44" s="83">
        <f t="shared" si="5"/>
        <v>622.3948883777482</v>
      </c>
      <c r="L44" s="83">
        <f t="shared" si="36"/>
        <v>136.92687544310459</v>
      </c>
      <c r="M44" s="83">
        <f t="shared" si="7"/>
        <v>759.32176382085277</v>
      </c>
      <c r="N44" s="83">
        <f t="shared" si="37"/>
        <v>265.76261733729848</v>
      </c>
      <c r="O44" s="99">
        <f t="shared" si="9"/>
        <v>1025.0843811581512</v>
      </c>
      <c r="P44" s="145">
        <f t="shared" si="38"/>
        <v>0</v>
      </c>
      <c r="Q44" s="25">
        <v>12345.022579393353</v>
      </c>
      <c r="S44" s="1"/>
      <c r="T44" s="1"/>
      <c r="U44" s="1"/>
      <c r="V44" s="1"/>
      <c r="W44" s="1"/>
      <c r="X44" s="1"/>
      <c r="Y44">
        <f>+Y41/F37</f>
        <v>0.27456790123456803</v>
      </c>
      <c r="AF44">
        <v>10088.4</v>
      </c>
      <c r="AG44">
        <f t="shared" si="10"/>
        <v>0.22368488356858904</v>
      </c>
      <c r="AK44" s="27">
        <v>100021045</v>
      </c>
      <c r="AL44" s="24">
        <v>12345.022579393353</v>
      </c>
      <c r="AN44" s="114">
        <f t="shared" si="11"/>
        <v>1</v>
      </c>
    </row>
    <row r="45" spans="1:40" x14ac:dyDescent="0.25">
      <c r="A45" s="82">
        <v>100021004</v>
      </c>
      <c r="B45" s="95" t="s">
        <v>47</v>
      </c>
      <c r="C45" s="96">
        <v>7790360964526</v>
      </c>
      <c r="D45" s="97">
        <v>2.1120000000000001</v>
      </c>
      <c r="E45" s="98">
        <v>24</v>
      </c>
      <c r="F45" s="83">
        <f t="shared" si="35"/>
        <v>12345.022579393353</v>
      </c>
      <c r="G45" s="100"/>
      <c r="H45" s="83">
        <f t="shared" si="2"/>
        <v>12345.022579393353</v>
      </c>
      <c r="I45" s="83">
        <f t="shared" si="3"/>
        <v>514.37594080805638</v>
      </c>
      <c r="J45" s="83">
        <f t="shared" si="4"/>
        <v>108.01894756969183</v>
      </c>
      <c r="K45" s="83">
        <f t="shared" si="5"/>
        <v>622.3948883777482</v>
      </c>
      <c r="L45" s="83">
        <f t="shared" si="36"/>
        <v>136.92687544310459</v>
      </c>
      <c r="M45" s="83">
        <f t="shared" si="7"/>
        <v>759.32176382085277</v>
      </c>
      <c r="N45" s="83">
        <f t="shared" si="37"/>
        <v>265.76261733729848</v>
      </c>
      <c r="O45" s="99">
        <f t="shared" si="9"/>
        <v>1025.0843811581512</v>
      </c>
      <c r="P45" s="145">
        <f t="shared" si="38"/>
        <v>0</v>
      </c>
      <c r="Q45" s="25">
        <v>12345.022579393353</v>
      </c>
      <c r="S45" s="1"/>
      <c r="T45" s="1"/>
      <c r="U45" s="1"/>
      <c r="V45" s="1"/>
      <c r="W45" s="1"/>
      <c r="X45" s="1"/>
      <c r="AF45">
        <v>10088.4</v>
      </c>
      <c r="AG45">
        <f t="shared" si="10"/>
        <v>0.22368488356858904</v>
      </c>
      <c r="AK45" s="27">
        <v>100021004</v>
      </c>
      <c r="AL45" s="24">
        <v>12345.022579393353</v>
      </c>
      <c r="AN45" s="114">
        <f t="shared" si="11"/>
        <v>1</v>
      </c>
    </row>
    <row r="46" spans="1:40" x14ac:dyDescent="0.25">
      <c r="A46" s="82">
        <v>100021006</v>
      </c>
      <c r="B46" s="95" t="s">
        <v>48</v>
      </c>
      <c r="C46" s="96">
        <v>7790360964557</v>
      </c>
      <c r="D46" s="97">
        <v>2.1120000000000001</v>
      </c>
      <c r="E46" s="98">
        <v>24</v>
      </c>
      <c r="F46" s="83">
        <f t="shared" si="35"/>
        <v>12345.022579393353</v>
      </c>
      <c r="G46" s="100"/>
      <c r="H46" s="83">
        <f t="shared" si="2"/>
        <v>12345.022579393353</v>
      </c>
      <c r="I46" s="83">
        <f t="shared" si="3"/>
        <v>514.37594080805638</v>
      </c>
      <c r="J46" s="83">
        <f t="shared" si="4"/>
        <v>108.01894756969183</v>
      </c>
      <c r="K46" s="83">
        <f t="shared" si="5"/>
        <v>622.3948883777482</v>
      </c>
      <c r="L46" s="83">
        <f t="shared" si="36"/>
        <v>136.92687544310459</v>
      </c>
      <c r="M46" s="83">
        <f t="shared" si="7"/>
        <v>759.32176382085277</v>
      </c>
      <c r="N46" s="83">
        <f t="shared" si="37"/>
        <v>265.76261733729848</v>
      </c>
      <c r="O46" s="99">
        <f t="shared" si="9"/>
        <v>1025.0843811581512</v>
      </c>
      <c r="P46" s="145">
        <f t="shared" si="38"/>
        <v>0</v>
      </c>
      <c r="Q46" s="25">
        <v>12345.022579393353</v>
      </c>
      <c r="S46" s="1"/>
      <c r="T46" s="1"/>
      <c r="U46" s="1"/>
      <c r="V46" s="1"/>
      <c r="W46" s="1"/>
      <c r="X46" s="1"/>
      <c r="Y46">
        <f>+Y34*24</f>
        <v>39600</v>
      </c>
      <c r="AF46">
        <v>10088.4</v>
      </c>
      <c r="AG46">
        <f t="shared" si="10"/>
        <v>0.22368488356858904</v>
      </c>
      <c r="AK46" s="27">
        <v>100021006</v>
      </c>
      <c r="AL46" s="24">
        <v>12345.022579393353</v>
      </c>
      <c r="AN46" s="114">
        <f t="shared" si="11"/>
        <v>1</v>
      </c>
    </row>
    <row r="47" spans="1:40" x14ac:dyDescent="0.25">
      <c r="A47" s="82">
        <v>100021007</v>
      </c>
      <c r="B47" s="95" t="s">
        <v>49</v>
      </c>
      <c r="C47" s="96">
        <v>7790360964540</v>
      </c>
      <c r="D47" s="97">
        <v>2.04</v>
      </c>
      <c r="E47" s="98">
        <v>24</v>
      </c>
      <c r="F47" s="83">
        <f t="shared" si="35"/>
        <v>14092.44375</v>
      </c>
      <c r="G47" s="100"/>
      <c r="H47" s="83">
        <f t="shared" si="2"/>
        <v>14092.44375</v>
      </c>
      <c r="I47" s="83">
        <f t="shared" si="3"/>
        <v>587.18515624999998</v>
      </c>
      <c r="J47" s="83">
        <f t="shared" si="4"/>
        <v>123.30888281249999</v>
      </c>
      <c r="K47" s="83">
        <f t="shared" si="5"/>
        <v>710.49403906249995</v>
      </c>
      <c r="L47" s="83">
        <f t="shared" si="36"/>
        <v>156.30868859374999</v>
      </c>
      <c r="M47" s="83">
        <f t="shared" si="7"/>
        <v>866.80272765625</v>
      </c>
      <c r="N47" s="83">
        <f t="shared" si="37"/>
        <v>303.38095467968748</v>
      </c>
      <c r="O47" s="99">
        <f t="shared" si="9"/>
        <v>1170.1836823359374</v>
      </c>
      <c r="P47" s="145">
        <f t="shared" si="38"/>
        <v>0</v>
      </c>
      <c r="Q47" s="25">
        <v>14092.44375</v>
      </c>
      <c r="S47" s="1"/>
      <c r="T47" s="1"/>
      <c r="U47" s="1"/>
      <c r="V47" s="1"/>
      <c r="W47" s="1"/>
      <c r="X47" s="1"/>
      <c r="Y47" s="125">
        <f>+Y46/1.21/1.35/1.45</f>
        <v>16718.913270637408</v>
      </c>
      <c r="Z47" s="125"/>
      <c r="AA47" s="125"/>
      <c r="AB47" s="125"/>
      <c r="AC47" s="125"/>
      <c r="AF47">
        <v>11917.5</v>
      </c>
      <c r="AG47">
        <f t="shared" si="10"/>
        <v>0.18250000000000002</v>
      </c>
      <c r="AK47" s="27">
        <v>100021007</v>
      </c>
      <c r="AL47" s="24">
        <v>14092.44375</v>
      </c>
      <c r="AN47" s="114">
        <f t="shared" si="11"/>
        <v>1</v>
      </c>
    </row>
    <row r="48" spans="1:40" x14ac:dyDescent="0.25">
      <c r="A48" s="82">
        <v>100021013</v>
      </c>
      <c r="B48" s="95" t="s">
        <v>50</v>
      </c>
      <c r="C48" s="96">
        <v>7790360965714</v>
      </c>
      <c r="D48" s="97">
        <v>2.04</v>
      </c>
      <c r="E48" s="98">
        <v>24</v>
      </c>
      <c r="F48" s="83">
        <f t="shared" si="35"/>
        <v>14092.44375</v>
      </c>
      <c r="G48" s="100"/>
      <c r="H48" s="83">
        <f t="shared" si="2"/>
        <v>14092.44375</v>
      </c>
      <c r="I48" s="83">
        <f t="shared" si="3"/>
        <v>587.18515624999998</v>
      </c>
      <c r="J48" s="83">
        <f t="shared" si="4"/>
        <v>123.30888281249999</v>
      </c>
      <c r="K48" s="83">
        <f t="shared" si="5"/>
        <v>710.49403906249995</v>
      </c>
      <c r="L48" s="83">
        <f t="shared" si="36"/>
        <v>156.30868859374999</v>
      </c>
      <c r="M48" s="83">
        <f t="shared" si="7"/>
        <v>866.80272765625</v>
      </c>
      <c r="N48" s="83">
        <f t="shared" si="37"/>
        <v>303.38095467968748</v>
      </c>
      <c r="O48" s="99">
        <f t="shared" si="9"/>
        <v>1170.1836823359374</v>
      </c>
      <c r="P48" s="145">
        <f t="shared" si="38"/>
        <v>0</v>
      </c>
      <c r="Q48" s="25">
        <v>14092.44375</v>
      </c>
      <c r="S48" s="1"/>
      <c r="T48" s="1"/>
      <c r="U48" s="1"/>
      <c r="V48" s="1"/>
      <c r="W48" s="1"/>
      <c r="X48" s="1"/>
      <c r="Y48" s="116">
        <f>+F34-Y47</f>
        <v>446.46185997909924</v>
      </c>
      <c r="Z48" s="116"/>
      <c r="AA48" s="116"/>
      <c r="AB48" s="116"/>
      <c r="AC48" s="116"/>
      <c r="AF48">
        <v>11917.5</v>
      </c>
      <c r="AG48">
        <f t="shared" si="10"/>
        <v>0.18250000000000002</v>
      </c>
      <c r="AK48" s="27">
        <v>100021013</v>
      </c>
      <c r="AL48" s="24">
        <v>14092.44375</v>
      </c>
      <c r="AN48" s="114">
        <f t="shared" si="11"/>
        <v>1</v>
      </c>
    </row>
    <row r="49" spans="1:40" x14ac:dyDescent="0.25">
      <c r="A49" s="82">
        <v>100021014</v>
      </c>
      <c r="B49" s="95" t="s">
        <v>51</v>
      </c>
      <c r="C49" s="96">
        <v>7790360965721</v>
      </c>
      <c r="D49" s="97">
        <v>2.04</v>
      </c>
      <c r="E49" s="98">
        <v>24</v>
      </c>
      <c r="F49" s="83">
        <f t="shared" si="35"/>
        <v>14092.44375</v>
      </c>
      <c r="G49" s="100"/>
      <c r="H49" s="83">
        <f t="shared" si="2"/>
        <v>14092.44375</v>
      </c>
      <c r="I49" s="83">
        <f t="shared" si="3"/>
        <v>587.18515624999998</v>
      </c>
      <c r="J49" s="83">
        <f t="shared" si="4"/>
        <v>123.30888281249999</v>
      </c>
      <c r="K49" s="83">
        <f t="shared" si="5"/>
        <v>710.49403906249995</v>
      </c>
      <c r="L49" s="83">
        <f t="shared" si="36"/>
        <v>156.30868859374999</v>
      </c>
      <c r="M49" s="83">
        <f t="shared" si="7"/>
        <v>866.80272765625</v>
      </c>
      <c r="N49" s="83">
        <f t="shared" si="37"/>
        <v>303.38095467968748</v>
      </c>
      <c r="O49" s="99">
        <f t="shared" si="9"/>
        <v>1170.1836823359374</v>
      </c>
      <c r="P49" s="145">
        <f t="shared" si="38"/>
        <v>0</v>
      </c>
      <c r="Q49" s="25">
        <v>14092.44375</v>
      </c>
      <c r="S49" s="1"/>
      <c r="T49" s="1"/>
      <c r="U49" s="1"/>
      <c r="V49" s="1"/>
      <c r="W49" s="1"/>
      <c r="X49" s="1"/>
      <c r="Y49" s="116">
        <f>+Y48/F34</f>
        <v>2.6009443812432677E-2</v>
      </c>
      <c r="Z49" s="116"/>
      <c r="AA49" s="116"/>
      <c r="AB49" s="116"/>
      <c r="AC49" s="116"/>
      <c r="AF49">
        <v>11917.5</v>
      </c>
      <c r="AG49">
        <f t="shared" si="10"/>
        <v>0.18250000000000002</v>
      </c>
      <c r="AK49" s="27">
        <v>100021014</v>
      </c>
      <c r="AL49" s="24">
        <v>14092.44375</v>
      </c>
      <c r="AN49" s="114">
        <f t="shared" si="11"/>
        <v>1</v>
      </c>
    </row>
    <row r="50" spans="1:40" x14ac:dyDescent="0.25">
      <c r="A50" s="82">
        <v>100021054</v>
      </c>
      <c r="B50" s="95" t="s">
        <v>52</v>
      </c>
      <c r="C50" s="96">
        <v>7790360965707</v>
      </c>
      <c r="D50" s="97">
        <v>2.04</v>
      </c>
      <c r="E50" s="98">
        <v>24</v>
      </c>
      <c r="F50" s="83">
        <f t="shared" si="35"/>
        <v>14092.44375</v>
      </c>
      <c r="G50" s="100"/>
      <c r="H50" s="83">
        <f t="shared" si="2"/>
        <v>14092.44375</v>
      </c>
      <c r="I50" s="83">
        <f t="shared" si="3"/>
        <v>587.18515624999998</v>
      </c>
      <c r="J50" s="83">
        <f t="shared" si="4"/>
        <v>123.30888281249999</v>
      </c>
      <c r="K50" s="83">
        <f t="shared" si="5"/>
        <v>710.49403906249995</v>
      </c>
      <c r="L50" s="83">
        <f t="shared" si="36"/>
        <v>156.30868859374999</v>
      </c>
      <c r="M50" s="83">
        <f t="shared" si="7"/>
        <v>866.80272765625</v>
      </c>
      <c r="N50" s="83">
        <f t="shared" si="37"/>
        <v>303.38095467968748</v>
      </c>
      <c r="O50" s="99">
        <f t="shared" si="9"/>
        <v>1170.1836823359374</v>
      </c>
      <c r="P50" s="145">
        <f t="shared" si="38"/>
        <v>0</v>
      </c>
      <c r="Q50" s="25">
        <v>14092.44375</v>
      </c>
      <c r="R50" s="125"/>
      <c r="S50" s="1"/>
      <c r="T50" s="1"/>
      <c r="U50" s="1"/>
      <c r="V50" s="1"/>
      <c r="W50" s="1"/>
      <c r="X50" s="1"/>
      <c r="Y50" s="116"/>
      <c r="Z50" s="116"/>
      <c r="AA50" s="116"/>
      <c r="AB50" s="116"/>
      <c r="AC50" s="116"/>
      <c r="AF50">
        <v>11917.5</v>
      </c>
      <c r="AG50">
        <f t="shared" si="10"/>
        <v>0.18250000000000002</v>
      </c>
      <c r="AK50" s="27">
        <v>100021054</v>
      </c>
      <c r="AL50" s="24">
        <v>14092.44375</v>
      </c>
      <c r="AN50" s="114">
        <f t="shared" si="11"/>
        <v>1</v>
      </c>
    </row>
    <row r="51" spans="1:40" x14ac:dyDescent="0.25">
      <c r="A51" s="82">
        <v>100021055</v>
      </c>
      <c r="B51" s="95" t="s">
        <v>53</v>
      </c>
      <c r="C51" s="96">
        <v>7790360965189</v>
      </c>
      <c r="D51" s="97">
        <v>2.04</v>
      </c>
      <c r="E51" s="98">
        <v>24</v>
      </c>
      <c r="F51" s="83">
        <f t="shared" si="35"/>
        <v>14092.44375</v>
      </c>
      <c r="G51" s="100"/>
      <c r="H51" s="83">
        <f t="shared" si="2"/>
        <v>14092.44375</v>
      </c>
      <c r="I51" s="83">
        <f t="shared" si="3"/>
        <v>587.18515624999998</v>
      </c>
      <c r="J51" s="83">
        <f t="shared" si="4"/>
        <v>123.30888281249999</v>
      </c>
      <c r="K51" s="83">
        <f t="shared" si="5"/>
        <v>710.49403906249995</v>
      </c>
      <c r="L51" s="83">
        <f t="shared" si="36"/>
        <v>156.30868859374999</v>
      </c>
      <c r="M51" s="83">
        <f t="shared" si="7"/>
        <v>866.80272765625</v>
      </c>
      <c r="N51" s="83">
        <f t="shared" si="37"/>
        <v>303.38095467968748</v>
      </c>
      <c r="O51" s="99">
        <f t="shared" si="9"/>
        <v>1170.1836823359374</v>
      </c>
      <c r="P51" s="145">
        <f t="shared" si="38"/>
        <v>0</v>
      </c>
      <c r="Q51" s="25">
        <v>14092.44375</v>
      </c>
      <c r="S51" s="1"/>
      <c r="T51" s="1"/>
      <c r="U51" s="1"/>
      <c r="V51" s="1"/>
      <c r="W51" s="1"/>
      <c r="X51" s="1"/>
      <c r="Y51" s="116"/>
      <c r="Z51" s="116"/>
      <c r="AA51" s="116"/>
      <c r="AB51" s="116"/>
      <c r="AC51" s="116"/>
      <c r="AF51">
        <v>11917.5</v>
      </c>
      <c r="AG51">
        <f t="shared" si="10"/>
        <v>0.18250000000000002</v>
      </c>
      <c r="AK51" s="27">
        <v>100021055</v>
      </c>
      <c r="AL51" s="24">
        <v>14092.44375</v>
      </c>
      <c r="AN51" s="114">
        <f t="shared" si="11"/>
        <v>1</v>
      </c>
    </row>
    <row r="52" spans="1:40" x14ac:dyDescent="0.25">
      <c r="A52" s="82">
        <v>100021015</v>
      </c>
      <c r="B52" s="95" t="s">
        <v>54</v>
      </c>
      <c r="C52" s="96">
        <v>7790360965202</v>
      </c>
      <c r="D52" s="97">
        <v>2.04</v>
      </c>
      <c r="E52" s="98">
        <v>24</v>
      </c>
      <c r="F52" s="83">
        <f t="shared" si="35"/>
        <v>14092.44375</v>
      </c>
      <c r="G52" s="100"/>
      <c r="H52" s="83">
        <f t="shared" si="2"/>
        <v>14092.44375</v>
      </c>
      <c r="I52" s="83">
        <f t="shared" si="3"/>
        <v>587.18515624999998</v>
      </c>
      <c r="J52" s="83">
        <f t="shared" si="4"/>
        <v>123.30888281249999</v>
      </c>
      <c r="K52" s="83">
        <f t="shared" si="5"/>
        <v>710.49403906249995</v>
      </c>
      <c r="L52" s="83">
        <f t="shared" si="36"/>
        <v>156.30868859374999</v>
      </c>
      <c r="M52" s="83">
        <f t="shared" si="7"/>
        <v>866.80272765625</v>
      </c>
      <c r="N52" s="83">
        <f t="shared" si="37"/>
        <v>303.38095467968748</v>
      </c>
      <c r="O52" s="99">
        <f t="shared" si="9"/>
        <v>1170.1836823359374</v>
      </c>
      <c r="P52" s="145">
        <f t="shared" si="38"/>
        <v>0</v>
      </c>
      <c r="Q52" s="25">
        <v>14092.44375</v>
      </c>
      <c r="S52" s="1"/>
      <c r="T52" s="1"/>
      <c r="U52" s="1"/>
      <c r="V52" s="1"/>
      <c r="W52" s="1"/>
      <c r="X52" s="1"/>
      <c r="AF52">
        <v>11917.5</v>
      </c>
      <c r="AG52">
        <f t="shared" si="10"/>
        <v>0.18250000000000002</v>
      </c>
      <c r="AK52" s="27">
        <v>100021015</v>
      </c>
      <c r="AL52" s="24">
        <v>14092.44375</v>
      </c>
      <c r="AN52" s="114">
        <f t="shared" si="11"/>
        <v>1</v>
      </c>
    </row>
    <row r="53" spans="1:40" x14ac:dyDescent="0.25">
      <c r="A53" s="82">
        <v>100021008</v>
      </c>
      <c r="B53" s="95" t="s">
        <v>55</v>
      </c>
      <c r="C53" s="96">
        <v>7790360720122</v>
      </c>
      <c r="D53" s="97">
        <v>2.16</v>
      </c>
      <c r="E53" s="98">
        <v>24</v>
      </c>
      <c r="F53" s="83">
        <f t="shared" si="35"/>
        <v>10448.578025943754</v>
      </c>
      <c r="G53" s="113"/>
      <c r="H53" s="83">
        <f>+F53*(1-G53)</f>
        <v>10448.578025943754</v>
      </c>
      <c r="I53" s="83">
        <f t="shared" si="3"/>
        <v>435.35741774765643</v>
      </c>
      <c r="J53" s="83">
        <f t="shared" si="4"/>
        <v>91.42505772700784</v>
      </c>
      <c r="K53" s="83">
        <f t="shared" si="5"/>
        <v>526.78247547466424</v>
      </c>
      <c r="L53" s="83">
        <f t="shared" si="36"/>
        <v>115.89214460442614</v>
      </c>
      <c r="M53" s="83">
        <f t="shared" si="7"/>
        <v>642.67462007909035</v>
      </c>
      <c r="N53" s="83">
        <f t="shared" si="37"/>
        <v>224.9361170276816</v>
      </c>
      <c r="O53" s="99">
        <f t="shared" si="9"/>
        <v>867.61073710677192</v>
      </c>
      <c r="P53" s="145">
        <f t="shared" si="38"/>
        <v>0</v>
      </c>
      <c r="Q53" s="25">
        <v>10448.578025943754</v>
      </c>
      <c r="S53" s="1"/>
      <c r="T53" s="1"/>
      <c r="U53" s="1"/>
      <c r="V53" s="1"/>
      <c r="W53" s="1"/>
      <c r="X53" s="1"/>
      <c r="AF53">
        <v>9046.387901250002</v>
      </c>
      <c r="AG53">
        <f t="shared" si="10"/>
        <v>0.15500000000000022</v>
      </c>
      <c r="AK53" s="27">
        <v>100021008</v>
      </c>
      <c r="AL53" s="24">
        <v>10448.578025943754</v>
      </c>
      <c r="AN53" s="114">
        <f t="shared" si="11"/>
        <v>1</v>
      </c>
    </row>
    <row r="54" spans="1:40" x14ac:dyDescent="0.25">
      <c r="A54" s="82">
        <v>100021009</v>
      </c>
      <c r="B54" s="95" t="s">
        <v>56</v>
      </c>
      <c r="C54" s="96">
        <v>7790360965127</v>
      </c>
      <c r="D54" s="97">
        <v>2.16</v>
      </c>
      <c r="E54" s="98">
        <v>24</v>
      </c>
      <c r="F54" s="83">
        <f t="shared" si="35"/>
        <v>10448.578025943754</v>
      </c>
      <c r="G54" s="100"/>
      <c r="H54" s="83">
        <f t="shared" si="2"/>
        <v>10448.578025943754</v>
      </c>
      <c r="I54" s="83">
        <f t="shared" si="3"/>
        <v>435.35741774765643</v>
      </c>
      <c r="J54" s="83">
        <f t="shared" si="4"/>
        <v>91.42505772700784</v>
      </c>
      <c r="K54" s="83">
        <f t="shared" si="5"/>
        <v>526.78247547466424</v>
      </c>
      <c r="L54" s="83">
        <f t="shared" si="36"/>
        <v>115.89214460442614</v>
      </c>
      <c r="M54" s="83">
        <f t="shared" si="7"/>
        <v>642.67462007909035</v>
      </c>
      <c r="N54" s="83">
        <f t="shared" si="37"/>
        <v>224.9361170276816</v>
      </c>
      <c r="O54" s="99">
        <f t="shared" si="9"/>
        <v>867.61073710677192</v>
      </c>
      <c r="P54" s="145">
        <f t="shared" si="38"/>
        <v>0</v>
      </c>
      <c r="Q54" s="25">
        <v>10448.578025943754</v>
      </c>
      <c r="S54" s="1"/>
      <c r="T54" s="1"/>
      <c r="U54" s="1"/>
      <c r="V54" s="1"/>
      <c r="W54" s="1"/>
      <c r="X54" s="1"/>
      <c r="AF54">
        <v>9046.387901250002</v>
      </c>
      <c r="AG54">
        <f t="shared" si="10"/>
        <v>0.15500000000000022</v>
      </c>
      <c r="AK54" s="27">
        <v>100021009</v>
      </c>
      <c r="AL54" s="24">
        <v>10448.578025943754</v>
      </c>
      <c r="AN54" s="114">
        <f t="shared" si="11"/>
        <v>1</v>
      </c>
    </row>
    <row r="55" spans="1:40" x14ac:dyDescent="0.25">
      <c r="A55" s="27">
        <v>100021010</v>
      </c>
      <c r="B55" s="28" t="s">
        <v>57</v>
      </c>
      <c r="C55" s="21">
        <v>7790920008707</v>
      </c>
      <c r="D55" s="22">
        <v>2.16</v>
      </c>
      <c r="E55" s="23">
        <v>24</v>
      </c>
      <c r="F55" s="24">
        <f t="shared" si="35"/>
        <v>10448.578025943754</v>
      </c>
      <c r="G55" s="23"/>
      <c r="H55" s="24">
        <f t="shared" si="2"/>
        <v>10448.578025943754</v>
      </c>
      <c r="I55" s="24">
        <f t="shared" si="3"/>
        <v>435.35741774765643</v>
      </c>
      <c r="J55" s="24">
        <f t="shared" si="4"/>
        <v>91.42505772700784</v>
      </c>
      <c r="K55" s="24">
        <f t="shared" si="5"/>
        <v>526.78247547466424</v>
      </c>
      <c r="L55" s="24">
        <f t="shared" si="36"/>
        <v>115.89214460442614</v>
      </c>
      <c r="M55" s="24">
        <f t="shared" si="7"/>
        <v>642.67462007909035</v>
      </c>
      <c r="N55" s="24">
        <f t="shared" si="37"/>
        <v>224.9361170276816</v>
      </c>
      <c r="O55" s="25">
        <f t="shared" si="9"/>
        <v>867.61073710677192</v>
      </c>
      <c r="P55" s="145">
        <f t="shared" si="38"/>
        <v>0</v>
      </c>
      <c r="Q55" s="25">
        <v>10448.578025943754</v>
      </c>
      <c r="S55" s="1"/>
      <c r="T55" s="1"/>
      <c r="U55" s="1"/>
      <c r="V55" s="1"/>
      <c r="W55" s="1"/>
      <c r="X55" s="1"/>
      <c r="AF55">
        <v>9046.387901250002</v>
      </c>
      <c r="AG55">
        <f t="shared" si="10"/>
        <v>0.15500000000000022</v>
      </c>
      <c r="AK55" s="27">
        <v>100021010</v>
      </c>
      <c r="AL55" s="24">
        <v>10448.578025943754</v>
      </c>
      <c r="AN55" s="114">
        <f t="shared" si="11"/>
        <v>1</v>
      </c>
    </row>
    <row r="56" spans="1:40" x14ac:dyDescent="0.25">
      <c r="A56" s="27">
        <v>100021011</v>
      </c>
      <c r="B56" s="28" t="s">
        <v>58</v>
      </c>
      <c r="C56" s="21">
        <v>7790920008714</v>
      </c>
      <c r="D56" s="22">
        <v>2.16</v>
      </c>
      <c r="E56" s="23">
        <v>24</v>
      </c>
      <c r="F56" s="24">
        <f t="shared" si="35"/>
        <v>10448.578025943754</v>
      </c>
      <c r="G56" s="23"/>
      <c r="H56" s="24">
        <f t="shared" si="2"/>
        <v>10448.578025943754</v>
      </c>
      <c r="I56" s="24">
        <f t="shared" si="3"/>
        <v>435.35741774765643</v>
      </c>
      <c r="J56" s="24">
        <f t="shared" si="4"/>
        <v>91.42505772700784</v>
      </c>
      <c r="K56" s="24">
        <f t="shared" si="5"/>
        <v>526.78247547466424</v>
      </c>
      <c r="L56" s="24">
        <f t="shared" si="36"/>
        <v>115.89214460442614</v>
      </c>
      <c r="M56" s="24">
        <f t="shared" si="7"/>
        <v>642.67462007909035</v>
      </c>
      <c r="N56" s="24">
        <f t="shared" si="37"/>
        <v>224.9361170276816</v>
      </c>
      <c r="O56" s="25">
        <f t="shared" si="9"/>
        <v>867.61073710677192</v>
      </c>
      <c r="P56" s="145">
        <f t="shared" si="38"/>
        <v>0</v>
      </c>
      <c r="Q56" s="25">
        <v>10448.578025943754</v>
      </c>
      <c r="S56" s="1"/>
      <c r="T56" s="1"/>
      <c r="U56" s="1"/>
      <c r="V56" s="1"/>
      <c r="W56" s="1"/>
      <c r="X56" s="1"/>
      <c r="AF56">
        <v>9046.387901250002</v>
      </c>
      <c r="AG56">
        <f t="shared" si="10"/>
        <v>0.15500000000000022</v>
      </c>
      <c r="AK56" s="27">
        <v>100021011</v>
      </c>
      <c r="AL56" s="24">
        <v>10448.578025943754</v>
      </c>
      <c r="AN56" s="114">
        <f t="shared" si="11"/>
        <v>1</v>
      </c>
    </row>
    <row r="57" spans="1:40" x14ac:dyDescent="0.25">
      <c r="A57" s="32"/>
      <c r="B57" s="33"/>
      <c r="C57" s="34"/>
      <c r="D57" s="33"/>
      <c r="E57" s="35"/>
      <c r="F57" s="36" t="e">
        <f t="shared" si="35"/>
        <v>#N/A</v>
      </c>
      <c r="G57" s="35"/>
      <c r="H57" s="36" t="e">
        <f t="shared" si="2"/>
        <v>#N/A</v>
      </c>
      <c r="I57" s="37" t="e">
        <f t="shared" si="3"/>
        <v>#N/A</v>
      </c>
      <c r="J57" s="38"/>
      <c r="K57" s="37"/>
      <c r="L57" s="38"/>
      <c r="M57" s="37"/>
      <c r="N57" s="38"/>
      <c r="O57" s="39"/>
      <c r="P57" s="145" t="e">
        <f t="shared" si="38"/>
        <v>#N/A</v>
      </c>
      <c r="Q57" s="25" t="e">
        <v>#N/A</v>
      </c>
      <c r="S57" s="1"/>
      <c r="T57" s="1"/>
      <c r="U57" s="1"/>
      <c r="V57" s="1"/>
      <c r="W57" s="1"/>
      <c r="X57" s="1"/>
      <c r="AF57" t="e">
        <v>#N/A</v>
      </c>
      <c r="AG57" t="e">
        <f t="shared" si="10"/>
        <v>#N/A</v>
      </c>
      <c r="AK57" s="32"/>
      <c r="AL57" s="36"/>
      <c r="AN57" s="114" t="e">
        <f t="shared" si="11"/>
        <v>#N/A</v>
      </c>
    </row>
    <row r="58" spans="1:40" x14ac:dyDescent="0.25">
      <c r="A58" s="27">
        <v>100516217</v>
      </c>
      <c r="B58" s="28" t="s">
        <v>59</v>
      </c>
      <c r="C58" s="21">
        <v>7790360967824</v>
      </c>
      <c r="D58" s="22">
        <v>5.8</v>
      </c>
      <c r="E58" s="23">
        <v>20</v>
      </c>
      <c r="F58" s="24">
        <f t="shared" si="35"/>
        <v>25064.674659161818</v>
      </c>
      <c r="G58" s="137"/>
      <c r="H58" s="24">
        <f t="shared" si="2"/>
        <v>25064.674659161818</v>
      </c>
      <c r="I58" s="24">
        <f t="shared" si="3"/>
        <v>1253.233732958091</v>
      </c>
      <c r="J58" s="24">
        <f t="shared" si="4"/>
        <v>263.17908392119909</v>
      </c>
      <c r="K58" s="24">
        <f t="shared" si="5"/>
        <v>1516.4128168792899</v>
      </c>
      <c r="L58" s="24">
        <f t="shared" si="6"/>
        <v>530.74448590775148</v>
      </c>
      <c r="M58" s="24">
        <f t="shared" si="7"/>
        <v>2047.1573027870413</v>
      </c>
      <c r="N58" s="24">
        <f t="shared" si="8"/>
        <v>921.22078625416862</v>
      </c>
      <c r="O58" s="25">
        <f t="shared" si="9"/>
        <v>2968.3780890412099</v>
      </c>
      <c r="P58" s="145">
        <f t="shared" si="38"/>
        <v>3.0000000000000027E-2</v>
      </c>
      <c r="Q58" s="25">
        <v>24334.635591419239</v>
      </c>
      <c r="S58" s="1"/>
      <c r="T58" s="1"/>
      <c r="U58" s="1"/>
      <c r="V58" s="1"/>
      <c r="W58" s="1"/>
      <c r="X58" s="1"/>
      <c r="AF58">
        <v>22937.727958732434</v>
      </c>
      <c r="AG58">
        <f t="shared" si="10"/>
        <v>9.2727000000000059E-2</v>
      </c>
      <c r="AK58" s="27">
        <v>100516217</v>
      </c>
      <c r="AL58" s="24">
        <v>25064.674659161818</v>
      </c>
      <c r="AN58" s="114">
        <f t="shared" si="11"/>
        <v>0.97087378640776689</v>
      </c>
    </row>
    <row r="59" spans="1:40" x14ac:dyDescent="0.25">
      <c r="A59" s="82">
        <v>100516214</v>
      </c>
      <c r="B59" s="95" t="s">
        <v>60</v>
      </c>
      <c r="C59" s="96">
        <v>7790360967794</v>
      </c>
      <c r="D59" s="97">
        <v>7</v>
      </c>
      <c r="E59" s="98">
        <v>20</v>
      </c>
      <c r="F59" s="83">
        <f t="shared" si="35"/>
        <v>35086.224009740821</v>
      </c>
      <c r="G59" s="94">
        <v>0.05</v>
      </c>
      <c r="H59" s="83">
        <f t="shared" si="2"/>
        <v>33331.912809253779</v>
      </c>
      <c r="I59" s="83">
        <f t="shared" si="3"/>
        <v>1666.5956404626891</v>
      </c>
      <c r="J59" s="83">
        <f t="shared" si="4"/>
        <v>349.98508449716468</v>
      </c>
      <c r="K59" s="83">
        <f t="shared" si="5"/>
        <v>2016.5807249598538</v>
      </c>
      <c r="L59" s="83">
        <f t="shared" si="6"/>
        <v>705.80325373594883</v>
      </c>
      <c r="M59" s="83">
        <f t="shared" si="7"/>
        <v>2722.3839786958024</v>
      </c>
      <c r="N59" s="83">
        <f t="shared" si="8"/>
        <v>1225.0727904131111</v>
      </c>
      <c r="O59" s="99">
        <f t="shared" si="9"/>
        <v>3947.4567691089132</v>
      </c>
      <c r="P59" s="145">
        <f t="shared" si="38"/>
        <v>0</v>
      </c>
      <c r="Q59" s="25">
        <v>33331.912809253779</v>
      </c>
      <c r="S59" s="1" t="s">
        <v>131</v>
      </c>
      <c r="T59" s="1"/>
      <c r="U59" s="1"/>
      <c r="V59" s="1"/>
      <c r="W59" s="1"/>
      <c r="X59" s="1"/>
      <c r="AF59">
        <v>31418.524657605598</v>
      </c>
      <c r="AG59">
        <f t="shared" si="10"/>
        <v>6.0900000000000017E-2</v>
      </c>
      <c r="AK59" s="27">
        <v>100516214</v>
      </c>
      <c r="AL59" s="24">
        <v>35086.224009740821</v>
      </c>
      <c r="AN59" s="114">
        <f t="shared" si="11"/>
        <v>1</v>
      </c>
    </row>
    <row r="60" spans="1:40" x14ac:dyDescent="0.25">
      <c r="A60" s="82">
        <v>100516215</v>
      </c>
      <c r="B60" s="95" t="s">
        <v>61</v>
      </c>
      <c r="C60" s="96">
        <v>7790360967800</v>
      </c>
      <c r="D60" s="97">
        <v>7</v>
      </c>
      <c r="E60" s="98">
        <v>20</v>
      </c>
      <c r="F60" s="83">
        <f t="shared" si="35"/>
        <v>35086.224009740821</v>
      </c>
      <c r="G60" s="94">
        <v>0.05</v>
      </c>
      <c r="H60" s="83">
        <f t="shared" si="2"/>
        <v>33331.912809253779</v>
      </c>
      <c r="I60" s="83">
        <f t="shared" si="3"/>
        <v>1666.5956404626891</v>
      </c>
      <c r="J60" s="83">
        <f t="shared" si="4"/>
        <v>349.98508449716468</v>
      </c>
      <c r="K60" s="83">
        <f t="shared" si="5"/>
        <v>2016.5807249598538</v>
      </c>
      <c r="L60" s="83">
        <f t="shared" si="6"/>
        <v>705.80325373594883</v>
      </c>
      <c r="M60" s="83">
        <f t="shared" si="7"/>
        <v>2722.3839786958024</v>
      </c>
      <c r="N60" s="83">
        <f t="shared" si="8"/>
        <v>1225.0727904131111</v>
      </c>
      <c r="O60" s="99">
        <f t="shared" si="9"/>
        <v>3947.4567691089132</v>
      </c>
      <c r="P60" s="145">
        <f t="shared" si="38"/>
        <v>0</v>
      </c>
      <c r="Q60" s="25">
        <v>33331.912809253779</v>
      </c>
      <c r="S60" s="1" t="s">
        <v>131</v>
      </c>
      <c r="T60" s="1"/>
      <c r="U60" s="1"/>
      <c r="V60" s="1"/>
      <c r="W60" s="1"/>
      <c r="X60" s="1"/>
      <c r="AF60">
        <v>31418.524657605598</v>
      </c>
      <c r="AG60">
        <f t="shared" si="10"/>
        <v>6.0900000000000017E-2</v>
      </c>
      <c r="AK60" s="27">
        <v>100516215</v>
      </c>
      <c r="AL60" s="24">
        <v>35086.224009740821</v>
      </c>
      <c r="AN60" s="114">
        <f t="shared" si="11"/>
        <v>1</v>
      </c>
    </row>
    <row r="61" spans="1:40" x14ac:dyDescent="0.25">
      <c r="A61" s="82">
        <v>100516216</v>
      </c>
      <c r="B61" s="95" t="s">
        <v>62</v>
      </c>
      <c r="C61" s="96">
        <v>7790360967817</v>
      </c>
      <c r="D61" s="97">
        <v>7</v>
      </c>
      <c r="E61" s="98">
        <v>20</v>
      </c>
      <c r="F61" s="83">
        <f t="shared" si="35"/>
        <v>35086.224009740821</v>
      </c>
      <c r="G61" s="94">
        <v>0.05</v>
      </c>
      <c r="H61" s="83">
        <f t="shared" si="2"/>
        <v>33331.912809253779</v>
      </c>
      <c r="I61" s="83">
        <f t="shared" si="3"/>
        <v>1666.5956404626891</v>
      </c>
      <c r="J61" s="83">
        <f t="shared" si="4"/>
        <v>349.98508449716468</v>
      </c>
      <c r="K61" s="83">
        <f t="shared" si="5"/>
        <v>2016.5807249598538</v>
      </c>
      <c r="L61" s="83">
        <f t="shared" si="6"/>
        <v>705.80325373594883</v>
      </c>
      <c r="M61" s="83">
        <f t="shared" si="7"/>
        <v>2722.3839786958024</v>
      </c>
      <c r="N61" s="83">
        <f t="shared" si="8"/>
        <v>1225.0727904131111</v>
      </c>
      <c r="O61" s="99">
        <f t="shared" si="9"/>
        <v>3947.4567691089132</v>
      </c>
      <c r="P61" s="145">
        <f t="shared" si="38"/>
        <v>0</v>
      </c>
      <c r="Q61" s="25">
        <v>33331.912809253779</v>
      </c>
      <c r="S61" s="1" t="s">
        <v>131</v>
      </c>
      <c r="T61" s="1"/>
      <c r="U61" s="1"/>
      <c r="V61" s="1"/>
      <c r="W61" s="1"/>
      <c r="X61" s="1"/>
      <c r="AF61">
        <v>31418.524657605598</v>
      </c>
      <c r="AG61">
        <f t="shared" si="10"/>
        <v>6.0900000000000017E-2</v>
      </c>
      <c r="AK61" s="27">
        <v>100516216</v>
      </c>
      <c r="AL61" s="24">
        <v>35086.224009740821</v>
      </c>
      <c r="AN61" s="114">
        <f t="shared" si="11"/>
        <v>1</v>
      </c>
    </row>
    <row r="62" spans="1:40" x14ac:dyDescent="0.25">
      <c r="A62" s="32"/>
      <c r="B62" s="33"/>
      <c r="C62" s="34"/>
      <c r="D62" s="33"/>
      <c r="E62" s="35"/>
      <c r="F62" s="36" t="e">
        <f t="shared" si="35"/>
        <v>#N/A</v>
      </c>
      <c r="G62" s="126"/>
      <c r="H62" s="36" t="e">
        <f t="shared" si="2"/>
        <v>#N/A</v>
      </c>
      <c r="I62" s="37" t="e">
        <f t="shared" si="3"/>
        <v>#N/A</v>
      </c>
      <c r="J62" s="38"/>
      <c r="K62" s="37"/>
      <c r="L62" s="38"/>
      <c r="M62" s="37"/>
      <c r="N62" s="38"/>
      <c r="O62" s="39"/>
      <c r="P62" s="145" t="e">
        <f t="shared" si="38"/>
        <v>#N/A</v>
      </c>
      <c r="Q62" s="25" t="e">
        <v>#N/A</v>
      </c>
      <c r="S62" s="1"/>
      <c r="T62" s="1"/>
      <c r="U62" s="1"/>
      <c r="V62" s="1"/>
      <c r="W62" s="1"/>
      <c r="X62" s="1"/>
      <c r="AF62" t="e">
        <v>#N/A</v>
      </c>
      <c r="AG62" t="e">
        <f t="shared" si="10"/>
        <v>#N/A</v>
      </c>
      <c r="AK62" s="32"/>
      <c r="AL62" s="36"/>
      <c r="AN62" s="114" t="e">
        <f t="shared" si="11"/>
        <v>#N/A</v>
      </c>
    </row>
    <row r="63" spans="1:40" x14ac:dyDescent="0.25">
      <c r="A63" s="27">
        <v>100021704</v>
      </c>
      <c r="B63" s="28" t="s">
        <v>63</v>
      </c>
      <c r="C63" s="21">
        <v>7790360023902</v>
      </c>
      <c r="D63" s="22">
        <f>12*0.38</f>
        <v>4.5600000000000005</v>
      </c>
      <c r="E63" s="23">
        <v>12</v>
      </c>
      <c r="F63" s="24">
        <f t="shared" si="35"/>
        <v>37686.635793333073</v>
      </c>
      <c r="G63" s="127"/>
      <c r="H63" s="24">
        <f t="shared" si="2"/>
        <v>37686.635793333073</v>
      </c>
      <c r="I63" s="24">
        <f t="shared" si="3"/>
        <v>3140.5529827777559</v>
      </c>
      <c r="J63" s="24">
        <f t="shared" si="4"/>
        <v>659.5161263833287</v>
      </c>
      <c r="K63" s="24">
        <f t="shared" si="5"/>
        <v>3800.0691091610847</v>
      </c>
      <c r="L63" s="24">
        <f t="shared" si="6"/>
        <v>1330.0241882063797</v>
      </c>
      <c r="M63" s="24">
        <f t="shared" si="7"/>
        <v>5130.0932973674644</v>
      </c>
      <c r="N63" s="24">
        <f t="shared" si="8"/>
        <v>2308.5419838153589</v>
      </c>
      <c r="O63" s="25">
        <f t="shared" si="9"/>
        <v>7438.6352811828237</v>
      </c>
      <c r="P63" s="145">
        <f t="shared" si="38"/>
        <v>0</v>
      </c>
      <c r="Q63" s="25">
        <v>37686.635793333073</v>
      </c>
      <c r="S63" s="1"/>
      <c r="T63" s="1"/>
      <c r="U63" s="1"/>
      <c r="V63" s="1"/>
      <c r="W63" s="1"/>
      <c r="X63" s="1"/>
      <c r="AF63">
        <v>35892.034088888642</v>
      </c>
      <c r="AG63">
        <f t="shared" si="10"/>
        <v>4.9999999999999961E-2</v>
      </c>
      <c r="AK63" s="27">
        <v>100021704</v>
      </c>
      <c r="AL63" s="24">
        <v>37686.635793333073</v>
      </c>
      <c r="AN63" s="114">
        <f t="shared" si="11"/>
        <v>1</v>
      </c>
    </row>
    <row r="64" spans="1:40" x14ac:dyDescent="0.25">
      <c r="A64" s="27">
        <v>100021705</v>
      </c>
      <c r="B64" s="28" t="s">
        <v>64</v>
      </c>
      <c r="C64" s="21">
        <v>7790360024336</v>
      </c>
      <c r="D64" s="22">
        <f>12*0.38</f>
        <v>4.5600000000000005</v>
      </c>
      <c r="E64" s="23">
        <v>12</v>
      </c>
      <c r="F64" s="24">
        <f t="shared" si="35"/>
        <v>34258.028957143353</v>
      </c>
      <c r="G64" s="127"/>
      <c r="H64" s="24">
        <f t="shared" si="2"/>
        <v>34258.028957143353</v>
      </c>
      <c r="I64" s="24">
        <f t="shared" si="3"/>
        <v>2854.8357464286128</v>
      </c>
      <c r="J64" s="24">
        <f t="shared" si="4"/>
        <v>599.51550675000863</v>
      </c>
      <c r="K64" s="24">
        <f t="shared" si="5"/>
        <v>3454.3512531786214</v>
      </c>
      <c r="L64" s="24">
        <f t="shared" si="6"/>
        <v>1209.0229386125175</v>
      </c>
      <c r="M64" s="24">
        <f t="shared" si="7"/>
        <v>4663.3741917911393</v>
      </c>
      <c r="N64" s="24">
        <f t="shared" si="8"/>
        <v>2098.5183863060129</v>
      </c>
      <c r="O64" s="25">
        <f t="shared" si="9"/>
        <v>6761.8925780971522</v>
      </c>
      <c r="P64" s="145">
        <f t="shared" si="38"/>
        <v>0</v>
      </c>
      <c r="Q64" s="25">
        <v>34258.028957143353</v>
      </c>
      <c r="S64" s="1"/>
      <c r="T64" s="1"/>
      <c r="U64" s="1"/>
      <c r="V64" s="1"/>
      <c r="W64" s="1"/>
      <c r="X64" s="1"/>
      <c r="AF64">
        <v>32626.694244898434</v>
      </c>
      <c r="AG64">
        <f t="shared" si="10"/>
        <v>4.9999999999999933E-2</v>
      </c>
      <c r="AK64" s="27">
        <v>100021705</v>
      </c>
      <c r="AL64" s="24">
        <v>34258.028957143353</v>
      </c>
      <c r="AN64" s="114">
        <f t="shared" si="11"/>
        <v>1</v>
      </c>
    </row>
    <row r="65" spans="1:40" x14ac:dyDescent="0.25">
      <c r="A65" s="27">
        <v>100021709</v>
      </c>
      <c r="B65" s="28" t="s">
        <v>65</v>
      </c>
      <c r="C65" s="21">
        <v>7790360024701</v>
      </c>
      <c r="D65" s="22">
        <v>7.6</v>
      </c>
      <c r="E65" s="23">
        <v>10</v>
      </c>
      <c r="F65" s="24">
        <f t="shared" si="35"/>
        <v>54972.169577320434</v>
      </c>
      <c r="G65" s="128"/>
      <c r="H65" s="24">
        <f t="shared" si="2"/>
        <v>54972.169577320434</v>
      </c>
      <c r="I65" s="24">
        <f t="shared" si="3"/>
        <v>5497.2169577320437</v>
      </c>
      <c r="J65" s="24">
        <f t="shared" si="4"/>
        <v>1154.415561123729</v>
      </c>
      <c r="K65" s="24">
        <f t="shared" si="5"/>
        <v>6651.632518855773</v>
      </c>
      <c r="L65" s="24">
        <f t="shared" si="6"/>
        <v>2328.0713815995205</v>
      </c>
      <c r="M65" s="24">
        <f t="shared" si="7"/>
        <v>8979.7039004552935</v>
      </c>
      <c r="N65" s="24">
        <f t="shared" si="8"/>
        <v>4040.8667552048823</v>
      </c>
      <c r="O65" s="25">
        <f t="shared" si="9"/>
        <v>13020.570655660176</v>
      </c>
      <c r="P65" s="145">
        <f t="shared" si="38"/>
        <v>0</v>
      </c>
      <c r="Q65" s="25">
        <v>54972.169577320434</v>
      </c>
      <c r="S65" s="1"/>
      <c r="T65" s="1"/>
      <c r="U65" s="1"/>
      <c r="V65" s="1"/>
      <c r="W65" s="1"/>
      <c r="X65" s="1"/>
      <c r="AF65">
        <v>43626.960865505825</v>
      </c>
      <c r="AG65">
        <f t="shared" si="10"/>
        <v>0.26005040201608065</v>
      </c>
      <c r="AK65" s="27">
        <v>100021709</v>
      </c>
      <c r="AL65" s="24">
        <v>54972.169577320434</v>
      </c>
      <c r="AN65" s="114">
        <f t="shared" si="11"/>
        <v>1</v>
      </c>
    </row>
    <row r="66" spans="1:40" x14ac:dyDescent="0.25">
      <c r="A66" s="82">
        <v>100521357</v>
      </c>
      <c r="B66" s="95" t="s">
        <v>110</v>
      </c>
      <c r="C66" s="96">
        <v>7790360982018</v>
      </c>
      <c r="D66" s="97">
        <v>4.5599999999999996</v>
      </c>
      <c r="E66" s="98">
        <v>12</v>
      </c>
      <c r="F66" s="83">
        <f t="shared" si="35"/>
        <v>44177.826000000015</v>
      </c>
      <c r="G66" s="113">
        <v>0.33</v>
      </c>
      <c r="H66" s="83">
        <f t="shared" si="2"/>
        <v>29599.143420000008</v>
      </c>
      <c r="I66" s="83">
        <f t="shared" ref="I66:I68" si="47">+H66/E66</f>
        <v>2466.5952850000008</v>
      </c>
      <c r="J66" s="83">
        <f t="shared" ref="J66:J68" si="48">+I66*J$3</f>
        <v>517.9850098500001</v>
      </c>
      <c r="K66" s="83">
        <f t="shared" ref="K66:K68" si="49">+I66+J66</f>
        <v>2984.5802948500009</v>
      </c>
      <c r="L66" s="83">
        <f t="shared" ref="L66:L68" si="50">+K66*L$3</f>
        <v>1044.6031031975003</v>
      </c>
      <c r="M66" s="83">
        <f t="shared" ref="M66:M68" si="51">+K66+L66</f>
        <v>4029.1833980475012</v>
      </c>
      <c r="N66" s="83">
        <f t="shared" ref="N66:N68" si="52">+M66*N$3</f>
        <v>1813.1325291213757</v>
      </c>
      <c r="O66" s="99">
        <f t="shared" ref="O66:O68" si="53">+M66+N66</f>
        <v>5842.3159271688764</v>
      </c>
      <c r="P66" s="145">
        <f t="shared" si="38"/>
        <v>0</v>
      </c>
      <c r="Q66" s="25">
        <v>29599.143420000008</v>
      </c>
      <c r="S66" s="152" t="s">
        <v>132</v>
      </c>
      <c r="T66" s="1"/>
      <c r="U66" s="1"/>
      <c r="V66" s="1"/>
      <c r="W66" s="1"/>
      <c r="X66" s="1"/>
      <c r="AF66">
        <v>42074.12000000001</v>
      </c>
      <c r="AG66">
        <f t="shared" si="10"/>
        <v>-0.29649999999999999</v>
      </c>
      <c r="AK66" s="27">
        <v>100521357</v>
      </c>
      <c r="AL66" s="24">
        <v>44177.826000000015</v>
      </c>
      <c r="AN66" s="114">
        <f t="shared" si="11"/>
        <v>1</v>
      </c>
    </row>
    <row r="67" spans="1:40" hidden="1" x14ac:dyDescent="0.25">
      <c r="A67" s="27">
        <v>100521358</v>
      </c>
      <c r="B67" s="28" t="s">
        <v>114</v>
      </c>
      <c r="C67" s="21">
        <v>7790360982025</v>
      </c>
      <c r="D67" s="22">
        <v>7.6</v>
      </c>
      <c r="E67" s="23">
        <v>10</v>
      </c>
      <c r="F67" s="24">
        <f t="shared" si="35"/>
        <v>66266.739000000016</v>
      </c>
      <c r="G67" s="128"/>
      <c r="H67" s="24">
        <f t="shared" ref="H67" si="54">+F67*(1-G67)</f>
        <v>66266.739000000016</v>
      </c>
      <c r="I67" s="24">
        <f t="shared" si="47"/>
        <v>6626.6739000000016</v>
      </c>
      <c r="J67" s="24">
        <f t="shared" si="48"/>
        <v>1391.6015190000003</v>
      </c>
      <c r="K67" s="24">
        <f t="shared" si="49"/>
        <v>8018.2754190000014</v>
      </c>
      <c r="L67" s="24">
        <f t="shared" si="50"/>
        <v>2806.3963966500005</v>
      </c>
      <c r="M67" s="24">
        <f t="shared" si="51"/>
        <v>10824.671815650003</v>
      </c>
      <c r="N67" s="24">
        <f t="shared" si="52"/>
        <v>4871.1023170425015</v>
      </c>
      <c r="O67" s="25">
        <f t="shared" si="53"/>
        <v>15695.774132692504</v>
      </c>
      <c r="P67" s="145" t="e">
        <f t="shared" si="38"/>
        <v>#N/A</v>
      </c>
      <c r="Q67" s="25" t="e">
        <v>#N/A</v>
      </c>
      <c r="S67" s="1"/>
      <c r="T67" s="1"/>
      <c r="U67" s="1"/>
      <c r="V67" s="1"/>
      <c r="W67" s="1"/>
      <c r="X67" s="1"/>
      <c r="Y67" t="s">
        <v>122</v>
      </c>
      <c r="Z67" t="s">
        <v>115</v>
      </c>
      <c r="AA67" t="s">
        <v>123</v>
      </c>
      <c r="AF67">
        <v>63111.180000000008</v>
      </c>
      <c r="AG67">
        <f t="shared" si="10"/>
        <v>5.0000000000000128E-2</v>
      </c>
      <c r="AK67" s="27">
        <v>100521358</v>
      </c>
      <c r="AL67" s="24">
        <v>66266.739000000016</v>
      </c>
      <c r="AN67" s="114" t="e">
        <f t="shared" si="11"/>
        <v>#N/A</v>
      </c>
    </row>
    <row r="68" spans="1:40" x14ac:dyDescent="0.25">
      <c r="A68" s="27">
        <v>100522130</v>
      </c>
      <c r="B68" s="28" t="s">
        <v>111</v>
      </c>
      <c r="C68" s="21">
        <v>7790360982445</v>
      </c>
      <c r="D68" s="22">
        <v>4.8</v>
      </c>
      <c r="E68" s="23">
        <v>12</v>
      </c>
      <c r="F68" s="24">
        <f t="shared" si="35"/>
        <v>34685.797261500011</v>
      </c>
      <c r="G68" s="128"/>
      <c r="H68" s="24">
        <f t="shared" si="2"/>
        <v>34685.797261500011</v>
      </c>
      <c r="I68" s="24">
        <f t="shared" si="47"/>
        <v>2890.4831051250007</v>
      </c>
      <c r="J68" s="24">
        <f t="shared" si="48"/>
        <v>607.00145207625019</v>
      </c>
      <c r="K68" s="24">
        <f t="shared" si="49"/>
        <v>3497.4845572012509</v>
      </c>
      <c r="L68" s="24">
        <f t="shared" si="50"/>
        <v>1224.1195950204378</v>
      </c>
      <c r="M68" s="24">
        <f t="shared" si="51"/>
        <v>4721.6041522216892</v>
      </c>
      <c r="N68" s="24">
        <f t="shared" si="52"/>
        <v>2124.7218684997601</v>
      </c>
      <c r="O68" s="154">
        <f t="shared" si="53"/>
        <v>6846.3260207214498</v>
      </c>
      <c r="P68" s="145">
        <f t="shared" si="38"/>
        <v>5.0000000000000044E-2</v>
      </c>
      <c r="Q68" s="25">
        <v>33034.092630000006</v>
      </c>
      <c r="S68" s="1"/>
      <c r="T68" s="1"/>
      <c r="U68" s="1"/>
      <c r="V68" s="1"/>
      <c r="W68" s="1"/>
      <c r="X68" s="1"/>
      <c r="Y68" s="115">
        <v>5250</v>
      </c>
      <c r="Z68" s="118">
        <v>5560</v>
      </c>
      <c r="AA68" s="118">
        <v>7192</v>
      </c>
      <c r="AF68">
        <v>25331.686773693044</v>
      </c>
      <c r="AG68">
        <f t="shared" si="10"/>
        <v>0.36926520414428982</v>
      </c>
      <c r="AK68" s="27">
        <v>100522130</v>
      </c>
      <c r="AL68" s="24">
        <v>34685.797261500011</v>
      </c>
      <c r="AN68" s="114">
        <f t="shared" si="11"/>
        <v>0.95238095238095222</v>
      </c>
    </row>
    <row r="69" spans="1:40" x14ac:dyDescent="0.25">
      <c r="A69" s="41">
        <v>100021725</v>
      </c>
      <c r="B69" s="42" t="s">
        <v>66</v>
      </c>
      <c r="C69" s="43">
        <v>7790360027009</v>
      </c>
      <c r="D69" s="44">
        <v>6</v>
      </c>
      <c r="E69" s="45">
        <v>4</v>
      </c>
      <c r="F69" s="46">
        <f t="shared" ref="F69:F104" si="55">+VLOOKUP(A69,$AK$4:$AL$108,2,FALSE)</f>
        <v>28414.154467175089</v>
      </c>
      <c r="G69" s="129"/>
      <c r="H69" s="46">
        <f t="shared" si="2"/>
        <v>28414.154467175089</v>
      </c>
      <c r="I69" s="46">
        <f t="shared" si="3"/>
        <v>7103.5386167937722</v>
      </c>
      <c r="J69" s="46">
        <f t="shared" si="4"/>
        <v>1491.743109526692</v>
      </c>
      <c r="K69" s="46">
        <f t="shared" si="5"/>
        <v>8595.2817263204633</v>
      </c>
      <c r="L69" s="46">
        <f t="shared" si="6"/>
        <v>3008.3486042121622</v>
      </c>
      <c r="M69" s="46">
        <f t="shared" si="7"/>
        <v>11603.630330532626</v>
      </c>
      <c r="N69" s="46">
        <f t="shared" si="8"/>
        <v>5221.633648739682</v>
      </c>
      <c r="O69" s="47">
        <f t="shared" si="9"/>
        <v>16825.263979272306</v>
      </c>
      <c r="P69" s="145">
        <f t="shared" si="38"/>
        <v>0</v>
      </c>
      <c r="Q69" s="25">
        <v>28414.154467175089</v>
      </c>
      <c r="S69" s="1"/>
      <c r="T69" s="1"/>
      <c r="U69" s="1"/>
      <c r="V69" s="1"/>
      <c r="W69" s="1"/>
      <c r="X69" s="1"/>
      <c r="AF69">
        <v>27061.099492547703</v>
      </c>
      <c r="AG69">
        <f t="shared" si="10"/>
        <v>5.0000000000000044E-2</v>
      </c>
      <c r="AK69" s="41">
        <v>100021725</v>
      </c>
      <c r="AL69" s="46">
        <v>28414.154467175089</v>
      </c>
      <c r="AN69" s="114">
        <f t="shared" si="11"/>
        <v>1</v>
      </c>
    </row>
    <row r="70" spans="1:40" x14ac:dyDescent="0.25">
      <c r="A70" s="27">
        <v>100517055</v>
      </c>
      <c r="B70" s="28" t="s">
        <v>67</v>
      </c>
      <c r="C70" s="21">
        <v>7790360971135</v>
      </c>
      <c r="D70" s="22">
        <v>3.12</v>
      </c>
      <c r="E70" s="23">
        <v>12</v>
      </c>
      <c r="F70" s="24">
        <f t="shared" si="55"/>
        <v>28376.008182673599</v>
      </c>
      <c r="G70" s="127"/>
      <c r="H70" s="24">
        <f t="shared" si="2"/>
        <v>28376.008182673599</v>
      </c>
      <c r="I70" s="24">
        <f t="shared" si="3"/>
        <v>2364.6673485561332</v>
      </c>
      <c r="J70" s="24">
        <f t="shared" si="4"/>
        <v>496.58014319678796</v>
      </c>
      <c r="K70" s="24">
        <f t="shared" si="5"/>
        <v>2861.2474917529212</v>
      </c>
      <c r="L70" s="24">
        <f t="shared" si="6"/>
        <v>1001.4366221135224</v>
      </c>
      <c r="M70" s="24">
        <f t="shared" si="7"/>
        <v>3862.6841138664436</v>
      </c>
      <c r="N70" s="24">
        <f t="shared" si="8"/>
        <v>1738.2078512398996</v>
      </c>
      <c r="O70" s="25">
        <f t="shared" si="9"/>
        <v>5600.8919651063434</v>
      </c>
      <c r="P70" s="145">
        <f t="shared" si="38"/>
        <v>0</v>
      </c>
      <c r="Q70" s="25">
        <v>28376.008182673599</v>
      </c>
      <c r="S70" s="1"/>
      <c r="T70" s="1"/>
      <c r="U70" s="1"/>
      <c r="V70" s="1"/>
      <c r="W70" s="1"/>
      <c r="X70" s="1"/>
      <c r="AF70">
        <v>27024.769697784377</v>
      </c>
      <c r="AG70">
        <f t="shared" si="10"/>
        <v>5.00000000000001E-2</v>
      </c>
      <c r="AK70" s="27">
        <v>100517055</v>
      </c>
      <c r="AL70" s="24">
        <v>28376.008182673599</v>
      </c>
      <c r="AN70" s="114">
        <f t="shared" si="11"/>
        <v>1</v>
      </c>
    </row>
    <row r="71" spans="1:40" x14ac:dyDescent="0.25">
      <c r="A71" s="27">
        <v>100517186</v>
      </c>
      <c r="B71" s="28" t="s">
        <v>68</v>
      </c>
      <c r="C71" s="21">
        <v>7790360971395</v>
      </c>
      <c r="D71" s="22">
        <v>8</v>
      </c>
      <c r="E71" s="23">
        <v>8</v>
      </c>
      <c r="F71" s="24">
        <f t="shared" si="55"/>
        <v>71701.328698938174</v>
      </c>
      <c r="G71" s="127"/>
      <c r="H71" s="24">
        <f t="shared" si="2"/>
        <v>71701.328698938174</v>
      </c>
      <c r="I71" s="24">
        <f t="shared" si="3"/>
        <v>8962.6660873672718</v>
      </c>
      <c r="J71" s="24">
        <f t="shared" si="4"/>
        <v>1882.159878347127</v>
      </c>
      <c r="K71" s="24">
        <f t="shared" si="5"/>
        <v>10844.825965714399</v>
      </c>
      <c r="L71" s="24">
        <f t="shared" si="6"/>
        <v>3795.6890880000392</v>
      </c>
      <c r="M71" s="24">
        <f t="shared" si="7"/>
        <v>14640.515053714438</v>
      </c>
      <c r="N71" s="24">
        <f t="shared" si="8"/>
        <v>6588.2317741714969</v>
      </c>
      <c r="O71" s="25">
        <f t="shared" si="9"/>
        <v>21228.746827885934</v>
      </c>
      <c r="P71" s="145">
        <f t="shared" si="38"/>
        <v>0</v>
      </c>
      <c r="Q71" s="25">
        <v>71701.328698938174</v>
      </c>
      <c r="S71" s="1"/>
      <c r="T71" s="1"/>
      <c r="U71" s="1"/>
      <c r="V71" s="1"/>
      <c r="W71" s="1"/>
      <c r="X71" s="1"/>
      <c r="AF71">
        <v>68286.979713274442</v>
      </c>
      <c r="AG71">
        <f t="shared" si="10"/>
        <v>5.0000000000000142E-2</v>
      </c>
      <c r="AK71" s="27">
        <v>100517186</v>
      </c>
      <c r="AL71" s="24">
        <v>71701.328698938174</v>
      </c>
      <c r="AN71" s="114">
        <f t="shared" si="11"/>
        <v>1</v>
      </c>
    </row>
    <row r="72" spans="1:40" x14ac:dyDescent="0.25">
      <c r="A72" s="119">
        <v>100521663</v>
      </c>
      <c r="B72" s="120" t="s">
        <v>112</v>
      </c>
      <c r="C72" s="96">
        <v>7790360982537</v>
      </c>
      <c r="D72" s="97">
        <v>4.8</v>
      </c>
      <c r="E72" s="98">
        <v>12</v>
      </c>
      <c r="F72" s="83">
        <v>37997.53</v>
      </c>
      <c r="G72" s="113">
        <v>0.33</v>
      </c>
      <c r="H72" s="83">
        <f t="shared" ref="H72" si="56">+F72*(1-G72)</f>
        <v>25458.345099999995</v>
      </c>
      <c r="I72" s="83">
        <f t="shared" si="3"/>
        <v>2121.5287583333329</v>
      </c>
      <c r="J72" s="83">
        <f t="shared" si="4"/>
        <v>445.52103924999989</v>
      </c>
      <c r="K72" s="83">
        <f t="shared" si="5"/>
        <v>2567.0497975833327</v>
      </c>
      <c r="L72" s="83">
        <f>+K72*0.343</f>
        <v>880.49808057108316</v>
      </c>
      <c r="M72" s="83">
        <f t="shared" si="7"/>
        <v>3447.5478781544161</v>
      </c>
      <c r="N72" s="83">
        <f t="shared" si="8"/>
        <v>1551.3965451694874</v>
      </c>
      <c r="O72" s="99">
        <f t="shared" si="9"/>
        <v>4998.9444233239037</v>
      </c>
      <c r="P72" s="145">
        <f t="shared" si="38"/>
        <v>0</v>
      </c>
      <c r="Q72" s="25">
        <v>25458.345099999995</v>
      </c>
      <c r="S72" s="152" t="s">
        <v>132</v>
      </c>
      <c r="T72" s="1"/>
      <c r="U72" s="1"/>
      <c r="V72" s="1"/>
      <c r="W72" s="1"/>
      <c r="X72" s="1"/>
      <c r="Y72" s="81"/>
      <c r="AF72">
        <v>42746.880000000005</v>
      </c>
      <c r="AK72" s="79">
        <v>100521663</v>
      </c>
      <c r="AL72" s="24">
        <v>37997.530160539558</v>
      </c>
      <c r="AN72" s="114">
        <f t="shared" ref="AN72:AN107" si="57">+Q72/H72</f>
        <v>1</v>
      </c>
    </row>
    <row r="73" spans="1:40" x14ac:dyDescent="0.25">
      <c r="A73" s="41">
        <v>100021728</v>
      </c>
      <c r="B73" s="42" t="s">
        <v>69</v>
      </c>
      <c r="C73" s="43">
        <v>7790360967558</v>
      </c>
      <c r="D73" s="44">
        <v>3.84</v>
      </c>
      <c r="E73" s="45">
        <v>12</v>
      </c>
      <c r="F73" s="46">
        <f t="shared" si="55"/>
        <v>35669.864673345204</v>
      </c>
      <c r="G73" s="129"/>
      <c r="H73" s="46">
        <f t="shared" si="2"/>
        <v>35669.864673345204</v>
      </c>
      <c r="I73" s="46">
        <f t="shared" si="3"/>
        <v>2972.4887227787672</v>
      </c>
      <c r="J73" s="46">
        <f t="shared" si="4"/>
        <v>624.22263178354103</v>
      </c>
      <c r="K73" s="46">
        <f t="shared" si="5"/>
        <v>3596.7113545623083</v>
      </c>
      <c r="L73" s="46">
        <f t="shared" si="6"/>
        <v>1258.8489740968078</v>
      </c>
      <c r="M73" s="46">
        <f t="shared" si="7"/>
        <v>4855.5603286591158</v>
      </c>
      <c r="N73" s="46">
        <f t="shared" si="8"/>
        <v>2185.0021478966023</v>
      </c>
      <c r="O73" s="47">
        <f t="shared" si="9"/>
        <v>7040.5624765557186</v>
      </c>
      <c r="P73" s="145">
        <f t="shared" si="38"/>
        <v>0</v>
      </c>
      <c r="Q73" s="25">
        <v>35669.864673345204</v>
      </c>
      <c r="S73" s="1"/>
      <c r="T73" s="1"/>
      <c r="U73" s="1"/>
      <c r="V73" s="1"/>
      <c r="W73" s="1"/>
      <c r="X73" s="1"/>
      <c r="AF73">
        <v>33971.299688900195</v>
      </c>
      <c r="AG73">
        <f t="shared" si="10"/>
        <v>4.9999999999999982E-2</v>
      </c>
      <c r="AK73" s="41">
        <v>100021728</v>
      </c>
      <c r="AL73" s="46">
        <v>35669.864673345204</v>
      </c>
      <c r="AN73" s="114">
        <f t="shared" si="57"/>
        <v>1</v>
      </c>
    </row>
    <row r="74" spans="1:40" x14ac:dyDescent="0.25">
      <c r="A74" s="41">
        <v>100517679</v>
      </c>
      <c r="B74" s="42" t="s">
        <v>70</v>
      </c>
      <c r="C74" s="43">
        <v>7790360973498</v>
      </c>
      <c r="D74" s="44">
        <v>7.68</v>
      </c>
      <c r="E74" s="45">
        <v>8</v>
      </c>
      <c r="F74" s="46">
        <f t="shared" si="55"/>
        <v>35830.538453970417</v>
      </c>
      <c r="G74" s="129"/>
      <c r="H74" s="46">
        <f t="shared" si="2"/>
        <v>35830.538453970417</v>
      </c>
      <c r="I74" s="46">
        <f t="shared" si="3"/>
        <v>4478.8173067463022</v>
      </c>
      <c r="J74" s="46">
        <f t="shared" si="4"/>
        <v>940.55163441672346</v>
      </c>
      <c r="K74" s="46">
        <f t="shared" si="5"/>
        <v>5419.3689411630257</v>
      </c>
      <c r="L74" s="46">
        <f t="shared" si="6"/>
        <v>1896.7791294070589</v>
      </c>
      <c r="M74" s="46">
        <f t="shared" si="7"/>
        <v>7316.1480705700851</v>
      </c>
      <c r="N74" s="46">
        <f t="shared" si="8"/>
        <v>3292.2666317565386</v>
      </c>
      <c r="O74" s="47">
        <f>+M74+N74</f>
        <v>10608.414702326623</v>
      </c>
      <c r="P74" s="145">
        <f t="shared" si="38"/>
        <v>0</v>
      </c>
      <c r="Q74" s="25">
        <v>35830.538453970417</v>
      </c>
      <c r="S74" s="1"/>
      <c r="T74" s="1"/>
      <c r="U74" s="1"/>
      <c r="V74" s="1"/>
      <c r="W74" s="1"/>
      <c r="X74" s="1"/>
      <c r="AF74">
        <v>34124.322337114681</v>
      </c>
      <c r="AG74">
        <f t="shared" si="10"/>
        <v>5.0000000000000051E-2</v>
      </c>
      <c r="AK74" s="41">
        <v>100517679</v>
      </c>
      <c r="AL74" s="46">
        <v>35830.538453970417</v>
      </c>
      <c r="AN74" s="114">
        <f t="shared" si="57"/>
        <v>1</v>
      </c>
    </row>
    <row r="75" spans="1:40" ht="15.75" thickBot="1" x14ac:dyDescent="0.3">
      <c r="A75" s="32"/>
      <c r="B75" s="33"/>
      <c r="C75" s="34"/>
      <c r="D75" s="33"/>
      <c r="E75" s="35"/>
      <c r="F75" s="36" t="e">
        <f t="shared" si="55"/>
        <v>#N/A</v>
      </c>
      <c r="G75" s="126"/>
      <c r="H75" s="36" t="e">
        <f t="shared" si="2"/>
        <v>#N/A</v>
      </c>
      <c r="I75" s="37" t="e">
        <f t="shared" si="3"/>
        <v>#N/A</v>
      </c>
      <c r="J75" s="38"/>
      <c r="K75" s="37"/>
      <c r="L75" s="38"/>
      <c r="M75" s="37"/>
      <c r="N75" s="38"/>
      <c r="O75" s="39"/>
      <c r="P75" s="145" t="e">
        <f t="shared" si="38"/>
        <v>#N/A</v>
      </c>
      <c r="Q75" s="25" t="e">
        <v>#N/A</v>
      </c>
      <c r="S75" s="1"/>
      <c r="T75" s="1"/>
      <c r="U75" s="1"/>
      <c r="V75" s="1"/>
      <c r="W75" s="1"/>
      <c r="X75" s="1"/>
      <c r="AF75" t="e">
        <v>#N/A</v>
      </c>
      <c r="AG75" t="e">
        <f t="shared" si="10"/>
        <v>#N/A</v>
      </c>
      <c r="AK75" s="32"/>
      <c r="AL75" s="36"/>
      <c r="AN75" s="114" t="e">
        <f t="shared" si="57"/>
        <v>#N/A</v>
      </c>
    </row>
    <row r="76" spans="1:40" ht="15" hidden="1" customHeight="1" x14ac:dyDescent="0.25">
      <c r="A76" s="27">
        <v>100516219</v>
      </c>
      <c r="B76" s="28" t="s">
        <v>71</v>
      </c>
      <c r="C76" s="48">
        <v>7790360967770</v>
      </c>
      <c r="D76" s="22">
        <v>10</v>
      </c>
      <c r="E76" s="23">
        <v>25</v>
      </c>
      <c r="F76" s="24">
        <f t="shared" si="55"/>
        <v>16599.454447073913</v>
      </c>
      <c r="G76" s="127"/>
      <c r="H76" s="24">
        <f t="shared" si="2"/>
        <v>16599.454447073913</v>
      </c>
      <c r="I76" s="24">
        <f t="shared" si="3"/>
        <v>663.97817788295652</v>
      </c>
      <c r="J76" s="24">
        <f t="shared" si="4"/>
        <v>139.43541735542087</v>
      </c>
      <c r="K76" s="24">
        <f t="shared" si="5"/>
        <v>803.41359523837741</v>
      </c>
      <c r="L76" s="24">
        <f t="shared" si="6"/>
        <v>281.19475833343205</v>
      </c>
      <c r="M76" s="24">
        <f t="shared" si="7"/>
        <v>1084.6083535718094</v>
      </c>
      <c r="N76" s="24">
        <f t="shared" si="8"/>
        <v>488.07375910731423</v>
      </c>
      <c r="O76" s="25">
        <f t="shared" si="9"/>
        <v>1572.6821126791237</v>
      </c>
      <c r="P76" s="145">
        <f t="shared" si="38"/>
        <v>0</v>
      </c>
      <c r="Q76" s="25">
        <v>16599.454447073913</v>
      </c>
      <c r="S76" s="1"/>
      <c r="T76" s="1"/>
      <c r="U76" s="1"/>
      <c r="V76" s="1"/>
      <c r="W76" s="1"/>
      <c r="X76" s="1"/>
      <c r="AF76">
        <v>16599.454447073913</v>
      </c>
      <c r="AG76">
        <f t="shared" si="10"/>
        <v>0</v>
      </c>
      <c r="AK76" s="27">
        <v>100516219</v>
      </c>
      <c r="AL76" s="24">
        <v>16599.454447073913</v>
      </c>
      <c r="AN76" s="114">
        <f t="shared" si="57"/>
        <v>1</v>
      </c>
    </row>
    <row r="77" spans="1:40" ht="15" hidden="1" customHeight="1" x14ac:dyDescent="0.25">
      <c r="A77" s="27">
        <v>100516220</v>
      </c>
      <c r="B77" s="28" t="s">
        <v>72</v>
      </c>
      <c r="C77" s="48">
        <v>7790360967787</v>
      </c>
      <c r="D77" s="22">
        <v>12</v>
      </c>
      <c r="E77" s="23">
        <v>6</v>
      </c>
      <c r="F77" s="24">
        <f t="shared" si="55"/>
        <v>17830.838018208367</v>
      </c>
      <c r="G77" s="127"/>
      <c r="H77" s="24">
        <f t="shared" si="2"/>
        <v>17830.838018208367</v>
      </c>
      <c r="I77" s="24">
        <f t="shared" si="3"/>
        <v>2971.8063363680612</v>
      </c>
      <c r="J77" s="24">
        <f t="shared" si="4"/>
        <v>624.07933063729286</v>
      </c>
      <c r="K77" s="24">
        <f t="shared" si="5"/>
        <v>3595.8856670053542</v>
      </c>
      <c r="L77" s="24">
        <f t="shared" si="6"/>
        <v>1258.5599834518739</v>
      </c>
      <c r="M77" s="24">
        <f t="shared" si="7"/>
        <v>4854.4456504572281</v>
      </c>
      <c r="N77" s="24">
        <f t="shared" si="8"/>
        <v>2184.5005427057527</v>
      </c>
      <c r="O77" s="25">
        <f t="shared" si="9"/>
        <v>7038.9461931629812</v>
      </c>
      <c r="P77" s="145">
        <f t="shared" si="38"/>
        <v>0</v>
      </c>
      <c r="Q77" s="25">
        <v>17830.838018208367</v>
      </c>
      <c r="S77" s="1"/>
      <c r="T77" s="1"/>
      <c r="U77" s="1"/>
      <c r="V77" s="1"/>
      <c r="W77" s="1"/>
      <c r="X77" s="1"/>
      <c r="AF77">
        <v>17830.838018208367</v>
      </c>
      <c r="AG77">
        <f t="shared" si="10"/>
        <v>0</v>
      </c>
      <c r="AK77" s="27">
        <v>100516220</v>
      </c>
      <c r="AL77" s="24">
        <v>17830.838018208367</v>
      </c>
      <c r="AN77" s="114">
        <f t="shared" si="57"/>
        <v>1</v>
      </c>
    </row>
    <row r="78" spans="1:40" ht="15" hidden="1" customHeight="1" thickBot="1" x14ac:dyDescent="0.3">
      <c r="A78" s="49"/>
      <c r="B78" s="50"/>
      <c r="C78" s="51"/>
      <c r="D78" s="50"/>
      <c r="E78" s="52"/>
      <c r="F78" s="53" t="e">
        <f t="shared" si="55"/>
        <v>#N/A</v>
      </c>
      <c r="G78" s="130"/>
      <c r="H78" s="53" t="e">
        <f t="shared" ref="H78:H104" si="58">+F78*(1-G78)</f>
        <v>#N/A</v>
      </c>
      <c r="I78" s="53" t="e">
        <f t="shared" ref="I78:I84" si="59">+H78/E78</f>
        <v>#N/A</v>
      </c>
      <c r="J78" s="53"/>
      <c r="K78" s="53"/>
      <c r="L78" s="53"/>
      <c r="M78" s="53"/>
      <c r="N78" s="53"/>
      <c r="O78" s="54"/>
      <c r="P78" s="145" t="e">
        <f t="shared" si="38"/>
        <v>#N/A</v>
      </c>
      <c r="Q78" s="25" t="e">
        <v>#N/A</v>
      </c>
      <c r="S78" s="1"/>
      <c r="T78" s="1"/>
      <c r="U78" s="1"/>
      <c r="V78" s="1"/>
      <c r="W78" s="1"/>
      <c r="X78" s="1"/>
      <c r="AF78" t="e">
        <v>#N/A</v>
      </c>
      <c r="AG78" t="e">
        <f t="shared" ref="AG78:AG104" si="60">+(H78-AF78)/AF78</f>
        <v>#N/A</v>
      </c>
      <c r="AK78" s="49"/>
      <c r="AL78" s="53">
        <v>0</v>
      </c>
      <c r="AN78" s="114" t="e">
        <f t="shared" si="57"/>
        <v>#N/A</v>
      </c>
    </row>
    <row r="79" spans="1:40" ht="15.75" hidden="1" thickBot="1" x14ac:dyDescent="0.3">
      <c r="A79" s="55">
        <v>100518158</v>
      </c>
      <c r="B79" s="56" t="s">
        <v>73</v>
      </c>
      <c r="C79" s="57">
        <v>7790360974280</v>
      </c>
      <c r="D79" s="58">
        <v>12</v>
      </c>
      <c r="E79" s="59">
        <v>24</v>
      </c>
      <c r="F79" s="60">
        <f t="shared" si="55"/>
        <v>68490.548114372563</v>
      </c>
      <c r="G79" s="131"/>
      <c r="H79" s="60">
        <f t="shared" si="58"/>
        <v>68490.548114372563</v>
      </c>
      <c r="I79" s="60">
        <f t="shared" si="59"/>
        <v>2853.7728380988569</v>
      </c>
      <c r="J79" s="60">
        <f>+I79*J$3</f>
        <v>599.29229600075996</v>
      </c>
      <c r="K79" s="60">
        <f>+I79+J79</f>
        <v>3453.0651340996169</v>
      </c>
      <c r="L79" s="60">
        <f>+K79*L$3</f>
        <v>1208.5727969348659</v>
      </c>
      <c r="M79" s="60">
        <f>+K79+L79</f>
        <v>4661.6379310344828</v>
      </c>
      <c r="N79" s="60">
        <f>+M79*N$3</f>
        <v>2097.7370689655172</v>
      </c>
      <c r="O79" s="61">
        <f>+M79+N79</f>
        <v>6759.375</v>
      </c>
      <c r="P79" s="145" t="e">
        <f t="shared" si="38"/>
        <v>#N/A</v>
      </c>
      <c r="Q79" s="25" t="e">
        <v>#N/A</v>
      </c>
      <c r="S79" s="1"/>
      <c r="T79" s="1"/>
      <c r="U79" s="1"/>
      <c r="V79" s="1"/>
      <c r="W79" s="1"/>
      <c r="X79" s="1"/>
      <c r="AF79">
        <v>68490.548114372563</v>
      </c>
      <c r="AG79">
        <f t="shared" si="60"/>
        <v>0</v>
      </c>
      <c r="AK79" s="55">
        <v>100518158</v>
      </c>
      <c r="AL79" s="60">
        <v>68490.548114372563</v>
      </c>
      <c r="AN79" s="114" t="e">
        <f t="shared" si="57"/>
        <v>#N/A</v>
      </c>
    </row>
    <row r="80" spans="1:40" ht="15.75" hidden="1" thickBot="1" x14ac:dyDescent="0.3">
      <c r="A80" s="27">
        <v>100518160</v>
      </c>
      <c r="B80" s="28" t="s">
        <v>74</v>
      </c>
      <c r="C80" s="62">
        <v>7790360974686</v>
      </c>
      <c r="D80" s="22">
        <v>12</v>
      </c>
      <c r="E80" s="23">
        <v>12</v>
      </c>
      <c r="F80" s="24">
        <f t="shared" si="55"/>
        <v>68490.548114372563</v>
      </c>
      <c r="G80" s="127"/>
      <c r="H80" s="24">
        <f t="shared" si="58"/>
        <v>68490.548114372563</v>
      </c>
      <c r="I80" s="24">
        <f t="shared" si="59"/>
        <v>5707.5456761977139</v>
      </c>
      <c r="J80" s="24">
        <f>+I80*J$3</f>
        <v>1198.5845920015199</v>
      </c>
      <c r="K80" s="24">
        <f>+I80+J80</f>
        <v>6906.1302681992338</v>
      </c>
      <c r="L80" s="24">
        <f>+K80*L$3</f>
        <v>2417.1455938697318</v>
      </c>
      <c r="M80" s="24">
        <f>+K80+L80</f>
        <v>9323.2758620689656</v>
      </c>
      <c r="N80" s="24">
        <f>+M80*N$3</f>
        <v>4195.4741379310344</v>
      </c>
      <c r="O80" s="25">
        <f>+M80+N80</f>
        <v>13518.75</v>
      </c>
      <c r="P80" s="145" t="e">
        <f t="shared" si="38"/>
        <v>#N/A</v>
      </c>
      <c r="Q80" s="25" t="e">
        <v>#N/A</v>
      </c>
      <c r="S80" s="1"/>
      <c r="T80" s="1"/>
      <c r="U80" s="1"/>
      <c r="V80" s="1"/>
      <c r="W80" s="1"/>
      <c r="X80" s="1"/>
      <c r="AF80">
        <v>68490.548114372563</v>
      </c>
      <c r="AG80">
        <f t="shared" si="60"/>
        <v>0</v>
      </c>
      <c r="AK80" s="27">
        <v>100518160</v>
      </c>
      <c r="AL80" s="24">
        <v>68490.548114372563</v>
      </c>
      <c r="AN80" s="114" t="e">
        <f t="shared" si="57"/>
        <v>#N/A</v>
      </c>
    </row>
    <row r="81" spans="1:40" ht="15.75" hidden="1" thickBot="1" x14ac:dyDescent="0.3">
      <c r="A81" s="63">
        <v>100518463</v>
      </c>
      <c r="B81" s="64" t="s">
        <v>75</v>
      </c>
      <c r="C81" s="65">
        <v>7790360975188</v>
      </c>
      <c r="D81" s="66">
        <v>5</v>
      </c>
      <c r="E81" s="67">
        <v>1</v>
      </c>
      <c r="F81" s="68">
        <f t="shared" si="55"/>
        <v>33357.515625</v>
      </c>
      <c r="G81" s="132"/>
      <c r="H81" s="68">
        <f t="shared" si="58"/>
        <v>33357.515625</v>
      </c>
      <c r="I81" s="68">
        <f t="shared" si="59"/>
        <v>33357.515625</v>
      </c>
      <c r="J81" s="68">
        <f>+I81*J$3</f>
        <v>7005.0782812500001</v>
      </c>
      <c r="K81" s="68">
        <f>+I81+J81</f>
        <v>40362.593906249997</v>
      </c>
      <c r="L81" s="68">
        <f>+K81*L$3</f>
        <v>14126.907867187498</v>
      </c>
      <c r="M81" s="68">
        <f>+K81+L81</f>
        <v>54489.501773437492</v>
      </c>
      <c r="N81" s="68">
        <f>+M81*N$3</f>
        <v>24520.27579804687</v>
      </c>
      <c r="O81" s="69">
        <f>+M81+N81</f>
        <v>79009.777571484359</v>
      </c>
      <c r="P81" s="145" t="e">
        <f t="shared" si="38"/>
        <v>#N/A</v>
      </c>
      <c r="Q81" s="25" t="e">
        <v>#N/A</v>
      </c>
      <c r="S81" s="1"/>
      <c r="T81" s="1"/>
      <c r="U81" s="1"/>
      <c r="V81" s="1"/>
      <c r="W81" s="1"/>
      <c r="X81" s="1"/>
      <c r="AF81">
        <v>33357.515625</v>
      </c>
      <c r="AG81">
        <f t="shared" si="60"/>
        <v>0</v>
      </c>
      <c r="AK81" s="63">
        <v>100518463</v>
      </c>
      <c r="AL81" s="68">
        <v>33357.515625</v>
      </c>
      <c r="AN81" s="114" t="e">
        <f t="shared" si="57"/>
        <v>#N/A</v>
      </c>
    </row>
    <row r="82" spans="1:40" ht="15.75" hidden="1" thickBot="1" x14ac:dyDescent="0.3">
      <c r="A82" s="70"/>
      <c r="B82" s="71"/>
      <c r="C82" s="72"/>
      <c r="D82" s="71"/>
      <c r="E82" s="73"/>
      <c r="F82" s="74" t="e">
        <f t="shared" si="55"/>
        <v>#N/A</v>
      </c>
      <c r="G82" s="133"/>
      <c r="H82" s="74" t="e">
        <f t="shared" si="58"/>
        <v>#N/A</v>
      </c>
      <c r="I82" s="74" t="e">
        <f t="shared" si="59"/>
        <v>#N/A</v>
      </c>
      <c r="J82" s="74"/>
      <c r="K82" s="74"/>
      <c r="L82" s="74"/>
      <c r="M82" s="74"/>
      <c r="N82" s="74"/>
      <c r="O82" s="75"/>
      <c r="P82" s="145" t="e">
        <f t="shared" si="38"/>
        <v>#N/A</v>
      </c>
      <c r="Q82" s="25" t="e">
        <v>#N/A</v>
      </c>
      <c r="S82" s="1"/>
      <c r="T82" s="1"/>
      <c r="U82" s="1"/>
      <c r="V82" s="1"/>
      <c r="W82" s="1"/>
      <c r="X82" s="1"/>
      <c r="AF82" t="e">
        <v>#N/A</v>
      </c>
      <c r="AG82" t="e">
        <f t="shared" si="60"/>
        <v>#N/A</v>
      </c>
      <c r="AK82" s="70"/>
      <c r="AL82" s="74"/>
      <c r="AN82" s="114" t="e">
        <f t="shared" si="57"/>
        <v>#N/A</v>
      </c>
    </row>
    <row r="83" spans="1:40" x14ac:dyDescent="0.25">
      <c r="A83" s="110">
        <v>100518291</v>
      </c>
      <c r="B83" s="111" t="s">
        <v>76</v>
      </c>
      <c r="C83" s="107">
        <v>7790360975195</v>
      </c>
      <c r="D83" s="112">
        <v>5</v>
      </c>
      <c r="E83" s="112">
        <v>10</v>
      </c>
      <c r="F83" s="108">
        <f t="shared" si="55"/>
        <v>15942.442697899138</v>
      </c>
      <c r="G83" s="113">
        <v>0.15</v>
      </c>
      <c r="H83" s="83">
        <f t="shared" si="58"/>
        <v>13551.076293214266</v>
      </c>
      <c r="I83" s="108">
        <f t="shared" si="59"/>
        <v>1355.1076293214267</v>
      </c>
      <c r="J83" s="108">
        <f>+I83*J$3</f>
        <v>284.5726021574996</v>
      </c>
      <c r="K83" s="108">
        <f>+I83+J83</f>
        <v>1639.6802314789263</v>
      </c>
      <c r="L83" s="108">
        <f>+K83*L$39</f>
        <v>360.72965092536379</v>
      </c>
      <c r="M83" s="108">
        <f>+K83+L83</f>
        <v>2000.4098824042901</v>
      </c>
      <c r="N83" s="108">
        <f>+M83*N$39</f>
        <v>700.14345884150146</v>
      </c>
      <c r="O83" s="109">
        <f>+M83+N83</f>
        <v>2700.5533412457917</v>
      </c>
      <c r="P83" s="145">
        <f t="shared" si="38"/>
        <v>0</v>
      </c>
      <c r="Q83" s="25">
        <v>13551.076293214266</v>
      </c>
      <c r="S83" s="1" t="s">
        <v>133</v>
      </c>
      <c r="T83" s="1"/>
      <c r="U83" s="1"/>
      <c r="V83" s="1"/>
      <c r="W83" s="1"/>
      <c r="X83" s="1"/>
      <c r="AF83">
        <v>13551.076293214266</v>
      </c>
      <c r="AG83">
        <f t="shared" si="60"/>
        <v>0</v>
      </c>
      <c r="AK83" s="161">
        <v>100518291</v>
      </c>
      <c r="AL83" s="60">
        <v>15942.442697899138</v>
      </c>
      <c r="AN83" s="114">
        <f t="shared" si="57"/>
        <v>1</v>
      </c>
    </row>
    <row r="84" spans="1:40" ht="15.75" thickBot="1" x14ac:dyDescent="0.3">
      <c r="A84" s="101">
        <v>100518292</v>
      </c>
      <c r="B84" s="102" t="s">
        <v>77</v>
      </c>
      <c r="C84" s="103">
        <v>7790360975201</v>
      </c>
      <c r="D84" s="104">
        <v>12</v>
      </c>
      <c r="E84" s="104">
        <v>12</v>
      </c>
      <c r="F84" s="83">
        <f t="shared" si="55"/>
        <v>37618.476098599924</v>
      </c>
      <c r="G84" s="113">
        <v>0.15</v>
      </c>
      <c r="H84" s="83">
        <f t="shared" si="58"/>
        <v>31975.704683809934</v>
      </c>
      <c r="I84" s="105">
        <f t="shared" si="59"/>
        <v>2664.6420569841612</v>
      </c>
      <c r="J84" s="105">
        <f>+I84*J$3</f>
        <v>559.57483196667386</v>
      </c>
      <c r="K84" s="105">
        <f>+I84+J84</f>
        <v>3224.2168889508348</v>
      </c>
      <c r="L84" s="105">
        <f>+K84*L$39</f>
        <v>709.32771556918362</v>
      </c>
      <c r="M84" s="105">
        <f>+K84+L84</f>
        <v>3933.5446045200183</v>
      </c>
      <c r="N84" s="105">
        <f>+M84*N$39</f>
        <v>1376.7406115820063</v>
      </c>
      <c r="O84" s="106">
        <f>+M84+N84</f>
        <v>5310.2852161020246</v>
      </c>
      <c r="P84" s="145">
        <f t="shared" si="38"/>
        <v>0</v>
      </c>
      <c r="Q84" s="25">
        <v>31975.704683809934</v>
      </c>
      <c r="S84" s="1" t="s">
        <v>134</v>
      </c>
      <c r="T84" s="1"/>
      <c r="U84" s="1"/>
      <c r="V84" s="1"/>
      <c r="W84" s="1"/>
      <c r="X84" s="1"/>
      <c r="AF84">
        <v>31975.704683809934</v>
      </c>
      <c r="AG84">
        <f t="shared" si="60"/>
        <v>0</v>
      </c>
      <c r="AK84" s="162">
        <v>100518292</v>
      </c>
      <c r="AL84" s="24">
        <v>37618.476098599924</v>
      </c>
      <c r="AN84" s="114">
        <f t="shared" si="57"/>
        <v>1</v>
      </c>
    </row>
    <row r="85" spans="1:40" ht="15.75" thickBot="1" x14ac:dyDescent="0.3">
      <c r="A85" s="70"/>
      <c r="B85" s="71"/>
      <c r="C85" s="72"/>
      <c r="D85" s="71"/>
      <c r="E85" s="73"/>
      <c r="F85" s="74" t="e">
        <f t="shared" si="55"/>
        <v>#N/A</v>
      </c>
      <c r="G85" s="133"/>
      <c r="H85" s="74" t="e">
        <f t="shared" si="58"/>
        <v>#N/A</v>
      </c>
      <c r="I85" s="74" t="e">
        <f>+H85/E85</f>
        <v>#N/A</v>
      </c>
      <c r="J85" s="74">
        <v>0.105</v>
      </c>
      <c r="K85" s="74"/>
      <c r="L85" s="74">
        <v>0.3</v>
      </c>
      <c r="M85" s="74"/>
      <c r="N85" s="74">
        <v>0.4</v>
      </c>
      <c r="O85" s="75"/>
      <c r="P85" s="145" t="e">
        <f t="shared" si="38"/>
        <v>#N/A</v>
      </c>
      <c r="Q85" s="25" t="e">
        <v>#N/A</v>
      </c>
      <c r="S85" s="1"/>
      <c r="T85" s="1"/>
      <c r="U85" s="1"/>
      <c r="V85" s="1"/>
      <c r="W85" s="1"/>
      <c r="X85" s="1"/>
      <c r="AF85" t="e">
        <v>#N/A</v>
      </c>
      <c r="AG85" t="e">
        <f t="shared" si="60"/>
        <v>#N/A</v>
      </c>
      <c r="AK85" s="70"/>
      <c r="AL85" s="74"/>
      <c r="AN85" s="114" t="e">
        <f t="shared" si="57"/>
        <v>#N/A</v>
      </c>
    </row>
    <row r="86" spans="1:40" x14ac:dyDescent="0.25">
      <c r="A86" s="110">
        <v>100517915</v>
      </c>
      <c r="B86" s="111" t="s">
        <v>78</v>
      </c>
      <c r="C86" s="107">
        <v>7790360974020</v>
      </c>
      <c r="D86" s="112">
        <v>18</v>
      </c>
      <c r="E86" s="112">
        <v>36</v>
      </c>
      <c r="F86" s="108">
        <f t="shared" si="55"/>
        <v>145920.01119803212</v>
      </c>
      <c r="G86" s="94"/>
      <c r="H86" s="83">
        <f t="shared" si="58"/>
        <v>145920.01119803212</v>
      </c>
      <c r="I86" s="108">
        <f>+H86/E86</f>
        <v>4053.3336443897811</v>
      </c>
      <c r="J86" s="108">
        <f>+I86*J$85</f>
        <v>425.60003266092701</v>
      </c>
      <c r="K86" s="108">
        <f>+I86+J86</f>
        <v>4478.933677050708</v>
      </c>
      <c r="L86" s="108">
        <f>+K86*L$85</f>
        <v>1343.6801031152124</v>
      </c>
      <c r="M86" s="108">
        <f>+K86+L86</f>
        <v>5822.6137801659206</v>
      </c>
      <c r="N86" s="108">
        <f>+M86*N$85</f>
        <v>2329.0455120663682</v>
      </c>
      <c r="O86" s="109">
        <f>+M86+N86</f>
        <v>8151.6592922322889</v>
      </c>
      <c r="P86" s="145">
        <f t="shared" si="38"/>
        <v>4.0000000000000036E-2</v>
      </c>
      <c r="Q86" s="25">
        <v>140307.70307503088</v>
      </c>
      <c r="S86" s="1"/>
      <c r="T86" s="1"/>
      <c r="U86" s="1"/>
      <c r="V86" s="1"/>
      <c r="W86" s="1"/>
      <c r="X86" s="1"/>
      <c r="AF86">
        <v>126062.62630281298</v>
      </c>
      <c r="AG86">
        <f t="shared" si="60"/>
        <v>0.15752000000000038</v>
      </c>
      <c r="AK86" s="161">
        <v>100517915</v>
      </c>
      <c r="AL86" s="60">
        <v>145920.01119803212</v>
      </c>
      <c r="AN86" s="114">
        <f t="shared" si="57"/>
        <v>0.96153846153846145</v>
      </c>
    </row>
    <row r="87" spans="1:40" ht="15.75" thickBot="1" x14ac:dyDescent="0.3">
      <c r="A87" s="101">
        <v>100517914</v>
      </c>
      <c r="B87" s="102" t="s">
        <v>79</v>
      </c>
      <c r="C87" s="103">
        <v>7790360974037</v>
      </c>
      <c r="D87" s="104">
        <v>20</v>
      </c>
      <c r="E87" s="104">
        <v>20</v>
      </c>
      <c r="F87" s="83">
        <f t="shared" si="55"/>
        <v>159231.15888620811</v>
      </c>
      <c r="G87" s="94"/>
      <c r="H87" s="83">
        <f t="shared" si="58"/>
        <v>159231.15888620811</v>
      </c>
      <c r="I87" s="105">
        <f>+H87/E87</f>
        <v>7961.5579443104052</v>
      </c>
      <c r="J87" s="105">
        <f>+I87*J$85</f>
        <v>835.96358415259249</v>
      </c>
      <c r="K87" s="105">
        <f>+I87+J87</f>
        <v>8797.5215284629976</v>
      </c>
      <c r="L87" s="105">
        <f>+K87*L$85</f>
        <v>2639.2564585388991</v>
      </c>
      <c r="M87" s="105">
        <f>+K87+L87</f>
        <v>11436.777987001897</v>
      </c>
      <c r="N87" s="105">
        <f>+M87*N$85</f>
        <v>4574.7111948007587</v>
      </c>
      <c r="O87" s="106">
        <f>+M87+N87</f>
        <v>16011.489181802655</v>
      </c>
      <c r="P87" s="145">
        <f t="shared" si="38"/>
        <v>4.0000000000000036E-2</v>
      </c>
      <c r="Q87" s="25">
        <v>153106.88354443086</v>
      </c>
      <c r="S87" s="1"/>
      <c r="T87" s="1"/>
      <c r="U87" s="1"/>
      <c r="V87" s="1"/>
      <c r="W87" s="1"/>
      <c r="X87" s="1"/>
      <c r="AF87">
        <v>137562.33921332512</v>
      </c>
      <c r="AG87">
        <f t="shared" si="60"/>
        <v>0.15752000000000016</v>
      </c>
      <c r="AK87" s="162">
        <v>100517914</v>
      </c>
      <c r="AL87" s="24">
        <v>159231.15888620811</v>
      </c>
      <c r="AN87" s="114">
        <f t="shared" si="57"/>
        <v>0.96153846153846145</v>
      </c>
    </row>
    <row r="88" spans="1:40" x14ac:dyDescent="0.25">
      <c r="A88" s="70"/>
      <c r="B88" s="71"/>
      <c r="C88" s="72"/>
      <c r="D88" s="71"/>
      <c r="E88" s="73"/>
      <c r="F88" s="74" t="e">
        <f t="shared" si="55"/>
        <v>#N/A</v>
      </c>
      <c r="G88" s="133"/>
      <c r="H88" s="74" t="e">
        <f t="shared" si="58"/>
        <v>#N/A</v>
      </c>
      <c r="I88" s="74"/>
      <c r="J88" s="77">
        <v>0.105</v>
      </c>
      <c r="K88" s="77"/>
      <c r="L88" s="77">
        <v>0.3</v>
      </c>
      <c r="M88" s="77"/>
      <c r="N88" s="77">
        <v>0.4</v>
      </c>
      <c r="O88" s="78"/>
      <c r="P88" s="145" t="e">
        <f t="shared" si="38"/>
        <v>#N/A</v>
      </c>
      <c r="Q88" s="25" t="e">
        <v>#N/A</v>
      </c>
      <c r="S88" s="1"/>
      <c r="T88" s="1"/>
      <c r="U88" s="1"/>
      <c r="V88" s="1"/>
      <c r="W88" s="1"/>
      <c r="X88" s="1"/>
      <c r="AF88" t="e">
        <v>#N/A</v>
      </c>
      <c r="AG88" t="e">
        <f t="shared" si="60"/>
        <v>#N/A</v>
      </c>
      <c r="AK88" s="70"/>
      <c r="AL88" s="74"/>
      <c r="AN88" s="114" t="e">
        <f t="shared" si="57"/>
        <v>#N/A</v>
      </c>
    </row>
    <row r="89" spans="1:40" x14ac:dyDescent="0.25">
      <c r="A89" s="27">
        <v>100010689</v>
      </c>
      <c r="B89" s="28" t="s">
        <v>80</v>
      </c>
      <c r="C89" s="21"/>
      <c r="D89" s="22">
        <v>22</v>
      </c>
      <c r="E89" s="23">
        <v>1</v>
      </c>
      <c r="F89" s="24">
        <f t="shared" si="55"/>
        <v>14285.714285714286</v>
      </c>
      <c r="G89" s="127"/>
      <c r="H89" s="24">
        <f t="shared" si="58"/>
        <v>14285.714285714286</v>
      </c>
      <c r="I89" s="24">
        <f t="shared" ref="I89:I94" si="61">+H89/E89</f>
        <v>14285.714285714286</v>
      </c>
      <c r="J89" s="24">
        <f t="shared" ref="J89:J94" si="62">+I89*J$88</f>
        <v>1500</v>
      </c>
      <c r="K89" s="24">
        <f t="shared" ref="K89:K94" si="63">+I89+J89</f>
        <v>15785.714285714286</v>
      </c>
      <c r="L89" s="24">
        <f t="shared" ref="L89:L94" si="64">+K89*L$88</f>
        <v>4735.7142857142853</v>
      </c>
      <c r="M89" s="24">
        <f t="shared" ref="M89:M94" si="65">+K89+L89</f>
        <v>20521.428571428572</v>
      </c>
      <c r="N89" s="24">
        <f t="shared" ref="N89:N94" si="66">+M89*N$88</f>
        <v>8208.5714285714294</v>
      </c>
      <c r="O89" s="25">
        <f t="shared" ref="O89:O94" si="67">+M89+N89</f>
        <v>28730</v>
      </c>
      <c r="P89" s="145">
        <f t="shared" si="38"/>
        <v>-4.5573848723455157E-2</v>
      </c>
      <c r="Q89" s="25">
        <v>14967.857142857145</v>
      </c>
      <c r="S89" s="1"/>
      <c r="T89" s="1"/>
      <c r="U89" s="1"/>
      <c r="V89" s="1"/>
      <c r="W89" s="1"/>
      <c r="X89" s="1"/>
      <c r="AF89">
        <v>14255.102040816328</v>
      </c>
      <c r="AG89">
        <f t="shared" si="60"/>
        <v>2.1474588403721843E-3</v>
      </c>
      <c r="AK89" s="27">
        <v>100010689</v>
      </c>
      <c r="AL89" s="24">
        <v>14285.714285714286</v>
      </c>
      <c r="AN89" s="114">
        <f t="shared" si="57"/>
        <v>1.0477500000000002</v>
      </c>
    </row>
    <row r="90" spans="1:40" x14ac:dyDescent="0.25">
      <c r="A90" s="27">
        <v>100518335</v>
      </c>
      <c r="B90" s="28" t="s">
        <v>81</v>
      </c>
      <c r="C90" s="21"/>
      <c r="D90" s="22">
        <v>22.5</v>
      </c>
      <c r="E90" s="23">
        <v>1</v>
      </c>
      <c r="F90" s="24">
        <f t="shared" si="55"/>
        <v>10204.081632653062</v>
      </c>
      <c r="G90" s="127"/>
      <c r="H90" s="24">
        <f t="shared" si="58"/>
        <v>10204.081632653062</v>
      </c>
      <c r="I90" s="24">
        <f t="shared" si="61"/>
        <v>10204.081632653062</v>
      </c>
      <c r="J90" s="24">
        <f t="shared" si="62"/>
        <v>1071.4285714285716</v>
      </c>
      <c r="K90" s="24">
        <f t="shared" si="63"/>
        <v>11275.510204081635</v>
      </c>
      <c r="L90" s="24">
        <f t="shared" si="64"/>
        <v>3382.6530612244901</v>
      </c>
      <c r="M90" s="24">
        <f t="shared" si="65"/>
        <v>14658.163265306124</v>
      </c>
      <c r="N90" s="24">
        <f t="shared" si="66"/>
        <v>5863.2653061224501</v>
      </c>
      <c r="O90" s="25">
        <f t="shared" si="67"/>
        <v>20521.428571428572</v>
      </c>
      <c r="P90" s="145">
        <f t="shared" si="38"/>
        <v>7.6258280462145223E-2</v>
      </c>
      <c r="Q90" s="25">
        <v>9481.0714285714294</v>
      </c>
      <c r="S90" s="1"/>
      <c r="T90" s="1"/>
      <c r="U90" s="1"/>
      <c r="V90" s="1"/>
      <c r="W90" s="1"/>
      <c r="X90" s="1"/>
      <c r="Y90" s="116"/>
      <c r="AF90">
        <v>9029.5918367346949</v>
      </c>
      <c r="AG90">
        <f t="shared" si="60"/>
        <v>0.13007119448525253</v>
      </c>
      <c r="AK90" s="27">
        <v>100518335</v>
      </c>
      <c r="AL90" s="24">
        <v>10204.081632653062</v>
      </c>
      <c r="AN90" s="114">
        <f t="shared" si="57"/>
        <v>0.929145</v>
      </c>
    </row>
    <row r="91" spans="1:40" x14ac:dyDescent="0.25">
      <c r="A91" s="27">
        <v>100518332</v>
      </c>
      <c r="B91" s="28" t="s">
        <v>82</v>
      </c>
      <c r="C91" s="21"/>
      <c r="D91" s="22">
        <v>21.5</v>
      </c>
      <c r="E91" s="23">
        <v>1</v>
      </c>
      <c r="F91" s="24">
        <f t="shared" si="55"/>
        <v>11734.693877551019</v>
      </c>
      <c r="G91" s="127"/>
      <c r="H91" s="24">
        <f t="shared" si="58"/>
        <v>11734.693877551019</v>
      </c>
      <c r="I91" s="24">
        <f t="shared" si="61"/>
        <v>11734.693877551019</v>
      </c>
      <c r="J91" s="24">
        <f t="shared" si="62"/>
        <v>1232.1428571428569</v>
      </c>
      <c r="K91" s="24">
        <f t="shared" si="63"/>
        <v>12966.836734693876</v>
      </c>
      <c r="L91" s="24">
        <f t="shared" si="64"/>
        <v>3890.0510204081625</v>
      </c>
      <c r="M91" s="24">
        <f t="shared" si="65"/>
        <v>16856.887755102038</v>
      </c>
      <c r="N91" s="24">
        <f t="shared" si="66"/>
        <v>6742.7551020408155</v>
      </c>
      <c r="O91" s="25">
        <f t="shared" si="67"/>
        <v>23599.642857142855</v>
      </c>
      <c r="P91" s="145">
        <f t="shared" si="38"/>
        <v>0.15009775830945604</v>
      </c>
      <c r="Q91" s="25">
        <v>10203.214285714286</v>
      </c>
      <c r="S91" s="1"/>
      <c r="T91" s="1"/>
      <c r="U91" s="1"/>
      <c r="V91" s="1"/>
      <c r="W91" s="1"/>
      <c r="X91" s="1"/>
      <c r="Y91" s="116">
        <f>+R99*72+R4*144</f>
        <v>0</v>
      </c>
      <c r="AF91">
        <v>9717.3469387755104</v>
      </c>
      <c r="AG91">
        <f t="shared" si="60"/>
        <v>0.20760264622492894</v>
      </c>
      <c r="AK91" s="27">
        <v>100518332</v>
      </c>
      <c r="AL91" s="24">
        <v>11734.693877551019</v>
      </c>
      <c r="AN91" s="114">
        <f t="shared" si="57"/>
        <v>0.86949130434782629</v>
      </c>
    </row>
    <row r="92" spans="1:40" x14ac:dyDescent="0.25">
      <c r="A92" s="27">
        <v>100518334</v>
      </c>
      <c r="B92" s="28" t="s">
        <v>83</v>
      </c>
      <c r="C92" s="21"/>
      <c r="D92" s="22">
        <v>22.5</v>
      </c>
      <c r="E92" s="23">
        <v>1</v>
      </c>
      <c r="F92" s="24">
        <f t="shared" si="55"/>
        <v>10408.163265306122</v>
      </c>
      <c r="G92" s="127"/>
      <c r="H92" s="24">
        <f t="shared" si="58"/>
        <v>10408.163265306122</v>
      </c>
      <c r="I92" s="24">
        <f t="shared" si="61"/>
        <v>10408.163265306122</v>
      </c>
      <c r="J92" s="24">
        <f t="shared" si="62"/>
        <v>1092.8571428571429</v>
      </c>
      <c r="K92" s="24">
        <f t="shared" si="63"/>
        <v>11501.020408163266</v>
      </c>
      <c r="L92" s="24">
        <f t="shared" si="64"/>
        <v>3450.3061224489797</v>
      </c>
      <c r="M92" s="24">
        <f t="shared" si="65"/>
        <v>14951.326530612245</v>
      </c>
      <c r="N92" s="24">
        <f t="shared" si="66"/>
        <v>5980.5306122448983</v>
      </c>
      <c r="O92" s="25">
        <f t="shared" si="67"/>
        <v>20931.857142857145</v>
      </c>
      <c r="P92" s="145">
        <f t="shared" si="38"/>
        <v>0.23938322458353078</v>
      </c>
      <c r="Q92" s="25">
        <v>8397.8571428571431</v>
      </c>
      <c r="S92" s="1"/>
      <c r="T92" s="1"/>
      <c r="U92" s="1"/>
      <c r="V92" s="1"/>
      <c r="W92" s="1"/>
      <c r="X92" s="1"/>
      <c r="Y92" s="116">
        <f>+R96*24+R4*144</f>
        <v>0</v>
      </c>
      <c r="AF92">
        <v>7997.9591836734699</v>
      </c>
      <c r="AG92">
        <f t="shared" si="60"/>
        <v>0.30135238581270724</v>
      </c>
      <c r="AK92" s="27">
        <v>100518334</v>
      </c>
      <c r="AL92" s="24">
        <v>10408.163265306122</v>
      </c>
      <c r="AN92" s="114">
        <f t="shared" si="57"/>
        <v>0.80685294117647066</v>
      </c>
    </row>
    <row r="93" spans="1:40" x14ac:dyDescent="0.25">
      <c r="A93" s="27">
        <v>100518227</v>
      </c>
      <c r="B93" s="28" t="s">
        <v>84</v>
      </c>
      <c r="C93" s="21"/>
      <c r="D93" s="22">
        <v>22.5</v>
      </c>
      <c r="E93" s="23">
        <v>1</v>
      </c>
      <c r="F93" s="24">
        <f t="shared" si="55"/>
        <v>12040.81632653061</v>
      </c>
      <c r="G93" s="127"/>
      <c r="H93" s="24">
        <f t="shared" si="58"/>
        <v>12040.81632653061</v>
      </c>
      <c r="I93" s="24">
        <f t="shared" si="61"/>
        <v>12040.81632653061</v>
      </c>
      <c r="J93" s="24">
        <f t="shared" si="62"/>
        <v>1264.285714285714</v>
      </c>
      <c r="K93" s="24">
        <f t="shared" si="63"/>
        <v>13305.102040816324</v>
      </c>
      <c r="L93" s="24">
        <f t="shared" si="64"/>
        <v>3991.5306122448969</v>
      </c>
      <c r="M93" s="24">
        <f t="shared" si="65"/>
        <v>17296.63265306122</v>
      </c>
      <c r="N93" s="24">
        <f t="shared" si="66"/>
        <v>6918.6530612244887</v>
      </c>
      <c r="O93" s="25">
        <f t="shared" si="67"/>
        <v>24215.28571428571</v>
      </c>
      <c r="P93" s="145">
        <f t="shared" si="38"/>
        <v>0.43379627942016286</v>
      </c>
      <c r="Q93" s="25">
        <v>8397.8571428571431</v>
      </c>
      <c r="S93" s="1"/>
      <c r="T93" s="1"/>
      <c r="U93" s="1"/>
      <c r="V93" s="1"/>
      <c r="W93" s="1"/>
      <c r="X93" s="1"/>
      <c r="AF93">
        <v>7997.9591836734699</v>
      </c>
      <c r="AG93">
        <f t="shared" si="60"/>
        <v>0.5054860933911709</v>
      </c>
      <c r="AK93" s="27">
        <v>100518227</v>
      </c>
      <c r="AL93" s="24">
        <v>12040.81632653061</v>
      </c>
      <c r="AN93" s="114">
        <f t="shared" si="57"/>
        <v>0.69744915254237305</v>
      </c>
    </row>
    <row r="94" spans="1:40" x14ac:dyDescent="0.25">
      <c r="A94" s="140">
        <v>100027726</v>
      </c>
      <c r="B94" s="141" t="s">
        <v>120</v>
      </c>
      <c r="C94" s="142"/>
      <c r="D94" s="80">
        <v>22.5</v>
      </c>
      <c r="E94" s="23">
        <v>1</v>
      </c>
      <c r="F94" s="24">
        <f t="shared" si="55"/>
        <v>6195</v>
      </c>
      <c r="G94" s="127"/>
      <c r="H94" s="24">
        <f t="shared" ref="H94" si="68">+F94*(1-G94)</f>
        <v>6195</v>
      </c>
      <c r="I94" s="24">
        <f t="shared" si="61"/>
        <v>6195</v>
      </c>
      <c r="J94" s="24">
        <f t="shared" si="62"/>
        <v>650.47500000000002</v>
      </c>
      <c r="K94" s="24">
        <f t="shared" si="63"/>
        <v>6845.4750000000004</v>
      </c>
      <c r="L94" s="24">
        <f t="shared" si="64"/>
        <v>2053.6424999999999</v>
      </c>
      <c r="M94" s="24">
        <f t="shared" si="65"/>
        <v>8899.1175000000003</v>
      </c>
      <c r="N94" s="24">
        <f t="shared" si="66"/>
        <v>3559.6470000000004</v>
      </c>
      <c r="O94" s="25">
        <f t="shared" si="67"/>
        <v>12458.764500000001</v>
      </c>
      <c r="P94" s="145">
        <f t="shared" si="38"/>
        <v>0</v>
      </c>
      <c r="Q94" s="25">
        <v>6195</v>
      </c>
      <c r="S94" s="1"/>
      <c r="T94" s="1"/>
      <c r="U94" s="1"/>
      <c r="V94" s="1"/>
      <c r="W94" s="1"/>
      <c r="X94" s="1"/>
      <c r="AK94" s="140">
        <v>100027726</v>
      </c>
      <c r="AL94" s="24">
        <v>6195</v>
      </c>
      <c r="AN94" s="114">
        <f t="shared" si="57"/>
        <v>1</v>
      </c>
    </row>
    <row r="95" spans="1:40" x14ac:dyDescent="0.25">
      <c r="A95" s="70"/>
      <c r="B95" s="71"/>
      <c r="C95" s="72"/>
      <c r="D95" s="71"/>
      <c r="E95" s="73"/>
      <c r="F95" s="74" t="e">
        <f t="shared" si="55"/>
        <v>#N/A</v>
      </c>
      <c r="G95" s="133"/>
      <c r="H95" s="74" t="e">
        <f t="shared" si="58"/>
        <v>#N/A</v>
      </c>
      <c r="I95" s="74"/>
      <c r="J95" s="77">
        <v>0.21</v>
      </c>
      <c r="K95" s="77"/>
      <c r="L95" s="77">
        <v>0.3</v>
      </c>
      <c r="M95" s="77"/>
      <c r="N95" s="77">
        <v>0.4</v>
      </c>
      <c r="O95" s="78"/>
      <c r="P95" s="145" t="e">
        <f t="shared" si="38"/>
        <v>#N/A</v>
      </c>
      <c r="Q95" s="25" t="e">
        <v>#N/A</v>
      </c>
      <c r="S95" s="1"/>
      <c r="T95" s="1"/>
      <c r="U95" s="1"/>
      <c r="V95" s="1"/>
      <c r="W95" s="1"/>
      <c r="X95" s="1"/>
      <c r="AF95" t="e">
        <v>#N/A</v>
      </c>
      <c r="AG95" t="e">
        <f t="shared" si="60"/>
        <v>#N/A</v>
      </c>
      <c r="AK95" s="70"/>
      <c r="AL95" s="74"/>
      <c r="AN95" s="114" t="e">
        <f t="shared" si="57"/>
        <v>#N/A</v>
      </c>
    </row>
    <row r="96" spans="1:40" x14ac:dyDescent="0.25">
      <c r="A96" s="119">
        <v>100520837</v>
      </c>
      <c r="B96" s="120" t="s">
        <v>85</v>
      </c>
      <c r="C96" s="121">
        <v>7790360980625</v>
      </c>
      <c r="D96" s="122">
        <v>4.8</v>
      </c>
      <c r="E96" s="98">
        <v>12</v>
      </c>
      <c r="F96" s="83">
        <f t="shared" si="55"/>
        <v>32505.614135081214</v>
      </c>
      <c r="G96" s="135"/>
      <c r="H96" s="83">
        <f t="shared" si="58"/>
        <v>32505.614135081214</v>
      </c>
      <c r="I96" s="83">
        <f>+H96/E96</f>
        <v>2708.8011779234344</v>
      </c>
      <c r="J96" s="83">
        <f>+I96*J$95</f>
        <v>568.84824736392125</v>
      </c>
      <c r="K96" s="83">
        <f>+I96+J96</f>
        <v>3277.6494252873554</v>
      </c>
      <c r="L96" s="83">
        <f>+K96*L$95</f>
        <v>983.29482758620657</v>
      </c>
      <c r="M96" s="83">
        <f>+K96+L96</f>
        <v>4260.9442528735617</v>
      </c>
      <c r="N96" s="83">
        <f>+M96*N$95</f>
        <v>1704.3777011494249</v>
      </c>
      <c r="O96" s="99">
        <f>+M96+N96</f>
        <v>5965.3219540229866</v>
      </c>
      <c r="P96" s="145">
        <f t="shared" si="38"/>
        <v>0</v>
      </c>
      <c r="Q96" s="25">
        <v>32505.614135081214</v>
      </c>
      <c r="S96" s="146"/>
      <c r="T96" s="146"/>
      <c r="U96" s="146"/>
      <c r="V96" s="146"/>
      <c r="W96" s="146"/>
      <c r="X96" s="146"/>
      <c r="Y96" s="117">
        <v>0.1</v>
      </c>
      <c r="Z96" s="116">
        <f>+H96*(1-Y96)</f>
        <v>29255.052721573094</v>
      </c>
      <c r="AA96" s="116">
        <f>+Z96/E96</f>
        <v>2437.9210601310911</v>
      </c>
      <c r="AB96" s="116">
        <f>+AA96*1.21*1.3*1.4</f>
        <v>5368.7897586206882</v>
      </c>
      <c r="AC96" s="115" t="s">
        <v>105</v>
      </c>
      <c r="AD96" t="s">
        <v>104</v>
      </c>
      <c r="AF96">
        <v>30957.727747696394</v>
      </c>
      <c r="AG96">
        <f t="shared" si="60"/>
        <v>5.0000000000000024E-2</v>
      </c>
      <c r="AK96" s="79">
        <v>100520837</v>
      </c>
      <c r="AL96" s="24">
        <v>32505.614135081214</v>
      </c>
      <c r="AN96" s="114">
        <f t="shared" si="57"/>
        <v>1</v>
      </c>
    </row>
    <row r="97" spans="1:40" x14ac:dyDescent="0.25">
      <c r="A97" s="79">
        <v>100522395</v>
      </c>
      <c r="B97" s="42" t="s">
        <v>125</v>
      </c>
      <c r="C97" s="43">
        <v>7790360980625</v>
      </c>
      <c r="D97" s="80">
        <v>4.8</v>
      </c>
      <c r="E97" s="23">
        <v>12</v>
      </c>
      <c r="F97" s="83">
        <f t="shared" si="55"/>
        <v>33155.72</v>
      </c>
      <c r="G97" s="147"/>
      <c r="H97" s="83">
        <f t="shared" ref="H97" si="69">+F97*(1-G97)</f>
        <v>33155.72</v>
      </c>
      <c r="I97" s="83">
        <f>+H97/E97</f>
        <v>2762.9766666666669</v>
      </c>
      <c r="J97" s="83">
        <f>+I97*J$95</f>
        <v>580.2251</v>
      </c>
      <c r="K97" s="83">
        <f>+I97+J97</f>
        <v>3343.201766666667</v>
      </c>
      <c r="L97" s="83">
        <f>+K97*L$95</f>
        <v>1002.9605300000001</v>
      </c>
      <c r="M97" s="83">
        <f>+K97+L97</f>
        <v>4346.1622966666673</v>
      </c>
      <c r="N97" s="83">
        <f>+M97*N$95</f>
        <v>1738.464918666667</v>
      </c>
      <c r="O97" s="99">
        <f>+M97+N97</f>
        <v>6084.6272153333339</v>
      </c>
      <c r="P97" s="145"/>
      <c r="Q97" s="25">
        <v>33155.72</v>
      </c>
      <c r="S97" s="1" t="s">
        <v>144</v>
      </c>
      <c r="T97" s="146"/>
      <c r="U97" s="146"/>
      <c r="V97" s="146"/>
      <c r="W97" s="146"/>
      <c r="X97" s="146"/>
      <c r="Y97" s="117"/>
      <c r="Z97" s="116"/>
      <c r="AA97" s="116"/>
      <c r="AB97" s="116"/>
      <c r="AC97" s="115"/>
      <c r="AK97" s="79">
        <v>100522395</v>
      </c>
      <c r="AL97" s="24">
        <v>33155.72</v>
      </c>
      <c r="AN97" s="114"/>
    </row>
    <row r="98" spans="1:40" x14ac:dyDescent="0.25">
      <c r="A98" s="70"/>
      <c r="B98" s="71"/>
      <c r="C98" s="72"/>
      <c r="D98" s="71"/>
      <c r="E98" s="73"/>
      <c r="F98" s="74" t="e">
        <f t="shared" si="55"/>
        <v>#N/A</v>
      </c>
      <c r="G98" s="133"/>
      <c r="H98" s="74" t="e">
        <f t="shared" si="58"/>
        <v>#N/A</v>
      </c>
      <c r="I98" s="74"/>
      <c r="J98" s="77">
        <v>0.21</v>
      </c>
      <c r="K98" s="77"/>
      <c r="L98" s="77">
        <v>0.35</v>
      </c>
      <c r="M98" s="77"/>
      <c r="N98" s="77">
        <v>0.45</v>
      </c>
      <c r="O98" s="78"/>
      <c r="P98" s="145" t="e">
        <f t="shared" si="38"/>
        <v>#N/A</v>
      </c>
      <c r="Q98" s="25" t="e">
        <v>#N/A</v>
      </c>
      <c r="Z98" s="124"/>
      <c r="AA98" s="124"/>
      <c r="AB98" s="124"/>
      <c r="AF98" t="e">
        <v>#N/A</v>
      </c>
      <c r="AG98" t="e">
        <f t="shared" si="60"/>
        <v>#N/A</v>
      </c>
      <c r="AK98" s="70"/>
      <c r="AL98" s="74"/>
      <c r="AN98" s="114" t="e">
        <f t="shared" si="57"/>
        <v>#N/A</v>
      </c>
    </row>
    <row r="99" spans="1:40" x14ac:dyDescent="0.25">
      <c r="A99" s="119">
        <v>100520902</v>
      </c>
      <c r="B99" s="120" t="s">
        <v>86</v>
      </c>
      <c r="C99" s="121">
        <v>7790360981042</v>
      </c>
      <c r="D99" s="122">
        <v>9.8000000000000007</v>
      </c>
      <c r="E99" s="98">
        <v>14</v>
      </c>
      <c r="F99" s="83">
        <f t="shared" si="55"/>
        <v>29405.275323770627</v>
      </c>
      <c r="G99" s="148">
        <v>0.125</v>
      </c>
      <c r="H99" s="83">
        <f t="shared" si="58"/>
        <v>25729.6159082993</v>
      </c>
      <c r="I99" s="83">
        <f>+H99/E99</f>
        <v>1837.8297077356642</v>
      </c>
      <c r="J99" s="83">
        <f>+I99*J$98</f>
        <v>385.94423862448946</v>
      </c>
      <c r="K99" s="83">
        <f>+I99+J99</f>
        <v>2223.7739463601538</v>
      </c>
      <c r="L99" s="83">
        <f>+K99*L$98</f>
        <v>778.32088122605376</v>
      </c>
      <c r="M99" s="83">
        <f>+K99+L99</f>
        <v>3002.0948275862074</v>
      </c>
      <c r="N99" s="83">
        <f>+M99*N$98</f>
        <v>1350.9426724137934</v>
      </c>
      <c r="O99" s="99">
        <f>+M99+N99</f>
        <v>4353.0375000000004</v>
      </c>
      <c r="P99" s="145">
        <f t="shared" si="38"/>
        <v>2.0833333333333481E-2</v>
      </c>
      <c r="Q99" s="25">
        <v>25204.521706089105</v>
      </c>
      <c r="S99" s="152" t="s">
        <v>143</v>
      </c>
      <c r="Y99" s="117">
        <v>0.1</v>
      </c>
      <c r="Z99" s="116">
        <f>+H99*(1-Y99)</f>
        <v>23156.654317469369</v>
      </c>
      <c r="AA99" s="116">
        <f>+Z99/E99</f>
        <v>1654.0467369620978</v>
      </c>
      <c r="AB99" s="116">
        <f>+AA99*1.21*1.3*1.4</f>
        <v>3642.5417241379314</v>
      </c>
      <c r="AC99" s="115" t="s">
        <v>105</v>
      </c>
      <c r="AD99" t="s">
        <v>108</v>
      </c>
      <c r="AF99">
        <v>25729.6159082993</v>
      </c>
      <c r="AG99">
        <f t="shared" si="60"/>
        <v>0</v>
      </c>
      <c r="AK99" s="79">
        <v>100520902</v>
      </c>
      <c r="AL99" s="24">
        <v>29405.275323770627</v>
      </c>
      <c r="AN99" s="114">
        <f t="shared" si="57"/>
        <v>0.97959183673469363</v>
      </c>
    </row>
    <row r="100" spans="1:40" x14ac:dyDescent="0.25">
      <c r="A100" s="70"/>
      <c r="B100" s="71"/>
      <c r="C100" s="72"/>
      <c r="D100" s="71"/>
      <c r="E100" s="73"/>
      <c r="F100" s="74" t="e">
        <f t="shared" si="55"/>
        <v>#N/A</v>
      </c>
      <c r="G100" s="73"/>
      <c r="H100" s="74"/>
      <c r="I100" s="74"/>
      <c r="J100" s="77">
        <v>0.21</v>
      </c>
      <c r="K100" s="77"/>
      <c r="L100" s="77">
        <v>0.35</v>
      </c>
      <c r="M100" s="77"/>
      <c r="N100" s="77">
        <v>0.45</v>
      </c>
      <c r="O100" s="78"/>
      <c r="P100" s="145" t="e">
        <f t="shared" si="38"/>
        <v>#DIV/0!</v>
      </c>
      <c r="Q100" s="25"/>
      <c r="AK100" s="70"/>
      <c r="AL100" s="74"/>
      <c r="AN100" s="114" t="e">
        <f t="shared" si="57"/>
        <v>#DIV/0!</v>
      </c>
    </row>
    <row r="101" spans="1:40" x14ac:dyDescent="0.25">
      <c r="A101" s="119">
        <v>100521457</v>
      </c>
      <c r="B101" s="120" t="s">
        <v>100</v>
      </c>
      <c r="C101" s="121">
        <v>7790360982254</v>
      </c>
      <c r="D101" s="122">
        <v>4.8</v>
      </c>
      <c r="E101" s="98">
        <v>16</v>
      </c>
      <c r="F101" s="83">
        <f t="shared" si="55"/>
        <v>32843.545169563979</v>
      </c>
      <c r="G101" s="134">
        <v>7.4999999999999997E-2</v>
      </c>
      <c r="H101" s="83">
        <f t="shared" si="58"/>
        <v>30380.279281846681</v>
      </c>
      <c r="I101" s="83">
        <f>+H101/E101</f>
        <v>1898.7674551154175</v>
      </c>
      <c r="J101" s="83">
        <f>+I101*J$100</f>
        <v>398.74116557423764</v>
      </c>
      <c r="K101" s="83">
        <f t="shared" ref="K101:K104" si="70">+I101+J101</f>
        <v>2297.5086206896553</v>
      </c>
      <c r="L101" s="83">
        <f>+K101*L$100</f>
        <v>804.12801724137933</v>
      </c>
      <c r="M101" s="83">
        <f t="shared" ref="M101:M104" si="71">+K101+L101</f>
        <v>3101.6366379310348</v>
      </c>
      <c r="N101" s="83">
        <f>+M101*N$100</f>
        <v>1395.7364870689657</v>
      </c>
      <c r="O101" s="99">
        <f t="shared" ref="O101:O104" si="72">+M101+N101</f>
        <v>4497.3731250000001</v>
      </c>
      <c r="P101" s="145">
        <f t="shared" si="38"/>
        <v>0</v>
      </c>
      <c r="Q101" s="25">
        <v>30380.279281846681</v>
      </c>
      <c r="S101" s="1" t="s">
        <v>140</v>
      </c>
      <c r="Y101" s="117">
        <v>0.15</v>
      </c>
      <c r="Z101" s="116">
        <f>+H101*(1-Y101)</f>
        <v>25823.237389569676</v>
      </c>
      <c r="AA101" s="116">
        <f>+Z101/E101</f>
        <v>1613.9523368481048</v>
      </c>
      <c r="AB101" s="116">
        <f>+AA101*1.21*1.3*1.4</f>
        <v>3554.245836206896</v>
      </c>
      <c r="AC101" s="115" t="s">
        <v>105</v>
      </c>
      <c r="AD101" t="s">
        <v>109</v>
      </c>
      <c r="AF101">
        <v>28151.610145340554</v>
      </c>
      <c r="AG101">
        <f t="shared" si="60"/>
        <v>7.9166666666666663E-2</v>
      </c>
      <c r="AK101" s="79">
        <v>100521457</v>
      </c>
      <c r="AL101" s="24">
        <v>32843.545169563979</v>
      </c>
      <c r="AN101" s="114">
        <f t="shared" si="57"/>
        <v>1</v>
      </c>
    </row>
    <row r="102" spans="1:40" x14ac:dyDescent="0.25">
      <c r="A102" s="119">
        <v>100521455</v>
      </c>
      <c r="B102" s="120" t="s">
        <v>101</v>
      </c>
      <c r="C102" s="121">
        <v>7790360982247</v>
      </c>
      <c r="D102" s="122">
        <v>4.8</v>
      </c>
      <c r="E102" s="98">
        <v>16</v>
      </c>
      <c r="F102" s="83">
        <f t="shared" si="55"/>
        <v>32843.545169563979</v>
      </c>
      <c r="G102" s="134">
        <v>7.4999999999999997E-2</v>
      </c>
      <c r="H102" s="83">
        <f t="shared" si="58"/>
        <v>30380.279281846681</v>
      </c>
      <c r="I102" s="83">
        <f>+H102/E102</f>
        <v>1898.7674551154175</v>
      </c>
      <c r="J102" s="83">
        <f>+I102*J$100</f>
        <v>398.74116557423764</v>
      </c>
      <c r="K102" s="83">
        <f t="shared" si="70"/>
        <v>2297.5086206896553</v>
      </c>
      <c r="L102" s="83">
        <f>+K102*L$100</f>
        <v>804.12801724137933</v>
      </c>
      <c r="M102" s="83">
        <f t="shared" si="71"/>
        <v>3101.6366379310348</v>
      </c>
      <c r="N102" s="83">
        <f>+M102*N$100</f>
        <v>1395.7364870689657</v>
      </c>
      <c r="O102" s="99">
        <f t="shared" si="72"/>
        <v>4497.3731250000001</v>
      </c>
      <c r="P102" s="145">
        <f t="shared" si="38"/>
        <v>0</v>
      </c>
      <c r="Q102" s="25">
        <v>30380.279281846681</v>
      </c>
      <c r="S102" s="1" t="s">
        <v>140</v>
      </c>
      <c r="Y102" s="117">
        <v>0.15</v>
      </c>
      <c r="Z102" s="116">
        <f>+H102*(1-Y102)</f>
        <v>25823.237389569676</v>
      </c>
      <c r="AA102" s="116">
        <f>+Z102/E102</f>
        <v>1613.9523368481048</v>
      </c>
      <c r="AB102" s="116">
        <f>+AA102*1.21*1.3*1.4</f>
        <v>3554.245836206896</v>
      </c>
      <c r="AC102" s="115" t="s">
        <v>105</v>
      </c>
      <c r="AD102" t="s">
        <v>109</v>
      </c>
      <c r="AF102">
        <v>28151.610145340554</v>
      </c>
      <c r="AG102">
        <f t="shared" si="60"/>
        <v>7.9166666666666663E-2</v>
      </c>
      <c r="AK102" s="79">
        <v>100521455</v>
      </c>
      <c r="AL102" s="24">
        <v>32843.545169563979</v>
      </c>
      <c r="AN102" s="114">
        <f t="shared" si="57"/>
        <v>1</v>
      </c>
    </row>
    <row r="103" spans="1:40" x14ac:dyDescent="0.25">
      <c r="A103" s="119">
        <v>100521453</v>
      </c>
      <c r="B103" s="120" t="s">
        <v>102</v>
      </c>
      <c r="C103" s="121">
        <v>7790360982223</v>
      </c>
      <c r="D103" s="122">
        <v>5.4</v>
      </c>
      <c r="E103" s="98">
        <v>18</v>
      </c>
      <c r="F103" s="83">
        <f t="shared" si="55"/>
        <v>32330.364776289549</v>
      </c>
      <c r="G103" s="134">
        <v>7.4999999999999997E-2</v>
      </c>
      <c r="H103" s="83">
        <f t="shared" si="58"/>
        <v>29905.587418067833</v>
      </c>
      <c r="I103" s="83">
        <f>+H103/E103</f>
        <v>1661.4215232259908</v>
      </c>
      <c r="J103" s="83">
        <f>+I103*J$100</f>
        <v>348.89851987745806</v>
      </c>
      <c r="K103" s="83">
        <f t="shared" si="70"/>
        <v>2010.3200431034488</v>
      </c>
      <c r="L103" s="83">
        <f>+K103*0.338</f>
        <v>679.48817456896575</v>
      </c>
      <c r="M103" s="83">
        <f t="shared" si="71"/>
        <v>2689.8082176724147</v>
      </c>
      <c r="N103" s="83">
        <f>+M103*N$100</f>
        <v>1210.4136979525867</v>
      </c>
      <c r="O103" s="99">
        <f t="shared" si="72"/>
        <v>3900.2219156250012</v>
      </c>
      <c r="P103" s="145">
        <f t="shared" si="38"/>
        <v>0</v>
      </c>
      <c r="Q103" s="25">
        <v>29905.587418067833</v>
      </c>
      <c r="S103" s="1" t="s">
        <v>141</v>
      </c>
      <c r="Y103" s="117">
        <v>0.15</v>
      </c>
      <c r="Z103" s="116">
        <f>+H103*(1-Y103)</f>
        <v>25419.749305357658</v>
      </c>
      <c r="AA103" s="116">
        <f>+Z103/E103</f>
        <v>1412.2082947420922</v>
      </c>
      <c r="AB103" s="116">
        <f>+AA103*1.21*1.3*1.4</f>
        <v>3109.9651066810352</v>
      </c>
      <c r="AC103" s="115" t="s">
        <v>105</v>
      </c>
      <c r="AD103" t="s">
        <v>109</v>
      </c>
      <c r="AF103">
        <v>28481.511826731268</v>
      </c>
      <c r="AG103">
        <f t="shared" si="60"/>
        <v>5.0000000000000044E-2</v>
      </c>
      <c r="AK103" s="79">
        <v>100521453</v>
      </c>
      <c r="AL103" s="24">
        <v>32330.364776289549</v>
      </c>
      <c r="AN103" s="114">
        <f t="shared" si="57"/>
        <v>1</v>
      </c>
    </row>
    <row r="104" spans="1:40" x14ac:dyDescent="0.25">
      <c r="A104" s="119">
        <v>100521454</v>
      </c>
      <c r="B104" s="120" t="s">
        <v>103</v>
      </c>
      <c r="C104" s="121">
        <v>7790360982230</v>
      </c>
      <c r="D104" s="122">
        <v>5.3999999999999995</v>
      </c>
      <c r="E104" s="98">
        <v>18</v>
      </c>
      <c r="F104" s="83">
        <f t="shared" si="55"/>
        <v>32330.364776289549</v>
      </c>
      <c r="G104" s="134">
        <v>7.4999999999999997E-2</v>
      </c>
      <c r="H104" s="83">
        <f t="shared" si="58"/>
        <v>29905.587418067833</v>
      </c>
      <c r="I104" s="83">
        <f>+H104/E104</f>
        <v>1661.4215232259908</v>
      </c>
      <c r="J104" s="83">
        <f>+I104*J$100</f>
        <v>348.89851987745806</v>
      </c>
      <c r="K104" s="83">
        <f t="shared" si="70"/>
        <v>2010.3200431034488</v>
      </c>
      <c r="L104" s="83">
        <f>+K104*0.338</f>
        <v>679.48817456896575</v>
      </c>
      <c r="M104" s="83">
        <f t="shared" si="71"/>
        <v>2689.8082176724147</v>
      </c>
      <c r="N104" s="83">
        <f>+M104*N$100</f>
        <v>1210.4136979525867</v>
      </c>
      <c r="O104" s="99">
        <f t="shared" si="72"/>
        <v>3900.2219156250012</v>
      </c>
      <c r="P104" s="145">
        <f t="shared" si="38"/>
        <v>0</v>
      </c>
      <c r="Q104" s="25">
        <v>29905.587418067833</v>
      </c>
      <c r="S104" s="1" t="s">
        <v>141</v>
      </c>
      <c r="Y104" s="117">
        <v>0.15</v>
      </c>
      <c r="Z104" s="116">
        <f>+H104*(1-Y104)</f>
        <v>25419.749305357658</v>
      </c>
      <c r="AA104" s="116">
        <f>+Z104/E104</f>
        <v>1412.2082947420922</v>
      </c>
      <c r="AB104" s="116">
        <f>+AA104*1.21*1.3*1.4</f>
        <v>3109.9651066810352</v>
      </c>
      <c r="AC104" s="115" t="s">
        <v>105</v>
      </c>
      <c r="AD104" t="s">
        <v>109</v>
      </c>
      <c r="AF104">
        <v>28481.511826731268</v>
      </c>
      <c r="AG104">
        <f t="shared" si="60"/>
        <v>5.0000000000000044E-2</v>
      </c>
      <c r="AK104" s="79">
        <v>100521454</v>
      </c>
      <c r="AL104" s="24">
        <v>32330.364776289549</v>
      </c>
      <c r="AN104" s="114">
        <f t="shared" si="57"/>
        <v>1</v>
      </c>
    </row>
    <row r="105" spans="1:40" x14ac:dyDescent="0.25">
      <c r="A105" s="70"/>
      <c r="B105" s="71"/>
      <c r="C105" s="72"/>
      <c r="D105" s="163"/>
      <c r="E105" s="73"/>
      <c r="F105" s="73"/>
      <c r="G105" s="73"/>
      <c r="H105" s="74"/>
      <c r="I105" s="74"/>
      <c r="J105" s="77">
        <v>0.21</v>
      </c>
      <c r="K105" s="77"/>
      <c r="L105" s="77">
        <v>0.22</v>
      </c>
      <c r="M105" s="77"/>
      <c r="N105" s="77">
        <v>0.35</v>
      </c>
      <c r="O105" s="78"/>
      <c r="Q105" s="3"/>
      <c r="S105" s="1"/>
      <c r="AK105" s="70"/>
      <c r="AL105" s="74">
        <v>0.35</v>
      </c>
      <c r="AN105" s="114" t="e">
        <f t="shared" si="57"/>
        <v>#DIV/0!</v>
      </c>
    </row>
    <row r="106" spans="1:40" x14ac:dyDescent="0.25">
      <c r="A106" s="119">
        <v>100522246</v>
      </c>
      <c r="B106" s="120" t="s">
        <v>136</v>
      </c>
      <c r="C106" s="121">
        <v>7790360984234</v>
      </c>
      <c r="D106" s="122">
        <v>8.16</v>
      </c>
      <c r="E106" s="98">
        <v>48</v>
      </c>
      <c r="F106" s="83">
        <f>+VLOOKUP(A106,$AK$4:$AL$107,2,FALSE)</f>
        <v>106193.37939755226</v>
      </c>
      <c r="G106" s="164">
        <f>0.208333333333333*100%</f>
        <v>0.20833333333333301</v>
      </c>
      <c r="H106" s="83">
        <f t="shared" ref="H106:H107" si="73">+F106*(1-G106)</f>
        <v>84069.7586897289</v>
      </c>
      <c r="I106" s="83">
        <f t="shared" ref="I106:I107" si="74">+H106/E106</f>
        <v>1751.4533060360188</v>
      </c>
      <c r="J106" s="83">
        <f t="shared" ref="J106:J107" si="75">+I106*J$3</f>
        <v>367.80519426756393</v>
      </c>
      <c r="K106" s="83">
        <f t="shared" ref="K106:K107" si="76">+I106+J106</f>
        <v>2119.2585003035829</v>
      </c>
      <c r="L106" s="83">
        <f t="shared" ref="L106:L107" si="77">+K106*L$39</f>
        <v>466.23687006678824</v>
      </c>
      <c r="M106" s="83">
        <f t="shared" ref="M106:M107" si="78">+K106+L106</f>
        <v>2585.4953703703713</v>
      </c>
      <c r="N106" s="83">
        <f t="shared" ref="N106:N107" si="79">+M106*N$39</f>
        <v>904.92337962962995</v>
      </c>
      <c r="O106" s="99">
        <f t="shared" ref="O106:O107" si="80">+M106+N106</f>
        <v>3490.4187500000012</v>
      </c>
      <c r="S106" s="1" t="s">
        <v>142</v>
      </c>
      <c r="Y106">
        <f>+R102*9*2+R103*8*2+R4*144</f>
        <v>0</v>
      </c>
      <c r="AK106" s="79">
        <v>100522246</v>
      </c>
      <c r="AL106" s="24">
        <v>106193.37939755226</v>
      </c>
      <c r="AN106" s="114">
        <f t="shared" si="57"/>
        <v>0</v>
      </c>
    </row>
    <row r="107" spans="1:40" x14ac:dyDescent="0.25">
      <c r="A107" s="119">
        <v>100522247</v>
      </c>
      <c r="B107" s="120" t="s">
        <v>137</v>
      </c>
      <c r="C107" s="121">
        <v>7790360984241</v>
      </c>
      <c r="D107" s="122">
        <v>8.16</v>
      </c>
      <c r="E107" s="98">
        <v>48</v>
      </c>
      <c r="F107" s="83">
        <f>+VLOOKUP(A107,$AK$4:$AL$107,2,FALSE)</f>
        <v>106193.37939755226</v>
      </c>
      <c r="G107" s="164">
        <f>0.208333333333333*100%</f>
        <v>0.20833333333333301</v>
      </c>
      <c r="H107" s="83">
        <f t="shared" si="73"/>
        <v>84069.7586897289</v>
      </c>
      <c r="I107" s="83">
        <f t="shared" si="74"/>
        <v>1751.4533060360188</v>
      </c>
      <c r="J107" s="83">
        <f t="shared" si="75"/>
        <v>367.80519426756393</v>
      </c>
      <c r="K107" s="83">
        <f t="shared" si="76"/>
        <v>2119.2585003035829</v>
      </c>
      <c r="L107" s="83">
        <f t="shared" si="77"/>
        <v>466.23687006678824</v>
      </c>
      <c r="M107" s="83">
        <f t="shared" si="78"/>
        <v>2585.4953703703713</v>
      </c>
      <c r="N107" s="83">
        <f t="shared" si="79"/>
        <v>904.92337962962995</v>
      </c>
      <c r="O107" s="99">
        <f t="shared" si="80"/>
        <v>3490.4187500000012</v>
      </c>
      <c r="S107" s="1" t="s">
        <v>142</v>
      </c>
      <c r="AK107" s="79">
        <v>100522247</v>
      </c>
      <c r="AL107" s="24">
        <v>106193.37939755226</v>
      </c>
      <c r="AN107" s="114">
        <f t="shared" si="57"/>
        <v>0</v>
      </c>
    </row>
    <row r="108" spans="1:40" x14ac:dyDescent="0.25">
      <c r="F108"/>
      <c r="H108"/>
    </row>
  </sheetData>
  <conditionalFormatting sqref="A20:B20">
    <cfRule type="cellIs" dxfId="124" priority="125" stopIfTrue="1" operator="equal">
      <formula>0</formula>
    </cfRule>
  </conditionalFormatting>
  <conditionalFormatting sqref="A63:C63">
    <cfRule type="cellIs" dxfId="123" priority="122" stopIfTrue="1" operator="equal">
      <formula>0</formula>
    </cfRule>
  </conditionalFormatting>
  <conditionalFormatting sqref="A16:E19">
    <cfRule type="cellIs" dxfId="122" priority="123" stopIfTrue="1" operator="equal">
      <formula>0</formula>
    </cfRule>
  </conditionalFormatting>
  <conditionalFormatting sqref="A101:F104">
    <cfRule type="cellIs" dxfId="121" priority="75" stopIfTrue="1" operator="equal">
      <formula>0</formula>
    </cfRule>
  </conditionalFormatting>
  <conditionalFormatting sqref="A69:O69">
    <cfRule type="cellIs" dxfId="120" priority="59" stopIfTrue="1" operator="equal">
      <formula>0</formula>
    </cfRule>
  </conditionalFormatting>
  <conditionalFormatting sqref="A73:O74">
    <cfRule type="cellIs" dxfId="119" priority="58" stopIfTrue="1" operator="equal">
      <formula>0</formula>
    </cfRule>
  </conditionalFormatting>
  <conditionalFormatting sqref="A96:O97">
    <cfRule type="cellIs" dxfId="118" priority="61" stopIfTrue="1" operator="equal">
      <formula>0</formula>
    </cfRule>
  </conditionalFormatting>
  <conditionalFormatting sqref="A99:O99">
    <cfRule type="cellIs" dxfId="117" priority="60" stopIfTrue="1" operator="equal">
      <formula>0</formula>
    </cfRule>
  </conditionalFormatting>
  <conditionalFormatting sqref="B28">
    <cfRule type="cellIs" dxfId="116" priority="117" stopIfTrue="1" operator="equal">
      <formula>0</formula>
    </cfRule>
  </conditionalFormatting>
  <conditionalFormatting sqref="D20:E20">
    <cfRule type="cellIs" dxfId="115" priority="124" stopIfTrue="1" operator="equal">
      <formula>0</formula>
    </cfRule>
  </conditionalFormatting>
  <conditionalFormatting sqref="D58:F61 I58:O61">
    <cfRule type="cellIs" dxfId="114" priority="120" stopIfTrue="1" operator="equal">
      <formula>0</formula>
    </cfRule>
  </conditionalFormatting>
  <conditionalFormatting sqref="D89:O94">
    <cfRule type="cellIs" dxfId="113" priority="57" stopIfTrue="1" operator="equal">
      <formula>0</formula>
    </cfRule>
  </conditionalFormatting>
  <conditionalFormatting sqref="F16 H16:O16 F17:O20">
    <cfRule type="cellIs" dxfId="112" priority="105" stopIfTrue="1" operator="equal">
      <formula>0</formula>
    </cfRule>
  </conditionalFormatting>
  <conditionalFormatting sqref="F106:H107">
    <cfRule type="cellIs" dxfId="111" priority="18" stopIfTrue="1" operator="equal">
      <formula>0</formula>
    </cfRule>
  </conditionalFormatting>
  <conditionalFormatting sqref="H101:O102 H103:K104 M103:O104">
    <cfRule type="cellIs" dxfId="110" priority="74" stopIfTrue="1" operator="equal">
      <formula>0</formula>
    </cfRule>
  </conditionalFormatting>
  <conditionalFormatting sqref="L37:L38">
    <cfRule type="cellIs" dxfId="109" priority="118" stopIfTrue="1" operator="equal">
      <formula>0</formula>
    </cfRule>
  </conditionalFormatting>
  <conditionalFormatting sqref="S11:S16">
    <cfRule type="cellIs" dxfId="108" priority="40" operator="greaterThan">
      <formula>0</formula>
    </cfRule>
  </conditionalFormatting>
  <conditionalFormatting sqref="AK63">
    <cfRule type="cellIs" dxfId="107" priority="15" stopIfTrue="1" operator="equal">
      <formula>0</formula>
    </cfRule>
  </conditionalFormatting>
  <conditionalFormatting sqref="AK72:AK74">
    <cfRule type="cellIs" dxfId="106" priority="12" stopIfTrue="1" operator="equal">
      <formula>0</formula>
    </cfRule>
  </conditionalFormatting>
  <conditionalFormatting sqref="AK106:AK107">
    <cfRule type="cellIs" dxfId="105" priority="9" stopIfTrue="1" operator="equal">
      <formula>0</formula>
    </cfRule>
  </conditionalFormatting>
  <conditionalFormatting sqref="AK16:AL20">
    <cfRule type="cellIs" dxfId="104" priority="7" stopIfTrue="1" operator="equal">
      <formula>0</formula>
    </cfRule>
  </conditionalFormatting>
  <conditionalFormatting sqref="AK69:AL69">
    <cfRule type="cellIs" dxfId="103" priority="4" stopIfTrue="1" operator="equal">
      <formula>0</formula>
    </cfRule>
  </conditionalFormatting>
  <conditionalFormatting sqref="AK96:AL97">
    <cfRule type="cellIs" dxfId="102" priority="1" stopIfTrue="1" operator="equal">
      <formula>0</formula>
    </cfRule>
  </conditionalFormatting>
  <conditionalFormatting sqref="AK99:AL99">
    <cfRule type="cellIs" dxfId="101" priority="6" stopIfTrue="1" operator="equal">
      <formula>0</formula>
    </cfRule>
  </conditionalFormatting>
  <conditionalFormatting sqref="AK101:AL104">
    <cfRule type="cellIs" dxfId="100" priority="5" stopIfTrue="1" operator="equal">
      <formula>0</formula>
    </cfRule>
  </conditionalFormatting>
  <conditionalFormatting sqref="AL58:AL61">
    <cfRule type="cellIs" dxfId="99" priority="8" stopIfTrue="1" operator="equal">
      <formula>0</formula>
    </cfRule>
  </conditionalFormatting>
  <conditionalFormatting sqref="AL73:AL74">
    <cfRule type="cellIs" dxfId="98" priority="3" stopIfTrue="1" operator="equal">
      <formula>0</formula>
    </cfRule>
  </conditionalFormatting>
  <conditionalFormatting sqref="AL89:AL94">
    <cfRule type="cellIs" dxfId="97" priority="2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434D-1A9A-486F-A2BB-771A99AE47C8}">
  <dimension ref="A1:X107"/>
  <sheetViews>
    <sheetView topLeftCell="A79" zoomScale="80" zoomScaleNormal="80" workbookViewId="0">
      <selection activeCell="O97" sqref="O97"/>
    </sheetView>
  </sheetViews>
  <sheetFormatPr baseColWidth="10" defaultColWidth="11.42578125" defaultRowHeight="15" outlineLevelCol="1" x14ac:dyDescent="0.25"/>
  <cols>
    <col min="1" max="1" width="2.85546875" customWidth="1"/>
    <col min="2" max="2" width="11.85546875" customWidth="1"/>
    <col min="3" max="3" width="46.140625" bestFit="1" customWidth="1"/>
    <col min="4" max="4" width="12.140625" hidden="1" customWidth="1"/>
    <col min="5" max="5" width="8" bestFit="1" customWidth="1"/>
    <col min="6" max="6" width="9.42578125" bestFit="1" customWidth="1"/>
    <col min="7" max="7" width="9.42578125" style="81" bestFit="1" customWidth="1"/>
    <col min="8" max="8" width="9.42578125" customWidth="1"/>
    <col min="9" max="9" width="9.42578125" style="81" bestFit="1" customWidth="1"/>
    <col min="10" max="15" width="11.42578125" customWidth="1" outlineLevel="1"/>
    <col min="16" max="16" width="11.42578125" style="76" customWidth="1"/>
    <col min="17" max="22" width="11.42578125" hidden="1" customWidth="1"/>
  </cols>
  <sheetData>
    <row r="1" spans="2:21" s="1" customFormat="1" ht="12.75" thickBot="1" x14ac:dyDescent="0.25">
      <c r="G1" s="2"/>
      <c r="I1" s="2"/>
      <c r="P1" s="3"/>
    </row>
    <row r="2" spans="2:21" s="1" customFormat="1" ht="36.75" thickBot="1" x14ac:dyDescent="0.2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87</v>
      </c>
      <c r="H2" s="6" t="s">
        <v>90</v>
      </c>
      <c r="I2" s="7" t="s">
        <v>97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113</v>
      </c>
    </row>
    <row r="3" spans="2:21" s="1" customFormat="1" ht="12" x14ac:dyDescent="0.2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1" x14ac:dyDescent="0.25">
      <c r="B4" s="19">
        <v>100021632</v>
      </c>
      <c r="C4" s="20" t="s">
        <v>13</v>
      </c>
      <c r="D4" s="21">
        <v>7790360026606</v>
      </c>
      <c r="E4" s="22">
        <v>4.8</v>
      </c>
      <c r="F4" s="23">
        <v>30</v>
      </c>
      <c r="G4" s="24">
        <f t="shared" ref="G4:G28" si="0">+VLOOKUP(B4,$T$4:$U$104,2,FALSE)</f>
        <v>39054.638581504725</v>
      </c>
      <c r="H4" s="23"/>
      <c r="I4" s="24">
        <f>+G4*(1-H4)</f>
        <v>39054.638581504725</v>
      </c>
      <c r="J4" s="24">
        <f t="shared" ref="J4:J38" si="1">+I4/F4</f>
        <v>1301.8212860501576</v>
      </c>
      <c r="K4" s="24">
        <f>+J4*K$3</f>
        <v>273.38247007053309</v>
      </c>
      <c r="L4" s="24">
        <f>+J4+K4</f>
        <v>1575.2037561206907</v>
      </c>
      <c r="M4" s="24">
        <f>+L4*M$3</f>
        <v>472.56112683620722</v>
      </c>
      <c r="N4" s="24">
        <f>+L4+M4</f>
        <v>2047.764882956898</v>
      </c>
      <c r="O4" s="24">
        <f>+N4*O$3</f>
        <v>819.10595318275921</v>
      </c>
      <c r="P4" s="25">
        <f>+N4+O4</f>
        <v>2866.8708361396571</v>
      </c>
      <c r="R4" s="24">
        <v>34111.833855799385</v>
      </c>
      <c r="S4" s="114">
        <f>+(I4-R4)/R4</f>
        <v>0.14490000000000028</v>
      </c>
      <c r="T4" s="19">
        <v>100021632</v>
      </c>
      <c r="U4" s="24">
        <v>39054.638581504725</v>
      </c>
    </row>
    <row r="5" spans="2:21" x14ac:dyDescent="0.25">
      <c r="B5" s="26">
        <v>100021652</v>
      </c>
      <c r="C5" s="20" t="s">
        <v>14</v>
      </c>
      <c r="D5" s="21">
        <v>7790360026576</v>
      </c>
      <c r="E5" s="22">
        <v>5.76</v>
      </c>
      <c r="F5" s="23">
        <v>18</v>
      </c>
      <c r="G5" s="24">
        <f t="shared" si="0"/>
        <v>47014.671300940456</v>
      </c>
      <c r="H5" s="23"/>
      <c r="I5" s="24">
        <f t="shared" ref="I5:I38" si="2">+G5*(1-H5)</f>
        <v>47014.671300940456</v>
      </c>
      <c r="J5" s="24">
        <f t="shared" si="1"/>
        <v>2611.9261833855808</v>
      </c>
      <c r="K5" s="24">
        <f t="shared" ref="K5:K77" si="3">+J5*K$3</f>
        <v>548.50449851097198</v>
      </c>
      <c r="L5" s="24">
        <f t="shared" ref="L5:L77" si="4">+J5+K5</f>
        <v>3160.4306818965529</v>
      </c>
      <c r="M5" s="24">
        <f t="shared" ref="M5:M77" si="5">+L5*M$3</f>
        <v>948.12920456896586</v>
      </c>
      <c r="N5" s="24">
        <f t="shared" ref="N5:N77" si="6">+L5+M5</f>
        <v>4108.5598864655185</v>
      </c>
      <c r="O5" s="24">
        <f t="shared" ref="O5:O77" si="7">+N5*O$3</f>
        <v>1643.4239545862074</v>
      </c>
      <c r="P5" s="25">
        <f t="shared" ref="P5:P77" si="8">+N5+O5</f>
        <v>5751.9838410517259</v>
      </c>
      <c r="R5" s="24">
        <v>43938.945141065837</v>
      </c>
      <c r="S5" s="114">
        <f t="shared" ref="S5:S77" si="9">+(I5-R5)/R5</f>
        <v>7.0000000000000243E-2</v>
      </c>
      <c r="T5" s="26">
        <v>100021652</v>
      </c>
      <c r="U5" s="24">
        <v>47014.671300940456</v>
      </c>
    </row>
    <row r="6" spans="2:21" x14ac:dyDescent="0.25">
      <c r="B6" s="26">
        <v>100021631</v>
      </c>
      <c r="C6" s="20" t="s">
        <v>15</v>
      </c>
      <c r="D6" s="21">
        <v>7790360026590</v>
      </c>
      <c r="E6" s="22">
        <v>7.68</v>
      </c>
      <c r="F6" s="23">
        <v>8</v>
      </c>
      <c r="G6" s="24">
        <f t="shared" si="0"/>
        <v>62487.421730407565</v>
      </c>
      <c r="H6" s="23"/>
      <c r="I6" s="24">
        <f t="shared" si="2"/>
        <v>62487.421730407565</v>
      </c>
      <c r="J6" s="24">
        <f t="shared" si="1"/>
        <v>7810.9277163009456</v>
      </c>
      <c r="K6" s="24">
        <f t="shared" si="3"/>
        <v>1640.2948204231984</v>
      </c>
      <c r="L6" s="24">
        <f t="shared" si="4"/>
        <v>9451.2225367241444</v>
      </c>
      <c r="M6" s="24">
        <f t="shared" si="5"/>
        <v>2835.3667610172433</v>
      </c>
      <c r="N6" s="24">
        <f t="shared" si="6"/>
        <v>12286.589297741388</v>
      </c>
      <c r="O6" s="24">
        <f t="shared" si="7"/>
        <v>4914.6357190965555</v>
      </c>
      <c r="P6" s="25">
        <f t="shared" si="8"/>
        <v>17201.225016837943</v>
      </c>
      <c r="R6" s="24">
        <v>73786.601645146075</v>
      </c>
      <c r="S6" s="114">
        <f t="shared" si="9"/>
        <v>-0.15313322016208897</v>
      </c>
      <c r="T6" s="26">
        <v>100021631</v>
      </c>
      <c r="U6" s="24">
        <v>62487.421730407565</v>
      </c>
    </row>
    <row r="7" spans="2:21" x14ac:dyDescent="0.25">
      <c r="B7" s="26">
        <v>100021630</v>
      </c>
      <c r="C7" s="20" t="s">
        <v>16</v>
      </c>
      <c r="D7" s="21">
        <v>7790360026583</v>
      </c>
      <c r="E7" s="22">
        <v>9.6</v>
      </c>
      <c r="F7" s="23">
        <v>6</v>
      </c>
      <c r="G7" s="24">
        <f t="shared" si="0"/>
        <v>78109.27716300945</v>
      </c>
      <c r="H7" s="23"/>
      <c r="I7" s="24">
        <f t="shared" si="2"/>
        <v>78109.27716300945</v>
      </c>
      <c r="J7" s="24">
        <f t="shared" si="1"/>
        <v>13018.212860501575</v>
      </c>
      <c r="K7" s="24">
        <f t="shared" si="3"/>
        <v>2733.8247007053305</v>
      </c>
      <c r="L7" s="24">
        <f t="shared" si="4"/>
        <v>15752.037561206906</v>
      </c>
      <c r="M7" s="24">
        <f t="shared" si="5"/>
        <v>4725.6112683620713</v>
      </c>
      <c r="N7" s="24">
        <f t="shared" si="6"/>
        <v>20477.648829568978</v>
      </c>
      <c r="O7" s="24">
        <f t="shared" si="7"/>
        <v>8191.0595318275919</v>
      </c>
      <c r="P7" s="25">
        <f t="shared" si="8"/>
        <v>28668.70836139657</v>
      </c>
      <c r="R7" s="24">
        <v>92268.024253249328</v>
      </c>
      <c r="S7" s="114">
        <f t="shared" si="9"/>
        <v>-0.15345237101184878</v>
      </c>
      <c r="T7" s="26">
        <v>100021630</v>
      </c>
      <c r="U7" s="24">
        <v>78109.27716300945</v>
      </c>
    </row>
    <row r="8" spans="2:21" x14ac:dyDescent="0.25">
      <c r="B8" s="27">
        <v>100021653</v>
      </c>
      <c r="C8" s="28" t="s">
        <v>17</v>
      </c>
      <c r="D8" s="21">
        <v>7790360026682</v>
      </c>
      <c r="E8" s="22">
        <v>5.76</v>
      </c>
      <c r="F8" s="23">
        <v>18</v>
      </c>
      <c r="G8" s="24">
        <f t="shared" si="0"/>
        <v>51552.122927586242</v>
      </c>
      <c r="H8" s="23"/>
      <c r="I8" s="24">
        <f t="shared" si="2"/>
        <v>51552.122927586242</v>
      </c>
      <c r="J8" s="24">
        <f t="shared" si="1"/>
        <v>2864.0068293103468</v>
      </c>
      <c r="K8" s="24">
        <f t="shared" si="3"/>
        <v>601.44143415517283</v>
      </c>
      <c r="L8" s="24">
        <f t="shared" si="4"/>
        <v>3465.4482634655196</v>
      </c>
      <c r="M8" s="24">
        <f t="shared" si="5"/>
        <v>1039.6344790396558</v>
      </c>
      <c r="N8" s="24">
        <f t="shared" si="6"/>
        <v>4505.0827425051757</v>
      </c>
      <c r="O8" s="24">
        <f t="shared" si="7"/>
        <v>1802.0330970020705</v>
      </c>
      <c r="P8" s="25">
        <f t="shared" si="8"/>
        <v>6307.1158395072462</v>
      </c>
      <c r="R8" s="24">
        <v>58094.423534160669</v>
      </c>
      <c r="S8" s="114">
        <f t="shared" si="9"/>
        <v>-0.11261495008599964</v>
      </c>
      <c r="T8" s="27">
        <v>100021653</v>
      </c>
      <c r="U8" s="24">
        <v>51552.122927586242</v>
      </c>
    </row>
    <row r="9" spans="2:21" x14ac:dyDescent="0.25">
      <c r="B9" s="27">
        <v>100516169</v>
      </c>
      <c r="C9" s="28" t="s">
        <v>18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2"/>
        <v>47534.511197250016</v>
      </c>
      <c r="J9" s="24">
        <f t="shared" si="1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 s="24">
        <v>47534.511197250016</v>
      </c>
      <c r="S9" s="114">
        <f t="shared" si="9"/>
        <v>0</v>
      </c>
      <c r="T9" s="27">
        <v>100516169</v>
      </c>
      <c r="U9" s="24">
        <v>47534.511197250016</v>
      </c>
    </row>
    <row r="10" spans="2:21" x14ac:dyDescent="0.25">
      <c r="B10" s="27">
        <v>100520337</v>
      </c>
      <c r="C10" s="28" t="s">
        <v>19</v>
      </c>
      <c r="D10" s="21">
        <v>7790360977960</v>
      </c>
      <c r="E10" s="22">
        <v>4.8</v>
      </c>
      <c r="F10" s="23">
        <v>30</v>
      </c>
      <c r="G10" s="24">
        <f t="shared" si="0"/>
        <v>27614.341692789974</v>
      </c>
      <c r="H10" s="23"/>
      <c r="I10" s="24">
        <f t="shared" si="2"/>
        <v>27614.341692789974</v>
      </c>
      <c r="J10" s="24">
        <f t="shared" si="1"/>
        <v>920.4780564263325</v>
      </c>
      <c r="K10" s="24">
        <f>+J10*K$3</f>
        <v>193.30039184952983</v>
      </c>
      <c r="L10" s="24">
        <f>+J10+K10</f>
        <v>1113.7784482758623</v>
      </c>
      <c r="M10" s="24">
        <f>+L10*M$3</f>
        <v>334.13353448275865</v>
      </c>
      <c r="N10" s="24">
        <f>+L10+M10</f>
        <v>1447.911982758621</v>
      </c>
      <c r="O10" s="24">
        <f>+N10*O$3</f>
        <v>579.16479310344846</v>
      </c>
      <c r="P10" s="25">
        <f>+N10+O10</f>
        <v>2027.0767758620696</v>
      </c>
      <c r="R10" s="24">
        <v>27614.341692789974</v>
      </c>
      <c r="S10" s="114">
        <f t="shared" si="9"/>
        <v>0</v>
      </c>
      <c r="T10" s="27">
        <v>100520337</v>
      </c>
      <c r="U10" s="24">
        <v>27614.341692789974</v>
      </c>
    </row>
    <row r="11" spans="2:21" x14ac:dyDescent="0.25">
      <c r="B11" s="27">
        <v>100021503</v>
      </c>
      <c r="C11" s="28" t="s">
        <v>20</v>
      </c>
      <c r="D11" s="21">
        <v>7790360966841</v>
      </c>
      <c r="E11" s="22">
        <v>3.3119999999999998</v>
      </c>
      <c r="F11" s="23">
        <v>12</v>
      </c>
      <c r="G11" s="24">
        <f t="shared" si="0"/>
        <v>21084.263322884013</v>
      </c>
      <c r="H11" s="151">
        <v>8.3299999999999999E-2</v>
      </c>
      <c r="I11" s="24">
        <f t="shared" si="2"/>
        <v>19327.944188087775</v>
      </c>
      <c r="J11" s="24">
        <f t="shared" si="1"/>
        <v>1610.6620156739812</v>
      </c>
      <c r="K11" s="24">
        <f t="shared" si="3"/>
        <v>338.23902329153606</v>
      </c>
      <c r="L11" s="24">
        <f t="shared" si="4"/>
        <v>1948.9010389655173</v>
      </c>
      <c r="M11" s="24">
        <f t="shared" si="5"/>
        <v>584.67031168965514</v>
      </c>
      <c r="N11" s="24">
        <f t="shared" si="6"/>
        <v>2533.5713506551724</v>
      </c>
      <c r="O11" s="24">
        <f t="shared" si="7"/>
        <v>1013.428540262069</v>
      </c>
      <c r="P11" s="25">
        <f t="shared" si="8"/>
        <v>3546.9998909172414</v>
      </c>
      <c r="R11" s="24">
        <v>17418.808777429473</v>
      </c>
      <c r="S11" s="114">
        <f t="shared" si="9"/>
        <v>0.10960195011337835</v>
      </c>
      <c r="T11" s="27">
        <v>100021503</v>
      </c>
      <c r="U11" s="24">
        <v>21084.263322884013</v>
      </c>
    </row>
    <row r="12" spans="2:21" x14ac:dyDescent="0.25">
      <c r="B12" s="27">
        <v>100516201</v>
      </c>
      <c r="C12" s="28" t="s">
        <v>21</v>
      </c>
      <c r="D12" s="21">
        <v>7790360968548</v>
      </c>
      <c r="E12" s="22">
        <v>6.6239999999999997</v>
      </c>
      <c r="F12" s="23">
        <v>8</v>
      </c>
      <c r="G12" s="24">
        <f t="shared" si="0"/>
        <v>46067.117847020418</v>
      </c>
      <c r="H12" s="150"/>
      <c r="I12" s="24">
        <f t="shared" si="2"/>
        <v>46067.117847020418</v>
      </c>
      <c r="J12" s="24">
        <f t="shared" si="1"/>
        <v>5758.3897308775522</v>
      </c>
      <c r="K12" s="24">
        <f t="shared" si="3"/>
        <v>1209.2618434842859</v>
      </c>
      <c r="L12" s="24">
        <f t="shared" si="4"/>
        <v>6967.6515743618384</v>
      </c>
      <c r="M12" s="24">
        <f t="shared" si="5"/>
        <v>2090.2954723085513</v>
      </c>
      <c r="N12" s="24">
        <f t="shared" si="6"/>
        <v>9057.9470466703897</v>
      </c>
      <c r="O12" s="24">
        <f t="shared" si="7"/>
        <v>3623.1788186681561</v>
      </c>
      <c r="P12" s="25">
        <f t="shared" si="8"/>
        <v>12681.125865338545</v>
      </c>
      <c r="R12" s="24">
        <v>43873.445568590869</v>
      </c>
      <c r="S12" s="114">
        <f t="shared" si="9"/>
        <v>5.0000000000000128E-2</v>
      </c>
      <c r="T12" s="27">
        <v>100516201</v>
      </c>
      <c r="U12" s="24">
        <v>46067.117847020418</v>
      </c>
    </row>
    <row r="13" spans="2:21" x14ac:dyDescent="0.25">
      <c r="B13" s="27">
        <v>100021643</v>
      </c>
      <c r="C13" s="28" t="s">
        <v>22</v>
      </c>
      <c r="D13" s="21">
        <v>7790360966797</v>
      </c>
      <c r="E13" s="22">
        <v>4.7039999999999997</v>
      </c>
      <c r="F13" s="23">
        <v>42</v>
      </c>
      <c r="G13" s="24">
        <f t="shared" si="0"/>
        <v>28251.565956112863</v>
      </c>
      <c r="H13" s="150"/>
      <c r="I13" s="24">
        <f t="shared" si="2"/>
        <v>28251.565956112863</v>
      </c>
      <c r="J13" s="24">
        <f t="shared" si="1"/>
        <v>672.65633228840147</v>
      </c>
      <c r="K13" s="24">
        <f t="shared" si="3"/>
        <v>141.25782978056429</v>
      </c>
      <c r="L13" s="24">
        <f t="shared" si="4"/>
        <v>813.91416206896577</v>
      </c>
      <c r="M13" s="24">
        <f t="shared" si="5"/>
        <v>244.17424862068972</v>
      </c>
      <c r="N13" s="24">
        <f t="shared" si="6"/>
        <v>1058.0884106896556</v>
      </c>
      <c r="O13" s="24">
        <f t="shared" si="7"/>
        <v>423.23536427586225</v>
      </c>
      <c r="P13" s="25">
        <f t="shared" si="8"/>
        <v>1481.3237749655177</v>
      </c>
      <c r="R13" s="24">
        <v>26906.253291536061</v>
      </c>
      <c r="S13" s="114">
        <f t="shared" si="9"/>
        <v>4.9999999999999982E-2</v>
      </c>
      <c r="T13" s="27">
        <v>100021643</v>
      </c>
      <c r="U13" s="24">
        <v>28251.565956112863</v>
      </c>
    </row>
    <row r="14" spans="2:21" x14ac:dyDescent="0.25">
      <c r="B14" s="27">
        <v>100516325</v>
      </c>
      <c r="C14" s="28" t="s">
        <v>23</v>
      </c>
      <c r="D14" s="21">
        <v>7790360967763</v>
      </c>
      <c r="E14" s="22">
        <v>4.7039999999999997</v>
      </c>
      <c r="F14" s="23">
        <v>21</v>
      </c>
      <c r="G14" s="24">
        <f t="shared" si="0"/>
        <v>31773.021457371331</v>
      </c>
      <c r="H14" s="150"/>
      <c r="I14" s="24">
        <f t="shared" si="2"/>
        <v>31773.021457371331</v>
      </c>
      <c r="J14" s="24">
        <f t="shared" si="1"/>
        <v>1513.0010217795873</v>
      </c>
      <c r="K14" s="24">
        <f t="shared" si="3"/>
        <v>317.73021457371334</v>
      </c>
      <c r="L14" s="24">
        <f t="shared" si="4"/>
        <v>1830.7312363533006</v>
      </c>
      <c r="M14" s="24">
        <f t="shared" si="5"/>
        <v>549.2193709059901</v>
      </c>
      <c r="N14" s="24">
        <f t="shared" si="6"/>
        <v>2379.9506072592908</v>
      </c>
      <c r="O14" s="24">
        <f t="shared" si="7"/>
        <v>951.98024290371632</v>
      </c>
      <c r="P14" s="25">
        <f t="shared" si="8"/>
        <v>3331.9308501630071</v>
      </c>
      <c r="R14" s="24">
        <v>31773.021457371331</v>
      </c>
      <c r="S14" s="114">
        <f t="shared" si="9"/>
        <v>0</v>
      </c>
      <c r="T14" s="27">
        <v>100516325</v>
      </c>
      <c r="U14" s="24">
        <v>31773.021457371331</v>
      </c>
    </row>
    <row r="15" spans="2:21" x14ac:dyDescent="0.25">
      <c r="B15" s="27">
        <v>100021676</v>
      </c>
      <c r="C15" s="28" t="s">
        <v>24</v>
      </c>
      <c r="D15" s="21">
        <v>7790360967411</v>
      </c>
      <c r="E15" s="22">
        <v>7.5</v>
      </c>
      <c r="F15" s="23">
        <v>30</v>
      </c>
      <c r="G15" s="24">
        <f t="shared" si="0"/>
        <v>61903.059404388732</v>
      </c>
      <c r="H15" s="151">
        <v>6.6699999999999995E-2</v>
      </c>
      <c r="I15" s="24">
        <f t="shared" si="2"/>
        <v>57774.125342116007</v>
      </c>
      <c r="J15" s="24">
        <f t="shared" si="1"/>
        <v>1925.8041780705337</v>
      </c>
      <c r="K15" s="24">
        <f t="shared" si="3"/>
        <v>404.41887739481206</v>
      </c>
      <c r="L15" s="24">
        <f t="shared" si="4"/>
        <v>2330.2230554653456</v>
      </c>
      <c r="M15" s="24">
        <f t="shared" si="5"/>
        <v>699.06691663960362</v>
      </c>
      <c r="N15" s="24">
        <f t="shared" si="6"/>
        <v>3029.2899721049494</v>
      </c>
      <c r="O15" s="24">
        <f t="shared" si="7"/>
        <v>1211.7159888419799</v>
      </c>
      <c r="P15" s="25">
        <f t="shared" si="8"/>
        <v>4241.005960946929</v>
      </c>
      <c r="R15" s="24">
        <v>61903.059404388732</v>
      </c>
      <c r="S15" s="114">
        <f t="shared" si="9"/>
        <v>-6.669999999999994E-2</v>
      </c>
      <c r="T15" s="27">
        <v>100021676</v>
      </c>
      <c r="U15" s="24">
        <v>61903.059404388732</v>
      </c>
    </row>
    <row r="16" spans="2:21" x14ac:dyDescent="0.25">
      <c r="B16" s="27">
        <v>100516008</v>
      </c>
      <c r="C16" s="28" t="s">
        <v>25</v>
      </c>
      <c r="D16" s="21">
        <v>7790360967701</v>
      </c>
      <c r="E16" s="22">
        <v>5.76</v>
      </c>
      <c r="F16" s="23">
        <v>24</v>
      </c>
      <c r="G16" s="24">
        <f t="shared" si="0"/>
        <v>54953.721035668372</v>
      </c>
      <c r="H16" s="151">
        <v>9.0899999999999995E-2</v>
      </c>
      <c r="I16" s="24">
        <f t="shared" si="2"/>
        <v>49958.42779352612</v>
      </c>
      <c r="J16" s="24">
        <f t="shared" si="1"/>
        <v>2081.6011580635882</v>
      </c>
      <c r="K16" s="24">
        <f t="shared" si="3"/>
        <v>437.13624319335349</v>
      </c>
      <c r="L16" s="24">
        <f t="shared" si="4"/>
        <v>2518.7374012569417</v>
      </c>
      <c r="M16" s="24">
        <f t="shared" si="5"/>
        <v>755.62122037708252</v>
      </c>
      <c r="N16" s="24">
        <f t="shared" si="6"/>
        <v>3274.3586216340241</v>
      </c>
      <c r="O16" s="24">
        <f t="shared" si="7"/>
        <v>1309.7434486536097</v>
      </c>
      <c r="P16" s="25">
        <f t="shared" si="8"/>
        <v>4584.102070287634</v>
      </c>
      <c r="R16" s="24">
        <v>54953.721035668372</v>
      </c>
      <c r="S16" s="114">
        <f t="shared" si="9"/>
        <v>-9.0899999999999939E-2</v>
      </c>
      <c r="T16" s="27">
        <v>100516008</v>
      </c>
      <c r="U16" s="24">
        <v>54953.721035668372</v>
      </c>
    </row>
    <row r="17" spans="1:21" x14ac:dyDescent="0.25">
      <c r="B17" s="82">
        <v>100520834</v>
      </c>
      <c r="C17" s="95" t="s">
        <v>26</v>
      </c>
      <c r="D17" s="96">
        <v>7790360980618</v>
      </c>
      <c r="E17" s="97">
        <v>6.66</v>
      </c>
      <c r="F17" s="98">
        <v>36</v>
      </c>
      <c r="G17" s="83">
        <f t="shared" si="0"/>
        <v>64264.025194058624</v>
      </c>
      <c r="H17" s="98"/>
      <c r="I17" s="83">
        <f t="shared" si="2"/>
        <v>64264.025194058624</v>
      </c>
      <c r="J17" s="83">
        <f t="shared" si="1"/>
        <v>1785.1118109460729</v>
      </c>
      <c r="K17" s="83">
        <f>+J17*K$3</f>
        <v>374.8734802986753</v>
      </c>
      <c r="L17" s="83">
        <f>+J17+K17</f>
        <v>2159.9852912447482</v>
      </c>
      <c r="M17" s="83">
        <f>+L17*M$3</f>
        <v>647.99558737342443</v>
      </c>
      <c r="N17" s="83">
        <f>+L17+M17</f>
        <v>2807.9808786181725</v>
      </c>
      <c r="O17" s="83">
        <f>+N17*O$3</f>
        <v>1123.1923514472689</v>
      </c>
      <c r="P17" s="99">
        <f>+N17+O17</f>
        <v>3931.1732300654412</v>
      </c>
      <c r="R17" s="83">
        <v>64264.025194058624</v>
      </c>
      <c r="S17" s="114">
        <f t="shared" si="9"/>
        <v>0</v>
      </c>
      <c r="T17" s="27">
        <v>100520834</v>
      </c>
      <c r="U17" s="24">
        <v>64264.025194058624</v>
      </c>
    </row>
    <row r="18" spans="1:21" x14ac:dyDescent="0.25">
      <c r="B18" s="27">
        <v>100021680</v>
      </c>
      <c r="C18" s="28" t="s">
        <v>27</v>
      </c>
      <c r="D18" s="21">
        <v>7790360967688</v>
      </c>
      <c r="E18" s="22">
        <v>4.32</v>
      </c>
      <c r="F18" s="23">
        <v>18</v>
      </c>
      <c r="G18" s="24">
        <f t="shared" si="0"/>
        <v>51472.632736841813</v>
      </c>
      <c r="H18" s="23"/>
      <c r="I18" s="24">
        <f t="shared" si="2"/>
        <v>51472.632736841813</v>
      </c>
      <c r="J18" s="24">
        <f t="shared" si="1"/>
        <v>2859.5907076023232</v>
      </c>
      <c r="K18" s="24">
        <f t="shared" si="3"/>
        <v>600.5140485964879</v>
      </c>
      <c r="L18" s="24">
        <f t="shared" si="4"/>
        <v>3460.1047561988112</v>
      </c>
      <c r="M18" s="24">
        <f t="shared" si="5"/>
        <v>1038.0314268596433</v>
      </c>
      <c r="N18" s="24">
        <f t="shared" si="6"/>
        <v>4498.1361830584547</v>
      </c>
      <c r="O18" s="24">
        <f t="shared" si="7"/>
        <v>1799.2544732233819</v>
      </c>
      <c r="P18" s="25">
        <f t="shared" si="8"/>
        <v>6297.3906562818365</v>
      </c>
      <c r="R18" s="24">
        <v>51472.632736841813</v>
      </c>
      <c r="S18" s="114">
        <f t="shared" si="9"/>
        <v>0</v>
      </c>
      <c r="T18" s="27">
        <v>100021680</v>
      </c>
      <c r="U18" s="24">
        <v>51472.632736841813</v>
      </c>
    </row>
    <row r="19" spans="1:21" x14ac:dyDescent="0.25">
      <c r="B19" s="27">
        <v>100021644</v>
      </c>
      <c r="C19" s="28" t="s">
        <v>28</v>
      </c>
      <c r="D19" s="21">
        <v>7790360008541</v>
      </c>
      <c r="E19" s="22">
        <v>4.7039999999999997</v>
      </c>
      <c r="F19" s="23">
        <v>42</v>
      </c>
      <c r="G19" s="24">
        <f t="shared" si="0"/>
        <v>19172.581341933932</v>
      </c>
      <c r="H19" s="23"/>
      <c r="I19" s="24">
        <f t="shared" si="2"/>
        <v>19172.581341933932</v>
      </c>
      <c r="J19" s="24">
        <f t="shared" si="1"/>
        <v>456.49003195080792</v>
      </c>
      <c r="K19" s="24">
        <f t="shared" si="3"/>
        <v>95.862906709669659</v>
      </c>
      <c r="L19" s="24">
        <f t="shared" si="4"/>
        <v>552.35293866047755</v>
      </c>
      <c r="M19" s="29">
        <f>+L19*0.33</f>
        <v>182.27646975795761</v>
      </c>
      <c r="N19" s="24">
        <f t="shared" si="6"/>
        <v>734.6294084184351</v>
      </c>
      <c r="O19" s="24">
        <f t="shared" si="7"/>
        <v>293.85176336737408</v>
      </c>
      <c r="P19" s="25">
        <f t="shared" si="8"/>
        <v>1028.4811717858092</v>
      </c>
      <c r="R19" s="24">
        <v>16671.809862551247</v>
      </c>
      <c r="S19" s="114">
        <f t="shared" si="9"/>
        <v>0.14999999999999991</v>
      </c>
      <c r="T19" s="27">
        <v>100021644</v>
      </c>
      <c r="U19" s="24">
        <v>19172.581341933932</v>
      </c>
    </row>
    <row r="20" spans="1:21" x14ac:dyDescent="0.25">
      <c r="B20" s="27">
        <v>100021677</v>
      </c>
      <c r="C20" s="28" t="s">
        <v>29</v>
      </c>
      <c r="D20" s="21">
        <v>7790360967404</v>
      </c>
      <c r="E20" s="22">
        <v>3.3119999999999998</v>
      </c>
      <c r="F20" s="23">
        <v>12</v>
      </c>
      <c r="G20" s="24">
        <f t="shared" si="0"/>
        <v>15215.664444176517</v>
      </c>
      <c r="H20" s="23"/>
      <c r="I20" s="24">
        <f t="shared" si="2"/>
        <v>15215.664444176517</v>
      </c>
      <c r="J20" s="24">
        <f t="shared" si="1"/>
        <v>1267.9720370147097</v>
      </c>
      <c r="K20" s="24">
        <f t="shared" si="3"/>
        <v>266.27412777308905</v>
      </c>
      <c r="L20" s="24">
        <f t="shared" si="4"/>
        <v>1534.2461647877988</v>
      </c>
      <c r="M20" s="29">
        <f>+L20*0.33</f>
        <v>506.30123437997361</v>
      </c>
      <c r="N20" s="24">
        <f t="shared" si="6"/>
        <v>2040.5473991677723</v>
      </c>
      <c r="O20" s="24">
        <f t="shared" si="7"/>
        <v>816.21895966710895</v>
      </c>
      <c r="P20" s="25">
        <f t="shared" si="8"/>
        <v>2856.7663588348814</v>
      </c>
      <c r="R20" s="24">
        <v>15215.664444176517</v>
      </c>
      <c r="S20" s="114">
        <f t="shared" si="9"/>
        <v>0</v>
      </c>
      <c r="T20" s="27">
        <v>100021677</v>
      </c>
      <c r="U20" s="24">
        <v>15215.664444176517</v>
      </c>
    </row>
    <row r="21" spans="1:21" x14ac:dyDescent="0.25">
      <c r="B21" s="27">
        <v>100021638</v>
      </c>
      <c r="C21" s="28" t="s">
        <v>30</v>
      </c>
      <c r="D21" s="21">
        <v>7790360026699</v>
      </c>
      <c r="E21" s="22">
        <v>4.8</v>
      </c>
      <c r="F21" s="23">
        <v>60</v>
      </c>
      <c r="G21" s="24">
        <f t="shared" si="0"/>
        <v>48413.086682057918</v>
      </c>
      <c r="H21" s="23"/>
      <c r="I21" s="24">
        <f t="shared" si="2"/>
        <v>48413.086682057918</v>
      </c>
      <c r="J21" s="24">
        <f t="shared" si="1"/>
        <v>806.88477803429862</v>
      </c>
      <c r="K21" s="24">
        <f t="shared" si="3"/>
        <v>169.44580338720272</v>
      </c>
      <c r="L21" s="24">
        <f t="shared" si="4"/>
        <v>976.33058142150139</v>
      </c>
      <c r="M21" s="24">
        <f t="shared" si="5"/>
        <v>292.89917442645043</v>
      </c>
      <c r="N21" s="24">
        <f t="shared" si="6"/>
        <v>1269.2297558479518</v>
      </c>
      <c r="O21" s="24">
        <f t="shared" si="7"/>
        <v>507.69190233918073</v>
      </c>
      <c r="P21" s="25">
        <f t="shared" si="8"/>
        <v>1776.9216581871324</v>
      </c>
      <c r="R21" s="24">
        <v>48413.086682057918</v>
      </c>
      <c r="S21" s="114">
        <f t="shared" si="9"/>
        <v>0</v>
      </c>
      <c r="T21" s="27">
        <v>100021638</v>
      </c>
      <c r="U21" s="24">
        <v>48413.086682057918</v>
      </c>
    </row>
    <row r="22" spans="1:21" x14ac:dyDescent="0.25">
      <c r="B22" s="27">
        <v>100021575</v>
      </c>
      <c r="C22" s="28" t="s">
        <v>31</v>
      </c>
      <c r="D22" s="21">
        <v>7790360007032</v>
      </c>
      <c r="E22" s="22">
        <v>4.1399999999999997</v>
      </c>
      <c r="F22" s="23">
        <v>60</v>
      </c>
      <c r="G22" s="24">
        <f t="shared" si="0"/>
        <v>39706.426716643567</v>
      </c>
      <c r="H22" s="23"/>
      <c r="I22" s="24">
        <f t="shared" si="2"/>
        <v>39706.426716643567</v>
      </c>
      <c r="J22" s="24">
        <f t="shared" si="1"/>
        <v>661.77377861072614</v>
      </c>
      <c r="K22" s="24">
        <f t="shared" si="3"/>
        <v>138.97249350825248</v>
      </c>
      <c r="L22" s="24">
        <f t="shared" si="4"/>
        <v>800.7462721189786</v>
      </c>
      <c r="M22" s="24">
        <f t="shared" si="5"/>
        <v>240.22388163569357</v>
      </c>
      <c r="N22" s="24">
        <f t="shared" si="6"/>
        <v>1040.9701537546721</v>
      </c>
      <c r="O22" s="24">
        <f t="shared" si="7"/>
        <v>416.38806150186883</v>
      </c>
      <c r="P22" s="25">
        <f t="shared" si="8"/>
        <v>1457.3582152565409</v>
      </c>
      <c r="R22" s="24">
        <v>39706.426716643567</v>
      </c>
      <c r="S22" s="114">
        <f t="shared" si="9"/>
        <v>0</v>
      </c>
      <c r="T22" s="27">
        <v>100021575</v>
      </c>
      <c r="U22" s="24">
        <v>39706.426716643567</v>
      </c>
    </row>
    <row r="23" spans="1:21" x14ac:dyDescent="0.25">
      <c r="B23" s="27">
        <v>100021514</v>
      </c>
      <c r="C23" s="28" t="s">
        <v>32</v>
      </c>
      <c r="D23" s="21">
        <v>7790360006943</v>
      </c>
      <c r="E23" s="22">
        <v>4.1399999999999997</v>
      </c>
      <c r="F23" s="23">
        <v>60</v>
      </c>
      <c r="G23" s="24">
        <f t="shared" si="0"/>
        <v>36132.623192663334</v>
      </c>
      <c r="H23" s="23"/>
      <c r="I23" s="24">
        <f t="shared" si="2"/>
        <v>36132.623192663334</v>
      </c>
      <c r="J23" s="24">
        <f t="shared" si="1"/>
        <v>602.21038654438894</v>
      </c>
      <c r="K23" s="24">
        <f t="shared" si="3"/>
        <v>126.46418117432167</v>
      </c>
      <c r="L23" s="24">
        <f t="shared" si="4"/>
        <v>728.67456771871059</v>
      </c>
      <c r="M23" s="24">
        <f t="shared" si="5"/>
        <v>218.60237031561317</v>
      </c>
      <c r="N23" s="24">
        <f t="shared" si="6"/>
        <v>947.27693803432373</v>
      </c>
      <c r="O23" s="24">
        <f t="shared" si="7"/>
        <v>378.91077521372949</v>
      </c>
      <c r="P23" s="25">
        <f t="shared" si="8"/>
        <v>1326.1877132480531</v>
      </c>
      <c r="R23" s="24">
        <v>36132.623192663334</v>
      </c>
      <c r="S23" s="114">
        <f t="shared" si="9"/>
        <v>0</v>
      </c>
      <c r="T23" s="27">
        <v>100021514</v>
      </c>
      <c r="U23" s="24">
        <v>36132.623192663334</v>
      </c>
    </row>
    <row r="24" spans="1:21" x14ac:dyDescent="0.25">
      <c r="B24" s="26">
        <v>100516208</v>
      </c>
      <c r="C24" s="30" t="s">
        <v>33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41892.918554289827</v>
      </c>
      <c r="H24" s="23"/>
      <c r="I24" s="24">
        <f t="shared" si="2"/>
        <v>41892.918554289827</v>
      </c>
      <c r="J24" s="24">
        <f t="shared" si="1"/>
        <v>698.21530923816374</v>
      </c>
      <c r="K24" s="24">
        <f t="shared" si="3"/>
        <v>146.62521494001439</v>
      </c>
      <c r="L24" s="24">
        <f t="shared" si="4"/>
        <v>844.84052417817816</v>
      </c>
      <c r="M24" s="24">
        <f t="shared" si="5"/>
        <v>253.45215725345344</v>
      </c>
      <c r="N24" s="24">
        <f t="shared" si="6"/>
        <v>1098.2926814316315</v>
      </c>
      <c r="O24" s="24">
        <f t="shared" si="7"/>
        <v>439.31707257265265</v>
      </c>
      <c r="P24" s="25">
        <f t="shared" si="8"/>
        <v>1537.6097540042842</v>
      </c>
      <c r="R24" s="24">
        <v>41892.918554289827</v>
      </c>
      <c r="S24" s="114">
        <f t="shared" si="9"/>
        <v>0</v>
      </c>
      <c r="T24" s="26">
        <v>100516208</v>
      </c>
      <c r="U24" s="24">
        <v>41892.918554289827</v>
      </c>
    </row>
    <row r="25" spans="1:21" x14ac:dyDescent="0.25">
      <c r="B25" s="27">
        <v>100518346</v>
      </c>
      <c r="C25" s="28" t="s">
        <v>34</v>
      </c>
      <c r="D25" s="21"/>
      <c r="E25" s="22">
        <v>6.54</v>
      </c>
      <c r="F25" s="23">
        <v>60</v>
      </c>
      <c r="G25" s="24">
        <f t="shared" si="0"/>
        <v>59877.116759374636</v>
      </c>
      <c r="H25" s="23"/>
      <c r="I25" s="24">
        <f t="shared" si="2"/>
        <v>59877.116759374636</v>
      </c>
      <c r="J25" s="24">
        <f t="shared" si="1"/>
        <v>997.95194598957721</v>
      </c>
      <c r="K25" s="24">
        <f t="shared" si="3"/>
        <v>209.5699086578112</v>
      </c>
      <c r="L25" s="24">
        <f t="shared" si="4"/>
        <v>1207.5218546473884</v>
      </c>
      <c r="M25" s="24">
        <f t="shared" si="5"/>
        <v>362.25655639421649</v>
      </c>
      <c r="N25" s="24">
        <f t="shared" si="6"/>
        <v>1569.7784110416048</v>
      </c>
      <c r="O25" s="24">
        <f t="shared" si="7"/>
        <v>627.91136441664196</v>
      </c>
      <c r="P25" s="25">
        <f t="shared" si="8"/>
        <v>2197.6897754582469</v>
      </c>
      <c r="R25" s="24">
        <v>59877.116759374636</v>
      </c>
      <c r="S25" s="114">
        <f t="shared" si="9"/>
        <v>0</v>
      </c>
      <c r="T25" s="27">
        <v>100518346</v>
      </c>
      <c r="U25" s="24">
        <v>59877.116759374636</v>
      </c>
    </row>
    <row r="26" spans="1:21" x14ac:dyDescent="0.25">
      <c r="B26" s="27">
        <v>100516259</v>
      </c>
      <c r="C26" s="28" t="s">
        <v>35</v>
      </c>
      <c r="D26" s="21">
        <v>7790360968340</v>
      </c>
      <c r="E26" s="22">
        <v>18.16</v>
      </c>
      <c r="F26" s="23">
        <v>48</v>
      </c>
      <c r="G26" s="24">
        <f t="shared" si="0"/>
        <v>138537.06631969524</v>
      </c>
      <c r="H26" s="23"/>
      <c r="I26" s="24">
        <f t="shared" si="2"/>
        <v>138537.06631969524</v>
      </c>
      <c r="J26" s="24">
        <f t="shared" si="1"/>
        <v>2886.1888816603173</v>
      </c>
      <c r="K26" s="24">
        <f t="shared" si="3"/>
        <v>606.09966514866665</v>
      </c>
      <c r="L26" s="24">
        <f t="shared" si="4"/>
        <v>3492.2885468089839</v>
      </c>
      <c r="M26" s="24">
        <f t="shared" si="5"/>
        <v>1047.6865640426952</v>
      </c>
      <c r="N26" s="24">
        <f t="shared" si="6"/>
        <v>4539.9751108516793</v>
      </c>
      <c r="O26" s="24">
        <f t="shared" si="7"/>
        <v>1815.9900443406718</v>
      </c>
      <c r="P26" s="25">
        <f t="shared" si="8"/>
        <v>6355.9651551923507</v>
      </c>
      <c r="R26" s="24">
        <v>138537.06631969524</v>
      </c>
      <c r="S26" s="114">
        <f t="shared" si="9"/>
        <v>0</v>
      </c>
      <c r="T26" s="27">
        <v>100516259</v>
      </c>
      <c r="U26" s="24">
        <v>138537.06631969524</v>
      </c>
    </row>
    <row r="27" spans="1:21" x14ac:dyDescent="0.25">
      <c r="B27" s="84">
        <v>100518095</v>
      </c>
      <c r="C27" s="28" t="s">
        <v>36</v>
      </c>
      <c r="D27" s="21">
        <v>7790360974785</v>
      </c>
      <c r="E27" s="22">
        <v>6.66</v>
      </c>
      <c r="F27" s="23">
        <v>36</v>
      </c>
      <c r="G27" s="24">
        <f t="shared" si="0"/>
        <v>69025.627256995998</v>
      </c>
      <c r="H27" s="23"/>
      <c r="I27" s="24">
        <f t="shared" si="2"/>
        <v>69025.627256995998</v>
      </c>
      <c r="J27" s="24">
        <f t="shared" si="1"/>
        <v>1917.3785349165555</v>
      </c>
      <c r="K27" s="24">
        <f t="shared" si="3"/>
        <v>402.64949233247665</v>
      </c>
      <c r="L27" s="24">
        <f t="shared" si="4"/>
        <v>2320.0280272490322</v>
      </c>
      <c r="M27" s="24">
        <f t="shared" si="5"/>
        <v>696.00840817470964</v>
      </c>
      <c r="N27" s="24">
        <f t="shared" si="6"/>
        <v>3016.0364354237418</v>
      </c>
      <c r="O27" s="24">
        <f t="shared" si="7"/>
        <v>1206.4145741694967</v>
      </c>
      <c r="P27" s="25">
        <f t="shared" si="8"/>
        <v>4222.4510095932383</v>
      </c>
      <c r="R27" s="24">
        <v>69025.627256995998</v>
      </c>
      <c r="S27" s="114">
        <f t="shared" si="9"/>
        <v>0</v>
      </c>
      <c r="T27" s="84">
        <v>100518095</v>
      </c>
      <c r="U27" s="24">
        <v>69025.627256995998</v>
      </c>
    </row>
    <row r="28" spans="1:21" x14ac:dyDescent="0.25">
      <c r="B28" s="27">
        <v>100518223</v>
      </c>
      <c r="C28" s="28" t="s">
        <v>37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53740.286886102404</v>
      </c>
      <c r="H28" s="23"/>
      <c r="I28" s="24">
        <f t="shared" si="2"/>
        <v>53740.286886102404</v>
      </c>
      <c r="J28" s="24">
        <f t="shared" si="1"/>
        <v>1791.3428962034134</v>
      </c>
      <c r="K28" s="24">
        <f t="shared" si="3"/>
        <v>376.18200820271682</v>
      </c>
      <c r="L28" s="24">
        <f t="shared" si="4"/>
        <v>2167.5249044061302</v>
      </c>
      <c r="M28" s="24">
        <f t="shared" si="5"/>
        <v>650.25747132183903</v>
      </c>
      <c r="N28" s="24">
        <f t="shared" si="6"/>
        <v>2817.7823757279693</v>
      </c>
      <c r="O28" s="24">
        <f t="shared" si="7"/>
        <v>1127.1129502911879</v>
      </c>
      <c r="P28" s="25">
        <f t="shared" si="8"/>
        <v>3944.8953260191574</v>
      </c>
      <c r="R28" s="24">
        <v>53740.286886102404</v>
      </c>
      <c r="S28" s="114">
        <f t="shared" si="9"/>
        <v>0</v>
      </c>
      <c r="T28" s="27">
        <v>100518223</v>
      </c>
      <c r="U28" s="24">
        <v>53740.286886102404</v>
      </c>
    </row>
    <row r="29" spans="1:21" x14ac:dyDescent="0.25">
      <c r="B29" s="32"/>
      <c r="C29" s="33"/>
      <c r="D29" s="34"/>
      <c r="E29" s="33"/>
      <c r="F29" s="35"/>
      <c r="G29" s="35"/>
      <c r="H29" s="35"/>
      <c r="I29" s="35"/>
      <c r="J29" s="37" t="e">
        <f t="shared" si="1"/>
        <v>#DIV/0!</v>
      </c>
      <c r="K29" s="38">
        <v>0.21</v>
      </c>
      <c r="L29" s="37"/>
      <c r="M29" s="38">
        <v>0.3</v>
      </c>
      <c r="N29" s="37"/>
      <c r="O29" s="38">
        <v>0.4</v>
      </c>
      <c r="P29" s="39"/>
      <c r="R29" s="35"/>
      <c r="S29" s="114" t="e">
        <f t="shared" si="9"/>
        <v>#DIV/0!</v>
      </c>
      <c r="T29" s="32"/>
      <c r="U29" s="35"/>
    </row>
    <row r="30" spans="1:21" x14ac:dyDescent="0.25">
      <c r="B30" s="82">
        <v>100022085</v>
      </c>
      <c r="C30" s="95" t="s">
        <v>38</v>
      </c>
      <c r="D30" s="96">
        <v>7790360000132</v>
      </c>
      <c r="E30" s="97">
        <v>5.4</v>
      </c>
      <c r="F30" s="98">
        <v>24</v>
      </c>
      <c r="G30" s="83">
        <f>+Litoral!H30*1.1</f>
        <v>22477.650063856963</v>
      </c>
      <c r="H30" s="100"/>
      <c r="I30" s="83">
        <f t="shared" si="2"/>
        <v>22477.650063856963</v>
      </c>
      <c r="J30" s="83">
        <f t="shared" si="1"/>
        <v>936.56875266070676</v>
      </c>
      <c r="K30" s="83">
        <f t="shared" si="3"/>
        <v>196.67943805874842</v>
      </c>
      <c r="L30" s="83">
        <f t="shared" si="4"/>
        <v>1133.2481907194551</v>
      </c>
      <c r="M30" s="83">
        <f t="shared" si="5"/>
        <v>339.97445721583654</v>
      </c>
      <c r="N30" s="83">
        <f t="shared" si="6"/>
        <v>1473.2226479352917</v>
      </c>
      <c r="O30" s="83">
        <f t="shared" si="7"/>
        <v>589.28905917411669</v>
      </c>
      <c r="P30" s="99">
        <f t="shared" si="8"/>
        <v>2062.5117071094082</v>
      </c>
      <c r="R30" s="83">
        <v>21177.280764350551</v>
      </c>
      <c r="S30" s="123">
        <f t="shared" si="9"/>
        <v>6.1403978819387903E-2</v>
      </c>
      <c r="T30" s="27">
        <v>100022085</v>
      </c>
      <c r="U30" s="24">
        <v>35527.914978515684</v>
      </c>
    </row>
    <row r="31" spans="1:21" x14ac:dyDescent="0.25">
      <c r="A31" s="27"/>
      <c r="B31" s="82">
        <v>100522204</v>
      </c>
      <c r="C31" s="95" t="s">
        <v>38</v>
      </c>
      <c r="D31" s="96">
        <v>7790360983947</v>
      </c>
      <c r="E31" s="97">
        <v>5.4</v>
      </c>
      <c r="F31" s="98">
        <v>24</v>
      </c>
      <c r="G31" s="83">
        <f>+Litoral!H31*1.1</f>
        <v>22477.650063856963</v>
      </c>
      <c r="H31" s="100"/>
      <c r="I31" s="83">
        <f t="shared" ref="I31" si="10">+G31*(1-H31)</f>
        <v>22477.650063856963</v>
      </c>
      <c r="J31" s="83">
        <f t="shared" ref="J31" si="11">+I31/F31</f>
        <v>936.56875266070676</v>
      </c>
      <c r="K31" s="83">
        <f t="shared" ref="K31" si="12">+J31*K$3</f>
        <v>196.67943805874842</v>
      </c>
      <c r="L31" s="83">
        <f t="shared" ref="L31" si="13">+J31+K31</f>
        <v>1133.2481907194551</v>
      </c>
      <c r="M31" s="83">
        <f t="shared" ref="M31" si="14">+L31*M$3</f>
        <v>339.97445721583654</v>
      </c>
      <c r="N31" s="83">
        <f t="shared" ref="N31" si="15">+L31+M31</f>
        <v>1473.2226479352917</v>
      </c>
      <c r="O31" s="83">
        <f t="shared" ref="O31" si="16">+N31*O$3</f>
        <v>589.28905917411669</v>
      </c>
      <c r="P31" s="99">
        <f t="shared" si="8"/>
        <v>2062.5117071094082</v>
      </c>
      <c r="R31" s="83"/>
      <c r="S31" s="123"/>
      <c r="T31" s="27">
        <v>100522204</v>
      </c>
      <c r="U31" s="24">
        <v>35527.914978515684</v>
      </c>
    </row>
    <row r="32" spans="1:21" x14ac:dyDescent="0.25">
      <c r="B32" s="82">
        <v>100022072</v>
      </c>
      <c r="C32" s="95" t="s">
        <v>39</v>
      </c>
      <c r="D32" s="96">
        <v>7790360024541</v>
      </c>
      <c r="E32" s="97">
        <v>5.4</v>
      </c>
      <c r="F32" s="98">
        <v>12</v>
      </c>
      <c r="G32" s="83">
        <f>+Litoral!H32*1.1</f>
        <v>21353.767560664117</v>
      </c>
      <c r="H32" s="100"/>
      <c r="I32" s="83">
        <f t="shared" si="2"/>
        <v>21353.767560664117</v>
      </c>
      <c r="J32" s="83">
        <f t="shared" si="1"/>
        <v>1779.480630055343</v>
      </c>
      <c r="K32" s="83">
        <f t="shared" si="3"/>
        <v>373.69093231162202</v>
      </c>
      <c r="L32" s="83">
        <f t="shared" si="4"/>
        <v>2153.1715623669652</v>
      </c>
      <c r="M32" s="83">
        <f t="shared" si="5"/>
        <v>645.95146871008956</v>
      </c>
      <c r="N32" s="83">
        <f t="shared" si="6"/>
        <v>2799.1230310770547</v>
      </c>
      <c r="O32" s="83">
        <f t="shared" si="7"/>
        <v>1119.649212430822</v>
      </c>
      <c r="P32" s="99">
        <f t="shared" si="8"/>
        <v>3918.7722435078767</v>
      </c>
      <c r="R32" s="24">
        <v>20062.697677950946</v>
      </c>
      <c r="S32" s="123">
        <f t="shared" si="9"/>
        <v>6.4351758843082515E-2</v>
      </c>
      <c r="T32" s="27">
        <v>100022072</v>
      </c>
      <c r="U32" s="24">
        <v>35441.012821266428</v>
      </c>
    </row>
    <row r="33" spans="1:24" x14ac:dyDescent="0.25">
      <c r="A33" s="27"/>
      <c r="B33" s="82">
        <v>100522205</v>
      </c>
      <c r="C33" s="95" t="s">
        <v>39</v>
      </c>
      <c r="D33" s="96">
        <v>7790360983954</v>
      </c>
      <c r="E33" s="97">
        <v>5.4</v>
      </c>
      <c r="F33" s="98">
        <v>12</v>
      </c>
      <c r="G33" s="83">
        <f>+Litoral!H33*1.1</f>
        <v>21353.767560664117</v>
      </c>
      <c r="H33" s="100"/>
      <c r="I33" s="83">
        <f t="shared" ref="I33" si="17">+G33*(1-H33)</f>
        <v>21353.767560664117</v>
      </c>
      <c r="J33" s="83">
        <f t="shared" ref="J33" si="18">+I33/F33</f>
        <v>1779.480630055343</v>
      </c>
      <c r="K33" s="83">
        <f t="shared" ref="K33" si="19">+J33*K$3</f>
        <v>373.69093231162202</v>
      </c>
      <c r="L33" s="83">
        <f t="shared" ref="L33" si="20">+J33+K33</f>
        <v>2153.1715623669652</v>
      </c>
      <c r="M33" s="83">
        <f t="shared" ref="M33" si="21">+L33*M$3</f>
        <v>645.95146871008956</v>
      </c>
      <c r="N33" s="83">
        <f t="shared" ref="N33" si="22">+L33+M33</f>
        <v>2799.1230310770547</v>
      </c>
      <c r="O33" s="83">
        <f t="shared" ref="O33" si="23">+N33*O$3</f>
        <v>1119.649212430822</v>
      </c>
      <c r="P33" s="99">
        <f t="shared" si="8"/>
        <v>3918.7722435078767</v>
      </c>
      <c r="R33" s="24"/>
      <c r="S33" s="123"/>
      <c r="T33" s="27">
        <v>100522205</v>
      </c>
      <c r="U33" s="24">
        <v>35441.012821266428</v>
      </c>
    </row>
    <row r="34" spans="1:24" x14ac:dyDescent="0.25">
      <c r="B34" s="82">
        <v>100516849</v>
      </c>
      <c r="C34" s="95" t="s">
        <v>40</v>
      </c>
      <c r="D34" s="96">
        <v>7790360970053</v>
      </c>
      <c r="E34" s="97">
        <v>4.5599999990400004</v>
      </c>
      <c r="F34" s="98">
        <v>24</v>
      </c>
      <c r="G34" s="83">
        <f>+Litoral!H34*1.1</f>
        <v>18881.912643678159</v>
      </c>
      <c r="H34" s="100"/>
      <c r="I34" s="83">
        <f t="shared" si="2"/>
        <v>18881.912643678159</v>
      </c>
      <c r="J34" s="83">
        <f t="shared" si="1"/>
        <v>786.74636015325666</v>
      </c>
      <c r="K34" s="83">
        <f t="shared" si="3"/>
        <v>165.21673563218388</v>
      </c>
      <c r="L34" s="83">
        <f t="shared" si="4"/>
        <v>951.9630957854406</v>
      </c>
      <c r="M34" s="83">
        <f t="shared" si="5"/>
        <v>285.58892873563218</v>
      </c>
      <c r="N34" s="83">
        <f t="shared" si="6"/>
        <v>1237.5520245210728</v>
      </c>
      <c r="O34" s="83">
        <f t="shared" si="7"/>
        <v>495.02080980842914</v>
      </c>
      <c r="P34" s="99">
        <f t="shared" si="8"/>
        <v>1732.5728343295018</v>
      </c>
      <c r="R34" s="83">
        <v>18390.838926670327</v>
      </c>
      <c r="S34" s="123">
        <f t="shared" si="9"/>
        <v>2.670208351918512E-2</v>
      </c>
      <c r="T34" s="27">
        <v>100516849</v>
      </c>
      <c r="U34" s="24">
        <v>34489.699300546024</v>
      </c>
    </row>
    <row r="35" spans="1:24" x14ac:dyDescent="0.25">
      <c r="B35" s="27">
        <v>100022039</v>
      </c>
      <c r="C35" s="28" t="s">
        <v>41</v>
      </c>
      <c r="D35" s="21">
        <v>7790360007063</v>
      </c>
      <c r="E35" s="22">
        <v>8.6999999999999993</v>
      </c>
      <c r="F35" s="23">
        <v>10</v>
      </c>
      <c r="G35" s="24">
        <f t="shared" ref="G35:G38" si="24">+VLOOKUP(B35,$T$4:$U$104,2,FALSE)</f>
        <v>61645.968390268135</v>
      </c>
      <c r="H35" s="136"/>
      <c r="I35" s="24">
        <f t="shared" si="2"/>
        <v>61645.968390268135</v>
      </c>
      <c r="J35" s="24">
        <f t="shared" si="1"/>
        <v>6164.5968390268135</v>
      </c>
      <c r="K35" s="24">
        <f t="shared" si="3"/>
        <v>1294.5653361956308</v>
      </c>
      <c r="L35" s="24">
        <f t="shared" si="4"/>
        <v>7459.1621752224446</v>
      </c>
      <c r="M35" s="24">
        <f t="shared" si="5"/>
        <v>2237.7486525667332</v>
      </c>
      <c r="N35" s="24">
        <f t="shared" si="6"/>
        <v>9696.9108277891773</v>
      </c>
      <c r="O35" s="24">
        <f t="shared" si="7"/>
        <v>3878.7643311156712</v>
      </c>
      <c r="P35" s="25">
        <f t="shared" si="8"/>
        <v>13575.675158904849</v>
      </c>
      <c r="R35" s="24">
        <v>51886.178259631444</v>
      </c>
      <c r="S35" s="123">
        <f t="shared" si="9"/>
        <v>0.18810000000000032</v>
      </c>
      <c r="T35" s="27">
        <v>100022039</v>
      </c>
      <c r="U35" s="24">
        <v>61645.968390268135</v>
      </c>
    </row>
    <row r="36" spans="1:24" x14ac:dyDescent="0.25">
      <c r="A36" s="27"/>
      <c r="B36" s="27">
        <v>100522206</v>
      </c>
      <c r="C36" s="28" t="s">
        <v>41</v>
      </c>
      <c r="D36" s="21">
        <v>7790360983961</v>
      </c>
      <c r="E36" s="22">
        <v>8.6999999999999993</v>
      </c>
      <c r="F36" s="23">
        <v>10</v>
      </c>
      <c r="G36" s="24">
        <f t="shared" si="24"/>
        <v>61645.968390268135</v>
      </c>
      <c r="H36" s="136"/>
      <c r="I36" s="24">
        <f t="shared" ref="I36" si="25">+G36*(1-H36)</f>
        <v>61645.968390268135</v>
      </c>
      <c r="J36" s="24">
        <f t="shared" ref="J36" si="26">+I36/F36</f>
        <v>6164.5968390268135</v>
      </c>
      <c r="K36" s="24">
        <f t="shared" ref="K36" si="27">+J36*K$3</f>
        <v>1294.5653361956308</v>
      </c>
      <c r="L36" s="24">
        <f t="shared" ref="L36" si="28">+J36+K36</f>
        <v>7459.1621752224446</v>
      </c>
      <c r="M36" s="24">
        <f t="shared" ref="M36" si="29">+L36*M$3</f>
        <v>2237.7486525667332</v>
      </c>
      <c r="N36" s="24">
        <f t="shared" ref="N36" si="30">+L36+M36</f>
        <v>9696.9108277891773</v>
      </c>
      <c r="O36" s="24">
        <f t="shared" ref="O36" si="31">+N36*O$3</f>
        <v>3878.7643311156712</v>
      </c>
      <c r="P36" s="25">
        <f t="shared" si="8"/>
        <v>13575.675158904849</v>
      </c>
      <c r="R36" s="24"/>
      <c r="S36" s="123"/>
      <c r="T36" s="27">
        <v>100522206</v>
      </c>
      <c r="U36" s="24">
        <v>61645.968390268135</v>
      </c>
    </row>
    <row r="37" spans="1:24" x14ac:dyDescent="0.25">
      <c r="B37" s="27">
        <v>100022058</v>
      </c>
      <c r="C37" s="28" t="s">
        <v>42</v>
      </c>
      <c r="D37" s="21">
        <v>7790360026002</v>
      </c>
      <c r="E37" s="22">
        <v>4.5599999990400004</v>
      </c>
      <c r="F37" s="23">
        <v>24</v>
      </c>
      <c r="G37" s="24">
        <f t="shared" si="24"/>
        <v>19639.955616517029</v>
      </c>
      <c r="H37" s="136"/>
      <c r="I37" s="24">
        <f t="shared" si="2"/>
        <v>19639.955616517029</v>
      </c>
      <c r="J37" s="24">
        <f t="shared" si="1"/>
        <v>818.33148402154291</v>
      </c>
      <c r="K37" s="24">
        <f t="shared" si="3"/>
        <v>171.849611644524</v>
      </c>
      <c r="L37" s="24">
        <f t="shared" si="4"/>
        <v>990.18109566606688</v>
      </c>
      <c r="M37" s="24">
        <f>+L37*0.33</f>
        <v>326.75976156980209</v>
      </c>
      <c r="N37" s="24">
        <f t="shared" si="6"/>
        <v>1316.9408572358689</v>
      </c>
      <c r="O37" s="24">
        <f t="shared" si="7"/>
        <v>526.77634289434752</v>
      </c>
      <c r="P37" s="25">
        <f t="shared" si="8"/>
        <v>1843.7172001302165</v>
      </c>
      <c r="R37" s="83">
        <v>12594.914663880181</v>
      </c>
      <c r="S37" s="123">
        <f t="shared" si="9"/>
        <v>0.55935598935344</v>
      </c>
      <c r="T37" s="27">
        <v>100022058</v>
      </c>
      <c r="U37" s="24">
        <v>19639.955616517029</v>
      </c>
      <c r="X37" s="1" t="s">
        <v>135</v>
      </c>
    </row>
    <row r="38" spans="1:24" x14ac:dyDescent="0.25">
      <c r="B38" s="27">
        <v>100518151</v>
      </c>
      <c r="C38" s="28" t="s">
        <v>43</v>
      </c>
      <c r="D38" s="21">
        <v>7790360974990</v>
      </c>
      <c r="E38" s="22">
        <v>8.6999999999999993</v>
      </c>
      <c r="F38" s="23">
        <v>10</v>
      </c>
      <c r="G38" s="24">
        <f t="shared" si="24"/>
        <v>70230.313521249351</v>
      </c>
      <c r="H38" s="23"/>
      <c r="I38" s="24">
        <f t="shared" si="2"/>
        <v>70230.313521249351</v>
      </c>
      <c r="J38" s="24">
        <f t="shared" si="1"/>
        <v>7023.0313521249354</v>
      </c>
      <c r="K38" s="24">
        <f t="shared" si="3"/>
        <v>1474.8365839462365</v>
      </c>
      <c r="L38" s="24">
        <f t="shared" si="4"/>
        <v>8497.8679360711722</v>
      </c>
      <c r="M38" s="24">
        <f>+L38*0.33</f>
        <v>2804.2964189034869</v>
      </c>
      <c r="N38" s="24">
        <f t="shared" si="6"/>
        <v>11302.164354974659</v>
      </c>
      <c r="O38" s="24">
        <f t="shared" si="7"/>
        <v>4520.8657419898636</v>
      </c>
      <c r="P38" s="25">
        <f t="shared" si="8"/>
        <v>15823.030096964521</v>
      </c>
      <c r="R38" s="24">
        <v>59111.449811673549</v>
      </c>
      <c r="S38" s="123">
        <f t="shared" si="9"/>
        <v>0.18810000000000013</v>
      </c>
      <c r="T38" s="27">
        <v>100518151</v>
      </c>
      <c r="U38" s="24">
        <v>70230.313521249351</v>
      </c>
    </row>
    <row r="39" spans="1:24" x14ac:dyDescent="0.25">
      <c r="B39" s="32"/>
      <c r="C39" s="33"/>
      <c r="D39" s="34"/>
      <c r="E39" s="33"/>
      <c r="F39" s="35"/>
      <c r="G39" s="35"/>
      <c r="H39" s="35"/>
      <c r="I39" s="35"/>
      <c r="J39" s="37" t="e">
        <f t="shared" ref="J39:J76" si="32">+I39/F39</f>
        <v>#DIV/0!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/>
      <c r="S39" s="114" t="e">
        <f t="shared" si="9"/>
        <v>#DIV/0!</v>
      </c>
      <c r="T39" s="32"/>
      <c r="U39" s="35"/>
    </row>
    <row r="40" spans="1:24" x14ac:dyDescent="0.25">
      <c r="B40" s="82">
        <v>100021000</v>
      </c>
      <c r="C40" s="95" t="s">
        <v>44</v>
      </c>
      <c r="D40" s="96">
        <v>7790360720382</v>
      </c>
      <c r="E40" s="97">
        <v>2.16</v>
      </c>
      <c r="F40" s="98">
        <v>24</v>
      </c>
      <c r="G40" s="83">
        <f t="shared" ref="G40:G56" si="33">+VLOOKUP(B40,$T$4:$U$104,2,FALSE)</f>
        <v>13579.524837332692</v>
      </c>
      <c r="H40" s="100"/>
      <c r="I40" s="83">
        <f t="shared" ref="I40:I58" si="34">+G40*(1-H40)</f>
        <v>13579.524837332692</v>
      </c>
      <c r="J40" s="83">
        <f t="shared" si="32"/>
        <v>565.81353488886214</v>
      </c>
      <c r="K40" s="83">
        <f t="shared" si="3"/>
        <v>118.82084232666105</v>
      </c>
      <c r="L40" s="83">
        <f t="shared" si="4"/>
        <v>684.63437721552316</v>
      </c>
      <c r="M40" s="83">
        <f>+L40*M$39</f>
        <v>136.92687544310465</v>
      </c>
      <c r="N40" s="83">
        <f t="shared" si="6"/>
        <v>821.56125265862784</v>
      </c>
      <c r="O40" s="83">
        <f>+N40*O$39</f>
        <v>287.54643843051974</v>
      </c>
      <c r="P40" s="99">
        <f t="shared" si="8"/>
        <v>1109.1076910891475</v>
      </c>
      <c r="Q40" t="s">
        <v>89</v>
      </c>
      <c r="R40" s="83">
        <v>12345.022579393355</v>
      </c>
      <c r="S40" s="114">
        <f t="shared" si="9"/>
        <v>0.10000000000000013</v>
      </c>
      <c r="T40" s="27">
        <v>100021000</v>
      </c>
      <c r="U40" s="24">
        <v>13579.524837332692</v>
      </c>
    </row>
    <row r="41" spans="1:24" x14ac:dyDescent="0.25">
      <c r="B41" s="82">
        <v>100021001</v>
      </c>
      <c r="C41" s="95" t="s">
        <v>45</v>
      </c>
      <c r="D41" s="96">
        <v>7790360720115</v>
      </c>
      <c r="E41" s="97">
        <v>2.16</v>
      </c>
      <c r="F41" s="98">
        <v>24</v>
      </c>
      <c r="G41" s="83">
        <f t="shared" si="33"/>
        <v>13579.524837332692</v>
      </c>
      <c r="H41" s="100"/>
      <c r="I41" s="83">
        <f t="shared" si="34"/>
        <v>13579.524837332692</v>
      </c>
      <c r="J41" s="83">
        <f t="shared" si="32"/>
        <v>565.81353488886214</v>
      </c>
      <c r="K41" s="83">
        <f t="shared" si="3"/>
        <v>118.82084232666105</v>
      </c>
      <c r="L41" s="83">
        <f t="shared" si="4"/>
        <v>684.63437721552316</v>
      </c>
      <c r="M41" s="83">
        <f t="shared" ref="M41:M56" si="35">+L41*M$39</f>
        <v>136.92687544310465</v>
      </c>
      <c r="N41" s="83">
        <f t="shared" si="6"/>
        <v>821.56125265862784</v>
      </c>
      <c r="O41" s="83">
        <f t="shared" ref="O41:O56" si="36">+N41*O$39</f>
        <v>287.54643843051974</v>
      </c>
      <c r="P41" s="99">
        <f t="shared" si="8"/>
        <v>1109.1076910891475</v>
      </c>
      <c r="Q41" t="s">
        <v>89</v>
      </c>
      <c r="R41" s="83">
        <v>12345.022579393355</v>
      </c>
      <c r="S41" s="114">
        <f t="shared" si="9"/>
        <v>0.10000000000000013</v>
      </c>
      <c r="T41" s="27">
        <v>100021001</v>
      </c>
      <c r="U41" s="24">
        <v>13579.524837332692</v>
      </c>
    </row>
    <row r="42" spans="1:24" x14ac:dyDescent="0.25">
      <c r="A42" s="84"/>
      <c r="B42" s="84">
        <v>100522277</v>
      </c>
      <c r="C42" s="28" t="s">
        <v>118</v>
      </c>
      <c r="D42" s="21"/>
      <c r="E42" s="22">
        <v>2.16</v>
      </c>
      <c r="F42" s="23">
        <v>24</v>
      </c>
      <c r="G42" s="83">
        <f t="shared" si="33"/>
        <v>13579.524837332692</v>
      </c>
      <c r="H42" s="100"/>
      <c r="I42" s="83">
        <f t="shared" ref="I42:I43" si="37">+G42*(1-H42)</f>
        <v>13579.524837332692</v>
      </c>
      <c r="J42" s="83">
        <f t="shared" ref="J42:J43" si="38">+I42/F42</f>
        <v>565.81353488886214</v>
      </c>
      <c r="K42" s="83">
        <f t="shared" ref="K42:K43" si="39">+J42*K$3</f>
        <v>118.82084232666105</v>
      </c>
      <c r="L42" s="83">
        <f t="shared" ref="L42:L43" si="40">+J42+K42</f>
        <v>684.63437721552316</v>
      </c>
      <c r="M42" s="83">
        <f t="shared" ref="M42:M43" si="41">+L42*M$39</f>
        <v>136.92687544310465</v>
      </c>
      <c r="N42" s="83">
        <f t="shared" ref="N42:N43" si="42">+L42+M42</f>
        <v>821.56125265862784</v>
      </c>
      <c r="O42" s="83">
        <f t="shared" ref="O42:O43" si="43">+N42*O$39</f>
        <v>287.54643843051974</v>
      </c>
      <c r="P42" s="99">
        <f t="shared" si="8"/>
        <v>1109.1076910891475</v>
      </c>
      <c r="R42" s="83">
        <v>12345.022579393355</v>
      </c>
      <c r="S42" s="114"/>
      <c r="T42" s="84">
        <v>100522277</v>
      </c>
      <c r="U42" s="24">
        <v>13579.524837332692</v>
      </c>
    </row>
    <row r="43" spans="1:24" x14ac:dyDescent="0.25">
      <c r="A43" s="84"/>
      <c r="B43" s="84">
        <v>100522333</v>
      </c>
      <c r="C43" s="28" t="s">
        <v>119</v>
      </c>
      <c r="D43" s="21"/>
      <c r="E43" s="22">
        <v>2.16</v>
      </c>
      <c r="F43" s="23">
        <v>24</v>
      </c>
      <c r="G43" s="83">
        <f t="shared" si="33"/>
        <v>13579.524837332692</v>
      </c>
      <c r="H43" s="100"/>
      <c r="I43" s="83">
        <f t="shared" si="37"/>
        <v>13579.524837332692</v>
      </c>
      <c r="J43" s="83">
        <f t="shared" si="38"/>
        <v>565.81353488886214</v>
      </c>
      <c r="K43" s="83">
        <f t="shared" si="39"/>
        <v>118.82084232666105</v>
      </c>
      <c r="L43" s="83">
        <f t="shared" si="40"/>
        <v>684.63437721552316</v>
      </c>
      <c r="M43" s="83">
        <f t="shared" si="41"/>
        <v>136.92687544310465</v>
      </c>
      <c r="N43" s="83">
        <f t="shared" si="42"/>
        <v>821.56125265862784</v>
      </c>
      <c r="O43" s="83">
        <f t="shared" si="43"/>
        <v>287.54643843051974</v>
      </c>
      <c r="P43" s="99">
        <f t="shared" si="8"/>
        <v>1109.1076910891475</v>
      </c>
      <c r="R43" s="83">
        <v>12345.022579393355</v>
      </c>
      <c r="S43" s="114"/>
      <c r="T43" s="84">
        <v>100522333</v>
      </c>
      <c r="U43" s="24">
        <v>13579.524837332692</v>
      </c>
    </row>
    <row r="44" spans="1:24" x14ac:dyDescent="0.25">
      <c r="B44" s="82">
        <v>100021045</v>
      </c>
      <c r="C44" s="95" t="s">
        <v>46</v>
      </c>
      <c r="D44" s="96">
        <v>7790360966582</v>
      </c>
      <c r="E44" s="97">
        <v>2.16</v>
      </c>
      <c r="F44" s="98">
        <v>24</v>
      </c>
      <c r="G44" s="83">
        <f t="shared" si="33"/>
        <v>13579.52483733269</v>
      </c>
      <c r="H44" s="100"/>
      <c r="I44" s="83">
        <f t="shared" si="34"/>
        <v>13579.52483733269</v>
      </c>
      <c r="J44" s="83">
        <f t="shared" si="32"/>
        <v>565.81353488886214</v>
      </c>
      <c r="K44" s="83">
        <f t="shared" si="3"/>
        <v>118.82084232666105</v>
      </c>
      <c r="L44" s="83">
        <f t="shared" si="4"/>
        <v>684.63437721552316</v>
      </c>
      <c r="M44" s="83">
        <f t="shared" si="35"/>
        <v>136.92687544310465</v>
      </c>
      <c r="N44" s="83">
        <f t="shared" si="6"/>
        <v>821.56125265862784</v>
      </c>
      <c r="O44" s="83">
        <f t="shared" si="36"/>
        <v>287.54643843051974</v>
      </c>
      <c r="P44" s="99">
        <f t="shared" si="8"/>
        <v>1109.1076910891475</v>
      </c>
      <c r="R44" s="83">
        <v>12029.408160000001</v>
      </c>
      <c r="S44" s="114">
        <f t="shared" si="9"/>
        <v>0.12886059369796041</v>
      </c>
      <c r="T44" s="27">
        <v>100021045</v>
      </c>
      <c r="U44" s="24">
        <v>13579.52483733269</v>
      </c>
    </row>
    <row r="45" spans="1:24" x14ac:dyDescent="0.25">
      <c r="B45" s="82">
        <v>100021004</v>
      </c>
      <c r="C45" s="95" t="s">
        <v>47</v>
      </c>
      <c r="D45" s="96">
        <v>7790360964526</v>
      </c>
      <c r="E45" s="97">
        <v>2.1120000000000001</v>
      </c>
      <c r="F45" s="98">
        <v>24</v>
      </c>
      <c r="G45" s="83">
        <f t="shared" si="33"/>
        <v>13579.52483733269</v>
      </c>
      <c r="H45" s="100"/>
      <c r="I45" s="83">
        <f t="shared" si="34"/>
        <v>13579.52483733269</v>
      </c>
      <c r="J45" s="83">
        <f t="shared" si="32"/>
        <v>565.81353488886214</v>
      </c>
      <c r="K45" s="83">
        <f t="shared" si="3"/>
        <v>118.82084232666105</v>
      </c>
      <c r="L45" s="83">
        <f t="shared" si="4"/>
        <v>684.63437721552316</v>
      </c>
      <c r="M45" s="83">
        <f t="shared" si="35"/>
        <v>136.92687544310465</v>
      </c>
      <c r="N45" s="83">
        <f t="shared" si="6"/>
        <v>821.56125265862784</v>
      </c>
      <c r="O45" s="83">
        <f t="shared" si="36"/>
        <v>287.54643843051974</v>
      </c>
      <c r="P45" s="99">
        <f t="shared" si="8"/>
        <v>1109.1076910891475</v>
      </c>
      <c r="R45" s="83">
        <v>12029.408160000001</v>
      </c>
      <c r="S45" s="114">
        <f t="shared" si="9"/>
        <v>0.12886059369796041</v>
      </c>
      <c r="T45" s="27">
        <v>100021004</v>
      </c>
      <c r="U45" s="24">
        <v>13579.52483733269</v>
      </c>
    </row>
    <row r="46" spans="1:24" x14ac:dyDescent="0.25">
      <c r="B46" s="82">
        <v>100021006</v>
      </c>
      <c r="C46" s="95" t="s">
        <v>48</v>
      </c>
      <c r="D46" s="96">
        <v>7790360964557</v>
      </c>
      <c r="E46" s="97">
        <v>2.1120000000000001</v>
      </c>
      <c r="F46" s="98">
        <v>24</v>
      </c>
      <c r="G46" s="83">
        <f t="shared" si="33"/>
        <v>13579.52483733269</v>
      </c>
      <c r="H46" s="100"/>
      <c r="I46" s="83">
        <f t="shared" si="34"/>
        <v>13579.52483733269</v>
      </c>
      <c r="J46" s="83">
        <f t="shared" si="32"/>
        <v>565.81353488886214</v>
      </c>
      <c r="K46" s="83">
        <f t="shared" si="3"/>
        <v>118.82084232666105</v>
      </c>
      <c r="L46" s="83">
        <f t="shared" si="4"/>
        <v>684.63437721552316</v>
      </c>
      <c r="M46" s="83">
        <f t="shared" si="35"/>
        <v>136.92687544310465</v>
      </c>
      <c r="N46" s="83">
        <f t="shared" si="6"/>
        <v>821.56125265862784</v>
      </c>
      <c r="O46" s="83">
        <f t="shared" si="36"/>
        <v>287.54643843051974</v>
      </c>
      <c r="P46" s="99">
        <f t="shared" si="8"/>
        <v>1109.1076910891475</v>
      </c>
      <c r="R46" s="83">
        <v>12029.408160000001</v>
      </c>
      <c r="S46" s="114">
        <f t="shared" si="9"/>
        <v>0.12886059369796041</v>
      </c>
      <c r="T46" s="27">
        <v>100021006</v>
      </c>
      <c r="U46" s="24">
        <v>13579.52483733269</v>
      </c>
    </row>
    <row r="47" spans="1:24" x14ac:dyDescent="0.25">
      <c r="B47" s="82">
        <v>100021007</v>
      </c>
      <c r="C47" s="95" t="s">
        <v>49</v>
      </c>
      <c r="D47" s="96">
        <v>7790360964540</v>
      </c>
      <c r="E47" s="97">
        <v>2.04</v>
      </c>
      <c r="F47" s="98">
        <v>24</v>
      </c>
      <c r="G47" s="83">
        <f t="shared" si="33"/>
        <v>15501.688125000002</v>
      </c>
      <c r="H47" s="100"/>
      <c r="I47" s="83">
        <f t="shared" si="34"/>
        <v>15501.688125000002</v>
      </c>
      <c r="J47" s="83">
        <f t="shared" si="32"/>
        <v>645.9036718750001</v>
      </c>
      <c r="K47" s="83">
        <f t="shared" si="3"/>
        <v>135.63977109375003</v>
      </c>
      <c r="L47" s="83">
        <f t="shared" si="4"/>
        <v>781.54344296875013</v>
      </c>
      <c r="M47" s="83">
        <f t="shared" si="35"/>
        <v>156.30868859375005</v>
      </c>
      <c r="N47" s="83">
        <f t="shared" si="6"/>
        <v>937.85213156250018</v>
      </c>
      <c r="O47" s="83">
        <f t="shared" si="36"/>
        <v>328.24824604687507</v>
      </c>
      <c r="P47" s="99">
        <f t="shared" si="8"/>
        <v>1266.1003776093753</v>
      </c>
      <c r="R47" s="83">
        <v>14092.44375</v>
      </c>
      <c r="S47" s="114">
        <f t="shared" si="9"/>
        <v>0.10000000000000014</v>
      </c>
      <c r="T47" s="27">
        <v>100021007</v>
      </c>
      <c r="U47" s="24">
        <v>15501.688125000002</v>
      </c>
    </row>
    <row r="48" spans="1:24" x14ac:dyDescent="0.25">
      <c r="B48" s="82">
        <v>100021013</v>
      </c>
      <c r="C48" s="95" t="s">
        <v>50</v>
      </c>
      <c r="D48" s="96">
        <v>7790360965714</v>
      </c>
      <c r="E48" s="97">
        <v>2.04</v>
      </c>
      <c r="F48" s="98">
        <v>24</v>
      </c>
      <c r="G48" s="83">
        <f t="shared" si="33"/>
        <v>15501.688125000002</v>
      </c>
      <c r="H48" s="100"/>
      <c r="I48" s="83">
        <f t="shared" si="34"/>
        <v>15501.688125000002</v>
      </c>
      <c r="J48" s="83">
        <f t="shared" si="32"/>
        <v>645.9036718750001</v>
      </c>
      <c r="K48" s="83">
        <f t="shared" si="3"/>
        <v>135.63977109375003</v>
      </c>
      <c r="L48" s="83">
        <f t="shared" si="4"/>
        <v>781.54344296875013</v>
      </c>
      <c r="M48" s="83">
        <f t="shared" si="35"/>
        <v>156.30868859375005</v>
      </c>
      <c r="N48" s="83">
        <f t="shared" si="6"/>
        <v>937.85213156250018</v>
      </c>
      <c r="O48" s="83">
        <f t="shared" si="36"/>
        <v>328.24824604687507</v>
      </c>
      <c r="P48" s="99">
        <f t="shared" si="8"/>
        <v>1266.1003776093753</v>
      </c>
      <c r="R48" s="83">
        <v>14092.44375</v>
      </c>
      <c r="S48" s="114">
        <f t="shared" si="9"/>
        <v>0.10000000000000014</v>
      </c>
      <c r="T48" s="27">
        <v>100021013</v>
      </c>
      <c r="U48" s="24">
        <v>15501.688125000002</v>
      </c>
    </row>
    <row r="49" spans="2:21" x14ac:dyDescent="0.25">
      <c r="B49" s="82">
        <v>100021014</v>
      </c>
      <c r="C49" s="95" t="s">
        <v>51</v>
      </c>
      <c r="D49" s="96">
        <v>7790360965721</v>
      </c>
      <c r="E49" s="97">
        <v>2.04</v>
      </c>
      <c r="F49" s="98">
        <v>24</v>
      </c>
      <c r="G49" s="83">
        <f t="shared" si="33"/>
        <v>15501.688125000002</v>
      </c>
      <c r="H49" s="100"/>
      <c r="I49" s="83">
        <f t="shared" si="34"/>
        <v>15501.688125000002</v>
      </c>
      <c r="J49" s="83">
        <f t="shared" si="32"/>
        <v>645.9036718750001</v>
      </c>
      <c r="K49" s="83">
        <f t="shared" si="3"/>
        <v>135.63977109375003</v>
      </c>
      <c r="L49" s="83">
        <f t="shared" si="4"/>
        <v>781.54344296875013</v>
      </c>
      <c r="M49" s="83">
        <f t="shared" si="35"/>
        <v>156.30868859375005</v>
      </c>
      <c r="N49" s="83">
        <f t="shared" si="6"/>
        <v>937.85213156250018</v>
      </c>
      <c r="O49" s="83">
        <f t="shared" si="36"/>
        <v>328.24824604687507</v>
      </c>
      <c r="P49" s="99">
        <f t="shared" si="8"/>
        <v>1266.1003776093753</v>
      </c>
      <c r="R49" s="83">
        <v>14092.44375</v>
      </c>
      <c r="S49" s="114">
        <f t="shared" si="9"/>
        <v>0.10000000000000014</v>
      </c>
      <c r="T49" s="27">
        <v>100021014</v>
      </c>
      <c r="U49" s="24">
        <v>15501.688125000002</v>
      </c>
    </row>
    <row r="50" spans="2:21" x14ac:dyDescent="0.25">
      <c r="B50" s="82">
        <v>100021054</v>
      </c>
      <c r="C50" s="95" t="s">
        <v>52</v>
      </c>
      <c r="D50" s="96">
        <v>7790360965707</v>
      </c>
      <c r="E50" s="97">
        <v>2.04</v>
      </c>
      <c r="F50" s="98">
        <v>24</v>
      </c>
      <c r="G50" s="83">
        <f t="shared" si="33"/>
        <v>15501.688125000002</v>
      </c>
      <c r="H50" s="100"/>
      <c r="I50" s="83">
        <f t="shared" si="34"/>
        <v>15501.688125000002</v>
      </c>
      <c r="J50" s="83">
        <f t="shared" si="32"/>
        <v>645.9036718750001</v>
      </c>
      <c r="K50" s="83">
        <f t="shared" si="3"/>
        <v>135.63977109375003</v>
      </c>
      <c r="L50" s="83">
        <f t="shared" si="4"/>
        <v>781.54344296875013</v>
      </c>
      <c r="M50" s="83">
        <f t="shared" si="35"/>
        <v>156.30868859375005</v>
      </c>
      <c r="N50" s="83">
        <f t="shared" si="6"/>
        <v>937.85213156250018</v>
      </c>
      <c r="O50" s="83">
        <f t="shared" si="36"/>
        <v>328.24824604687507</v>
      </c>
      <c r="P50" s="99">
        <f t="shared" si="8"/>
        <v>1266.1003776093753</v>
      </c>
      <c r="R50" s="83">
        <v>14092.44375</v>
      </c>
      <c r="S50" s="114">
        <f t="shared" si="9"/>
        <v>0.10000000000000014</v>
      </c>
      <c r="T50" s="27">
        <v>100021054</v>
      </c>
      <c r="U50" s="24">
        <v>15501.688125000002</v>
      </c>
    </row>
    <row r="51" spans="2:21" x14ac:dyDescent="0.25">
      <c r="B51" s="82">
        <v>100021055</v>
      </c>
      <c r="C51" s="95" t="s">
        <v>53</v>
      </c>
      <c r="D51" s="96">
        <v>7790360965189</v>
      </c>
      <c r="E51" s="97">
        <v>2.04</v>
      </c>
      <c r="F51" s="98">
        <v>24</v>
      </c>
      <c r="G51" s="83">
        <f t="shared" si="33"/>
        <v>15501.688125000002</v>
      </c>
      <c r="H51" s="100"/>
      <c r="I51" s="83">
        <f t="shared" si="34"/>
        <v>15501.688125000002</v>
      </c>
      <c r="J51" s="83">
        <f t="shared" si="32"/>
        <v>645.9036718750001</v>
      </c>
      <c r="K51" s="83">
        <f t="shared" si="3"/>
        <v>135.63977109375003</v>
      </c>
      <c r="L51" s="83">
        <f t="shared" si="4"/>
        <v>781.54344296875013</v>
      </c>
      <c r="M51" s="83">
        <f t="shared" si="35"/>
        <v>156.30868859375005</v>
      </c>
      <c r="N51" s="83">
        <f t="shared" si="6"/>
        <v>937.85213156250018</v>
      </c>
      <c r="O51" s="83">
        <f t="shared" si="36"/>
        <v>328.24824604687507</v>
      </c>
      <c r="P51" s="99">
        <f t="shared" si="8"/>
        <v>1266.1003776093753</v>
      </c>
      <c r="R51" s="83">
        <v>14092.44375</v>
      </c>
      <c r="S51" s="114">
        <f t="shared" si="9"/>
        <v>0.10000000000000014</v>
      </c>
      <c r="T51" s="27">
        <v>100021055</v>
      </c>
      <c r="U51" s="24">
        <v>15501.688125000002</v>
      </c>
    </row>
    <row r="52" spans="2:21" x14ac:dyDescent="0.25">
      <c r="B52" s="82">
        <v>100021015</v>
      </c>
      <c r="C52" s="95" t="s">
        <v>54</v>
      </c>
      <c r="D52" s="96">
        <v>7790360965202</v>
      </c>
      <c r="E52" s="97">
        <v>2.04</v>
      </c>
      <c r="F52" s="98">
        <v>24</v>
      </c>
      <c r="G52" s="83">
        <f t="shared" si="33"/>
        <v>15501.688125000002</v>
      </c>
      <c r="H52" s="100"/>
      <c r="I52" s="83">
        <f t="shared" si="34"/>
        <v>15501.688125000002</v>
      </c>
      <c r="J52" s="83">
        <f t="shared" si="32"/>
        <v>645.9036718750001</v>
      </c>
      <c r="K52" s="83">
        <f t="shared" si="3"/>
        <v>135.63977109375003</v>
      </c>
      <c r="L52" s="83">
        <f t="shared" si="4"/>
        <v>781.54344296875013</v>
      </c>
      <c r="M52" s="83">
        <f t="shared" si="35"/>
        <v>156.30868859375005</v>
      </c>
      <c r="N52" s="83">
        <f t="shared" si="6"/>
        <v>937.85213156250018</v>
      </c>
      <c r="O52" s="83">
        <f t="shared" si="36"/>
        <v>328.24824604687507</v>
      </c>
      <c r="P52" s="99">
        <f t="shared" si="8"/>
        <v>1266.1003776093753</v>
      </c>
      <c r="R52" s="83">
        <v>14092.44375</v>
      </c>
      <c r="S52" s="114">
        <f t="shared" si="9"/>
        <v>0.10000000000000014</v>
      </c>
      <c r="T52" s="27">
        <v>100021015</v>
      </c>
      <c r="U52" s="24">
        <v>15501.688125000002</v>
      </c>
    </row>
    <row r="53" spans="2:21" x14ac:dyDescent="0.25">
      <c r="B53" s="82">
        <v>100021008</v>
      </c>
      <c r="C53" s="95" t="s">
        <v>55</v>
      </c>
      <c r="D53" s="96">
        <v>7790360720122</v>
      </c>
      <c r="E53" s="97">
        <v>2.16</v>
      </c>
      <c r="F53" s="98">
        <v>24</v>
      </c>
      <c r="G53" s="83">
        <f t="shared" si="33"/>
        <v>11493.435828538131</v>
      </c>
      <c r="H53" s="100"/>
      <c r="I53" s="83">
        <f t="shared" si="34"/>
        <v>11493.435828538131</v>
      </c>
      <c r="J53" s="83">
        <f t="shared" si="32"/>
        <v>478.89315952242214</v>
      </c>
      <c r="K53" s="83">
        <f t="shared" si="3"/>
        <v>100.56756349970864</v>
      </c>
      <c r="L53" s="83">
        <f t="shared" si="4"/>
        <v>579.46072302213076</v>
      </c>
      <c r="M53" s="83">
        <f t="shared" si="35"/>
        <v>115.89214460442616</v>
      </c>
      <c r="N53" s="83">
        <f t="shared" si="6"/>
        <v>695.35286762655687</v>
      </c>
      <c r="O53" s="83">
        <f t="shared" si="36"/>
        <v>243.37350366929488</v>
      </c>
      <c r="P53" s="99">
        <f t="shared" si="8"/>
        <v>938.72637129585178</v>
      </c>
      <c r="R53" s="83">
        <v>10448.578025943754</v>
      </c>
      <c r="S53" s="114">
        <f t="shared" si="9"/>
        <v>0.10000000000000016</v>
      </c>
      <c r="T53" s="27">
        <v>100021008</v>
      </c>
      <c r="U53" s="24">
        <v>11493.435828538131</v>
      </c>
    </row>
    <row r="54" spans="2:21" x14ac:dyDescent="0.25">
      <c r="B54" s="82">
        <v>100021009</v>
      </c>
      <c r="C54" s="95" t="s">
        <v>56</v>
      </c>
      <c r="D54" s="96">
        <v>7790360965127</v>
      </c>
      <c r="E54" s="97">
        <v>2.16</v>
      </c>
      <c r="F54" s="98">
        <v>24</v>
      </c>
      <c r="G54" s="83">
        <f t="shared" si="33"/>
        <v>11493.435828538131</v>
      </c>
      <c r="H54" s="100"/>
      <c r="I54" s="83">
        <f t="shared" si="34"/>
        <v>11493.435828538131</v>
      </c>
      <c r="J54" s="83">
        <f t="shared" si="32"/>
        <v>478.89315952242214</v>
      </c>
      <c r="K54" s="83">
        <f t="shared" si="3"/>
        <v>100.56756349970864</v>
      </c>
      <c r="L54" s="83">
        <f t="shared" si="4"/>
        <v>579.46072302213076</v>
      </c>
      <c r="M54" s="83">
        <f t="shared" si="35"/>
        <v>115.89214460442616</v>
      </c>
      <c r="N54" s="83">
        <f t="shared" si="6"/>
        <v>695.35286762655687</v>
      </c>
      <c r="O54" s="83">
        <f t="shared" si="36"/>
        <v>243.37350366929488</v>
      </c>
      <c r="P54" s="99">
        <f t="shared" si="8"/>
        <v>938.72637129585178</v>
      </c>
      <c r="R54" s="83">
        <v>10448.578025943754</v>
      </c>
      <c r="S54" s="114">
        <f t="shared" si="9"/>
        <v>0.10000000000000016</v>
      </c>
      <c r="T54" s="27">
        <v>100021009</v>
      </c>
      <c r="U54" s="24">
        <v>11493.435828538131</v>
      </c>
    </row>
    <row r="55" spans="2:21" x14ac:dyDescent="0.25">
      <c r="B55" s="27">
        <v>100021010</v>
      </c>
      <c r="C55" s="28" t="s">
        <v>57</v>
      </c>
      <c r="D55" s="21">
        <v>7790920008707</v>
      </c>
      <c r="E55" s="22">
        <v>2.16</v>
      </c>
      <c r="F55" s="23">
        <v>24</v>
      </c>
      <c r="G55" s="24">
        <f t="shared" si="33"/>
        <v>11493.435828538131</v>
      </c>
      <c r="H55" s="23"/>
      <c r="I55" s="24">
        <f t="shared" si="34"/>
        <v>11493.435828538131</v>
      </c>
      <c r="J55" s="24">
        <f t="shared" si="32"/>
        <v>478.89315952242214</v>
      </c>
      <c r="K55" s="24">
        <f t="shared" si="3"/>
        <v>100.56756349970864</v>
      </c>
      <c r="L55" s="24">
        <f t="shared" si="4"/>
        <v>579.46072302213076</v>
      </c>
      <c r="M55" s="24">
        <f t="shared" si="35"/>
        <v>115.89214460442616</v>
      </c>
      <c r="N55" s="24">
        <f t="shared" si="6"/>
        <v>695.35286762655687</v>
      </c>
      <c r="O55" s="24">
        <f t="shared" si="36"/>
        <v>243.37350366929488</v>
      </c>
      <c r="P55" s="25">
        <f t="shared" si="8"/>
        <v>938.72637129585178</v>
      </c>
      <c r="R55" s="24">
        <v>10448.578025943754</v>
      </c>
      <c r="S55" s="114">
        <f t="shared" si="9"/>
        <v>0.10000000000000016</v>
      </c>
      <c r="T55" s="27">
        <v>100021010</v>
      </c>
      <c r="U55" s="24">
        <v>11493.435828538131</v>
      </c>
    </row>
    <row r="56" spans="2:21" x14ac:dyDescent="0.25">
      <c r="B56" s="27">
        <v>100021011</v>
      </c>
      <c r="C56" s="28" t="s">
        <v>58</v>
      </c>
      <c r="D56" s="21">
        <v>7790920008714</v>
      </c>
      <c r="E56" s="22">
        <v>2.16</v>
      </c>
      <c r="F56" s="23">
        <v>24</v>
      </c>
      <c r="G56" s="24">
        <f t="shared" si="33"/>
        <v>11493.435828538131</v>
      </c>
      <c r="H56" s="23"/>
      <c r="I56" s="24">
        <f t="shared" si="34"/>
        <v>11493.435828538131</v>
      </c>
      <c r="J56" s="24">
        <f t="shared" si="32"/>
        <v>478.89315952242214</v>
      </c>
      <c r="K56" s="24">
        <f t="shared" si="3"/>
        <v>100.56756349970864</v>
      </c>
      <c r="L56" s="24">
        <f t="shared" si="4"/>
        <v>579.46072302213076</v>
      </c>
      <c r="M56" s="24">
        <f t="shared" si="35"/>
        <v>115.89214460442616</v>
      </c>
      <c r="N56" s="24">
        <f t="shared" si="6"/>
        <v>695.35286762655687</v>
      </c>
      <c r="O56" s="24">
        <f t="shared" si="36"/>
        <v>243.37350366929488</v>
      </c>
      <c r="P56" s="25">
        <f t="shared" si="8"/>
        <v>938.72637129585178</v>
      </c>
      <c r="R56" s="24">
        <v>10448.578025943754</v>
      </c>
      <c r="S56" s="114">
        <f t="shared" si="9"/>
        <v>0.10000000000000016</v>
      </c>
      <c r="T56" s="27">
        <v>100021011</v>
      </c>
      <c r="U56" s="24">
        <v>11493.435828538131</v>
      </c>
    </row>
    <row r="57" spans="2:21" x14ac:dyDescent="0.25">
      <c r="B57" s="32"/>
      <c r="C57" s="33"/>
      <c r="D57" s="34"/>
      <c r="E57" s="33"/>
      <c r="F57" s="35"/>
      <c r="G57" s="35"/>
      <c r="H57" s="35"/>
      <c r="I57" s="35"/>
      <c r="J57" s="37" t="e">
        <f t="shared" si="32"/>
        <v>#DIV/0!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/>
      <c r="S57" s="114" t="e">
        <f t="shared" si="9"/>
        <v>#DIV/0!</v>
      </c>
      <c r="T57" s="32"/>
      <c r="U57" s="35"/>
    </row>
    <row r="58" spans="2:21" x14ac:dyDescent="0.25">
      <c r="B58" s="27">
        <v>100516217</v>
      </c>
      <c r="C58" s="28" t="s">
        <v>59</v>
      </c>
      <c r="D58" s="21">
        <v>7790360967824</v>
      </c>
      <c r="E58" s="22">
        <v>5.8</v>
      </c>
      <c r="F58" s="23">
        <v>20</v>
      </c>
      <c r="G58" s="24">
        <f>+VLOOKUP(B58,$T$4:$U$104,2,FALSE)</f>
        <v>26768.099150561164</v>
      </c>
      <c r="H58" s="94"/>
      <c r="I58" s="24">
        <f t="shared" si="34"/>
        <v>26768.099150561164</v>
      </c>
      <c r="J58" s="24">
        <f t="shared" si="32"/>
        <v>1338.4049575280583</v>
      </c>
      <c r="K58" s="24">
        <f t="shared" si="3"/>
        <v>281.06504108089223</v>
      </c>
      <c r="L58" s="24">
        <f t="shared" si="4"/>
        <v>1619.4699986089504</v>
      </c>
      <c r="M58" s="24">
        <f t="shared" si="5"/>
        <v>485.84099958268507</v>
      </c>
      <c r="N58" s="24">
        <f t="shared" si="6"/>
        <v>2105.3109981916355</v>
      </c>
      <c r="O58" s="24">
        <f t="shared" si="7"/>
        <v>842.12439927665423</v>
      </c>
      <c r="P58" s="25">
        <f t="shared" si="8"/>
        <v>2947.4353974682899</v>
      </c>
      <c r="R58" s="24">
        <v>25988.445777243847</v>
      </c>
      <c r="S58" s="114">
        <f t="shared" si="9"/>
        <v>3.0000000000000041E-2</v>
      </c>
      <c r="T58" s="27">
        <v>100516217</v>
      </c>
      <c r="U58" s="24">
        <v>26768.099150561164</v>
      </c>
    </row>
    <row r="59" spans="2:21" x14ac:dyDescent="0.25">
      <c r="B59" s="82">
        <v>100516214</v>
      </c>
      <c r="C59" s="95" t="s">
        <v>60</v>
      </c>
      <c r="D59" s="96">
        <v>7790360967794</v>
      </c>
      <c r="E59" s="97">
        <v>7</v>
      </c>
      <c r="F59" s="98">
        <v>20</v>
      </c>
      <c r="G59" s="83">
        <f>+VLOOKUP(B59,$T$4:$U$104,2,FALSE)</f>
        <v>38594.846410714905</v>
      </c>
      <c r="H59" s="94">
        <v>0.05</v>
      </c>
      <c r="I59" s="83">
        <f t="shared" ref="I59:I99" si="44">+G59*(1-H59)</f>
        <v>36665.104090179157</v>
      </c>
      <c r="J59" s="83">
        <f t="shared" si="32"/>
        <v>1833.2552045089578</v>
      </c>
      <c r="K59" s="83">
        <f t="shared" si="3"/>
        <v>384.98359294688112</v>
      </c>
      <c r="L59" s="83">
        <f t="shared" si="4"/>
        <v>2218.2387974558387</v>
      </c>
      <c r="M59" s="83">
        <f t="shared" si="5"/>
        <v>665.47163923675157</v>
      </c>
      <c r="N59" s="83">
        <f t="shared" si="6"/>
        <v>2883.7104366925905</v>
      </c>
      <c r="O59" s="83">
        <f t="shared" si="7"/>
        <v>1153.4841746770362</v>
      </c>
      <c r="P59" s="99">
        <f t="shared" si="8"/>
        <v>4037.1946113696267</v>
      </c>
      <c r="R59" s="83">
        <v>35597.188437067147</v>
      </c>
      <c r="S59" s="114">
        <f t="shared" si="9"/>
        <v>2.9999999999999871E-2</v>
      </c>
      <c r="T59" s="27">
        <v>100516214</v>
      </c>
      <c r="U59" s="24">
        <v>38594.846410714905</v>
      </c>
    </row>
    <row r="60" spans="2:21" x14ac:dyDescent="0.25">
      <c r="B60" s="82">
        <v>100516215</v>
      </c>
      <c r="C60" s="95" t="s">
        <v>61</v>
      </c>
      <c r="D60" s="96">
        <v>7790360967800</v>
      </c>
      <c r="E60" s="97">
        <v>7</v>
      </c>
      <c r="F60" s="98">
        <v>20</v>
      </c>
      <c r="G60" s="83">
        <f>+VLOOKUP(B60,$T$4:$U$104,2,FALSE)</f>
        <v>38594.846410714905</v>
      </c>
      <c r="H60" s="94">
        <v>0.05</v>
      </c>
      <c r="I60" s="83">
        <f t="shared" si="44"/>
        <v>36665.104090179157</v>
      </c>
      <c r="J60" s="83">
        <f t="shared" si="32"/>
        <v>1833.2552045089578</v>
      </c>
      <c r="K60" s="83">
        <f t="shared" si="3"/>
        <v>384.98359294688112</v>
      </c>
      <c r="L60" s="83">
        <f t="shared" si="4"/>
        <v>2218.2387974558387</v>
      </c>
      <c r="M60" s="83">
        <f t="shared" si="5"/>
        <v>665.47163923675157</v>
      </c>
      <c r="N60" s="83">
        <f t="shared" si="6"/>
        <v>2883.7104366925905</v>
      </c>
      <c r="O60" s="83">
        <f t="shared" si="7"/>
        <v>1153.4841746770362</v>
      </c>
      <c r="P60" s="99">
        <f t="shared" si="8"/>
        <v>4037.1946113696267</v>
      </c>
      <c r="R60" s="83">
        <v>35597.188437067147</v>
      </c>
      <c r="S60" s="114">
        <f t="shared" si="9"/>
        <v>2.9999999999999871E-2</v>
      </c>
      <c r="T60" s="27">
        <v>100516215</v>
      </c>
      <c r="U60" s="24">
        <v>38594.846410714905</v>
      </c>
    </row>
    <row r="61" spans="2:21" x14ac:dyDescent="0.25">
      <c r="B61" s="82">
        <v>100516216</v>
      </c>
      <c r="C61" s="95" t="s">
        <v>62</v>
      </c>
      <c r="D61" s="96">
        <v>7790360967817</v>
      </c>
      <c r="E61" s="97">
        <v>7</v>
      </c>
      <c r="F61" s="98">
        <v>20</v>
      </c>
      <c r="G61" s="83">
        <f>+VLOOKUP(B61,$T$4:$U$104,2,FALSE)</f>
        <v>38594.846410714905</v>
      </c>
      <c r="H61" s="94">
        <v>0.05</v>
      </c>
      <c r="I61" s="83">
        <f t="shared" si="44"/>
        <v>36665.104090179157</v>
      </c>
      <c r="J61" s="83">
        <f t="shared" si="32"/>
        <v>1833.2552045089578</v>
      </c>
      <c r="K61" s="83">
        <f t="shared" si="3"/>
        <v>384.98359294688112</v>
      </c>
      <c r="L61" s="83">
        <f t="shared" si="4"/>
        <v>2218.2387974558387</v>
      </c>
      <c r="M61" s="83">
        <f t="shared" si="5"/>
        <v>665.47163923675157</v>
      </c>
      <c r="N61" s="83">
        <f t="shared" si="6"/>
        <v>2883.7104366925905</v>
      </c>
      <c r="O61" s="83">
        <f t="shared" si="7"/>
        <v>1153.4841746770362</v>
      </c>
      <c r="P61" s="99">
        <f t="shared" si="8"/>
        <v>4037.1946113696267</v>
      </c>
      <c r="R61" s="83">
        <v>35597.188437067147</v>
      </c>
      <c r="S61" s="114">
        <f t="shared" si="9"/>
        <v>2.9999999999999871E-2</v>
      </c>
      <c r="T61" s="27">
        <v>100516216</v>
      </c>
      <c r="U61" s="24">
        <v>38594.846410714905</v>
      </c>
    </row>
    <row r="62" spans="2:21" x14ac:dyDescent="0.25">
      <c r="B62" s="32"/>
      <c r="C62" s="33"/>
      <c r="D62" s="34"/>
      <c r="E62" s="33"/>
      <c r="F62" s="35"/>
      <c r="G62" s="35"/>
      <c r="H62" s="126"/>
      <c r="I62" s="35"/>
      <c r="J62" s="37" t="e">
        <f t="shared" si="32"/>
        <v>#DIV/0!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/>
      <c r="S62" s="114" t="e">
        <f t="shared" si="9"/>
        <v>#DIV/0!</v>
      </c>
      <c r="T62" s="32"/>
      <c r="U62" s="35"/>
    </row>
    <row r="63" spans="2:21" x14ac:dyDescent="0.25">
      <c r="B63" s="27">
        <v>100021704</v>
      </c>
      <c r="C63" s="28" t="s">
        <v>63</v>
      </c>
      <c r="D63" s="21">
        <v>7790360023902</v>
      </c>
      <c r="E63" s="22">
        <f>12*0.38</f>
        <v>4.5600000000000005</v>
      </c>
      <c r="F63" s="23">
        <v>12</v>
      </c>
      <c r="G63" s="24">
        <f t="shared" ref="G63:G74" si="45">+VLOOKUP(B63,$T$4:$U$104,2,FALSE)</f>
        <v>41455.299372666384</v>
      </c>
      <c r="H63" s="127"/>
      <c r="I63" s="24">
        <f t="shared" si="44"/>
        <v>41455.299372666384</v>
      </c>
      <c r="J63" s="24">
        <f t="shared" si="32"/>
        <v>3454.6082810555322</v>
      </c>
      <c r="K63" s="24">
        <f t="shared" si="3"/>
        <v>725.46773902166171</v>
      </c>
      <c r="L63" s="24">
        <f t="shared" si="4"/>
        <v>4180.0760200771938</v>
      </c>
      <c r="M63" s="24">
        <f t="shared" si="5"/>
        <v>1254.0228060231582</v>
      </c>
      <c r="N63" s="24">
        <f t="shared" si="6"/>
        <v>5434.0988261003522</v>
      </c>
      <c r="O63" s="24">
        <f t="shared" si="7"/>
        <v>2173.6395304401408</v>
      </c>
      <c r="P63" s="25">
        <f t="shared" si="8"/>
        <v>7607.7383565404925</v>
      </c>
      <c r="R63" s="24">
        <v>39481.237497777511</v>
      </c>
      <c r="S63" s="114">
        <f t="shared" si="9"/>
        <v>4.9999999999999954E-2</v>
      </c>
      <c r="T63" s="27">
        <v>100021704</v>
      </c>
      <c r="U63" s="24">
        <v>41455.299372666384</v>
      </c>
    </row>
    <row r="64" spans="2:21" x14ac:dyDescent="0.25">
      <c r="B64" s="27">
        <v>100021705</v>
      </c>
      <c r="C64" s="28" t="s">
        <v>64</v>
      </c>
      <c r="D64" s="21">
        <v>7790360024336</v>
      </c>
      <c r="E64" s="22">
        <f>12*0.38</f>
        <v>4.5600000000000005</v>
      </c>
      <c r="F64" s="23">
        <v>12</v>
      </c>
      <c r="G64" s="24">
        <f t="shared" si="45"/>
        <v>37683.831852857693</v>
      </c>
      <c r="H64" s="127"/>
      <c r="I64" s="24">
        <f t="shared" si="44"/>
        <v>37683.831852857693</v>
      </c>
      <c r="J64" s="24">
        <f t="shared" si="32"/>
        <v>3140.3193210714744</v>
      </c>
      <c r="K64" s="24">
        <f t="shared" si="3"/>
        <v>659.46705742500956</v>
      </c>
      <c r="L64" s="24">
        <f t="shared" si="4"/>
        <v>3799.7863784964838</v>
      </c>
      <c r="M64" s="24">
        <f t="shared" si="5"/>
        <v>1139.9359135489451</v>
      </c>
      <c r="N64" s="24">
        <f t="shared" si="6"/>
        <v>4939.7222920454287</v>
      </c>
      <c r="O64" s="24">
        <f t="shared" si="7"/>
        <v>1975.8889168181715</v>
      </c>
      <c r="P64" s="25">
        <f t="shared" si="8"/>
        <v>6915.6112088636</v>
      </c>
      <c r="R64" s="24">
        <v>35889.36366938828</v>
      </c>
      <c r="S64" s="114">
        <f t="shared" si="9"/>
        <v>4.9999999999999968E-2</v>
      </c>
      <c r="T64" s="27">
        <v>100021705</v>
      </c>
      <c r="U64" s="24">
        <v>37683.831852857693</v>
      </c>
    </row>
    <row r="65" spans="2:21" x14ac:dyDescent="0.25">
      <c r="B65" s="27">
        <v>100021709</v>
      </c>
      <c r="C65" s="28" t="s">
        <v>65</v>
      </c>
      <c r="D65" s="21">
        <v>7790360024701</v>
      </c>
      <c r="E65" s="22">
        <v>7.6</v>
      </c>
      <c r="F65" s="23">
        <v>10</v>
      </c>
      <c r="G65" s="24">
        <f t="shared" si="45"/>
        <v>60469.386535052479</v>
      </c>
      <c r="H65" s="128"/>
      <c r="I65" s="24">
        <f t="shared" si="44"/>
        <v>60469.386535052479</v>
      </c>
      <c r="J65" s="24">
        <f t="shared" si="32"/>
        <v>6046.9386535052481</v>
      </c>
      <c r="K65" s="24">
        <f t="shared" si="3"/>
        <v>1269.8571172361021</v>
      </c>
      <c r="L65" s="24">
        <f t="shared" si="4"/>
        <v>7316.7957707413498</v>
      </c>
      <c r="M65" s="24">
        <f t="shared" si="5"/>
        <v>2195.0387312224047</v>
      </c>
      <c r="N65" s="24">
        <f t="shared" si="6"/>
        <v>9511.8345019637545</v>
      </c>
      <c r="O65" s="24">
        <f t="shared" si="7"/>
        <v>3804.7338007855019</v>
      </c>
      <c r="P65" s="25">
        <f t="shared" si="8"/>
        <v>13316.568302749256</v>
      </c>
      <c r="R65" s="83">
        <v>47989.656952056408</v>
      </c>
      <c r="S65" s="114">
        <f t="shared" si="9"/>
        <v>0.26005040201608071</v>
      </c>
      <c r="T65" s="27">
        <v>100021709</v>
      </c>
      <c r="U65" s="24">
        <v>60469.386535052479</v>
      </c>
    </row>
    <row r="66" spans="2:21" x14ac:dyDescent="0.25">
      <c r="B66" s="82">
        <v>100521357</v>
      </c>
      <c r="C66" s="95" t="s">
        <v>110</v>
      </c>
      <c r="D66" s="96"/>
      <c r="E66" s="97">
        <v>4.5599999999999996</v>
      </c>
      <c r="F66" s="98">
        <v>12</v>
      </c>
      <c r="G66" s="83">
        <f t="shared" si="45"/>
        <v>48595.608600000021</v>
      </c>
      <c r="H66" s="113">
        <v>0.33</v>
      </c>
      <c r="I66" s="83">
        <f t="shared" si="44"/>
        <v>32559.057762000011</v>
      </c>
      <c r="J66" s="83">
        <f t="shared" ref="J66:J68" si="46">+I66/F66</f>
        <v>2713.2548135000011</v>
      </c>
      <c r="K66" s="83">
        <f t="shared" ref="K66:K68" si="47">+J66*K$3</f>
        <v>569.78351083500024</v>
      </c>
      <c r="L66" s="83">
        <f t="shared" ref="L66:L68" si="48">+J66+K66</f>
        <v>3283.0383243350016</v>
      </c>
      <c r="M66" s="83">
        <f t="shared" ref="M66:M68" si="49">+L66*M$3</f>
        <v>984.9114973005004</v>
      </c>
      <c r="N66" s="83">
        <f t="shared" ref="N66:N68" si="50">+L66+M66</f>
        <v>4267.9498216355023</v>
      </c>
      <c r="O66" s="83">
        <f t="shared" ref="O66:O68" si="51">+N66*O$3</f>
        <v>1707.1799286542009</v>
      </c>
      <c r="P66" s="99">
        <f t="shared" ref="P66:P68" si="52">+N66+O66</f>
        <v>5975.1297502897032</v>
      </c>
      <c r="R66" s="83">
        <v>46281.532000000014</v>
      </c>
      <c r="S66" s="114">
        <f t="shared" si="9"/>
        <v>-0.29649999999999999</v>
      </c>
      <c r="T66" s="27">
        <v>100521357</v>
      </c>
      <c r="U66" s="24">
        <v>48595.608600000021</v>
      </c>
    </row>
    <row r="67" spans="2:21" x14ac:dyDescent="0.25">
      <c r="B67" s="27">
        <v>100521358</v>
      </c>
      <c r="C67" s="28" t="s">
        <v>114</v>
      </c>
      <c r="D67" s="21">
        <v>7790360982025</v>
      </c>
      <c r="E67" s="22">
        <v>7.6</v>
      </c>
      <c r="F67" s="23">
        <v>10</v>
      </c>
      <c r="G67" s="24">
        <f t="shared" si="45"/>
        <v>72893.412900000025</v>
      </c>
      <c r="H67" s="128"/>
      <c r="I67" s="24">
        <f t="shared" ref="I67" si="53">+G67*(1-H67)</f>
        <v>72893.412900000025</v>
      </c>
      <c r="J67" s="24">
        <f t="shared" ref="J67" si="54">+I67/F67</f>
        <v>7289.3412900000021</v>
      </c>
      <c r="K67" s="24">
        <f t="shared" ref="K67" si="55">+J67*K$3</f>
        <v>1530.7616709000004</v>
      </c>
      <c r="L67" s="24">
        <f t="shared" ref="L67" si="56">+J67+K67</f>
        <v>8820.1029609000034</v>
      </c>
      <c r="M67" s="24">
        <f t="shared" ref="M67" si="57">+L67*M$3</f>
        <v>2646.030888270001</v>
      </c>
      <c r="N67" s="24">
        <f t="shared" ref="N67" si="58">+L67+M67</f>
        <v>11466.133849170004</v>
      </c>
      <c r="O67" s="24">
        <f t="shared" ref="O67" si="59">+N67*O$3</f>
        <v>4586.4535396680021</v>
      </c>
      <c r="P67" s="25">
        <f t="shared" ref="P67" si="60">+N67+O67</f>
        <v>16052.587388838007</v>
      </c>
      <c r="R67" s="83">
        <v>69422.29800000001</v>
      </c>
      <c r="S67" s="114"/>
      <c r="T67" s="27">
        <v>100521358</v>
      </c>
      <c r="U67" s="24">
        <v>72893.412900000025</v>
      </c>
    </row>
    <row r="68" spans="2:21" x14ac:dyDescent="0.25">
      <c r="B68" s="27">
        <v>100522130</v>
      </c>
      <c r="C68" s="28" t="s">
        <v>111</v>
      </c>
      <c r="D68" s="21"/>
      <c r="E68" s="22">
        <v>4.8</v>
      </c>
      <c r="F68" s="23">
        <v>12</v>
      </c>
      <c r="G68" s="24">
        <f t="shared" si="45"/>
        <v>36337.501893000008</v>
      </c>
      <c r="H68" s="128"/>
      <c r="I68" s="24">
        <f t="shared" si="44"/>
        <v>36337.501893000008</v>
      </c>
      <c r="J68" s="24">
        <f t="shared" si="46"/>
        <v>3028.1251577500007</v>
      </c>
      <c r="K68" s="24">
        <f t="shared" si="47"/>
        <v>635.90628312750016</v>
      </c>
      <c r="L68" s="24">
        <f t="shared" si="48"/>
        <v>3664.0314408775007</v>
      </c>
      <c r="M68" s="24">
        <f t="shared" si="49"/>
        <v>1099.2094322632502</v>
      </c>
      <c r="N68" s="24">
        <f t="shared" si="50"/>
        <v>4763.2408731407504</v>
      </c>
      <c r="O68" s="24">
        <f t="shared" si="51"/>
        <v>1905.2963492563003</v>
      </c>
      <c r="P68" s="25">
        <f t="shared" si="52"/>
        <v>6668.5372223970508</v>
      </c>
      <c r="R68" s="83">
        <v>29258.09822361547</v>
      </c>
      <c r="S68" s="114">
        <f t="shared" si="9"/>
        <v>0.24196390398575005</v>
      </c>
      <c r="T68" s="27">
        <v>100522130</v>
      </c>
      <c r="U68" s="24">
        <v>36337.501893000008</v>
      </c>
    </row>
    <row r="69" spans="2:21" x14ac:dyDescent="0.25">
      <c r="B69" s="41">
        <v>100021725</v>
      </c>
      <c r="C69" s="42" t="s">
        <v>66</v>
      </c>
      <c r="D69" s="43">
        <v>7790360027009</v>
      </c>
      <c r="E69" s="44">
        <v>6</v>
      </c>
      <c r="F69" s="45">
        <v>4</v>
      </c>
      <c r="G69" s="46">
        <f t="shared" si="45"/>
        <v>31255.569913892599</v>
      </c>
      <c r="H69" s="129"/>
      <c r="I69" s="46">
        <f t="shared" si="44"/>
        <v>31255.569913892599</v>
      </c>
      <c r="J69" s="46">
        <f t="shared" si="32"/>
        <v>7813.8924784731498</v>
      </c>
      <c r="K69" s="46">
        <f t="shared" si="3"/>
        <v>1640.9174204793615</v>
      </c>
      <c r="L69" s="46">
        <f t="shared" si="4"/>
        <v>9454.8098989525115</v>
      </c>
      <c r="M69" s="46">
        <f t="shared" si="5"/>
        <v>2836.4429696857533</v>
      </c>
      <c r="N69" s="46">
        <f t="shared" si="6"/>
        <v>12291.252868638265</v>
      </c>
      <c r="O69" s="46">
        <f t="shared" si="7"/>
        <v>4916.5011474553066</v>
      </c>
      <c r="P69" s="47">
        <f t="shared" si="8"/>
        <v>17207.754016093571</v>
      </c>
      <c r="R69" s="46">
        <v>29767.209441802475</v>
      </c>
      <c r="S69" s="114">
        <f t="shared" si="9"/>
        <v>0.05</v>
      </c>
      <c r="T69" s="41">
        <v>100021725</v>
      </c>
      <c r="U69" s="46">
        <v>31255.569913892599</v>
      </c>
    </row>
    <row r="70" spans="2:21" x14ac:dyDescent="0.25">
      <c r="B70" s="27">
        <v>100517055</v>
      </c>
      <c r="C70" s="28" t="s">
        <v>67</v>
      </c>
      <c r="D70" s="21">
        <v>7790360971135</v>
      </c>
      <c r="E70" s="22">
        <v>3.12</v>
      </c>
      <c r="F70" s="23">
        <v>12</v>
      </c>
      <c r="G70" s="24">
        <f t="shared" si="45"/>
        <v>31213.60900094096</v>
      </c>
      <c r="H70" s="127"/>
      <c r="I70" s="24">
        <f t="shared" si="44"/>
        <v>31213.60900094096</v>
      </c>
      <c r="J70" s="24">
        <f t="shared" si="32"/>
        <v>2601.1340834117468</v>
      </c>
      <c r="K70" s="24">
        <f t="shared" si="3"/>
        <v>546.2381575164668</v>
      </c>
      <c r="L70" s="24">
        <f t="shared" si="4"/>
        <v>3147.3722409282136</v>
      </c>
      <c r="M70" s="24">
        <f t="shared" si="5"/>
        <v>944.21167227846399</v>
      </c>
      <c r="N70" s="24">
        <f t="shared" si="6"/>
        <v>4091.5839132066776</v>
      </c>
      <c r="O70" s="24">
        <f t="shared" si="7"/>
        <v>1636.633565282671</v>
      </c>
      <c r="P70" s="25">
        <f t="shared" si="8"/>
        <v>5728.2174784893487</v>
      </c>
      <c r="R70" s="24">
        <v>29727.246667562817</v>
      </c>
      <c r="S70" s="114">
        <f t="shared" si="9"/>
        <v>5.0000000000000086E-2</v>
      </c>
      <c r="T70" s="27">
        <v>100517055</v>
      </c>
      <c r="U70" s="24">
        <v>31213.60900094096</v>
      </c>
    </row>
    <row r="71" spans="2:21" x14ac:dyDescent="0.25">
      <c r="B71" s="27">
        <v>100517186</v>
      </c>
      <c r="C71" s="28" t="s">
        <v>68</v>
      </c>
      <c r="D71" s="21">
        <v>7790360971395</v>
      </c>
      <c r="E71" s="22">
        <v>8</v>
      </c>
      <c r="F71" s="23">
        <v>8</v>
      </c>
      <c r="G71" s="24">
        <f t="shared" si="45"/>
        <v>78871.461568832005</v>
      </c>
      <c r="H71" s="127"/>
      <c r="I71" s="24">
        <f t="shared" si="44"/>
        <v>78871.461568832005</v>
      </c>
      <c r="J71" s="24">
        <f t="shared" si="32"/>
        <v>9858.9326961040006</v>
      </c>
      <c r="K71" s="24">
        <f t="shared" si="3"/>
        <v>2070.3758661818401</v>
      </c>
      <c r="L71" s="24">
        <f t="shared" si="4"/>
        <v>11929.308562285842</v>
      </c>
      <c r="M71" s="24">
        <f t="shared" si="5"/>
        <v>3578.7925686857525</v>
      </c>
      <c r="N71" s="24">
        <f t="shared" si="6"/>
        <v>15508.101130971594</v>
      </c>
      <c r="O71" s="24">
        <f t="shared" si="7"/>
        <v>6203.240452388638</v>
      </c>
      <c r="P71" s="25">
        <f t="shared" si="8"/>
        <v>21711.341583360234</v>
      </c>
      <c r="R71" s="24">
        <v>75115.677684601891</v>
      </c>
      <c r="S71" s="114">
        <f t="shared" si="9"/>
        <v>5.0000000000000253E-2</v>
      </c>
      <c r="T71" s="27">
        <v>100517186</v>
      </c>
      <c r="U71" s="24">
        <v>78871.461568832005</v>
      </c>
    </row>
    <row r="72" spans="2:21" x14ac:dyDescent="0.25">
      <c r="B72" s="119">
        <v>100521663</v>
      </c>
      <c r="C72" s="120" t="s">
        <v>112</v>
      </c>
      <c r="D72" s="96"/>
      <c r="E72" s="97">
        <v>4.8</v>
      </c>
      <c r="F72" s="98">
        <v>12</v>
      </c>
      <c r="G72" s="83">
        <v>41797.283176593519</v>
      </c>
      <c r="H72" s="113">
        <v>0.33</v>
      </c>
      <c r="I72" s="83">
        <f t="shared" ref="I72" si="61">+G72*(1-H72)</f>
        <v>28004.179728317653</v>
      </c>
      <c r="J72" s="83">
        <f t="shared" ref="J72" si="62">+I72/F72</f>
        <v>2333.6816440264711</v>
      </c>
      <c r="K72" s="83">
        <f t="shared" ref="K72" si="63">+J72*K$3</f>
        <v>490.07314524555892</v>
      </c>
      <c r="L72" s="83">
        <f t="shared" ref="L72" si="64">+J72+K72</f>
        <v>2823.7547892720299</v>
      </c>
      <c r="M72" s="83">
        <f t="shared" ref="M72" si="65">+L72*M$3</f>
        <v>847.12643678160896</v>
      </c>
      <c r="N72" s="83">
        <f t="shared" ref="N72" si="66">+L72+M72</f>
        <v>3670.8812260536388</v>
      </c>
      <c r="O72" s="83">
        <f t="shared" ref="O72" si="67">+N72*O$3</f>
        <v>1468.3524904214555</v>
      </c>
      <c r="P72" s="99">
        <f t="shared" ref="P72" si="68">+N72+O72</f>
        <v>5139.2337164750943</v>
      </c>
      <c r="R72" s="24">
        <v>47021.568000000007</v>
      </c>
      <c r="S72" s="114">
        <f t="shared" si="9"/>
        <v>-0.40443968758511734</v>
      </c>
      <c r="T72" s="27">
        <v>100521663</v>
      </c>
      <c r="U72" s="24">
        <v>49372.646400000012</v>
      </c>
    </row>
    <row r="73" spans="2:21" x14ac:dyDescent="0.25">
      <c r="B73" s="41">
        <v>100021728</v>
      </c>
      <c r="C73" s="42" t="s">
        <v>69</v>
      </c>
      <c r="D73" s="43">
        <v>7790360967558</v>
      </c>
      <c r="E73" s="44">
        <v>3.84</v>
      </c>
      <c r="F73" s="45">
        <v>12</v>
      </c>
      <c r="G73" s="46">
        <f t="shared" si="45"/>
        <v>39236.851140679726</v>
      </c>
      <c r="H73" s="129"/>
      <c r="I73" s="46">
        <f t="shared" si="44"/>
        <v>39236.851140679726</v>
      </c>
      <c r="J73" s="46">
        <f t="shared" si="32"/>
        <v>3269.7375950566438</v>
      </c>
      <c r="K73" s="46">
        <f t="shared" si="3"/>
        <v>686.64489496189515</v>
      </c>
      <c r="L73" s="46">
        <f t="shared" si="4"/>
        <v>3956.3824900185391</v>
      </c>
      <c r="M73" s="46">
        <f t="shared" si="5"/>
        <v>1186.9147470055616</v>
      </c>
      <c r="N73" s="46">
        <f t="shared" si="6"/>
        <v>5143.2972370241005</v>
      </c>
      <c r="O73" s="46">
        <f t="shared" si="7"/>
        <v>2057.3188948096404</v>
      </c>
      <c r="P73" s="47">
        <f t="shared" si="8"/>
        <v>7200.6161318337408</v>
      </c>
      <c r="R73" s="46">
        <v>37368.429657790221</v>
      </c>
      <c r="S73" s="114">
        <f t="shared" si="9"/>
        <v>4.9999999999999857E-2</v>
      </c>
      <c r="T73" s="41">
        <v>100021728</v>
      </c>
      <c r="U73" s="46">
        <v>39236.851140679726</v>
      </c>
    </row>
    <row r="74" spans="2:21" x14ac:dyDescent="0.25">
      <c r="B74" s="41">
        <v>100517679</v>
      </c>
      <c r="C74" s="42" t="s">
        <v>70</v>
      </c>
      <c r="D74" s="43"/>
      <c r="E74" s="44">
        <v>7.68</v>
      </c>
      <c r="F74" s="45">
        <v>8</v>
      </c>
      <c r="G74" s="46">
        <f t="shared" si="45"/>
        <v>39413.592299367461</v>
      </c>
      <c r="H74" s="129"/>
      <c r="I74" s="46">
        <f t="shared" si="44"/>
        <v>39413.592299367461</v>
      </c>
      <c r="J74" s="46">
        <f t="shared" si="3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 s="46">
        <v>37536.754570826153</v>
      </c>
      <c r="S74" s="114">
        <f t="shared" si="9"/>
        <v>5.000000000000001E-2</v>
      </c>
      <c r="T74" s="41">
        <v>100517679</v>
      </c>
      <c r="U74" s="46">
        <v>39413.592299367461</v>
      </c>
    </row>
    <row r="75" spans="2:21" ht="15.75" thickBot="1" x14ac:dyDescent="0.3">
      <c r="B75" s="32"/>
      <c r="C75" s="33"/>
      <c r="D75" s="34"/>
      <c r="E75" s="33"/>
      <c r="F75" s="35"/>
      <c r="G75" s="36" t="e">
        <v>#VALUE!</v>
      </c>
      <c r="H75" s="126"/>
      <c r="I75" s="36" t="e">
        <f t="shared" si="44"/>
        <v>#VALUE!</v>
      </c>
      <c r="J75" s="37" t="e">
        <f t="shared" si="32"/>
        <v>#VALUE!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#VALUE!</v>
      </c>
      <c r="S75" s="114" t="e">
        <f t="shared" si="9"/>
        <v>#VALUE!</v>
      </c>
      <c r="T75" s="32"/>
      <c r="U75" s="36" t="e">
        <v>#VALUE!</v>
      </c>
    </row>
    <row r="76" spans="2:21" ht="15.75" hidden="1" thickBot="1" x14ac:dyDescent="0.3">
      <c r="B76" s="27">
        <v>100516219</v>
      </c>
      <c r="C76" s="28" t="s">
        <v>71</v>
      </c>
      <c r="D76" s="48">
        <v>7790360967770</v>
      </c>
      <c r="E76" s="22">
        <v>10</v>
      </c>
      <c r="F76" s="23">
        <v>25</v>
      </c>
      <c r="G76" s="24">
        <v>18259.399891781304</v>
      </c>
      <c r="H76" s="127"/>
      <c r="I76" s="24">
        <f t="shared" si="44"/>
        <v>18259.399891781304</v>
      </c>
      <c r="J76" s="24">
        <f t="shared" si="3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 s="24">
        <v>18259.399891781304</v>
      </c>
      <c r="S76" s="114">
        <f t="shared" si="9"/>
        <v>0</v>
      </c>
      <c r="T76" s="27">
        <v>100516219</v>
      </c>
      <c r="U76" s="24">
        <v>18259.399891781304</v>
      </c>
    </row>
    <row r="77" spans="2:21" ht="15.75" hidden="1" thickBot="1" x14ac:dyDescent="0.3">
      <c r="B77" s="27">
        <v>100516220</v>
      </c>
      <c r="C77" s="28" t="s">
        <v>72</v>
      </c>
      <c r="D77" s="48">
        <v>7790360967787</v>
      </c>
      <c r="E77" s="22">
        <v>12</v>
      </c>
      <c r="F77" s="23">
        <v>6</v>
      </c>
      <c r="G77" s="24">
        <v>19613.921820029205</v>
      </c>
      <c r="H77" s="127"/>
      <c r="I77" s="24">
        <f t="shared" si="44"/>
        <v>19613.921820029205</v>
      </c>
      <c r="J77" s="24">
        <f t="shared" ref="J77:J87" si="69">+I77/F77</f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 s="24">
        <v>19613.921820029205</v>
      </c>
      <c r="S77" s="114">
        <f t="shared" si="9"/>
        <v>0</v>
      </c>
      <c r="T77" s="27">
        <v>100516220</v>
      </c>
      <c r="U77" s="24">
        <v>19613.921820029205</v>
      </c>
    </row>
    <row r="78" spans="2:21" ht="15.75" hidden="1" thickBot="1" x14ac:dyDescent="0.3">
      <c r="B78" s="85"/>
      <c r="C78" s="86"/>
      <c r="D78" s="87"/>
      <c r="E78" s="86"/>
      <c r="F78" s="88"/>
      <c r="G78" s="89" t="e">
        <v>#VALUE!</v>
      </c>
      <c r="H78" s="130"/>
      <c r="I78" s="89" t="e">
        <f t="shared" si="44"/>
        <v>#VALUE!</v>
      </c>
      <c r="J78" s="37" t="e">
        <f t="shared" si="69"/>
        <v>#VALUE!</v>
      </c>
      <c r="K78" s="38"/>
      <c r="L78" s="37"/>
      <c r="M78" s="38"/>
      <c r="N78" s="37"/>
      <c r="O78" s="38"/>
      <c r="P78" s="39"/>
      <c r="R78" s="89" t="e">
        <v>#VALUE!</v>
      </c>
      <c r="S78" s="114" t="e">
        <f t="shared" ref="S78:S104" si="70">+(I78-R78)/R78</f>
        <v>#VALUE!</v>
      </c>
      <c r="T78" s="85"/>
      <c r="U78" s="89" t="e">
        <v>#VALUE!</v>
      </c>
    </row>
    <row r="79" spans="2:21" x14ac:dyDescent="0.25">
      <c r="B79" s="84">
        <v>100518158</v>
      </c>
      <c r="C79" s="28" t="s">
        <v>73</v>
      </c>
      <c r="D79" s="62">
        <v>7790360974280</v>
      </c>
      <c r="E79" s="22">
        <v>12</v>
      </c>
      <c r="F79" s="23">
        <v>24</v>
      </c>
      <c r="G79" s="24">
        <f>+VLOOKUP(B79,$T$4:$U$104,2,FALSE)</f>
        <v>75339.602925809828</v>
      </c>
      <c r="H79" s="131"/>
      <c r="I79" s="24">
        <f t="shared" si="44"/>
        <v>75339.602925809828</v>
      </c>
      <c r="J79" s="24">
        <f t="shared" si="69"/>
        <v>3139.1501219087427</v>
      </c>
      <c r="K79" s="24">
        <f>+J79*K$3</f>
        <v>659.22152560083589</v>
      </c>
      <c r="L79" s="24">
        <f>+J79+K79</f>
        <v>3798.3716475095785</v>
      </c>
      <c r="M79" s="24">
        <f>+L79*M$3</f>
        <v>1139.5114942528735</v>
      </c>
      <c r="N79" s="24">
        <f>+L79+M79</f>
        <v>4937.8831417624515</v>
      </c>
      <c r="O79" s="24">
        <f>+N79*O$3</f>
        <v>1975.1532567049808</v>
      </c>
      <c r="P79" s="25">
        <f>+N79+O79</f>
        <v>6913.0363984674323</v>
      </c>
      <c r="R79" s="24">
        <v>75339.602925809828</v>
      </c>
      <c r="S79" s="114">
        <f t="shared" si="70"/>
        <v>0</v>
      </c>
      <c r="T79" s="84">
        <v>100518158</v>
      </c>
      <c r="U79" s="24">
        <v>75339.602925809828</v>
      </c>
    </row>
    <row r="80" spans="2:21" x14ac:dyDescent="0.25">
      <c r="B80" s="84">
        <v>100518160</v>
      </c>
      <c r="C80" s="28" t="s">
        <v>74</v>
      </c>
      <c r="D80" s="62">
        <v>7790360974686</v>
      </c>
      <c r="E80" s="22">
        <v>12</v>
      </c>
      <c r="F80" s="23">
        <v>12</v>
      </c>
      <c r="G80" s="24">
        <f>+VLOOKUP(B80,$T$4:$U$104,2,FALSE)</f>
        <v>75339.602925809828</v>
      </c>
      <c r="H80" s="127"/>
      <c r="I80" s="24">
        <f t="shared" si="44"/>
        <v>75339.602925809828</v>
      </c>
      <c r="J80" s="24">
        <f t="shared" si="69"/>
        <v>6278.3002438174854</v>
      </c>
      <c r="K80" s="24">
        <f>+J80*K$3</f>
        <v>1318.4430512016718</v>
      </c>
      <c r="L80" s="24">
        <f>+J80+K80</f>
        <v>7596.7432950191569</v>
      </c>
      <c r="M80" s="24">
        <f>+L80*M$3</f>
        <v>2279.022988505747</v>
      </c>
      <c r="N80" s="24">
        <f>+L80+M80</f>
        <v>9875.766283524903</v>
      </c>
      <c r="O80" s="24">
        <f>+N80*O$3</f>
        <v>3950.3065134099616</v>
      </c>
      <c r="P80" s="25">
        <f>+N80+O80</f>
        <v>13826.072796934865</v>
      </c>
      <c r="R80" s="24">
        <v>75339.602925809828</v>
      </c>
      <c r="S80" s="114">
        <f t="shared" si="70"/>
        <v>0</v>
      </c>
      <c r="T80" s="84">
        <v>100518160</v>
      </c>
      <c r="U80" s="24">
        <v>75339.602925809828</v>
      </c>
    </row>
    <row r="81" spans="1:21" ht="15.75" thickBot="1" x14ac:dyDescent="0.3">
      <c r="B81" s="84">
        <v>100518463</v>
      </c>
      <c r="C81" s="28" t="s">
        <v>88</v>
      </c>
      <c r="D81" s="62"/>
      <c r="E81" s="22">
        <v>5</v>
      </c>
      <c r="F81" s="23">
        <v>1</v>
      </c>
      <c r="G81" s="24">
        <f>+VLOOKUP(B81,$T$4:$U$104,2,FALSE)</f>
        <v>36693.267187500001</v>
      </c>
      <c r="H81" s="132"/>
      <c r="I81" s="24">
        <f t="shared" si="44"/>
        <v>36693.267187500001</v>
      </c>
      <c r="J81" s="24">
        <f t="shared" si="69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 s="114">
        <f t="shared" si="70"/>
        <v>0</v>
      </c>
      <c r="T81" s="84">
        <v>100518463</v>
      </c>
      <c r="U81" s="24">
        <v>36693.267187500001</v>
      </c>
    </row>
    <row r="82" spans="1:21" ht="15.75" thickBot="1" x14ac:dyDescent="0.3">
      <c r="B82" s="70"/>
      <c r="C82" s="71"/>
      <c r="D82" s="72"/>
      <c r="E82" s="71"/>
      <c r="F82" s="73"/>
      <c r="G82" s="74" t="e">
        <v>#VALUE!</v>
      </c>
      <c r="H82" s="133"/>
      <c r="I82" s="74" t="e">
        <f t="shared" si="44"/>
        <v>#VALUE!</v>
      </c>
      <c r="J82" s="37" t="e">
        <f t="shared" si="69"/>
        <v>#VALUE!</v>
      </c>
      <c r="K82" s="38"/>
      <c r="L82" s="37"/>
      <c r="M82" s="38">
        <v>0.2</v>
      </c>
      <c r="N82" s="37"/>
      <c r="O82" s="38">
        <v>0.35</v>
      </c>
      <c r="P82" s="39"/>
      <c r="R82" s="74" t="e">
        <v>#VALUE!</v>
      </c>
      <c r="S82" s="114" t="e">
        <f t="shared" si="70"/>
        <v>#VALUE!</v>
      </c>
      <c r="T82" s="70"/>
      <c r="U82" s="74" t="e">
        <v>#VALUE!</v>
      </c>
    </row>
    <row r="83" spans="1:21" x14ac:dyDescent="0.25">
      <c r="B83" s="110">
        <v>100518291</v>
      </c>
      <c r="C83" s="111" t="s">
        <v>76</v>
      </c>
      <c r="D83" s="107">
        <v>7790360975195</v>
      </c>
      <c r="E83" s="112">
        <v>5</v>
      </c>
      <c r="F83" s="112">
        <v>10</v>
      </c>
      <c r="G83" s="108">
        <f>+VLOOKUP(B83,$T$4:$U$104,2,FALSE)</f>
        <v>17536.686967689053</v>
      </c>
      <c r="H83" s="113">
        <v>0.15</v>
      </c>
      <c r="I83" s="83">
        <f t="shared" si="44"/>
        <v>14906.183922535694</v>
      </c>
      <c r="J83" s="108">
        <f t="shared" si="69"/>
        <v>1490.6183922535695</v>
      </c>
      <c r="K83" s="108">
        <f>+J83*K$3</f>
        <v>313.02986237324956</v>
      </c>
      <c r="L83" s="108">
        <f>+J83+K83</f>
        <v>1803.6482546268189</v>
      </c>
      <c r="M83" s="108">
        <f>+L83*M$39</f>
        <v>360.72965092536379</v>
      </c>
      <c r="N83" s="108">
        <f>+L83+M83</f>
        <v>2164.3779055521827</v>
      </c>
      <c r="O83" s="108">
        <f>+N83*O$39</f>
        <v>757.53226694326395</v>
      </c>
      <c r="P83" s="109">
        <f>+N83+O83</f>
        <v>2921.9101724954467</v>
      </c>
      <c r="R83" s="83">
        <v>14906.183922535694</v>
      </c>
      <c r="S83" s="114">
        <f t="shared" si="70"/>
        <v>0</v>
      </c>
      <c r="T83" s="161">
        <v>100518291</v>
      </c>
      <c r="U83" s="60">
        <v>17536.686967689053</v>
      </c>
    </row>
    <row r="84" spans="1:21" ht="15.75" thickBot="1" x14ac:dyDescent="0.3">
      <c r="B84" s="101">
        <v>100518292</v>
      </c>
      <c r="C84" s="102" t="s">
        <v>77</v>
      </c>
      <c r="D84" s="103">
        <v>7790360975201</v>
      </c>
      <c r="E84" s="104">
        <v>12</v>
      </c>
      <c r="F84" s="104">
        <v>12</v>
      </c>
      <c r="G84" s="105">
        <f>+VLOOKUP(B84,$T$4:$U$104,2,FALSE)</f>
        <v>41380.323708459917</v>
      </c>
      <c r="H84" s="113">
        <v>0.15</v>
      </c>
      <c r="I84" s="83">
        <f t="shared" si="44"/>
        <v>35173.27515219093</v>
      </c>
      <c r="J84" s="105">
        <f t="shared" si="69"/>
        <v>2931.1062626825774</v>
      </c>
      <c r="K84" s="105">
        <f>+J84*K$3</f>
        <v>615.5323151633412</v>
      </c>
      <c r="L84" s="105">
        <f>+J84+K84</f>
        <v>3546.6385778459185</v>
      </c>
      <c r="M84" s="105">
        <f>+L84*M$39</f>
        <v>709.32771556918374</v>
      </c>
      <c r="N84" s="105">
        <f>+L84+M84</f>
        <v>4255.966293415102</v>
      </c>
      <c r="O84" s="105">
        <f>+N84*O$39</f>
        <v>1489.5882026952856</v>
      </c>
      <c r="P84" s="106">
        <f>+N84+O84</f>
        <v>5745.5544961103878</v>
      </c>
      <c r="R84" s="83">
        <v>35173.27515219093</v>
      </c>
      <c r="S84" s="114">
        <f t="shared" si="70"/>
        <v>0</v>
      </c>
      <c r="T84" s="162">
        <v>100518292</v>
      </c>
      <c r="U84" s="68">
        <v>41380.323708459917</v>
      </c>
    </row>
    <row r="85" spans="1:21" ht="15.75" thickBot="1" x14ac:dyDescent="0.3">
      <c r="B85" s="70"/>
      <c r="C85" s="71"/>
      <c r="D85" s="72"/>
      <c r="E85" s="71"/>
      <c r="F85" s="73"/>
      <c r="G85" s="74" t="e">
        <v>#VALUE!</v>
      </c>
      <c r="H85" s="133"/>
      <c r="I85" s="74" t="e">
        <f t="shared" si="44"/>
        <v>#VALUE!</v>
      </c>
      <c r="J85" s="37" t="e">
        <f t="shared" si="69"/>
        <v>#VALUE!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4" t="e">
        <v>#VALUE!</v>
      </c>
      <c r="S85" s="114" t="e">
        <f t="shared" si="70"/>
        <v>#VALUE!</v>
      </c>
      <c r="T85" s="70"/>
      <c r="U85" s="74" t="e">
        <v>#VALUE!</v>
      </c>
    </row>
    <row r="86" spans="1:21" x14ac:dyDescent="0.25">
      <c r="B86" s="110">
        <v>100517915</v>
      </c>
      <c r="C86" s="111" t="s">
        <v>78</v>
      </c>
      <c r="D86" s="107">
        <v>7790360974020</v>
      </c>
      <c r="E86" s="112">
        <v>18</v>
      </c>
      <c r="F86" s="112">
        <v>36</v>
      </c>
      <c r="G86" s="108">
        <f t="shared" ref="G86:G97" si="71">+VLOOKUP(B86,$T$4:$U$104,2,FALSE)</f>
        <v>154338.47338253396</v>
      </c>
      <c r="H86" s="94"/>
      <c r="I86" s="83">
        <f t="shared" si="44"/>
        <v>154338.47338253396</v>
      </c>
      <c r="J86" s="108">
        <f t="shared" si="69"/>
        <v>4287.1798161814986</v>
      </c>
      <c r="K86" s="108">
        <f>+J86*K$85</f>
        <v>450.15388069905731</v>
      </c>
      <c r="L86" s="108">
        <f>+J86+K86</f>
        <v>4737.3336968805561</v>
      </c>
      <c r="M86" s="108">
        <f>+L86*M$85</f>
        <v>1421.2001090641668</v>
      </c>
      <c r="N86" s="108">
        <f>+L86+M86</f>
        <v>6158.5338059447231</v>
      </c>
      <c r="O86" s="108">
        <f>+N86*O$85</f>
        <v>2463.4135223778894</v>
      </c>
      <c r="P86" s="109">
        <f>+N86+O86</f>
        <v>8621.9473283226125</v>
      </c>
      <c r="R86" s="83">
        <v>145602.333379749</v>
      </c>
      <c r="S86" s="114">
        <f t="shared" si="70"/>
        <v>6.000000000000013E-2</v>
      </c>
      <c r="T86" s="161">
        <v>100517915</v>
      </c>
      <c r="U86" s="60">
        <v>154338.47338253396</v>
      </c>
    </row>
    <row r="87" spans="1:21" ht="15.75" thickBot="1" x14ac:dyDescent="0.3">
      <c r="B87" s="101">
        <v>100517914</v>
      </c>
      <c r="C87" s="102" t="s">
        <v>79</v>
      </c>
      <c r="D87" s="103">
        <v>7790360974037</v>
      </c>
      <c r="E87" s="104">
        <v>20</v>
      </c>
      <c r="F87" s="104">
        <v>20</v>
      </c>
      <c r="G87" s="105">
        <f t="shared" si="71"/>
        <v>168417.57189887395</v>
      </c>
      <c r="H87" s="94"/>
      <c r="I87" s="83">
        <f t="shared" si="44"/>
        <v>168417.57189887395</v>
      </c>
      <c r="J87" s="105">
        <f t="shared" si="69"/>
        <v>8420.878594943697</v>
      </c>
      <c r="K87" s="105">
        <f>+J87*K$85</f>
        <v>884.1922524690882</v>
      </c>
      <c r="L87" s="105">
        <f>+J87+K87</f>
        <v>9305.070847412786</v>
      </c>
      <c r="M87" s="105">
        <f>+L87*M$85</f>
        <v>2791.5212542238355</v>
      </c>
      <c r="N87" s="105">
        <f>+L87+M87</f>
        <v>12096.592101636621</v>
      </c>
      <c r="O87" s="105">
        <f>+N87*O$85</f>
        <v>4838.6368406546489</v>
      </c>
      <c r="P87" s="106">
        <f>+N87+O87</f>
        <v>16935.228942291269</v>
      </c>
      <c r="R87" s="83">
        <v>158884.50179139053</v>
      </c>
      <c r="S87" s="114">
        <f t="shared" si="70"/>
        <v>5.9999999999999935E-2</v>
      </c>
      <c r="T87" s="162">
        <v>100517914</v>
      </c>
      <c r="U87" s="68">
        <v>168417.57189887395</v>
      </c>
    </row>
    <row r="88" spans="1:21" ht="15.75" thickBot="1" x14ac:dyDescent="0.3">
      <c r="B88" s="70"/>
      <c r="C88" s="71"/>
      <c r="D88" s="72"/>
      <c r="E88" s="71"/>
      <c r="F88" s="73"/>
      <c r="G88" s="74" t="e">
        <f t="shared" si="71"/>
        <v>#N/A</v>
      </c>
      <c r="H88" s="133"/>
      <c r="I88" s="74" t="e">
        <f t="shared" si="44"/>
        <v>#N/A</v>
      </c>
      <c r="J88" s="90"/>
      <c r="K88" s="91">
        <v>0.105</v>
      </c>
      <c r="L88" s="90"/>
      <c r="M88" s="92">
        <v>0.3</v>
      </c>
      <c r="N88" s="90"/>
      <c r="O88" s="92">
        <v>0.4</v>
      </c>
      <c r="P88" s="93"/>
      <c r="R88" s="74" t="e">
        <v>#N/A</v>
      </c>
      <c r="S88" s="114" t="e">
        <f t="shared" si="70"/>
        <v>#N/A</v>
      </c>
      <c r="T88" s="70"/>
      <c r="U88" s="74"/>
    </row>
    <row r="89" spans="1:21" x14ac:dyDescent="0.25">
      <c r="B89" s="27">
        <v>100010689</v>
      </c>
      <c r="C89" s="28" t="s">
        <v>80</v>
      </c>
      <c r="D89" s="21"/>
      <c r="E89" s="80">
        <v>22</v>
      </c>
      <c r="F89" s="23">
        <v>1</v>
      </c>
      <c r="G89" s="24">
        <f t="shared" si="71"/>
        <v>16464.642857142862</v>
      </c>
      <c r="H89" s="127"/>
      <c r="I89" s="24">
        <f t="shared" si="44"/>
        <v>16464.642857142862</v>
      </c>
      <c r="J89" s="60">
        <f t="shared" ref="J89:J94" si="72">+I89/F89</f>
        <v>16464.642857142862</v>
      </c>
      <c r="K89" s="60">
        <f t="shared" ref="K89:K94" si="73">+J89*K$88</f>
        <v>1728.7875000000006</v>
      </c>
      <c r="L89" s="60">
        <f t="shared" ref="L89:L94" si="74">+J89+K89</f>
        <v>18193.430357142865</v>
      </c>
      <c r="M89" s="60">
        <f t="shared" ref="M89:M94" si="75">+L89*M$88</f>
        <v>5458.0291071428592</v>
      </c>
      <c r="N89" s="60">
        <f t="shared" ref="N89:N94" si="76">+L89+M89</f>
        <v>23651.459464285723</v>
      </c>
      <c r="O89" s="60">
        <f t="shared" ref="O89:O94" si="77">+N89*O$88</f>
        <v>9460.5837857142888</v>
      </c>
      <c r="P89" s="61">
        <f t="shared" ref="P89:P94" si="78">+N89+O89</f>
        <v>33112.04325000001</v>
      </c>
      <c r="R89" s="24">
        <v>16464.642857142862</v>
      </c>
      <c r="S89" s="114">
        <f t="shared" si="70"/>
        <v>0</v>
      </c>
      <c r="T89" s="27">
        <v>100010689</v>
      </c>
      <c r="U89" s="24">
        <v>16464.642857142862</v>
      </c>
    </row>
    <row r="90" spans="1:21" x14ac:dyDescent="0.25">
      <c r="B90" s="27">
        <v>100518335</v>
      </c>
      <c r="C90" s="28" t="s">
        <v>81</v>
      </c>
      <c r="D90" s="21"/>
      <c r="E90" s="80">
        <v>22.5</v>
      </c>
      <c r="F90" s="23">
        <v>1</v>
      </c>
      <c r="G90" s="24">
        <f t="shared" si="71"/>
        <v>10429.178571428572</v>
      </c>
      <c r="H90" s="127"/>
      <c r="I90" s="24">
        <f t="shared" si="44"/>
        <v>10429.178571428572</v>
      </c>
      <c r="J90" s="24">
        <f t="shared" si="72"/>
        <v>10429.178571428572</v>
      </c>
      <c r="K90" s="24">
        <f t="shared" si="73"/>
        <v>1095.06375</v>
      </c>
      <c r="L90" s="24">
        <f t="shared" si="74"/>
        <v>11524.242321428572</v>
      </c>
      <c r="M90" s="24">
        <f t="shared" si="75"/>
        <v>3457.2726964285716</v>
      </c>
      <c r="N90" s="24">
        <f t="shared" si="76"/>
        <v>14981.515017857144</v>
      </c>
      <c r="O90" s="24">
        <f t="shared" si="77"/>
        <v>5992.6060071428583</v>
      </c>
      <c r="P90" s="25">
        <f t="shared" si="78"/>
        <v>20974.121025</v>
      </c>
      <c r="R90" s="24">
        <v>10429.178571428572</v>
      </c>
      <c r="S90" s="114">
        <f t="shared" si="70"/>
        <v>0</v>
      </c>
      <c r="T90" s="27">
        <v>100518335</v>
      </c>
      <c r="U90" s="24">
        <v>10429.178571428572</v>
      </c>
    </row>
    <row r="91" spans="1:21" x14ac:dyDescent="0.25">
      <c r="B91" s="27">
        <v>100518332</v>
      </c>
      <c r="C91" s="28" t="s">
        <v>82</v>
      </c>
      <c r="D91" s="21"/>
      <c r="E91" s="80">
        <v>21.5</v>
      </c>
      <c r="F91" s="23">
        <v>1</v>
      </c>
      <c r="G91" s="24">
        <f t="shared" si="71"/>
        <v>11223.535714285716</v>
      </c>
      <c r="H91" s="127"/>
      <c r="I91" s="24">
        <f t="shared" si="44"/>
        <v>11223.535714285716</v>
      </c>
      <c r="J91" s="24">
        <f t="shared" si="72"/>
        <v>11223.535714285716</v>
      </c>
      <c r="K91" s="24">
        <f t="shared" si="73"/>
        <v>1178.4712500000001</v>
      </c>
      <c r="L91" s="24">
        <f t="shared" si="74"/>
        <v>12402.006964285716</v>
      </c>
      <c r="M91" s="24">
        <f t="shared" si="75"/>
        <v>3720.6020892857146</v>
      </c>
      <c r="N91" s="24">
        <f t="shared" si="76"/>
        <v>16122.60905357143</v>
      </c>
      <c r="O91" s="24">
        <f t="shared" si="77"/>
        <v>6449.0436214285728</v>
      </c>
      <c r="P91" s="25">
        <f t="shared" si="78"/>
        <v>22571.652675000005</v>
      </c>
      <c r="R91" s="24">
        <v>11223.535714285716</v>
      </c>
      <c r="S91" s="114">
        <f t="shared" si="70"/>
        <v>0</v>
      </c>
      <c r="T91" s="27">
        <v>100518332</v>
      </c>
      <c r="U91" s="24">
        <v>11223.535714285716</v>
      </c>
    </row>
    <row r="92" spans="1:21" x14ac:dyDescent="0.25">
      <c r="B92" s="27">
        <v>100518334</v>
      </c>
      <c r="C92" s="28" t="s">
        <v>83</v>
      </c>
      <c r="D92" s="21"/>
      <c r="E92" s="80">
        <v>22.5</v>
      </c>
      <c r="F92" s="23">
        <v>1</v>
      </c>
      <c r="G92" s="24">
        <f t="shared" si="71"/>
        <v>9237.6428571428587</v>
      </c>
      <c r="H92" s="127"/>
      <c r="I92" s="24">
        <f t="shared" si="44"/>
        <v>9237.6428571428587</v>
      </c>
      <c r="J92" s="24">
        <f t="shared" si="72"/>
        <v>9237.6428571428587</v>
      </c>
      <c r="K92" s="24">
        <f t="shared" si="73"/>
        <v>969.9525000000001</v>
      </c>
      <c r="L92" s="24">
        <f t="shared" si="74"/>
        <v>10207.595357142858</v>
      </c>
      <c r="M92" s="24">
        <f t="shared" si="75"/>
        <v>3062.2786071428573</v>
      </c>
      <c r="N92" s="24">
        <f t="shared" si="76"/>
        <v>13269.873964285714</v>
      </c>
      <c r="O92" s="24">
        <f t="shared" si="77"/>
        <v>5307.9495857142865</v>
      </c>
      <c r="P92" s="25">
        <f t="shared" si="78"/>
        <v>18577.823550000001</v>
      </c>
      <c r="R92" s="24">
        <v>9237.6428571428587</v>
      </c>
      <c r="S92" s="114">
        <f t="shared" si="70"/>
        <v>0</v>
      </c>
      <c r="T92" s="27">
        <v>100518334</v>
      </c>
      <c r="U92" s="24">
        <v>9237.6428571428587</v>
      </c>
    </row>
    <row r="93" spans="1:21" x14ac:dyDescent="0.25">
      <c r="B93" s="27">
        <v>100518227</v>
      </c>
      <c r="C93" s="28" t="s">
        <v>84</v>
      </c>
      <c r="D93" s="21"/>
      <c r="E93" s="80">
        <v>22.5</v>
      </c>
      <c r="F93" s="23">
        <v>1</v>
      </c>
      <c r="G93" s="24">
        <f t="shared" si="71"/>
        <v>9237.6428571428587</v>
      </c>
      <c r="H93" s="127"/>
      <c r="I93" s="24">
        <f t="shared" si="44"/>
        <v>9237.6428571428587</v>
      </c>
      <c r="J93" s="24">
        <f t="shared" si="72"/>
        <v>9237.6428571428587</v>
      </c>
      <c r="K93" s="24">
        <f t="shared" si="73"/>
        <v>969.9525000000001</v>
      </c>
      <c r="L93" s="24">
        <f t="shared" si="74"/>
        <v>10207.595357142858</v>
      </c>
      <c r="M93" s="24">
        <f t="shared" si="75"/>
        <v>3062.2786071428573</v>
      </c>
      <c r="N93" s="24">
        <f t="shared" si="76"/>
        <v>13269.873964285714</v>
      </c>
      <c r="O93" s="24">
        <f t="shared" si="77"/>
        <v>5307.9495857142865</v>
      </c>
      <c r="P93" s="25">
        <f t="shared" si="78"/>
        <v>18577.823550000001</v>
      </c>
      <c r="R93" s="24">
        <v>9237.6428571428587</v>
      </c>
      <c r="S93" s="114">
        <f t="shared" si="70"/>
        <v>0</v>
      </c>
      <c r="T93" s="27">
        <v>100518227</v>
      </c>
      <c r="U93" s="24">
        <v>9237.6428571428587</v>
      </c>
    </row>
    <row r="94" spans="1:21" x14ac:dyDescent="0.25">
      <c r="A94" s="140"/>
      <c r="B94" s="140">
        <v>100027726</v>
      </c>
      <c r="C94" s="141" t="s">
        <v>120</v>
      </c>
      <c r="D94" s="80">
        <v>22.5</v>
      </c>
      <c r="E94" s="23">
        <v>1</v>
      </c>
      <c r="F94" s="23">
        <v>1</v>
      </c>
      <c r="G94" s="24">
        <f t="shared" si="71"/>
        <v>6814.5000000000009</v>
      </c>
      <c r="H94" s="127"/>
      <c r="I94" s="24">
        <f t="shared" ref="I94" si="79">+G94*(1-H94)</f>
        <v>6814.5000000000009</v>
      </c>
      <c r="J94" s="24">
        <f t="shared" si="72"/>
        <v>6814.5000000000009</v>
      </c>
      <c r="K94" s="24">
        <f t="shared" si="73"/>
        <v>715.52250000000004</v>
      </c>
      <c r="L94" s="24">
        <f t="shared" si="74"/>
        <v>7530.0225000000009</v>
      </c>
      <c r="M94" s="24">
        <f t="shared" si="75"/>
        <v>2259.00675</v>
      </c>
      <c r="N94" s="24">
        <f t="shared" si="76"/>
        <v>9789.0292500000014</v>
      </c>
      <c r="O94" s="24">
        <f t="shared" si="77"/>
        <v>3915.6117000000008</v>
      </c>
      <c r="P94" s="25">
        <f t="shared" si="78"/>
        <v>13704.640950000003</v>
      </c>
      <c r="R94" s="143" t="e">
        <v>#N/A</v>
      </c>
      <c r="S94" s="114"/>
      <c r="T94" s="140">
        <v>100027726</v>
      </c>
      <c r="U94" s="24">
        <v>6814.5000000000009</v>
      </c>
    </row>
    <row r="95" spans="1:21" ht="15.75" thickBot="1" x14ac:dyDescent="0.3">
      <c r="B95" s="70"/>
      <c r="C95" s="71"/>
      <c r="D95" s="72"/>
      <c r="E95" s="71"/>
      <c r="F95" s="73"/>
      <c r="G95" s="74" t="e">
        <f t="shared" si="71"/>
        <v>#N/A</v>
      </c>
      <c r="H95" s="133"/>
      <c r="I95" s="74" t="e">
        <f t="shared" si="44"/>
        <v>#N/A</v>
      </c>
      <c r="J95" s="90"/>
      <c r="K95" s="91">
        <v>0.21</v>
      </c>
      <c r="L95" s="90"/>
      <c r="M95" s="38">
        <v>0.3</v>
      </c>
      <c r="N95" s="37"/>
      <c r="O95" s="38">
        <v>0.4</v>
      </c>
      <c r="P95" s="93"/>
      <c r="R95" s="74" t="e">
        <v>#N/A</v>
      </c>
      <c r="S95" s="114" t="e">
        <f t="shared" si="70"/>
        <v>#N/A</v>
      </c>
      <c r="T95" s="70"/>
      <c r="U95" s="74"/>
    </row>
    <row r="96" spans="1:21" ht="15.75" thickBot="1" x14ac:dyDescent="0.3">
      <c r="B96" s="82">
        <v>100520837</v>
      </c>
      <c r="C96" s="95" t="s">
        <v>85</v>
      </c>
      <c r="D96" s="96">
        <v>7790360980625</v>
      </c>
      <c r="E96" s="122">
        <v>4.8</v>
      </c>
      <c r="F96" s="98">
        <v>12</v>
      </c>
      <c r="G96" s="83">
        <f t="shared" si="71"/>
        <v>35756.175548589337</v>
      </c>
      <c r="H96" s="135"/>
      <c r="I96" s="83">
        <f t="shared" si="44"/>
        <v>35756.175548589337</v>
      </c>
      <c r="J96" s="119">
        <f>+I96/F96</f>
        <v>2979.6812957157781</v>
      </c>
      <c r="K96" s="120">
        <f>+J96*K$95</f>
        <v>625.73307210031339</v>
      </c>
      <c r="L96" s="121">
        <f>+J96+K96</f>
        <v>3605.4143678160917</v>
      </c>
      <c r="M96" s="122">
        <f>+L96*M$95</f>
        <v>1081.6243103448276</v>
      </c>
      <c r="N96" s="98">
        <f>+L96+M96</f>
        <v>4687.0386781609195</v>
      </c>
      <c r="O96" s="108">
        <f>+N96*O$95</f>
        <v>1874.8154712643679</v>
      </c>
      <c r="P96" s="109">
        <f>+N96+O96</f>
        <v>6561.8541494252877</v>
      </c>
      <c r="R96" s="24">
        <v>35756.175548589337</v>
      </c>
      <c r="S96" s="114">
        <f t="shared" si="70"/>
        <v>0</v>
      </c>
      <c r="T96" s="27">
        <v>100520837</v>
      </c>
      <c r="U96" s="24">
        <v>35756.175548589337</v>
      </c>
    </row>
    <row r="97" spans="1:21" x14ac:dyDescent="0.25">
      <c r="A97" s="79"/>
      <c r="B97" s="79">
        <v>100522395</v>
      </c>
      <c r="C97" s="42" t="s">
        <v>125</v>
      </c>
      <c r="D97" s="43">
        <v>7790360980625</v>
      </c>
      <c r="E97" s="80">
        <v>4.8</v>
      </c>
      <c r="F97" s="23">
        <v>12</v>
      </c>
      <c r="G97" s="83">
        <f t="shared" si="71"/>
        <v>36471.292000000001</v>
      </c>
      <c r="H97" s="147"/>
      <c r="I97" s="83">
        <f t="shared" ref="I97" si="80">+G97*(1-H97)</f>
        <v>36471.292000000001</v>
      </c>
      <c r="J97" s="119">
        <f>+I97/F97</f>
        <v>3039.2743333333333</v>
      </c>
      <c r="K97" s="120">
        <f>+J97*K$95</f>
        <v>638.24761000000001</v>
      </c>
      <c r="L97" s="121">
        <f>+J97+K97</f>
        <v>3677.5219433333332</v>
      </c>
      <c r="M97" s="122">
        <f>+L97*M$95</f>
        <v>1103.2565829999999</v>
      </c>
      <c r="N97" s="98">
        <f>+L97+M97</f>
        <v>4780.7785263333335</v>
      </c>
      <c r="O97" s="108">
        <f>+N97*O$95</f>
        <v>1912.3114105333334</v>
      </c>
      <c r="P97" s="109">
        <f>+N97+O97</f>
        <v>6693.0899368666669</v>
      </c>
      <c r="R97" s="143"/>
      <c r="S97" s="114"/>
      <c r="T97" s="79">
        <v>100522395</v>
      </c>
      <c r="U97" s="24">
        <v>36471.292000000001</v>
      </c>
    </row>
    <row r="98" spans="1:21" ht="15.75" thickBot="1" x14ac:dyDescent="0.3">
      <c r="B98" s="70"/>
      <c r="C98" s="71"/>
      <c r="D98" s="72"/>
      <c r="E98" s="71"/>
      <c r="F98" s="73"/>
      <c r="G98" s="74" t="e">
        <f>+VLOOKUP(B98,$T$4:$U$104,2,FALSE)</f>
        <v>#N/A</v>
      </c>
      <c r="H98" s="133"/>
      <c r="I98" s="74" t="e">
        <f t="shared" si="44"/>
        <v>#N/A</v>
      </c>
      <c r="J98" s="90"/>
      <c r="K98" s="91">
        <v>0.21</v>
      </c>
      <c r="L98" s="90"/>
      <c r="M98" s="38">
        <v>0.3</v>
      </c>
      <c r="N98" s="37"/>
      <c r="O98" s="38">
        <v>0.4</v>
      </c>
      <c r="P98" s="93"/>
      <c r="R98" s="74" t="e">
        <v>#N/A</v>
      </c>
      <c r="S98" s="114" t="e">
        <f t="shared" si="70"/>
        <v>#N/A</v>
      </c>
      <c r="T98" s="70"/>
      <c r="U98" s="74"/>
    </row>
    <row r="99" spans="1:21" x14ac:dyDescent="0.25">
      <c r="B99" s="82">
        <v>100520902</v>
      </c>
      <c r="C99" s="95" t="s">
        <v>86</v>
      </c>
      <c r="D99" s="96">
        <v>7790360981042</v>
      </c>
      <c r="E99" s="122">
        <v>9.8000000000000007</v>
      </c>
      <c r="F99" s="98">
        <v>14</v>
      </c>
      <c r="G99" s="83">
        <f>+VLOOKUP(B99,$T$4:$U$104,2,FALSE)</f>
        <v>32345.802856147693</v>
      </c>
      <c r="H99" s="148">
        <f>0.142857142857143*100%</f>
        <v>0.14285714285714299</v>
      </c>
      <c r="I99" s="83">
        <f t="shared" si="44"/>
        <v>27724.973876698019</v>
      </c>
      <c r="J99" s="119">
        <f>+I99/F99</f>
        <v>1980.3552769070013</v>
      </c>
      <c r="K99" s="120">
        <f>+J99*K$98</f>
        <v>415.87460815047024</v>
      </c>
      <c r="L99" s="121">
        <f>+J99+K99</f>
        <v>2396.2298850574716</v>
      </c>
      <c r="M99" s="122">
        <f>+L99*M$98</f>
        <v>718.86896551724146</v>
      </c>
      <c r="N99" s="98">
        <f>+L99+M99</f>
        <v>3115.0988505747132</v>
      </c>
      <c r="O99" s="108">
        <f>+N99*O$98</f>
        <v>1246.0395402298855</v>
      </c>
      <c r="P99" s="109">
        <f>+N99+O99</f>
        <v>4361.1383908045991</v>
      </c>
      <c r="R99" s="24">
        <v>28302.577499129231</v>
      </c>
      <c r="S99" s="114">
        <f t="shared" si="70"/>
        <v>-2.0408163265306235E-2</v>
      </c>
      <c r="T99" s="27">
        <v>100520902</v>
      </c>
      <c r="U99" s="24">
        <v>32345.802856147693</v>
      </c>
    </row>
    <row r="100" spans="1:21" ht="15.75" thickBot="1" x14ac:dyDescent="0.3">
      <c r="B100" s="70"/>
      <c r="C100" s="71"/>
      <c r="D100" s="72"/>
      <c r="E100" s="71"/>
      <c r="F100" s="73"/>
      <c r="G100" s="74" t="e">
        <f>+VLOOKUP(B100,$T$4:$U$104,2,FALSE)</f>
        <v>#N/A</v>
      </c>
      <c r="H100" s="73"/>
      <c r="I100" s="74" t="e">
        <f t="shared" ref="I100" si="81">+G100*(1-H100)</f>
        <v>#N/A</v>
      </c>
      <c r="J100" s="90"/>
      <c r="K100" s="91">
        <v>0.21</v>
      </c>
      <c r="L100" s="90"/>
      <c r="M100" s="92">
        <v>0.3</v>
      </c>
      <c r="N100" s="90"/>
      <c r="O100" s="92">
        <v>0.4</v>
      </c>
      <c r="P100" s="93"/>
      <c r="R100" t="e">
        <v>#N/A</v>
      </c>
      <c r="T100" s="70"/>
      <c r="U100" s="74"/>
    </row>
    <row r="101" spans="1:21" ht="15.75" thickBot="1" x14ac:dyDescent="0.3">
      <c r="B101" s="82">
        <v>100521457</v>
      </c>
      <c r="C101" s="95" t="s">
        <v>100</v>
      </c>
      <c r="D101" s="96">
        <v>7790360982254</v>
      </c>
      <c r="E101" s="122">
        <v>4.8</v>
      </c>
      <c r="F101" s="98">
        <v>16</v>
      </c>
      <c r="G101" s="83">
        <f>+VLOOKUP(B101,$T$4:$U$104,2,FALSE)</f>
        <v>36127.899686520381</v>
      </c>
      <c r="H101" s="134">
        <v>7.4999999999999997E-2</v>
      </c>
      <c r="I101" s="83">
        <f t="shared" ref="I101:I104" si="82">+G101*(1-H101)</f>
        <v>33418.307210031351</v>
      </c>
      <c r="J101" s="119">
        <f t="shared" ref="J101:J104" si="83">+I101/F101</f>
        <v>2088.6442006269594</v>
      </c>
      <c r="K101" s="120">
        <f>+J101*K$100</f>
        <v>438.61528213166144</v>
      </c>
      <c r="L101" s="121">
        <f>+J101+K101</f>
        <v>2527.2594827586208</v>
      </c>
      <c r="M101" s="122">
        <f>+L101*M$100</f>
        <v>758.17784482758623</v>
      </c>
      <c r="N101" s="98">
        <f>+L101+M101</f>
        <v>3285.4373275862072</v>
      </c>
      <c r="O101" s="108">
        <f>+N101*O$100</f>
        <v>1314.1749310344831</v>
      </c>
      <c r="P101" s="109">
        <f>+N101+O101</f>
        <v>4599.6122586206902</v>
      </c>
      <c r="R101">
        <v>31826.959247648909</v>
      </c>
      <c r="S101" s="114">
        <f t="shared" si="70"/>
        <v>4.9999999999999906E-2</v>
      </c>
      <c r="T101" s="27">
        <v>100521457</v>
      </c>
      <c r="U101" s="24">
        <v>36127.899686520381</v>
      </c>
    </row>
    <row r="102" spans="1:21" ht="15.75" thickBot="1" x14ac:dyDescent="0.3">
      <c r="B102" s="82">
        <v>100521455</v>
      </c>
      <c r="C102" s="95" t="s">
        <v>101</v>
      </c>
      <c r="D102" s="96">
        <v>7790360982247</v>
      </c>
      <c r="E102" s="122">
        <v>4.8</v>
      </c>
      <c r="F102" s="98">
        <v>16</v>
      </c>
      <c r="G102" s="83">
        <f>+VLOOKUP(B102,$T$4:$U$107,2,FALSE)</f>
        <v>36127.899686520381</v>
      </c>
      <c r="H102" s="134">
        <v>7.4999999999999997E-2</v>
      </c>
      <c r="I102" s="83">
        <f t="shared" si="82"/>
        <v>33418.307210031351</v>
      </c>
      <c r="J102" s="119">
        <f t="shared" si="83"/>
        <v>2088.6442006269594</v>
      </c>
      <c r="K102" s="120">
        <f>+J102*K$100</f>
        <v>438.61528213166144</v>
      </c>
      <c r="L102" s="121">
        <f t="shared" ref="L102:L104" si="84">+J102+K102</f>
        <v>2527.2594827586208</v>
      </c>
      <c r="M102" s="122">
        <f>+L102*M$100</f>
        <v>758.17784482758623</v>
      </c>
      <c r="N102" s="98">
        <f t="shared" ref="N102:N104" si="85">+L102+M102</f>
        <v>3285.4373275862072</v>
      </c>
      <c r="O102" s="108">
        <f>+N102*O$100</f>
        <v>1314.1749310344831</v>
      </c>
      <c r="P102" s="109">
        <f t="shared" ref="P102:P104" si="86">+N102+O102</f>
        <v>4599.6122586206902</v>
      </c>
      <c r="R102">
        <v>31826.959247648909</v>
      </c>
      <c r="S102" s="114">
        <f t="shared" si="70"/>
        <v>4.9999999999999906E-2</v>
      </c>
      <c r="T102" s="27">
        <v>100521455</v>
      </c>
      <c r="U102" s="24">
        <v>36127.899686520381</v>
      </c>
    </row>
    <row r="103" spans="1:21" ht="15.75" thickBot="1" x14ac:dyDescent="0.3">
      <c r="B103" s="82">
        <v>100521453</v>
      </c>
      <c r="C103" s="95" t="s">
        <v>102</v>
      </c>
      <c r="D103" s="96">
        <v>7790360982223</v>
      </c>
      <c r="E103" s="122">
        <v>5.4</v>
      </c>
      <c r="F103" s="98">
        <v>18</v>
      </c>
      <c r="G103" s="83">
        <f>+VLOOKUP(B103,$T$4:$U$107,2,FALSE)</f>
        <v>35563.401253918506</v>
      </c>
      <c r="H103" s="134">
        <v>7.4999999999999997E-2</v>
      </c>
      <c r="I103" s="83">
        <f t="shared" si="82"/>
        <v>32896.146159874617</v>
      </c>
      <c r="J103" s="119">
        <f t="shared" si="83"/>
        <v>1827.5636755485898</v>
      </c>
      <c r="K103" s="120">
        <f>+J103*K$100</f>
        <v>383.78837186520383</v>
      </c>
      <c r="L103" s="121">
        <f t="shared" si="84"/>
        <v>2211.3520474137936</v>
      </c>
      <c r="M103" s="122">
        <f>+L103*M$100</f>
        <v>663.40561422413805</v>
      </c>
      <c r="N103" s="98">
        <f t="shared" si="85"/>
        <v>2874.7576616379315</v>
      </c>
      <c r="O103" s="108">
        <f>+N103*O$100</f>
        <v>1149.9030646551726</v>
      </c>
      <c r="P103" s="109">
        <f t="shared" si="86"/>
        <v>4024.6607262931038</v>
      </c>
      <c r="R103">
        <v>31329.663009404398</v>
      </c>
      <c r="S103" s="114">
        <f t="shared" si="70"/>
        <v>4.9999999999999996E-2</v>
      </c>
      <c r="T103" s="27">
        <v>100521453</v>
      </c>
      <c r="U103" s="24">
        <v>35563.401253918506</v>
      </c>
    </row>
    <row r="104" spans="1:21" x14ac:dyDescent="0.25">
      <c r="B104" s="82">
        <v>100521454</v>
      </c>
      <c r="C104" s="95" t="s">
        <v>103</v>
      </c>
      <c r="D104" s="96">
        <v>7790360982230</v>
      </c>
      <c r="E104" s="122">
        <v>5.3999999999999995</v>
      </c>
      <c r="F104" s="98">
        <v>18</v>
      </c>
      <c r="G104" s="83">
        <f>+VLOOKUP(B104,$T$4:$U$107,2,FALSE)</f>
        <v>35563.401253918506</v>
      </c>
      <c r="H104" s="134">
        <v>7.4999999999999997E-2</v>
      </c>
      <c r="I104" s="83">
        <f t="shared" si="82"/>
        <v>32896.146159874617</v>
      </c>
      <c r="J104" s="119">
        <f t="shared" si="83"/>
        <v>1827.5636755485898</v>
      </c>
      <c r="K104" s="120">
        <f>+J104*K$100</f>
        <v>383.78837186520383</v>
      </c>
      <c r="L104" s="121">
        <f t="shared" si="84"/>
        <v>2211.3520474137936</v>
      </c>
      <c r="M104" s="122">
        <f>+L104*M$100</f>
        <v>663.40561422413805</v>
      </c>
      <c r="N104" s="98">
        <f t="shared" si="85"/>
        <v>2874.7576616379315</v>
      </c>
      <c r="O104" s="108">
        <f>+N104*O$100</f>
        <v>1149.9030646551726</v>
      </c>
      <c r="P104" s="109">
        <f t="shared" si="86"/>
        <v>4024.6607262931038</v>
      </c>
      <c r="R104">
        <v>31329.663009404398</v>
      </c>
      <c r="S104" s="114">
        <f t="shared" si="70"/>
        <v>4.9999999999999996E-2</v>
      </c>
      <c r="T104" s="27">
        <v>100521454</v>
      </c>
      <c r="U104" s="24">
        <v>35563.401253918506</v>
      </c>
    </row>
    <row r="105" spans="1:21" x14ac:dyDescent="0.25">
      <c r="T105" s="27">
        <v>100521455</v>
      </c>
      <c r="U105" s="24">
        <v>34407.523510971791</v>
      </c>
    </row>
    <row r="106" spans="1:21" x14ac:dyDescent="0.25">
      <c r="T106" s="27">
        <v>100521453</v>
      </c>
      <c r="U106" s="24">
        <v>33869.90595611286</v>
      </c>
    </row>
    <row r="107" spans="1:21" x14ac:dyDescent="0.25">
      <c r="T107" s="27">
        <v>100521454</v>
      </c>
      <c r="U107" s="24">
        <v>33869.90595611286</v>
      </c>
    </row>
  </sheetData>
  <conditionalFormatting sqref="B20:C20">
    <cfRule type="cellIs" dxfId="96" priority="63" stopIfTrue="1" operator="equal">
      <formula>0</formula>
    </cfRule>
  </conditionalFormatting>
  <conditionalFormatting sqref="B27:C27">
    <cfRule type="cellIs" dxfId="95" priority="54" stopIfTrue="1" operator="equal">
      <formula>0</formula>
    </cfRule>
  </conditionalFormatting>
  <conditionalFormatting sqref="B63:D63">
    <cfRule type="cellIs" dxfId="94" priority="61" stopIfTrue="1" operator="equal">
      <formula>0</formula>
    </cfRule>
  </conditionalFormatting>
  <conditionalFormatting sqref="B16:F19">
    <cfRule type="cellIs" dxfId="93" priority="50" stopIfTrue="1" operator="equal">
      <formula>0</formula>
    </cfRule>
  </conditionalFormatting>
  <conditionalFormatting sqref="B69:P69">
    <cfRule type="cellIs" dxfId="92" priority="3" stopIfTrue="1" operator="equal">
      <formula>0</formula>
    </cfRule>
  </conditionalFormatting>
  <conditionalFormatting sqref="B73:P74">
    <cfRule type="cellIs" dxfId="91" priority="2" stopIfTrue="1" operator="equal">
      <formula>0</formula>
    </cfRule>
  </conditionalFormatting>
  <conditionalFormatting sqref="C28">
    <cfRule type="cellIs" dxfId="90" priority="53" stopIfTrue="1" operator="equal">
      <formula>0</formula>
    </cfRule>
  </conditionalFormatting>
  <conditionalFormatting sqref="D94:F94">
    <cfRule type="cellIs" dxfId="89" priority="16" stopIfTrue="1" operator="equal">
      <formula>0</formula>
    </cfRule>
  </conditionalFormatting>
  <conditionalFormatting sqref="E20:F20">
    <cfRule type="cellIs" dxfId="88" priority="62" stopIfTrue="1" operator="equal">
      <formula>0</formula>
    </cfRule>
  </conditionalFormatting>
  <conditionalFormatting sqref="E89:F93">
    <cfRule type="cellIs" dxfId="87" priority="51" stopIfTrue="1" operator="equal">
      <formula>0</formula>
    </cfRule>
  </conditionalFormatting>
  <conditionalFormatting sqref="E96:F97">
    <cfRule type="cellIs" dxfId="86" priority="49" stopIfTrue="1" operator="equal">
      <formula>0</formula>
    </cfRule>
  </conditionalFormatting>
  <conditionalFormatting sqref="E99:F99">
    <cfRule type="cellIs" dxfId="85" priority="47" stopIfTrue="1" operator="equal">
      <formula>0</formula>
    </cfRule>
  </conditionalFormatting>
  <conditionalFormatting sqref="E101:F104">
    <cfRule type="cellIs" dxfId="84" priority="27" stopIfTrue="1" operator="equal">
      <formula>0</formula>
    </cfRule>
  </conditionalFormatting>
  <conditionalFormatting sqref="E58:G61">
    <cfRule type="cellIs" dxfId="83" priority="58" stopIfTrue="1" operator="equal">
      <formula>0</formula>
    </cfRule>
  </conditionalFormatting>
  <conditionalFormatting sqref="G16 I16:J16 G17:J20">
    <cfRule type="cellIs" dxfId="82" priority="45" stopIfTrue="1" operator="equal">
      <formula>0</formula>
    </cfRule>
  </conditionalFormatting>
  <conditionalFormatting sqref="H89:H94">
    <cfRule type="cellIs" dxfId="81" priority="1" stopIfTrue="1" operator="equal">
      <formula>0</formula>
    </cfRule>
  </conditionalFormatting>
  <conditionalFormatting sqref="H96:H97">
    <cfRule type="cellIs" dxfId="80" priority="5" stopIfTrue="1" operator="equal">
      <formula>0</formula>
    </cfRule>
  </conditionalFormatting>
  <conditionalFormatting sqref="H99">
    <cfRule type="cellIs" dxfId="79" priority="4" stopIfTrue="1" operator="equal">
      <formula>0</formula>
    </cfRule>
  </conditionalFormatting>
  <conditionalFormatting sqref="J96:N97">
    <cfRule type="cellIs" dxfId="78" priority="48" stopIfTrue="1" operator="equal">
      <formula>0</formula>
    </cfRule>
  </conditionalFormatting>
  <conditionalFormatting sqref="J99:N99">
    <cfRule type="cellIs" dxfId="77" priority="46" stopIfTrue="1" operator="equal">
      <formula>0</formula>
    </cfRule>
  </conditionalFormatting>
  <conditionalFormatting sqref="J101:N104">
    <cfRule type="cellIs" dxfId="76" priority="24" stopIfTrue="1" operator="equal">
      <formula>0</formula>
    </cfRule>
  </conditionalFormatting>
  <conditionalFormatting sqref="J58:P61">
    <cfRule type="cellIs" dxfId="75" priority="43" stopIfTrue="1" operator="equal">
      <formula>0</formula>
    </cfRule>
  </conditionalFormatting>
  <conditionalFormatting sqref="J90:P94">
    <cfRule type="cellIs" dxfId="74" priority="52" stopIfTrue="1" operator="equal">
      <formula>0</formula>
    </cfRule>
  </conditionalFormatting>
  <conditionalFormatting sqref="M37:M38">
    <cfRule type="cellIs" dxfId="73" priority="56" stopIfTrue="1" operator="equal">
      <formula>0</formula>
    </cfRule>
  </conditionalFormatting>
  <conditionalFormatting sqref="M16:P20">
    <cfRule type="cellIs" dxfId="72" priority="55" stopIfTrue="1" operator="equal">
      <formula>0</formula>
    </cfRule>
  </conditionalFormatting>
  <conditionalFormatting sqref="R16:R20 R69">
    <cfRule type="cellIs" dxfId="71" priority="31" stopIfTrue="1" operator="equal">
      <formula>0</formula>
    </cfRule>
  </conditionalFormatting>
  <conditionalFormatting sqref="R58">
    <cfRule type="cellIs" dxfId="70" priority="29" stopIfTrue="1" operator="equal">
      <formula>0</formula>
    </cfRule>
  </conditionalFormatting>
  <conditionalFormatting sqref="R73:R74">
    <cfRule type="cellIs" dxfId="69" priority="30" stopIfTrue="1" operator="equal">
      <formula>0</formula>
    </cfRule>
  </conditionalFormatting>
  <conditionalFormatting sqref="T27">
    <cfRule type="cellIs" dxfId="68" priority="13" stopIfTrue="1" operator="equal">
      <formula>0</formula>
    </cfRule>
  </conditionalFormatting>
  <conditionalFormatting sqref="T66">
    <cfRule type="cellIs" dxfId="67" priority="14" stopIfTrue="1" operator="equal">
      <formula>0</formula>
    </cfRule>
  </conditionalFormatting>
  <conditionalFormatting sqref="T16:U18">
    <cfRule type="cellIs" dxfId="66" priority="8" stopIfTrue="1" operator="equal">
      <formula>0</formula>
    </cfRule>
  </conditionalFormatting>
  <conditionalFormatting sqref="T72:U72">
    <cfRule type="cellIs" dxfId="65" priority="7" stopIfTrue="1" operator="equal">
      <formula>0</formula>
    </cfRule>
  </conditionalFormatting>
  <conditionalFormatting sqref="T76:U77">
    <cfRule type="cellIs" dxfId="64" priority="6" stopIfTrue="1" operator="equal">
      <formula>0</formula>
    </cfRule>
  </conditionalFormatting>
  <conditionalFormatting sqref="U61:U64">
    <cfRule type="cellIs" dxfId="63" priority="9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EC1A-C29E-4792-B279-81D413924D60}">
  <dimension ref="A1:X106"/>
  <sheetViews>
    <sheetView topLeftCell="A62" zoomScale="80" zoomScaleNormal="80" workbookViewId="0">
      <selection activeCell="O97" sqref="O97"/>
    </sheetView>
  </sheetViews>
  <sheetFormatPr baseColWidth="10" defaultColWidth="11.42578125" defaultRowHeight="15" outlineLevelCol="1" x14ac:dyDescent="0.25"/>
  <cols>
    <col min="1" max="1" width="2.85546875" customWidth="1"/>
    <col min="2" max="2" width="11.85546875" customWidth="1"/>
    <col min="3" max="3" width="46.140625" bestFit="1" customWidth="1"/>
    <col min="4" max="4" width="12.140625" hidden="1" customWidth="1"/>
    <col min="5" max="5" width="8" bestFit="1" customWidth="1"/>
    <col min="6" max="6" width="9.42578125" bestFit="1" customWidth="1"/>
    <col min="7" max="7" width="9.42578125" style="81" bestFit="1" customWidth="1"/>
    <col min="8" max="8" width="9.42578125" customWidth="1"/>
    <col min="9" max="9" width="9.42578125" style="81" bestFit="1" customWidth="1"/>
    <col min="10" max="15" width="11.42578125" customWidth="1" outlineLevel="1"/>
    <col min="16" max="16" width="11.42578125" style="76" customWidth="1"/>
    <col min="17" max="22" width="11.42578125" hidden="1" customWidth="1"/>
    <col min="23" max="23" width="11.42578125" customWidth="1"/>
  </cols>
  <sheetData>
    <row r="1" spans="2:22" s="1" customFormat="1" ht="12.75" thickBot="1" x14ac:dyDescent="0.25">
      <c r="G1" s="2"/>
      <c r="I1" s="2"/>
      <c r="P1" s="3"/>
    </row>
    <row r="2" spans="2:22" s="1" customFormat="1" ht="36.75" thickBot="1" x14ac:dyDescent="0.2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87</v>
      </c>
      <c r="H2" s="6" t="s">
        <v>98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107</v>
      </c>
    </row>
    <row r="3" spans="2:22" s="1" customFormat="1" ht="12" x14ac:dyDescent="0.2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2" x14ac:dyDescent="0.25">
      <c r="B4" s="19">
        <v>100021632</v>
      </c>
      <c r="C4" s="20" t="s">
        <v>13</v>
      </c>
      <c r="D4" s="21">
        <v>7790360026606</v>
      </c>
      <c r="E4" s="22">
        <v>4.8</v>
      </c>
      <c r="F4" s="23">
        <v>30</v>
      </c>
      <c r="G4" s="24">
        <f t="shared" ref="G4:G43" si="0">+VLOOKUP(B4,$U$4:$V$104,2,FALSE)</f>
        <v>44187.112006578951</v>
      </c>
      <c r="H4" s="23"/>
      <c r="I4" s="24">
        <f>+G4*(1-H4)</f>
        <v>44187.112006578951</v>
      </c>
      <c r="J4" s="24">
        <f>+I4/F4</f>
        <v>1472.9037335526316</v>
      </c>
      <c r="K4" s="24">
        <f>+J4*K$3</f>
        <v>309.30978404605264</v>
      </c>
      <c r="L4" s="24">
        <f>+J4+K4</f>
        <v>1782.2135175986841</v>
      </c>
      <c r="M4" s="24">
        <f>+L4*M$3</f>
        <v>534.66405527960524</v>
      </c>
      <c r="N4" s="24">
        <f>+L4+M4</f>
        <v>2316.8775728782894</v>
      </c>
      <c r="O4" s="24">
        <f>+N4*O$3</f>
        <v>926.75102915131583</v>
      </c>
      <c r="P4" s="25">
        <f>+N4+O4</f>
        <v>3243.6286020296052</v>
      </c>
      <c r="R4">
        <v>42082.963815789481</v>
      </c>
      <c r="S4">
        <f>+(I4-R4)/R4</f>
        <v>4.9999999999999913E-2</v>
      </c>
      <c r="U4" s="19">
        <v>100021632</v>
      </c>
      <c r="V4" s="24">
        <v>44187.112006578951</v>
      </c>
    </row>
    <row r="5" spans="2:22" x14ac:dyDescent="0.25">
      <c r="B5" s="26">
        <v>100021652</v>
      </c>
      <c r="C5" s="20" t="s">
        <v>14</v>
      </c>
      <c r="D5" s="21">
        <v>7790360026576</v>
      </c>
      <c r="E5" s="22">
        <v>5.76</v>
      </c>
      <c r="F5" s="23">
        <v>18</v>
      </c>
      <c r="G5" s="24">
        <f t="shared" si="0"/>
        <v>57541.051073863644</v>
      </c>
      <c r="H5" s="23"/>
      <c r="I5" s="24">
        <f t="shared" ref="I5:I77" si="1">+G5*(1-H5)</f>
        <v>57541.051073863644</v>
      </c>
      <c r="J5" s="24">
        <f t="shared" ref="J5:J77" si="2">+I5/F5</f>
        <v>3196.7250596590911</v>
      </c>
      <c r="K5" s="24">
        <f t="shared" ref="K5:K77" si="3">+J5*K$3</f>
        <v>671.31226252840906</v>
      </c>
      <c r="L5" s="24">
        <f t="shared" ref="L5:L77" si="4">+J5+K5</f>
        <v>3868.0373221875002</v>
      </c>
      <c r="M5" s="24">
        <f t="shared" ref="M5:M77" si="5">+L5*M$3</f>
        <v>1160.41119665625</v>
      </c>
      <c r="N5" s="24">
        <f t="shared" ref="N5:N77" si="6">+L5+M5</f>
        <v>5028.4485188437502</v>
      </c>
      <c r="O5" s="24">
        <f t="shared" ref="O5:O77" si="7">+N5*O$3</f>
        <v>2011.3794075375001</v>
      </c>
      <c r="P5" s="25">
        <f t="shared" ref="P5:P77" si="8">+N5+O5</f>
        <v>7039.8279263812501</v>
      </c>
      <c r="R5">
        <v>54801.00102272728</v>
      </c>
      <c r="S5">
        <f t="shared" ref="S5:S77" si="9">+(I5-R5)/R5</f>
        <v>5.000000000000001E-2</v>
      </c>
      <c r="U5" s="26">
        <v>100021652</v>
      </c>
      <c r="V5" s="24">
        <v>57541.051073863644</v>
      </c>
    </row>
    <row r="6" spans="2:22" x14ac:dyDescent="0.25">
      <c r="B6" s="26">
        <v>100021631</v>
      </c>
      <c r="C6" s="20" t="s">
        <v>15</v>
      </c>
      <c r="D6" s="21">
        <v>7790360026590</v>
      </c>
      <c r="E6" s="22">
        <v>7.68</v>
      </c>
      <c r="F6" s="23">
        <v>8</v>
      </c>
      <c r="G6" s="24">
        <f t="shared" si="0"/>
        <v>67164.410250000001</v>
      </c>
      <c r="H6" s="23"/>
      <c r="I6" s="24">
        <f t="shared" si="1"/>
        <v>67164.410250000001</v>
      </c>
      <c r="J6" s="24">
        <f t="shared" si="2"/>
        <v>8395.5512812500001</v>
      </c>
      <c r="K6" s="24">
        <f t="shared" si="3"/>
        <v>1763.0657690625001</v>
      </c>
      <c r="L6" s="24">
        <f t="shared" si="4"/>
        <v>10158.617050312499</v>
      </c>
      <c r="M6" s="24">
        <f t="shared" si="5"/>
        <v>3047.5851150937497</v>
      </c>
      <c r="N6" s="24">
        <f t="shared" si="6"/>
        <v>13206.202165406248</v>
      </c>
      <c r="O6" s="24">
        <f t="shared" si="7"/>
        <v>5282.4808661624993</v>
      </c>
      <c r="P6" s="25">
        <f t="shared" si="8"/>
        <v>18488.683031568748</v>
      </c>
      <c r="R6">
        <v>80712.771952838084</v>
      </c>
      <c r="S6">
        <f t="shared" si="9"/>
        <v>-0.16785895682971505</v>
      </c>
      <c r="U6" s="26">
        <v>100021631</v>
      </c>
      <c r="V6" s="24">
        <v>67164.410250000001</v>
      </c>
    </row>
    <row r="7" spans="2:22" x14ac:dyDescent="0.25">
      <c r="B7" s="26">
        <v>100021630</v>
      </c>
      <c r="C7" s="20" t="s">
        <v>16</v>
      </c>
      <c r="D7" s="21">
        <v>7790360026583</v>
      </c>
      <c r="E7" s="22">
        <v>9.6</v>
      </c>
      <c r="F7" s="23">
        <v>6</v>
      </c>
      <c r="G7" s="24">
        <f t="shared" si="0"/>
        <v>82188.028332236849</v>
      </c>
      <c r="H7" s="23"/>
      <c r="I7" s="24">
        <f t="shared" si="1"/>
        <v>82188.028332236849</v>
      </c>
      <c r="J7" s="24">
        <f t="shared" si="2"/>
        <v>13698.004722039475</v>
      </c>
      <c r="K7" s="24">
        <f t="shared" si="3"/>
        <v>2876.5809916282897</v>
      </c>
      <c r="L7" s="24">
        <f t="shared" si="4"/>
        <v>16574.585713667766</v>
      </c>
      <c r="M7" s="24">
        <f t="shared" si="5"/>
        <v>4972.3757141003298</v>
      </c>
      <c r="N7" s="24">
        <f t="shared" si="6"/>
        <v>21546.961427768096</v>
      </c>
      <c r="O7" s="24">
        <f t="shared" si="7"/>
        <v>8618.7845711072387</v>
      </c>
      <c r="P7" s="25">
        <f t="shared" si="8"/>
        <v>30165.745998875333</v>
      </c>
      <c r="R7">
        <v>100890.9649410477</v>
      </c>
      <c r="S7">
        <f t="shared" si="9"/>
        <v>-0.18537771563330069</v>
      </c>
      <c r="U7" s="26">
        <v>100021630</v>
      </c>
      <c r="V7" s="24">
        <v>82188.028332236849</v>
      </c>
    </row>
    <row r="8" spans="2:22" x14ac:dyDescent="0.25">
      <c r="B8" s="27">
        <v>100021653</v>
      </c>
      <c r="C8" s="28" t="s">
        <v>17</v>
      </c>
      <c r="D8" s="21">
        <v>7790360026682</v>
      </c>
      <c r="E8" s="22">
        <v>5.76</v>
      </c>
      <c r="F8" s="23">
        <v>18</v>
      </c>
      <c r="G8" s="24">
        <f t="shared" si="0"/>
        <v>58326.987848684214</v>
      </c>
      <c r="H8" s="23"/>
      <c r="I8" s="24">
        <f t="shared" si="1"/>
        <v>58326.987848684214</v>
      </c>
      <c r="J8" s="24">
        <f t="shared" si="2"/>
        <v>3240.3882138157896</v>
      </c>
      <c r="K8" s="24">
        <f t="shared" si="3"/>
        <v>680.48152490131577</v>
      </c>
      <c r="L8" s="24">
        <f t="shared" si="4"/>
        <v>3920.8697387171055</v>
      </c>
      <c r="M8" s="24">
        <f t="shared" si="5"/>
        <v>1176.2609216151316</v>
      </c>
      <c r="N8" s="24">
        <f t="shared" si="6"/>
        <v>5097.1306603322373</v>
      </c>
      <c r="O8" s="24">
        <f t="shared" si="7"/>
        <v>2038.852264132895</v>
      </c>
      <c r="P8" s="25">
        <f t="shared" si="8"/>
        <v>7135.9829244651319</v>
      </c>
      <c r="R8">
        <v>60814.954271465285</v>
      </c>
      <c r="S8">
        <f t="shared" si="9"/>
        <v>-4.091043810828679E-2</v>
      </c>
      <c r="U8" s="27">
        <v>100021653</v>
      </c>
      <c r="V8" s="24">
        <v>58326.987848684214</v>
      </c>
    </row>
    <row r="9" spans="2:22" x14ac:dyDescent="0.25">
      <c r="B9" s="27">
        <v>100516169</v>
      </c>
      <c r="C9" s="28" t="s">
        <v>18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1"/>
        <v>47534.511197250016</v>
      </c>
      <c r="J9" s="24">
        <f t="shared" si="2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>
        <v>47534.511197250016</v>
      </c>
      <c r="S9">
        <f t="shared" si="9"/>
        <v>0</v>
      </c>
      <c r="U9" s="27">
        <v>100516169</v>
      </c>
      <c r="V9" s="24">
        <v>47534.511197250016</v>
      </c>
    </row>
    <row r="10" spans="2:22" x14ac:dyDescent="0.25">
      <c r="B10" s="27">
        <v>100520337</v>
      </c>
      <c r="C10" s="28" t="s">
        <v>19</v>
      </c>
      <c r="D10" s="21">
        <v>7790360977960</v>
      </c>
      <c r="E10" s="22">
        <v>4.8</v>
      </c>
      <c r="F10" s="23">
        <v>30</v>
      </c>
      <c r="G10" s="24">
        <f t="shared" si="0"/>
        <v>29765.977443609023</v>
      </c>
      <c r="H10" s="156">
        <v>6.6600000000000006E-2</v>
      </c>
      <c r="I10" s="24">
        <f t="shared" si="1"/>
        <v>27783.563345864663</v>
      </c>
      <c r="J10" s="24">
        <f>+I10/F10</f>
        <v>926.11877819548874</v>
      </c>
      <c r="K10" s="24">
        <f>+J10*K$3</f>
        <v>194.48494342105263</v>
      </c>
      <c r="L10" s="24">
        <f>+J10+K10</f>
        <v>1120.6037216165414</v>
      </c>
      <c r="M10" s="24">
        <f>+L10*M$3</f>
        <v>336.18111648496239</v>
      </c>
      <c r="N10" s="24">
        <f>+L10+M10</f>
        <v>1456.7848381015037</v>
      </c>
      <c r="O10" s="24">
        <f>+N10*O$3</f>
        <v>582.71393524060147</v>
      </c>
      <c r="P10" s="25">
        <f>+N10+O10</f>
        <v>2039.4987733421053</v>
      </c>
      <c r="R10">
        <v>29765.977443609023</v>
      </c>
      <c r="S10">
        <f t="shared" si="9"/>
        <v>-6.6599999999999979E-2</v>
      </c>
      <c r="U10" s="27">
        <v>100520337</v>
      </c>
      <c r="V10" s="24">
        <v>29765.977443609023</v>
      </c>
    </row>
    <row r="11" spans="2:22" x14ac:dyDescent="0.25">
      <c r="B11" s="27">
        <v>100021503</v>
      </c>
      <c r="C11" s="28" t="s">
        <v>20</v>
      </c>
      <c r="D11" s="21">
        <v>7790360966841</v>
      </c>
      <c r="E11" s="22">
        <v>3.3119999999999998</v>
      </c>
      <c r="F11" s="23">
        <v>12</v>
      </c>
      <c r="G11" s="24">
        <f t="shared" si="0"/>
        <v>25165.542165071773</v>
      </c>
      <c r="H11" s="156">
        <v>0.16700000000000001</v>
      </c>
      <c r="I11" s="24">
        <f t="shared" si="1"/>
        <v>20962.896623504785</v>
      </c>
      <c r="J11" s="24">
        <f t="shared" si="2"/>
        <v>1746.9080519587321</v>
      </c>
      <c r="K11" s="24">
        <f t="shared" si="3"/>
        <v>366.85069091133374</v>
      </c>
      <c r="L11" s="24">
        <f t="shared" si="4"/>
        <v>2113.7587428700658</v>
      </c>
      <c r="M11" s="24">
        <f t="shared" si="5"/>
        <v>634.12762286101974</v>
      </c>
      <c r="N11" s="24">
        <f t="shared" si="6"/>
        <v>2747.8863657310858</v>
      </c>
      <c r="O11" s="24">
        <f t="shared" si="7"/>
        <v>1099.1545462924344</v>
      </c>
      <c r="P11" s="25">
        <f t="shared" si="8"/>
        <v>3847.0409120235199</v>
      </c>
      <c r="R11">
        <v>25165.542165071773</v>
      </c>
      <c r="S11">
        <f t="shared" si="9"/>
        <v>-0.16700000000000007</v>
      </c>
      <c r="U11" s="27">
        <v>100021503</v>
      </c>
      <c r="V11" s="24">
        <v>25165.542165071773</v>
      </c>
    </row>
    <row r="12" spans="2:22" x14ac:dyDescent="0.25">
      <c r="B12" s="27">
        <v>100516201</v>
      </c>
      <c r="C12" s="28" t="s">
        <v>21</v>
      </c>
      <c r="D12" s="21">
        <v>7790360968548</v>
      </c>
      <c r="E12" s="22">
        <v>6.6239999999999997</v>
      </c>
      <c r="F12" s="23">
        <v>8</v>
      </c>
      <c r="G12" s="24">
        <f t="shared" si="0"/>
        <v>49695.701424801344</v>
      </c>
      <c r="H12" s="157"/>
      <c r="I12" s="24">
        <f t="shared" si="1"/>
        <v>49695.701424801344</v>
      </c>
      <c r="J12" s="24">
        <f t="shared" si="2"/>
        <v>6211.962678100168</v>
      </c>
      <c r="K12" s="24">
        <f t="shared" si="3"/>
        <v>1304.5121624010353</v>
      </c>
      <c r="L12" s="24">
        <f t="shared" si="4"/>
        <v>7516.4748405012033</v>
      </c>
      <c r="M12" s="24">
        <f t="shared" si="5"/>
        <v>2254.9424521503611</v>
      </c>
      <c r="N12" s="24">
        <f t="shared" si="6"/>
        <v>9771.4172926515639</v>
      </c>
      <c r="O12" s="24">
        <f t="shared" si="7"/>
        <v>3908.5669170606257</v>
      </c>
      <c r="P12" s="25">
        <f t="shared" si="8"/>
        <v>13679.984209712189</v>
      </c>
      <c r="R12">
        <v>49695.701424801344</v>
      </c>
      <c r="S12">
        <f t="shared" si="9"/>
        <v>0</v>
      </c>
      <c r="U12" s="27">
        <v>100516201</v>
      </c>
      <c r="V12" s="24">
        <v>49695.701424801344</v>
      </c>
    </row>
    <row r="13" spans="2:22" x14ac:dyDescent="0.25">
      <c r="B13" s="27">
        <v>100021643</v>
      </c>
      <c r="C13" s="28" t="s">
        <v>22</v>
      </c>
      <c r="D13" s="21">
        <v>7790360966797</v>
      </c>
      <c r="E13" s="22">
        <v>4.7039999999999997</v>
      </c>
      <c r="F13" s="23">
        <v>42</v>
      </c>
      <c r="G13" s="24">
        <f t="shared" si="0"/>
        <v>24868.421052631584</v>
      </c>
      <c r="H13" s="23"/>
      <c r="I13" s="24">
        <f t="shared" si="1"/>
        <v>24868.421052631584</v>
      </c>
      <c r="J13" s="24">
        <f t="shared" si="2"/>
        <v>592.1052631578948</v>
      </c>
      <c r="K13" s="24">
        <f t="shared" si="3"/>
        <v>124.3421052631579</v>
      </c>
      <c r="L13" s="24">
        <f t="shared" si="4"/>
        <v>716.44736842105272</v>
      </c>
      <c r="M13" s="24">
        <f t="shared" si="5"/>
        <v>214.93421052631581</v>
      </c>
      <c r="N13" s="24">
        <f t="shared" si="6"/>
        <v>931.38157894736855</v>
      </c>
      <c r="O13" s="24">
        <f t="shared" si="7"/>
        <v>372.55263157894746</v>
      </c>
      <c r="P13" s="25">
        <f t="shared" si="8"/>
        <v>1303.9342105263161</v>
      </c>
      <c r="R13">
        <v>22607.655502392347</v>
      </c>
      <c r="S13">
        <f t="shared" si="9"/>
        <v>0.10000000000000012</v>
      </c>
      <c r="U13" s="27">
        <v>100021643</v>
      </c>
      <c r="V13" s="24">
        <v>24868.421052631584</v>
      </c>
    </row>
    <row r="14" spans="2:22" x14ac:dyDescent="0.25">
      <c r="B14" s="27">
        <v>100516325</v>
      </c>
      <c r="C14" s="28" t="s">
        <v>23</v>
      </c>
      <c r="D14" s="21">
        <v>7790360967763</v>
      </c>
      <c r="E14" s="22">
        <v>4.7039999999999997</v>
      </c>
      <c r="F14" s="23">
        <v>21</v>
      </c>
      <c r="G14" s="24">
        <f t="shared" si="0"/>
        <v>29947.061815119498</v>
      </c>
      <c r="H14" s="23"/>
      <c r="I14" s="24">
        <f t="shared" si="1"/>
        <v>29947.061815119498</v>
      </c>
      <c r="J14" s="24">
        <f t="shared" si="2"/>
        <v>1426.0505626247379</v>
      </c>
      <c r="K14" s="24">
        <f t="shared" si="3"/>
        <v>299.47061815119497</v>
      </c>
      <c r="L14" s="24">
        <f t="shared" si="4"/>
        <v>1725.5211807759329</v>
      </c>
      <c r="M14" s="24">
        <f t="shared" si="5"/>
        <v>517.65635423277979</v>
      </c>
      <c r="N14" s="24">
        <f t="shared" si="6"/>
        <v>2243.1775350087128</v>
      </c>
      <c r="O14" s="24">
        <f t="shared" si="7"/>
        <v>897.27101400348511</v>
      </c>
      <c r="P14" s="25">
        <f t="shared" si="8"/>
        <v>3140.4485490121979</v>
      </c>
      <c r="R14">
        <v>29947.061815119498</v>
      </c>
      <c r="S14">
        <f t="shared" si="9"/>
        <v>0</v>
      </c>
      <c r="U14" s="27">
        <v>100516325</v>
      </c>
      <c r="V14" s="24">
        <v>29947.061815119498</v>
      </c>
    </row>
    <row r="15" spans="2:22" x14ac:dyDescent="0.25">
      <c r="B15" s="27">
        <v>100021676</v>
      </c>
      <c r="C15" s="28" t="s">
        <v>24</v>
      </c>
      <c r="D15" s="21">
        <v>7790360967411</v>
      </c>
      <c r="E15" s="22">
        <v>7.5</v>
      </c>
      <c r="F15" s="23">
        <v>30</v>
      </c>
      <c r="G15" s="24">
        <f t="shared" si="0"/>
        <v>70541.904455741635</v>
      </c>
      <c r="H15" s="136"/>
      <c r="I15" s="24">
        <f t="shared" si="1"/>
        <v>70541.904455741635</v>
      </c>
      <c r="J15" s="24">
        <f t="shared" si="2"/>
        <v>2351.3968151913878</v>
      </c>
      <c r="K15" s="24">
        <f t="shared" si="3"/>
        <v>493.7933311901914</v>
      </c>
      <c r="L15" s="24">
        <f t="shared" si="4"/>
        <v>2845.1901463815793</v>
      </c>
      <c r="M15" s="24">
        <f t="shared" si="5"/>
        <v>853.55704391447375</v>
      </c>
      <c r="N15" s="24">
        <f t="shared" si="6"/>
        <v>3698.7471902960533</v>
      </c>
      <c r="O15" s="24">
        <f t="shared" si="7"/>
        <v>1479.4988761184213</v>
      </c>
      <c r="P15" s="25">
        <f t="shared" si="8"/>
        <v>5178.2460664144746</v>
      </c>
      <c r="R15">
        <v>70541.904455741635</v>
      </c>
      <c r="S15">
        <f t="shared" si="9"/>
        <v>0</v>
      </c>
      <c r="U15" s="27">
        <v>100021676</v>
      </c>
      <c r="V15" s="24">
        <v>70541.904455741635</v>
      </c>
    </row>
    <row r="16" spans="2:22" x14ac:dyDescent="0.25">
      <c r="B16" s="27">
        <v>100516008</v>
      </c>
      <c r="C16" s="28" t="s">
        <v>25</v>
      </c>
      <c r="D16" s="21">
        <v>7790360967701</v>
      </c>
      <c r="E16" s="22">
        <v>5.76</v>
      </c>
      <c r="F16" s="23">
        <v>24</v>
      </c>
      <c r="G16" s="24">
        <f t="shared" si="0"/>
        <v>68994.307364733933</v>
      </c>
      <c r="H16" s="151">
        <v>9.0899999999999995E-2</v>
      </c>
      <c r="I16" s="24">
        <f t="shared" si="1"/>
        <v>62722.72482527962</v>
      </c>
      <c r="J16" s="24">
        <f t="shared" si="2"/>
        <v>2613.4468677199843</v>
      </c>
      <c r="K16" s="24">
        <f t="shared" si="3"/>
        <v>548.82384222119674</v>
      </c>
      <c r="L16" s="24">
        <f t="shared" si="4"/>
        <v>3162.2707099411809</v>
      </c>
      <c r="M16" s="24">
        <f t="shared" si="5"/>
        <v>948.68121298235428</v>
      </c>
      <c r="N16" s="24">
        <f t="shared" si="6"/>
        <v>4110.9519229235357</v>
      </c>
      <c r="O16" s="24">
        <f t="shared" si="7"/>
        <v>1644.3807691694144</v>
      </c>
      <c r="P16" s="25">
        <f t="shared" si="8"/>
        <v>5755.3326920929503</v>
      </c>
      <c r="R16">
        <v>68994.307364733933</v>
      </c>
      <c r="S16">
        <f t="shared" si="9"/>
        <v>-9.0899999999999981E-2</v>
      </c>
      <c r="U16" s="27">
        <v>100516008</v>
      </c>
      <c r="V16" s="24">
        <v>68994.307364733933</v>
      </c>
    </row>
    <row r="17" spans="1:22" x14ac:dyDescent="0.25">
      <c r="B17" s="82">
        <v>100520834</v>
      </c>
      <c r="C17" s="95" t="s">
        <v>26</v>
      </c>
      <c r="D17" s="96">
        <v>7790360980618</v>
      </c>
      <c r="E17" s="97">
        <v>6.66</v>
      </c>
      <c r="F17" s="98">
        <v>36</v>
      </c>
      <c r="G17" s="83">
        <f t="shared" si="0"/>
        <v>67560.058709650781</v>
      </c>
      <c r="H17" s="151"/>
      <c r="I17" s="83">
        <f t="shared" si="1"/>
        <v>67560.058709650781</v>
      </c>
      <c r="J17" s="83">
        <f>+I17/F17</f>
        <v>1876.6682974902994</v>
      </c>
      <c r="K17" s="83">
        <f>+J17*K$3</f>
        <v>394.10034247296289</v>
      </c>
      <c r="L17" s="83">
        <f>+J17+K17</f>
        <v>2270.7686399632621</v>
      </c>
      <c r="M17" s="83">
        <f>+L17*M$3</f>
        <v>681.23059198897863</v>
      </c>
      <c r="N17" s="83">
        <f>+L17+M17</f>
        <v>2951.9992319522407</v>
      </c>
      <c r="O17" s="83">
        <f>+N17*O$3</f>
        <v>1180.7996927808963</v>
      </c>
      <c r="P17" s="99">
        <f>+N17+O17</f>
        <v>4132.798924733137</v>
      </c>
      <c r="R17">
        <v>67560.058709650781</v>
      </c>
      <c r="S17">
        <f t="shared" si="9"/>
        <v>0</v>
      </c>
      <c r="U17" s="27">
        <v>100520834</v>
      </c>
      <c r="V17" s="24">
        <v>67560.058709650781</v>
      </c>
    </row>
    <row r="18" spans="1:22" x14ac:dyDescent="0.25">
      <c r="B18" s="27">
        <v>100021680</v>
      </c>
      <c r="C18" s="28" t="s">
        <v>27</v>
      </c>
      <c r="D18" s="21">
        <v>7790360967688</v>
      </c>
      <c r="E18" s="22">
        <v>4.32</v>
      </c>
      <c r="F18" s="23">
        <v>18</v>
      </c>
      <c r="G18" s="24">
        <f t="shared" si="0"/>
        <v>52915.790664043008</v>
      </c>
      <c r="H18" s="155"/>
      <c r="I18" s="24">
        <f t="shared" si="1"/>
        <v>52915.790664043008</v>
      </c>
      <c r="J18" s="24">
        <f t="shared" si="2"/>
        <v>2939.7661480023894</v>
      </c>
      <c r="K18" s="24">
        <f t="shared" si="3"/>
        <v>617.3508910805017</v>
      </c>
      <c r="L18" s="24">
        <f t="shared" si="4"/>
        <v>3557.1170390828911</v>
      </c>
      <c r="M18" s="24">
        <f t="shared" si="5"/>
        <v>1067.1351117248673</v>
      </c>
      <c r="N18" s="24">
        <f t="shared" si="6"/>
        <v>4624.2521508077589</v>
      </c>
      <c r="O18" s="24">
        <f t="shared" si="7"/>
        <v>1849.7008603231036</v>
      </c>
      <c r="P18" s="25">
        <f t="shared" si="8"/>
        <v>6473.9530111308623</v>
      </c>
      <c r="R18">
        <v>52915.790664043008</v>
      </c>
      <c r="S18">
        <f t="shared" si="9"/>
        <v>0</v>
      </c>
      <c r="U18" s="27">
        <v>100021680</v>
      </c>
      <c r="V18" s="24">
        <v>52915.790664043008</v>
      </c>
    </row>
    <row r="19" spans="1:22" x14ac:dyDescent="0.25">
      <c r="B19" s="27">
        <v>100021644</v>
      </c>
      <c r="C19" s="28" t="s">
        <v>28</v>
      </c>
      <c r="D19" s="21">
        <v>7790360008541</v>
      </c>
      <c r="E19" s="22">
        <v>4.7039999999999997</v>
      </c>
      <c r="F19" s="23">
        <v>42</v>
      </c>
      <c r="G19" s="24">
        <f t="shared" si="0"/>
        <v>21066.23076923077</v>
      </c>
      <c r="H19" s="151">
        <v>5.3999999999999999E-2</v>
      </c>
      <c r="I19" s="24">
        <f t="shared" si="1"/>
        <v>19928.654307692308</v>
      </c>
      <c r="J19" s="24">
        <f t="shared" si="2"/>
        <v>474.49176923076925</v>
      </c>
      <c r="K19" s="24">
        <f t="shared" si="3"/>
        <v>99.643271538461534</v>
      </c>
      <c r="L19" s="24">
        <f t="shared" si="4"/>
        <v>574.13504076923073</v>
      </c>
      <c r="M19" s="29">
        <f>+L19*0.33</f>
        <v>189.46456345384615</v>
      </c>
      <c r="N19" s="24">
        <f t="shared" si="6"/>
        <v>763.59960422307688</v>
      </c>
      <c r="O19" s="24">
        <f t="shared" si="7"/>
        <v>305.43984168923078</v>
      </c>
      <c r="P19" s="25">
        <f t="shared" si="8"/>
        <v>1069.0394459123077</v>
      </c>
      <c r="R19">
        <v>19151.11888111888</v>
      </c>
      <c r="S19">
        <f t="shared" si="9"/>
        <v>4.060000000000006E-2</v>
      </c>
      <c r="U19" s="27">
        <v>100021644</v>
      </c>
      <c r="V19" s="24">
        <v>21066.23076923077</v>
      </c>
    </row>
    <row r="20" spans="1:22" x14ac:dyDescent="0.25">
      <c r="B20" s="27">
        <v>100021677</v>
      </c>
      <c r="C20" s="28" t="s">
        <v>29</v>
      </c>
      <c r="D20" s="21">
        <v>7790360967404</v>
      </c>
      <c r="E20" s="22">
        <v>3.3119999999999998</v>
      </c>
      <c r="F20" s="23">
        <v>12</v>
      </c>
      <c r="G20" s="24">
        <f t="shared" si="0"/>
        <v>15913.330804195804</v>
      </c>
      <c r="H20" s="23"/>
      <c r="I20" s="24">
        <f t="shared" si="1"/>
        <v>15913.330804195804</v>
      </c>
      <c r="J20" s="24">
        <f t="shared" si="2"/>
        <v>1326.1109003496504</v>
      </c>
      <c r="K20" s="24">
        <f t="shared" si="3"/>
        <v>278.48328907342659</v>
      </c>
      <c r="L20" s="24">
        <f t="shared" si="4"/>
        <v>1604.5941894230768</v>
      </c>
      <c r="M20" s="29">
        <f>+L20*0.33</f>
        <v>529.51608250961533</v>
      </c>
      <c r="N20" s="24">
        <f t="shared" si="6"/>
        <v>2134.1102719326923</v>
      </c>
      <c r="O20" s="24">
        <f t="shared" si="7"/>
        <v>853.64410877307694</v>
      </c>
      <c r="P20" s="25">
        <f t="shared" si="8"/>
        <v>2987.7543807057691</v>
      </c>
      <c r="R20">
        <v>15913.330804195804</v>
      </c>
      <c r="S20">
        <f t="shared" si="9"/>
        <v>0</v>
      </c>
      <c r="U20" s="27">
        <v>100021677</v>
      </c>
      <c r="V20" s="24">
        <v>15913.330804195804</v>
      </c>
    </row>
    <row r="21" spans="1:22" x14ac:dyDescent="0.25">
      <c r="B21" s="27">
        <v>100021638</v>
      </c>
      <c r="C21" s="28" t="s">
        <v>30</v>
      </c>
      <c r="D21" s="21">
        <v>7790360026699</v>
      </c>
      <c r="E21" s="22">
        <v>4.8</v>
      </c>
      <c r="F21" s="23">
        <v>60</v>
      </c>
      <c r="G21" s="24">
        <f t="shared" si="0"/>
        <v>53909.269862687011</v>
      </c>
      <c r="H21" s="23"/>
      <c r="I21" s="24">
        <f t="shared" si="1"/>
        <v>53909.269862687011</v>
      </c>
      <c r="J21" s="24">
        <f t="shared" si="2"/>
        <v>898.48783104478355</v>
      </c>
      <c r="K21" s="24">
        <f t="shared" si="3"/>
        <v>188.68244451940453</v>
      </c>
      <c r="L21" s="24">
        <f t="shared" si="4"/>
        <v>1087.1702755641882</v>
      </c>
      <c r="M21" s="24">
        <f t="shared" si="5"/>
        <v>326.15108266925643</v>
      </c>
      <c r="N21" s="24">
        <f t="shared" si="6"/>
        <v>1413.3213582334447</v>
      </c>
      <c r="O21" s="24">
        <f t="shared" si="7"/>
        <v>565.32854329337795</v>
      </c>
      <c r="P21" s="25">
        <f t="shared" si="8"/>
        <v>1978.6499015268228</v>
      </c>
      <c r="R21">
        <v>53909.269862687011</v>
      </c>
      <c r="S21">
        <f t="shared" si="9"/>
        <v>0</v>
      </c>
      <c r="U21" s="27">
        <v>100021638</v>
      </c>
      <c r="V21" s="24">
        <v>53909.269862687011</v>
      </c>
    </row>
    <row r="22" spans="1:22" x14ac:dyDescent="0.25">
      <c r="B22" s="27">
        <v>100021575</v>
      </c>
      <c r="C22" s="28" t="s">
        <v>31</v>
      </c>
      <c r="D22" s="21">
        <v>7790360007032</v>
      </c>
      <c r="E22" s="22">
        <v>4.1399999999999997</v>
      </c>
      <c r="F22" s="23">
        <v>60</v>
      </c>
      <c r="G22" s="24">
        <f t="shared" si="0"/>
        <v>43782.410526416636</v>
      </c>
      <c r="H22" s="23"/>
      <c r="I22" s="24">
        <f t="shared" si="1"/>
        <v>43782.410526416636</v>
      </c>
      <c r="J22" s="24">
        <f t="shared" si="2"/>
        <v>729.7068421069439</v>
      </c>
      <c r="K22" s="24">
        <f t="shared" si="3"/>
        <v>153.23843684245821</v>
      </c>
      <c r="L22" s="24">
        <f t="shared" si="4"/>
        <v>882.94527894940211</v>
      </c>
      <c r="M22" s="24">
        <f t="shared" si="5"/>
        <v>264.88358368482062</v>
      </c>
      <c r="N22" s="24">
        <f t="shared" si="6"/>
        <v>1147.8288626342228</v>
      </c>
      <c r="O22" s="24">
        <f t="shared" si="7"/>
        <v>459.13154505368914</v>
      </c>
      <c r="P22" s="25">
        <f t="shared" si="8"/>
        <v>1606.9604076879118</v>
      </c>
      <c r="R22">
        <v>43782.410526416636</v>
      </c>
      <c r="S22">
        <f t="shared" si="9"/>
        <v>0</v>
      </c>
      <c r="U22" s="27">
        <v>100021575</v>
      </c>
      <c r="V22" s="24">
        <v>43782.410526416636</v>
      </c>
    </row>
    <row r="23" spans="1:22" x14ac:dyDescent="0.25">
      <c r="B23" s="27">
        <v>100021514</v>
      </c>
      <c r="C23" s="28" t="s">
        <v>32</v>
      </c>
      <c r="D23" s="21">
        <v>7790360006943</v>
      </c>
      <c r="E23" s="22">
        <v>4.1399999999999997</v>
      </c>
      <c r="F23" s="23">
        <v>60</v>
      </c>
      <c r="G23" s="24">
        <f t="shared" si="0"/>
        <v>40234.644556591877</v>
      </c>
      <c r="H23" s="23"/>
      <c r="I23" s="24">
        <f t="shared" si="1"/>
        <v>40234.644556591877</v>
      </c>
      <c r="J23" s="24">
        <f t="shared" si="2"/>
        <v>670.57740927653128</v>
      </c>
      <c r="K23" s="24">
        <f t="shared" si="3"/>
        <v>140.82125594807155</v>
      </c>
      <c r="L23" s="24">
        <f t="shared" si="4"/>
        <v>811.39866522460284</v>
      </c>
      <c r="M23" s="24">
        <f t="shared" si="5"/>
        <v>243.41959956738083</v>
      </c>
      <c r="N23" s="24">
        <f t="shared" si="6"/>
        <v>1054.8182647919837</v>
      </c>
      <c r="O23" s="24">
        <f t="shared" si="7"/>
        <v>421.9273059167935</v>
      </c>
      <c r="P23" s="25">
        <f t="shared" si="8"/>
        <v>1476.7455707087772</v>
      </c>
      <c r="R23">
        <v>40234.644556591877</v>
      </c>
      <c r="S23">
        <f t="shared" si="9"/>
        <v>0</v>
      </c>
      <c r="U23" s="27">
        <v>100021514</v>
      </c>
      <c r="V23" s="24">
        <v>40234.644556591877</v>
      </c>
    </row>
    <row r="24" spans="1:22" x14ac:dyDescent="0.25">
      <c r="B24" s="26">
        <v>100516208</v>
      </c>
      <c r="C24" s="30" t="s">
        <v>33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46172.878802064566</v>
      </c>
      <c r="H24" s="23"/>
      <c r="I24" s="24">
        <f t="shared" si="1"/>
        <v>46172.878802064566</v>
      </c>
      <c r="J24" s="24">
        <f t="shared" si="2"/>
        <v>769.54798003440942</v>
      </c>
      <c r="K24" s="24">
        <f t="shared" si="3"/>
        <v>161.60507580722597</v>
      </c>
      <c r="L24" s="24">
        <f t="shared" si="4"/>
        <v>931.15305584163536</v>
      </c>
      <c r="M24" s="24">
        <f t="shared" si="5"/>
        <v>279.34591675249061</v>
      </c>
      <c r="N24" s="24">
        <f t="shared" si="6"/>
        <v>1210.4989725941259</v>
      </c>
      <c r="O24" s="24">
        <f t="shared" si="7"/>
        <v>484.19958903765041</v>
      </c>
      <c r="P24" s="25">
        <f t="shared" si="8"/>
        <v>1694.6985616317763</v>
      </c>
      <c r="R24">
        <v>46172.878802064566</v>
      </c>
      <c r="S24">
        <f t="shared" si="9"/>
        <v>0</v>
      </c>
      <c r="U24" s="26">
        <v>100516208</v>
      </c>
      <c r="V24" s="24">
        <v>46172.878802064566</v>
      </c>
    </row>
    <row r="25" spans="1:22" x14ac:dyDescent="0.25">
      <c r="B25" s="27">
        <v>100518346</v>
      </c>
      <c r="C25" s="28" t="s">
        <v>34</v>
      </c>
      <c r="D25" s="21"/>
      <c r="E25" s="22">
        <v>6.54</v>
      </c>
      <c r="F25" s="23">
        <v>60</v>
      </c>
      <c r="G25" s="24">
        <f t="shared" si="0"/>
        <v>63499.785407384043</v>
      </c>
      <c r="H25" s="23"/>
      <c r="I25" s="24">
        <f t="shared" si="1"/>
        <v>63499.785407384043</v>
      </c>
      <c r="J25" s="24">
        <f t="shared" si="2"/>
        <v>1058.3297567897341</v>
      </c>
      <c r="K25" s="24">
        <f t="shared" si="3"/>
        <v>222.24924892584417</v>
      </c>
      <c r="L25" s="24">
        <f t="shared" si="4"/>
        <v>1280.5790057155782</v>
      </c>
      <c r="M25" s="24">
        <f t="shared" si="5"/>
        <v>384.17370171467343</v>
      </c>
      <c r="N25" s="24">
        <f t="shared" si="6"/>
        <v>1664.7527074302516</v>
      </c>
      <c r="O25" s="24">
        <f t="shared" si="7"/>
        <v>665.90108297210065</v>
      </c>
      <c r="P25" s="25">
        <f t="shared" si="8"/>
        <v>2330.6537904023521</v>
      </c>
      <c r="R25">
        <v>63499.785407384043</v>
      </c>
      <c r="S25">
        <f t="shared" si="9"/>
        <v>0</v>
      </c>
      <c r="U25" s="27">
        <v>100518346</v>
      </c>
      <c r="V25" s="24">
        <v>63499.785407384043</v>
      </c>
    </row>
    <row r="26" spans="1:22" x14ac:dyDescent="0.25">
      <c r="B26" s="27">
        <v>100516259</v>
      </c>
      <c r="C26" s="28" t="s">
        <v>35</v>
      </c>
      <c r="D26" s="21">
        <v>7790360968340</v>
      </c>
      <c r="E26" s="22">
        <v>18.16</v>
      </c>
      <c r="F26" s="23">
        <v>48</v>
      </c>
      <c r="G26" s="24">
        <f t="shared" si="0"/>
        <v>149542.39430649939</v>
      </c>
      <c r="H26" s="23"/>
      <c r="I26" s="24">
        <f t="shared" si="1"/>
        <v>149542.39430649939</v>
      </c>
      <c r="J26" s="24">
        <f t="shared" si="2"/>
        <v>3115.4665480520707</v>
      </c>
      <c r="K26" s="24">
        <f t="shared" si="3"/>
        <v>654.2479750909348</v>
      </c>
      <c r="L26" s="24">
        <f t="shared" si="4"/>
        <v>3769.7145231430054</v>
      </c>
      <c r="M26" s="24">
        <f t="shared" si="5"/>
        <v>1130.9143569429016</v>
      </c>
      <c r="N26" s="24">
        <f t="shared" si="6"/>
        <v>4900.6288800859074</v>
      </c>
      <c r="O26" s="24">
        <f t="shared" si="7"/>
        <v>1960.2515520343632</v>
      </c>
      <c r="P26" s="25">
        <f t="shared" si="8"/>
        <v>6860.8804321202706</v>
      </c>
      <c r="R26">
        <v>149542.39430649939</v>
      </c>
      <c r="S26">
        <f t="shared" si="9"/>
        <v>0</v>
      </c>
      <c r="U26" s="27">
        <v>100516259</v>
      </c>
      <c r="V26" s="24">
        <v>149542.39430649939</v>
      </c>
    </row>
    <row r="27" spans="1:22" x14ac:dyDescent="0.25">
      <c r="B27" s="84">
        <v>100518095</v>
      </c>
      <c r="C27" s="28" t="s">
        <v>36</v>
      </c>
      <c r="D27" s="21">
        <v>7790360974785</v>
      </c>
      <c r="E27" s="22">
        <v>6.66</v>
      </c>
      <c r="F27" s="23">
        <v>36</v>
      </c>
      <c r="G27" s="24">
        <f t="shared" si="0"/>
        <v>70960.925217472526</v>
      </c>
      <c r="H27" s="23"/>
      <c r="I27" s="24">
        <f t="shared" si="1"/>
        <v>70960.925217472526</v>
      </c>
      <c r="J27" s="24">
        <f t="shared" si="2"/>
        <v>1971.136811596459</v>
      </c>
      <c r="K27" s="24">
        <f t="shared" si="3"/>
        <v>413.93873043525639</v>
      </c>
      <c r="L27" s="24">
        <f t="shared" si="4"/>
        <v>2385.0755420317155</v>
      </c>
      <c r="M27" s="24">
        <f t="shared" si="5"/>
        <v>715.52266260951467</v>
      </c>
      <c r="N27" s="24">
        <f t="shared" si="6"/>
        <v>3100.59820464123</v>
      </c>
      <c r="O27" s="24">
        <f t="shared" si="7"/>
        <v>1240.2392818564922</v>
      </c>
      <c r="P27" s="25">
        <f t="shared" si="8"/>
        <v>4340.8374864977222</v>
      </c>
      <c r="R27">
        <v>70960.925217472526</v>
      </c>
      <c r="S27">
        <f t="shared" si="9"/>
        <v>0</v>
      </c>
      <c r="U27" s="84">
        <v>100518095</v>
      </c>
      <c r="V27" s="24">
        <v>70960.925217472526</v>
      </c>
    </row>
    <row r="28" spans="1:22" x14ac:dyDescent="0.25">
      <c r="B28" s="27">
        <v>100518223</v>
      </c>
      <c r="C28" s="28" t="s">
        <v>37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55247.02390160058</v>
      </c>
      <c r="H28" s="23"/>
      <c r="I28" s="24">
        <f t="shared" si="1"/>
        <v>55247.02390160058</v>
      </c>
      <c r="J28" s="24">
        <f t="shared" si="2"/>
        <v>1841.5674633866861</v>
      </c>
      <c r="K28" s="24">
        <f t="shared" si="3"/>
        <v>386.72916731120404</v>
      </c>
      <c r="L28" s="24">
        <f t="shared" si="4"/>
        <v>2228.2966306978901</v>
      </c>
      <c r="M28" s="24">
        <f t="shared" si="5"/>
        <v>668.48898920936699</v>
      </c>
      <c r="N28" s="24">
        <f t="shared" si="6"/>
        <v>2896.7856199072571</v>
      </c>
      <c r="O28" s="24">
        <f t="shared" si="7"/>
        <v>1158.7142479629028</v>
      </c>
      <c r="P28" s="25">
        <f t="shared" si="8"/>
        <v>4055.49986787016</v>
      </c>
      <c r="R28">
        <v>55247.02390160058</v>
      </c>
      <c r="S28">
        <f t="shared" si="9"/>
        <v>0</v>
      </c>
      <c r="U28" s="27">
        <v>100518223</v>
      </c>
      <c r="V28" s="24">
        <v>55247.02390160058</v>
      </c>
    </row>
    <row r="29" spans="1:22" x14ac:dyDescent="0.25">
      <c r="B29" s="32"/>
      <c r="C29" s="33"/>
      <c r="D29" s="34"/>
      <c r="E29" s="33"/>
      <c r="F29" s="35"/>
      <c r="G29" s="35" t="e">
        <f t="shared" si="0"/>
        <v>#N/A</v>
      </c>
      <c r="H29" s="35"/>
      <c r="I29" s="35" t="e">
        <f t="shared" si="1"/>
        <v>#N/A</v>
      </c>
      <c r="J29" s="37" t="e">
        <f t="shared" si="2"/>
        <v>#N/A</v>
      </c>
      <c r="K29" s="38">
        <v>0.21</v>
      </c>
      <c r="L29" s="37"/>
      <c r="M29" s="38">
        <v>0.3</v>
      </c>
      <c r="N29" s="37"/>
      <c r="O29" s="38">
        <v>0.4</v>
      </c>
      <c r="P29" s="39"/>
      <c r="R29" t="e">
        <v>#N/A</v>
      </c>
      <c r="S29" t="e">
        <f t="shared" si="9"/>
        <v>#N/A</v>
      </c>
      <c r="U29" s="32"/>
      <c r="V29" s="35" t="e">
        <v>#VALUE!</v>
      </c>
    </row>
    <row r="30" spans="1:22" x14ac:dyDescent="0.25">
      <c r="B30" s="82">
        <v>100022085</v>
      </c>
      <c r="C30" s="95" t="s">
        <v>38</v>
      </c>
      <c r="D30" s="96">
        <v>7790360000132</v>
      </c>
      <c r="E30" s="97">
        <v>5.4</v>
      </c>
      <c r="F30" s="98">
        <v>24</v>
      </c>
      <c r="G30" s="83">
        <f t="shared" si="0"/>
        <v>26853.822868860469</v>
      </c>
      <c r="H30" s="100"/>
      <c r="I30" s="83">
        <f t="shared" si="1"/>
        <v>26853.822868860469</v>
      </c>
      <c r="J30" s="83">
        <f t="shared" si="2"/>
        <v>1118.9092862025195</v>
      </c>
      <c r="K30" s="83">
        <f t="shared" si="3"/>
        <v>234.97095010252909</v>
      </c>
      <c r="L30" s="83">
        <f t="shared" si="4"/>
        <v>1353.8802363050486</v>
      </c>
      <c r="M30" s="83">
        <f t="shared" si="5"/>
        <v>406.16407089151454</v>
      </c>
      <c r="N30" s="83">
        <f t="shared" si="6"/>
        <v>1760.0443071965631</v>
      </c>
      <c r="O30" s="83">
        <f t="shared" si="7"/>
        <v>704.01772287862525</v>
      </c>
      <c r="P30" s="99">
        <f t="shared" si="8"/>
        <v>2464.0620300751884</v>
      </c>
      <c r="R30">
        <v>23435.08556885213</v>
      </c>
      <c r="S30">
        <f t="shared" si="9"/>
        <v>0.14588115285366085</v>
      </c>
      <c r="U30" s="27">
        <v>100022085</v>
      </c>
      <c r="V30" s="24">
        <v>26853.822868860469</v>
      </c>
    </row>
    <row r="31" spans="1:22" x14ac:dyDescent="0.25">
      <c r="A31" s="27"/>
      <c r="B31" s="27">
        <v>100522204</v>
      </c>
      <c r="C31" s="28" t="s">
        <v>38</v>
      </c>
      <c r="D31" s="21">
        <v>7790360983947</v>
      </c>
      <c r="E31" s="22">
        <v>5.4</v>
      </c>
      <c r="F31" s="23">
        <v>24</v>
      </c>
      <c r="G31" s="83">
        <f t="shared" si="0"/>
        <v>26853.822868860469</v>
      </c>
      <c r="H31" s="100"/>
      <c r="I31" s="83">
        <f t="shared" ref="I31" si="10">+G31*(1-H31)</f>
        <v>26853.822868860469</v>
      </c>
      <c r="J31" s="83">
        <f t="shared" ref="J31" si="11">+I31/F31</f>
        <v>1118.9092862025195</v>
      </c>
      <c r="K31" s="83">
        <f t="shared" ref="K31" si="12">+J31*K$3</f>
        <v>234.97095010252909</v>
      </c>
      <c r="L31" s="83">
        <f t="shared" ref="L31" si="13">+J31+K31</f>
        <v>1353.8802363050486</v>
      </c>
      <c r="M31" s="83">
        <f t="shared" ref="M31" si="14">+L31*M$3</f>
        <v>406.16407089151454</v>
      </c>
      <c r="N31" s="83">
        <f t="shared" ref="N31" si="15">+L31+M31</f>
        <v>1760.0443071965631</v>
      </c>
      <c r="O31" s="83">
        <f t="shared" ref="O31" si="16">+N31*O$3</f>
        <v>704.01772287862525</v>
      </c>
      <c r="P31" s="99">
        <f t="shared" si="8"/>
        <v>2464.0620300751884</v>
      </c>
      <c r="R31">
        <v>0</v>
      </c>
      <c r="U31" s="27">
        <v>100522204</v>
      </c>
      <c r="V31" s="24">
        <v>26853.822868860469</v>
      </c>
    </row>
    <row r="32" spans="1:22" x14ac:dyDescent="0.25">
      <c r="B32" s="82">
        <v>100022072</v>
      </c>
      <c r="C32" s="95" t="s">
        <v>39</v>
      </c>
      <c r="D32" s="96">
        <v>7790360024541</v>
      </c>
      <c r="E32" s="97">
        <v>5.4</v>
      </c>
      <c r="F32" s="98">
        <v>12</v>
      </c>
      <c r="G32" s="83">
        <f t="shared" si="0"/>
        <v>25511.131725417446</v>
      </c>
      <c r="H32" s="113"/>
      <c r="I32" s="83">
        <f t="shared" si="1"/>
        <v>25511.131725417446</v>
      </c>
      <c r="J32" s="83">
        <f t="shared" si="2"/>
        <v>2125.9276437847871</v>
      </c>
      <c r="K32" s="83">
        <f t="shared" si="3"/>
        <v>446.44480519480527</v>
      </c>
      <c r="L32" s="83">
        <f t="shared" si="4"/>
        <v>2572.3724489795923</v>
      </c>
      <c r="M32" s="83">
        <f t="shared" si="5"/>
        <v>771.7117346938777</v>
      </c>
      <c r="N32" s="83">
        <f t="shared" si="6"/>
        <v>3344.0841836734699</v>
      </c>
      <c r="O32" s="83">
        <f t="shared" si="7"/>
        <v>1337.633673469388</v>
      </c>
      <c r="P32" s="99">
        <f t="shared" si="8"/>
        <v>4681.7178571428576</v>
      </c>
      <c r="R32">
        <v>21677.574201485993</v>
      </c>
      <c r="S32">
        <f t="shared" si="9"/>
        <v>0.17684439634710897</v>
      </c>
      <c r="U32" s="27">
        <v>100022072</v>
      </c>
      <c r="V32" s="24">
        <v>25511.131725417446</v>
      </c>
    </row>
    <row r="33" spans="1:24" x14ac:dyDescent="0.25">
      <c r="A33" s="27"/>
      <c r="B33" s="27">
        <v>100522205</v>
      </c>
      <c r="C33" s="28" t="s">
        <v>39</v>
      </c>
      <c r="D33" s="21">
        <v>7790360983954</v>
      </c>
      <c r="E33" s="22">
        <v>5.4</v>
      </c>
      <c r="F33" s="23">
        <v>12</v>
      </c>
      <c r="G33" s="83">
        <f t="shared" si="0"/>
        <v>25511.131725417446</v>
      </c>
      <c r="H33" s="100"/>
      <c r="I33" s="83">
        <f t="shared" ref="I33" si="17">+G33*(1-H33)</f>
        <v>25511.131725417446</v>
      </c>
      <c r="J33" s="83">
        <f t="shared" ref="J33" si="18">+I33/F33</f>
        <v>2125.9276437847871</v>
      </c>
      <c r="K33" s="83">
        <f t="shared" ref="K33" si="19">+J33*K$3</f>
        <v>446.44480519480527</v>
      </c>
      <c r="L33" s="83">
        <f t="shared" ref="L33" si="20">+J33+K33</f>
        <v>2572.3724489795923</v>
      </c>
      <c r="M33" s="83">
        <f t="shared" ref="M33" si="21">+L33*M$3</f>
        <v>771.7117346938777</v>
      </c>
      <c r="N33" s="83">
        <f t="shared" ref="N33" si="22">+L33+M33</f>
        <v>3344.0841836734699</v>
      </c>
      <c r="O33" s="83">
        <f t="shared" ref="O33" si="23">+N33*O$3</f>
        <v>1337.633673469388</v>
      </c>
      <c r="P33" s="99">
        <f t="shared" si="8"/>
        <v>4681.7178571428576</v>
      </c>
      <c r="R33">
        <v>0</v>
      </c>
      <c r="U33" s="27">
        <v>100522205</v>
      </c>
      <c r="V33" s="24">
        <v>25511.131725417446</v>
      </c>
    </row>
    <row r="34" spans="1:24" x14ac:dyDescent="0.25">
      <c r="B34" s="82">
        <v>100516849</v>
      </c>
      <c r="C34" s="95" t="s">
        <v>40</v>
      </c>
      <c r="D34" s="96">
        <v>7790360970053</v>
      </c>
      <c r="E34" s="97">
        <v>4.5599999990400004</v>
      </c>
      <c r="F34" s="98">
        <v>24</v>
      </c>
      <c r="G34" s="83">
        <f t="shared" si="0"/>
        <v>21483.058295088373</v>
      </c>
      <c r="H34" s="100"/>
      <c r="I34" s="83">
        <f t="shared" si="1"/>
        <v>21483.058295088373</v>
      </c>
      <c r="J34" s="83">
        <f t="shared" si="2"/>
        <v>895.12742896201553</v>
      </c>
      <c r="K34" s="83">
        <f t="shared" si="3"/>
        <v>187.97676008202325</v>
      </c>
      <c r="L34" s="83">
        <f t="shared" si="4"/>
        <v>1083.1041890440388</v>
      </c>
      <c r="M34" s="83">
        <f t="shared" si="5"/>
        <v>324.93125671321161</v>
      </c>
      <c r="N34" s="83">
        <f t="shared" si="6"/>
        <v>1408.0354457572503</v>
      </c>
      <c r="O34" s="83">
        <f t="shared" si="7"/>
        <v>563.21417830290011</v>
      </c>
      <c r="P34" s="99">
        <f t="shared" si="8"/>
        <v>1971.2496240601504</v>
      </c>
      <c r="R34">
        <v>19919.988187584044</v>
      </c>
      <c r="S34">
        <f t="shared" si="9"/>
        <v>7.8467421405328794E-2</v>
      </c>
      <c r="U34" s="27">
        <v>100516849</v>
      </c>
      <c r="V34" s="24">
        <v>21483.058295088373</v>
      </c>
    </row>
    <row r="35" spans="1:24" x14ac:dyDescent="0.25">
      <c r="B35" s="27">
        <v>100022039</v>
      </c>
      <c r="C35" s="28" t="s">
        <v>41</v>
      </c>
      <c r="D35" s="21">
        <v>7790360007063</v>
      </c>
      <c r="E35" s="22">
        <v>8.6999999999999993</v>
      </c>
      <c r="F35" s="23">
        <v>10</v>
      </c>
      <c r="G35" s="24">
        <f t="shared" si="0"/>
        <v>66403.468290369288</v>
      </c>
      <c r="H35" s="98"/>
      <c r="I35" s="24">
        <f t="shared" si="1"/>
        <v>66403.468290369288</v>
      </c>
      <c r="J35" s="24">
        <f t="shared" si="2"/>
        <v>6640.3468290369292</v>
      </c>
      <c r="K35" s="24">
        <f t="shared" si="3"/>
        <v>1394.4728340977551</v>
      </c>
      <c r="L35" s="24">
        <f t="shared" si="4"/>
        <v>8034.8196631346846</v>
      </c>
      <c r="M35" s="24">
        <f t="shared" si="5"/>
        <v>2410.4458989404052</v>
      </c>
      <c r="N35" s="24">
        <f t="shared" si="6"/>
        <v>10445.26556207509</v>
      </c>
      <c r="O35" s="24">
        <f t="shared" si="7"/>
        <v>4178.1062248300359</v>
      </c>
      <c r="P35" s="25">
        <f t="shared" si="8"/>
        <v>14623.371786905125</v>
      </c>
      <c r="R35">
        <v>60366.789354881163</v>
      </c>
      <c r="S35">
        <f t="shared" si="9"/>
        <v>0.10000000000000016</v>
      </c>
      <c r="U35" s="27">
        <v>100022039</v>
      </c>
      <c r="V35" s="24">
        <v>66403.468290369288</v>
      </c>
    </row>
    <row r="36" spans="1:24" x14ac:dyDescent="0.25">
      <c r="A36" s="27"/>
      <c r="B36" s="27">
        <v>100522206</v>
      </c>
      <c r="C36" s="28" t="s">
        <v>41</v>
      </c>
      <c r="D36" s="21">
        <v>7790360983961</v>
      </c>
      <c r="E36" s="22">
        <v>8.6999999999999993</v>
      </c>
      <c r="F36" s="23">
        <v>10</v>
      </c>
      <c r="G36" s="24">
        <f t="shared" si="0"/>
        <v>66403.468290369288</v>
      </c>
      <c r="H36" s="100"/>
      <c r="I36" s="83">
        <f t="shared" ref="I36" si="24">+G36*(1-H36)</f>
        <v>66403.468290369288</v>
      </c>
      <c r="J36" s="83">
        <f t="shared" ref="J36" si="25">+I36/F36</f>
        <v>6640.3468290369292</v>
      </c>
      <c r="K36" s="83">
        <f t="shared" ref="K36" si="26">+J36*K$3</f>
        <v>1394.4728340977551</v>
      </c>
      <c r="L36" s="83">
        <f t="shared" ref="L36" si="27">+J36+K36</f>
        <v>8034.8196631346846</v>
      </c>
      <c r="M36" s="83">
        <f t="shared" ref="M36" si="28">+L36*M$3</f>
        <v>2410.4458989404052</v>
      </c>
      <c r="N36" s="83">
        <f t="shared" ref="N36" si="29">+L36+M36</f>
        <v>10445.26556207509</v>
      </c>
      <c r="O36" s="83">
        <f t="shared" ref="O36" si="30">+N36*O$3</f>
        <v>4178.1062248300359</v>
      </c>
      <c r="P36" s="25">
        <f t="shared" si="8"/>
        <v>14623.371786905125</v>
      </c>
      <c r="R36">
        <v>0</v>
      </c>
      <c r="U36" s="27">
        <v>100522206</v>
      </c>
      <c r="V36" s="24">
        <v>66403.468290369288</v>
      </c>
    </row>
    <row r="37" spans="1:24" x14ac:dyDescent="0.25">
      <c r="B37" s="82">
        <v>100022058</v>
      </c>
      <c r="C37" s="95" t="s">
        <v>42</v>
      </c>
      <c r="D37" s="96">
        <v>7790360026002</v>
      </c>
      <c r="E37" s="97">
        <v>4.5599999990400004</v>
      </c>
      <c r="F37" s="98">
        <v>24</v>
      </c>
      <c r="G37" s="83">
        <f t="shared" si="0"/>
        <v>18273.697834498445</v>
      </c>
      <c r="H37" s="138"/>
      <c r="I37" s="83">
        <f t="shared" si="1"/>
        <v>18273.697834498445</v>
      </c>
      <c r="J37" s="83">
        <f t="shared" si="2"/>
        <v>761.40407643743526</v>
      </c>
      <c r="K37" s="83">
        <f t="shared" si="3"/>
        <v>159.89485605186141</v>
      </c>
      <c r="L37" s="83">
        <f t="shared" si="4"/>
        <v>921.2989324892967</v>
      </c>
      <c r="M37" s="83">
        <f>+L37*0.33</f>
        <v>304.02864772146791</v>
      </c>
      <c r="N37" s="83">
        <f t="shared" si="6"/>
        <v>1225.3275802107646</v>
      </c>
      <c r="O37" s="83">
        <f t="shared" si="7"/>
        <v>490.13103208430584</v>
      </c>
      <c r="P37" s="99">
        <f t="shared" si="8"/>
        <v>1715.4586122950705</v>
      </c>
      <c r="R37">
        <v>12772.190215799239</v>
      </c>
      <c r="S37">
        <f t="shared" si="9"/>
        <v>0.43074112785243557</v>
      </c>
      <c r="U37" s="27">
        <v>100022058</v>
      </c>
      <c r="V37" s="24">
        <v>18273.697834498445</v>
      </c>
      <c r="X37" s="1" t="s">
        <v>135</v>
      </c>
    </row>
    <row r="38" spans="1:24" x14ac:dyDescent="0.25">
      <c r="B38" s="27">
        <v>100518151</v>
      </c>
      <c r="C38" s="28" t="s">
        <v>43</v>
      </c>
      <c r="D38" s="21">
        <v>7790360974990</v>
      </c>
      <c r="E38" s="22">
        <v>8.6999999999999993</v>
      </c>
      <c r="F38" s="23">
        <v>10</v>
      </c>
      <c r="G38" s="24">
        <f t="shared" si="0"/>
        <v>76363.988533924654</v>
      </c>
      <c r="H38" s="23"/>
      <c r="I38" s="24">
        <f t="shared" si="1"/>
        <v>76363.988533924654</v>
      </c>
      <c r="J38" s="24">
        <f t="shared" si="2"/>
        <v>7636.3988533924658</v>
      </c>
      <c r="K38" s="24">
        <f t="shared" si="3"/>
        <v>1603.6437592124178</v>
      </c>
      <c r="L38" s="24">
        <f t="shared" si="4"/>
        <v>9240.0426126048842</v>
      </c>
      <c r="M38" s="24">
        <f>+L38*0.33</f>
        <v>3049.2140621596118</v>
      </c>
      <c r="N38" s="24">
        <f t="shared" si="6"/>
        <v>12289.256674764496</v>
      </c>
      <c r="O38" s="24">
        <f t="shared" si="7"/>
        <v>4915.7026699057988</v>
      </c>
      <c r="P38" s="25">
        <f t="shared" si="8"/>
        <v>17204.959344670293</v>
      </c>
      <c r="R38">
        <v>69421.807758113311</v>
      </c>
      <c r="S38">
        <f t="shared" si="9"/>
        <v>0.10000000000000017</v>
      </c>
      <c r="U38" s="27">
        <v>100518151</v>
      </c>
      <c r="V38" s="24">
        <v>76363.988533924654</v>
      </c>
    </row>
    <row r="39" spans="1:24" x14ac:dyDescent="0.25">
      <c r="B39" s="32"/>
      <c r="C39" s="33"/>
      <c r="D39" s="34"/>
      <c r="E39" s="33"/>
      <c r="F39" s="35"/>
      <c r="G39" s="35" t="e">
        <f t="shared" si="0"/>
        <v>#N/A</v>
      </c>
      <c r="H39" s="35"/>
      <c r="I39" s="35" t="e">
        <f t="shared" si="1"/>
        <v>#N/A</v>
      </c>
      <c r="J39" s="37" t="e">
        <f t="shared" si="2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t="e">
        <v>#N/A</v>
      </c>
      <c r="S39" t="e">
        <f t="shared" si="9"/>
        <v>#N/A</v>
      </c>
      <c r="U39" s="32"/>
      <c r="V39" s="35" t="e">
        <v>#VALUE!</v>
      </c>
    </row>
    <row r="40" spans="1:24" x14ac:dyDescent="0.25">
      <c r="B40" s="82">
        <v>100021000</v>
      </c>
      <c r="C40" s="95" t="s">
        <v>44</v>
      </c>
      <c r="D40" s="96">
        <v>7790360720382</v>
      </c>
      <c r="E40" s="97">
        <v>2.16</v>
      </c>
      <c r="F40" s="98">
        <v>24</v>
      </c>
      <c r="G40" s="83">
        <f t="shared" si="0"/>
        <v>13579.524837332692</v>
      </c>
      <c r="H40" s="100"/>
      <c r="I40" s="83">
        <f t="shared" si="1"/>
        <v>13579.524837332692</v>
      </c>
      <c r="J40" s="83">
        <f t="shared" si="2"/>
        <v>565.81353488886214</v>
      </c>
      <c r="K40" s="83">
        <f t="shared" si="3"/>
        <v>118.82084232666105</v>
      </c>
      <c r="L40" s="83">
        <f t="shared" si="4"/>
        <v>684.63437721552316</v>
      </c>
      <c r="M40" s="83">
        <f>+L40*M$39</f>
        <v>136.92687544310465</v>
      </c>
      <c r="N40" s="83">
        <f t="shared" si="6"/>
        <v>821.56125265862784</v>
      </c>
      <c r="O40" s="83">
        <f>+N40*O$39</f>
        <v>287.54643843051974</v>
      </c>
      <c r="P40" s="99">
        <f t="shared" si="8"/>
        <v>1109.1076910891475</v>
      </c>
      <c r="Q40" t="s">
        <v>89</v>
      </c>
      <c r="R40">
        <v>13579.524837332692</v>
      </c>
      <c r="S40">
        <f t="shared" si="9"/>
        <v>0</v>
      </c>
      <c r="U40" s="27">
        <v>100021000</v>
      </c>
      <c r="V40" s="24">
        <v>13579.524837332692</v>
      </c>
    </row>
    <row r="41" spans="1:24" x14ac:dyDescent="0.25">
      <c r="B41" s="82">
        <v>100021001</v>
      </c>
      <c r="C41" s="95" t="s">
        <v>45</v>
      </c>
      <c r="D41" s="96">
        <v>7790360720115</v>
      </c>
      <c r="E41" s="97">
        <v>2.16</v>
      </c>
      <c r="F41" s="98">
        <v>24</v>
      </c>
      <c r="G41" s="83">
        <f t="shared" si="0"/>
        <v>13579.524837332692</v>
      </c>
      <c r="H41" s="100"/>
      <c r="I41" s="83">
        <f t="shared" si="1"/>
        <v>13579.524837332692</v>
      </c>
      <c r="J41" s="83">
        <f t="shared" si="2"/>
        <v>565.81353488886214</v>
      </c>
      <c r="K41" s="83">
        <f t="shared" si="3"/>
        <v>118.82084232666105</v>
      </c>
      <c r="L41" s="83">
        <f t="shared" si="4"/>
        <v>684.63437721552316</v>
      </c>
      <c r="M41" s="83">
        <f t="shared" ref="M41:M56" si="31">+L41*M$39</f>
        <v>136.92687544310465</v>
      </c>
      <c r="N41" s="83">
        <f t="shared" si="6"/>
        <v>821.56125265862784</v>
      </c>
      <c r="O41" s="83">
        <f t="shared" ref="O41:O56" si="32">+N41*O$39</f>
        <v>287.54643843051974</v>
      </c>
      <c r="P41" s="99">
        <f t="shared" si="8"/>
        <v>1109.1076910891475</v>
      </c>
      <c r="Q41" t="s">
        <v>89</v>
      </c>
      <c r="R41">
        <v>13579.524837332692</v>
      </c>
      <c r="S41">
        <f t="shared" si="9"/>
        <v>0</v>
      </c>
      <c r="U41" s="27">
        <v>100021001</v>
      </c>
      <c r="V41" s="24">
        <v>13579.524837332692</v>
      </c>
    </row>
    <row r="42" spans="1:24" x14ac:dyDescent="0.25">
      <c r="B42" s="84">
        <v>100522277</v>
      </c>
      <c r="C42" s="28" t="s">
        <v>118</v>
      </c>
      <c r="D42" s="21"/>
      <c r="E42" s="22">
        <v>2.16</v>
      </c>
      <c r="F42" s="23">
        <v>24</v>
      </c>
      <c r="G42" s="83">
        <f t="shared" si="0"/>
        <v>13579.524837332692</v>
      </c>
      <c r="H42" s="100"/>
      <c r="I42" s="83">
        <f t="shared" ref="I42:I43" si="33">+G42*(1-H42)</f>
        <v>13579.524837332692</v>
      </c>
      <c r="J42" s="83">
        <f t="shared" ref="J42:J43" si="34">+I42/F42</f>
        <v>565.81353488886214</v>
      </c>
      <c r="K42" s="83">
        <f t="shared" ref="K42:K43" si="35">+J42*K$3</f>
        <v>118.82084232666105</v>
      </c>
      <c r="L42" s="83">
        <f t="shared" ref="L42:L43" si="36">+J42+K42</f>
        <v>684.63437721552316</v>
      </c>
      <c r="M42" s="83">
        <f t="shared" ref="M42:M43" si="37">+L42*M$39</f>
        <v>136.92687544310465</v>
      </c>
      <c r="N42" s="83">
        <f t="shared" ref="N42:N43" si="38">+L42+M42</f>
        <v>821.56125265862784</v>
      </c>
      <c r="O42" s="83">
        <f t="shared" ref="O42:O43" si="39">+N42*O$39</f>
        <v>287.54643843051974</v>
      </c>
      <c r="P42" s="99">
        <f t="shared" si="8"/>
        <v>1109.1076910891475</v>
      </c>
      <c r="R42">
        <v>13579.524837332692</v>
      </c>
      <c r="U42" s="84">
        <v>100522277</v>
      </c>
      <c r="V42" s="24">
        <v>13579.524837332692</v>
      </c>
    </row>
    <row r="43" spans="1:24" x14ac:dyDescent="0.25">
      <c r="B43" s="84">
        <v>100522333</v>
      </c>
      <c r="C43" s="28" t="s">
        <v>119</v>
      </c>
      <c r="D43" s="21"/>
      <c r="E43" s="22">
        <v>2.16</v>
      </c>
      <c r="F43" s="23">
        <v>24</v>
      </c>
      <c r="G43" s="83">
        <f t="shared" si="0"/>
        <v>13579.524837332692</v>
      </c>
      <c r="H43" s="100"/>
      <c r="I43" s="83">
        <f t="shared" si="33"/>
        <v>13579.524837332692</v>
      </c>
      <c r="J43" s="83">
        <f t="shared" si="34"/>
        <v>565.81353488886214</v>
      </c>
      <c r="K43" s="83">
        <f t="shared" si="35"/>
        <v>118.82084232666105</v>
      </c>
      <c r="L43" s="83">
        <f t="shared" si="36"/>
        <v>684.63437721552316</v>
      </c>
      <c r="M43" s="83">
        <f t="shared" si="37"/>
        <v>136.92687544310465</v>
      </c>
      <c r="N43" s="83">
        <f t="shared" si="38"/>
        <v>821.56125265862784</v>
      </c>
      <c r="O43" s="83">
        <f t="shared" si="39"/>
        <v>287.54643843051974</v>
      </c>
      <c r="P43" s="99">
        <f t="shared" si="8"/>
        <v>1109.1076910891475</v>
      </c>
      <c r="R43">
        <v>13579.524837332692</v>
      </c>
      <c r="U43" s="84">
        <v>100522333</v>
      </c>
      <c r="V43" s="24">
        <v>13579.524837332692</v>
      </c>
    </row>
    <row r="44" spans="1:24" x14ac:dyDescent="0.25">
      <c r="B44" s="82">
        <v>100021045</v>
      </c>
      <c r="C44" s="95" t="s">
        <v>46</v>
      </c>
      <c r="D44" s="96">
        <v>7790360966582</v>
      </c>
      <c r="E44" s="97">
        <v>2.16</v>
      </c>
      <c r="F44" s="98">
        <v>24</v>
      </c>
      <c r="G44" s="83">
        <f>+G45</f>
        <v>13579.52483733269</v>
      </c>
      <c r="H44" s="100"/>
      <c r="I44" s="83">
        <f t="shared" si="1"/>
        <v>13579.52483733269</v>
      </c>
      <c r="J44" s="83">
        <f t="shared" si="2"/>
        <v>565.81353488886214</v>
      </c>
      <c r="K44" s="83">
        <f t="shared" si="3"/>
        <v>118.82084232666105</v>
      </c>
      <c r="L44" s="83">
        <f t="shared" si="4"/>
        <v>684.63437721552316</v>
      </c>
      <c r="M44" s="83">
        <f t="shared" si="31"/>
        <v>136.92687544310465</v>
      </c>
      <c r="N44" s="83">
        <f t="shared" si="6"/>
        <v>821.56125265862784</v>
      </c>
      <c r="O44" s="83">
        <f t="shared" si="32"/>
        <v>287.54643843051974</v>
      </c>
      <c r="P44" s="99">
        <f t="shared" si="8"/>
        <v>1109.1076910891475</v>
      </c>
      <c r="R44">
        <v>13579.52483733269</v>
      </c>
      <c r="S44">
        <f t="shared" si="9"/>
        <v>0</v>
      </c>
      <c r="U44" s="27">
        <v>100021045</v>
      </c>
      <c r="V44" s="24">
        <v>13579.52483733269</v>
      </c>
    </row>
    <row r="45" spans="1:24" x14ac:dyDescent="0.25">
      <c r="B45" s="82">
        <v>100021004</v>
      </c>
      <c r="C45" s="95" t="s">
        <v>47</v>
      </c>
      <c r="D45" s="96">
        <v>7790360964526</v>
      </c>
      <c r="E45" s="97">
        <v>2.1120000000000001</v>
      </c>
      <c r="F45" s="98">
        <v>24</v>
      </c>
      <c r="G45" s="83">
        <f>+G46</f>
        <v>13579.52483733269</v>
      </c>
      <c r="H45" s="100"/>
      <c r="I45" s="83">
        <f t="shared" si="1"/>
        <v>13579.52483733269</v>
      </c>
      <c r="J45" s="83">
        <f t="shared" si="2"/>
        <v>565.81353488886214</v>
      </c>
      <c r="K45" s="83">
        <f t="shared" si="3"/>
        <v>118.82084232666105</v>
      </c>
      <c r="L45" s="83">
        <f t="shared" si="4"/>
        <v>684.63437721552316</v>
      </c>
      <c r="M45" s="83">
        <f t="shared" si="31"/>
        <v>136.92687544310465</v>
      </c>
      <c r="N45" s="83">
        <f t="shared" si="6"/>
        <v>821.56125265862784</v>
      </c>
      <c r="O45" s="83">
        <f t="shared" si="32"/>
        <v>287.54643843051974</v>
      </c>
      <c r="P45" s="99">
        <f t="shared" si="8"/>
        <v>1109.1076910891475</v>
      </c>
      <c r="R45">
        <v>13579.52483733269</v>
      </c>
      <c r="S45">
        <f t="shared" si="9"/>
        <v>0</v>
      </c>
      <c r="U45" s="27">
        <v>100021006</v>
      </c>
      <c r="V45" s="24">
        <v>13579.52483733269</v>
      </c>
    </row>
    <row r="46" spans="1:24" x14ac:dyDescent="0.25">
      <c r="B46" s="82">
        <v>100021006</v>
      </c>
      <c r="C46" s="95" t="s">
        <v>48</v>
      </c>
      <c r="D46" s="96">
        <v>7790360964557</v>
      </c>
      <c r="E46" s="97">
        <v>2.1120000000000001</v>
      </c>
      <c r="F46" s="98">
        <v>24</v>
      </c>
      <c r="G46" s="83">
        <f t="shared" ref="G46:G64" si="40">+VLOOKUP(B46,$U$4:$V$104,2,FALSE)</f>
        <v>13579.52483733269</v>
      </c>
      <c r="H46" s="100"/>
      <c r="I46" s="83">
        <f t="shared" si="1"/>
        <v>13579.52483733269</v>
      </c>
      <c r="J46" s="83">
        <f t="shared" si="2"/>
        <v>565.81353488886214</v>
      </c>
      <c r="K46" s="83">
        <f t="shared" si="3"/>
        <v>118.82084232666105</v>
      </c>
      <c r="L46" s="83">
        <f t="shared" si="4"/>
        <v>684.63437721552316</v>
      </c>
      <c r="M46" s="83">
        <f t="shared" si="31"/>
        <v>136.92687544310465</v>
      </c>
      <c r="N46" s="83">
        <f t="shared" si="6"/>
        <v>821.56125265862784</v>
      </c>
      <c r="O46" s="83">
        <f t="shared" si="32"/>
        <v>287.54643843051974</v>
      </c>
      <c r="P46" s="99">
        <f t="shared" si="8"/>
        <v>1109.1076910891475</v>
      </c>
      <c r="R46">
        <v>13579.52483733269</v>
      </c>
      <c r="S46">
        <f t="shared" si="9"/>
        <v>0</v>
      </c>
      <c r="U46" s="27">
        <v>100021007</v>
      </c>
      <c r="V46" s="24">
        <v>15501.688125000002</v>
      </c>
    </row>
    <row r="47" spans="1:24" x14ac:dyDescent="0.25">
      <c r="B47" s="82">
        <v>100021007</v>
      </c>
      <c r="C47" s="95" t="s">
        <v>49</v>
      </c>
      <c r="D47" s="96">
        <v>7790360964540</v>
      </c>
      <c r="E47" s="97">
        <v>2.04</v>
      </c>
      <c r="F47" s="98">
        <v>24</v>
      </c>
      <c r="G47" s="83">
        <f t="shared" si="40"/>
        <v>15501.688125000002</v>
      </c>
      <c r="H47" s="100"/>
      <c r="I47" s="83">
        <f t="shared" si="1"/>
        <v>15501.688125000002</v>
      </c>
      <c r="J47" s="83">
        <f t="shared" si="2"/>
        <v>645.9036718750001</v>
      </c>
      <c r="K47" s="83">
        <f t="shared" si="3"/>
        <v>135.63977109375003</v>
      </c>
      <c r="L47" s="83">
        <f t="shared" si="4"/>
        <v>781.54344296875013</v>
      </c>
      <c r="M47" s="83">
        <f t="shared" si="31"/>
        <v>156.30868859375005</v>
      </c>
      <c r="N47" s="83">
        <f t="shared" si="6"/>
        <v>937.85213156250018</v>
      </c>
      <c r="O47" s="83">
        <f t="shared" si="32"/>
        <v>328.24824604687507</v>
      </c>
      <c r="P47" s="99">
        <f t="shared" si="8"/>
        <v>1266.1003776093753</v>
      </c>
      <c r="R47">
        <v>15501.688125000002</v>
      </c>
      <c r="S47">
        <f t="shared" si="9"/>
        <v>0</v>
      </c>
      <c r="U47" s="27">
        <v>100021013</v>
      </c>
      <c r="V47" s="24">
        <v>15501.688125000002</v>
      </c>
    </row>
    <row r="48" spans="1:24" x14ac:dyDescent="0.25">
      <c r="B48" s="82">
        <v>100021013</v>
      </c>
      <c r="C48" s="95" t="s">
        <v>50</v>
      </c>
      <c r="D48" s="96">
        <v>7790360965714</v>
      </c>
      <c r="E48" s="97">
        <v>2.04</v>
      </c>
      <c r="F48" s="98">
        <v>24</v>
      </c>
      <c r="G48" s="83">
        <f t="shared" si="40"/>
        <v>15501.688125000002</v>
      </c>
      <c r="H48" s="100"/>
      <c r="I48" s="83">
        <f t="shared" si="1"/>
        <v>15501.688125000002</v>
      </c>
      <c r="J48" s="83">
        <f t="shared" si="2"/>
        <v>645.9036718750001</v>
      </c>
      <c r="K48" s="83">
        <f t="shared" si="3"/>
        <v>135.63977109375003</v>
      </c>
      <c r="L48" s="83">
        <f t="shared" si="4"/>
        <v>781.54344296875013</v>
      </c>
      <c r="M48" s="83">
        <f t="shared" si="31"/>
        <v>156.30868859375005</v>
      </c>
      <c r="N48" s="83">
        <f t="shared" si="6"/>
        <v>937.85213156250018</v>
      </c>
      <c r="O48" s="83">
        <f t="shared" si="32"/>
        <v>328.24824604687507</v>
      </c>
      <c r="P48" s="99">
        <f t="shared" si="8"/>
        <v>1266.1003776093753</v>
      </c>
      <c r="R48">
        <v>15501.688125000002</v>
      </c>
      <c r="S48">
        <f t="shared" si="9"/>
        <v>0</v>
      </c>
      <c r="U48" s="27">
        <v>100021014</v>
      </c>
      <c r="V48" s="24">
        <v>15501.688125000002</v>
      </c>
    </row>
    <row r="49" spans="2:22" x14ac:dyDescent="0.25">
      <c r="B49" s="82">
        <v>100021014</v>
      </c>
      <c r="C49" s="95" t="s">
        <v>51</v>
      </c>
      <c r="D49" s="96">
        <v>7790360965721</v>
      </c>
      <c r="E49" s="97">
        <v>2.04</v>
      </c>
      <c r="F49" s="98">
        <v>24</v>
      </c>
      <c r="G49" s="83">
        <f t="shared" si="40"/>
        <v>15501.688125000002</v>
      </c>
      <c r="H49" s="100"/>
      <c r="I49" s="83">
        <f t="shared" si="1"/>
        <v>15501.688125000002</v>
      </c>
      <c r="J49" s="83">
        <f t="shared" si="2"/>
        <v>645.9036718750001</v>
      </c>
      <c r="K49" s="83">
        <f t="shared" si="3"/>
        <v>135.63977109375003</v>
      </c>
      <c r="L49" s="83">
        <f t="shared" si="4"/>
        <v>781.54344296875013</v>
      </c>
      <c r="M49" s="83">
        <f t="shared" si="31"/>
        <v>156.30868859375005</v>
      </c>
      <c r="N49" s="83">
        <f t="shared" si="6"/>
        <v>937.85213156250018</v>
      </c>
      <c r="O49" s="83">
        <f t="shared" si="32"/>
        <v>328.24824604687507</v>
      </c>
      <c r="P49" s="99">
        <f t="shared" si="8"/>
        <v>1266.1003776093753</v>
      </c>
      <c r="R49">
        <v>15501.688125000002</v>
      </c>
      <c r="S49">
        <f t="shared" si="9"/>
        <v>0</v>
      </c>
      <c r="U49" s="27">
        <v>100021054</v>
      </c>
      <c r="V49" s="24">
        <v>15501.688125000002</v>
      </c>
    </row>
    <row r="50" spans="2:22" x14ac:dyDescent="0.25">
      <c r="B50" s="82">
        <v>100021054</v>
      </c>
      <c r="C50" s="95" t="s">
        <v>52</v>
      </c>
      <c r="D50" s="96">
        <v>7790360965707</v>
      </c>
      <c r="E50" s="97">
        <v>2.04</v>
      </c>
      <c r="F50" s="98">
        <v>24</v>
      </c>
      <c r="G50" s="83">
        <f t="shared" si="40"/>
        <v>15501.688125000002</v>
      </c>
      <c r="H50" s="100"/>
      <c r="I50" s="83">
        <f t="shared" si="1"/>
        <v>15501.688125000002</v>
      </c>
      <c r="J50" s="83">
        <f t="shared" si="2"/>
        <v>645.9036718750001</v>
      </c>
      <c r="K50" s="83">
        <f t="shared" si="3"/>
        <v>135.63977109375003</v>
      </c>
      <c r="L50" s="83">
        <f t="shared" si="4"/>
        <v>781.54344296875013</v>
      </c>
      <c r="M50" s="83">
        <f t="shared" si="31"/>
        <v>156.30868859375005</v>
      </c>
      <c r="N50" s="83">
        <f t="shared" si="6"/>
        <v>937.85213156250018</v>
      </c>
      <c r="O50" s="83">
        <f t="shared" si="32"/>
        <v>328.24824604687507</v>
      </c>
      <c r="P50" s="99">
        <f t="shared" si="8"/>
        <v>1266.1003776093753</v>
      </c>
      <c r="R50">
        <v>15501.688125000002</v>
      </c>
      <c r="S50">
        <f t="shared" si="9"/>
        <v>0</v>
      </c>
      <c r="U50" s="27">
        <v>100021055</v>
      </c>
      <c r="V50" s="24">
        <v>15501.688125000002</v>
      </c>
    </row>
    <row r="51" spans="2:22" x14ac:dyDescent="0.25">
      <c r="B51" s="82">
        <v>100021055</v>
      </c>
      <c r="C51" s="95" t="s">
        <v>53</v>
      </c>
      <c r="D51" s="96">
        <v>7790360965189</v>
      </c>
      <c r="E51" s="97">
        <v>2.04</v>
      </c>
      <c r="F51" s="98">
        <v>24</v>
      </c>
      <c r="G51" s="83">
        <f t="shared" si="40"/>
        <v>15501.688125000002</v>
      </c>
      <c r="H51" s="100"/>
      <c r="I51" s="83">
        <f t="shared" si="1"/>
        <v>15501.688125000002</v>
      </c>
      <c r="J51" s="83">
        <f t="shared" si="2"/>
        <v>645.9036718750001</v>
      </c>
      <c r="K51" s="83">
        <f t="shared" si="3"/>
        <v>135.63977109375003</v>
      </c>
      <c r="L51" s="83">
        <f t="shared" si="4"/>
        <v>781.54344296875013</v>
      </c>
      <c r="M51" s="83">
        <f t="shared" si="31"/>
        <v>156.30868859375005</v>
      </c>
      <c r="N51" s="83">
        <f t="shared" si="6"/>
        <v>937.85213156250018</v>
      </c>
      <c r="O51" s="83">
        <f t="shared" si="32"/>
        <v>328.24824604687507</v>
      </c>
      <c r="P51" s="99">
        <f t="shared" si="8"/>
        <v>1266.1003776093753</v>
      </c>
      <c r="R51">
        <v>15501.688125000002</v>
      </c>
      <c r="S51">
        <f t="shared" si="9"/>
        <v>0</v>
      </c>
      <c r="U51" s="27">
        <v>100021015</v>
      </c>
      <c r="V51" s="24">
        <v>15501.688125000002</v>
      </c>
    </row>
    <row r="52" spans="2:22" x14ac:dyDescent="0.25">
      <c r="B52" s="82">
        <v>100021015</v>
      </c>
      <c r="C52" s="95" t="s">
        <v>54</v>
      </c>
      <c r="D52" s="96">
        <v>7790360965202</v>
      </c>
      <c r="E52" s="97">
        <v>2.04</v>
      </c>
      <c r="F52" s="98">
        <v>24</v>
      </c>
      <c r="G52" s="83">
        <f t="shared" si="40"/>
        <v>15501.688125000002</v>
      </c>
      <c r="H52" s="100"/>
      <c r="I52" s="83">
        <f t="shared" si="1"/>
        <v>15501.688125000002</v>
      </c>
      <c r="J52" s="83">
        <f t="shared" si="2"/>
        <v>645.9036718750001</v>
      </c>
      <c r="K52" s="83">
        <f t="shared" si="3"/>
        <v>135.63977109375003</v>
      </c>
      <c r="L52" s="83">
        <f t="shared" si="4"/>
        <v>781.54344296875013</v>
      </c>
      <c r="M52" s="83">
        <f t="shared" si="31"/>
        <v>156.30868859375005</v>
      </c>
      <c r="N52" s="83">
        <f t="shared" si="6"/>
        <v>937.85213156250018</v>
      </c>
      <c r="O52" s="83">
        <f t="shared" si="32"/>
        <v>328.24824604687507</v>
      </c>
      <c r="P52" s="99">
        <f t="shared" si="8"/>
        <v>1266.1003776093753</v>
      </c>
      <c r="R52">
        <v>15501.688125000002</v>
      </c>
      <c r="S52">
        <f t="shared" si="9"/>
        <v>0</v>
      </c>
      <c r="U52" s="27">
        <v>100021008</v>
      </c>
      <c r="V52" s="24">
        <v>11493.435828538131</v>
      </c>
    </row>
    <row r="53" spans="2:22" x14ac:dyDescent="0.25">
      <c r="B53" s="82">
        <v>100021008</v>
      </c>
      <c r="C53" s="95" t="s">
        <v>55</v>
      </c>
      <c r="D53" s="96">
        <v>7790360720122</v>
      </c>
      <c r="E53" s="97">
        <v>2.16</v>
      </c>
      <c r="F53" s="98">
        <v>24</v>
      </c>
      <c r="G53" s="83">
        <f t="shared" si="40"/>
        <v>11493.435828538131</v>
      </c>
      <c r="H53" s="100"/>
      <c r="I53" s="83">
        <f t="shared" si="1"/>
        <v>11493.435828538131</v>
      </c>
      <c r="J53" s="83">
        <f t="shared" si="2"/>
        <v>478.89315952242214</v>
      </c>
      <c r="K53" s="83">
        <f t="shared" si="3"/>
        <v>100.56756349970864</v>
      </c>
      <c r="L53" s="83">
        <f t="shared" si="4"/>
        <v>579.46072302213076</v>
      </c>
      <c r="M53" s="83">
        <f t="shared" si="31"/>
        <v>115.89214460442616</v>
      </c>
      <c r="N53" s="83">
        <f t="shared" si="6"/>
        <v>695.35286762655687</v>
      </c>
      <c r="O53" s="83">
        <f t="shared" si="32"/>
        <v>243.37350366929488</v>
      </c>
      <c r="P53" s="99">
        <f t="shared" si="8"/>
        <v>938.72637129585178</v>
      </c>
      <c r="R53">
        <v>11493.435828538131</v>
      </c>
      <c r="S53">
        <f t="shared" si="9"/>
        <v>0</v>
      </c>
      <c r="U53" s="27">
        <v>100021009</v>
      </c>
      <c r="V53" s="24">
        <v>11493.435828538131</v>
      </c>
    </row>
    <row r="54" spans="2:22" x14ac:dyDescent="0.25">
      <c r="B54" s="82">
        <v>100021009</v>
      </c>
      <c r="C54" s="95" t="s">
        <v>56</v>
      </c>
      <c r="D54" s="96">
        <v>7790360965127</v>
      </c>
      <c r="E54" s="97">
        <v>2.16</v>
      </c>
      <c r="F54" s="98">
        <v>24</v>
      </c>
      <c r="G54" s="83">
        <f t="shared" si="40"/>
        <v>11493.435828538131</v>
      </c>
      <c r="H54" s="100"/>
      <c r="I54" s="83">
        <f t="shared" si="1"/>
        <v>11493.435828538131</v>
      </c>
      <c r="J54" s="83">
        <f t="shared" si="2"/>
        <v>478.89315952242214</v>
      </c>
      <c r="K54" s="83">
        <f t="shared" si="3"/>
        <v>100.56756349970864</v>
      </c>
      <c r="L54" s="83">
        <f t="shared" si="4"/>
        <v>579.46072302213076</v>
      </c>
      <c r="M54" s="83">
        <f t="shared" si="31"/>
        <v>115.89214460442616</v>
      </c>
      <c r="N54" s="83">
        <f t="shared" si="6"/>
        <v>695.35286762655687</v>
      </c>
      <c r="O54" s="83">
        <f t="shared" si="32"/>
        <v>243.37350366929488</v>
      </c>
      <c r="P54" s="99">
        <f t="shared" si="8"/>
        <v>938.72637129585178</v>
      </c>
      <c r="R54">
        <v>11493.435828538131</v>
      </c>
      <c r="S54">
        <f t="shared" si="9"/>
        <v>0</v>
      </c>
      <c r="U54" s="27">
        <v>100021010</v>
      </c>
      <c r="V54" s="24">
        <v>11493.435828538131</v>
      </c>
    </row>
    <row r="55" spans="2:22" x14ac:dyDescent="0.25">
      <c r="B55" s="27">
        <v>100021010</v>
      </c>
      <c r="C55" s="28" t="s">
        <v>57</v>
      </c>
      <c r="D55" s="21">
        <v>7790920008707</v>
      </c>
      <c r="E55" s="22">
        <v>2.16</v>
      </c>
      <c r="F55" s="23">
        <v>24</v>
      </c>
      <c r="G55" s="24">
        <f t="shared" si="40"/>
        <v>11493.435828538131</v>
      </c>
      <c r="H55" s="23"/>
      <c r="I55" s="24">
        <f t="shared" si="1"/>
        <v>11493.435828538131</v>
      </c>
      <c r="J55" s="24">
        <f t="shared" si="2"/>
        <v>478.89315952242214</v>
      </c>
      <c r="K55" s="24">
        <f t="shared" si="3"/>
        <v>100.56756349970864</v>
      </c>
      <c r="L55" s="24">
        <f t="shared" si="4"/>
        <v>579.46072302213076</v>
      </c>
      <c r="M55" s="24">
        <f t="shared" si="31"/>
        <v>115.89214460442616</v>
      </c>
      <c r="N55" s="24">
        <f t="shared" si="6"/>
        <v>695.35286762655687</v>
      </c>
      <c r="O55" s="24">
        <f t="shared" si="32"/>
        <v>243.37350366929488</v>
      </c>
      <c r="P55" s="25">
        <f t="shared" si="8"/>
        <v>938.72637129585178</v>
      </c>
      <c r="R55">
        <v>11493.435828538131</v>
      </c>
      <c r="S55">
        <f t="shared" si="9"/>
        <v>0</v>
      </c>
      <c r="U55" s="27">
        <v>100021011</v>
      </c>
      <c r="V55" s="24">
        <v>11493.435828538131</v>
      </c>
    </row>
    <row r="56" spans="2:22" x14ac:dyDescent="0.25">
      <c r="B56" s="27">
        <v>100021011</v>
      </c>
      <c r="C56" s="28" t="s">
        <v>58</v>
      </c>
      <c r="D56" s="21">
        <v>7790920008714</v>
      </c>
      <c r="E56" s="22">
        <v>2.16</v>
      </c>
      <c r="F56" s="23">
        <v>24</v>
      </c>
      <c r="G56" s="24">
        <f t="shared" si="40"/>
        <v>11493.435828538131</v>
      </c>
      <c r="H56" s="23"/>
      <c r="I56" s="24">
        <f t="shared" si="1"/>
        <v>11493.435828538131</v>
      </c>
      <c r="J56" s="24">
        <f t="shared" si="2"/>
        <v>478.89315952242214</v>
      </c>
      <c r="K56" s="24">
        <f t="shared" si="3"/>
        <v>100.56756349970864</v>
      </c>
      <c r="L56" s="24">
        <f t="shared" si="4"/>
        <v>579.46072302213076</v>
      </c>
      <c r="M56" s="24">
        <f t="shared" si="31"/>
        <v>115.89214460442616</v>
      </c>
      <c r="N56" s="24">
        <f t="shared" si="6"/>
        <v>695.35286762655687</v>
      </c>
      <c r="O56" s="24">
        <f t="shared" si="32"/>
        <v>243.37350366929488</v>
      </c>
      <c r="P56" s="25">
        <f t="shared" si="8"/>
        <v>938.72637129585178</v>
      </c>
      <c r="R56">
        <v>11493.435828538131</v>
      </c>
      <c r="S56">
        <f t="shared" si="9"/>
        <v>0</v>
      </c>
      <c r="U56" s="32"/>
      <c r="V56" s="35" t="e">
        <v>#VALUE!</v>
      </c>
    </row>
    <row r="57" spans="2:22" x14ac:dyDescent="0.25">
      <c r="B57" s="32"/>
      <c r="C57" s="33"/>
      <c r="D57" s="34"/>
      <c r="E57" s="33"/>
      <c r="F57" s="35"/>
      <c r="G57" s="35" t="e">
        <f t="shared" si="40"/>
        <v>#N/A</v>
      </c>
      <c r="H57" s="35"/>
      <c r="I57" s="35" t="e">
        <f t="shared" si="1"/>
        <v>#N/A</v>
      </c>
      <c r="J57" s="37" t="e">
        <f t="shared" si="2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t="e">
        <v>#N/A</v>
      </c>
      <c r="S57" t="e">
        <f t="shared" si="9"/>
        <v>#N/A</v>
      </c>
      <c r="U57" s="27">
        <v>100516217</v>
      </c>
      <c r="V57" s="24">
        <v>26798.761348900862</v>
      </c>
    </row>
    <row r="58" spans="2:22" x14ac:dyDescent="0.25">
      <c r="B58" s="27">
        <v>100516217</v>
      </c>
      <c r="C58" s="28" t="s">
        <v>59</v>
      </c>
      <c r="D58" s="21">
        <v>7790360967824</v>
      </c>
      <c r="E58" s="22">
        <v>5.8</v>
      </c>
      <c r="F58" s="23">
        <v>20</v>
      </c>
      <c r="G58" s="24">
        <f t="shared" si="40"/>
        <v>26798.761348900862</v>
      </c>
      <c r="H58" s="94"/>
      <c r="I58" s="24">
        <f t="shared" si="1"/>
        <v>26798.761348900862</v>
      </c>
      <c r="J58" s="24">
        <f t="shared" si="2"/>
        <v>1339.9380674450431</v>
      </c>
      <c r="K58" s="24">
        <f t="shared" si="3"/>
        <v>281.38699416345906</v>
      </c>
      <c r="L58" s="24">
        <f t="shared" si="4"/>
        <v>1621.3250616085022</v>
      </c>
      <c r="M58" s="24">
        <f t="shared" si="5"/>
        <v>486.39751848255065</v>
      </c>
      <c r="N58" s="24">
        <f t="shared" si="6"/>
        <v>2107.7225800910528</v>
      </c>
      <c r="O58" s="24">
        <f t="shared" si="7"/>
        <v>843.08903203642114</v>
      </c>
      <c r="P58" s="25">
        <f t="shared" si="8"/>
        <v>2950.8116121274738</v>
      </c>
      <c r="R58">
        <v>26018.214901845498</v>
      </c>
      <c r="S58">
        <f t="shared" si="9"/>
        <v>2.999999999999994E-2</v>
      </c>
      <c r="U58" s="27">
        <v>100516214</v>
      </c>
      <c r="V58" s="24">
        <v>38777.327954028005</v>
      </c>
    </row>
    <row r="59" spans="2:22" x14ac:dyDescent="0.25">
      <c r="B59" s="82">
        <v>100516214</v>
      </c>
      <c r="C59" s="95" t="s">
        <v>60</v>
      </c>
      <c r="D59" s="96">
        <v>7790360967794</v>
      </c>
      <c r="E59" s="97">
        <v>7</v>
      </c>
      <c r="F59" s="98">
        <v>20</v>
      </c>
      <c r="G59" s="83">
        <f t="shared" si="40"/>
        <v>38777.327954028005</v>
      </c>
      <c r="H59" s="94">
        <v>0.05</v>
      </c>
      <c r="I59" s="83">
        <f t="shared" si="1"/>
        <v>36838.461556326605</v>
      </c>
      <c r="J59" s="83">
        <f t="shared" si="2"/>
        <v>1841.9230778163303</v>
      </c>
      <c r="K59" s="83">
        <f t="shared" si="3"/>
        <v>386.80384634142933</v>
      </c>
      <c r="L59" s="83">
        <f t="shared" si="4"/>
        <v>2228.7269241577596</v>
      </c>
      <c r="M59" s="83">
        <f t="shared" si="5"/>
        <v>668.61807724732785</v>
      </c>
      <c r="N59" s="83">
        <f t="shared" si="6"/>
        <v>2897.3450014050877</v>
      </c>
      <c r="O59" s="83">
        <f t="shared" si="7"/>
        <v>1158.9380005620351</v>
      </c>
      <c r="P59" s="99">
        <f t="shared" si="8"/>
        <v>4056.2830019671228</v>
      </c>
      <c r="R59">
        <v>35765.496656627773</v>
      </c>
      <c r="S59">
        <f t="shared" si="9"/>
        <v>2.9999999999999985E-2</v>
      </c>
      <c r="U59" s="27">
        <v>100516215</v>
      </c>
      <c r="V59" s="24">
        <v>38777.327954028005</v>
      </c>
    </row>
    <row r="60" spans="2:22" x14ac:dyDescent="0.25">
      <c r="B60" s="82">
        <v>100516215</v>
      </c>
      <c r="C60" s="95" t="s">
        <v>61</v>
      </c>
      <c r="D60" s="96">
        <v>7790360967800</v>
      </c>
      <c r="E60" s="97">
        <v>7</v>
      </c>
      <c r="F60" s="98">
        <v>20</v>
      </c>
      <c r="G60" s="83">
        <f t="shared" si="40"/>
        <v>38777.327954028005</v>
      </c>
      <c r="H60" s="94">
        <v>0.05</v>
      </c>
      <c r="I60" s="83">
        <f t="shared" si="1"/>
        <v>36838.461556326605</v>
      </c>
      <c r="J60" s="83">
        <f t="shared" si="2"/>
        <v>1841.9230778163303</v>
      </c>
      <c r="K60" s="83">
        <f t="shared" si="3"/>
        <v>386.80384634142933</v>
      </c>
      <c r="L60" s="83">
        <f t="shared" si="4"/>
        <v>2228.7269241577596</v>
      </c>
      <c r="M60" s="83">
        <f t="shared" si="5"/>
        <v>668.61807724732785</v>
      </c>
      <c r="N60" s="83">
        <f t="shared" si="6"/>
        <v>2897.3450014050877</v>
      </c>
      <c r="O60" s="83">
        <f t="shared" si="7"/>
        <v>1158.9380005620351</v>
      </c>
      <c r="P60" s="99">
        <f t="shared" si="8"/>
        <v>4056.2830019671228</v>
      </c>
      <c r="R60">
        <v>35765.496656627773</v>
      </c>
      <c r="S60">
        <f t="shared" si="9"/>
        <v>2.9999999999999985E-2</v>
      </c>
      <c r="U60" s="27">
        <v>100516216</v>
      </c>
      <c r="V60" s="24">
        <v>38777.327954028005</v>
      </c>
    </row>
    <row r="61" spans="2:22" x14ac:dyDescent="0.25">
      <c r="B61" s="82">
        <v>100516216</v>
      </c>
      <c r="C61" s="95" t="s">
        <v>62</v>
      </c>
      <c r="D61" s="96">
        <v>7790360967817</v>
      </c>
      <c r="E61" s="97">
        <v>7</v>
      </c>
      <c r="F61" s="98">
        <v>20</v>
      </c>
      <c r="G61" s="83">
        <f t="shared" si="40"/>
        <v>38777.327954028005</v>
      </c>
      <c r="H61" s="94">
        <v>0.05</v>
      </c>
      <c r="I61" s="83">
        <f t="shared" si="1"/>
        <v>36838.461556326605</v>
      </c>
      <c r="J61" s="83">
        <f t="shared" si="2"/>
        <v>1841.9230778163303</v>
      </c>
      <c r="K61" s="83">
        <f t="shared" si="3"/>
        <v>386.80384634142933</v>
      </c>
      <c r="L61" s="83">
        <f t="shared" si="4"/>
        <v>2228.7269241577596</v>
      </c>
      <c r="M61" s="83">
        <f t="shared" si="5"/>
        <v>668.61807724732785</v>
      </c>
      <c r="N61" s="83">
        <f t="shared" si="6"/>
        <v>2897.3450014050877</v>
      </c>
      <c r="O61" s="83">
        <f t="shared" si="7"/>
        <v>1158.9380005620351</v>
      </c>
      <c r="P61" s="99">
        <f t="shared" si="8"/>
        <v>4056.2830019671228</v>
      </c>
      <c r="R61">
        <v>35765.496656627773</v>
      </c>
      <c r="S61">
        <f t="shared" si="9"/>
        <v>2.9999999999999985E-2</v>
      </c>
      <c r="U61" s="32"/>
      <c r="V61" s="35" t="e">
        <v>#VALUE!</v>
      </c>
    </row>
    <row r="62" spans="2:22" x14ac:dyDescent="0.25">
      <c r="B62" s="32"/>
      <c r="C62" s="33"/>
      <c r="D62" s="34"/>
      <c r="E62" s="33"/>
      <c r="F62" s="35"/>
      <c r="G62" s="35" t="e">
        <f t="shared" si="40"/>
        <v>#N/A</v>
      </c>
      <c r="H62" s="126"/>
      <c r="I62" s="35" t="e">
        <f t="shared" si="1"/>
        <v>#N/A</v>
      </c>
      <c r="J62" s="37" t="e">
        <f t="shared" si="2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t="e">
        <v>#N/A</v>
      </c>
      <c r="S62" t="e">
        <f t="shared" si="9"/>
        <v>#N/A</v>
      </c>
      <c r="U62" s="27">
        <v>100021704</v>
      </c>
      <c r="V62" s="24">
        <v>36137.296321829432</v>
      </c>
    </row>
    <row r="63" spans="2:22" x14ac:dyDescent="0.25">
      <c r="B63" s="27">
        <v>100021704</v>
      </c>
      <c r="C63" s="28" t="s">
        <v>63</v>
      </c>
      <c r="D63" s="21">
        <v>7790360023902</v>
      </c>
      <c r="E63" s="22">
        <f>12*0.38</f>
        <v>4.5600000000000005</v>
      </c>
      <c r="F63" s="23">
        <v>12</v>
      </c>
      <c r="G63" s="24">
        <f t="shared" si="40"/>
        <v>36137.296321829432</v>
      </c>
      <c r="H63" s="127"/>
      <c r="I63" s="24">
        <f t="shared" si="1"/>
        <v>36137.296321829432</v>
      </c>
      <c r="J63" s="24">
        <f t="shared" si="2"/>
        <v>3011.4413601524525</v>
      </c>
      <c r="K63" s="24">
        <f t="shared" si="3"/>
        <v>632.40268563201505</v>
      </c>
      <c r="L63" s="24">
        <f t="shared" si="4"/>
        <v>3643.8440457844677</v>
      </c>
      <c r="M63" s="24">
        <f t="shared" si="5"/>
        <v>1093.1532137353402</v>
      </c>
      <c r="N63" s="24">
        <f t="shared" si="6"/>
        <v>4736.9972595198078</v>
      </c>
      <c r="O63" s="24">
        <f t="shared" si="7"/>
        <v>1894.7989038079231</v>
      </c>
      <c r="P63" s="25">
        <f t="shared" si="8"/>
        <v>6631.7961633277309</v>
      </c>
      <c r="R63">
        <v>36137.296321829432</v>
      </c>
      <c r="S63">
        <f t="shared" si="9"/>
        <v>0</v>
      </c>
      <c r="U63" s="27">
        <v>100021705</v>
      </c>
      <c r="V63" s="24">
        <v>32860.30137569191</v>
      </c>
    </row>
    <row r="64" spans="2:22" x14ac:dyDescent="0.25">
      <c r="B64" s="27">
        <v>100021705</v>
      </c>
      <c r="C64" s="28" t="s">
        <v>64</v>
      </c>
      <c r="D64" s="21">
        <v>7790360024336</v>
      </c>
      <c r="E64" s="22">
        <f>12*0.38</f>
        <v>4.5600000000000005</v>
      </c>
      <c r="F64" s="23">
        <v>12</v>
      </c>
      <c r="G64" s="24">
        <f t="shared" si="40"/>
        <v>32860.30137569191</v>
      </c>
      <c r="H64" s="127"/>
      <c r="I64" s="24">
        <f t="shared" si="1"/>
        <v>32860.30137569191</v>
      </c>
      <c r="J64" s="24">
        <f t="shared" si="2"/>
        <v>2738.3584479743258</v>
      </c>
      <c r="K64" s="24">
        <f t="shared" si="3"/>
        <v>575.05527407460841</v>
      </c>
      <c r="L64" s="24">
        <f t="shared" si="4"/>
        <v>3313.4137220489342</v>
      </c>
      <c r="M64" s="24">
        <f t="shared" si="5"/>
        <v>994.02411661468022</v>
      </c>
      <c r="N64" s="24">
        <f t="shared" si="6"/>
        <v>4307.4378386636145</v>
      </c>
      <c r="O64" s="24">
        <f t="shared" si="7"/>
        <v>1722.9751354654459</v>
      </c>
      <c r="P64" s="25">
        <f t="shared" si="8"/>
        <v>6030.4129741290599</v>
      </c>
      <c r="R64">
        <v>32860.30137569191</v>
      </c>
      <c r="S64">
        <f t="shared" si="9"/>
        <v>0</v>
      </c>
      <c r="U64" s="27">
        <v>100021709</v>
      </c>
      <c r="V64" s="24">
        <v>62208.540703129322</v>
      </c>
    </row>
    <row r="65" spans="2:22" x14ac:dyDescent="0.25">
      <c r="B65" s="27">
        <v>100021709</v>
      </c>
      <c r="C65" s="28" t="s">
        <v>65</v>
      </c>
      <c r="D65" s="21">
        <v>7790360024701</v>
      </c>
      <c r="E65" s="22">
        <v>7.6</v>
      </c>
      <c r="F65" s="23">
        <v>10</v>
      </c>
      <c r="G65" s="24">
        <f>+'Sub NOA'!G65</f>
        <v>60214.277255984773</v>
      </c>
      <c r="H65" s="128"/>
      <c r="I65" s="24">
        <f t="shared" si="1"/>
        <v>60214.277255984773</v>
      </c>
      <c r="J65" s="24">
        <f t="shared" si="2"/>
        <v>6021.4277255984771</v>
      </c>
      <c r="K65" s="24">
        <f t="shared" si="3"/>
        <v>1264.4998223756802</v>
      </c>
      <c r="L65" s="24">
        <f t="shared" si="4"/>
        <v>7285.9275479741573</v>
      </c>
      <c r="M65" s="24">
        <f t="shared" si="5"/>
        <v>2185.7782643922469</v>
      </c>
      <c r="N65" s="24">
        <f t="shared" si="6"/>
        <v>9471.7058123664046</v>
      </c>
      <c r="O65" s="24">
        <f t="shared" si="7"/>
        <v>3788.6823249465619</v>
      </c>
      <c r="P65" s="25">
        <f t="shared" si="8"/>
        <v>13260.388137312966</v>
      </c>
      <c r="R65">
        <v>60214.277255984773</v>
      </c>
      <c r="S65">
        <f t="shared" si="9"/>
        <v>0</v>
      </c>
      <c r="U65" s="27">
        <v>100521357</v>
      </c>
      <c r="V65" s="24">
        <v>48595.608600000021</v>
      </c>
    </row>
    <row r="66" spans="2:22" x14ac:dyDescent="0.25">
      <c r="B66" s="82">
        <v>100521357</v>
      </c>
      <c r="C66" s="95" t="s">
        <v>110</v>
      </c>
      <c r="D66" s="96"/>
      <c r="E66" s="97">
        <v>4.5599999999999996</v>
      </c>
      <c r="F66" s="98">
        <v>12</v>
      </c>
      <c r="G66" s="83">
        <f t="shared" ref="G66:G97" si="41">+VLOOKUP(B66,$U$4:$V$104,2,FALSE)</f>
        <v>48595.608600000021</v>
      </c>
      <c r="H66" s="113">
        <v>0.33</v>
      </c>
      <c r="I66" s="83">
        <f t="shared" si="1"/>
        <v>32559.057762000011</v>
      </c>
      <c r="J66" s="83">
        <f t="shared" si="2"/>
        <v>2713.2548135000011</v>
      </c>
      <c r="K66" s="83">
        <f t="shared" si="3"/>
        <v>569.78351083500024</v>
      </c>
      <c r="L66" s="83">
        <f t="shared" si="4"/>
        <v>3283.0383243350016</v>
      </c>
      <c r="M66" s="83">
        <f t="shared" si="5"/>
        <v>984.9114973005004</v>
      </c>
      <c r="N66" s="83">
        <f t="shared" si="6"/>
        <v>4267.9498216355023</v>
      </c>
      <c r="O66" s="83">
        <f t="shared" si="7"/>
        <v>1707.1799286542009</v>
      </c>
      <c r="P66" s="99">
        <f t="shared" si="8"/>
        <v>5975.1297502897032</v>
      </c>
      <c r="R66">
        <v>40494.720646380018</v>
      </c>
      <c r="U66" s="27">
        <v>100521358</v>
      </c>
      <c r="V66" s="24">
        <v>72893.412900000025</v>
      </c>
    </row>
    <row r="67" spans="2:22" x14ac:dyDescent="0.25">
      <c r="B67" s="27">
        <v>100521358</v>
      </c>
      <c r="C67" s="28" t="s">
        <v>114</v>
      </c>
      <c r="D67" s="21">
        <v>7790360982025</v>
      </c>
      <c r="E67" s="22">
        <v>7.6</v>
      </c>
      <c r="F67" s="23">
        <v>10</v>
      </c>
      <c r="G67" s="24">
        <f t="shared" si="41"/>
        <v>72893.412900000025</v>
      </c>
      <c r="H67" s="128"/>
      <c r="I67" s="24">
        <f t="shared" ref="I67" si="42">+G67*(1-H67)</f>
        <v>72893.412900000025</v>
      </c>
      <c r="J67" s="24">
        <f t="shared" ref="J67" si="43">+I67/F67</f>
        <v>7289.3412900000021</v>
      </c>
      <c r="K67" s="24">
        <f t="shared" ref="K67" si="44">+J67*K$3</f>
        <v>1530.7616709000004</v>
      </c>
      <c r="L67" s="24">
        <f t="shared" ref="L67" si="45">+J67+K67</f>
        <v>8820.1029609000034</v>
      </c>
      <c r="M67" s="24">
        <f t="shared" ref="M67" si="46">+L67*M$3</f>
        <v>2646.030888270001</v>
      </c>
      <c r="N67" s="24">
        <f t="shared" ref="N67" si="47">+L67+M67</f>
        <v>11466.133849170004</v>
      </c>
      <c r="O67" s="24">
        <f t="shared" ref="O67" si="48">+N67*O$3</f>
        <v>4586.4535396680021</v>
      </c>
      <c r="P67" s="25">
        <f t="shared" ref="P67" si="49">+N67+O67</f>
        <v>16052.587388838007</v>
      </c>
      <c r="R67">
        <v>72893.412900000025</v>
      </c>
      <c r="U67" s="27">
        <v>100522130</v>
      </c>
      <c r="V67" s="24">
        <v>36337.501893000008</v>
      </c>
    </row>
    <row r="68" spans="2:22" x14ac:dyDescent="0.25">
      <c r="B68" s="27">
        <v>100522130</v>
      </c>
      <c r="C68" s="28" t="s">
        <v>111</v>
      </c>
      <c r="D68" s="21"/>
      <c r="E68" s="22">
        <v>4.8</v>
      </c>
      <c r="F68" s="23">
        <v>12</v>
      </c>
      <c r="G68" s="24">
        <f t="shared" si="41"/>
        <v>36337.501893000008</v>
      </c>
      <c r="H68" s="128"/>
      <c r="I68" s="24">
        <f t="shared" si="1"/>
        <v>36337.501893000008</v>
      </c>
      <c r="J68" s="24">
        <f t="shared" si="2"/>
        <v>3028.1251577500007</v>
      </c>
      <c r="K68" s="24">
        <f t="shared" si="3"/>
        <v>635.90628312750016</v>
      </c>
      <c r="L68" s="24">
        <f t="shared" si="4"/>
        <v>3664.0314408775007</v>
      </c>
      <c r="M68" s="24">
        <f t="shared" si="5"/>
        <v>1099.2094322632502</v>
      </c>
      <c r="N68" s="24">
        <f t="shared" si="6"/>
        <v>4763.2408731407504</v>
      </c>
      <c r="O68" s="24">
        <f t="shared" si="7"/>
        <v>1905.2963492563003</v>
      </c>
      <c r="P68" s="25">
        <f t="shared" si="8"/>
        <v>6668.5372223970508</v>
      </c>
      <c r="R68">
        <v>26950.435028981319</v>
      </c>
      <c r="U68" s="41">
        <v>100021725</v>
      </c>
      <c r="V68" s="46">
        <v>31749.879413747352</v>
      </c>
    </row>
    <row r="69" spans="2:22" x14ac:dyDescent="0.25">
      <c r="B69" s="41">
        <v>100021725</v>
      </c>
      <c r="C69" s="42" t="s">
        <v>66</v>
      </c>
      <c r="D69" s="43">
        <v>7790360027009</v>
      </c>
      <c r="E69" s="44">
        <v>6</v>
      </c>
      <c r="F69" s="45">
        <v>4</v>
      </c>
      <c r="G69" s="46">
        <f t="shared" si="41"/>
        <v>31749.879413747352</v>
      </c>
      <c r="H69" s="129"/>
      <c r="I69" s="46">
        <f t="shared" si="1"/>
        <v>31749.879413747352</v>
      </c>
      <c r="J69" s="46">
        <f t="shared" si="2"/>
        <v>7937.4698534368381</v>
      </c>
      <c r="K69" s="46">
        <f t="shared" si="3"/>
        <v>1666.8686692217359</v>
      </c>
      <c r="L69" s="46">
        <f t="shared" si="4"/>
        <v>9604.3385226585742</v>
      </c>
      <c r="M69" s="46">
        <f t="shared" si="5"/>
        <v>2881.3015567975722</v>
      </c>
      <c r="N69" s="46">
        <f t="shared" si="6"/>
        <v>12485.640079456147</v>
      </c>
      <c r="O69" s="46">
        <f t="shared" si="7"/>
        <v>4994.2560317824591</v>
      </c>
      <c r="P69" s="47">
        <f t="shared" si="8"/>
        <v>17479.896111238606</v>
      </c>
      <c r="R69">
        <v>31749.879413747352</v>
      </c>
      <c r="S69">
        <f t="shared" si="9"/>
        <v>0</v>
      </c>
      <c r="U69" s="27">
        <v>100517055</v>
      </c>
      <c r="V69" s="24">
        <v>27152.794840566257</v>
      </c>
    </row>
    <row r="70" spans="2:22" x14ac:dyDescent="0.25">
      <c r="B70" s="27">
        <v>100517055</v>
      </c>
      <c r="C70" s="28" t="s">
        <v>67</v>
      </c>
      <c r="D70" s="21">
        <v>7790360971135</v>
      </c>
      <c r="E70" s="22">
        <v>3.12</v>
      </c>
      <c r="F70" s="23">
        <v>12</v>
      </c>
      <c r="G70" s="24">
        <f t="shared" si="41"/>
        <v>27152.794840566257</v>
      </c>
      <c r="H70" s="127"/>
      <c r="I70" s="24">
        <f t="shared" si="1"/>
        <v>27152.794840566257</v>
      </c>
      <c r="J70" s="24">
        <f t="shared" si="2"/>
        <v>2262.7329033805213</v>
      </c>
      <c r="K70" s="24">
        <f t="shared" si="3"/>
        <v>475.17390970990948</v>
      </c>
      <c r="L70" s="24">
        <f t="shared" si="4"/>
        <v>2737.9068130904307</v>
      </c>
      <c r="M70" s="24">
        <f t="shared" si="5"/>
        <v>821.3720439271292</v>
      </c>
      <c r="N70" s="24">
        <f t="shared" si="6"/>
        <v>3559.2788570175599</v>
      </c>
      <c r="O70" s="24">
        <f t="shared" si="7"/>
        <v>1423.711542807024</v>
      </c>
      <c r="P70" s="25">
        <f t="shared" si="8"/>
        <v>4982.9903998245836</v>
      </c>
      <c r="R70">
        <v>27152.794840566257</v>
      </c>
      <c r="S70">
        <f t="shared" si="9"/>
        <v>0</v>
      </c>
      <c r="U70" s="27">
        <v>100517186</v>
      </c>
      <c r="V70" s="24">
        <v>68590.402333342587</v>
      </c>
    </row>
    <row r="71" spans="2:22" x14ac:dyDescent="0.25">
      <c r="B71" s="27">
        <v>100517186</v>
      </c>
      <c r="C71" s="28" t="s">
        <v>68</v>
      </c>
      <c r="D71" s="21">
        <v>7790360971395</v>
      </c>
      <c r="E71" s="22">
        <v>8</v>
      </c>
      <c r="F71" s="23">
        <v>8</v>
      </c>
      <c r="G71" s="24">
        <f t="shared" si="41"/>
        <v>68590.402333342587</v>
      </c>
      <c r="H71" s="127"/>
      <c r="I71" s="24">
        <f t="shared" si="1"/>
        <v>68590.402333342587</v>
      </c>
      <c r="J71" s="24">
        <f t="shared" si="2"/>
        <v>8573.8002916678233</v>
      </c>
      <c r="K71" s="24">
        <f t="shared" si="3"/>
        <v>1800.4980612502429</v>
      </c>
      <c r="L71" s="24">
        <f t="shared" si="4"/>
        <v>10374.298352918066</v>
      </c>
      <c r="M71" s="24">
        <f t="shared" si="5"/>
        <v>3112.2895058754198</v>
      </c>
      <c r="N71" s="24">
        <f t="shared" si="6"/>
        <v>13486.587858793486</v>
      </c>
      <c r="O71" s="24">
        <f t="shared" si="7"/>
        <v>5394.6351435173947</v>
      </c>
      <c r="P71" s="25">
        <f t="shared" si="8"/>
        <v>18881.223002310879</v>
      </c>
      <c r="R71">
        <v>68590.402333342587</v>
      </c>
      <c r="S71">
        <f t="shared" si="9"/>
        <v>0</v>
      </c>
      <c r="U71" s="27">
        <v>100521663</v>
      </c>
      <c r="V71" s="24">
        <v>49372.646400000012</v>
      </c>
    </row>
    <row r="72" spans="2:22" x14ac:dyDescent="0.25">
      <c r="B72" s="119">
        <v>100521663</v>
      </c>
      <c r="C72" s="120" t="s">
        <v>112</v>
      </c>
      <c r="D72" s="96"/>
      <c r="E72" s="97">
        <v>4.8</v>
      </c>
      <c r="F72" s="98">
        <v>12</v>
      </c>
      <c r="G72" s="83">
        <v>43941.02138463041</v>
      </c>
      <c r="H72" s="113">
        <v>0.33</v>
      </c>
      <c r="I72" s="83">
        <f t="shared" si="1"/>
        <v>29440.484327702372</v>
      </c>
      <c r="J72" s="83">
        <f t="shared" si="2"/>
        <v>2453.3736939751975</v>
      </c>
      <c r="K72" s="83">
        <f t="shared" si="3"/>
        <v>515.20847573479148</v>
      </c>
      <c r="L72" s="83">
        <f t="shared" si="4"/>
        <v>2968.5821697099891</v>
      </c>
      <c r="M72" s="83">
        <f t="shared" si="5"/>
        <v>890.57465091299673</v>
      </c>
      <c r="N72" s="83">
        <f t="shared" si="6"/>
        <v>3859.1568206229858</v>
      </c>
      <c r="O72" s="83">
        <f t="shared" si="7"/>
        <v>1543.6627282491945</v>
      </c>
      <c r="P72" s="99">
        <f t="shared" si="8"/>
        <v>5402.8195488721803</v>
      </c>
      <c r="R72">
        <v>49372.646400000012</v>
      </c>
      <c r="U72" s="41">
        <v>100021728</v>
      </c>
      <c r="V72" s="46">
        <v>41610.87745899515</v>
      </c>
    </row>
    <row r="73" spans="2:22" x14ac:dyDescent="0.25">
      <c r="B73" s="41">
        <v>100021728</v>
      </c>
      <c r="C73" s="42" t="s">
        <v>69</v>
      </c>
      <c r="D73" s="43">
        <v>7790360967558</v>
      </c>
      <c r="E73" s="44">
        <v>3.84</v>
      </c>
      <c r="F73" s="45">
        <v>12</v>
      </c>
      <c r="G73" s="46">
        <f t="shared" si="41"/>
        <v>41610.87745899515</v>
      </c>
      <c r="H73" s="129"/>
      <c r="I73" s="46">
        <f t="shared" si="1"/>
        <v>41610.87745899515</v>
      </c>
      <c r="J73" s="46">
        <f t="shared" si="2"/>
        <v>3467.5731215829292</v>
      </c>
      <c r="K73" s="46">
        <f t="shared" si="3"/>
        <v>728.19035553241508</v>
      </c>
      <c r="L73" s="46">
        <f t="shared" si="4"/>
        <v>4195.7634771153444</v>
      </c>
      <c r="M73" s="46">
        <f t="shared" si="5"/>
        <v>1258.7290431346032</v>
      </c>
      <c r="N73" s="46">
        <f t="shared" si="6"/>
        <v>5454.4925202499471</v>
      </c>
      <c r="O73" s="46">
        <f t="shared" si="7"/>
        <v>2181.7970080999789</v>
      </c>
      <c r="P73" s="47">
        <f t="shared" si="8"/>
        <v>7636.2895283499256</v>
      </c>
      <c r="R73">
        <v>41610.87745899515</v>
      </c>
      <c r="S73">
        <f t="shared" si="9"/>
        <v>0</v>
      </c>
      <c r="U73" s="41">
        <v>100517679</v>
      </c>
      <c r="V73" s="46">
        <v>39413.592299367461</v>
      </c>
    </row>
    <row r="74" spans="2:22" x14ac:dyDescent="0.25">
      <c r="B74" s="41">
        <v>100517679</v>
      </c>
      <c r="C74" s="42" t="s">
        <v>70</v>
      </c>
      <c r="D74" s="43"/>
      <c r="E74" s="44">
        <v>7.68</v>
      </c>
      <c r="F74" s="45">
        <v>8</v>
      </c>
      <c r="G74" s="46">
        <f t="shared" si="41"/>
        <v>39413.592299367461</v>
      </c>
      <c r="H74" s="129"/>
      <c r="I74" s="46">
        <f t="shared" si="1"/>
        <v>39413.592299367461</v>
      </c>
      <c r="J74" s="46">
        <f t="shared" si="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>
        <v>39413.592299367461</v>
      </c>
      <c r="S74">
        <f t="shared" si="9"/>
        <v>0</v>
      </c>
      <c r="U74" s="32"/>
      <c r="V74" s="36" t="e">
        <v>#VALUE!</v>
      </c>
    </row>
    <row r="75" spans="2:22" ht="15.75" thickBot="1" x14ac:dyDescent="0.3">
      <c r="B75" s="32"/>
      <c r="C75" s="33"/>
      <c r="D75" s="34"/>
      <c r="E75" s="33"/>
      <c r="F75" s="35"/>
      <c r="G75" s="36" t="e">
        <f t="shared" si="41"/>
        <v>#N/A</v>
      </c>
      <c r="H75" s="126"/>
      <c r="I75" s="36" t="e">
        <f t="shared" si="1"/>
        <v>#N/A</v>
      </c>
      <c r="J75" s="37" t="e">
        <f t="shared" si="2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t="e">
        <v>#N/A</v>
      </c>
      <c r="S75" t="e">
        <f t="shared" si="9"/>
        <v>#N/A</v>
      </c>
      <c r="U75" s="27">
        <v>100516219</v>
      </c>
      <c r="V75" s="24">
        <v>18259.399891781304</v>
      </c>
    </row>
    <row r="76" spans="2:22" ht="15.75" hidden="1" thickBot="1" x14ac:dyDescent="0.3">
      <c r="B76" s="27">
        <v>100516219</v>
      </c>
      <c r="C76" s="28" t="s">
        <v>71</v>
      </c>
      <c r="D76" s="48">
        <v>7790360967770</v>
      </c>
      <c r="E76" s="22">
        <v>10</v>
      </c>
      <c r="F76" s="23">
        <v>25</v>
      </c>
      <c r="G76" s="24">
        <f t="shared" si="41"/>
        <v>18259.399891781304</v>
      </c>
      <c r="H76" s="127"/>
      <c r="I76" s="24">
        <f t="shared" si="1"/>
        <v>18259.399891781304</v>
      </c>
      <c r="J76" s="24">
        <f t="shared" si="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>
        <v>18259.399891781304</v>
      </c>
      <c r="S76">
        <f t="shared" si="9"/>
        <v>0</v>
      </c>
      <c r="U76" s="27">
        <v>100516220</v>
      </c>
      <c r="V76" s="24">
        <v>19613.921820029205</v>
      </c>
    </row>
    <row r="77" spans="2:22" ht="15.75" hidden="1" thickBot="1" x14ac:dyDescent="0.3">
      <c r="B77" s="27">
        <v>100516220</v>
      </c>
      <c r="C77" s="28" t="s">
        <v>72</v>
      </c>
      <c r="D77" s="48">
        <v>7790360967787</v>
      </c>
      <c r="E77" s="22">
        <v>12</v>
      </c>
      <c r="F77" s="23">
        <v>6</v>
      </c>
      <c r="G77" s="24">
        <f t="shared" si="41"/>
        <v>19613.921820029205</v>
      </c>
      <c r="H77" s="127"/>
      <c r="I77" s="24">
        <f t="shared" si="1"/>
        <v>19613.921820029205</v>
      </c>
      <c r="J77" s="24">
        <f t="shared" si="2"/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>
        <v>19613.921820029205</v>
      </c>
      <c r="S77">
        <f t="shared" si="9"/>
        <v>0</v>
      </c>
      <c r="U77" s="85"/>
      <c r="V77" s="89" t="e">
        <v>#VALUE!</v>
      </c>
    </row>
    <row r="78" spans="2:22" ht="15.75" hidden="1" thickBot="1" x14ac:dyDescent="0.3">
      <c r="B78" s="85"/>
      <c r="C78" s="86"/>
      <c r="D78" s="87"/>
      <c r="E78" s="86"/>
      <c r="F78" s="88"/>
      <c r="G78" s="89" t="e">
        <f t="shared" si="41"/>
        <v>#N/A</v>
      </c>
      <c r="H78" s="130"/>
      <c r="I78" s="89" t="e">
        <f t="shared" ref="I78:I104" si="50">+G78*(1-H78)</f>
        <v>#N/A</v>
      </c>
      <c r="J78" s="37" t="e">
        <f t="shared" ref="J78:J84" si="51">+I78/F78</f>
        <v>#N/A</v>
      </c>
      <c r="K78" s="38"/>
      <c r="L78" s="37"/>
      <c r="M78" s="38"/>
      <c r="N78" s="37"/>
      <c r="O78" s="38"/>
      <c r="P78" s="39"/>
      <c r="R78" t="e">
        <v>#N/A</v>
      </c>
      <c r="S78" t="e">
        <f t="shared" ref="S78:S104" si="52">+(I78-R78)/R78</f>
        <v>#N/A</v>
      </c>
      <c r="U78" s="84">
        <v>100518158</v>
      </c>
      <c r="V78" s="24">
        <v>79203.691045796324</v>
      </c>
    </row>
    <row r="79" spans="2:22" x14ac:dyDescent="0.25">
      <c r="B79" s="84">
        <v>100518158</v>
      </c>
      <c r="C79" s="28" t="s">
        <v>73</v>
      </c>
      <c r="D79" s="62">
        <v>7790360974280</v>
      </c>
      <c r="E79" s="22">
        <v>12</v>
      </c>
      <c r="F79" s="23">
        <v>24</v>
      </c>
      <c r="G79" s="24">
        <f t="shared" si="41"/>
        <v>79203.691045796324</v>
      </c>
      <c r="H79" s="131"/>
      <c r="I79" s="24">
        <f t="shared" si="50"/>
        <v>79203.691045796324</v>
      </c>
      <c r="J79" s="24">
        <f t="shared" si="51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>
        <v>79203.691045796324</v>
      </c>
      <c r="S79">
        <f t="shared" si="52"/>
        <v>0</v>
      </c>
      <c r="U79" s="84">
        <v>100518160</v>
      </c>
      <c r="V79" s="24">
        <v>79203.691045796324</v>
      </c>
    </row>
    <row r="80" spans="2:22" x14ac:dyDescent="0.25">
      <c r="B80" s="84">
        <v>100518160</v>
      </c>
      <c r="C80" s="28" t="s">
        <v>74</v>
      </c>
      <c r="D80" s="62">
        <v>7790360974686</v>
      </c>
      <c r="E80" s="22">
        <v>12</v>
      </c>
      <c r="F80" s="23">
        <v>12</v>
      </c>
      <c r="G80" s="24">
        <f t="shared" si="41"/>
        <v>79203.691045796324</v>
      </c>
      <c r="H80" s="127"/>
      <c r="I80" s="24">
        <f t="shared" si="50"/>
        <v>79203.691045796324</v>
      </c>
      <c r="J80" s="24">
        <f t="shared" si="51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>
        <v>79203.691045796324</v>
      </c>
      <c r="S80">
        <f t="shared" si="52"/>
        <v>0</v>
      </c>
      <c r="U80" s="84">
        <v>100518463</v>
      </c>
      <c r="V80" s="24">
        <v>36649.894031605167</v>
      </c>
    </row>
    <row r="81" spans="1:22" ht="15.75" thickBot="1" x14ac:dyDescent="0.3">
      <c r="B81" s="84">
        <v>100518463</v>
      </c>
      <c r="C81" s="28" t="s">
        <v>88</v>
      </c>
      <c r="D81" s="62"/>
      <c r="E81" s="22">
        <v>5</v>
      </c>
      <c r="F81" s="23">
        <v>1</v>
      </c>
      <c r="G81" s="24">
        <f t="shared" si="41"/>
        <v>36649.894031605167</v>
      </c>
      <c r="H81" s="132"/>
      <c r="I81" s="24">
        <f t="shared" si="50"/>
        <v>36649.894031605167</v>
      </c>
      <c r="J81" s="24">
        <f t="shared" si="51"/>
        <v>36649.894031605167</v>
      </c>
      <c r="K81" s="24">
        <f>+J81*K$3</f>
        <v>7696.4777466370851</v>
      </c>
      <c r="L81" s="24">
        <f>+J81+K81</f>
        <v>44346.371778242254</v>
      </c>
      <c r="M81" s="24">
        <f>+L81*M$3</f>
        <v>13303.911533472676</v>
      </c>
      <c r="N81" s="24">
        <f>+L81+M81</f>
        <v>57650.283311714928</v>
      </c>
      <c r="O81" s="24">
        <f>+N81*O$3</f>
        <v>23060.113324685972</v>
      </c>
      <c r="P81" s="25">
        <f>+N81+O81</f>
        <v>80710.396636400896</v>
      </c>
      <c r="R81">
        <v>36649.894031605167</v>
      </c>
      <c r="S81">
        <f t="shared" si="52"/>
        <v>0</v>
      </c>
      <c r="U81" s="70"/>
      <c r="V81" s="74" t="e">
        <v>#VALUE!</v>
      </c>
    </row>
    <row r="82" spans="1:22" ht="15.75" thickBot="1" x14ac:dyDescent="0.3">
      <c r="B82" s="70"/>
      <c r="C82" s="71"/>
      <c r="D82" s="72"/>
      <c r="E82" s="71"/>
      <c r="F82" s="73"/>
      <c r="G82" s="74" t="e">
        <f t="shared" si="41"/>
        <v>#N/A</v>
      </c>
      <c r="H82" s="133"/>
      <c r="I82" s="74" t="e">
        <f t="shared" si="50"/>
        <v>#N/A</v>
      </c>
      <c r="J82" s="37" t="e">
        <f t="shared" si="51"/>
        <v>#N/A</v>
      </c>
      <c r="K82" s="38"/>
      <c r="L82" s="37"/>
      <c r="M82" s="38"/>
      <c r="N82" s="37"/>
      <c r="O82" s="38"/>
      <c r="P82" s="39"/>
      <c r="R82" t="e">
        <v>#N/A</v>
      </c>
      <c r="S82" t="e">
        <f t="shared" si="52"/>
        <v>#N/A</v>
      </c>
      <c r="U82" s="161">
        <v>100518291</v>
      </c>
      <c r="V82" s="60">
        <v>17536.686967689053</v>
      </c>
    </row>
    <row r="83" spans="1:22" ht="15.75" thickBot="1" x14ac:dyDescent="0.3">
      <c r="B83" s="110">
        <v>100518291</v>
      </c>
      <c r="C83" s="111" t="s">
        <v>76</v>
      </c>
      <c r="D83" s="107">
        <v>7790360975195</v>
      </c>
      <c r="E83" s="112">
        <v>5</v>
      </c>
      <c r="F83" s="112">
        <v>10</v>
      </c>
      <c r="G83" s="108">
        <f t="shared" si="41"/>
        <v>17536.686967689053</v>
      </c>
      <c r="H83" s="113">
        <v>0.15</v>
      </c>
      <c r="I83" s="83">
        <f t="shared" si="50"/>
        <v>14906.183922535694</v>
      </c>
      <c r="J83" s="108">
        <f t="shared" si="51"/>
        <v>1490.6183922535695</v>
      </c>
      <c r="K83" s="108">
        <f>+J83*K$3</f>
        <v>313.02986237324956</v>
      </c>
      <c r="L83" s="108">
        <f>+J83+K83</f>
        <v>1803.6482546268189</v>
      </c>
      <c r="M83" s="108">
        <f>+L83*M$39</f>
        <v>360.72965092536379</v>
      </c>
      <c r="N83" s="108">
        <f>+L83+M83</f>
        <v>2164.3779055521827</v>
      </c>
      <c r="O83" s="108">
        <f>+N83*O$39</f>
        <v>757.53226694326395</v>
      </c>
      <c r="P83" s="109">
        <f>+N83+O83</f>
        <v>2921.9101724954467</v>
      </c>
      <c r="R83">
        <v>14906.183922535694</v>
      </c>
      <c r="S83">
        <f t="shared" si="52"/>
        <v>0</v>
      </c>
      <c r="U83" s="162">
        <v>100518292</v>
      </c>
      <c r="V83" s="68">
        <v>41380.323708459917</v>
      </c>
    </row>
    <row r="84" spans="1:22" ht="15.75" thickBot="1" x14ac:dyDescent="0.3">
      <c r="B84" s="101">
        <v>100518292</v>
      </c>
      <c r="C84" s="102" t="s">
        <v>77</v>
      </c>
      <c r="D84" s="103">
        <v>7790360975201</v>
      </c>
      <c r="E84" s="104">
        <v>12</v>
      </c>
      <c r="F84" s="104">
        <v>12</v>
      </c>
      <c r="G84" s="105">
        <f t="shared" si="41"/>
        <v>41380.323708459917</v>
      </c>
      <c r="H84" s="113">
        <v>0.15</v>
      </c>
      <c r="I84" s="83">
        <f t="shared" si="50"/>
        <v>35173.27515219093</v>
      </c>
      <c r="J84" s="105">
        <f t="shared" si="51"/>
        <v>2931.1062626825774</v>
      </c>
      <c r="K84" s="105">
        <f>+J84*K$3</f>
        <v>615.5323151633412</v>
      </c>
      <c r="L84" s="105">
        <f>+J84+K84</f>
        <v>3546.6385778459185</v>
      </c>
      <c r="M84" s="105">
        <f>+L84*M$39</f>
        <v>709.32771556918374</v>
      </c>
      <c r="N84" s="105">
        <f>+L84+M84</f>
        <v>4255.966293415102</v>
      </c>
      <c r="O84" s="105">
        <f>+N84*O$39</f>
        <v>1489.5882026952856</v>
      </c>
      <c r="P84" s="106">
        <f>+N84+O84</f>
        <v>5745.5544961103878</v>
      </c>
      <c r="R84">
        <v>35173.27515219093</v>
      </c>
      <c r="S84">
        <f t="shared" si="52"/>
        <v>0</v>
      </c>
      <c r="U84" s="70"/>
      <c r="V84" s="74" t="e">
        <v>#VALUE!</v>
      </c>
    </row>
    <row r="85" spans="1:22" ht="15.75" thickBot="1" x14ac:dyDescent="0.3">
      <c r="B85" s="70"/>
      <c r="C85" s="71"/>
      <c r="D85" s="72"/>
      <c r="E85" s="71"/>
      <c r="F85" s="73"/>
      <c r="G85" s="74" t="e">
        <f t="shared" si="41"/>
        <v>#N/A</v>
      </c>
      <c r="H85" s="133"/>
      <c r="I85" s="74" t="e">
        <f t="shared" si="50"/>
        <v>#N/A</v>
      </c>
      <c r="J85" s="37" t="e">
        <f>+I85/F85</f>
        <v>#N/A</v>
      </c>
      <c r="K85" s="38">
        <v>0.105</v>
      </c>
      <c r="L85" s="37"/>
      <c r="M85" s="38">
        <v>0.2</v>
      </c>
      <c r="N85" s="37"/>
      <c r="O85" s="38">
        <v>0.35</v>
      </c>
      <c r="P85" s="39"/>
      <c r="R85" t="e">
        <v>#N/A</v>
      </c>
      <c r="S85" t="e">
        <f t="shared" si="52"/>
        <v>#N/A</v>
      </c>
      <c r="U85" s="161">
        <v>100517915</v>
      </c>
      <c r="V85" s="60">
        <v>154338.47338253396</v>
      </c>
    </row>
    <row r="86" spans="1:22" ht="15.75" thickBot="1" x14ac:dyDescent="0.3">
      <c r="B86" s="110">
        <v>100517915</v>
      </c>
      <c r="C86" s="111" t="s">
        <v>78</v>
      </c>
      <c r="D86" s="107">
        <v>7790360974020</v>
      </c>
      <c r="E86" s="112">
        <v>18</v>
      </c>
      <c r="F86" s="112">
        <v>36</v>
      </c>
      <c r="G86" s="108">
        <f t="shared" si="41"/>
        <v>154338.47338253396</v>
      </c>
      <c r="H86" s="94"/>
      <c r="I86" s="83">
        <f t="shared" si="50"/>
        <v>154338.47338253396</v>
      </c>
      <c r="J86" s="108">
        <f>+I86/F86</f>
        <v>4287.1798161814986</v>
      </c>
      <c r="K86" s="108">
        <f>+J86*K$85</f>
        <v>450.15388069905731</v>
      </c>
      <c r="L86" s="108">
        <f>+J86+K86</f>
        <v>4737.3336968805561</v>
      </c>
      <c r="M86" s="108">
        <f>+L86*M$85</f>
        <v>947.46673937611126</v>
      </c>
      <c r="N86" s="108">
        <f>+L86+M86</f>
        <v>5684.8004362566671</v>
      </c>
      <c r="O86" s="108">
        <f>+N86*O$85</f>
        <v>1989.6801526898334</v>
      </c>
      <c r="P86" s="109">
        <f>+N86+O86</f>
        <v>7674.4805889465006</v>
      </c>
      <c r="R86">
        <v>145602.333379749</v>
      </c>
      <c r="S86">
        <f t="shared" si="52"/>
        <v>6.000000000000013E-2</v>
      </c>
      <c r="U86" s="162">
        <v>100517914</v>
      </c>
      <c r="V86" s="68">
        <v>168417.57189887395</v>
      </c>
    </row>
    <row r="87" spans="1:22" ht="15.75" thickBot="1" x14ac:dyDescent="0.3">
      <c r="B87" s="101">
        <v>100517914</v>
      </c>
      <c r="C87" s="102" t="s">
        <v>79</v>
      </c>
      <c r="D87" s="103">
        <v>7790360974037</v>
      </c>
      <c r="E87" s="104">
        <v>20</v>
      </c>
      <c r="F87" s="104">
        <v>20</v>
      </c>
      <c r="G87" s="105">
        <f t="shared" si="41"/>
        <v>168417.57189887395</v>
      </c>
      <c r="H87" s="94"/>
      <c r="I87" s="83">
        <f t="shared" si="50"/>
        <v>168417.57189887395</v>
      </c>
      <c r="J87" s="105">
        <f>+I87/F87</f>
        <v>8420.878594943697</v>
      </c>
      <c r="K87" s="105">
        <f>+J87*K$85</f>
        <v>884.1922524690882</v>
      </c>
      <c r="L87" s="105">
        <f>+J87+K87</f>
        <v>9305.070847412786</v>
      </c>
      <c r="M87" s="105">
        <f>+L87*M$85</f>
        <v>1861.0141694825572</v>
      </c>
      <c r="N87" s="105">
        <f>+L87+M87</f>
        <v>11166.085016895344</v>
      </c>
      <c r="O87" s="105">
        <f>+N87*O$85</f>
        <v>3908.12975591337</v>
      </c>
      <c r="P87" s="106">
        <f>+N87+O87</f>
        <v>15074.214772808715</v>
      </c>
      <c r="R87">
        <v>158884.50179139053</v>
      </c>
      <c r="S87">
        <f t="shared" si="52"/>
        <v>5.9999999999999935E-2</v>
      </c>
      <c r="U87" s="70"/>
      <c r="V87" s="74"/>
    </row>
    <row r="88" spans="1:22" ht="15.75" thickBot="1" x14ac:dyDescent="0.3">
      <c r="B88" s="70"/>
      <c r="C88" s="71"/>
      <c r="D88" s="72"/>
      <c r="E88" s="71"/>
      <c r="F88" s="73"/>
      <c r="G88" s="74" t="e">
        <f t="shared" si="41"/>
        <v>#N/A</v>
      </c>
      <c r="H88" s="133"/>
      <c r="I88" s="74" t="e">
        <f t="shared" si="50"/>
        <v>#N/A</v>
      </c>
      <c r="J88" s="90"/>
      <c r="K88" s="91">
        <v>0.105</v>
      </c>
      <c r="L88" s="90"/>
      <c r="M88" s="92">
        <v>0.3</v>
      </c>
      <c r="N88" s="90"/>
      <c r="O88" s="92">
        <v>0.4</v>
      </c>
      <c r="P88" s="93"/>
      <c r="R88" t="e">
        <v>#N/A</v>
      </c>
      <c r="S88" t="e">
        <f t="shared" si="52"/>
        <v>#N/A</v>
      </c>
      <c r="U88" s="27">
        <v>100010689</v>
      </c>
      <c r="V88" s="24">
        <v>16464.642857142862</v>
      </c>
    </row>
    <row r="89" spans="1:22" x14ac:dyDescent="0.25">
      <c r="B89" s="27">
        <v>100010689</v>
      </c>
      <c r="C89" s="28" t="s">
        <v>80</v>
      </c>
      <c r="D89" s="21"/>
      <c r="E89" s="80">
        <v>22</v>
      </c>
      <c r="F89" s="23">
        <v>1</v>
      </c>
      <c r="G89" s="24">
        <f t="shared" si="41"/>
        <v>16464.642857142862</v>
      </c>
      <c r="H89" s="127"/>
      <c r="I89" s="24">
        <f t="shared" si="50"/>
        <v>16464.642857142862</v>
      </c>
      <c r="J89" s="60">
        <f t="shared" ref="J89:J94" si="53">+I89/F89</f>
        <v>16464.642857142862</v>
      </c>
      <c r="K89" s="60">
        <f t="shared" ref="K89:K94" si="54">+J89*K$88</f>
        <v>1728.7875000000006</v>
      </c>
      <c r="L89" s="60">
        <f t="shared" ref="L89:L94" si="55">+J89+K89</f>
        <v>18193.430357142865</v>
      </c>
      <c r="M89" s="60">
        <f t="shared" ref="M89:M94" si="56">+L89*M$88</f>
        <v>5458.0291071428592</v>
      </c>
      <c r="N89" s="60">
        <f t="shared" ref="N89:N94" si="57">+L89+M89</f>
        <v>23651.459464285723</v>
      </c>
      <c r="O89" s="60">
        <f t="shared" ref="O89:O94" si="58">+N89*O$88</f>
        <v>9460.5837857142888</v>
      </c>
      <c r="P89" s="61">
        <f t="shared" ref="P89:P94" si="59">+N89+O89</f>
        <v>33112.04325000001</v>
      </c>
      <c r="R89">
        <v>16464.642857142862</v>
      </c>
      <c r="S89">
        <f t="shared" si="52"/>
        <v>0</v>
      </c>
      <c r="U89" s="27">
        <v>100518335</v>
      </c>
      <c r="V89" s="24">
        <v>10429.178571428572</v>
      </c>
    </row>
    <row r="90" spans="1:22" x14ac:dyDescent="0.25">
      <c r="B90" s="27">
        <v>100518335</v>
      </c>
      <c r="C90" s="28" t="s">
        <v>81</v>
      </c>
      <c r="D90" s="21"/>
      <c r="E90" s="80">
        <v>22.5</v>
      </c>
      <c r="F90" s="23">
        <v>1</v>
      </c>
      <c r="G90" s="24">
        <f t="shared" si="41"/>
        <v>10429.178571428572</v>
      </c>
      <c r="H90" s="127"/>
      <c r="I90" s="24">
        <f t="shared" si="50"/>
        <v>10429.178571428572</v>
      </c>
      <c r="J90" s="24">
        <f t="shared" si="53"/>
        <v>10429.178571428572</v>
      </c>
      <c r="K90" s="24">
        <f t="shared" si="54"/>
        <v>1095.06375</v>
      </c>
      <c r="L90" s="24">
        <f t="shared" si="55"/>
        <v>11524.242321428572</v>
      </c>
      <c r="M90" s="24">
        <f t="shared" si="56"/>
        <v>3457.2726964285716</v>
      </c>
      <c r="N90" s="24">
        <f t="shared" si="57"/>
        <v>14981.515017857144</v>
      </c>
      <c r="O90" s="24">
        <f t="shared" si="58"/>
        <v>5992.6060071428583</v>
      </c>
      <c r="P90" s="25">
        <f t="shared" si="59"/>
        <v>20974.121025</v>
      </c>
      <c r="R90">
        <v>10429.178571428572</v>
      </c>
      <c r="S90">
        <f t="shared" si="52"/>
        <v>0</v>
      </c>
      <c r="U90" s="27">
        <v>100518332</v>
      </c>
      <c r="V90" s="24">
        <v>11223.535714285716</v>
      </c>
    </row>
    <row r="91" spans="1:22" x14ac:dyDescent="0.25">
      <c r="B91" s="27">
        <v>100518332</v>
      </c>
      <c r="C91" s="28" t="s">
        <v>82</v>
      </c>
      <c r="D91" s="21"/>
      <c r="E91" s="80">
        <v>21.5</v>
      </c>
      <c r="F91" s="23">
        <v>1</v>
      </c>
      <c r="G91" s="24">
        <f t="shared" si="41"/>
        <v>11223.535714285716</v>
      </c>
      <c r="H91" s="127"/>
      <c r="I91" s="24">
        <f t="shared" si="50"/>
        <v>11223.535714285716</v>
      </c>
      <c r="J91" s="24">
        <f t="shared" si="53"/>
        <v>11223.535714285716</v>
      </c>
      <c r="K91" s="24">
        <f t="shared" si="54"/>
        <v>1178.4712500000001</v>
      </c>
      <c r="L91" s="24">
        <f t="shared" si="55"/>
        <v>12402.006964285716</v>
      </c>
      <c r="M91" s="24">
        <f t="shared" si="56"/>
        <v>3720.6020892857146</v>
      </c>
      <c r="N91" s="24">
        <f t="shared" si="57"/>
        <v>16122.60905357143</v>
      </c>
      <c r="O91" s="24">
        <f t="shared" si="58"/>
        <v>6449.0436214285728</v>
      </c>
      <c r="P91" s="25">
        <f t="shared" si="59"/>
        <v>22571.652675000005</v>
      </c>
      <c r="R91">
        <v>11223.535714285716</v>
      </c>
      <c r="S91">
        <f t="shared" si="52"/>
        <v>0</v>
      </c>
      <c r="U91" s="27">
        <v>100518334</v>
      </c>
      <c r="V91" s="24">
        <v>9237.6428571428587</v>
      </c>
    </row>
    <row r="92" spans="1:22" x14ac:dyDescent="0.25">
      <c r="B92" s="27">
        <v>100518334</v>
      </c>
      <c r="C92" s="28" t="s">
        <v>83</v>
      </c>
      <c r="D92" s="21"/>
      <c r="E92" s="80">
        <v>22.5</v>
      </c>
      <c r="F92" s="23">
        <v>1</v>
      </c>
      <c r="G92" s="24">
        <f t="shared" si="41"/>
        <v>9237.6428571428587</v>
      </c>
      <c r="H92" s="127"/>
      <c r="I92" s="24">
        <f t="shared" si="50"/>
        <v>9237.6428571428587</v>
      </c>
      <c r="J92" s="24">
        <f t="shared" si="53"/>
        <v>9237.6428571428587</v>
      </c>
      <c r="K92" s="24">
        <f t="shared" si="54"/>
        <v>969.9525000000001</v>
      </c>
      <c r="L92" s="24">
        <f t="shared" si="55"/>
        <v>10207.595357142858</v>
      </c>
      <c r="M92" s="24">
        <f t="shared" si="56"/>
        <v>3062.2786071428573</v>
      </c>
      <c r="N92" s="24">
        <f t="shared" si="57"/>
        <v>13269.873964285714</v>
      </c>
      <c r="O92" s="24">
        <f t="shared" si="58"/>
        <v>5307.9495857142865</v>
      </c>
      <c r="P92" s="25">
        <f t="shared" si="59"/>
        <v>18577.823550000001</v>
      </c>
      <c r="R92">
        <v>9237.6428571428587</v>
      </c>
      <c r="S92">
        <f t="shared" si="52"/>
        <v>0</v>
      </c>
      <c r="U92" s="27">
        <v>100518227</v>
      </c>
      <c r="V92" s="24">
        <v>9237.6428571428587</v>
      </c>
    </row>
    <row r="93" spans="1:22" x14ac:dyDescent="0.25">
      <c r="B93" s="27">
        <v>100518227</v>
      </c>
      <c r="C93" s="28" t="s">
        <v>84</v>
      </c>
      <c r="D93" s="21"/>
      <c r="E93" s="80">
        <v>22.5</v>
      </c>
      <c r="F93" s="23">
        <v>1</v>
      </c>
      <c r="G93" s="24">
        <f t="shared" si="41"/>
        <v>9237.6428571428587</v>
      </c>
      <c r="H93" s="127"/>
      <c r="I93" s="24">
        <f t="shared" si="50"/>
        <v>9237.6428571428587</v>
      </c>
      <c r="J93" s="24">
        <f t="shared" si="53"/>
        <v>9237.6428571428587</v>
      </c>
      <c r="K93" s="24">
        <f t="shared" si="54"/>
        <v>969.9525000000001</v>
      </c>
      <c r="L93" s="24">
        <f t="shared" si="55"/>
        <v>10207.595357142858</v>
      </c>
      <c r="M93" s="24">
        <f t="shared" si="56"/>
        <v>3062.2786071428573</v>
      </c>
      <c r="N93" s="24">
        <f t="shared" si="57"/>
        <v>13269.873964285714</v>
      </c>
      <c r="O93" s="24">
        <f t="shared" si="58"/>
        <v>5307.9495857142865</v>
      </c>
      <c r="P93" s="25">
        <f t="shared" si="59"/>
        <v>18577.823550000001</v>
      </c>
      <c r="R93">
        <v>9237.6428571428587</v>
      </c>
      <c r="S93">
        <f t="shared" si="52"/>
        <v>0</v>
      </c>
      <c r="U93" s="140">
        <v>100027726</v>
      </c>
      <c r="V93" s="24">
        <v>6814.5000000000009</v>
      </c>
    </row>
    <row r="94" spans="1:22" x14ac:dyDescent="0.25">
      <c r="A94" s="140"/>
      <c r="B94" s="140">
        <v>100027726</v>
      </c>
      <c r="C94" s="141" t="s">
        <v>120</v>
      </c>
      <c r="D94" s="80">
        <v>22.5</v>
      </c>
      <c r="E94" s="23">
        <v>1</v>
      </c>
      <c r="F94" s="23">
        <v>1</v>
      </c>
      <c r="G94" s="24">
        <f t="shared" si="41"/>
        <v>6814.5000000000009</v>
      </c>
      <c r="H94" s="127"/>
      <c r="I94" s="24">
        <f t="shared" ref="I94" si="60">+G94*(1-H94)</f>
        <v>6814.5000000000009</v>
      </c>
      <c r="J94" s="24">
        <f t="shared" si="53"/>
        <v>6814.5000000000009</v>
      </c>
      <c r="K94" s="24">
        <f t="shared" si="54"/>
        <v>715.52250000000004</v>
      </c>
      <c r="L94" s="24">
        <f t="shared" si="55"/>
        <v>7530.0225000000009</v>
      </c>
      <c r="M94" s="24">
        <f t="shared" si="56"/>
        <v>2259.00675</v>
      </c>
      <c r="N94" s="24">
        <f t="shared" si="57"/>
        <v>9789.0292500000014</v>
      </c>
      <c r="O94" s="24">
        <f t="shared" si="58"/>
        <v>3915.6117000000008</v>
      </c>
      <c r="P94" s="25">
        <f t="shared" si="59"/>
        <v>13704.640950000003</v>
      </c>
      <c r="R94">
        <v>6814.5000000000009</v>
      </c>
      <c r="U94" s="70"/>
      <c r="V94" s="74"/>
    </row>
    <row r="95" spans="1:22" ht="15.75" thickBot="1" x14ac:dyDescent="0.3">
      <c r="B95" s="70"/>
      <c r="C95" s="71"/>
      <c r="D95" s="72"/>
      <c r="E95" s="71"/>
      <c r="F95" s="73"/>
      <c r="G95" s="74" t="e">
        <f t="shared" si="41"/>
        <v>#N/A</v>
      </c>
      <c r="H95" s="133"/>
      <c r="I95" s="74" t="e">
        <f t="shared" si="50"/>
        <v>#N/A</v>
      </c>
      <c r="J95" s="90"/>
      <c r="K95" s="91">
        <v>0.21</v>
      </c>
      <c r="L95" s="90"/>
      <c r="M95" s="38">
        <v>0.3</v>
      </c>
      <c r="N95" s="37"/>
      <c r="O95" s="38">
        <v>0.4</v>
      </c>
      <c r="P95" s="93"/>
      <c r="R95" t="e">
        <v>#N/A</v>
      </c>
      <c r="S95" t="e">
        <f t="shared" si="52"/>
        <v>#N/A</v>
      </c>
      <c r="U95" s="27">
        <v>100520837</v>
      </c>
      <c r="V95" s="24">
        <v>35756.175548589337</v>
      </c>
    </row>
    <row r="96" spans="1:22" ht="15.75" thickBot="1" x14ac:dyDescent="0.3">
      <c r="B96" s="82">
        <v>100520837</v>
      </c>
      <c r="C96" s="95" t="s">
        <v>85</v>
      </c>
      <c r="D96" s="96">
        <v>7790360980625</v>
      </c>
      <c r="E96" s="122">
        <v>4.8</v>
      </c>
      <c r="F96" s="98">
        <v>12</v>
      </c>
      <c r="G96" s="83">
        <f t="shared" si="41"/>
        <v>35756.175548589337</v>
      </c>
      <c r="H96" s="135"/>
      <c r="I96" s="83">
        <f t="shared" si="50"/>
        <v>35756.175548589337</v>
      </c>
      <c r="J96" s="119">
        <f>+I96/F96</f>
        <v>2979.6812957157781</v>
      </c>
      <c r="K96" s="120">
        <f>+J96*K$95</f>
        <v>625.73307210031339</v>
      </c>
      <c r="L96" s="121">
        <f>+J96+K96</f>
        <v>3605.4143678160917</v>
      </c>
      <c r="M96" s="122">
        <f>+L96*M$95</f>
        <v>1081.6243103448276</v>
      </c>
      <c r="N96" s="98">
        <f>+L96+M96</f>
        <v>4687.0386781609195</v>
      </c>
      <c r="O96" s="108">
        <f>+N96*O$95</f>
        <v>1874.8154712643679</v>
      </c>
      <c r="P96" s="109">
        <f>+N96+O96</f>
        <v>6561.8541494252877</v>
      </c>
      <c r="R96">
        <v>35756.175548589337</v>
      </c>
      <c r="S96">
        <f t="shared" si="52"/>
        <v>0</v>
      </c>
      <c r="U96" s="79">
        <v>100522395</v>
      </c>
      <c r="V96" s="24">
        <v>36471.292000000001</v>
      </c>
    </row>
    <row r="97" spans="1:22" x14ac:dyDescent="0.25">
      <c r="A97" s="79">
        <v>100522395</v>
      </c>
      <c r="B97" s="79">
        <v>100522395</v>
      </c>
      <c r="C97" s="42" t="s">
        <v>125</v>
      </c>
      <c r="D97" s="43">
        <v>7790360980625</v>
      </c>
      <c r="E97" s="80">
        <v>4.8</v>
      </c>
      <c r="F97" s="23">
        <v>12</v>
      </c>
      <c r="G97" s="83">
        <f t="shared" si="41"/>
        <v>36471.292000000001</v>
      </c>
      <c r="H97" s="147"/>
      <c r="I97" s="83">
        <f t="shared" ref="I97" si="61">+G97*(1-H97)</f>
        <v>36471.292000000001</v>
      </c>
      <c r="J97" s="119">
        <f>+I97/F97</f>
        <v>3039.2743333333333</v>
      </c>
      <c r="K97" s="120">
        <f>+J97*K$95</f>
        <v>638.24761000000001</v>
      </c>
      <c r="L97" s="121">
        <f>+J97+K97</f>
        <v>3677.5219433333332</v>
      </c>
      <c r="M97" s="122">
        <f>+L97*M$95</f>
        <v>1103.2565829999999</v>
      </c>
      <c r="N97" s="98">
        <f>+L97+M97</f>
        <v>4780.7785263333335</v>
      </c>
      <c r="O97" s="108">
        <f>+N97*O$95</f>
        <v>1912.3114105333334</v>
      </c>
      <c r="P97" s="109">
        <f>+N97+O97</f>
        <v>6693.0899368666669</v>
      </c>
      <c r="R97">
        <v>0</v>
      </c>
      <c r="U97" s="70"/>
      <c r="V97" s="74"/>
    </row>
    <row r="98" spans="1:22" ht="15.75" thickBot="1" x14ac:dyDescent="0.3">
      <c r="B98" s="70"/>
      <c r="C98" s="71"/>
      <c r="D98" s="72"/>
      <c r="E98" s="71"/>
      <c r="F98" s="73"/>
      <c r="G98" s="74" t="e">
        <f>+VLOOKUP(B98,$U$4:$V$104,2,FALSE)</f>
        <v>#N/A</v>
      </c>
      <c r="H98" s="133"/>
      <c r="I98" s="74" t="e">
        <f t="shared" si="50"/>
        <v>#N/A</v>
      </c>
      <c r="J98" s="90"/>
      <c r="K98" s="91">
        <v>0.21</v>
      </c>
      <c r="L98" s="90"/>
      <c r="M98" s="38">
        <v>0.3</v>
      </c>
      <c r="N98" s="37"/>
      <c r="O98" s="38">
        <v>0.4</v>
      </c>
      <c r="P98" s="93"/>
      <c r="R98" t="e">
        <v>#N/A</v>
      </c>
      <c r="S98" t="e">
        <f t="shared" si="52"/>
        <v>#N/A</v>
      </c>
      <c r="U98" s="27">
        <v>100520902</v>
      </c>
      <c r="V98" s="24">
        <v>32345.802856147693</v>
      </c>
    </row>
    <row r="99" spans="1:22" x14ac:dyDescent="0.25">
      <c r="B99" s="82">
        <v>100520902</v>
      </c>
      <c r="C99" s="95" t="s">
        <v>86</v>
      </c>
      <c r="D99" s="96">
        <v>7790360981042</v>
      </c>
      <c r="E99" s="122">
        <v>9.8000000000000007</v>
      </c>
      <c r="F99" s="98">
        <v>14</v>
      </c>
      <c r="G99" s="83">
        <f>+VLOOKUP(B99,$U$4:$V$104,2,FALSE)</f>
        <v>32345.802856147693</v>
      </c>
      <c r="H99" s="148">
        <f>0.142857142857143*100%</f>
        <v>0.14285714285714299</v>
      </c>
      <c r="I99" s="83">
        <f t="shared" si="50"/>
        <v>27724.973876698019</v>
      </c>
      <c r="J99" s="119">
        <f>+I99/F99</f>
        <v>1980.3552769070013</v>
      </c>
      <c r="K99" s="120">
        <f>+J99*K$98</f>
        <v>415.87460815047024</v>
      </c>
      <c r="L99" s="121">
        <f>+J99+K99</f>
        <v>2396.2298850574716</v>
      </c>
      <c r="M99" s="122">
        <f>+L99*M$98</f>
        <v>718.86896551724146</v>
      </c>
      <c r="N99" s="98">
        <f>+L99+M99</f>
        <v>3115.0988505747132</v>
      </c>
      <c r="O99" s="108">
        <f>+N99*O$98</f>
        <v>1246.0395402298855</v>
      </c>
      <c r="P99" s="109">
        <f>+N99+O99</f>
        <v>4361.1383908045991</v>
      </c>
      <c r="R99">
        <v>28302.577499129231</v>
      </c>
      <c r="S99">
        <f t="shared" si="52"/>
        <v>-2.0408163265306235E-2</v>
      </c>
      <c r="U99" s="70"/>
      <c r="V99" s="74"/>
    </row>
    <row r="100" spans="1:22" ht="15.75" thickBot="1" x14ac:dyDescent="0.3">
      <c r="B100" s="70"/>
      <c r="C100" s="71"/>
      <c r="D100" s="72"/>
      <c r="E100" s="71"/>
      <c r="F100" s="73"/>
      <c r="G100" s="74"/>
      <c r="H100" s="73"/>
      <c r="I100" s="74"/>
      <c r="J100" s="90"/>
      <c r="K100" s="91">
        <v>0.21</v>
      </c>
      <c r="L100" s="90"/>
      <c r="M100" s="92">
        <v>0.3</v>
      </c>
      <c r="N100" s="90"/>
      <c r="O100" s="92">
        <v>0.4</v>
      </c>
      <c r="P100" s="93"/>
      <c r="U100" s="27">
        <v>100521457</v>
      </c>
      <c r="V100" s="24">
        <v>36127.899686520381</v>
      </c>
    </row>
    <row r="101" spans="1:22" ht="15.75" thickBot="1" x14ac:dyDescent="0.3">
      <c r="B101" s="82">
        <v>100521457</v>
      </c>
      <c r="C101" s="95" t="s">
        <v>100</v>
      </c>
      <c r="D101" s="96">
        <v>7790360982254</v>
      </c>
      <c r="E101" s="122">
        <v>4.8</v>
      </c>
      <c r="F101" s="98">
        <v>16</v>
      </c>
      <c r="G101" s="83">
        <f>+VLOOKUP(B101,$U$4:$V$104,2,FALSE)</f>
        <v>36127.899686520381</v>
      </c>
      <c r="H101" s="134">
        <v>7.4999999999999997E-2</v>
      </c>
      <c r="I101" s="83">
        <f t="shared" si="50"/>
        <v>33418.307210031351</v>
      </c>
      <c r="J101" s="119">
        <f>+I101/F101</f>
        <v>2088.6442006269594</v>
      </c>
      <c r="K101" s="120">
        <f>+J101*K$100</f>
        <v>438.61528213166144</v>
      </c>
      <c r="L101" s="121">
        <f>+J101+K101</f>
        <v>2527.2594827586208</v>
      </c>
      <c r="M101" s="122">
        <f>+L101*M$100</f>
        <v>758.17784482758623</v>
      </c>
      <c r="N101" s="98">
        <f>+L101+M101</f>
        <v>3285.4373275862072</v>
      </c>
      <c r="O101" s="108">
        <f>+N101*O$100</f>
        <v>1314.1749310344831</v>
      </c>
      <c r="P101" s="109">
        <f>+N101+O101</f>
        <v>4599.6122586206902</v>
      </c>
      <c r="R101">
        <v>31826.959247648909</v>
      </c>
      <c r="S101">
        <f t="shared" si="52"/>
        <v>4.9999999999999906E-2</v>
      </c>
      <c r="U101" s="27">
        <v>100521455</v>
      </c>
      <c r="V101" s="24">
        <v>36127.899686520381</v>
      </c>
    </row>
    <row r="102" spans="1:22" ht="15.75" thickBot="1" x14ac:dyDescent="0.3">
      <c r="B102" s="82">
        <v>100521455</v>
      </c>
      <c r="C102" s="95" t="s">
        <v>101</v>
      </c>
      <c r="D102" s="96">
        <v>7790360982247</v>
      </c>
      <c r="E102" s="122">
        <v>4.8</v>
      </c>
      <c r="F102" s="98">
        <v>16</v>
      </c>
      <c r="G102" s="83">
        <f>+VLOOKUP(B102,$U$4:$V$104,2,FALSE)</f>
        <v>36127.899686520381</v>
      </c>
      <c r="H102" s="134">
        <v>7.4999999999999997E-2</v>
      </c>
      <c r="I102" s="83">
        <f t="shared" si="50"/>
        <v>33418.307210031351</v>
      </c>
      <c r="J102" s="119">
        <f>+I102/F102</f>
        <v>2088.6442006269594</v>
      </c>
      <c r="K102" s="120">
        <f>+J102*K$100</f>
        <v>438.61528213166144</v>
      </c>
      <c r="L102" s="121">
        <f t="shared" ref="L102:L104" si="62">+J102+K102</f>
        <v>2527.2594827586208</v>
      </c>
      <c r="M102" s="122">
        <f>+L102*M$100</f>
        <v>758.17784482758623</v>
      </c>
      <c r="N102" s="98">
        <f t="shared" ref="N102:N104" si="63">+L102+M102</f>
        <v>3285.4373275862072</v>
      </c>
      <c r="O102" s="108">
        <f>+N102*O$100</f>
        <v>1314.1749310344831</v>
      </c>
      <c r="P102" s="109">
        <f t="shared" ref="P102:P104" si="64">+N102+O102</f>
        <v>4599.6122586206902</v>
      </c>
      <c r="R102">
        <v>31826.959247648909</v>
      </c>
      <c r="S102">
        <f t="shared" si="52"/>
        <v>4.9999999999999906E-2</v>
      </c>
      <c r="U102" s="27">
        <v>100521453</v>
      </c>
      <c r="V102" s="24">
        <v>35563.401253918506</v>
      </c>
    </row>
    <row r="103" spans="1:22" ht="15.75" thickBot="1" x14ac:dyDescent="0.3">
      <c r="B103" s="82">
        <v>100521453</v>
      </c>
      <c r="C103" s="95" t="s">
        <v>102</v>
      </c>
      <c r="D103" s="96">
        <v>7790360982223</v>
      </c>
      <c r="E103" s="122">
        <v>5.4</v>
      </c>
      <c r="F103" s="98">
        <v>18</v>
      </c>
      <c r="G103" s="83">
        <f>+VLOOKUP(B103,$U$4:$V$106,2,FALSE)</f>
        <v>35563.401253918506</v>
      </c>
      <c r="H103" s="134">
        <v>7.4999999999999997E-2</v>
      </c>
      <c r="I103" s="83">
        <f t="shared" si="50"/>
        <v>32896.146159874617</v>
      </c>
      <c r="J103" s="119">
        <f>+I103/F103</f>
        <v>1827.5636755485898</v>
      </c>
      <c r="K103" s="120">
        <f>+J103*K$100</f>
        <v>383.78837186520383</v>
      </c>
      <c r="L103" s="121">
        <f t="shared" si="62"/>
        <v>2211.3520474137936</v>
      </c>
      <c r="M103" s="122">
        <f>+L103*M$100</f>
        <v>663.40561422413805</v>
      </c>
      <c r="N103" s="98">
        <f t="shared" si="63"/>
        <v>2874.7576616379315</v>
      </c>
      <c r="O103" s="108">
        <f>+N103*O$100</f>
        <v>1149.9030646551726</v>
      </c>
      <c r="P103" s="109">
        <f t="shared" si="64"/>
        <v>4024.6607262931038</v>
      </c>
      <c r="R103">
        <v>31329.663009404398</v>
      </c>
      <c r="S103">
        <f t="shared" si="52"/>
        <v>4.9999999999999996E-2</v>
      </c>
      <c r="U103" s="27">
        <v>100521454</v>
      </c>
      <c r="V103" s="24">
        <v>35563.401253918506</v>
      </c>
    </row>
    <row r="104" spans="1:22" x14ac:dyDescent="0.25">
      <c r="B104" s="82">
        <v>100521454</v>
      </c>
      <c r="C104" s="95" t="s">
        <v>103</v>
      </c>
      <c r="D104" s="96">
        <v>7790360982230</v>
      </c>
      <c r="E104" s="122">
        <v>5.3999999999999995</v>
      </c>
      <c r="F104" s="98">
        <v>18</v>
      </c>
      <c r="G104" s="83">
        <f>+VLOOKUP(B104,$U$4:$V$106,2,FALSE)</f>
        <v>35563.401253918506</v>
      </c>
      <c r="H104" s="134">
        <v>7.4999999999999997E-2</v>
      </c>
      <c r="I104" s="83">
        <f t="shared" si="50"/>
        <v>32896.146159874617</v>
      </c>
      <c r="J104" s="119">
        <f>+I104/F104</f>
        <v>1827.5636755485898</v>
      </c>
      <c r="K104" s="120">
        <f>+J104*K$100</f>
        <v>383.78837186520383</v>
      </c>
      <c r="L104" s="121">
        <f t="shared" si="62"/>
        <v>2211.3520474137936</v>
      </c>
      <c r="M104" s="122">
        <f>+L104*M$100</f>
        <v>663.40561422413805</v>
      </c>
      <c r="N104" s="98">
        <f t="shared" si="63"/>
        <v>2874.7576616379315</v>
      </c>
      <c r="O104" s="108">
        <f>+N104*O$100</f>
        <v>1149.9030646551726</v>
      </c>
      <c r="P104" s="109">
        <f t="shared" si="64"/>
        <v>4024.6607262931038</v>
      </c>
      <c r="R104">
        <v>31329.663009404398</v>
      </c>
      <c r="S104">
        <f t="shared" si="52"/>
        <v>4.9999999999999996E-2</v>
      </c>
      <c r="U104" s="27">
        <v>100521455</v>
      </c>
      <c r="V104" s="24">
        <v>34407.523510971791</v>
      </c>
    </row>
    <row r="105" spans="1:22" x14ac:dyDescent="0.25">
      <c r="U105" s="27">
        <v>100521453</v>
      </c>
      <c r="V105" s="24">
        <v>33869.90595611286</v>
      </c>
    </row>
    <row r="106" spans="1:22" x14ac:dyDescent="0.25">
      <c r="U106" s="27">
        <v>100521454</v>
      </c>
      <c r="V106" s="24">
        <v>33869.90595611286</v>
      </c>
    </row>
  </sheetData>
  <conditionalFormatting sqref="B20:C20">
    <cfRule type="cellIs" dxfId="62" priority="59" stopIfTrue="1" operator="equal">
      <formula>0</formula>
    </cfRule>
  </conditionalFormatting>
  <conditionalFormatting sqref="B27:C27">
    <cfRule type="cellIs" dxfId="61" priority="50" stopIfTrue="1" operator="equal">
      <formula>0</formula>
    </cfRule>
  </conditionalFormatting>
  <conditionalFormatting sqref="B63:D63">
    <cfRule type="cellIs" dxfId="60" priority="57" stopIfTrue="1" operator="equal">
      <formula>0</formula>
    </cfRule>
  </conditionalFormatting>
  <conditionalFormatting sqref="B16:G19 I16:J19 E20:J20">
    <cfRule type="cellIs" dxfId="59" priority="41" stopIfTrue="1" operator="equal">
      <formula>0</formula>
    </cfRule>
  </conditionalFormatting>
  <conditionalFormatting sqref="B69:P69">
    <cfRule type="cellIs" dxfId="58" priority="4" stopIfTrue="1" operator="equal">
      <formula>0</formula>
    </cfRule>
  </conditionalFormatting>
  <conditionalFormatting sqref="B73:P74">
    <cfRule type="cellIs" dxfId="57" priority="3" stopIfTrue="1" operator="equal">
      <formula>0</formula>
    </cfRule>
  </conditionalFormatting>
  <conditionalFormatting sqref="C28">
    <cfRule type="cellIs" dxfId="56" priority="49" stopIfTrue="1" operator="equal">
      <formula>0</formula>
    </cfRule>
  </conditionalFormatting>
  <conditionalFormatting sqref="D94:F94">
    <cfRule type="cellIs" dxfId="55" priority="16" stopIfTrue="1" operator="equal">
      <formula>0</formula>
    </cfRule>
  </conditionalFormatting>
  <conditionalFormatting sqref="E89:F93">
    <cfRule type="cellIs" dxfId="54" priority="47" stopIfTrue="1" operator="equal">
      <formula>0</formula>
    </cfRule>
  </conditionalFormatting>
  <conditionalFormatting sqref="E96:F97">
    <cfRule type="cellIs" dxfId="53" priority="45" stopIfTrue="1" operator="equal">
      <formula>0</formula>
    </cfRule>
  </conditionalFormatting>
  <conditionalFormatting sqref="E99:F99">
    <cfRule type="cellIs" dxfId="52" priority="43" stopIfTrue="1" operator="equal">
      <formula>0</formula>
    </cfRule>
  </conditionalFormatting>
  <conditionalFormatting sqref="E101:F104">
    <cfRule type="cellIs" dxfId="51" priority="24" stopIfTrue="1" operator="equal">
      <formula>0</formula>
    </cfRule>
  </conditionalFormatting>
  <conditionalFormatting sqref="E58:G61 J59:P61">
    <cfRule type="cellIs" dxfId="50" priority="54" stopIfTrue="1" operator="equal">
      <formula>0</formula>
    </cfRule>
  </conditionalFormatting>
  <conditionalFormatting sqref="H18">
    <cfRule type="cellIs" dxfId="49" priority="6" operator="greaterThan">
      <formula>0</formula>
    </cfRule>
  </conditionalFormatting>
  <conditionalFormatting sqref="H89:H94">
    <cfRule type="cellIs" dxfId="48" priority="2" stopIfTrue="1" operator="equal">
      <formula>0</formula>
    </cfRule>
  </conditionalFormatting>
  <conditionalFormatting sqref="H96:H97">
    <cfRule type="cellIs" dxfId="47" priority="5" stopIfTrue="1" operator="equal">
      <formula>0</formula>
    </cfRule>
  </conditionalFormatting>
  <conditionalFormatting sqref="H99">
    <cfRule type="cellIs" dxfId="46" priority="1" stopIfTrue="1" operator="equal">
      <formula>0</formula>
    </cfRule>
  </conditionalFormatting>
  <conditionalFormatting sqref="I58:P58">
    <cfRule type="cellIs" dxfId="45" priority="39" stopIfTrue="1" operator="equal">
      <formula>0</formula>
    </cfRule>
  </conditionalFormatting>
  <conditionalFormatting sqref="J96:N97">
    <cfRule type="cellIs" dxfId="44" priority="44" stopIfTrue="1" operator="equal">
      <formula>0</formula>
    </cfRule>
  </conditionalFormatting>
  <conditionalFormatting sqref="J99:N99">
    <cfRule type="cellIs" dxfId="43" priority="42" stopIfTrue="1" operator="equal">
      <formula>0</formula>
    </cfRule>
  </conditionalFormatting>
  <conditionalFormatting sqref="J101:N104">
    <cfRule type="cellIs" dxfId="42" priority="23" stopIfTrue="1" operator="equal">
      <formula>0</formula>
    </cfRule>
  </conditionalFormatting>
  <conditionalFormatting sqref="J90:P94">
    <cfRule type="cellIs" dxfId="41" priority="48" stopIfTrue="1" operator="equal">
      <formula>0</formula>
    </cfRule>
  </conditionalFormatting>
  <conditionalFormatting sqref="M37:M38">
    <cfRule type="cellIs" dxfId="40" priority="52" stopIfTrue="1" operator="equal">
      <formula>0</formula>
    </cfRule>
  </conditionalFormatting>
  <conditionalFormatting sqref="M16:P20">
    <cfRule type="cellIs" dxfId="39" priority="51" stopIfTrue="1" operator="equal">
      <formula>0</formula>
    </cfRule>
  </conditionalFormatting>
  <conditionalFormatting sqref="U27">
    <cfRule type="cellIs" dxfId="38" priority="14" stopIfTrue="1" operator="equal">
      <formula>0</formula>
    </cfRule>
  </conditionalFormatting>
  <conditionalFormatting sqref="U64">
    <cfRule type="cellIs" dxfId="37" priority="15" stopIfTrue="1" operator="equal">
      <formula>0</formula>
    </cfRule>
  </conditionalFormatting>
  <conditionalFormatting sqref="U16:V18">
    <cfRule type="cellIs" dxfId="36" priority="9" stopIfTrue="1" operator="equal">
      <formula>0</formula>
    </cfRule>
  </conditionalFormatting>
  <conditionalFormatting sqref="U70:V70">
    <cfRule type="cellIs" dxfId="35" priority="8" stopIfTrue="1" operator="equal">
      <formula>0</formula>
    </cfRule>
  </conditionalFormatting>
  <conditionalFormatting sqref="U74:V75">
    <cfRule type="cellIs" dxfId="34" priority="7" stopIfTrue="1" operator="equal">
      <formula>0</formula>
    </cfRule>
  </conditionalFormatting>
  <conditionalFormatting sqref="V59:V62">
    <cfRule type="cellIs" dxfId="33" priority="10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2AD1-0566-4BAE-801B-4DCA53673AEE}">
  <dimension ref="A1:X107"/>
  <sheetViews>
    <sheetView topLeftCell="N1" zoomScale="70" zoomScaleNormal="70" workbookViewId="0">
      <selection activeCell="O97" sqref="O97"/>
    </sheetView>
  </sheetViews>
  <sheetFormatPr baseColWidth="10" defaultColWidth="11.42578125" defaultRowHeight="15" outlineLevelCol="1" x14ac:dyDescent="0.25"/>
  <cols>
    <col min="1" max="1" width="2.85546875" customWidth="1"/>
    <col min="2" max="2" width="11.85546875" customWidth="1"/>
    <col min="3" max="3" width="46.140625" bestFit="1" customWidth="1"/>
    <col min="4" max="4" width="12.140625" hidden="1" customWidth="1"/>
    <col min="5" max="5" width="8" bestFit="1" customWidth="1"/>
    <col min="6" max="6" width="9.42578125" bestFit="1" customWidth="1"/>
    <col min="7" max="7" width="9.42578125" style="81" bestFit="1" customWidth="1"/>
    <col min="8" max="8" width="9.42578125" customWidth="1"/>
    <col min="9" max="9" width="9.42578125" style="81" bestFit="1" customWidth="1"/>
    <col min="10" max="15" width="11.42578125" customWidth="1" outlineLevel="1"/>
    <col min="16" max="16" width="11.42578125" style="76" customWidth="1"/>
    <col min="17" max="22" width="11.42578125" hidden="1" customWidth="1"/>
    <col min="23" max="24" width="11.42578125" customWidth="1"/>
  </cols>
  <sheetData>
    <row r="1" spans="2:22" s="1" customFormat="1" ht="12.75" thickBot="1" x14ac:dyDescent="0.25">
      <c r="G1" s="2"/>
      <c r="I1" s="2"/>
      <c r="P1" s="3"/>
    </row>
    <row r="2" spans="2:22" s="1" customFormat="1" ht="36.75" thickBot="1" x14ac:dyDescent="0.2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87</v>
      </c>
      <c r="H2" s="6" t="s">
        <v>90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106</v>
      </c>
    </row>
    <row r="3" spans="2:22" s="1" customFormat="1" ht="12" x14ac:dyDescent="0.2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2" x14ac:dyDescent="0.25">
      <c r="B4" s="19">
        <v>100021632</v>
      </c>
      <c r="C4" s="20" t="s">
        <v>13</v>
      </c>
      <c r="D4" s="21">
        <v>7790360026606</v>
      </c>
      <c r="E4" s="22">
        <v>4.8</v>
      </c>
      <c r="F4" s="23">
        <v>30</v>
      </c>
      <c r="G4" s="24">
        <f t="shared" ref="G4:G35" si="0">+VLOOKUP(B4,$U$4:$V$104,2,FALSE)</f>
        <v>36141.234491626812</v>
      </c>
      <c r="H4" s="23"/>
      <c r="I4" s="24">
        <f>+G4*(1-H4)</f>
        <v>36141.234491626812</v>
      </c>
      <c r="J4" s="24">
        <f>+I4/F4</f>
        <v>1204.7078163875603</v>
      </c>
      <c r="K4" s="24">
        <f>+J4*K$3</f>
        <v>252.98864144138767</v>
      </c>
      <c r="L4" s="24">
        <f>+J4+K4</f>
        <v>1457.696457828948</v>
      </c>
      <c r="M4" s="24">
        <f>+L4*M$3</f>
        <v>437.30893734868442</v>
      </c>
      <c r="N4" s="24">
        <f>+L4+M4</f>
        <v>1895.0053951776324</v>
      </c>
      <c r="O4" s="24">
        <f>+N4*O$3</f>
        <v>758.00215807105303</v>
      </c>
      <c r="P4" s="25">
        <f>+N4+O4</f>
        <v>2653.0075532486853</v>
      </c>
      <c r="R4" s="24">
        <v>33114.563397129197</v>
      </c>
      <c r="S4">
        <f>+(I4-R4)/R4</f>
        <v>9.1400000000000189E-2</v>
      </c>
      <c r="U4" s="19">
        <v>100021632</v>
      </c>
      <c r="V4" s="24">
        <v>36141.234491626812</v>
      </c>
    </row>
    <row r="5" spans="2:22" x14ac:dyDescent="0.25">
      <c r="B5" s="26">
        <v>100021652</v>
      </c>
      <c r="C5" s="20" t="s">
        <v>14</v>
      </c>
      <c r="D5" s="21">
        <v>7790360026576</v>
      </c>
      <c r="E5" s="22">
        <v>5.76</v>
      </c>
      <c r="F5" s="23">
        <v>18</v>
      </c>
      <c r="G5" s="24">
        <f t="shared" si="0"/>
        <v>51551.958767942597</v>
      </c>
      <c r="H5" s="23"/>
      <c r="I5" s="24">
        <f t="shared" ref="I5:I77" si="1">+G5*(1-H5)</f>
        <v>51551.958767942597</v>
      </c>
      <c r="J5" s="24">
        <f t="shared" ref="J5:J77" si="2">+I5/F5</f>
        <v>2863.9977093301441</v>
      </c>
      <c r="K5" s="24">
        <f t="shared" ref="K5:K77" si="3">+J5*K$3</f>
        <v>601.43951895933026</v>
      </c>
      <c r="L5" s="24">
        <f t="shared" ref="L5:L77" si="4">+J5+K5</f>
        <v>3465.4372282894742</v>
      </c>
      <c r="M5" s="24">
        <f t="shared" ref="M5:M77" si="5">+L5*M$3</f>
        <v>1039.6311684868422</v>
      </c>
      <c r="N5" s="24">
        <f t="shared" ref="N5:N77" si="6">+L5+M5</f>
        <v>4505.0683967763161</v>
      </c>
      <c r="O5" s="24">
        <f t="shared" ref="O5:O77" si="7">+N5*O$3</f>
        <v>1802.0273587105266</v>
      </c>
      <c r="P5" s="25">
        <f t="shared" ref="P5:P77" si="8">+N5+O5</f>
        <v>6307.0957554868428</v>
      </c>
      <c r="R5" s="24">
        <v>48179.400717703356</v>
      </c>
      <c r="S5">
        <f t="shared" ref="S5:S77" si="9">+(I5-R5)/R5</f>
        <v>7.0000000000000118E-2</v>
      </c>
      <c r="U5" s="26">
        <v>100021652</v>
      </c>
      <c r="V5" s="24">
        <v>51551.958767942597</v>
      </c>
    </row>
    <row r="6" spans="2:22" x14ac:dyDescent="0.25">
      <c r="B6" s="26">
        <v>100021631</v>
      </c>
      <c r="C6" s="20" t="s">
        <v>15</v>
      </c>
      <c r="D6" s="21">
        <v>7790360026590</v>
      </c>
      <c r="E6" s="22">
        <v>7.68</v>
      </c>
      <c r="F6" s="23">
        <v>8</v>
      </c>
      <c r="G6" s="24">
        <f t="shared" si="0"/>
        <v>63608.572705263192</v>
      </c>
      <c r="H6" s="23"/>
      <c r="I6" s="24">
        <f t="shared" si="1"/>
        <v>63608.572705263192</v>
      </c>
      <c r="J6" s="24">
        <f t="shared" si="2"/>
        <v>7951.071588157899</v>
      </c>
      <c r="K6" s="24">
        <f t="shared" si="3"/>
        <v>1669.7250335131587</v>
      </c>
      <c r="L6" s="24">
        <f t="shared" si="4"/>
        <v>9620.7966216710574</v>
      </c>
      <c r="M6" s="24">
        <f t="shared" si="5"/>
        <v>2886.238986501317</v>
      </c>
      <c r="N6" s="24">
        <f t="shared" si="6"/>
        <v>12507.035608172375</v>
      </c>
      <c r="O6" s="24">
        <f t="shared" si="7"/>
        <v>5002.8142432689501</v>
      </c>
      <c r="P6" s="25">
        <f t="shared" si="8"/>
        <v>17509.849851441326</v>
      </c>
      <c r="R6" s="24">
        <v>70485.893050046187</v>
      </c>
      <c r="S6">
        <f t="shared" si="9"/>
        <v>-9.7570166840334704E-2</v>
      </c>
      <c r="U6" s="26">
        <v>100021631</v>
      </c>
      <c r="V6" s="24">
        <v>63608.572705263192</v>
      </c>
    </row>
    <row r="7" spans="2:22" x14ac:dyDescent="0.25">
      <c r="B7" s="26">
        <v>100021630</v>
      </c>
      <c r="C7" s="20" t="s">
        <v>16</v>
      </c>
      <c r="D7" s="21">
        <v>7790360026583</v>
      </c>
      <c r="E7" s="22">
        <v>9.6</v>
      </c>
      <c r="F7" s="23">
        <v>6</v>
      </c>
      <c r="G7" s="24">
        <f t="shared" si="0"/>
        <v>79510.715881578988</v>
      </c>
      <c r="H7" s="23"/>
      <c r="I7" s="24">
        <f t="shared" si="1"/>
        <v>79510.715881578988</v>
      </c>
      <c r="J7" s="24">
        <f t="shared" si="2"/>
        <v>13251.785980263165</v>
      </c>
      <c r="K7" s="24">
        <f t="shared" si="3"/>
        <v>2782.8750558552647</v>
      </c>
      <c r="L7" s="24">
        <f t="shared" si="4"/>
        <v>16034.661036118428</v>
      </c>
      <c r="M7" s="24">
        <f t="shared" si="5"/>
        <v>4810.3983108355287</v>
      </c>
      <c r="N7" s="24">
        <f t="shared" si="6"/>
        <v>20845.059346953956</v>
      </c>
      <c r="O7" s="24">
        <f t="shared" si="7"/>
        <v>8338.0237387815832</v>
      </c>
      <c r="P7" s="25">
        <f t="shared" si="8"/>
        <v>29183.083085735539</v>
      </c>
      <c r="R7" s="24">
        <v>88089.91930932751</v>
      </c>
      <c r="S7">
        <f t="shared" si="9"/>
        <v>-9.739143247052677E-2</v>
      </c>
      <c r="U7" s="26">
        <v>100021630</v>
      </c>
      <c r="V7" s="24">
        <v>79510.715881578988</v>
      </c>
    </row>
    <row r="8" spans="2:22" x14ac:dyDescent="0.25">
      <c r="B8" s="27">
        <v>100021653</v>
      </c>
      <c r="C8" s="28" t="s">
        <v>17</v>
      </c>
      <c r="D8" s="21">
        <v>7790360026682</v>
      </c>
      <c r="E8" s="22">
        <v>5.76</v>
      </c>
      <c r="F8" s="23">
        <v>18</v>
      </c>
      <c r="G8" s="24">
        <f t="shared" si="0"/>
        <v>51551.958767942597</v>
      </c>
      <c r="H8" s="23"/>
      <c r="I8" s="24">
        <f t="shared" si="1"/>
        <v>51551.958767942597</v>
      </c>
      <c r="J8" s="24">
        <f t="shared" si="2"/>
        <v>2863.9977093301441</v>
      </c>
      <c r="K8" s="24">
        <f t="shared" si="3"/>
        <v>601.43951895933026</v>
      </c>
      <c r="L8" s="24">
        <f t="shared" si="4"/>
        <v>3465.4372282894742</v>
      </c>
      <c r="M8" s="24">
        <f t="shared" si="5"/>
        <v>1039.6311684868422</v>
      </c>
      <c r="N8" s="24">
        <f t="shared" si="6"/>
        <v>4505.0683967763161</v>
      </c>
      <c r="O8" s="24">
        <f t="shared" si="7"/>
        <v>1802.0273587105266</v>
      </c>
      <c r="P8" s="25">
        <f t="shared" si="8"/>
        <v>6307.0957554868428</v>
      </c>
      <c r="R8" s="24">
        <v>56884.180293766738</v>
      </c>
      <c r="S8">
        <f t="shared" si="9"/>
        <v>-9.3738215058861207E-2</v>
      </c>
      <c r="U8" s="27">
        <v>100021653</v>
      </c>
      <c r="V8" s="24">
        <v>51551.958767942597</v>
      </c>
    </row>
    <row r="9" spans="2:22" x14ac:dyDescent="0.25">
      <c r="B9" s="27">
        <v>100516169</v>
      </c>
      <c r="C9" s="28" t="s">
        <v>18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1"/>
        <v>47534.511197250016</v>
      </c>
      <c r="J9" s="24">
        <f t="shared" si="2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 s="24">
        <v>47534.511197250016</v>
      </c>
      <c r="S9">
        <f t="shared" si="9"/>
        <v>0</v>
      </c>
      <c r="U9" s="27">
        <v>100516169</v>
      </c>
      <c r="V9" s="24">
        <v>47534.511197250016</v>
      </c>
    </row>
    <row r="10" spans="2:22" x14ac:dyDescent="0.25">
      <c r="B10" s="27">
        <v>100520337</v>
      </c>
      <c r="C10" s="28" t="s">
        <v>19</v>
      </c>
      <c r="D10" s="21">
        <v>7790360977960</v>
      </c>
      <c r="E10" s="22">
        <v>4.8</v>
      </c>
      <c r="F10" s="23">
        <v>30</v>
      </c>
      <c r="G10" s="24">
        <f t="shared" si="0"/>
        <v>28147.378887559815</v>
      </c>
      <c r="H10" s="23"/>
      <c r="I10" s="24">
        <f t="shared" si="1"/>
        <v>28147.378887559815</v>
      </c>
      <c r="J10" s="24">
        <f>+I10/F10</f>
        <v>938.24596291866044</v>
      </c>
      <c r="K10" s="24">
        <f>+J10*K$3</f>
        <v>197.03165221291869</v>
      </c>
      <c r="L10" s="24">
        <f>+J10+K10</f>
        <v>1135.2776151315791</v>
      </c>
      <c r="M10" s="24">
        <f>+L10*M$3</f>
        <v>340.58328453947371</v>
      </c>
      <c r="N10" s="24">
        <f>+L10+M10</f>
        <v>1475.8608996710527</v>
      </c>
      <c r="O10" s="24">
        <f>+N10*O$3</f>
        <v>590.34435986842107</v>
      </c>
      <c r="P10" s="25">
        <f>+N10+O10</f>
        <v>2066.2052595394739</v>
      </c>
      <c r="R10" s="24">
        <v>28147.378887559815</v>
      </c>
      <c r="S10">
        <f t="shared" si="9"/>
        <v>0</v>
      </c>
      <c r="U10" s="27">
        <v>100520337</v>
      </c>
      <c r="V10" s="24">
        <v>28147.378887559815</v>
      </c>
    </row>
    <row r="11" spans="2:22" x14ac:dyDescent="0.25">
      <c r="B11" s="27">
        <v>100021503</v>
      </c>
      <c r="C11" s="28" t="s">
        <v>20</v>
      </c>
      <c r="D11" s="21">
        <v>7790360966841</v>
      </c>
      <c r="E11" s="22">
        <v>3.3119999999999998</v>
      </c>
      <c r="F11" s="23">
        <v>12</v>
      </c>
      <c r="G11" s="24">
        <f t="shared" si="0"/>
        <v>20900.325358851685</v>
      </c>
      <c r="H11" s="159">
        <v>0.1666</v>
      </c>
      <c r="I11" s="24">
        <f t="shared" si="1"/>
        <v>17418.331154066997</v>
      </c>
      <c r="J11" s="24">
        <f t="shared" si="2"/>
        <v>1451.5275961722498</v>
      </c>
      <c r="K11" s="24">
        <f t="shared" si="3"/>
        <v>304.82079519617247</v>
      </c>
      <c r="L11" s="24">
        <f t="shared" si="4"/>
        <v>1756.3483913684222</v>
      </c>
      <c r="M11" s="24">
        <f t="shared" si="5"/>
        <v>526.90451741052664</v>
      </c>
      <c r="N11" s="24">
        <f t="shared" si="6"/>
        <v>2283.2529087789489</v>
      </c>
      <c r="O11" s="24">
        <f t="shared" si="7"/>
        <v>913.3011635115796</v>
      </c>
      <c r="P11" s="25">
        <f t="shared" si="8"/>
        <v>3196.5540722905284</v>
      </c>
      <c r="R11" s="24">
        <v>19533.014354066992</v>
      </c>
      <c r="S11">
        <f t="shared" si="9"/>
        <v>-0.10826199999999975</v>
      </c>
      <c r="U11" s="27">
        <v>100021503</v>
      </c>
      <c r="V11" s="24">
        <v>20900.325358851685</v>
      </c>
    </row>
    <row r="12" spans="2:22" x14ac:dyDescent="0.25">
      <c r="B12" s="27">
        <v>100516201</v>
      </c>
      <c r="C12" s="28" t="s">
        <v>21</v>
      </c>
      <c r="D12" s="21">
        <v>7790360968548</v>
      </c>
      <c r="E12" s="22">
        <v>6.6239999999999997</v>
      </c>
      <c r="F12" s="23">
        <v>8</v>
      </c>
      <c r="G12" s="24">
        <f t="shared" si="0"/>
        <v>39472.682627368442</v>
      </c>
      <c r="H12" s="158"/>
      <c r="I12" s="24">
        <f t="shared" si="1"/>
        <v>39472.682627368442</v>
      </c>
      <c r="J12" s="24">
        <f t="shared" si="2"/>
        <v>4934.0853284210552</v>
      </c>
      <c r="K12" s="24">
        <f t="shared" si="3"/>
        <v>1036.1579189684217</v>
      </c>
      <c r="L12" s="24">
        <f t="shared" si="4"/>
        <v>5970.2432473894769</v>
      </c>
      <c r="M12" s="24">
        <f t="shared" si="5"/>
        <v>1791.072974216843</v>
      </c>
      <c r="N12" s="24">
        <f t="shared" si="6"/>
        <v>7761.3162216063201</v>
      </c>
      <c r="O12" s="24">
        <f t="shared" si="7"/>
        <v>3104.5264886425284</v>
      </c>
      <c r="P12" s="25">
        <f t="shared" si="8"/>
        <v>10865.842710248849</v>
      </c>
      <c r="R12" s="24">
        <v>39472.682627368442</v>
      </c>
      <c r="S12">
        <f t="shared" si="9"/>
        <v>0</v>
      </c>
      <c r="U12" s="27">
        <v>100516201</v>
      </c>
      <c r="V12" s="24">
        <v>39472.682627368442</v>
      </c>
    </row>
    <row r="13" spans="2:22" x14ac:dyDescent="0.25">
      <c r="B13" s="27">
        <v>100021643</v>
      </c>
      <c r="C13" s="28" t="s">
        <v>22</v>
      </c>
      <c r="D13" s="21">
        <v>7790360966797</v>
      </c>
      <c r="E13" s="22">
        <v>4.7039999999999997</v>
      </c>
      <c r="F13" s="23">
        <v>42</v>
      </c>
      <c r="G13" s="24">
        <f t="shared" si="0"/>
        <v>28485.645933014363</v>
      </c>
      <c r="H13" s="158"/>
      <c r="I13" s="24">
        <f t="shared" si="1"/>
        <v>28485.645933014363</v>
      </c>
      <c r="J13" s="24">
        <f t="shared" si="2"/>
        <v>678.22966507177057</v>
      </c>
      <c r="K13" s="24">
        <f t="shared" si="3"/>
        <v>142.42822966507183</v>
      </c>
      <c r="L13" s="24">
        <f t="shared" si="4"/>
        <v>820.65789473684242</v>
      </c>
      <c r="M13" s="24">
        <f t="shared" si="5"/>
        <v>246.19736842105272</v>
      </c>
      <c r="N13" s="24">
        <f t="shared" si="6"/>
        <v>1066.855263157895</v>
      </c>
      <c r="O13" s="24">
        <f t="shared" si="7"/>
        <v>426.74210526315801</v>
      </c>
      <c r="P13" s="25">
        <f t="shared" si="8"/>
        <v>1493.597368421053</v>
      </c>
      <c r="R13" s="24">
        <v>28485.645933014363</v>
      </c>
      <c r="S13">
        <f t="shared" si="9"/>
        <v>0</v>
      </c>
      <c r="U13" s="27">
        <v>100021643</v>
      </c>
      <c r="V13" s="24">
        <v>28485.645933014363</v>
      </c>
    </row>
    <row r="14" spans="2:22" x14ac:dyDescent="0.25">
      <c r="B14" s="27">
        <v>100516325</v>
      </c>
      <c r="C14" s="28" t="s">
        <v>23</v>
      </c>
      <c r="D14" s="21">
        <v>7790360967763</v>
      </c>
      <c r="E14" s="22">
        <v>4.7039999999999997</v>
      </c>
      <c r="F14" s="23">
        <v>21</v>
      </c>
      <c r="G14" s="24">
        <f t="shared" si="0"/>
        <v>27704.095546860721</v>
      </c>
      <c r="H14" s="158"/>
      <c r="I14" s="24">
        <f t="shared" si="1"/>
        <v>27704.095546860721</v>
      </c>
      <c r="J14" s="24">
        <f t="shared" si="2"/>
        <v>1319.2426450886057</v>
      </c>
      <c r="K14" s="24">
        <f t="shared" si="3"/>
        <v>277.04095546860719</v>
      </c>
      <c r="L14" s="24">
        <f t="shared" si="4"/>
        <v>1596.283600557213</v>
      </c>
      <c r="M14" s="24">
        <f t="shared" si="5"/>
        <v>478.88508016716389</v>
      </c>
      <c r="N14" s="24">
        <f t="shared" si="6"/>
        <v>2075.1686807243768</v>
      </c>
      <c r="O14" s="24">
        <f t="shared" si="7"/>
        <v>830.06747228975075</v>
      </c>
      <c r="P14" s="25">
        <f t="shared" si="8"/>
        <v>2905.2361530141275</v>
      </c>
      <c r="R14" s="24">
        <v>27704.095546860721</v>
      </c>
      <c r="S14">
        <f t="shared" si="9"/>
        <v>0</v>
      </c>
      <c r="U14" s="27">
        <v>100516325</v>
      </c>
      <c r="V14" s="24">
        <v>27704.095546860721</v>
      </c>
    </row>
    <row r="15" spans="2:22" x14ac:dyDescent="0.25">
      <c r="B15" s="27">
        <v>100021676</v>
      </c>
      <c r="C15" s="28" t="s">
        <v>24</v>
      </c>
      <c r="D15" s="21">
        <v>7790360967411</v>
      </c>
      <c r="E15" s="22">
        <v>7.5</v>
      </c>
      <c r="F15" s="23">
        <v>30</v>
      </c>
      <c r="G15" s="24">
        <f t="shared" si="0"/>
        <v>61188.927342927658</v>
      </c>
      <c r="H15" s="159">
        <v>0.04</v>
      </c>
      <c r="I15" s="24">
        <f t="shared" si="1"/>
        <v>58741.370249210551</v>
      </c>
      <c r="J15" s="24">
        <f t="shared" si="2"/>
        <v>1958.045674973685</v>
      </c>
      <c r="K15" s="24">
        <f t="shared" si="3"/>
        <v>411.18959174447383</v>
      </c>
      <c r="L15" s="24">
        <f t="shared" si="4"/>
        <v>2369.235266718159</v>
      </c>
      <c r="M15" s="24">
        <f t="shared" si="5"/>
        <v>710.77058001544765</v>
      </c>
      <c r="N15" s="24">
        <f t="shared" si="6"/>
        <v>3080.0058467336066</v>
      </c>
      <c r="O15" s="24">
        <f t="shared" si="7"/>
        <v>1232.0023386934427</v>
      </c>
      <c r="P15" s="25">
        <f t="shared" si="8"/>
        <v>4312.0081854270493</v>
      </c>
      <c r="R15" s="24">
        <v>52977.426270933029</v>
      </c>
      <c r="S15">
        <f t="shared" si="9"/>
        <v>0.10880000000000017</v>
      </c>
      <c r="U15" s="27">
        <v>100021676</v>
      </c>
      <c r="V15" s="24">
        <v>61188.927342927658</v>
      </c>
    </row>
    <row r="16" spans="2:22" x14ac:dyDescent="0.25">
      <c r="B16" s="27">
        <v>100516008</v>
      </c>
      <c r="C16" s="28" t="s">
        <v>25</v>
      </c>
      <c r="D16" s="21">
        <v>7790360967701</v>
      </c>
      <c r="E16" s="22">
        <v>5.76</v>
      </c>
      <c r="F16" s="23">
        <v>24</v>
      </c>
      <c r="G16" s="24">
        <f t="shared" si="0"/>
        <v>60720.964014071069</v>
      </c>
      <c r="H16" s="159">
        <v>9.0899999999999995E-2</v>
      </c>
      <c r="I16" s="24">
        <f t="shared" si="1"/>
        <v>55201.428385192012</v>
      </c>
      <c r="J16" s="24">
        <f t="shared" si="2"/>
        <v>2300.0595160496673</v>
      </c>
      <c r="K16" s="24">
        <f t="shared" si="3"/>
        <v>483.01249837043014</v>
      </c>
      <c r="L16" s="24">
        <f t="shared" si="4"/>
        <v>2783.0720144200973</v>
      </c>
      <c r="M16" s="24">
        <f t="shared" si="5"/>
        <v>834.92160432602918</v>
      </c>
      <c r="N16" s="24">
        <f t="shared" si="6"/>
        <v>3617.9936187461262</v>
      </c>
      <c r="O16" s="24">
        <f t="shared" si="7"/>
        <v>1447.1974474984506</v>
      </c>
      <c r="P16" s="25">
        <f t="shared" si="8"/>
        <v>5065.1910662445771</v>
      </c>
      <c r="R16" s="24">
        <v>57829.489537210546</v>
      </c>
      <c r="S16">
        <f t="shared" si="9"/>
        <v>-4.5445000000000013E-2</v>
      </c>
      <c r="U16" s="27">
        <v>100516008</v>
      </c>
      <c r="V16" s="24">
        <v>60720.964014071069</v>
      </c>
    </row>
    <row r="17" spans="1:22" x14ac:dyDescent="0.25">
      <c r="B17" s="82">
        <v>100520834</v>
      </c>
      <c r="C17" s="95" t="s">
        <v>26</v>
      </c>
      <c r="D17" s="96">
        <v>7790360980618</v>
      </c>
      <c r="E17" s="97">
        <v>6.66</v>
      </c>
      <c r="F17" s="98">
        <v>36</v>
      </c>
      <c r="G17" s="83">
        <f t="shared" si="0"/>
        <v>70938.061645133319</v>
      </c>
      <c r="H17" s="98"/>
      <c r="I17" s="83">
        <f t="shared" si="1"/>
        <v>70938.061645133319</v>
      </c>
      <c r="J17" s="83">
        <f>+I17/F17</f>
        <v>1970.5017123648145</v>
      </c>
      <c r="K17" s="83">
        <f>+J17*K$3</f>
        <v>413.80535959661103</v>
      </c>
      <c r="L17" s="83">
        <f>+J17+K17</f>
        <v>2384.3070719614257</v>
      </c>
      <c r="M17" s="83">
        <f>+L17*M$3</f>
        <v>715.29212158842768</v>
      </c>
      <c r="N17" s="83">
        <f>+L17+M17</f>
        <v>3099.5991935498532</v>
      </c>
      <c r="O17" s="83">
        <f>+N17*O$3</f>
        <v>1239.8396774199414</v>
      </c>
      <c r="P17" s="99">
        <f>+N17+O17</f>
        <v>4339.4388709697942</v>
      </c>
      <c r="R17" s="83">
        <v>67560.058709650781</v>
      </c>
      <c r="S17">
        <f t="shared" si="9"/>
        <v>4.9999999999999989E-2</v>
      </c>
      <c r="U17" s="27">
        <v>100520834</v>
      </c>
      <c r="V17" s="24">
        <v>70938.061645133319</v>
      </c>
    </row>
    <row r="18" spans="1:22" x14ac:dyDescent="0.25">
      <c r="B18" s="27">
        <v>100021680</v>
      </c>
      <c r="C18" s="28" t="s">
        <v>27</v>
      </c>
      <c r="D18" s="21">
        <v>7790360967688</v>
      </c>
      <c r="E18" s="22">
        <v>4.32</v>
      </c>
      <c r="F18" s="23">
        <v>18</v>
      </c>
      <c r="G18" s="24">
        <f t="shared" si="0"/>
        <v>54046.264373683916</v>
      </c>
      <c r="H18" s="23"/>
      <c r="I18" s="24">
        <f t="shared" si="1"/>
        <v>54046.264373683916</v>
      </c>
      <c r="J18" s="24">
        <f t="shared" si="2"/>
        <v>3002.5702429824396</v>
      </c>
      <c r="K18" s="24">
        <f t="shared" si="3"/>
        <v>630.53975102631227</v>
      </c>
      <c r="L18" s="24">
        <f t="shared" si="4"/>
        <v>3633.109994008752</v>
      </c>
      <c r="M18" s="24">
        <f t="shared" si="5"/>
        <v>1089.9329982026256</v>
      </c>
      <c r="N18" s="24">
        <f t="shared" si="6"/>
        <v>4723.0429922113781</v>
      </c>
      <c r="O18" s="24">
        <f t="shared" si="7"/>
        <v>1889.2171968845514</v>
      </c>
      <c r="P18" s="25">
        <f t="shared" si="8"/>
        <v>6612.2601890959295</v>
      </c>
      <c r="R18" s="24">
        <v>51472.632736841821</v>
      </c>
      <c r="S18">
        <f t="shared" si="9"/>
        <v>5.0000000000000093E-2</v>
      </c>
      <c r="U18" s="27">
        <v>100021680</v>
      </c>
      <c r="V18" s="24">
        <v>54046.264373683916</v>
      </c>
    </row>
    <row r="19" spans="1:22" x14ac:dyDescent="0.25">
      <c r="B19" s="27">
        <v>100021644</v>
      </c>
      <c r="C19" s="28" t="s">
        <v>28</v>
      </c>
      <c r="D19" s="21">
        <v>7790360008541</v>
      </c>
      <c r="E19" s="22">
        <v>4.7039999999999997</v>
      </c>
      <c r="F19" s="23">
        <v>42</v>
      </c>
      <c r="G19" s="24">
        <f t="shared" si="0"/>
        <v>18822.25240696024</v>
      </c>
      <c r="H19" s="23"/>
      <c r="I19" s="24">
        <f t="shared" si="1"/>
        <v>18822.25240696024</v>
      </c>
      <c r="J19" s="24">
        <f t="shared" si="2"/>
        <v>448.14886683238666</v>
      </c>
      <c r="K19" s="24">
        <f t="shared" si="3"/>
        <v>94.1112620348012</v>
      </c>
      <c r="L19" s="24">
        <f t="shared" si="4"/>
        <v>542.26012886718786</v>
      </c>
      <c r="M19" s="29">
        <f>+L19*0.33</f>
        <v>178.94584252617202</v>
      </c>
      <c r="N19" s="24">
        <f t="shared" si="6"/>
        <v>721.20597139335985</v>
      </c>
      <c r="O19" s="24">
        <f t="shared" si="7"/>
        <v>288.48238855734394</v>
      </c>
      <c r="P19" s="25">
        <f t="shared" si="8"/>
        <v>1009.6883599507038</v>
      </c>
      <c r="R19" s="24">
        <v>17925.954673295466</v>
      </c>
      <c r="S19">
        <f t="shared" si="9"/>
        <v>5.0000000000000072E-2</v>
      </c>
      <c r="U19" s="27">
        <v>100021644</v>
      </c>
      <c r="V19" s="24">
        <v>18822.25240696024</v>
      </c>
    </row>
    <row r="20" spans="1:22" x14ac:dyDescent="0.25">
      <c r="B20" s="27">
        <v>100021677</v>
      </c>
      <c r="C20" s="28" t="s">
        <v>29</v>
      </c>
      <c r="D20" s="21">
        <v>7790360967404</v>
      </c>
      <c r="E20" s="22">
        <v>3.3119999999999998</v>
      </c>
      <c r="F20" s="23">
        <v>12</v>
      </c>
      <c r="G20" s="24">
        <f t="shared" si="0"/>
        <v>17616.947727272734</v>
      </c>
      <c r="H20" s="23"/>
      <c r="I20" s="24">
        <f t="shared" si="1"/>
        <v>17616.947727272734</v>
      </c>
      <c r="J20" s="24">
        <f t="shared" si="2"/>
        <v>1468.0789772727278</v>
      </c>
      <c r="K20" s="24">
        <f t="shared" si="3"/>
        <v>308.29658522727283</v>
      </c>
      <c r="L20" s="24">
        <f t="shared" si="4"/>
        <v>1776.3755625000006</v>
      </c>
      <c r="M20" s="29">
        <f>+L20*0.33</f>
        <v>586.20393562500021</v>
      </c>
      <c r="N20" s="24">
        <f t="shared" si="6"/>
        <v>2362.579498125001</v>
      </c>
      <c r="O20" s="24">
        <f t="shared" si="7"/>
        <v>945.0317992500004</v>
      </c>
      <c r="P20" s="25">
        <f t="shared" si="8"/>
        <v>3307.6112973750014</v>
      </c>
      <c r="R20" s="24">
        <v>16778.04545454546</v>
      </c>
      <c r="S20">
        <f t="shared" si="9"/>
        <v>5.0000000000000121E-2</v>
      </c>
      <c r="U20" s="27">
        <v>100021677</v>
      </c>
      <c r="V20" s="24">
        <v>17616.947727272734</v>
      </c>
    </row>
    <row r="21" spans="1:22" x14ac:dyDescent="0.25">
      <c r="B21" s="27">
        <v>100021638</v>
      </c>
      <c r="C21" s="28" t="s">
        <v>30</v>
      </c>
      <c r="D21" s="21">
        <v>7790360026699</v>
      </c>
      <c r="E21" s="22">
        <v>4.8</v>
      </c>
      <c r="F21" s="23">
        <v>60</v>
      </c>
      <c r="G21" s="24">
        <f t="shared" si="0"/>
        <v>50422.13177716358</v>
      </c>
      <c r="H21" s="23"/>
      <c r="I21" s="24">
        <f t="shared" si="1"/>
        <v>50422.13177716358</v>
      </c>
      <c r="J21" s="24">
        <f t="shared" si="2"/>
        <v>840.36886295272632</v>
      </c>
      <c r="K21" s="24">
        <f t="shared" si="3"/>
        <v>176.47746122007251</v>
      </c>
      <c r="L21" s="24">
        <f t="shared" si="4"/>
        <v>1016.8463241727989</v>
      </c>
      <c r="M21" s="24">
        <f t="shared" si="5"/>
        <v>305.05389725183966</v>
      </c>
      <c r="N21" s="24">
        <f t="shared" si="6"/>
        <v>1321.9002214246384</v>
      </c>
      <c r="O21" s="24">
        <f t="shared" si="7"/>
        <v>528.76008856985538</v>
      </c>
      <c r="P21" s="25">
        <f t="shared" si="8"/>
        <v>1850.6603099944937</v>
      </c>
      <c r="R21" s="24">
        <v>48021.077883012935</v>
      </c>
      <c r="S21">
        <f t="shared" si="9"/>
        <v>4.9999999999999975E-2</v>
      </c>
      <c r="U21" s="27">
        <v>100021638</v>
      </c>
      <c r="V21" s="24">
        <v>50422.13177716358</v>
      </c>
    </row>
    <row r="22" spans="1:22" x14ac:dyDescent="0.25">
      <c r="B22" s="27">
        <v>100021575</v>
      </c>
      <c r="C22" s="28" t="s">
        <v>31</v>
      </c>
      <c r="D22" s="21">
        <v>7790360007032</v>
      </c>
      <c r="E22" s="22">
        <v>4.1399999999999997</v>
      </c>
      <c r="F22" s="23">
        <v>60</v>
      </c>
      <c r="G22" s="24">
        <f t="shared" si="0"/>
        <v>42588.344784787107</v>
      </c>
      <c r="H22" s="23"/>
      <c r="I22" s="24">
        <f t="shared" si="1"/>
        <v>42588.344784787107</v>
      </c>
      <c r="J22" s="24">
        <f t="shared" si="2"/>
        <v>709.80574641311841</v>
      </c>
      <c r="K22" s="24">
        <f t="shared" si="3"/>
        <v>149.05920674675485</v>
      </c>
      <c r="L22" s="24">
        <f t="shared" si="4"/>
        <v>858.86495315987327</v>
      </c>
      <c r="M22" s="24">
        <f t="shared" si="5"/>
        <v>257.65948594796197</v>
      </c>
      <c r="N22" s="24">
        <f t="shared" si="6"/>
        <v>1116.5244391078352</v>
      </c>
      <c r="O22" s="24">
        <f t="shared" si="7"/>
        <v>446.60977564313407</v>
      </c>
      <c r="P22" s="25">
        <f t="shared" si="8"/>
        <v>1563.1342147509692</v>
      </c>
      <c r="R22" s="24">
        <v>40560.328366463909</v>
      </c>
      <c r="S22">
        <f t="shared" si="9"/>
        <v>5.0000000000000044E-2</v>
      </c>
      <c r="U22" s="27">
        <v>100021575</v>
      </c>
      <c r="V22" s="24">
        <v>42588.344784787107</v>
      </c>
    </row>
    <row r="23" spans="1:22" x14ac:dyDescent="0.25">
      <c r="B23" s="27">
        <v>100021514</v>
      </c>
      <c r="C23" s="28" t="s">
        <v>32</v>
      </c>
      <c r="D23" s="21">
        <v>7790360006943</v>
      </c>
      <c r="E23" s="22">
        <v>4.1399999999999997</v>
      </c>
      <c r="F23" s="23">
        <v>60</v>
      </c>
      <c r="G23" s="24">
        <f t="shared" si="0"/>
        <v>39137.336068684825</v>
      </c>
      <c r="H23" s="23"/>
      <c r="I23" s="24">
        <f t="shared" si="1"/>
        <v>39137.336068684825</v>
      </c>
      <c r="J23" s="24">
        <f t="shared" si="2"/>
        <v>652.28893447808036</v>
      </c>
      <c r="K23" s="24">
        <f t="shared" si="3"/>
        <v>136.98067624039686</v>
      </c>
      <c r="L23" s="24">
        <f t="shared" si="4"/>
        <v>789.26961071847722</v>
      </c>
      <c r="M23" s="24">
        <f t="shared" si="5"/>
        <v>236.78088321554316</v>
      </c>
      <c r="N23" s="24">
        <f t="shared" si="6"/>
        <v>1026.0504939340203</v>
      </c>
      <c r="O23" s="24">
        <f t="shared" si="7"/>
        <v>410.42019757360816</v>
      </c>
      <c r="P23" s="25">
        <f t="shared" si="8"/>
        <v>1436.4706915076285</v>
      </c>
      <c r="R23" s="24">
        <v>37273.653398747454</v>
      </c>
      <c r="S23">
        <f t="shared" si="9"/>
        <v>4.999999999999994E-2</v>
      </c>
      <c r="U23" s="27">
        <v>100021514</v>
      </c>
      <c r="V23" s="24">
        <v>39137.336068684825</v>
      </c>
    </row>
    <row r="24" spans="1:22" x14ac:dyDescent="0.25">
      <c r="B24" s="26">
        <v>100516208</v>
      </c>
      <c r="C24" s="30" t="s">
        <v>33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44913.618471099166</v>
      </c>
      <c r="H24" s="23"/>
      <c r="I24" s="24">
        <f t="shared" si="1"/>
        <v>44913.618471099166</v>
      </c>
      <c r="J24" s="24">
        <f t="shared" si="2"/>
        <v>748.56030785165274</v>
      </c>
      <c r="K24" s="24">
        <f t="shared" si="3"/>
        <v>157.19766464884708</v>
      </c>
      <c r="L24" s="24">
        <f t="shared" si="4"/>
        <v>905.75797250049982</v>
      </c>
      <c r="M24" s="24">
        <f t="shared" si="5"/>
        <v>271.72739175014993</v>
      </c>
      <c r="N24" s="24">
        <f t="shared" si="6"/>
        <v>1177.4853642506498</v>
      </c>
      <c r="O24" s="24">
        <f t="shared" si="7"/>
        <v>470.99414570025993</v>
      </c>
      <c r="P24" s="25">
        <f t="shared" si="8"/>
        <v>1648.4795099509097</v>
      </c>
      <c r="R24" s="24">
        <v>42774.874734380151</v>
      </c>
      <c r="S24">
        <f t="shared" si="9"/>
        <v>5.0000000000000155E-2</v>
      </c>
      <c r="U24" s="26">
        <v>100516208</v>
      </c>
      <c r="V24" s="24">
        <v>44913.618471099166</v>
      </c>
    </row>
    <row r="25" spans="1:22" x14ac:dyDescent="0.25">
      <c r="B25" s="27">
        <v>100518346</v>
      </c>
      <c r="C25" s="28" t="s">
        <v>34</v>
      </c>
      <c r="D25" s="21"/>
      <c r="E25" s="22">
        <v>6.54</v>
      </c>
      <c r="F25" s="23">
        <v>60</v>
      </c>
      <c r="G25" s="24">
        <f t="shared" si="0"/>
        <v>64856.371731996311</v>
      </c>
      <c r="H25" s="23"/>
      <c r="I25" s="24">
        <f t="shared" si="1"/>
        <v>64856.371731996311</v>
      </c>
      <c r="J25" s="24">
        <f t="shared" si="2"/>
        <v>1080.9395288666051</v>
      </c>
      <c r="K25" s="24">
        <f t="shared" si="3"/>
        <v>226.99730106198706</v>
      </c>
      <c r="L25" s="24">
        <f t="shared" si="4"/>
        <v>1307.936829928592</v>
      </c>
      <c r="M25" s="24">
        <f t="shared" si="5"/>
        <v>392.38104897857761</v>
      </c>
      <c r="N25" s="24">
        <f t="shared" si="6"/>
        <v>1700.3178789071696</v>
      </c>
      <c r="O25" s="24">
        <f t="shared" si="7"/>
        <v>680.12715156286788</v>
      </c>
      <c r="P25" s="25">
        <f t="shared" si="8"/>
        <v>2380.4450304700376</v>
      </c>
      <c r="R25" s="24">
        <v>61767.973078091723</v>
      </c>
      <c r="S25">
        <f t="shared" si="9"/>
        <v>5.0000000000000017E-2</v>
      </c>
      <c r="U25" s="27">
        <v>100518346</v>
      </c>
      <c r="V25" s="24">
        <v>64856.371731996311</v>
      </c>
    </row>
    <row r="26" spans="1:22" x14ac:dyDescent="0.25">
      <c r="B26" s="27">
        <v>100516259</v>
      </c>
      <c r="C26" s="28" t="s">
        <v>35</v>
      </c>
      <c r="D26" s="21">
        <v>7790360968340</v>
      </c>
      <c r="E26" s="22">
        <v>18.16</v>
      </c>
      <c r="F26" s="23">
        <v>48</v>
      </c>
      <c r="G26" s="24">
        <f t="shared" si="0"/>
        <v>145463.96537086758</v>
      </c>
      <c r="H26" s="23"/>
      <c r="I26" s="24">
        <f t="shared" si="1"/>
        <v>145463.96537086758</v>
      </c>
      <c r="J26" s="24">
        <f t="shared" si="2"/>
        <v>3030.499278559741</v>
      </c>
      <c r="K26" s="24">
        <f t="shared" si="3"/>
        <v>636.40484849754557</v>
      </c>
      <c r="L26" s="24">
        <f t="shared" si="4"/>
        <v>3666.9041270572866</v>
      </c>
      <c r="M26" s="24">
        <f t="shared" si="5"/>
        <v>1100.0712381171859</v>
      </c>
      <c r="N26" s="24">
        <f t="shared" si="6"/>
        <v>4766.9753651744722</v>
      </c>
      <c r="O26" s="24">
        <f t="shared" si="7"/>
        <v>1906.790146069789</v>
      </c>
      <c r="P26" s="25">
        <f t="shared" si="8"/>
        <v>6673.7655112442608</v>
      </c>
      <c r="R26" s="24">
        <v>138537.10987701672</v>
      </c>
      <c r="S26">
        <f t="shared" si="9"/>
        <v>5.0000000000000176E-2</v>
      </c>
      <c r="U26" s="27">
        <v>100516259</v>
      </c>
      <c r="V26" s="24">
        <v>145463.96537086758</v>
      </c>
    </row>
    <row r="27" spans="1:22" x14ac:dyDescent="0.25">
      <c r="B27" s="84">
        <v>100518095</v>
      </c>
      <c r="C27" s="28" t="s">
        <v>36</v>
      </c>
      <c r="D27" s="21">
        <v>7790360974785</v>
      </c>
      <c r="E27" s="22">
        <v>6.66</v>
      </c>
      <c r="F27" s="23">
        <v>36</v>
      </c>
      <c r="G27" s="24">
        <f t="shared" si="0"/>
        <v>72476.90861984581</v>
      </c>
      <c r="H27" s="23"/>
      <c r="I27" s="24">
        <f t="shared" si="1"/>
        <v>72476.90861984581</v>
      </c>
      <c r="J27" s="24">
        <f t="shared" si="2"/>
        <v>2013.2474616623836</v>
      </c>
      <c r="K27" s="24">
        <f t="shared" si="3"/>
        <v>422.78196694910054</v>
      </c>
      <c r="L27" s="24">
        <f t="shared" si="4"/>
        <v>2436.029428611484</v>
      </c>
      <c r="M27" s="24">
        <f t="shared" si="5"/>
        <v>730.80882858344523</v>
      </c>
      <c r="N27" s="24">
        <f t="shared" si="6"/>
        <v>3166.8382571949292</v>
      </c>
      <c r="O27" s="24">
        <f t="shared" si="7"/>
        <v>1266.7353028779717</v>
      </c>
      <c r="P27" s="25">
        <f t="shared" si="8"/>
        <v>4433.5735600729004</v>
      </c>
      <c r="R27" s="24">
        <v>69025.627256995998</v>
      </c>
      <c r="S27">
        <f t="shared" si="9"/>
        <v>5.0000000000000169E-2</v>
      </c>
      <c r="U27" s="84">
        <v>100518095</v>
      </c>
      <c r="V27" s="24">
        <v>72476.90861984581</v>
      </c>
    </row>
    <row r="28" spans="1:22" x14ac:dyDescent="0.25">
      <c r="B28" s="27">
        <v>100518223</v>
      </c>
      <c r="C28" s="28" t="s">
        <v>37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56427.301230407531</v>
      </c>
      <c r="H28" s="23"/>
      <c r="I28" s="24">
        <f t="shared" si="1"/>
        <v>56427.301230407531</v>
      </c>
      <c r="J28" s="24">
        <f t="shared" si="2"/>
        <v>1880.9100410135843</v>
      </c>
      <c r="K28" s="24">
        <f t="shared" si="3"/>
        <v>394.99110861285271</v>
      </c>
      <c r="L28" s="24">
        <f t="shared" si="4"/>
        <v>2275.901149626437</v>
      </c>
      <c r="M28" s="24">
        <f t="shared" si="5"/>
        <v>682.77034488793106</v>
      </c>
      <c r="N28" s="24">
        <f t="shared" si="6"/>
        <v>2958.6714945143681</v>
      </c>
      <c r="O28" s="24">
        <f t="shared" si="7"/>
        <v>1183.4685978057473</v>
      </c>
      <c r="P28" s="25">
        <f t="shared" si="8"/>
        <v>4142.1400923201154</v>
      </c>
      <c r="R28" s="24">
        <v>53740.286886102404</v>
      </c>
      <c r="S28">
        <f t="shared" si="9"/>
        <v>5.0000000000000135E-2</v>
      </c>
      <c r="U28" s="27">
        <v>100518223</v>
      </c>
      <c r="V28" s="24">
        <v>56427.301230407531</v>
      </c>
    </row>
    <row r="29" spans="1:22" x14ac:dyDescent="0.25">
      <c r="B29" s="32"/>
      <c r="C29" s="33"/>
      <c r="D29" s="34"/>
      <c r="E29" s="33"/>
      <c r="F29" s="35"/>
      <c r="G29" s="35" t="e">
        <f t="shared" si="0"/>
        <v>#N/A</v>
      </c>
      <c r="H29" s="35"/>
      <c r="I29" s="35" t="e">
        <f t="shared" si="1"/>
        <v>#N/A</v>
      </c>
      <c r="J29" s="37" t="e">
        <f t="shared" si="2"/>
        <v>#N/A</v>
      </c>
      <c r="K29" s="38">
        <v>0.21</v>
      </c>
      <c r="L29" s="37"/>
      <c r="M29" s="17">
        <v>0.3</v>
      </c>
      <c r="N29" s="16"/>
      <c r="O29" s="17">
        <v>0.4</v>
      </c>
      <c r="P29" s="39"/>
      <c r="R29" s="35" t="e">
        <v>#N/A</v>
      </c>
      <c r="S29" t="e">
        <f t="shared" si="9"/>
        <v>#N/A</v>
      </c>
      <c r="U29" s="32"/>
      <c r="V29" s="35" t="e">
        <v>#VALUE!</v>
      </c>
    </row>
    <row r="30" spans="1:22" x14ac:dyDescent="0.25">
      <c r="B30" s="82">
        <v>100022085</v>
      </c>
      <c r="C30" s="95" t="s">
        <v>38</v>
      </c>
      <c r="D30" s="96">
        <v>7790360000132</v>
      </c>
      <c r="E30" s="97">
        <v>5.4</v>
      </c>
      <c r="F30" s="98">
        <v>24</v>
      </c>
      <c r="G30" s="83">
        <f t="shared" si="0"/>
        <v>21970.510692315205</v>
      </c>
      <c r="H30" s="100"/>
      <c r="I30" s="83">
        <f t="shared" si="1"/>
        <v>21970.510692315205</v>
      </c>
      <c r="J30" s="83">
        <f t="shared" si="2"/>
        <v>915.43794551313351</v>
      </c>
      <c r="K30" s="83">
        <f t="shared" si="3"/>
        <v>192.24196855775804</v>
      </c>
      <c r="L30" s="83">
        <f t="shared" si="4"/>
        <v>1107.6799140708915</v>
      </c>
      <c r="M30" s="83">
        <f t="shared" si="5"/>
        <v>332.30397422126742</v>
      </c>
      <c r="N30" s="83">
        <f t="shared" si="6"/>
        <v>1439.983888292159</v>
      </c>
      <c r="O30" s="83">
        <f t="shared" si="7"/>
        <v>575.99355531686365</v>
      </c>
      <c r="P30" s="99">
        <f t="shared" si="8"/>
        <v>2015.9774436090227</v>
      </c>
      <c r="R30" s="83">
        <v>20505.72671565479</v>
      </c>
      <c r="S30">
        <f t="shared" si="9"/>
        <v>7.1432921981845601E-2</v>
      </c>
      <c r="U30" s="27">
        <v>100022085</v>
      </c>
      <c r="V30" s="24">
        <v>21970.510692315205</v>
      </c>
    </row>
    <row r="31" spans="1:22" x14ac:dyDescent="0.25">
      <c r="A31" s="27"/>
      <c r="B31" s="27">
        <v>100522204</v>
      </c>
      <c r="C31" s="28" t="s">
        <v>38</v>
      </c>
      <c r="D31" s="21">
        <v>7790360983947</v>
      </c>
      <c r="E31" s="22">
        <v>5.4</v>
      </c>
      <c r="F31" s="23">
        <v>24</v>
      </c>
      <c r="G31" s="83">
        <f t="shared" si="0"/>
        <v>21970.510692315205</v>
      </c>
      <c r="H31" s="100"/>
      <c r="I31" s="83">
        <f t="shared" ref="I31" si="10">+G31*(1-H31)</f>
        <v>21970.510692315205</v>
      </c>
      <c r="J31" s="83">
        <f t="shared" ref="J31" si="11">+I31/F31</f>
        <v>915.43794551313351</v>
      </c>
      <c r="K31" s="83">
        <f t="shared" ref="K31" si="12">+J31*K$3</f>
        <v>192.24196855775804</v>
      </c>
      <c r="L31" s="83">
        <f t="shared" ref="L31" si="13">+J31+K31</f>
        <v>1107.6799140708915</v>
      </c>
      <c r="M31" s="83">
        <f t="shared" ref="M31" si="14">+L31*M$3</f>
        <v>332.30397422126742</v>
      </c>
      <c r="N31" s="83">
        <f t="shared" ref="N31" si="15">+L31+M31</f>
        <v>1439.983888292159</v>
      </c>
      <c r="O31" s="83">
        <f t="shared" ref="O31" si="16">+N31*O$3</f>
        <v>575.99355531686365</v>
      </c>
      <c r="P31" s="99">
        <f t="shared" si="8"/>
        <v>2015.9774436090227</v>
      </c>
      <c r="R31" s="83"/>
      <c r="U31" s="27">
        <v>100522204</v>
      </c>
      <c r="V31" s="24">
        <v>21970.510692315205</v>
      </c>
    </row>
    <row r="32" spans="1:22" x14ac:dyDescent="0.25">
      <c r="B32" s="82">
        <v>100022072</v>
      </c>
      <c r="C32" s="95" t="s">
        <v>39</v>
      </c>
      <c r="D32" s="96">
        <v>7790360024541</v>
      </c>
      <c r="E32" s="97">
        <v>5.4</v>
      </c>
      <c r="F32" s="98">
        <v>12</v>
      </c>
      <c r="G32" s="83">
        <f t="shared" si="0"/>
        <v>20871.985157699444</v>
      </c>
      <c r="H32" s="100"/>
      <c r="I32" s="83">
        <f t="shared" si="1"/>
        <v>20871.985157699444</v>
      </c>
      <c r="J32" s="83">
        <f t="shared" si="2"/>
        <v>1739.3320964749537</v>
      </c>
      <c r="K32" s="83">
        <f t="shared" si="3"/>
        <v>365.25974025974028</v>
      </c>
      <c r="L32" s="83">
        <f t="shared" si="4"/>
        <v>2104.591836734694</v>
      </c>
      <c r="M32" s="83">
        <f t="shared" si="5"/>
        <v>631.37755102040819</v>
      </c>
      <c r="N32" s="83">
        <f t="shared" si="6"/>
        <v>2735.9693877551022</v>
      </c>
      <c r="O32" s="83">
        <f t="shared" si="7"/>
        <v>1094.387755102041</v>
      </c>
      <c r="P32" s="99">
        <f t="shared" si="8"/>
        <v>3830.3571428571431</v>
      </c>
      <c r="R32" s="24">
        <v>19626.927634760348</v>
      </c>
      <c r="S32">
        <f t="shared" si="9"/>
        <v>6.3436190630979453E-2</v>
      </c>
      <c r="U32" s="27">
        <v>100022072</v>
      </c>
      <c r="V32" s="24">
        <v>20871.985157699444</v>
      </c>
    </row>
    <row r="33" spans="1:24" x14ac:dyDescent="0.25">
      <c r="A33" s="27"/>
      <c r="B33" s="27">
        <v>100522205</v>
      </c>
      <c r="C33" s="28" t="s">
        <v>39</v>
      </c>
      <c r="D33" s="21">
        <v>7790360983954</v>
      </c>
      <c r="E33" s="22">
        <v>5.4</v>
      </c>
      <c r="F33" s="23">
        <v>12</v>
      </c>
      <c r="G33" s="83">
        <f t="shared" si="0"/>
        <v>20871.985157699444</v>
      </c>
      <c r="H33" s="100"/>
      <c r="I33" s="83">
        <f t="shared" ref="I33" si="17">+G33*(1-H33)</f>
        <v>20871.985157699444</v>
      </c>
      <c r="J33" s="83">
        <f t="shared" ref="J33" si="18">+I33/F33</f>
        <v>1739.3320964749537</v>
      </c>
      <c r="K33" s="83">
        <f t="shared" ref="K33" si="19">+J33*K$3</f>
        <v>365.25974025974028</v>
      </c>
      <c r="L33" s="83">
        <f t="shared" ref="L33" si="20">+J33+K33</f>
        <v>2104.591836734694</v>
      </c>
      <c r="M33" s="83">
        <f t="shared" ref="M33" si="21">+L33*M$3</f>
        <v>631.37755102040819</v>
      </c>
      <c r="N33" s="83">
        <f t="shared" ref="N33" si="22">+L33+M33</f>
        <v>2735.9693877551022</v>
      </c>
      <c r="O33" s="83">
        <f t="shared" ref="O33" si="23">+N33*O$3</f>
        <v>1094.387755102041</v>
      </c>
      <c r="P33" s="99">
        <f t="shared" si="8"/>
        <v>3830.3571428571431</v>
      </c>
      <c r="R33" s="24"/>
      <c r="U33" s="27">
        <v>100522205</v>
      </c>
      <c r="V33" s="24">
        <v>20871.985157699444</v>
      </c>
    </row>
    <row r="34" spans="1:24" x14ac:dyDescent="0.25">
      <c r="B34" s="82">
        <v>100516849</v>
      </c>
      <c r="C34" s="95" t="s">
        <v>40</v>
      </c>
      <c r="D34" s="96">
        <v>7790360970053</v>
      </c>
      <c r="E34" s="97">
        <v>4.5599999990400004</v>
      </c>
      <c r="F34" s="98">
        <v>24</v>
      </c>
      <c r="G34" s="83">
        <f t="shared" si="0"/>
        <v>17576.408553852165</v>
      </c>
      <c r="H34" s="100"/>
      <c r="I34" s="83">
        <f t="shared" si="1"/>
        <v>17576.408553852165</v>
      </c>
      <c r="J34" s="83">
        <f t="shared" si="2"/>
        <v>732.35035641050683</v>
      </c>
      <c r="K34" s="83">
        <f t="shared" si="3"/>
        <v>153.79357484620644</v>
      </c>
      <c r="L34" s="83">
        <f t="shared" si="4"/>
        <v>886.14393125671324</v>
      </c>
      <c r="M34" s="83">
        <f t="shared" si="5"/>
        <v>265.84317937701394</v>
      </c>
      <c r="N34" s="83">
        <f t="shared" si="6"/>
        <v>1151.9871106337273</v>
      </c>
      <c r="O34" s="83">
        <f t="shared" si="7"/>
        <v>460.79484425349096</v>
      </c>
      <c r="P34" s="99">
        <f t="shared" si="8"/>
        <v>1612.7819548872183</v>
      </c>
      <c r="R34" s="83">
        <v>17576.450109472775</v>
      </c>
      <c r="S34">
        <f t="shared" si="9"/>
        <v>-2.3642783583172846E-6</v>
      </c>
      <c r="U34" s="27">
        <v>100516849</v>
      </c>
      <c r="V34" s="24">
        <v>17576.408553852165</v>
      </c>
    </row>
    <row r="35" spans="1:24" x14ac:dyDescent="0.25">
      <c r="B35" s="27">
        <v>100022039</v>
      </c>
      <c r="C35" s="28" t="s">
        <v>41</v>
      </c>
      <c r="D35" s="21">
        <v>7790360007063</v>
      </c>
      <c r="E35" s="22">
        <v>8.6999999999999993</v>
      </c>
      <c r="F35" s="23">
        <v>10</v>
      </c>
      <c r="G35" s="24">
        <f t="shared" si="0"/>
        <v>52385.600303146959</v>
      </c>
      <c r="H35" s="136"/>
      <c r="I35" s="24">
        <f t="shared" si="1"/>
        <v>52385.600303146959</v>
      </c>
      <c r="J35" s="24">
        <f t="shared" si="2"/>
        <v>5238.5600303146957</v>
      </c>
      <c r="K35" s="24">
        <f t="shared" si="3"/>
        <v>1100.097606366086</v>
      </c>
      <c r="L35" s="24">
        <f t="shared" si="4"/>
        <v>6338.6576366807822</v>
      </c>
      <c r="M35" s="24">
        <f t="shared" si="5"/>
        <v>1901.5972910042346</v>
      </c>
      <c r="N35" s="24">
        <f t="shared" si="6"/>
        <v>8240.2549276850168</v>
      </c>
      <c r="O35" s="24">
        <f t="shared" si="7"/>
        <v>3296.101971074007</v>
      </c>
      <c r="P35" s="25">
        <f t="shared" si="8"/>
        <v>11536.356898759024</v>
      </c>
      <c r="R35" s="24">
        <v>47092.413073666808</v>
      </c>
      <c r="S35">
        <f t="shared" si="9"/>
        <v>0.11240000000000003</v>
      </c>
      <c r="U35" s="27">
        <v>100022039</v>
      </c>
      <c r="V35" s="24">
        <v>52385.600303146959</v>
      </c>
    </row>
    <row r="36" spans="1:24" x14ac:dyDescent="0.25">
      <c r="A36" s="27"/>
      <c r="B36" s="27">
        <v>100522206</v>
      </c>
      <c r="C36" s="28" t="s">
        <v>41</v>
      </c>
      <c r="D36" s="21">
        <v>7790360983961</v>
      </c>
      <c r="E36" s="22">
        <v>8.6999999999999993</v>
      </c>
      <c r="F36" s="23">
        <v>10</v>
      </c>
      <c r="G36" s="24">
        <f t="shared" ref="G36:G67" si="24">+VLOOKUP(B36,$U$4:$V$104,2,FALSE)</f>
        <v>52385.600303146959</v>
      </c>
      <c r="H36" s="100"/>
      <c r="I36" s="83">
        <f t="shared" ref="I36" si="25">+G36*(1-H36)</f>
        <v>52385.600303146959</v>
      </c>
      <c r="J36" s="83">
        <f t="shared" ref="J36" si="26">+I36/F36</f>
        <v>5238.5600303146957</v>
      </c>
      <c r="K36" s="83">
        <f t="shared" ref="K36" si="27">+J36*K$3</f>
        <v>1100.097606366086</v>
      </c>
      <c r="L36" s="83">
        <f t="shared" ref="L36" si="28">+J36+K36</f>
        <v>6338.6576366807822</v>
      </c>
      <c r="M36" s="83">
        <f t="shared" ref="M36" si="29">+L36*M$3</f>
        <v>1901.5972910042346</v>
      </c>
      <c r="N36" s="83">
        <f t="shared" ref="N36" si="30">+L36+M36</f>
        <v>8240.2549276850168</v>
      </c>
      <c r="O36" s="83">
        <f t="shared" ref="O36" si="31">+N36*O$3</f>
        <v>3296.101971074007</v>
      </c>
      <c r="P36" s="25">
        <f t="shared" si="8"/>
        <v>11536.356898759024</v>
      </c>
      <c r="R36" s="24"/>
      <c r="U36" s="27">
        <v>100522206</v>
      </c>
      <c r="V36" s="24">
        <v>52385.600303146959</v>
      </c>
    </row>
    <row r="37" spans="1:24" x14ac:dyDescent="0.25">
      <c r="B37" s="82">
        <v>100022058</v>
      </c>
      <c r="C37" s="95" t="s">
        <v>42</v>
      </c>
      <c r="D37" s="96">
        <v>7790360026002</v>
      </c>
      <c r="E37" s="97">
        <v>4.5599999990400004</v>
      </c>
      <c r="F37" s="98">
        <v>24</v>
      </c>
      <c r="G37" s="83">
        <f t="shared" si="24"/>
        <v>17603.103418553557</v>
      </c>
      <c r="H37" s="94"/>
      <c r="I37" s="83">
        <f t="shared" si="1"/>
        <v>17603.103418553557</v>
      </c>
      <c r="J37" s="83">
        <f t="shared" si="2"/>
        <v>733.46264243973155</v>
      </c>
      <c r="K37" s="83">
        <f t="shared" si="3"/>
        <v>154.02715491234363</v>
      </c>
      <c r="L37" s="83">
        <f t="shared" si="4"/>
        <v>887.48979735207513</v>
      </c>
      <c r="M37" s="83">
        <f>+L37*0.33</f>
        <v>292.8716331261848</v>
      </c>
      <c r="N37" s="83">
        <f t="shared" si="6"/>
        <v>1180.36143047826</v>
      </c>
      <c r="O37" s="83">
        <f t="shared" si="7"/>
        <v>472.14457219130401</v>
      </c>
      <c r="P37" s="99">
        <f t="shared" si="8"/>
        <v>1652.5060026695639</v>
      </c>
      <c r="R37" s="83">
        <v>11483.253588516749</v>
      </c>
      <c r="S37">
        <f t="shared" si="9"/>
        <v>0.53293692269903858</v>
      </c>
      <c r="U37" s="27">
        <v>100022058</v>
      </c>
      <c r="V37" s="24">
        <v>17603.103418553557</v>
      </c>
      <c r="X37" s="1" t="s">
        <v>135</v>
      </c>
    </row>
    <row r="38" spans="1:24" x14ac:dyDescent="0.25">
      <c r="B38" s="27">
        <v>100518151</v>
      </c>
      <c r="C38" s="28" t="s">
        <v>43</v>
      </c>
      <c r="D38" s="21">
        <v>7790360974990</v>
      </c>
      <c r="E38" s="22">
        <v>8.6999999999999993</v>
      </c>
      <c r="F38" s="23">
        <v>10</v>
      </c>
      <c r="G38" s="24">
        <f t="shared" si="24"/>
        <v>63817.203759130185</v>
      </c>
      <c r="H38" s="23"/>
      <c r="I38" s="24">
        <f t="shared" si="1"/>
        <v>63817.203759130185</v>
      </c>
      <c r="J38" s="24">
        <f t="shared" si="2"/>
        <v>6381.7203759130189</v>
      </c>
      <c r="K38" s="24">
        <f t="shared" si="3"/>
        <v>1340.1612789417338</v>
      </c>
      <c r="L38" s="24">
        <f t="shared" si="4"/>
        <v>7721.8816548547529</v>
      </c>
      <c r="M38" s="24">
        <f>+L38*0.33</f>
        <v>2548.2209461020684</v>
      </c>
      <c r="N38" s="24">
        <f t="shared" si="6"/>
        <v>10270.102600956821</v>
      </c>
      <c r="O38" s="24">
        <f t="shared" si="7"/>
        <v>4108.0410403827291</v>
      </c>
      <c r="P38" s="25">
        <f t="shared" si="8"/>
        <v>14378.14364133955</v>
      </c>
      <c r="R38" s="24">
        <v>57368.935418132132</v>
      </c>
      <c r="S38">
        <f t="shared" si="9"/>
        <v>0.11240000000000001</v>
      </c>
      <c r="U38" s="27">
        <v>100518151</v>
      </c>
      <c r="V38" s="24">
        <v>63817.203759130185</v>
      </c>
    </row>
    <row r="39" spans="1:24" x14ac:dyDescent="0.25">
      <c r="B39" s="32"/>
      <c r="C39" s="33"/>
      <c r="D39" s="34"/>
      <c r="E39" s="33"/>
      <c r="F39" s="35"/>
      <c r="G39" s="35" t="e">
        <f t="shared" si="24"/>
        <v>#N/A</v>
      </c>
      <c r="H39" s="35"/>
      <c r="I39" s="35" t="e">
        <f t="shared" si="1"/>
        <v>#N/A</v>
      </c>
      <c r="J39" s="37" t="e">
        <f t="shared" si="2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 t="e">
        <v>#N/A</v>
      </c>
      <c r="S39" t="e">
        <f t="shared" si="9"/>
        <v>#N/A</v>
      </c>
      <c r="U39" s="32"/>
      <c r="V39" s="35" t="e">
        <v>#VALUE!</v>
      </c>
    </row>
    <row r="40" spans="1:24" x14ac:dyDescent="0.25">
      <c r="B40" s="82">
        <v>100021000</v>
      </c>
      <c r="C40" s="95" t="s">
        <v>44</v>
      </c>
      <c r="D40" s="96">
        <v>7790360720382</v>
      </c>
      <c r="E40" s="97">
        <v>2.16</v>
      </c>
      <c r="F40" s="98">
        <v>24</v>
      </c>
      <c r="G40" s="83">
        <f t="shared" si="24"/>
        <v>13579.524837332692</v>
      </c>
      <c r="H40" s="100"/>
      <c r="I40" s="83">
        <f t="shared" si="1"/>
        <v>13579.524837332692</v>
      </c>
      <c r="J40" s="83">
        <f t="shared" si="2"/>
        <v>565.81353488886214</v>
      </c>
      <c r="K40" s="83">
        <f t="shared" si="3"/>
        <v>118.82084232666105</v>
      </c>
      <c r="L40" s="83">
        <f t="shared" si="4"/>
        <v>684.63437721552316</v>
      </c>
      <c r="M40" s="83">
        <f>+L40*M$39</f>
        <v>136.92687544310465</v>
      </c>
      <c r="N40" s="83">
        <f t="shared" si="6"/>
        <v>821.56125265862784</v>
      </c>
      <c r="O40" s="83">
        <f>+N40*O$39</f>
        <v>287.54643843051974</v>
      </c>
      <c r="P40" s="99">
        <f t="shared" si="8"/>
        <v>1109.1076910891475</v>
      </c>
      <c r="Q40" t="s">
        <v>89</v>
      </c>
      <c r="R40" s="83">
        <v>12345.022579393355</v>
      </c>
      <c r="S40">
        <f t="shared" si="9"/>
        <v>0.10000000000000013</v>
      </c>
      <c r="U40" s="27">
        <v>100021000</v>
      </c>
      <c r="V40" s="24">
        <v>13579.524837332692</v>
      </c>
    </row>
    <row r="41" spans="1:24" x14ac:dyDescent="0.25">
      <c r="B41" s="82">
        <v>100021001</v>
      </c>
      <c r="C41" s="95" t="s">
        <v>45</v>
      </c>
      <c r="D41" s="96">
        <v>7790360720115</v>
      </c>
      <c r="E41" s="97">
        <v>2.16</v>
      </c>
      <c r="F41" s="98">
        <v>24</v>
      </c>
      <c r="G41" s="83">
        <f t="shared" si="24"/>
        <v>13579.524837332692</v>
      </c>
      <c r="H41" s="100"/>
      <c r="I41" s="83">
        <f t="shared" si="1"/>
        <v>13579.524837332692</v>
      </c>
      <c r="J41" s="83">
        <f t="shared" si="2"/>
        <v>565.81353488886214</v>
      </c>
      <c r="K41" s="83">
        <f t="shared" si="3"/>
        <v>118.82084232666105</v>
      </c>
      <c r="L41" s="83">
        <f t="shared" si="4"/>
        <v>684.63437721552316</v>
      </c>
      <c r="M41" s="83">
        <f t="shared" ref="M41:M56" si="32">+L41*M$39</f>
        <v>136.92687544310465</v>
      </c>
      <c r="N41" s="83">
        <f t="shared" si="6"/>
        <v>821.56125265862784</v>
      </c>
      <c r="O41" s="83">
        <f t="shared" ref="O41:O56" si="33">+N41*O$39</f>
        <v>287.54643843051974</v>
      </c>
      <c r="P41" s="99">
        <f t="shared" si="8"/>
        <v>1109.1076910891475</v>
      </c>
      <c r="Q41" t="s">
        <v>89</v>
      </c>
      <c r="R41" s="83">
        <v>12345.022579393355</v>
      </c>
      <c r="S41">
        <f t="shared" si="9"/>
        <v>0.10000000000000013</v>
      </c>
      <c r="U41" s="27">
        <v>100021001</v>
      </c>
      <c r="V41" s="24">
        <v>13579.524837332692</v>
      </c>
    </row>
    <row r="42" spans="1:24" x14ac:dyDescent="0.25">
      <c r="B42" s="84">
        <v>100522277</v>
      </c>
      <c r="C42" s="28" t="s">
        <v>118</v>
      </c>
      <c r="D42" s="21"/>
      <c r="E42" s="22">
        <v>2.16</v>
      </c>
      <c r="F42" s="23">
        <v>24</v>
      </c>
      <c r="G42" s="83">
        <f t="shared" si="24"/>
        <v>13579.524837332692</v>
      </c>
      <c r="H42" s="100"/>
      <c r="I42" s="83">
        <f t="shared" ref="I42:I43" si="34">+G42*(1-H42)</f>
        <v>13579.524837332692</v>
      </c>
      <c r="J42" s="83">
        <f t="shared" ref="J42:J43" si="35">+I42/F42</f>
        <v>565.81353488886214</v>
      </c>
      <c r="K42" s="83">
        <f t="shared" ref="K42:K43" si="36">+J42*K$3</f>
        <v>118.82084232666105</v>
      </c>
      <c r="L42" s="83">
        <f t="shared" ref="L42:L43" si="37">+J42+K42</f>
        <v>684.63437721552316</v>
      </c>
      <c r="M42" s="83">
        <f t="shared" ref="M42:M43" si="38">+L42*M$39</f>
        <v>136.92687544310465</v>
      </c>
      <c r="N42" s="83">
        <f t="shared" ref="N42:N43" si="39">+L42+M42</f>
        <v>821.56125265862784</v>
      </c>
      <c r="O42" s="83">
        <f t="shared" ref="O42:O43" si="40">+N42*O$39</f>
        <v>287.54643843051974</v>
      </c>
      <c r="P42" s="99">
        <f t="shared" si="8"/>
        <v>1109.1076910891475</v>
      </c>
      <c r="R42" s="83">
        <v>12345.022579393355</v>
      </c>
      <c r="U42" s="84">
        <v>100522277</v>
      </c>
      <c r="V42" s="24">
        <v>13579.524837332692</v>
      </c>
    </row>
    <row r="43" spans="1:24" x14ac:dyDescent="0.25">
      <c r="B43" s="84">
        <v>100522333</v>
      </c>
      <c r="C43" s="28" t="s">
        <v>119</v>
      </c>
      <c r="D43" s="21"/>
      <c r="E43" s="22">
        <v>2.16</v>
      </c>
      <c r="F43" s="23">
        <v>24</v>
      </c>
      <c r="G43" s="83">
        <f t="shared" si="24"/>
        <v>13579.524837332692</v>
      </c>
      <c r="H43" s="100"/>
      <c r="I43" s="83">
        <f t="shared" si="34"/>
        <v>13579.524837332692</v>
      </c>
      <c r="J43" s="83">
        <f t="shared" si="35"/>
        <v>565.81353488886214</v>
      </c>
      <c r="K43" s="83">
        <f t="shared" si="36"/>
        <v>118.82084232666105</v>
      </c>
      <c r="L43" s="83">
        <f t="shared" si="37"/>
        <v>684.63437721552316</v>
      </c>
      <c r="M43" s="83">
        <f t="shared" si="38"/>
        <v>136.92687544310465</v>
      </c>
      <c r="N43" s="83">
        <f t="shared" si="39"/>
        <v>821.56125265862784</v>
      </c>
      <c r="O43" s="83">
        <f t="shared" si="40"/>
        <v>287.54643843051974</v>
      </c>
      <c r="P43" s="99">
        <f t="shared" si="8"/>
        <v>1109.1076910891475</v>
      </c>
      <c r="R43" s="83">
        <v>12345.022579393355</v>
      </c>
      <c r="U43" s="84">
        <v>100522333</v>
      </c>
      <c r="V43" s="24">
        <v>13579.524837332692</v>
      </c>
    </row>
    <row r="44" spans="1:24" x14ac:dyDescent="0.25">
      <c r="B44" s="82">
        <v>100021045</v>
      </c>
      <c r="C44" s="95" t="s">
        <v>46</v>
      </c>
      <c r="D44" s="96">
        <v>7790360966582</v>
      </c>
      <c r="E44" s="97">
        <v>2.16</v>
      </c>
      <c r="F44" s="98">
        <v>24</v>
      </c>
      <c r="G44" s="83">
        <f t="shared" si="24"/>
        <v>13579.52483733269</v>
      </c>
      <c r="H44" s="100"/>
      <c r="I44" s="83">
        <f t="shared" si="1"/>
        <v>13579.52483733269</v>
      </c>
      <c r="J44" s="83">
        <f t="shared" si="2"/>
        <v>565.81353488886214</v>
      </c>
      <c r="K44" s="83">
        <f t="shared" si="3"/>
        <v>118.82084232666105</v>
      </c>
      <c r="L44" s="83">
        <f t="shared" si="4"/>
        <v>684.63437721552316</v>
      </c>
      <c r="M44" s="83">
        <f t="shared" si="32"/>
        <v>136.92687544310465</v>
      </c>
      <c r="N44" s="83">
        <f t="shared" si="6"/>
        <v>821.56125265862784</v>
      </c>
      <c r="O44" s="83">
        <f t="shared" si="33"/>
        <v>287.54643843051974</v>
      </c>
      <c r="P44" s="99">
        <f t="shared" si="8"/>
        <v>1109.1076910891475</v>
      </c>
      <c r="R44" s="83">
        <v>12029.408160000001</v>
      </c>
      <c r="S44">
        <f t="shared" si="9"/>
        <v>0.12886059369796041</v>
      </c>
      <c r="U44" s="27">
        <v>100021045</v>
      </c>
      <c r="V44" s="24">
        <v>13579.52483733269</v>
      </c>
    </row>
    <row r="45" spans="1:24" x14ac:dyDescent="0.25">
      <c r="B45" s="82">
        <v>100021004</v>
      </c>
      <c r="C45" s="95" t="s">
        <v>47</v>
      </c>
      <c r="D45" s="96">
        <v>7790360964526</v>
      </c>
      <c r="E45" s="97">
        <v>2.1120000000000001</v>
      </c>
      <c r="F45" s="98">
        <v>24</v>
      </c>
      <c r="G45" s="83">
        <f t="shared" si="24"/>
        <v>13579.52483733269</v>
      </c>
      <c r="H45" s="100"/>
      <c r="I45" s="83">
        <f t="shared" si="1"/>
        <v>13579.52483733269</v>
      </c>
      <c r="J45" s="83">
        <f t="shared" si="2"/>
        <v>565.81353488886214</v>
      </c>
      <c r="K45" s="83">
        <f t="shared" si="3"/>
        <v>118.82084232666105</v>
      </c>
      <c r="L45" s="83">
        <f t="shared" si="4"/>
        <v>684.63437721552316</v>
      </c>
      <c r="M45" s="83">
        <f t="shared" si="32"/>
        <v>136.92687544310465</v>
      </c>
      <c r="N45" s="83">
        <f t="shared" si="6"/>
        <v>821.56125265862784</v>
      </c>
      <c r="O45" s="83">
        <f t="shared" si="33"/>
        <v>287.54643843051974</v>
      </c>
      <c r="P45" s="99">
        <f t="shared" si="8"/>
        <v>1109.1076910891475</v>
      </c>
      <c r="R45" s="83">
        <v>12029.408160000001</v>
      </c>
      <c r="S45">
        <f t="shared" si="9"/>
        <v>0.12886059369796041</v>
      </c>
      <c r="U45" s="27">
        <v>100021004</v>
      </c>
      <c r="V45" s="24">
        <v>13579.52483733269</v>
      </c>
    </row>
    <row r="46" spans="1:24" x14ac:dyDescent="0.25">
      <c r="B46" s="82">
        <v>100021006</v>
      </c>
      <c r="C46" s="95" t="s">
        <v>48</v>
      </c>
      <c r="D46" s="96">
        <v>7790360964557</v>
      </c>
      <c r="E46" s="97">
        <v>2.1120000000000001</v>
      </c>
      <c r="F46" s="98">
        <v>24</v>
      </c>
      <c r="G46" s="83">
        <f t="shared" si="24"/>
        <v>13579.52483733269</v>
      </c>
      <c r="H46" s="100"/>
      <c r="I46" s="83">
        <f t="shared" si="1"/>
        <v>13579.52483733269</v>
      </c>
      <c r="J46" s="83">
        <f t="shared" si="2"/>
        <v>565.81353488886214</v>
      </c>
      <c r="K46" s="83">
        <f t="shared" si="3"/>
        <v>118.82084232666105</v>
      </c>
      <c r="L46" s="83">
        <f t="shared" si="4"/>
        <v>684.63437721552316</v>
      </c>
      <c r="M46" s="83">
        <f t="shared" si="32"/>
        <v>136.92687544310465</v>
      </c>
      <c r="N46" s="83">
        <f t="shared" si="6"/>
        <v>821.56125265862784</v>
      </c>
      <c r="O46" s="83">
        <f t="shared" si="33"/>
        <v>287.54643843051974</v>
      </c>
      <c r="P46" s="99">
        <f t="shared" si="8"/>
        <v>1109.1076910891475</v>
      </c>
      <c r="R46" s="83">
        <v>12029.408160000001</v>
      </c>
      <c r="S46">
        <f t="shared" si="9"/>
        <v>0.12886059369796041</v>
      </c>
      <c r="U46" s="27">
        <v>100021006</v>
      </c>
      <c r="V46" s="24">
        <v>13579.52483733269</v>
      </c>
    </row>
    <row r="47" spans="1:24" x14ac:dyDescent="0.25">
      <c r="B47" s="82">
        <v>100021007</v>
      </c>
      <c r="C47" s="95" t="s">
        <v>49</v>
      </c>
      <c r="D47" s="96">
        <v>7790360964540</v>
      </c>
      <c r="E47" s="97">
        <v>2.04</v>
      </c>
      <c r="F47" s="98">
        <v>24</v>
      </c>
      <c r="G47" s="83">
        <f t="shared" si="24"/>
        <v>15501.688125000002</v>
      </c>
      <c r="H47" s="100"/>
      <c r="I47" s="83">
        <f t="shared" si="1"/>
        <v>15501.688125000002</v>
      </c>
      <c r="J47" s="83">
        <f t="shared" si="2"/>
        <v>645.9036718750001</v>
      </c>
      <c r="K47" s="83">
        <f t="shared" si="3"/>
        <v>135.63977109375003</v>
      </c>
      <c r="L47" s="83">
        <f t="shared" si="4"/>
        <v>781.54344296875013</v>
      </c>
      <c r="M47" s="83">
        <f t="shared" si="32"/>
        <v>156.30868859375005</v>
      </c>
      <c r="N47" s="83">
        <f t="shared" si="6"/>
        <v>937.85213156250018</v>
      </c>
      <c r="O47" s="83">
        <f t="shared" si="33"/>
        <v>328.24824604687507</v>
      </c>
      <c r="P47" s="99">
        <f t="shared" si="8"/>
        <v>1266.1003776093753</v>
      </c>
      <c r="R47" s="83">
        <v>14092.44375</v>
      </c>
      <c r="S47">
        <f t="shared" si="9"/>
        <v>0.10000000000000014</v>
      </c>
      <c r="U47" s="27">
        <v>100021007</v>
      </c>
      <c r="V47" s="24">
        <v>15501.688125000002</v>
      </c>
    </row>
    <row r="48" spans="1:24" x14ac:dyDescent="0.25">
      <c r="B48" s="82">
        <v>100021013</v>
      </c>
      <c r="C48" s="95" t="s">
        <v>50</v>
      </c>
      <c r="D48" s="96">
        <v>7790360965714</v>
      </c>
      <c r="E48" s="97">
        <v>2.04</v>
      </c>
      <c r="F48" s="98">
        <v>24</v>
      </c>
      <c r="G48" s="83">
        <f t="shared" si="24"/>
        <v>15501.688125000002</v>
      </c>
      <c r="H48" s="100"/>
      <c r="I48" s="83">
        <f t="shared" si="1"/>
        <v>15501.688125000002</v>
      </c>
      <c r="J48" s="83">
        <f t="shared" si="2"/>
        <v>645.9036718750001</v>
      </c>
      <c r="K48" s="83">
        <f t="shared" si="3"/>
        <v>135.63977109375003</v>
      </c>
      <c r="L48" s="83">
        <f t="shared" si="4"/>
        <v>781.54344296875013</v>
      </c>
      <c r="M48" s="83">
        <f t="shared" si="32"/>
        <v>156.30868859375005</v>
      </c>
      <c r="N48" s="83">
        <f t="shared" si="6"/>
        <v>937.85213156250018</v>
      </c>
      <c r="O48" s="83">
        <f t="shared" si="33"/>
        <v>328.24824604687507</v>
      </c>
      <c r="P48" s="99">
        <f t="shared" si="8"/>
        <v>1266.1003776093753</v>
      </c>
      <c r="R48" s="83">
        <v>14092.44375</v>
      </c>
      <c r="S48">
        <f t="shared" si="9"/>
        <v>0.10000000000000014</v>
      </c>
      <c r="U48" s="27">
        <v>100021013</v>
      </c>
      <c r="V48" s="24">
        <v>15501.688125000002</v>
      </c>
    </row>
    <row r="49" spans="2:22" x14ac:dyDescent="0.25">
      <c r="B49" s="82">
        <v>100021014</v>
      </c>
      <c r="C49" s="95" t="s">
        <v>51</v>
      </c>
      <c r="D49" s="96">
        <v>7790360965721</v>
      </c>
      <c r="E49" s="97">
        <v>2.04</v>
      </c>
      <c r="F49" s="98">
        <v>24</v>
      </c>
      <c r="G49" s="83">
        <f t="shared" si="24"/>
        <v>15501.688125000002</v>
      </c>
      <c r="H49" s="100"/>
      <c r="I49" s="83">
        <f t="shared" si="1"/>
        <v>15501.688125000002</v>
      </c>
      <c r="J49" s="83">
        <f t="shared" si="2"/>
        <v>645.9036718750001</v>
      </c>
      <c r="K49" s="83">
        <f t="shared" si="3"/>
        <v>135.63977109375003</v>
      </c>
      <c r="L49" s="83">
        <f t="shared" si="4"/>
        <v>781.54344296875013</v>
      </c>
      <c r="M49" s="83">
        <f t="shared" si="32"/>
        <v>156.30868859375005</v>
      </c>
      <c r="N49" s="83">
        <f t="shared" si="6"/>
        <v>937.85213156250018</v>
      </c>
      <c r="O49" s="83">
        <f t="shared" si="33"/>
        <v>328.24824604687507</v>
      </c>
      <c r="P49" s="99">
        <f t="shared" si="8"/>
        <v>1266.1003776093753</v>
      </c>
      <c r="R49" s="83">
        <v>14092.44375</v>
      </c>
      <c r="S49">
        <f t="shared" si="9"/>
        <v>0.10000000000000014</v>
      </c>
      <c r="U49" s="27">
        <v>100021014</v>
      </c>
      <c r="V49" s="24">
        <v>15501.688125000002</v>
      </c>
    </row>
    <row r="50" spans="2:22" x14ac:dyDescent="0.25">
      <c r="B50" s="82">
        <v>100021054</v>
      </c>
      <c r="C50" s="95" t="s">
        <v>52</v>
      </c>
      <c r="D50" s="96">
        <v>7790360965707</v>
      </c>
      <c r="E50" s="97">
        <v>2.04</v>
      </c>
      <c r="F50" s="98">
        <v>24</v>
      </c>
      <c r="G50" s="83">
        <f t="shared" si="24"/>
        <v>15501.688125000002</v>
      </c>
      <c r="H50" s="100"/>
      <c r="I50" s="83">
        <f t="shared" si="1"/>
        <v>15501.688125000002</v>
      </c>
      <c r="J50" s="83">
        <f t="shared" si="2"/>
        <v>645.9036718750001</v>
      </c>
      <c r="K50" s="83">
        <f t="shared" si="3"/>
        <v>135.63977109375003</v>
      </c>
      <c r="L50" s="83">
        <f t="shared" si="4"/>
        <v>781.54344296875013</v>
      </c>
      <c r="M50" s="83">
        <f t="shared" si="32"/>
        <v>156.30868859375005</v>
      </c>
      <c r="N50" s="83">
        <f t="shared" si="6"/>
        <v>937.85213156250018</v>
      </c>
      <c r="O50" s="83">
        <f t="shared" si="33"/>
        <v>328.24824604687507</v>
      </c>
      <c r="P50" s="99">
        <f t="shared" si="8"/>
        <v>1266.1003776093753</v>
      </c>
      <c r="R50" s="83">
        <v>14092.44375</v>
      </c>
      <c r="S50">
        <f t="shared" si="9"/>
        <v>0.10000000000000014</v>
      </c>
      <c r="U50" s="27">
        <v>100021054</v>
      </c>
      <c r="V50" s="24">
        <v>15501.688125000002</v>
      </c>
    </row>
    <row r="51" spans="2:22" x14ac:dyDescent="0.25">
      <c r="B51" s="82">
        <v>100021055</v>
      </c>
      <c r="C51" s="95" t="s">
        <v>53</v>
      </c>
      <c r="D51" s="96">
        <v>7790360965189</v>
      </c>
      <c r="E51" s="97">
        <v>2.04</v>
      </c>
      <c r="F51" s="98">
        <v>24</v>
      </c>
      <c r="G51" s="83">
        <f t="shared" si="24"/>
        <v>15501.688125000002</v>
      </c>
      <c r="H51" s="100"/>
      <c r="I51" s="83">
        <f t="shared" si="1"/>
        <v>15501.688125000002</v>
      </c>
      <c r="J51" s="83">
        <f t="shared" si="2"/>
        <v>645.9036718750001</v>
      </c>
      <c r="K51" s="83">
        <f t="shared" si="3"/>
        <v>135.63977109375003</v>
      </c>
      <c r="L51" s="83">
        <f t="shared" si="4"/>
        <v>781.54344296875013</v>
      </c>
      <c r="M51" s="83">
        <f t="shared" si="32"/>
        <v>156.30868859375005</v>
      </c>
      <c r="N51" s="83">
        <f t="shared" si="6"/>
        <v>937.85213156250018</v>
      </c>
      <c r="O51" s="83">
        <f t="shared" si="33"/>
        <v>328.24824604687507</v>
      </c>
      <c r="P51" s="99">
        <f t="shared" si="8"/>
        <v>1266.1003776093753</v>
      </c>
      <c r="R51" s="83">
        <v>14092.44375</v>
      </c>
      <c r="S51">
        <f t="shared" si="9"/>
        <v>0.10000000000000014</v>
      </c>
      <c r="U51" s="27">
        <v>100021055</v>
      </c>
      <c r="V51" s="24">
        <v>15501.688125000002</v>
      </c>
    </row>
    <row r="52" spans="2:22" x14ac:dyDescent="0.25">
      <c r="B52" s="82">
        <v>100021015</v>
      </c>
      <c r="C52" s="95" t="s">
        <v>54</v>
      </c>
      <c r="D52" s="96">
        <v>7790360965202</v>
      </c>
      <c r="E52" s="97">
        <v>2.04</v>
      </c>
      <c r="F52" s="98">
        <v>24</v>
      </c>
      <c r="G52" s="83">
        <f t="shared" si="24"/>
        <v>15501.688125000002</v>
      </c>
      <c r="H52" s="100"/>
      <c r="I52" s="83">
        <f t="shared" si="1"/>
        <v>15501.688125000002</v>
      </c>
      <c r="J52" s="83">
        <f t="shared" si="2"/>
        <v>645.9036718750001</v>
      </c>
      <c r="K52" s="83">
        <f t="shared" si="3"/>
        <v>135.63977109375003</v>
      </c>
      <c r="L52" s="83">
        <f t="shared" si="4"/>
        <v>781.54344296875013</v>
      </c>
      <c r="M52" s="83">
        <f t="shared" si="32"/>
        <v>156.30868859375005</v>
      </c>
      <c r="N52" s="83">
        <f t="shared" si="6"/>
        <v>937.85213156250018</v>
      </c>
      <c r="O52" s="83">
        <f t="shared" si="33"/>
        <v>328.24824604687507</v>
      </c>
      <c r="P52" s="99">
        <f t="shared" si="8"/>
        <v>1266.1003776093753</v>
      </c>
      <c r="R52" s="83">
        <v>14092.44375</v>
      </c>
      <c r="S52">
        <f t="shared" si="9"/>
        <v>0.10000000000000014</v>
      </c>
      <c r="U52" s="27">
        <v>100021015</v>
      </c>
      <c r="V52" s="24">
        <v>15501.688125000002</v>
      </c>
    </row>
    <row r="53" spans="2:22" x14ac:dyDescent="0.25">
      <c r="B53" s="82">
        <v>100021008</v>
      </c>
      <c r="C53" s="95" t="s">
        <v>55</v>
      </c>
      <c r="D53" s="96">
        <v>7790360720122</v>
      </c>
      <c r="E53" s="97">
        <v>2.16</v>
      </c>
      <c r="F53" s="98">
        <v>24</v>
      </c>
      <c r="G53" s="83">
        <f t="shared" si="24"/>
        <v>11493.435828538131</v>
      </c>
      <c r="H53" s="100"/>
      <c r="I53" s="83">
        <f t="shared" si="1"/>
        <v>11493.435828538131</v>
      </c>
      <c r="J53" s="83">
        <f t="shared" si="2"/>
        <v>478.89315952242214</v>
      </c>
      <c r="K53" s="83">
        <f t="shared" si="3"/>
        <v>100.56756349970864</v>
      </c>
      <c r="L53" s="83">
        <f t="shared" si="4"/>
        <v>579.46072302213076</v>
      </c>
      <c r="M53" s="83">
        <f t="shared" si="32"/>
        <v>115.89214460442616</v>
      </c>
      <c r="N53" s="83">
        <f t="shared" si="6"/>
        <v>695.35286762655687</v>
      </c>
      <c r="O53" s="83">
        <f t="shared" si="33"/>
        <v>243.37350366929488</v>
      </c>
      <c r="P53" s="99">
        <f t="shared" si="8"/>
        <v>938.72637129585178</v>
      </c>
      <c r="R53" s="83">
        <v>10448.578025943754</v>
      </c>
      <c r="S53">
        <f t="shared" si="9"/>
        <v>0.10000000000000016</v>
      </c>
      <c r="U53" s="27">
        <v>100021008</v>
      </c>
      <c r="V53" s="24">
        <v>11493.435828538131</v>
      </c>
    </row>
    <row r="54" spans="2:22" x14ac:dyDescent="0.25">
      <c r="B54" s="82">
        <v>100021009</v>
      </c>
      <c r="C54" s="95" t="s">
        <v>56</v>
      </c>
      <c r="D54" s="96">
        <v>7790360965127</v>
      </c>
      <c r="E54" s="97">
        <v>2.16</v>
      </c>
      <c r="F54" s="98">
        <v>24</v>
      </c>
      <c r="G54" s="83">
        <f t="shared" si="24"/>
        <v>11493.435828538131</v>
      </c>
      <c r="H54" s="100"/>
      <c r="I54" s="83">
        <f t="shared" si="1"/>
        <v>11493.435828538131</v>
      </c>
      <c r="J54" s="83">
        <f t="shared" si="2"/>
        <v>478.89315952242214</v>
      </c>
      <c r="K54" s="83">
        <f t="shared" si="3"/>
        <v>100.56756349970864</v>
      </c>
      <c r="L54" s="83">
        <f t="shared" si="4"/>
        <v>579.46072302213076</v>
      </c>
      <c r="M54" s="83">
        <f t="shared" si="32"/>
        <v>115.89214460442616</v>
      </c>
      <c r="N54" s="83">
        <f t="shared" si="6"/>
        <v>695.35286762655687</v>
      </c>
      <c r="O54" s="83">
        <f t="shared" si="33"/>
        <v>243.37350366929488</v>
      </c>
      <c r="P54" s="99">
        <f t="shared" si="8"/>
        <v>938.72637129585178</v>
      </c>
      <c r="R54" s="83">
        <v>10448.578025943754</v>
      </c>
      <c r="S54">
        <f t="shared" si="9"/>
        <v>0.10000000000000016</v>
      </c>
      <c r="U54" s="27">
        <v>100021009</v>
      </c>
      <c r="V54" s="24">
        <v>11493.435828538131</v>
      </c>
    </row>
    <row r="55" spans="2:22" x14ac:dyDescent="0.25">
      <c r="B55" s="27">
        <v>100021010</v>
      </c>
      <c r="C55" s="28" t="s">
        <v>57</v>
      </c>
      <c r="D55" s="21">
        <v>7790920008707</v>
      </c>
      <c r="E55" s="22">
        <v>2.16</v>
      </c>
      <c r="F55" s="23">
        <v>24</v>
      </c>
      <c r="G55" s="24">
        <f t="shared" si="24"/>
        <v>11493.435828538131</v>
      </c>
      <c r="H55" s="23"/>
      <c r="I55" s="24">
        <f t="shared" si="1"/>
        <v>11493.435828538131</v>
      </c>
      <c r="J55" s="24">
        <f t="shared" si="2"/>
        <v>478.89315952242214</v>
      </c>
      <c r="K55" s="24">
        <f t="shared" si="3"/>
        <v>100.56756349970864</v>
      </c>
      <c r="L55" s="24">
        <f t="shared" si="4"/>
        <v>579.46072302213076</v>
      </c>
      <c r="M55" s="24">
        <f t="shared" si="32"/>
        <v>115.89214460442616</v>
      </c>
      <c r="N55" s="24">
        <f t="shared" si="6"/>
        <v>695.35286762655687</v>
      </c>
      <c r="O55" s="24">
        <f t="shared" si="33"/>
        <v>243.37350366929488</v>
      </c>
      <c r="P55" s="25">
        <f t="shared" si="8"/>
        <v>938.72637129585178</v>
      </c>
      <c r="R55" s="24">
        <v>10448.578025943754</v>
      </c>
      <c r="S55">
        <f t="shared" si="9"/>
        <v>0.10000000000000016</v>
      </c>
      <c r="U55" s="27">
        <v>100021010</v>
      </c>
      <c r="V55" s="24">
        <v>11493.435828538131</v>
      </c>
    </row>
    <row r="56" spans="2:22" x14ac:dyDescent="0.25">
      <c r="B56" s="27">
        <v>100021011</v>
      </c>
      <c r="C56" s="28" t="s">
        <v>58</v>
      </c>
      <c r="D56" s="21">
        <v>7790920008714</v>
      </c>
      <c r="E56" s="22">
        <v>2.16</v>
      </c>
      <c r="F56" s="23">
        <v>24</v>
      </c>
      <c r="G56" s="24">
        <f t="shared" si="24"/>
        <v>11493.435828538131</v>
      </c>
      <c r="H56" s="23"/>
      <c r="I56" s="24">
        <f t="shared" si="1"/>
        <v>11493.435828538131</v>
      </c>
      <c r="J56" s="24">
        <f t="shared" si="2"/>
        <v>478.89315952242214</v>
      </c>
      <c r="K56" s="24">
        <f t="shared" si="3"/>
        <v>100.56756349970864</v>
      </c>
      <c r="L56" s="24">
        <f t="shared" si="4"/>
        <v>579.46072302213076</v>
      </c>
      <c r="M56" s="24">
        <f t="shared" si="32"/>
        <v>115.89214460442616</v>
      </c>
      <c r="N56" s="24">
        <f t="shared" si="6"/>
        <v>695.35286762655687</v>
      </c>
      <c r="O56" s="24">
        <f t="shared" si="33"/>
        <v>243.37350366929488</v>
      </c>
      <c r="P56" s="25">
        <f t="shared" si="8"/>
        <v>938.72637129585178</v>
      </c>
      <c r="R56" s="24">
        <v>10448.578025943754</v>
      </c>
      <c r="S56">
        <f t="shared" si="9"/>
        <v>0.10000000000000016</v>
      </c>
      <c r="U56" s="27">
        <v>100021011</v>
      </c>
      <c r="V56" s="24">
        <v>11493.435828538131</v>
      </c>
    </row>
    <row r="57" spans="2:22" x14ac:dyDescent="0.25">
      <c r="B57" s="32"/>
      <c r="C57" s="33"/>
      <c r="D57" s="34"/>
      <c r="E57" s="33"/>
      <c r="F57" s="35"/>
      <c r="G57" s="35" t="e">
        <f t="shared" si="24"/>
        <v>#N/A</v>
      </c>
      <c r="H57" s="35"/>
      <c r="I57" s="35" t="e">
        <f t="shared" si="1"/>
        <v>#N/A</v>
      </c>
      <c r="J57" s="37" t="e">
        <f t="shared" si="2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 t="e">
        <v>#N/A</v>
      </c>
      <c r="S57" t="e">
        <f t="shared" si="9"/>
        <v>#N/A</v>
      </c>
      <c r="U57" s="32"/>
      <c r="V57" s="35" t="e">
        <v>#VALUE!</v>
      </c>
    </row>
    <row r="58" spans="2:22" x14ac:dyDescent="0.25">
      <c r="B58" s="27">
        <v>100516217</v>
      </c>
      <c r="C58" s="28" t="s">
        <v>59</v>
      </c>
      <c r="D58" s="21">
        <v>7790360967824</v>
      </c>
      <c r="E58" s="22">
        <v>5.8</v>
      </c>
      <c r="F58" s="23">
        <v>20</v>
      </c>
      <c r="G58" s="24">
        <f t="shared" si="24"/>
        <v>28055.91148082872</v>
      </c>
      <c r="H58" s="94"/>
      <c r="I58" s="24">
        <f t="shared" si="1"/>
        <v>28055.91148082872</v>
      </c>
      <c r="J58" s="24">
        <f t="shared" si="2"/>
        <v>1402.7955740414359</v>
      </c>
      <c r="K58" s="24">
        <f t="shared" si="3"/>
        <v>294.58707054870155</v>
      </c>
      <c r="L58" s="24">
        <f t="shared" si="4"/>
        <v>1697.3826445901375</v>
      </c>
      <c r="M58" s="24">
        <f t="shared" si="5"/>
        <v>509.21479337704125</v>
      </c>
      <c r="N58" s="24">
        <f t="shared" si="6"/>
        <v>2206.5974379671788</v>
      </c>
      <c r="O58" s="24">
        <f t="shared" si="7"/>
        <v>882.63897518687156</v>
      </c>
      <c r="P58" s="25">
        <f t="shared" si="8"/>
        <v>3089.2364131540503</v>
      </c>
      <c r="R58" s="24">
        <v>27238.749010513318</v>
      </c>
      <c r="S58">
        <f t="shared" si="9"/>
        <v>3.0000000000000058E-2</v>
      </c>
      <c r="U58" s="27">
        <v>100516217</v>
      </c>
      <c r="V58" s="24">
        <v>28055.91148082872</v>
      </c>
    </row>
    <row r="59" spans="2:22" x14ac:dyDescent="0.25">
      <c r="B59" s="82">
        <v>100516214</v>
      </c>
      <c r="C59" s="95" t="s">
        <v>60</v>
      </c>
      <c r="D59" s="96">
        <v>7790360967794</v>
      </c>
      <c r="E59" s="97">
        <v>7</v>
      </c>
      <c r="F59" s="98">
        <v>20</v>
      </c>
      <c r="G59" s="83">
        <f t="shared" si="24"/>
        <v>42153.236505319852</v>
      </c>
      <c r="H59" s="94">
        <v>0.05</v>
      </c>
      <c r="I59" s="83">
        <f t="shared" si="1"/>
        <v>40045.574680053855</v>
      </c>
      <c r="J59" s="83">
        <f t="shared" si="2"/>
        <v>2002.2787340026928</v>
      </c>
      <c r="K59" s="83">
        <f t="shared" si="3"/>
        <v>420.47853414056544</v>
      </c>
      <c r="L59" s="83">
        <f t="shared" si="4"/>
        <v>2422.7572681432584</v>
      </c>
      <c r="M59" s="83">
        <f t="shared" si="5"/>
        <v>726.82718044297746</v>
      </c>
      <c r="N59" s="83">
        <f t="shared" si="6"/>
        <v>3149.5844485862358</v>
      </c>
      <c r="O59" s="83">
        <f t="shared" si="7"/>
        <v>1259.8337794344943</v>
      </c>
      <c r="P59" s="99">
        <f t="shared" si="8"/>
        <v>4409.4182280207297</v>
      </c>
      <c r="R59" s="83">
        <v>38879.19871849889</v>
      </c>
      <c r="S59">
        <f t="shared" si="9"/>
        <v>2.999999999999994E-2</v>
      </c>
      <c r="U59" s="27">
        <v>100516214</v>
      </c>
      <c r="V59" s="24">
        <v>42153.236505319852</v>
      </c>
    </row>
    <row r="60" spans="2:22" x14ac:dyDescent="0.25">
      <c r="B60" s="82">
        <v>100516215</v>
      </c>
      <c r="C60" s="95" t="s">
        <v>61</v>
      </c>
      <c r="D60" s="96">
        <v>7790360967800</v>
      </c>
      <c r="E60" s="97">
        <v>7</v>
      </c>
      <c r="F60" s="98">
        <v>20</v>
      </c>
      <c r="G60" s="83">
        <f t="shared" si="24"/>
        <v>42153.236505319852</v>
      </c>
      <c r="H60" s="94">
        <v>0.05</v>
      </c>
      <c r="I60" s="83">
        <f t="shared" si="1"/>
        <v>40045.574680053855</v>
      </c>
      <c r="J60" s="83">
        <f t="shared" si="2"/>
        <v>2002.2787340026928</v>
      </c>
      <c r="K60" s="83">
        <f t="shared" si="3"/>
        <v>420.47853414056544</v>
      </c>
      <c r="L60" s="83">
        <f t="shared" si="4"/>
        <v>2422.7572681432584</v>
      </c>
      <c r="M60" s="83">
        <f t="shared" si="5"/>
        <v>726.82718044297746</v>
      </c>
      <c r="N60" s="83">
        <f t="shared" si="6"/>
        <v>3149.5844485862358</v>
      </c>
      <c r="O60" s="83">
        <f t="shared" si="7"/>
        <v>1259.8337794344943</v>
      </c>
      <c r="P60" s="99">
        <f t="shared" si="8"/>
        <v>4409.4182280207297</v>
      </c>
      <c r="R60" s="83">
        <v>38879.19871849889</v>
      </c>
      <c r="S60">
        <f t="shared" si="9"/>
        <v>2.999999999999994E-2</v>
      </c>
      <c r="U60" s="27">
        <v>100516215</v>
      </c>
      <c r="V60" s="24">
        <v>42153.236505319852</v>
      </c>
    </row>
    <row r="61" spans="2:22" x14ac:dyDescent="0.25">
      <c r="B61" s="82">
        <v>100516216</v>
      </c>
      <c r="C61" s="95" t="s">
        <v>62</v>
      </c>
      <c r="D61" s="96">
        <v>7790360967817</v>
      </c>
      <c r="E61" s="97">
        <v>7</v>
      </c>
      <c r="F61" s="98">
        <v>20</v>
      </c>
      <c r="G61" s="83">
        <f t="shared" si="24"/>
        <v>42153.236505319852</v>
      </c>
      <c r="H61" s="94">
        <v>0.05</v>
      </c>
      <c r="I61" s="83">
        <f t="shared" si="1"/>
        <v>40045.574680053855</v>
      </c>
      <c r="J61" s="83">
        <f t="shared" si="2"/>
        <v>2002.2787340026928</v>
      </c>
      <c r="K61" s="83">
        <f t="shared" si="3"/>
        <v>420.47853414056544</v>
      </c>
      <c r="L61" s="83">
        <f t="shared" si="4"/>
        <v>2422.7572681432584</v>
      </c>
      <c r="M61" s="83">
        <f t="shared" si="5"/>
        <v>726.82718044297746</v>
      </c>
      <c r="N61" s="83">
        <f t="shared" si="6"/>
        <v>3149.5844485862358</v>
      </c>
      <c r="O61" s="83">
        <f t="shared" si="7"/>
        <v>1259.8337794344943</v>
      </c>
      <c r="P61" s="99">
        <f t="shared" si="8"/>
        <v>4409.4182280207297</v>
      </c>
      <c r="R61" s="83">
        <v>38879.19871849889</v>
      </c>
      <c r="S61">
        <f t="shared" si="9"/>
        <v>2.999999999999994E-2</v>
      </c>
      <c r="U61" s="27">
        <v>100516216</v>
      </c>
      <c r="V61" s="24">
        <v>42153.236505319852</v>
      </c>
    </row>
    <row r="62" spans="2:22" x14ac:dyDescent="0.25">
      <c r="B62" s="32"/>
      <c r="C62" s="33"/>
      <c r="D62" s="34"/>
      <c r="E62" s="33"/>
      <c r="F62" s="35"/>
      <c r="G62" s="35" t="e">
        <f t="shared" si="24"/>
        <v>#N/A</v>
      </c>
      <c r="H62" s="126"/>
      <c r="I62" s="35" t="e">
        <f t="shared" si="1"/>
        <v>#N/A</v>
      </c>
      <c r="J62" s="37" t="e">
        <f t="shared" si="2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 t="e">
        <v>#N/A</v>
      </c>
      <c r="S62" t="e">
        <f t="shared" si="9"/>
        <v>#N/A</v>
      </c>
      <c r="U62" s="32"/>
      <c r="V62" s="35" t="e">
        <v>#VALUE!</v>
      </c>
    </row>
    <row r="63" spans="2:22" x14ac:dyDescent="0.25">
      <c r="B63" s="27">
        <v>100021704</v>
      </c>
      <c r="C63" s="28" t="s">
        <v>63</v>
      </c>
      <c r="D63" s="21">
        <v>7790360023902</v>
      </c>
      <c r="E63" s="22">
        <f>12*0.38</f>
        <v>4.5600000000000005</v>
      </c>
      <c r="F63" s="23">
        <v>12</v>
      </c>
      <c r="G63" s="24">
        <f t="shared" si="24"/>
        <v>39692.434264276642</v>
      </c>
      <c r="H63" s="127"/>
      <c r="I63" s="24">
        <f t="shared" si="1"/>
        <v>39692.434264276642</v>
      </c>
      <c r="J63" s="24">
        <f t="shared" si="2"/>
        <v>3307.7028553563869</v>
      </c>
      <c r="K63" s="24">
        <f t="shared" si="3"/>
        <v>694.6175996248412</v>
      </c>
      <c r="L63" s="24">
        <f t="shared" si="4"/>
        <v>4002.3204549812281</v>
      </c>
      <c r="M63" s="24">
        <f t="shared" si="5"/>
        <v>1200.6961364943684</v>
      </c>
      <c r="N63" s="24">
        <f t="shared" si="6"/>
        <v>5203.0165914755962</v>
      </c>
      <c r="O63" s="24">
        <f t="shared" si="7"/>
        <v>2081.2066365902388</v>
      </c>
      <c r="P63" s="25">
        <f t="shared" si="8"/>
        <v>7284.2232280658354</v>
      </c>
      <c r="R63" s="24">
        <v>37802.318346930137</v>
      </c>
      <c r="S63">
        <f t="shared" si="9"/>
        <v>4.9999999999999968E-2</v>
      </c>
      <c r="U63" s="27">
        <v>100021704</v>
      </c>
      <c r="V63" s="24">
        <v>39692.434264276642</v>
      </c>
    </row>
    <row r="64" spans="2:22" x14ac:dyDescent="0.25">
      <c r="B64" s="27">
        <v>100021705</v>
      </c>
      <c r="C64" s="28" t="s">
        <v>64</v>
      </c>
      <c r="D64" s="21">
        <v>7790360024336</v>
      </c>
      <c r="E64" s="22">
        <f>12*0.38</f>
        <v>4.5600000000000005</v>
      </c>
      <c r="F64" s="23">
        <v>12</v>
      </c>
      <c r="G64" s="24">
        <f t="shared" si="24"/>
        <v>35720.532980531854</v>
      </c>
      <c r="H64" s="127"/>
      <c r="I64" s="24">
        <f t="shared" si="1"/>
        <v>35720.532980531854</v>
      </c>
      <c r="J64" s="24">
        <f t="shared" si="2"/>
        <v>2976.7110817109879</v>
      </c>
      <c r="K64" s="24">
        <f t="shared" si="3"/>
        <v>625.10932715930744</v>
      </c>
      <c r="L64" s="24">
        <f t="shared" si="4"/>
        <v>3601.8204088702951</v>
      </c>
      <c r="M64" s="24">
        <f t="shared" si="5"/>
        <v>1080.5461226610885</v>
      </c>
      <c r="N64" s="24">
        <f t="shared" si="6"/>
        <v>4682.3665315313838</v>
      </c>
      <c r="O64" s="24">
        <f t="shared" si="7"/>
        <v>1872.9466126125535</v>
      </c>
      <c r="P64" s="25">
        <f t="shared" si="8"/>
        <v>6555.3131441439373</v>
      </c>
      <c r="R64" s="24">
        <v>34019.555219554146</v>
      </c>
      <c r="S64">
        <f t="shared" si="9"/>
        <v>5.0000000000000031E-2</v>
      </c>
      <c r="U64" s="27">
        <v>100021705</v>
      </c>
      <c r="V64" s="24">
        <v>35720.532980531854</v>
      </c>
    </row>
    <row r="65" spans="2:22" x14ac:dyDescent="0.25">
      <c r="B65" s="27">
        <v>100021709</v>
      </c>
      <c r="C65" s="28" t="s">
        <v>65</v>
      </c>
      <c r="D65" s="21">
        <v>7790360024701</v>
      </c>
      <c r="E65" s="22">
        <v>7.6</v>
      </c>
      <c r="F65" s="23">
        <v>10</v>
      </c>
      <c r="G65" s="24">
        <f t="shared" si="24"/>
        <v>60214.277255984773</v>
      </c>
      <c r="H65" s="128"/>
      <c r="I65" s="24">
        <f t="shared" si="1"/>
        <v>60214.277255984773</v>
      </c>
      <c r="J65" s="24">
        <f t="shared" si="2"/>
        <v>6021.4277255984771</v>
      </c>
      <c r="K65" s="24">
        <f t="shared" si="3"/>
        <v>1264.4998223756802</v>
      </c>
      <c r="L65" s="24">
        <f t="shared" si="4"/>
        <v>7285.9275479741573</v>
      </c>
      <c r="M65" s="24">
        <f t="shared" si="5"/>
        <v>2185.7782643922469</v>
      </c>
      <c r="N65" s="24">
        <f t="shared" si="6"/>
        <v>9471.7058123664046</v>
      </c>
      <c r="O65" s="24">
        <f t="shared" si="7"/>
        <v>3788.6823249465619</v>
      </c>
      <c r="P65" s="25">
        <f t="shared" si="8"/>
        <v>13260.388137312966</v>
      </c>
      <c r="R65" s="83">
        <v>47787.197368963913</v>
      </c>
      <c r="S65">
        <f t="shared" si="9"/>
        <v>0.26005040201608071</v>
      </c>
      <c r="U65" s="27">
        <v>100021709</v>
      </c>
      <c r="V65" s="24">
        <v>60214.277255984773</v>
      </c>
    </row>
    <row r="66" spans="2:22" x14ac:dyDescent="0.25">
      <c r="B66" s="82">
        <v>100521357</v>
      </c>
      <c r="C66" s="95" t="s">
        <v>110</v>
      </c>
      <c r="D66" s="96"/>
      <c r="E66" s="97">
        <v>4.5599999999999996</v>
      </c>
      <c r="F66" s="98">
        <v>12</v>
      </c>
      <c r="G66" s="83">
        <f t="shared" si="24"/>
        <v>48595.608600000021</v>
      </c>
      <c r="H66" s="113">
        <v>0.33</v>
      </c>
      <c r="I66" s="83">
        <f t="shared" si="1"/>
        <v>32559.057762000011</v>
      </c>
      <c r="J66" s="83">
        <f t="shared" si="2"/>
        <v>2713.2548135000011</v>
      </c>
      <c r="K66" s="83">
        <f t="shared" si="3"/>
        <v>569.78351083500024</v>
      </c>
      <c r="L66" s="83">
        <f t="shared" si="4"/>
        <v>3283.0383243350016</v>
      </c>
      <c r="M66" s="83">
        <f t="shared" si="5"/>
        <v>984.9114973005004</v>
      </c>
      <c r="N66" s="83">
        <f t="shared" si="6"/>
        <v>4267.9498216355023</v>
      </c>
      <c r="O66" s="83">
        <f t="shared" si="7"/>
        <v>1707.1799286542009</v>
      </c>
      <c r="P66" s="99">
        <f t="shared" si="8"/>
        <v>5975.1297502897032</v>
      </c>
      <c r="R66" s="46">
        <v>46281.532000000014</v>
      </c>
      <c r="U66" s="27">
        <v>100521357</v>
      </c>
      <c r="V66" s="24">
        <v>48595.608600000021</v>
      </c>
    </row>
    <row r="67" spans="2:22" x14ac:dyDescent="0.25">
      <c r="B67" s="27">
        <v>100521358</v>
      </c>
      <c r="C67" s="28" t="s">
        <v>114</v>
      </c>
      <c r="D67" s="21">
        <v>7790360982025</v>
      </c>
      <c r="E67" s="22">
        <v>7.6</v>
      </c>
      <c r="F67" s="23">
        <v>10</v>
      </c>
      <c r="G67" s="24">
        <f t="shared" si="24"/>
        <v>72893.412900000025</v>
      </c>
      <c r="H67" s="128"/>
      <c r="I67" s="24">
        <f t="shared" ref="I67" si="41">+G67*(1-H67)</f>
        <v>72893.412900000025</v>
      </c>
      <c r="J67" s="24">
        <f t="shared" ref="J67" si="42">+I67/F67</f>
        <v>7289.3412900000021</v>
      </c>
      <c r="K67" s="24">
        <f t="shared" ref="K67" si="43">+J67*K$3</f>
        <v>1530.7616709000004</v>
      </c>
      <c r="L67" s="24">
        <f t="shared" ref="L67" si="44">+J67+K67</f>
        <v>8820.1029609000034</v>
      </c>
      <c r="M67" s="24">
        <f t="shared" ref="M67" si="45">+L67*M$3</f>
        <v>2646.030888270001</v>
      </c>
      <c r="N67" s="24">
        <f t="shared" ref="N67" si="46">+L67+M67</f>
        <v>11466.133849170004</v>
      </c>
      <c r="O67" s="24">
        <f t="shared" ref="O67" si="47">+N67*O$3</f>
        <v>4586.4535396680021</v>
      </c>
      <c r="P67" s="25">
        <f t="shared" ref="P67" si="48">+N67+O67</f>
        <v>16052.587388838007</v>
      </c>
      <c r="R67" s="46">
        <v>69422.29800000001</v>
      </c>
      <c r="U67" s="27">
        <v>100521358</v>
      </c>
      <c r="V67" s="24">
        <v>72893.412900000025</v>
      </c>
    </row>
    <row r="68" spans="2:22" x14ac:dyDescent="0.25">
      <c r="B68" s="27">
        <v>100522130</v>
      </c>
      <c r="C68" s="28" t="s">
        <v>111</v>
      </c>
      <c r="D68" s="21"/>
      <c r="E68" s="22">
        <v>4.8</v>
      </c>
      <c r="F68" s="23">
        <v>12</v>
      </c>
      <c r="G68" s="24">
        <f t="shared" ref="G68:G97" si="49">+VLOOKUP(B68,$U$4:$V$104,2,FALSE)</f>
        <v>36337.501893000008</v>
      </c>
      <c r="H68" s="128"/>
      <c r="I68" s="24">
        <f t="shared" si="1"/>
        <v>36337.501893000008</v>
      </c>
      <c r="J68" s="24">
        <f t="shared" si="2"/>
        <v>3028.1251577500007</v>
      </c>
      <c r="K68" s="24">
        <f t="shared" si="3"/>
        <v>635.90628312750016</v>
      </c>
      <c r="L68" s="24">
        <f t="shared" si="4"/>
        <v>3664.0314408775007</v>
      </c>
      <c r="M68" s="24">
        <f t="shared" si="5"/>
        <v>1099.2094322632502</v>
      </c>
      <c r="N68" s="24">
        <f t="shared" si="6"/>
        <v>4763.2408731407504</v>
      </c>
      <c r="O68" s="24">
        <f t="shared" si="7"/>
        <v>1905.2963492563003</v>
      </c>
      <c r="P68" s="25">
        <f t="shared" si="8"/>
        <v>6668.5372223970508</v>
      </c>
      <c r="R68" s="24">
        <v>24606.971975393037</v>
      </c>
      <c r="U68" s="27">
        <v>100522130</v>
      </c>
      <c r="V68" s="24">
        <v>36337.501893000008</v>
      </c>
    </row>
    <row r="69" spans="2:22" x14ac:dyDescent="0.25">
      <c r="B69" s="41">
        <v>100021725</v>
      </c>
      <c r="C69" s="42" t="s">
        <v>66</v>
      </c>
      <c r="D69" s="43">
        <v>7790360027009</v>
      </c>
      <c r="E69" s="44">
        <v>6</v>
      </c>
      <c r="F69" s="45">
        <v>4</v>
      </c>
      <c r="G69" s="46">
        <f t="shared" si="49"/>
        <v>30046.412829632529</v>
      </c>
      <c r="H69" s="129"/>
      <c r="I69" s="46">
        <f t="shared" si="1"/>
        <v>30046.412829632529</v>
      </c>
      <c r="J69" s="46">
        <f t="shared" si="2"/>
        <v>7511.6032074081322</v>
      </c>
      <c r="K69" s="46">
        <f t="shared" si="3"/>
        <v>1577.4366735557078</v>
      </c>
      <c r="L69" s="46">
        <f t="shared" si="4"/>
        <v>9089.0398809638391</v>
      </c>
      <c r="M69" s="46">
        <f t="shared" si="5"/>
        <v>2726.7119642891516</v>
      </c>
      <c r="N69" s="46">
        <f t="shared" si="6"/>
        <v>11815.751845252991</v>
      </c>
      <c r="O69" s="46">
        <f t="shared" si="7"/>
        <v>4726.3007381011967</v>
      </c>
      <c r="P69" s="47">
        <f t="shared" si="8"/>
        <v>16542.052583354187</v>
      </c>
      <c r="R69" s="46">
        <v>28615.63126631669</v>
      </c>
      <c r="S69">
        <f t="shared" si="9"/>
        <v>5.0000000000000155E-2</v>
      </c>
      <c r="U69" s="41">
        <v>100021725</v>
      </c>
      <c r="V69" s="46">
        <v>30046.412829632529</v>
      </c>
    </row>
    <row r="70" spans="2:22" x14ac:dyDescent="0.25">
      <c r="B70" s="27">
        <v>100517055</v>
      </c>
      <c r="C70" s="28" t="s">
        <v>67</v>
      </c>
      <c r="D70" s="21">
        <v>7790360971135</v>
      </c>
      <c r="E70" s="22">
        <v>3.12</v>
      </c>
      <c r="F70" s="23">
        <v>12</v>
      </c>
      <c r="G70" s="24">
        <f t="shared" si="49"/>
        <v>29936.929261925314</v>
      </c>
      <c r="H70" s="127"/>
      <c r="I70" s="24">
        <f t="shared" si="1"/>
        <v>29936.929261925314</v>
      </c>
      <c r="J70" s="24">
        <f t="shared" si="2"/>
        <v>2494.7441051604428</v>
      </c>
      <c r="K70" s="24">
        <f t="shared" si="3"/>
        <v>523.89626208369293</v>
      </c>
      <c r="L70" s="24">
        <f t="shared" si="4"/>
        <v>3018.6403672441356</v>
      </c>
      <c r="M70" s="24">
        <f t="shared" si="5"/>
        <v>905.59211017324071</v>
      </c>
      <c r="N70" s="24">
        <f t="shared" si="6"/>
        <v>3924.2324774173762</v>
      </c>
      <c r="O70" s="24">
        <f t="shared" si="7"/>
        <v>1569.6929909669507</v>
      </c>
      <c r="P70" s="25">
        <f t="shared" si="8"/>
        <v>5493.9254683843265</v>
      </c>
      <c r="R70" s="24">
        <v>28511.361201833632</v>
      </c>
      <c r="S70">
        <f t="shared" si="9"/>
        <v>5.0000000000000017E-2</v>
      </c>
      <c r="U70" s="27">
        <v>100517055</v>
      </c>
      <c r="V70" s="24">
        <v>29936.929261925314</v>
      </c>
    </row>
    <row r="71" spans="2:22" x14ac:dyDescent="0.25">
      <c r="B71" s="27">
        <v>100517186</v>
      </c>
      <c r="C71" s="28" t="s">
        <v>68</v>
      </c>
      <c r="D71" s="21">
        <v>7790360971395</v>
      </c>
      <c r="E71" s="22">
        <v>8</v>
      </c>
      <c r="F71" s="23">
        <v>8</v>
      </c>
      <c r="G71" s="24">
        <f t="shared" si="49"/>
        <v>76027.739730719317</v>
      </c>
      <c r="H71" s="127"/>
      <c r="I71" s="24">
        <f t="shared" si="1"/>
        <v>76027.739730719317</v>
      </c>
      <c r="J71" s="24">
        <f t="shared" si="2"/>
        <v>9503.4674663399146</v>
      </c>
      <c r="K71" s="24">
        <f t="shared" si="3"/>
        <v>1995.7281679313819</v>
      </c>
      <c r="L71" s="24">
        <f t="shared" si="4"/>
        <v>11499.195634271297</v>
      </c>
      <c r="M71" s="24">
        <f t="shared" si="5"/>
        <v>3449.7586902813887</v>
      </c>
      <c r="N71" s="24">
        <f t="shared" si="6"/>
        <v>14948.954324552686</v>
      </c>
      <c r="O71" s="24">
        <f t="shared" si="7"/>
        <v>5979.581729821075</v>
      </c>
      <c r="P71" s="25">
        <f t="shared" si="8"/>
        <v>20928.536054373762</v>
      </c>
      <c r="R71" s="24">
        <v>72407.371172113635</v>
      </c>
      <c r="S71">
        <f t="shared" si="9"/>
        <v>0.05</v>
      </c>
      <c r="U71" s="27">
        <v>100517186</v>
      </c>
      <c r="V71" s="24">
        <v>76027.739730719317</v>
      </c>
    </row>
    <row r="72" spans="2:22" x14ac:dyDescent="0.25">
      <c r="B72" s="119">
        <v>100521663</v>
      </c>
      <c r="C72" s="120" t="s">
        <v>112</v>
      </c>
      <c r="D72" s="96"/>
      <c r="E72" s="97">
        <v>4.8</v>
      </c>
      <c r="F72" s="98">
        <v>12</v>
      </c>
      <c r="G72" s="83">
        <v>43941.02138463041</v>
      </c>
      <c r="H72" s="113">
        <v>0.33</v>
      </c>
      <c r="I72" s="83">
        <f t="shared" si="1"/>
        <v>29440.484327702372</v>
      </c>
      <c r="J72" s="83">
        <f t="shared" si="2"/>
        <v>2453.3736939751975</v>
      </c>
      <c r="K72" s="83">
        <f t="shared" si="3"/>
        <v>515.20847573479148</v>
      </c>
      <c r="L72" s="83">
        <f t="shared" si="4"/>
        <v>2968.5821697099891</v>
      </c>
      <c r="M72" s="83">
        <f t="shared" si="5"/>
        <v>890.57465091299673</v>
      </c>
      <c r="N72" s="83">
        <f t="shared" si="6"/>
        <v>3859.1568206229858</v>
      </c>
      <c r="O72" s="83">
        <f t="shared" si="7"/>
        <v>1543.6627282491945</v>
      </c>
      <c r="P72" s="99">
        <f t="shared" si="8"/>
        <v>5402.8195488721803</v>
      </c>
      <c r="R72" s="46">
        <v>47021.568000000007</v>
      </c>
      <c r="U72" s="27">
        <v>100521663</v>
      </c>
      <c r="V72" s="24">
        <v>49372.646400000012</v>
      </c>
    </row>
    <row r="73" spans="2:22" x14ac:dyDescent="0.25">
      <c r="B73" s="41">
        <v>100021728</v>
      </c>
      <c r="C73" s="42" t="s">
        <v>69</v>
      </c>
      <c r="D73" s="43">
        <v>7790360967558</v>
      </c>
      <c r="E73" s="44">
        <v>3.84</v>
      </c>
      <c r="F73" s="45">
        <v>12</v>
      </c>
      <c r="G73" s="46">
        <f t="shared" si="49"/>
        <v>41631.804008029045</v>
      </c>
      <c r="H73" s="129"/>
      <c r="I73" s="46">
        <f t="shared" si="1"/>
        <v>41631.804008029045</v>
      </c>
      <c r="J73" s="46">
        <f t="shared" si="2"/>
        <v>3469.3170006690871</v>
      </c>
      <c r="K73" s="46">
        <f t="shared" si="3"/>
        <v>728.55657014050826</v>
      </c>
      <c r="L73" s="46">
        <f t="shared" si="4"/>
        <v>4197.8735708095955</v>
      </c>
      <c r="M73" s="46">
        <f t="shared" si="5"/>
        <v>1259.3620712428785</v>
      </c>
      <c r="N73" s="46">
        <f t="shared" si="6"/>
        <v>5457.2356420524738</v>
      </c>
      <c r="O73" s="46">
        <f t="shared" si="7"/>
        <v>2182.8942568209895</v>
      </c>
      <c r="P73" s="47">
        <f t="shared" si="8"/>
        <v>7640.1298988734634</v>
      </c>
      <c r="R73" s="46">
        <v>39649.337150503852</v>
      </c>
      <c r="S73">
        <f t="shared" si="9"/>
        <v>0.05</v>
      </c>
      <c r="U73" s="41">
        <v>100021728</v>
      </c>
      <c r="V73" s="46">
        <v>41631.804008029045</v>
      </c>
    </row>
    <row r="74" spans="2:22" x14ac:dyDescent="0.25">
      <c r="B74" s="41">
        <v>100517679</v>
      </c>
      <c r="C74" s="42" t="s">
        <v>70</v>
      </c>
      <c r="D74" s="43"/>
      <c r="E74" s="44">
        <v>7.68</v>
      </c>
      <c r="F74" s="45">
        <v>8</v>
      </c>
      <c r="G74" s="46">
        <f t="shared" si="49"/>
        <v>39413.592299367461</v>
      </c>
      <c r="H74" s="129"/>
      <c r="I74" s="46">
        <f t="shared" si="1"/>
        <v>39413.592299367461</v>
      </c>
      <c r="J74" s="46">
        <f t="shared" si="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 s="46">
        <v>37536.754570826153</v>
      </c>
      <c r="S74">
        <f t="shared" si="9"/>
        <v>5.000000000000001E-2</v>
      </c>
      <c r="U74" s="41">
        <v>100517679</v>
      </c>
      <c r="V74" s="46">
        <v>39413.592299367461</v>
      </c>
    </row>
    <row r="75" spans="2:22" ht="15.75" thickBot="1" x14ac:dyDescent="0.3">
      <c r="B75" s="32"/>
      <c r="C75" s="33"/>
      <c r="D75" s="34"/>
      <c r="E75" s="33"/>
      <c r="F75" s="35"/>
      <c r="G75" s="36" t="e">
        <f t="shared" si="49"/>
        <v>#N/A</v>
      </c>
      <c r="H75" s="126"/>
      <c r="I75" s="36" t="e">
        <f t="shared" si="1"/>
        <v>#N/A</v>
      </c>
      <c r="J75" s="37" t="e">
        <f t="shared" si="2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#N/A</v>
      </c>
      <c r="S75" t="e">
        <f t="shared" si="9"/>
        <v>#N/A</v>
      </c>
      <c r="U75" s="32"/>
      <c r="V75" s="36" t="e">
        <v>#VALUE!</v>
      </c>
    </row>
    <row r="76" spans="2:22" ht="15.75" hidden="1" thickBot="1" x14ac:dyDescent="0.3">
      <c r="B76" s="27">
        <v>100516219</v>
      </c>
      <c r="C76" s="28" t="s">
        <v>71</v>
      </c>
      <c r="D76" s="48">
        <v>7790360967770</v>
      </c>
      <c r="E76" s="22">
        <v>10</v>
      </c>
      <c r="F76" s="23">
        <v>25</v>
      </c>
      <c r="G76" s="24">
        <f t="shared" si="49"/>
        <v>18259.399891781304</v>
      </c>
      <c r="H76" s="127"/>
      <c r="I76" s="24">
        <f t="shared" si="1"/>
        <v>18259.399891781304</v>
      </c>
      <c r="J76" s="24">
        <f t="shared" si="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 s="24">
        <v>18259.399891781304</v>
      </c>
      <c r="S76">
        <f t="shared" si="9"/>
        <v>0</v>
      </c>
      <c r="U76" s="27">
        <v>100516219</v>
      </c>
      <c r="V76" s="24">
        <v>18259.399891781304</v>
      </c>
    </row>
    <row r="77" spans="2:22" ht="15.75" hidden="1" thickBot="1" x14ac:dyDescent="0.3">
      <c r="B77" s="27">
        <v>100516220</v>
      </c>
      <c r="C77" s="28" t="s">
        <v>72</v>
      </c>
      <c r="D77" s="48">
        <v>7790360967787</v>
      </c>
      <c r="E77" s="22">
        <v>12</v>
      </c>
      <c r="F77" s="23">
        <v>6</v>
      </c>
      <c r="G77" s="24">
        <f t="shared" si="49"/>
        <v>19613.921820029205</v>
      </c>
      <c r="H77" s="127"/>
      <c r="I77" s="24">
        <f t="shared" si="1"/>
        <v>19613.921820029205</v>
      </c>
      <c r="J77" s="24">
        <f t="shared" si="2"/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 s="24">
        <v>19613.921820029205</v>
      </c>
      <c r="S77">
        <f t="shared" si="9"/>
        <v>0</v>
      </c>
      <c r="U77" s="27">
        <v>100516220</v>
      </c>
      <c r="V77" s="24">
        <v>19613.921820029205</v>
      </c>
    </row>
    <row r="78" spans="2:22" ht="15.75" hidden="1" thickBot="1" x14ac:dyDescent="0.3">
      <c r="B78" s="85"/>
      <c r="C78" s="86"/>
      <c r="D78" s="87"/>
      <c r="E78" s="86"/>
      <c r="F78" s="88"/>
      <c r="G78" s="89" t="e">
        <f t="shared" si="49"/>
        <v>#N/A</v>
      </c>
      <c r="H78" s="130"/>
      <c r="I78" s="89" t="e">
        <f t="shared" ref="I78:I104" si="50">+G78*(1-H78)</f>
        <v>#N/A</v>
      </c>
      <c r="J78" s="37" t="e">
        <f t="shared" ref="J78:J84" si="51">+I78/F78</f>
        <v>#N/A</v>
      </c>
      <c r="K78" s="38"/>
      <c r="L78" s="37"/>
      <c r="M78" s="38"/>
      <c r="N78" s="37"/>
      <c r="O78" s="38"/>
      <c r="P78" s="39"/>
      <c r="R78" s="89" t="e">
        <v>#N/A</v>
      </c>
      <c r="S78" t="e">
        <f t="shared" ref="S78:S104" si="52">+(I78-R78)/R78</f>
        <v>#N/A</v>
      </c>
      <c r="U78" s="85"/>
      <c r="V78" s="89" t="e">
        <v>#VALUE!</v>
      </c>
    </row>
    <row r="79" spans="2:22" x14ac:dyDescent="0.25">
      <c r="B79" s="84">
        <v>100518158</v>
      </c>
      <c r="C79" s="28" t="s">
        <v>73</v>
      </c>
      <c r="D79" s="62">
        <v>7790360974280</v>
      </c>
      <c r="E79" s="22">
        <v>12</v>
      </c>
      <c r="F79" s="23">
        <v>24</v>
      </c>
      <c r="G79" s="24">
        <f t="shared" si="49"/>
        <v>79203.691045796324</v>
      </c>
      <c r="H79" s="131"/>
      <c r="I79" s="24">
        <f t="shared" si="50"/>
        <v>79203.691045796324</v>
      </c>
      <c r="J79" s="24">
        <f t="shared" si="51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 s="24">
        <v>79203.691045796324</v>
      </c>
      <c r="S79">
        <f t="shared" si="52"/>
        <v>0</v>
      </c>
      <c r="U79" s="84">
        <v>100518158</v>
      </c>
      <c r="V79" s="24">
        <v>79203.691045796324</v>
      </c>
    </row>
    <row r="80" spans="2:22" x14ac:dyDescent="0.25">
      <c r="B80" s="84">
        <v>100518160</v>
      </c>
      <c r="C80" s="28" t="s">
        <v>74</v>
      </c>
      <c r="D80" s="62">
        <v>7790360974686</v>
      </c>
      <c r="E80" s="22">
        <v>12</v>
      </c>
      <c r="F80" s="23">
        <v>12</v>
      </c>
      <c r="G80" s="24">
        <f t="shared" si="49"/>
        <v>79203.691045796324</v>
      </c>
      <c r="H80" s="127"/>
      <c r="I80" s="24">
        <f t="shared" si="50"/>
        <v>79203.691045796324</v>
      </c>
      <c r="J80" s="24">
        <f t="shared" si="51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 s="24">
        <v>79203.691045796324</v>
      </c>
      <c r="S80">
        <f t="shared" si="52"/>
        <v>0</v>
      </c>
      <c r="U80" s="84">
        <v>100518160</v>
      </c>
      <c r="V80" s="24">
        <v>79203.691045796324</v>
      </c>
    </row>
    <row r="81" spans="2:22" ht="15.75" thickBot="1" x14ac:dyDescent="0.3">
      <c r="B81" s="84">
        <v>100518463</v>
      </c>
      <c r="C81" s="28" t="s">
        <v>88</v>
      </c>
      <c r="D81" s="62"/>
      <c r="E81" s="22">
        <v>5</v>
      </c>
      <c r="F81" s="23">
        <v>1</v>
      </c>
      <c r="G81" s="24">
        <f t="shared" si="49"/>
        <v>36693.267187500001</v>
      </c>
      <c r="H81" s="132"/>
      <c r="I81" s="24">
        <f t="shared" si="50"/>
        <v>36693.267187500001</v>
      </c>
      <c r="J81" s="24">
        <f t="shared" si="51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>
        <f t="shared" si="52"/>
        <v>0</v>
      </c>
      <c r="U81" s="84">
        <v>100518463</v>
      </c>
      <c r="V81" s="24">
        <v>36693.267187500001</v>
      </c>
    </row>
    <row r="82" spans="2:22" ht="15.75" thickBot="1" x14ac:dyDescent="0.3">
      <c r="B82" s="70"/>
      <c r="C82" s="71"/>
      <c r="D82" s="72"/>
      <c r="E82" s="71"/>
      <c r="F82" s="73"/>
      <c r="G82" s="74" t="e">
        <f t="shared" si="49"/>
        <v>#N/A</v>
      </c>
      <c r="H82" s="133"/>
      <c r="I82" s="74" t="e">
        <f t="shared" si="50"/>
        <v>#N/A</v>
      </c>
      <c r="J82" s="37" t="e">
        <f t="shared" si="51"/>
        <v>#N/A</v>
      </c>
      <c r="K82" s="38"/>
      <c r="L82" s="37"/>
      <c r="M82" s="38"/>
      <c r="N82" s="37"/>
      <c r="O82" s="38"/>
      <c r="P82" s="39"/>
      <c r="R82" s="74" t="e">
        <v>#N/A</v>
      </c>
      <c r="S82" t="e">
        <f t="shared" si="52"/>
        <v>#N/A</v>
      </c>
      <c r="U82" s="70"/>
      <c r="V82" s="74" t="e">
        <v>#VALUE!</v>
      </c>
    </row>
    <row r="83" spans="2:22" x14ac:dyDescent="0.25">
      <c r="B83" s="110">
        <v>100518291</v>
      </c>
      <c r="C83" s="111" t="s">
        <v>76</v>
      </c>
      <c r="D83" s="107">
        <v>7790360975195</v>
      </c>
      <c r="E83" s="112">
        <v>5</v>
      </c>
      <c r="F83" s="112">
        <v>10</v>
      </c>
      <c r="G83" s="108">
        <f t="shared" si="49"/>
        <v>17536.686967689053</v>
      </c>
      <c r="H83" s="113">
        <v>0.15</v>
      </c>
      <c r="I83" s="83">
        <f t="shared" si="50"/>
        <v>14906.183922535694</v>
      </c>
      <c r="J83" s="108">
        <f t="shared" si="51"/>
        <v>1490.6183922535695</v>
      </c>
      <c r="K83" s="108">
        <f>+J83*K$3</f>
        <v>313.02986237324956</v>
      </c>
      <c r="L83" s="108">
        <f>+J83+K83</f>
        <v>1803.6482546268189</v>
      </c>
      <c r="M83" s="108">
        <f>+L83*M$39</f>
        <v>360.72965092536379</v>
      </c>
      <c r="N83" s="108">
        <f>+L83+M83</f>
        <v>2164.3779055521827</v>
      </c>
      <c r="O83" s="108">
        <f>+N83*O$39</f>
        <v>757.53226694326395</v>
      </c>
      <c r="P83" s="109">
        <f>+N83+O83</f>
        <v>2921.9101724954467</v>
      </c>
      <c r="R83" s="108">
        <v>14906.183922535694</v>
      </c>
      <c r="S83">
        <f t="shared" si="52"/>
        <v>0</v>
      </c>
      <c r="U83" s="161">
        <v>100518291</v>
      </c>
      <c r="V83" s="60">
        <v>17536.686967689053</v>
      </c>
    </row>
    <row r="84" spans="2:22" ht="15.75" thickBot="1" x14ac:dyDescent="0.3">
      <c r="B84" s="101">
        <v>100518292</v>
      </c>
      <c r="C84" s="102" t="s">
        <v>77</v>
      </c>
      <c r="D84" s="103">
        <v>7790360975201</v>
      </c>
      <c r="E84" s="104">
        <v>12</v>
      </c>
      <c r="F84" s="104">
        <v>12</v>
      </c>
      <c r="G84" s="105">
        <f t="shared" si="49"/>
        <v>41380.323708459917</v>
      </c>
      <c r="H84" s="113">
        <v>0.15</v>
      </c>
      <c r="I84" s="83">
        <f t="shared" si="50"/>
        <v>35173.27515219093</v>
      </c>
      <c r="J84" s="105">
        <f t="shared" si="51"/>
        <v>2931.1062626825774</v>
      </c>
      <c r="K84" s="105">
        <f>+J84*K$3</f>
        <v>615.5323151633412</v>
      </c>
      <c r="L84" s="105">
        <f>+J84+K84</f>
        <v>3546.6385778459185</v>
      </c>
      <c r="M84" s="105">
        <f>+L84*M$39</f>
        <v>709.32771556918374</v>
      </c>
      <c r="N84" s="105">
        <f>+L84+M84</f>
        <v>4255.966293415102</v>
      </c>
      <c r="O84" s="105">
        <f>+N84*O$39</f>
        <v>1489.5882026952856</v>
      </c>
      <c r="P84" s="106">
        <f>+N84+O84</f>
        <v>5745.5544961103878</v>
      </c>
      <c r="R84" s="105">
        <v>35173.27515219093</v>
      </c>
      <c r="S84">
        <f t="shared" si="52"/>
        <v>0</v>
      </c>
      <c r="U84" s="162">
        <v>100518292</v>
      </c>
      <c r="V84" s="68">
        <v>41380.323708459917</v>
      </c>
    </row>
    <row r="85" spans="2:22" ht="15.75" thickBot="1" x14ac:dyDescent="0.3">
      <c r="B85" s="70"/>
      <c r="C85" s="71"/>
      <c r="D85" s="72"/>
      <c r="E85" s="71"/>
      <c r="F85" s="73"/>
      <c r="G85" s="74" t="e">
        <f t="shared" si="49"/>
        <v>#N/A</v>
      </c>
      <c r="H85" s="133"/>
      <c r="I85" s="74" t="e">
        <f t="shared" si="50"/>
        <v>#N/A</v>
      </c>
      <c r="J85" s="37" t="e">
        <f>+I85/F85</f>
        <v>#N/A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4" t="e">
        <v>#N/A</v>
      </c>
      <c r="S85" t="e">
        <f t="shared" si="52"/>
        <v>#N/A</v>
      </c>
      <c r="U85" s="70"/>
      <c r="V85" s="74" t="e">
        <v>#VALUE!</v>
      </c>
    </row>
    <row r="86" spans="2:22" x14ac:dyDescent="0.25">
      <c r="B86" s="110">
        <v>100517915</v>
      </c>
      <c r="C86" s="111" t="s">
        <v>78</v>
      </c>
      <c r="D86" s="107">
        <v>7790360974020</v>
      </c>
      <c r="E86" s="112">
        <v>18</v>
      </c>
      <c r="F86" s="112">
        <v>36</v>
      </c>
      <c r="G86" s="108">
        <f t="shared" si="49"/>
        <v>154338.47338253396</v>
      </c>
      <c r="H86" s="94"/>
      <c r="I86" s="83">
        <f t="shared" si="50"/>
        <v>154338.47338253396</v>
      </c>
      <c r="J86" s="108">
        <f>+I86/F86</f>
        <v>4287.1798161814986</v>
      </c>
      <c r="K86" s="108">
        <f>+J86*K$85</f>
        <v>450.15388069905731</v>
      </c>
      <c r="L86" s="108">
        <f>+J86+K86</f>
        <v>4737.3336968805561</v>
      </c>
      <c r="M86" s="108">
        <f>+L86*M$85</f>
        <v>1421.2001090641668</v>
      </c>
      <c r="N86" s="108">
        <f>+L86+M86</f>
        <v>6158.5338059447231</v>
      </c>
      <c r="O86" s="108">
        <f>+N86*O$85</f>
        <v>2463.4135223778894</v>
      </c>
      <c r="P86" s="109">
        <f>+N86+O86</f>
        <v>8621.9473283226125</v>
      </c>
      <c r="R86" s="108">
        <v>145602.333379749</v>
      </c>
      <c r="S86">
        <f t="shared" si="52"/>
        <v>6.000000000000013E-2</v>
      </c>
      <c r="U86" s="161">
        <v>100517915</v>
      </c>
      <c r="V86" s="60">
        <v>154338.47338253396</v>
      </c>
    </row>
    <row r="87" spans="2:22" ht="15.75" thickBot="1" x14ac:dyDescent="0.3">
      <c r="B87" s="101">
        <v>100517914</v>
      </c>
      <c r="C87" s="102" t="s">
        <v>79</v>
      </c>
      <c r="D87" s="103">
        <v>7790360974037</v>
      </c>
      <c r="E87" s="104">
        <v>20</v>
      </c>
      <c r="F87" s="104">
        <v>20</v>
      </c>
      <c r="G87" s="105">
        <f t="shared" si="49"/>
        <v>168417.57189887395</v>
      </c>
      <c r="H87" s="94"/>
      <c r="I87" s="83">
        <f t="shared" si="50"/>
        <v>168417.57189887395</v>
      </c>
      <c r="J87" s="105">
        <f>+I87/F87</f>
        <v>8420.878594943697</v>
      </c>
      <c r="K87" s="105">
        <f>+J87*K$85</f>
        <v>884.1922524690882</v>
      </c>
      <c r="L87" s="105">
        <f>+J87+K87</f>
        <v>9305.070847412786</v>
      </c>
      <c r="M87" s="105">
        <f>+L87*M$85</f>
        <v>2791.5212542238355</v>
      </c>
      <c r="N87" s="105">
        <f>+L87+M87</f>
        <v>12096.592101636621</v>
      </c>
      <c r="O87" s="105">
        <f>+N87*O$85</f>
        <v>4838.6368406546489</v>
      </c>
      <c r="P87" s="106">
        <f>+N87+O87</f>
        <v>16935.228942291269</v>
      </c>
      <c r="R87" s="105">
        <v>158884.50179139053</v>
      </c>
      <c r="S87">
        <f t="shared" si="52"/>
        <v>5.9999999999999935E-2</v>
      </c>
      <c r="U87" s="162">
        <v>100517914</v>
      </c>
      <c r="V87" s="68">
        <v>168417.57189887395</v>
      </c>
    </row>
    <row r="88" spans="2:22" ht="15.75" thickBot="1" x14ac:dyDescent="0.3">
      <c r="B88" s="70"/>
      <c r="C88" s="71"/>
      <c r="D88" s="72"/>
      <c r="E88" s="71"/>
      <c r="F88" s="73"/>
      <c r="G88" s="74" t="e">
        <f t="shared" si="49"/>
        <v>#N/A</v>
      </c>
      <c r="H88" s="133"/>
      <c r="I88" s="74" t="e">
        <f t="shared" si="50"/>
        <v>#N/A</v>
      </c>
      <c r="J88" s="90"/>
      <c r="K88" s="91">
        <v>0.105</v>
      </c>
      <c r="L88" s="90"/>
      <c r="M88" s="38">
        <v>0.3</v>
      </c>
      <c r="N88" s="37"/>
      <c r="O88" s="38">
        <v>0.4</v>
      </c>
      <c r="P88" s="93"/>
      <c r="R88" s="74" t="e">
        <v>#N/A</v>
      </c>
      <c r="S88" t="e">
        <f t="shared" si="52"/>
        <v>#N/A</v>
      </c>
      <c r="U88" s="70"/>
      <c r="V88" s="74"/>
    </row>
    <row r="89" spans="2:22" x14ac:dyDescent="0.25">
      <c r="B89" s="27">
        <v>100010689</v>
      </c>
      <c r="C89" s="28" t="s">
        <v>80</v>
      </c>
      <c r="D89" s="21"/>
      <c r="E89" s="80">
        <v>22</v>
      </c>
      <c r="F89" s="23">
        <v>1</v>
      </c>
      <c r="G89" s="24">
        <f t="shared" si="49"/>
        <v>16464.642857142862</v>
      </c>
      <c r="H89" s="127"/>
      <c r="I89" s="24">
        <f t="shared" si="50"/>
        <v>16464.642857142862</v>
      </c>
      <c r="J89" s="60">
        <f t="shared" ref="J89:J94" si="53">+I89/F89</f>
        <v>16464.642857142862</v>
      </c>
      <c r="K89" s="60">
        <f t="shared" ref="K89:K94" si="54">+J89*K$88</f>
        <v>1728.7875000000006</v>
      </c>
      <c r="L89" s="60">
        <f t="shared" ref="L89:L94" si="55">+J89+K89</f>
        <v>18193.430357142865</v>
      </c>
      <c r="M89" s="60">
        <f t="shared" ref="M89:M94" si="56">+L89*M$88</f>
        <v>5458.0291071428592</v>
      </c>
      <c r="N89" s="60">
        <f t="shared" ref="N89:N94" si="57">+L89+M89</f>
        <v>23651.459464285723</v>
      </c>
      <c r="O89" s="60">
        <f t="shared" ref="O89:O94" si="58">+N89*O$88</f>
        <v>9460.5837857142888</v>
      </c>
      <c r="P89" s="61">
        <f t="shared" ref="P89:P94" si="59">+N89+O89</f>
        <v>33112.04325000001</v>
      </c>
      <c r="R89" s="24">
        <v>16464.642857142862</v>
      </c>
      <c r="S89">
        <f t="shared" si="52"/>
        <v>0</v>
      </c>
      <c r="U89" s="27">
        <v>100010689</v>
      </c>
      <c r="V89" s="24">
        <v>16464.642857142862</v>
      </c>
    </row>
    <row r="90" spans="2:22" x14ac:dyDescent="0.25">
      <c r="B90" s="27">
        <v>100518335</v>
      </c>
      <c r="C90" s="28" t="s">
        <v>81</v>
      </c>
      <c r="D90" s="21"/>
      <c r="E90" s="80">
        <v>22.5</v>
      </c>
      <c r="F90" s="23">
        <v>1</v>
      </c>
      <c r="G90" s="24">
        <f t="shared" si="49"/>
        <v>10429.178571428572</v>
      </c>
      <c r="H90" s="127"/>
      <c r="I90" s="24">
        <f t="shared" si="50"/>
        <v>10429.178571428572</v>
      </c>
      <c r="J90" s="24">
        <f t="shared" si="53"/>
        <v>10429.178571428572</v>
      </c>
      <c r="K90" s="24">
        <f t="shared" si="54"/>
        <v>1095.06375</v>
      </c>
      <c r="L90" s="24">
        <f t="shared" si="55"/>
        <v>11524.242321428572</v>
      </c>
      <c r="M90" s="24">
        <f t="shared" si="56"/>
        <v>3457.2726964285716</v>
      </c>
      <c r="N90" s="24">
        <f t="shared" si="57"/>
        <v>14981.515017857144</v>
      </c>
      <c r="O90" s="24">
        <f t="shared" si="58"/>
        <v>5992.6060071428583</v>
      </c>
      <c r="P90" s="25">
        <f t="shared" si="59"/>
        <v>20974.121025</v>
      </c>
      <c r="R90" s="24">
        <v>10429.178571428572</v>
      </c>
      <c r="S90">
        <f t="shared" si="52"/>
        <v>0</v>
      </c>
      <c r="U90" s="27">
        <v>100518335</v>
      </c>
      <c r="V90" s="24">
        <v>10429.178571428572</v>
      </c>
    </row>
    <row r="91" spans="2:22" x14ac:dyDescent="0.25">
      <c r="B91" s="27">
        <v>100518332</v>
      </c>
      <c r="C91" s="28" t="s">
        <v>82</v>
      </c>
      <c r="D91" s="21"/>
      <c r="E91" s="80">
        <v>21.5</v>
      </c>
      <c r="F91" s="23">
        <v>1</v>
      </c>
      <c r="G91" s="24">
        <f t="shared" si="49"/>
        <v>11223.535714285716</v>
      </c>
      <c r="H91" s="127"/>
      <c r="I91" s="24">
        <f t="shared" si="50"/>
        <v>11223.535714285716</v>
      </c>
      <c r="J91" s="24">
        <f t="shared" si="53"/>
        <v>11223.535714285716</v>
      </c>
      <c r="K91" s="24">
        <f t="shared" si="54"/>
        <v>1178.4712500000001</v>
      </c>
      <c r="L91" s="24">
        <f t="shared" si="55"/>
        <v>12402.006964285716</v>
      </c>
      <c r="M91" s="24">
        <f t="shared" si="56"/>
        <v>3720.6020892857146</v>
      </c>
      <c r="N91" s="24">
        <f t="shared" si="57"/>
        <v>16122.60905357143</v>
      </c>
      <c r="O91" s="24">
        <f t="shared" si="58"/>
        <v>6449.0436214285728</v>
      </c>
      <c r="P91" s="25">
        <f t="shared" si="59"/>
        <v>22571.652675000005</v>
      </c>
      <c r="R91" s="24">
        <v>11223.535714285716</v>
      </c>
      <c r="S91">
        <f t="shared" si="52"/>
        <v>0</v>
      </c>
      <c r="U91" s="27">
        <v>100518332</v>
      </c>
      <c r="V91" s="24">
        <v>11223.535714285716</v>
      </c>
    </row>
    <row r="92" spans="2:22" x14ac:dyDescent="0.25">
      <c r="B92" s="27">
        <v>100518334</v>
      </c>
      <c r="C92" s="28" t="s">
        <v>83</v>
      </c>
      <c r="D92" s="21"/>
      <c r="E92" s="80">
        <v>22.5</v>
      </c>
      <c r="F92" s="23">
        <v>1</v>
      </c>
      <c r="G92" s="24">
        <f t="shared" si="49"/>
        <v>9237.6428571428587</v>
      </c>
      <c r="H92" s="127"/>
      <c r="I92" s="24">
        <f t="shared" si="50"/>
        <v>9237.6428571428587</v>
      </c>
      <c r="J92" s="24">
        <f t="shared" si="53"/>
        <v>9237.6428571428587</v>
      </c>
      <c r="K92" s="24">
        <f t="shared" si="54"/>
        <v>969.9525000000001</v>
      </c>
      <c r="L92" s="24">
        <f t="shared" si="55"/>
        <v>10207.595357142858</v>
      </c>
      <c r="M92" s="24">
        <f t="shared" si="56"/>
        <v>3062.2786071428573</v>
      </c>
      <c r="N92" s="24">
        <f t="shared" si="57"/>
        <v>13269.873964285714</v>
      </c>
      <c r="O92" s="24">
        <f t="shared" si="58"/>
        <v>5307.9495857142865</v>
      </c>
      <c r="P92" s="25">
        <f t="shared" si="59"/>
        <v>18577.823550000001</v>
      </c>
      <c r="R92" s="24">
        <v>9237.6428571428587</v>
      </c>
      <c r="S92">
        <f t="shared" si="52"/>
        <v>0</v>
      </c>
      <c r="U92" s="27">
        <v>100518334</v>
      </c>
      <c r="V92" s="24">
        <v>9237.6428571428587</v>
      </c>
    </row>
    <row r="93" spans="2:22" x14ac:dyDescent="0.25">
      <c r="B93" s="27">
        <v>100518227</v>
      </c>
      <c r="C93" s="28" t="s">
        <v>84</v>
      </c>
      <c r="D93" s="21"/>
      <c r="E93" s="80">
        <v>22.5</v>
      </c>
      <c r="F93" s="23">
        <v>1</v>
      </c>
      <c r="G93" s="24">
        <f t="shared" si="49"/>
        <v>9237.6428571428587</v>
      </c>
      <c r="H93" s="127"/>
      <c r="I93" s="24">
        <f t="shared" si="50"/>
        <v>9237.6428571428587</v>
      </c>
      <c r="J93" s="24">
        <f t="shared" si="53"/>
        <v>9237.6428571428587</v>
      </c>
      <c r="K93" s="24">
        <f t="shared" si="54"/>
        <v>969.9525000000001</v>
      </c>
      <c r="L93" s="24">
        <f t="shared" si="55"/>
        <v>10207.595357142858</v>
      </c>
      <c r="M93" s="24">
        <f t="shared" si="56"/>
        <v>3062.2786071428573</v>
      </c>
      <c r="N93" s="24">
        <f t="shared" si="57"/>
        <v>13269.873964285714</v>
      </c>
      <c r="O93" s="24">
        <f t="shared" si="58"/>
        <v>5307.9495857142865</v>
      </c>
      <c r="P93" s="25">
        <f t="shared" si="59"/>
        <v>18577.823550000001</v>
      </c>
      <c r="R93" s="24">
        <v>9237.6428571428587</v>
      </c>
      <c r="S93">
        <f t="shared" si="52"/>
        <v>0</v>
      </c>
      <c r="U93" s="27">
        <v>100518227</v>
      </c>
      <c r="V93" s="24">
        <v>9237.6428571428587</v>
      </c>
    </row>
    <row r="94" spans="2:22" x14ac:dyDescent="0.25">
      <c r="B94" s="140">
        <v>100027726</v>
      </c>
      <c r="C94" s="141" t="s">
        <v>120</v>
      </c>
      <c r="D94" s="142"/>
      <c r="E94" s="80">
        <v>22.5</v>
      </c>
      <c r="F94" s="23">
        <v>1</v>
      </c>
      <c r="G94" s="24">
        <f t="shared" si="49"/>
        <v>6814.5000000000009</v>
      </c>
      <c r="H94" s="127"/>
      <c r="I94" s="24">
        <f t="shared" ref="I94" si="60">+G94*(1-H94)</f>
        <v>6814.5000000000009</v>
      </c>
      <c r="J94" s="24">
        <f t="shared" si="53"/>
        <v>6814.5000000000009</v>
      </c>
      <c r="K94" s="24">
        <f t="shared" si="54"/>
        <v>715.52250000000004</v>
      </c>
      <c r="L94" s="24">
        <f t="shared" si="55"/>
        <v>7530.0225000000009</v>
      </c>
      <c r="M94" s="24">
        <f t="shared" si="56"/>
        <v>2259.00675</v>
      </c>
      <c r="N94" s="24">
        <f t="shared" si="57"/>
        <v>9789.0292500000014</v>
      </c>
      <c r="O94" s="24">
        <f t="shared" si="58"/>
        <v>3915.6117000000008</v>
      </c>
      <c r="P94" s="25">
        <f t="shared" si="59"/>
        <v>13704.640950000003</v>
      </c>
      <c r="R94" s="143">
        <v>6814.5000000000009</v>
      </c>
      <c r="U94" s="140">
        <v>100027726</v>
      </c>
      <c r="V94" s="24">
        <v>6814.5000000000009</v>
      </c>
    </row>
    <row r="95" spans="2:22" ht="15.75" thickBot="1" x14ac:dyDescent="0.3">
      <c r="B95" s="70"/>
      <c r="C95" s="71"/>
      <c r="D95" s="72"/>
      <c r="E95" s="71"/>
      <c r="F95" s="73"/>
      <c r="G95" s="74" t="e">
        <f t="shared" si="49"/>
        <v>#N/A</v>
      </c>
      <c r="H95" s="133"/>
      <c r="I95" s="74" t="e">
        <f t="shared" si="50"/>
        <v>#N/A</v>
      </c>
      <c r="J95" s="90"/>
      <c r="K95" s="91">
        <v>0.21</v>
      </c>
      <c r="L95" s="90"/>
      <c r="M95" s="38">
        <v>0.3</v>
      </c>
      <c r="N95" s="37"/>
      <c r="O95" s="38">
        <v>0.4</v>
      </c>
      <c r="P95" s="93"/>
      <c r="R95" s="74" t="e">
        <v>#N/A</v>
      </c>
      <c r="S95" t="e">
        <f t="shared" si="52"/>
        <v>#N/A</v>
      </c>
      <c r="U95" s="70"/>
      <c r="V95" s="74"/>
    </row>
    <row r="96" spans="2:22" ht="15.75" thickBot="1" x14ac:dyDescent="0.3">
      <c r="B96" s="27">
        <v>100520837</v>
      </c>
      <c r="C96" s="28" t="s">
        <v>85</v>
      </c>
      <c r="D96" s="21">
        <v>7790360980625</v>
      </c>
      <c r="E96" s="80">
        <v>4.8</v>
      </c>
      <c r="F96" s="23">
        <v>12</v>
      </c>
      <c r="G96" s="24">
        <f t="shared" si="49"/>
        <v>35756.175548589337</v>
      </c>
      <c r="H96" s="135"/>
      <c r="I96" s="24">
        <f t="shared" si="50"/>
        <v>35756.175548589337</v>
      </c>
      <c r="J96" s="79">
        <f>+I96/F96</f>
        <v>2979.6812957157781</v>
      </c>
      <c r="K96" s="42">
        <f>+J96*K$95</f>
        <v>625.73307210031339</v>
      </c>
      <c r="L96" s="43">
        <f>+J96+K96</f>
        <v>3605.4143678160917</v>
      </c>
      <c r="M96" s="80">
        <f>+L96*M$95</f>
        <v>1081.6243103448276</v>
      </c>
      <c r="N96" s="23">
        <f>+L96+M96</f>
        <v>4687.0386781609195</v>
      </c>
      <c r="O96" s="60">
        <f>+N96*O$95</f>
        <v>1874.8154712643679</v>
      </c>
      <c r="P96" s="61">
        <f>+N96+O96</f>
        <v>6561.8541494252877</v>
      </c>
      <c r="R96" s="24">
        <v>35756.175548589337</v>
      </c>
      <c r="S96">
        <f t="shared" si="52"/>
        <v>0</v>
      </c>
      <c r="U96" s="27">
        <v>100520837</v>
      </c>
      <c r="V96" s="24">
        <v>35756.175548589337</v>
      </c>
    </row>
    <row r="97" spans="1:22" x14ac:dyDescent="0.25">
      <c r="A97" s="79"/>
      <c r="B97" s="79">
        <v>100522395</v>
      </c>
      <c r="C97" s="42" t="s">
        <v>125</v>
      </c>
      <c r="D97" s="43">
        <v>7790360980625</v>
      </c>
      <c r="E97" s="80">
        <v>4.8</v>
      </c>
      <c r="F97" s="23">
        <v>12</v>
      </c>
      <c r="G97" s="24">
        <f t="shared" si="49"/>
        <v>36471.292000000001</v>
      </c>
      <c r="H97" s="147"/>
      <c r="I97" s="24">
        <f t="shared" ref="I97" si="61">+G97*(1-H97)</f>
        <v>36471.292000000001</v>
      </c>
      <c r="J97" s="79">
        <f>+I97/F97</f>
        <v>3039.2743333333333</v>
      </c>
      <c r="K97" s="42">
        <f>+J97*K$95</f>
        <v>638.24761000000001</v>
      </c>
      <c r="L97" s="43">
        <f>+J97+K97</f>
        <v>3677.5219433333332</v>
      </c>
      <c r="M97" s="80">
        <f>+L97*M$95</f>
        <v>1103.2565829999999</v>
      </c>
      <c r="N97" s="23">
        <f>+L97+M97</f>
        <v>4780.7785263333335</v>
      </c>
      <c r="O97" s="60">
        <f>+N97*O$95</f>
        <v>1912.3114105333334</v>
      </c>
      <c r="P97" s="61">
        <f>+N97+O97</f>
        <v>6693.0899368666669</v>
      </c>
      <c r="R97" s="143"/>
      <c r="U97" s="79">
        <v>100522395</v>
      </c>
      <c r="V97" s="24">
        <v>36471.292000000001</v>
      </c>
    </row>
    <row r="98" spans="1:22" ht="15.75" thickBot="1" x14ac:dyDescent="0.3">
      <c r="B98" s="70"/>
      <c r="C98" s="71"/>
      <c r="D98" s="72"/>
      <c r="E98" s="71"/>
      <c r="F98" s="73"/>
      <c r="G98" s="74" t="e">
        <f>+VLOOKUP(B98,$U$4:$V$104,2,FALSE)</f>
        <v>#N/A</v>
      </c>
      <c r="H98" s="133"/>
      <c r="I98" s="74" t="e">
        <f t="shared" si="50"/>
        <v>#N/A</v>
      </c>
      <c r="J98" s="90"/>
      <c r="K98" s="91">
        <v>0.21</v>
      </c>
      <c r="L98" s="90"/>
      <c r="M98" s="38">
        <v>0.3</v>
      </c>
      <c r="N98" s="37"/>
      <c r="O98" s="38">
        <v>0.4</v>
      </c>
      <c r="P98" s="93"/>
      <c r="R98" s="74" t="e">
        <v>#N/A</v>
      </c>
      <c r="S98" t="e">
        <f t="shared" si="52"/>
        <v>#N/A</v>
      </c>
      <c r="U98" s="70"/>
      <c r="V98" s="74"/>
    </row>
    <row r="99" spans="1:22" x14ac:dyDescent="0.25">
      <c r="B99" s="119">
        <v>100520902</v>
      </c>
      <c r="C99" s="120" t="s">
        <v>86</v>
      </c>
      <c r="D99" s="121">
        <v>7790360981042</v>
      </c>
      <c r="E99" s="122">
        <v>9.8000000000000007</v>
      </c>
      <c r="F99" s="98">
        <v>14</v>
      </c>
      <c r="G99" s="83">
        <f>+VLOOKUP(B99,$U$4:$V$104,2,FALSE)</f>
        <v>32345.802856147693</v>
      </c>
      <c r="H99" s="148">
        <f>0.142857142857143*100%</f>
        <v>0.14285714285714299</v>
      </c>
      <c r="I99" s="83">
        <f t="shared" si="50"/>
        <v>27724.973876698019</v>
      </c>
      <c r="J99" s="119">
        <f>+I99/F99</f>
        <v>1980.3552769070013</v>
      </c>
      <c r="K99" s="120">
        <f>+J99*K$98</f>
        <v>415.87460815047024</v>
      </c>
      <c r="L99" s="121">
        <f>+J99+K99</f>
        <v>2396.2298850574716</v>
      </c>
      <c r="M99" s="122">
        <f>+L99*M$98</f>
        <v>718.86896551724146</v>
      </c>
      <c r="N99" s="98">
        <f>+L99+M99</f>
        <v>3115.0988505747132</v>
      </c>
      <c r="O99" s="108">
        <f>+N99*O$98</f>
        <v>1246.0395402298855</v>
      </c>
      <c r="P99" s="109">
        <f>+N99+O99</f>
        <v>4361.1383908045991</v>
      </c>
      <c r="R99" s="83">
        <v>28302.577499129231</v>
      </c>
      <c r="S99">
        <f t="shared" si="52"/>
        <v>-2.0408163265306235E-2</v>
      </c>
      <c r="U99" s="79">
        <v>100520902</v>
      </c>
      <c r="V99" s="24">
        <v>32345.802856147693</v>
      </c>
    </row>
    <row r="100" spans="1:22" ht="15.75" thickBot="1" x14ac:dyDescent="0.3">
      <c r="B100" s="70"/>
      <c r="C100" s="71"/>
      <c r="D100" s="72"/>
      <c r="E100" s="71"/>
      <c r="F100" s="73"/>
      <c r="G100" s="74"/>
      <c r="H100" s="73"/>
      <c r="I100" s="74"/>
      <c r="J100" s="90"/>
      <c r="K100" s="91">
        <v>0.21</v>
      </c>
      <c r="L100" s="90"/>
      <c r="M100" s="92">
        <v>0.3</v>
      </c>
      <c r="N100" s="90"/>
      <c r="O100" s="92">
        <v>0.4</v>
      </c>
      <c r="P100" s="93"/>
      <c r="R100" s="74"/>
      <c r="U100" s="70"/>
      <c r="V100" s="74"/>
    </row>
    <row r="101" spans="1:22" ht="15.75" thickBot="1" x14ac:dyDescent="0.3">
      <c r="B101" s="119">
        <v>100521457</v>
      </c>
      <c r="C101" s="120" t="s">
        <v>100</v>
      </c>
      <c r="D101" s="121">
        <v>7790360982254</v>
      </c>
      <c r="E101" s="122">
        <v>4.8</v>
      </c>
      <c r="F101" s="98">
        <v>16</v>
      </c>
      <c r="G101" s="83">
        <f>+VLOOKUP(B101,$U$4:$V$104,2,FALSE)</f>
        <v>36127.899686520381</v>
      </c>
      <c r="H101" s="134">
        <v>7.4999999999999997E-2</v>
      </c>
      <c r="I101" s="83">
        <f t="shared" si="50"/>
        <v>33418.307210031351</v>
      </c>
      <c r="J101" s="119">
        <f>+G101/F101</f>
        <v>2257.9937304075238</v>
      </c>
      <c r="K101" s="120">
        <f>+J101*K$100</f>
        <v>474.17868338557997</v>
      </c>
      <c r="L101" s="121">
        <f>+J101+K101</f>
        <v>2732.1724137931037</v>
      </c>
      <c r="M101" s="122">
        <f>+L101*M$100</f>
        <v>819.65172413793107</v>
      </c>
      <c r="N101" s="98">
        <f>+L101+M101</f>
        <v>3551.8241379310348</v>
      </c>
      <c r="O101" s="108">
        <f>+N101*O$100</f>
        <v>1420.7296551724139</v>
      </c>
      <c r="P101" s="109">
        <f>+N101+O101</f>
        <v>4972.5537931034487</v>
      </c>
      <c r="R101" s="83">
        <v>31826.959247648909</v>
      </c>
      <c r="S101">
        <f t="shared" si="52"/>
        <v>4.9999999999999906E-2</v>
      </c>
      <c r="U101" s="79">
        <v>100521457</v>
      </c>
      <c r="V101" s="24">
        <v>36127.899686520381</v>
      </c>
    </row>
    <row r="102" spans="1:22" ht="15.75" thickBot="1" x14ac:dyDescent="0.3">
      <c r="B102" s="119">
        <v>100521455</v>
      </c>
      <c r="C102" s="120" t="s">
        <v>101</v>
      </c>
      <c r="D102" s="121">
        <v>7790360982247</v>
      </c>
      <c r="E102" s="122">
        <v>4.8</v>
      </c>
      <c r="F102" s="98">
        <v>16</v>
      </c>
      <c r="G102" s="83">
        <f>+VLOOKUP(B102,$U$4:$V$110,2,FALSE)</f>
        <v>36127.899686520381</v>
      </c>
      <c r="H102" s="134">
        <v>7.4999999999999997E-2</v>
      </c>
      <c r="I102" s="83">
        <f t="shared" si="50"/>
        <v>33418.307210031351</v>
      </c>
      <c r="J102" s="119">
        <f>+G102/F102</f>
        <v>2257.9937304075238</v>
      </c>
      <c r="K102" s="120">
        <f>+J102*K$100</f>
        <v>474.17868338557997</v>
      </c>
      <c r="L102" s="121">
        <f t="shared" ref="L102:L104" si="62">+J102+K102</f>
        <v>2732.1724137931037</v>
      </c>
      <c r="M102" s="122">
        <f>+L102*M$100</f>
        <v>819.65172413793107</v>
      </c>
      <c r="N102" s="98">
        <f t="shared" ref="N102:N104" si="63">+L102+M102</f>
        <v>3551.8241379310348</v>
      </c>
      <c r="O102" s="108">
        <f>+N102*O$100</f>
        <v>1420.7296551724139</v>
      </c>
      <c r="P102" s="109">
        <f t="shared" ref="P102:P104" si="64">+N102+O102</f>
        <v>4972.5537931034487</v>
      </c>
      <c r="R102" s="83">
        <v>31826.959247648909</v>
      </c>
      <c r="S102">
        <f t="shared" si="52"/>
        <v>4.9999999999999906E-2</v>
      </c>
      <c r="U102" s="79">
        <v>100521455</v>
      </c>
      <c r="V102" s="24">
        <v>36127.899686520381</v>
      </c>
    </row>
    <row r="103" spans="1:22" ht="15.75" thickBot="1" x14ac:dyDescent="0.3">
      <c r="B103" s="119">
        <v>100521453</v>
      </c>
      <c r="C103" s="120" t="s">
        <v>102</v>
      </c>
      <c r="D103" s="121">
        <v>7790360982223</v>
      </c>
      <c r="E103" s="122">
        <v>5.4</v>
      </c>
      <c r="F103" s="98">
        <v>18</v>
      </c>
      <c r="G103" s="83">
        <f>+VLOOKUP(B103,$U$4:$V$110,2,FALSE)</f>
        <v>35563.401253918506</v>
      </c>
      <c r="H103" s="134">
        <v>7.4999999999999997E-2</v>
      </c>
      <c r="I103" s="83">
        <f t="shared" si="50"/>
        <v>32896.146159874617</v>
      </c>
      <c r="J103" s="119">
        <f>+G103/F103</f>
        <v>1975.7445141065837</v>
      </c>
      <c r="K103" s="120">
        <f>+J103*K$100</f>
        <v>414.90634796238254</v>
      </c>
      <c r="L103" s="121">
        <f t="shared" si="62"/>
        <v>2390.650862068966</v>
      </c>
      <c r="M103" s="122">
        <f>+L103*M$100</f>
        <v>717.19525862068974</v>
      </c>
      <c r="N103" s="98">
        <f t="shared" si="63"/>
        <v>3107.8461206896559</v>
      </c>
      <c r="O103" s="108">
        <f>+N103*O$100</f>
        <v>1243.1384482758624</v>
      </c>
      <c r="P103" s="109">
        <f t="shared" si="64"/>
        <v>4350.9845689655185</v>
      </c>
      <c r="R103" s="83">
        <v>31329.663009404398</v>
      </c>
      <c r="S103">
        <f t="shared" si="52"/>
        <v>4.9999999999999996E-2</v>
      </c>
      <c r="U103" s="79">
        <v>100521453</v>
      </c>
      <c r="V103" s="24">
        <v>35563.401253918506</v>
      </c>
    </row>
    <row r="104" spans="1:22" x14ac:dyDescent="0.25">
      <c r="B104" s="119">
        <v>100521454</v>
      </c>
      <c r="C104" s="120" t="s">
        <v>103</v>
      </c>
      <c r="D104" s="121">
        <v>7790360982230</v>
      </c>
      <c r="E104" s="122">
        <v>5.3999999999999995</v>
      </c>
      <c r="F104" s="98">
        <v>18</v>
      </c>
      <c r="G104" s="83">
        <f>+VLOOKUP(B104,$U$4:$V$110,2,FALSE)</f>
        <v>35563.401253918506</v>
      </c>
      <c r="H104" s="134">
        <v>7.4999999999999997E-2</v>
      </c>
      <c r="I104" s="83">
        <f t="shared" si="50"/>
        <v>32896.146159874617</v>
      </c>
      <c r="J104" s="119">
        <f>+G104/F104</f>
        <v>1975.7445141065837</v>
      </c>
      <c r="K104" s="120">
        <f>+J104*K$100</f>
        <v>414.90634796238254</v>
      </c>
      <c r="L104" s="121">
        <f t="shared" si="62"/>
        <v>2390.650862068966</v>
      </c>
      <c r="M104" s="122">
        <f>+L104*M$100</f>
        <v>717.19525862068974</v>
      </c>
      <c r="N104" s="98">
        <f t="shared" si="63"/>
        <v>3107.8461206896559</v>
      </c>
      <c r="O104" s="108">
        <f>+N104*O$100</f>
        <v>1243.1384482758624</v>
      </c>
      <c r="P104" s="109">
        <f t="shared" si="64"/>
        <v>4350.9845689655185</v>
      </c>
      <c r="R104" s="83">
        <v>31329.663009404398</v>
      </c>
      <c r="S104">
        <f t="shared" si="52"/>
        <v>4.9999999999999996E-2</v>
      </c>
      <c r="U104" s="79">
        <v>100521454</v>
      </c>
      <c r="V104" s="24">
        <v>35563.401253918506</v>
      </c>
    </row>
    <row r="105" spans="1:22" x14ac:dyDescent="0.25">
      <c r="U105" s="79">
        <v>100521455</v>
      </c>
      <c r="V105" s="24">
        <v>34407.523510971791</v>
      </c>
    </row>
    <row r="106" spans="1:22" x14ac:dyDescent="0.25">
      <c r="U106" s="79">
        <v>100521453</v>
      </c>
      <c r="V106" s="24">
        <v>33869.90595611286</v>
      </c>
    </row>
    <row r="107" spans="1:22" x14ac:dyDescent="0.25">
      <c r="U107" s="79">
        <v>100521454</v>
      </c>
      <c r="V107" s="24">
        <v>33869.90595611286</v>
      </c>
    </row>
  </sheetData>
  <conditionalFormatting sqref="B20:C20">
    <cfRule type="cellIs" dxfId="32" priority="62" stopIfTrue="1" operator="equal">
      <formula>0</formula>
    </cfRule>
  </conditionalFormatting>
  <conditionalFormatting sqref="B27:C27">
    <cfRule type="cellIs" dxfId="31" priority="53" stopIfTrue="1" operator="equal">
      <formula>0</formula>
    </cfRule>
  </conditionalFormatting>
  <conditionalFormatting sqref="B63:D63">
    <cfRule type="cellIs" dxfId="30" priority="60" stopIfTrue="1" operator="equal">
      <formula>0</formula>
    </cfRule>
  </conditionalFormatting>
  <conditionalFormatting sqref="B16:F19">
    <cfRule type="cellIs" dxfId="29" priority="49" stopIfTrue="1" operator="equal">
      <formula>0</formula>
    </cfRule>
  </conditionalFormatting>
  <conditionalFormatting sqref="B99:F99">
    <cfRule type="cellIs" dxfId="28" priority="46" stopIfTrue="1" operator="equal">
      <formula>0</formula>
    </cfRule>
  </conditionalFormatting>
  <conditionalFormatting sqref="B101:F104">
    <cfRule type="cellIs" dxfId="27" priority="32" stopIfTrue="1" operator="equal">
      <formula>0</formula>
    </cfRule>
  </conditionalFormatting>
  <conditionalFormatting sqref="B69:P69">
    <cfRule type="cellIs" dxfId="26" priority="4" stopIfTrue="1" operator="equal">
      <formula>0</formula>
    </cfRule>
  </conditionalFormatting>
  <conditionalFormatting sqref="B73:P74">
    <cfRule type="cellIs" dxfId="25" priority="3" stopIfTrue="1" operator="equal">
      <formula>0</formula>
    </cfRule>
  </conditionalFormatting>
  <conditionalFormatting sqref="C28">
    <cfRule type="cellIs" dxfId="24" priority="52" stopIfTrue="1" operator="equal">
      <formula>0</formula>
    </cfRule>
  </conditionalFormatting>
  <conditionalFormatting sqref="D94:F94">
    <cfRule type="cellIs" dxfId="23" priority="22" stopIfTrue="1" operator="equal">
      <formula>0</formula>
    </cfRule>
  </conditionalFormatting>
  <conditionalFormatting sqref="E20:F20">
    <cfRule type="cellIs" dxfId="22" priority="61" stopIfTrue="1" operator="equal">
      <formula>0</formula>
    </cfRule>
  </conditionalFormatting>
  <conditionalFormatting sqref="E89:F93">
    <cfRule type="cellIs" dxfId="21" priority="50" stopIfTrue="1" operator="equal">
      <formula>0</formula>
    </cfRule>
  </conditionalFormatting>
  <conditionalFormatting sqref="E96:F97">
    <cfRule type="cellIs" dxfId="20" priority="48" stopIfTrue="1" operator="equal">
      <formula>0</formula>
    </cfRule>
  </conditionalFormatting>
  <conditionalFormatting sqref="E58:G61 J59:P61">
    <cfRule type="cellIs" dxfId="19" priority="57" stopIfTrue="1" operator="equal">
      <formula>0</formula>
    </cfRule>
  </conditionalFormatting>
  <conditionalFormatting sqref="G16 I16:J16 G17:J20">
    <cfRule type="cellIs" dxfId="18" priority="44" stopIfTrue="1" operator="equal">
      <formula>0</formula>
    </cfRule>
  </conditionalFormatting>
  <conditionalFormatting sqref="H89:H94">
    <cfRule type="cellIs" dxfId="17" priority="2" stopIfTrue="1" operator="equal">
      <formula>0</formula>
    </cfRule>
  </conditionalFormatting>
  <conditionalFormatting sqref="H96:H97">
    <cfRule type="cellIs" dxfId="16" priority="5" stopIfTrue="1" operator="equal">
      <formula>0</formula>
    </cfRule>
  </conditionalFormatting>
  <conditionalFormatting sqref="H99">
    <cfRule type="cellIs" dxfId="15" priority="1" stopIfTrue="1" operator="equal">
      <formula>0</formula>
    </cfRule>
  </conditionalFormatting>
  <conditionalFormatting sqref="I58:P58">
    <cfRule type="cellIs" dxfId="14" priority="43" stopIfTrue="1" operator="equal">
      <formula>0</formula>
    </cfRule>
  </conditionalFormatting>
  <conditionalFormatting sqref="J96:N97">
    <cfRule type="cellIs" dxfId="13" priority="47" stopIfTrue="1" operator="equal">
      <formula>0</formula>
    </cfRule>
  </conditionalFormatting>
  <conditionalFormatting sqref="J99:N99">
    <cfRule type="cellIs" dxfId="12" priority="45" stopIfTrue="1" operator="equal">
      <formula>0</formula>
    </cfRule>
  </conditionalFormatting>
  <conditionalFormatting sqref="J101:N104">
    <cfRule type="cellIs" dxfId="11" priority="31" stopIfTrue="1" operator="equal">
      <formula>0</formula>
    </cfRule>
  </conditionalFormatting>
  <conditionalFormatting sqref="J90:P94">
    <cfRule type="cellIs" dxfId="10" priority="51" stopIfTrue="1" operator="equal">
      <formula>0</formula>
    </cfRule>
  </conditionalFormatting>
  <conditionalFormatting sqref="M37:M38">
    <cfRule type="cellIs" dxfId="9" priority="55" stopIfTrue="1" operator="equal">
      <formula>0</formula>
    </cfRule>
  </conditionalFormatting>
  <conditionalFormatting sqref="M16:P20">
    <cfRule type="cellIs" dxfId="8" priority="54" stopIfTrue="1" operator="equal">
      <formula>0</formula>
    </cfRule>
  </conditionalFormatting>
  <conditionalFormatting sqref="U27">
    <cfRule type="cellIs" dxfId="7" priority="20" stopIfTrue="1" operator="equal">
      <formula>0</formula>
    </cfRule>
  </conditionalFormatting>
  <conditionalFormatting sqref="U66">
    <cfRule type="cellIs" dxfId="6" priority="21" stopIfTrue="1" operator="equal">
      <formula>0</formula>
    </cfRule>
  </conditionalFormatting>
  <conditionalFormatting sqref="U102">
    <cfRule type="cellIs" dxfId="5" priority="18" stopIfTrue="1" operator="equal">
      <formula>0</formula>
    </cfRule>
  </conditionalFormatting>
  <conditionalFormatting sqref="U104:U107">
    <cfRule type="cellIs" dxfId="4" priority="17" stopIfTrue="1" operator="equal">
      <formula>0</formula>
    </cfRule>
  </conditionalFormatting>
  <conditionalFormatting sqref="U16:V18">
    <cfRule type="cellIs" dxfId="3" priority="13" stopIfTrue="1" operator="equal">
      <formula>0</formula>
    </cfRule>
  </conditionalFormatting>
  <conditionalFormatting sqref="U72:V72">
    <cfRule type="cellIs" dxfId="2" priority="12" stopIfTrue="1" operator="equal">
      <formula>0</formula>
    </cfRule>
  </conditionalFormatting>
  <conditionalFormatting sqref="U76:V77">
    <cfRule type="cellIs" dxfId="1" priority="11" stopIfTrue="1" operator="equal">
      <formula>0</formula>
    </cfRule>
  </conditionalFormatting>
  <conditionalFormatting sqref="V61:V64">
    <cfRule type="cellIs" dxfId="0" priority="14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Litoral</vt:lpstr>
      <vt:lpstr>Sub Litoral</vt:lpstr>
      <vt:lpstr>Sub NEA</vt:lpstr>
      <vt:lpstr>Sub NOA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Pizarro</dc:creator>
  <cp:lastModifiedBy>Nicolas Gentile</cp:lastModifiedBy>
  <dcterms:created xsi:type="dcterms:W3CDTF">2025-03-05T13:00:54Z</dcterms:created>
  <dcterms:modified xsi:type="dcterms:W3CDTF">2026-01-02T21:21:34Z</dcterms:modified>
</cp:coreProperties>
</file>